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74A7F48-0993-41EE-916A-43A09559A905}" xr6:coauthVersionLast="47" xr6:coauthVersionMax="47" xr10:uidLastSave="{00000000-0000-0000-0000-000000000000}"/>
  <bookViews>
    <workbookView xWindow="-144" yWindow="-144" windowWidth="23328" windowHeight="12528" xr2:uid="{00000000-000D-0000-FFFF-FFFF00000000}"/>
  </bookViews>
  <sheets>
    <sheet name="Sheet1" sheetId="1" r:id="rId1"/>
  </sheet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1" l="1"/>
  <c r="K18" i="1"/>
  <c r="L28" i="1"/>
  <c r="M28" i="1" s="1"/>
  <c r="E29" i="1"/>
  <c r="F29" i="1"/>
  <c r="H29" i="1" s="1"/>
  <c r="G29" i="1"/>
  <c r="I29" i="1" s="1"/>
  <c r="E28" i="1"/>
  <c r="F28" i="1"/>
  <c r="H28" i="1"/>
  <c r="G28" i="1"/>
  <c r="I28" i="1"/>
  <c r="J28" i="1"/>
  <c r="K28" i="1"/>
  <c r="L26" i="1"/>
  <c r="M26" i="1" s="1"/>
  <c r="E27" i="1"/>
  <c r="F27" i="1" s="1"/>
  <c r="H27" i="1" s="1"/>
  <c r="J27" i="1" s="1"/>
  <c r="K27" i="1" s="1"/>
  <c r="G27" i="1"/>
  <c r="I27" i="1" s="1"/>
  <c r="E26" i="1"/>
  <c r="F26" i="1"/>
  <c r="H26" i="1" s="1"/>
  <c r="J26" i="1" s="1"/>
  <c r="K26" i="1" s="1"/>
  <c r="G26" i="1"/>
  <c r="I26" i="1"/>
  <c r="E25" i="1"/>
  <c r="K25" i="1" s="1"/>
  <c r="F25" i="1"/>
  <c r="H25" i="1"/>
  <c r="G25" i="1"/>
  <c r="I25" i="1"/>
  <c r="J25" i="1"/>
  <c r="E24" i="1"/>
  <c r="K24" i="1" s="1"/>
  <c r="F24" i="1"/>
  <c r="H24" i="1"/>
  <c r="G24" i="1"/>
  <c r="I24" i="1"/>
  <c r="J24" i="1"/>
  <c r="E23" i="1"/>
  <c r="F23" i="1" s="1"/>
  <c r="H23" i="1" s="1"/>
  <c r="E22" i="1"/>
  <c r="G22" i="1" s="1"/>
  <c r="I22" i="1" s="1"/>
  <c r="E21" i="1"/>
  <c r="E20" i="1"/>
  <c r="G20" i="1" s="1"/>
  <c r="I20" i="1" s="1"/>
  <c r="E18" i="1"/>
  <c r="G18" i="1" s="1"/>
  <c r="I18" i="1" s="1"/>
  <c r="M18" i="1" l="1"/>
  <c r="J29" i="1"/>
  <c r="K29" i="1" s="1"/>
  <c r="K22" i="1"/>
  <c r="G23" i="1"/>
  <c r="I23" i="1" s="1"/>
  <c r="J23" i="1" s="1"/>
  <c r="K23" i="1" s="1"/>
  <c r="L23" i="1" s="1"/>
  <c r="M23" i="1" s="1"/>
  <c r="F21" i="1"/>
  <c r="H21" i="1" s="1"/>
  <c r="G21" i="1"/>
  <c r="I21" i="1" s="1"/>
  <c r="F22" i="1"/>
  <c r="H22" i="1" s="1"/>
  <c r="J22" i="1" s="1"/>
  <c r="F18" i="1"/>
  <c r="H18" i="1" s="1"/>
  <c r="J18" i="1" s="1"/>
  <c r="F20" i="1"/>
  <c r="H20" i="1" s="1"/>
  <c r="J20" i="1" s="1"/>
  <c r="K20" i="1" s="1"/>
  <c r="J21" i="1" l="1"/>
  <c r="K21" i="1" s="1"/>
  <c r="L20" i="1"/>
  <c r="M20" i="1" s="1"/>
</calcChain>
</file>

<file path=xl/sharedStrings.xml><?xml version="1.0" encoding="utf-8"?>
<sst xmlns="http://schemas.openxmlformats.org/spreadsheetml/2006/main" count="101" uniqueCount="35">
  <si>
    <t>Day</t>
  </si>
  <si>
    <t>Outlook</t>
  </si>
  <si>
    <t>Temp</t>
  </si>
  <si>
    <t>Humidity</t>
  </si>
  <si>
    <t>Wind</t>
  </si>
  <si>
    <t>Tennis?</t>
  </si>
  <si>
    <t>Sunny</t>
  </si>
  <si>
    <t>Overcast</t>
  </si>
  <si>
    <t>Rain</t>
  </si>
  <si>
    <t>Hot</t>
  </si>
  <si>
    <t>Mild</t>
  </si>
  <si>
    <t>Cool</t>
  </si>
  <si>
    <t>High</t>
  </si>
  <si>
    <t>Normal</t>
  </si>
  <si>
    <t>Weak</t>
  </si>
  <si>
    <t>Strong</t>
  </si>
  <si>
    <t>No</t>
  </si>
  <si>
    <t>Yes</t>
  </si>
  <si>
    <t>Row Labels</t>
  </si>
  <si>
    <t>Grand Total</t>
  </si>
  <si>
    <t>Count of Tennis?</t>
  </si>
  <si>
    <t>Root Node</t>
  </si>
  <si>
    <t>Total</t>
  </si>
  <si>
    <t>Yes Prob</t>
  </si>
  <si>
    <t>No Prob</t>
  </si>
  <si>
    <t>I_Yes</t>
  </si>
  <si>
    <t>I_No</t>
  </si>
  <si>
    <t>1_Outlook</t>
  </si>
  <si>
    <t>1_Temp</t>
  </si>
  <si>
    <t>1_Humidity</t>
  </si>
  <si>
    <t>1_Wind</t>
  </si>
  <si>
    <t>Weighted H</t>
  </si>
  <si>
    <t>Weighted Avg H</t>
  </si>
  <si>
    <t>Info Gain</t>
  </si>
  <si>
    <t>H (Entropy)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</si>
</sst>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2" fontId="1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Singh" refreshedDate="45854.922434259257" createdVersion="8" refreshedVersion="8" minRefreshableVersion="3" recordCount="14" xr:uid="{7D375E77-8A96-400D-A733-B906E26A7285}">
  <cacheSource type="worksheet">
    <worksheetSource name="Table1"/>
  </cacheSource>
  <cacheFields count="6">
    <cacheField name="Day" numFmtId="0">
      <sharedItems containsSemiMixedTypes="0" containsString="0" containsNumber="1" containsInteger="1" minValue="1" maxValue="14"/>
    </cacheField>
    <cacheField name="Outlook" numFmtId="0">
      <sharedItems count="3">
        <s v="Sunny"/>
        <s v="Overcast"/>
        <s v="Rain"/>
      </sharedItems>
    </cacheField>
    <cacheField name="Temp" numFmtId="0">
      <sharedItems count="3">
        <s v="Hot"/>
        <s v="Mild"/>
        <s v="Cool"/>
      </sharedItems>
    </cacheField>
    <cacheField name="Humidity" numFmtId="0">
      <sharedItems count="2">
        <s v="High"/>
        <s v="Normal"/>
      </sharedItems>
    </cacheField>
    <cacheField name="Wind" numFmtId="0">
      <sharedItems count="2">
        <s v="Weak"/>
        <s v="Strong"/>
      </sharedItems>
    </cacheField>
    <cacheField name="Tennis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x v="0"/>
    <x v="0"/>
    <x v="0"/>
    <x v="0"/>
    <x v="0"/>
  </r>
  <r>
    <n v="2"/>
    <x v="0"/>
    <x v="0"/>
    <x v="0"/>
    <x v="1"/>
    <x v="0"/>
  </r>
  <r>
    <n v="3"/>
    <x v="1"/>
    <x v="0"/>
    <x v="0"/>
    <x v="0"/>
    <x v="1"/>
  </r>
  <r>
    <n v="4"/>
    <x v="2"/>
    <x v="1"/>
    <x v="0"/>
    <x v="0"/>
    <x v="1"/>
  </r>
  <r>
    <n v="5"/>
    <x v="2"/>
    <x v="2"/>
    <x v="1"/>
    <x v="0"/>
    <x v="1"/>
  </r>
  <r>
    <n v="6"/>
    <x v="2"/>
    <x v="2"/>
    <x v="1"/>
    <x v="1"/>
    <x v="0"/>
  </r>
  <r>
    <n v="7"/>
    <x v="1"/>
    <x v="2"/>
    <x v="1"/>
    <x v="1"/>
    <x v="1"/>
  </r>
  <r>
    <n v="8"/>
    <x v="0"/>
    <x v="1"/>
    <x v="0"/>
    <x v="0"/>
    <x v="0"/>
  </r>
  <r>
    <n v="9"/>
    <x v="0"/>
    <x v="2"/>
    <x v="1"/>
    <x v="0"/>
    <x v="1"/>
  </r>
  <r>
    <n v="10"/>
    <x v="2"/>
    <x v="1"/>
    <x v="1"/>
    <x v="0"/>
    <x v="1"/>
  </r>
  <r>
    <n v="11"/>
    <x v="0"/>
    <x v="1"/>
    <x v="1"/>
    <x v="1"/>
    <x v="1"/>
  </r>
  <r>
    <n v="12"/>
    <x v="1"/>
    <x v="1"/>
    <x v="0"/>
    <x v="1"/>
    <x v="1"/>
  </r>
  <r>
    <n v="13"/>
    <x v="1"/>
    <x v="0"/>
    <x v="1"/>
    <x v="0"/>
    <x v="1"/>
  </r>
  <r>
    <n v="14"/>
    <x v="2"/>
    <x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8461E-55BD-49DF-87CC-29B6702C951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9" firstHeaderRow="1" firstDataRow="1" firstDataCol="1"/>
  <pivotFields count="6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2">
    <field x="4"/>
    <field x="5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Tennis?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DD125-4E7F-4121-AA40-981E91BC23A5}" name="Table1" displayName="Table1" ref="A1:F15" totalsRowShown="0" headerRowDxfId="0" headerRowBorderDxfId="1" tableBorderDxfId="2">
  <autoFilter ref="A1:F15" xr:uid="{245DD125-4E7F-4121-AA40-981E91BC23A5}"/>
  <tableColumns count="6">
    <tableColumn id="1" xr3:uid="{0B373AFA-A593-4B0A-B705-E06718844E88}" name="Day"/>
    <tableColumn id="2" xr3:uid="{6266F88E-7F89-482B-BE57-374661873DEC}" name="Outlook"/>
    <tableColumn id="3" xr3:uid="{F5632A5F-5061-47F8-B6F1-BB7E51052677}" name="Temp"/>
    <tableColumn id="4" xr3:uid="{5645B285-3BC6-47E6-B4FE-80A7CDEB5105}" name="Humidity"/>
    <tableColumn id="5" xr3:uid="{536DE2F8-3526-4196-9130-BB60E3EDC116}" name="Wind"/>
    <tableColumn id="6" xr3:uid="{7121AEDF-CF0F-49E9-A6E8-9EF08B839B24}" name="Tennis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J28" sqref="J28"/>
    </sheetView>
  </sheetViews>
  <sheetFormatPr defaultRowHeight="14.6" x14ac:dyDescent="0.4"/>
  <cols>
    <col min="1" max="1" width="8.4609375" bestFit="1" customWidth="1"/>
    <col min="2" max="2" width="12" bestFit="1" customWidth="1"/>
    <col min="3" max="3" width="10" bestFit="1" customWidth="1"/>
    <col min="4" max="4" width="12.84375" bestFit="1" customWidth="1"/>
    <col min="5" max="5" width="9.765625" bestFit="1" customWidth="1"/>
    <col min="6" max="6" width="11.69140625" bestFit="1" customWidth="1"/>
    <col min="7" max="7" width="10.3828125" bestFit="1" customWidth="1"/>
    <col min="8" max="8" width="12.3828125" bestFit="1" customWidth="1"/>
    <col min="9" max="9" width="14.84375" bestFit="1" customWidth="1"/>
    <col min="10" max="10" width="10.3046875" bestFit="1" customWidth="1"/>
    <col min="11" max="11" width="11.84375" bestFit="1" customWidth="1"/>
    <col min="12" max="12" width="14.07421875" bestFit="1" customWidth="1"/>
    <col min="13" max="13" width="12.15234375" style="6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4">
      <c r="A2">
        <v>1</v>
      </c>
      <c r="B2" t="s">
        <v>6</v>
      </c>
      <c r="C2" t="s">
        <v>9</v>
      </c>
      <c r="D2" t="s">
        <v>12</v>
      </c>
      <c r="E2" t="s">
        <v>14</v>
      </c>
      <c r="F2" t="s">
        <v>16</v>
      </c>
      <c r="H2" s="2" t="s">
        <v>18</v>
      </c>
      <c r="I2" t="s">
        <v>20</v>
      </c>
    </row>
    <row r="3" spans="1:9" x14ac:dyDescent="0.4">
      <c r="A3">
        <v>2</v>
      </c>
      <c r="B3" t="s">
        <v>6</v>
      </c>
      <c r="C3" t="s">
        <v>9</v>
      </c>
      <c r="D3" t="s">
        <v>12</v>
      </c>
      <c r="E3" t="s">
        <v>15</v>
      </c>
      <c r="F3" t="s">
        <v>16</v>
      </c>
      <c r="H3" s="3" t="s">
        <v>15</v>
      </c>
      <c r="I3" s="4">
        <v>6</v>
      </c>
    </row>
    <row r="4" spans="1:9" x14ac:dyDescent="0.4">
      <c r="A4">
        <v>3</v>
      </c>
      <c r="B4" t="s">
        <v>7</v>
      </c>
      <c r="C4" t="s">
        <v>9</v>
      </c>
      <c r="D4" t="s">
        <v>12</v>
      </c>
      <c r="E4" t="s">
        <v>14</v>
      </c>
      <c r="F4" t="s">
        <v>17</v>
      </c>
      <c r="H4" s="7" t="s">
        <v>16</v>
      </c>
      <c r="I4" s="4">
        <v>3</v>
      </c>
    </row>
    <row r="5" spans="1:9" x14ac:dyDescent="0.4">
      <c r="A5">
        <v>4</v>
      </c>
      <c r="B5" t="s">
        <v>8</v>
      </c>
      <c r="C5" t="s">
        <v>10</v>
      </c>
      <c r="D5" t="s">
        <v>12</v>
      </c>
      <c r="E5" t="s">
        <v>14</v>
      </c>
      <c r="F5" t="s">
        <v>17</v>
      </c>
      <c r="H5" s="7" t="s">
        <v>17</v>
      </c>
      <c r="I5" s="4">
        <v>3</v>
      </c>
    </row>
    <row r="6" spans="1:9" x14ac:dyDescent="0.4">
      <c r="A6">
        <v>5</v>
      </c>
      <c r="B6" t="s">
        <v>8</v>
      </c>
      <c r="C6" t="s">
        <v>11</v>
      </c>
      <c r="D6" t="s">
        <v>13</v>
      </c>
      <c r="E6" t="s">
        <v>14</v>
      </c>
      <c r="F6" t="s">
        <v>17</v>
      </c>
      <c r="H6" s="3" t="s">
        <v>14</v>
      </c>
      <c r="I6" s="4">
        <v>8</v>
      </c>
    </row>
    <row r="7" spans="1:9" x14ac:dyDescent="0.4">
      <c r="A7">
        <v>6</v>
      </c>
      <c r="B7" t="s">
        <v>8</v>
      </c>
      <c r="C7" t="s">
        <v>11</v>
      </c>
      <c r="D7" t="s">
        <v>13</v>
      </c>
      <c r="E7" t="s">
        <v>15</v>
      </c>
      <c r="F7" t="s">
        <v>16</v>
      </c>
      <c r="H7" s="7" t="s">
        <v>16</v>
      </c>
      <c r="I7" s="4">
        <v>2</v>
      </c>
    </row>
    <row r="8" spans="1:9" x14ac:dyDescent="0.4">
      <c r="A8">
        <v>7</v>
      </c>
      <c r="B8" t="s">
        <v>7</v>
      </c>
      <c r="C8" t="s">
        <v>11</v>
      </c>
      <c r="D8" t="s">
        <v>13</v>
      </c>
      <c r="E8" t="s">
        <v>15</v>
      </c>
      <c r="F8" t="s">
        <v>17</v>
      </c>
      <c r="H8" s="7" t="s">
        <v>17</v>
      </c>
      <c r="I8" s="4">
        <v>6</v>
      </c>
    </row>
    <row r="9" spans="1:9" x14ac:dyDescent="0.4">
      <c r="A9">
        <v>8</v>
      </c>
      <c r="B9" t="s">
        <v>6</v>
      </c>
      <c r="C9" t="s">
        <v>10</v>
      </c>
      <c r="D9" t="s">
        <v>12</v>
      </c>
      <c r="E9" t="s">
        <v>14</v>
      </c>
      <c r="F9" t="s">
        <v>16</v>
      </c>
      <c r="H9" s="3" t="s">
        <v>19</v>
      </c>
      <c r="I9" s="4">
        <v>14</v>
      </c>
    </row>
    <row r="10" spans="1:9" x14ac:dyDescent="0.4">
      <c r="A10">
        <v>9</v>
      </c>
      <c r="B10" t="s">
        <v>6</v>
      </c>
      <c r="C10" t="s">
        <v>11</v>
      </c>
      <c r="D10" t="s">
        <v>13</v>
      </c>
      <c r="E10" t="s">
        <v>14</v>
      </c>
      <c r="F10" t="s">
        <v>17</v>
      </c>
    </row>
    <row r="11" spans="1:9" x14ac:dyDescent="0.4">
      <c r="A11">
        <v>10</v>
      </c>
      <c r="B11" t="s">
        <v>8</v>
      </c>
      <c r="C11" t="s">
        <v>10</v>
      </c>
      <c r="D11" t="s">
        <v>13</v>
      </c>
      <c r="E11" t="s">
        <v>14</v>
      </c>
      <c r="F11" t="s">
        <v>17</v>
      </c>
    </row>
    <row r="12" spans="1:9" x14ac:dyDescent="0.4">
      <c r="A12">
        <v>11</v>
      </c>
      <c r="B12" t="s">
        <v>6</v>
      </c>
      <c r="C12" t="s">
        <v>10</v>
      </c>
      <c r="D12" t="s">
        <v>13</v>
      </c>
      <c r="E12" t="s">
        <v>15</v>
      </c>
      <c r="F12" t="s">
        <v>17</v>
      </c>
    </row>
    <row r="13" spans="1:9" x14ac:dyDescent="0.4">
      <c r="A13">
        <v>12</v>
      </c>
      <c r="B13" t="s">
        <v>7</v>
      </c>
      <c r="C13" t="s">
        <v>10</v>
      </c>
      <c r="D13" t="s">
        <v>12</v>
      </c>
      <c r="E13" t="s">
        <v>15</v>
      </c>
      <c r="F13" t="s">
        <v>17</v>
      </c>
    </row>
    <row r="14" spans="1:9" x14ac:dyDescent="0.4">
      <c r="A14">
        <v>13</v>
      </c>
      <c r="B14" t="s">
        <v>7</v>
      </c>
      <c r="C14" t="s">
        <v>9</v>
      </c>
      <c r="D14" t="s">
        <v>13</v>
      </c>
      <c r="E14" t="s">
        <v>14</v>
      </c>
      <c r="F14" t="s">
        <v>17</v>
      </c>
    </row>
    <row r="15" spans="1:9" x14ac:dyDescent="0.4">
      <c r="A15">
        <v>14</v>
      </c>
      <c r="B15" t="s">
        <v>8</v>
      </c>
      <c r="C15" t="s">
        <v>10</v>
      </c>
      <c r="D15" t="s">
        <v>12</v>
      </c>
      <c r="E15" t="s">
        <v>15</v>
      </c>
      <c r="F15" t="s">
        <v>16</v>
      </c>
    </row>
    <row r="17" spans="2:13" s="6" customFormat="1" x14ac:dyDescent="0.4">
      <c r="C17" s="6" t="s">
        <v>17</v>
      </c>
      <c r="D17" s="6" t="s">
        <v>16</v>
      </c>
      <c r="E17" s="6" t="s">
        <v>22</v>
      </c>
      <c r="F17" s="6" t="s">
        <v>23</v>
      </c>
      <c r="G17" s="6" t="s">
        <v>24</v>
      </c>
      <c r="H17" s="6" t="s">
        <v>25</v>
      </c>
      <c r="I17" s="6" t="s">
        <v>26</v>
      </c>
      <c r="J17" s="6" t="s">
        <v>34</v>
      </c>
      <c r="K17" s="6" t="s">
        <v>31</v>
      </c>
      <c r="L17" s="6" t="s">
        <v>32</v>
      </c>
      <c r="M17" s="6" t="s">
        <v>33</v>
      </c>
    </row>
    <row r="18" spans="2:13" s="6" customFormat="1" x14ac:dyDescent="0.4">
      <c r="B18" s="6" t="s">
        <v>21</v>
      </c>
      <c r="C18" s="6">
        <v>5</v>
      </c>
      <c r="D18" s="6">
        <v>9</v>
      </c>
      <c r="E18" s="6">
        <f>C18+D18</f>
        <v>14</v>
      </c>
      <c r="F18" s="8">
        <f>C18/E18</f>
        <v>0.35714285714285715</v>
      </c>
      <c r="G18" s="8">
        <f>D18/E18</f>
        <v>0.6428571428571429</v>
      </c>
      <c r="H18" s="8">
        <f>IFERROR(-F18*LOG(F18,2),0)</f>
        <v>0.53050958113222912</v>
      </c>
      <c r="I18" s="8">
        <f>IFERROR(-G18*LOG(G18,2),0)</f>
        <v>0.40977637753840185</v>
      </c>
      <c r="J18" s="8">
        <f>H18+I18</f>
        <v>0.94028595867063092</v>
      </c>
      <c r="K18" s="5">
        <f>E18*J18</f>
        <v>13.164003421388832</v>
      </c>
      <c r="L18" s="5">
        <f>SUM(K18)/SUM(E18)</f>
        <v>0.94028595867063092</v>
      </c>
      <c r="M18" s="8">
        <f>$J$18-L18</f>
        <v>0</v>
      </c>
    </row>
    <row r="19" spans="2:13" x14ac:dyDescent="0.4">
      <c r="F19" s="5"/>
      <c r="G19" s="5"/>
      <c r="H19" s="5"/>
      <c r="I19" s="5"/>
      <c r="J19" s="5"/>
    </row>
    <row r="20" spans="2:13" x14ac:dyDescent="0.4">
      <c r="B20" t="s">
        <v>27</v>
      </c>
      <c r="C20">
        <v>4</v>
      </c>
      <c r="D20">
        <v>0</v>
      </c>
      <c r="E20">
        <f>C20+D20</f>
        <v>4</v>
      </c>
      <c r="F20" s="5">
        <f>C20/E20</f>
        <v>1</v>
      </c>
      <c r="G20" s="5">
        <f>D20/E20</f>
        <v>0</v>
      </c>
      <c r="H20" s="5">
        <f>IFERROR(-F20*LOG(F20,2),0)</f>
        <v>0</v>
      </c>
      <c r="I20" s="5">
        <f>IFERROR(-G20*LOG(G20,2),0)</f>
        <v>0</v>
      </c>
      <c r="J20" s="5">
        <f>H20+I20</f>
        <v>0</v>
      </c>
      <c r="K20" s="5">
        <f>E20*J20</f>
        <v>0</v>
      </c>
      <c r="L20" s="5">
        <f>SUM(K20:K22)/SUM(E20:E22)</f>
        <v>0.69353613889619192</v>
      </c>
      <c r="M20" s="9">
        <f>$J$18-L20</f>
        <v>0.24674981977443899</v>
      </c>
    </row>
    <row r="21" spans="2:13" x14ac:dyDescent="0.4">
      <c r="C21">
        <v>3</v>
      </c>
      <c r="D21">
        <v>2</v>
      </c>
      <c r="E21">
        <f>C21+D21</f>
        <v>5</v>
      </c>
      <c r="F21" s="5">
        <f>C21/E21</f>
        <v>0.6</v>
      </c>
      <c r="G21" s="5">
        <f>D21/E21</f>
        <v>0.4</v>
      </c>
      <c r="H21" s="5">
        <f>IFERROR(-F21*LOG(F21,2),0)</f>
        <v>0.44217935649972373</v>
      </c>
      <c r="I21" s="5">
        <f>IFERROR(-G21*LOG(G21,2),0)</f>
        <v>0.52877123795494485</v>
      </c>
      <c r="J21" s="5">
        <f>H21+I21</f>
        <v>0.97095059445466858</v>
      </c>
      <c r="K21" s="5">
        <f t="shared" ref="K21:K29" si="0">E21*J21</f>
        <v>4.8547529722733431</v>
      </c>
    </row>
    <row r="22" spans="2:13" x14ac:dyDescent="0.4">
      <c r="C22">
        <v>2</v>
      </c>
      <c r="D22">
        <v>3</v>
      </c>
      <c r="E22">
        <f>C22+D22</f>
        <v>5</v>
      </c>
      <c r="F22" s="5">
        <f>C22/E22</f>
        <v>0.4</v>
      </c>
      <c r="G22" s="5">
        <f>D22/E22</f>
        <v>0.6</v>
      </c>
      <c r="H22" s="5">
        <f>IFERROR(-F22*LOG(F22,2),0)</f>
        <v>0.52877123795494485</v>
      </c>
      <c r="I22" s="5">
        <f>IFERROR(-G22*LOG(G22,2),0)</f>
        <v>0.44217935649972373</v>
      </c>
      <c r="J22" s="5">
        <f>H22+I22</f>
        <v>0.97095059445466858</v>
      </c>
      <c r="K22" s="5">
        <f t="shared" si="0"/>
        <v>4.8547529722733431</v>
      </c>
    </row>
    <row r="23" spans="2:13" x14ac:dyDescent="0.4">
      <c r="B23" t="s">
        <v>28</v>
      </c>
      <c r="C23">
        <v>3</v>
      </c>
      <c r="D23">
        <v>1</v>
      </c>
      <c r="E23">
        <f>C23+D23</f>
        <v>4</v>
      </c>
      <c r="F23" s="5">
        <f>C23/E23</f>
        <v>0.75</v>
      </c>
      <c r="G23" s="5">
        <f>D23/E23</f>
        <v>0.25</v>
      </c>
      <c r="H23" s="5">
        <f>IFERROR(-F23*LOG(F23,2),0)</f>
        <v>0.31127812445913283</v>
      </c>
      <c r="I23" s="5">
        <f>IFERROR(-G23*LOG(G23,2),0)</f>
        <v>0.5</v>
      </c>
      <c r="J23" s="5">
        <f>H23+I23</f>
        <v>0.81127812445913283</v>
      </c>
      <c r="K23" s="5">
        <f t="shared" si="0"/>
        <v>3.2451124978365313</v>
      </c>
      <c r="L23" s="5">
        <f>SUM(K23:K25)/SUM(E23:E25)</f>
        <v>0.91106339301167638</v>
      </c>
      <c r="M23" s="9">
        <f>$J$18-L23</f>
        <v>2.9222565658954536E-2</v>
      </c>
    </row>
    <row r="24" spans="2:13" x14ac:dyDescent="0.4">
      <c r="C24">
        <v>2</v>
      </c>
      <c r="D24">
        <v>2</v>
      </c>
      <c r="E24">
        <f>C24+D24</f>
        <v>4</v>
      </c>
      <c r="F24" s="5">
        <f>C24/E24</f>
        <v>0.5</v>
      </c>
      <c r="G24" s="5">
        <f>D24/E24</f>
        <v>0.5</v>
      </c>
      <c r="H24" s="5">
        <f>IFERROR(-F24*LOG(F24,2),0)</f>
        <v>0.5</v>
      </c>
      <c r="I24" s="5">
        <f>IFERROR(-G24*LOG(G24,2),0)</f>
        <v>0.5</v>
      </c>
      <c r="J24" s="5">
        <f>H24+I24</f>
        <v>1</v>
      </c>
      <c r="K24" s="5">
        <f t="shared" si="0"/>
        <v>4</v>
      </c>
    </row>
    <row r="25" spans="2:13" x14ac:dyDescent="0.4">
      <c r="C25">
        <v>4</v>
      </c>
      <c r="D25">
        <v>2</v>
      </c>
      <c r="E25">
        <f>C25+D25</f>
        <v>6</v>
      </c>
      <c r="F25" s="5">
        <f>C25/E25</f>
        <v>0.66666666666666663</v>
      </c>
      <c r="G25" s="5">
        <f>D25/E25</f>
        <v>0.33333333333333331</v>
      </c>
      <c r="H25" s="5">
        <f>IFERROR(-F25*LOG(F25,2),0)</f>
        <v>0.38997500048077083</v>
      </c>
      <c r="I25" s="5">
        <f>IFERROR(-G25*LOG(G25,2),0)</f>
        <v>0.52832083357371873</v>
      </c>
      <c r="J25" s="5">
        <f>H25+I25</f>
        <v>0.91829583405448956</v>
      </c>
      <c r="K25" s="5">
        <f t="shared" si="0"/>
        <v>5.5097750043269373</v>
      </c>
    </row>
    <row r="26" spans="2:13" x14ac:dyDescent="0.4">
      <c r="B26" t="s">
        <v>29</v>
      </c>
      <c r="C26">
        <v>3</v>
      </c>
      <c r="D26">
        <v>4</v>
      </c>
      <c r="E26">
        <f>C26+D26</f>
        <v>7</v>
      </c>
      <c r="F26" s="5">
        <f>C26/E26</f>
        <v>0.42857142857142855</v>
      </c>
      <c r="G26" s="5">
        <f>D26/E26</f>
        <v>0.5714285714285714</v>
      </c>
      <c r="H26" s="5">
        <f>IFERROR(-F26*LOG(F26,2),0)</f>
        <v>0.52388246628704915</v>
      </c>
      <c r="I26" s="5">
        <f>IFERROR(-G26*LOG(G26,2),0)</f>
        <v>0.46134566974720242</v>
      </c>
      <c r="J26" s="5">
        <f>H26+I26</f>
        <v>0.98522813603425163</v>
      </c>
      <c r="K26" s="5">
        <f t="shared" si="0"/>
        <v>6.8965969522397614</v>
      </c>
      <c r="L26" s="5">
        <f>SUM(K26:K27)/SUM(E26:E27)</f>
        <v>0.78845045730828944</v>
      </c>
      <c r="M26" s="9">
        <f>$J$18-L26</f>
        <v>0.15183550136234147</v>
      </c>
    </row>
    <row r="27" spans="2:13" x14ac:dyDescent="0.4">
      <c r="C27">
        <v>6</v>
      </c>
      <c r="D27">
        <v>1</v>
      </c>
      <c r="E27">
        <f>C27+D27</f>
        <v>7</v>
      </c>
      <c r="F27" s="5">
        <f>C27/E27</f>
        <v>0.8571428571428571</v>
      </c>
      <c r="G27" s="5">
        <f>D27/E27</f>
        <v>0.14285714285714285</v>
      </c>
      <c r="H27" s="5">
        <f>IFERROR(-F27*LOG(F27,2),0)</f>
        <v>0.19062207543124116</v>
      </c>
      <c r="I27" s="5">
        <f>IFERROR(-G27*LOG(G27,2),0)</f>
        <v>0.40105070315108637</v>
      </c>
      <c r="J27" s="5">
        <f>H27+I27</f>
        <v>0.59167277858232747</v>
      </c>
      <c r="K27" s="5">
        <f t="shared" si="0"/>
        <v>4.1417094500762923</v>
      </c>
    </row>
    <row r="28" spans="2:13" x14ac:dyDescent="0.4">
      <c r="B28" t="s">
        <v>30</v>
      </c>
      <c r="C28">
        <v>3</v>
      </c>
      <c r="D28">
        <v>3</v>
      </c>
      <c r="E28">
        <f>C28+D28</f>
        <v>6</v>
      </c>
      <c r="F28" s="5">
        <f>C28/E28</f>
        <v>0.5</v>
      </c>
      <c r="G28" s="5">
        <f>D28/E28</f>
        <v>0.5</v>
      </c>
      <c r="H28" s="5">
        <f>IFERROR(-F28*LOG(F28,2),0)</f>
        <v>0.5</v>
      </c>
      <c r="I28" s="5">
        <f>IFERROR(-G28*LOG(G28,2),0)</f>
        <v>0.5</v>
      </c>
      <c r="J28" s="5">
        <f>H28+I28</f>
        <v>1</v>
      </c>
      <c r="K28" s="5">
        <f t="shared" si="0"/>
        <v>6</v>
      </c>
      <c r="L28" s="5">
        <f>SUM(K28:K29)/SUM(E28:E29)</f>
        <v>0.89215892826236165</v>
      </c>
      <c r="M28" s="9">
        <f>$J$18-L28</f>
        <v>4.8127030408269267E-2</v>
      </c>
    </row>
    <row r="29" spans="2:13" x14ac:dyDescent="0.4">
      <c r="C29">
        <v>6</v>
      </c>
      <c r="D29">
        <v>2</v>
      </c>
      <c r="E29">
        <f>C29+D29</f>
        <v>8</v>
      </c>
      <c r="F29" s="5">
        <f>C29/E29</f>
        <v>0.75</v>
      </c>
      <c r="G29" s="5">
        <f>D29/E29</f>
        <v>0.25</v>
      </c>
      <c r="H29" s="5">
        <f>IFERROR(-F29*LOG(F29,2),0)</f>
        <v>0.31127812445913283</v>
      </c>
      <c r="I29" s="5">
        <f>IFERROR(-G29*LOG(G29,2),0)</f>
        <v>0.5</v>
      </c>
      <c r="J29" s="5">
        <f>H29+I29</f>
        <v>0.81127812445913283</v>
      </c>
      <c r="K29" s="5">
        <f t="shared" si="0"/>
        <v>6.4902249956730627</v>
      </c>
    </row>
    <row r="30" spans="2:13" x14ac:dyDescent="0.4">
      <c r="F30" s="5"/>
      <c r="G30" s="5"/>
    </row>
    <row r="31" spans="2:13" x14ac:dyDescent="0.4">
      <c r="F31" s="5"/>
      <c r="G31" s="5"/>
    </row>
    <row r="32" spans="2:13" x14ac:dyDescent="0.4">
      <c r="F32" s="5"/>
      <c r="G32" s="5"/>
    </row>
    <row r="33" spans="6:7" x14ac:dyDescent="0.4">
      <c r="F33" s="5"/>
      <c r="G33" s="5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Singh</cp:lastModifiedBy>
  <dcterms:created xsi:type="dcterms:W3CDTF">2025-07-16T16:27:24Z</dcterms:created>
  <dcterms:modified xsi:type="dcterms:W3CDTF">2025-07-16T17:50:18Z</dcterms:modified>
</cp:coreProperties>
</file>
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QlipAZUZkTyhJBa770i1INBSfG2FPOan3RpnXW+aLM="/>
    </ext>
  </extLst>
</workbook>
</file>

<file path=xl/sharedStrings.xml><?xml version="1.0" encoding="utf-8"?>
<sst xmlns="http://schemas.openxmlformats.org/spreadsheetml/2006/main" count="24" uniqueCount="24">
  <si>
    <t>Sl. No</t>
  </si>
  <si>
    <t>X</t>
  </si>
  <si>
    <t>Y</t>
  </si>
  <si>
    <t>(X-X Mean)</t>
  </si>
  <si>
    <t>(Y-Y Mean)</t>
  </si>
  <si>
    <t>(X-X Mean)(Y-Y Mean)</t>
  </si>
  <si>
    <t>(X-X Mean)2</t>
  </si>
  <si>
    <t>Y Predicted</t>
  </si>
  <si>
    <t>(Y Predicted - Y Mean)</t>
  </si>
  <si>
    <t>(Y Predicted - Y Mean)2</t>
  </si>
  <si>
    <t>(Y - Y Mean)</t>
  </si>
  <si>
    <t>(Y - Y Mean)2</t>
  </si>
  <si>
    <t>(Y - Y Predicted)2</t>
  </si>
  <si>
    <t>X_bar or X mean</t>
  </si>
  <si>
    <t>Y_bar or Y Mean</t>
  </si>
  <si>
    <t>SSR</t>
  </si>
  <si>
    <t>SST</t>
  </si>
  <si>
    <t>SSE</t>
  </si>
  <si>
    <t>Slope</t>
  </si>
  <si>
    <t>Intercept</t>
  </si>
  <si>
    <t>R2 Score (SSR/SST)</t>
  </si>
  <si>
    <t>good fit</t>
  </si>
  <si>
    <t>RMSE</t>
  </si>
  <si>
    <t>R2 Score (1-SSE/SST)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</si>
</sst>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ptos Narrow"/>
      <scheme val="minor"/>
    </font>
    <font>
      <sz val="18.0"/>
      <color rgb="FF000000"/>
      <name val="Libre Baskerville"/>
    </font>
    <font>
      <sz val="12.0"/>
      <color theme="1"/>
      <name val="Aptos Narrow"/>
    </font>
    <font>
      <sz val="12.0"/>
      <color rgb="FFFF0000"/>
      <name val="Aptos Narrow"/>
    </font>
    <font>
      <color rgb="FFFF0000"/>
      <name val="Arial"/>
    </font>
    <font>
      <b/>
      <sz val="12.0"/>
      <color rgb="FFFF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1" vertical="center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980782547240525"/>
          <c:y val="0.2182332759323282"/>
          <c:w val="0.8776412948381452"/>
          <c:h val="0.7212580198308545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Sheet1!$B$2:$B$15</c:f>
            </c:numRef>
          </c:xVal>
          <c:yVal>
            <c:numRef>
              <c:f>Sheet1!$C$2:$C$15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934923"/>
        <c:axId val="1740812189"/>
      </c:scatterChart>
      <c:valAx>
        <c:axId val="7269349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0812189"/>
      </c:valAx>
      <c:valAx>
        <c:axId val="1740812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693492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21</xdr:row>
      <xdr:rowOff>152400</xdr:rowOff>
    </xdr:from>
    <xdr:ext cx="10953750" cy="3743325"/>
    <xdr:graphicFrame>
      <xdr:nvGraphicFramePr>
        <xdr:cNvPr id="104059307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4.22"/>
    <col customWidth="1" min="3" max="3" width="12.67"/>
    <col customWidth="1" min="4" max="5" width="10.56"/>
    <col customWidth="1" min="6" max="6" width="20.78"/>
    <col customWidth="1" min="7" max="7" width="19.78"/>
    <col customWidth="1" min="8" max="9" width="10.56"/>
    <col customWidth="1" min="10" max="10" width="22.67"/>
    <col customWidth="1" min="11" max="11" width="24.0"/>
    <col customWidth="1" min="12" max="14" width="10.56"/>
    <col customWidth="1" min="15" max="15" width="22.67"/>
    <col customWidth="1" min="1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12</v>
      </c>
    </row>
    <row r="2" ht="15.75" customHeight="1">
      <c r="A2" s="2">
        <v>1.0</v>
      </c>
      <c r="B2" s="2">
        <v>1.0</v>
      </c>
      <c r="C2" s="2">
        <v>23.0</v>
      </c>
      <c r="D2" s="3">
        <f t="shared" ref="D2:D15" si="1">B2-6.1428</f>
        <v>-5.1428</v>
      </c>
      <c r="E2" s="3">
        <f t="shared" ref="E2:E15" si="2">C2-101.071</f>
        <v>-78.071</v>
      </c>
      <c r="F2" s="3">
        <f t="shared" ref="F2:F15" si="3">D2*E2</f>
        <v>401.5035388</v>
      </c>
      <c r="G2" s="3">
        <f t="shared" ref="G2:G15" si="4">D2^2</f>
        <v>26.44839184</v>
      </c>
      <c r="I2" s="1">
        <f t="shared" ref="I2:I15" si="5">15.19*B2+7.7</f>
        <v>22.89</v>
      </c>
      <c r="J2" s="1">
        <f t="shared" ref="J2:J15" si="6">I2-101.071</f>
        <v>-78.181</v>
      </c>
      <c r="K2" s="1">
        <f t="shared" ref="K2:K15" si="7">J2^2</f>
        <v>6112.268761</v>
      </c>
      <c r="L2" s="1">
        <f t="shared" ref="L2:L15" si="8">C2-101.071</f>
        <v>-78.071</v>
      </c>
      <c r="M2" s="1">
        <f t="shared" ref="M2:M15" si="9">L2^2</f>
        <v>6095.081041</v>
      </c>
      <c r="O2" s="1">
        <f t="shared" ref="O2:O15" si="10">(C2-I2)^2</f>
        <v>0.0121</v>
      </c>
    </row>
    <row r="3" ht="15.75" customHeight="1">
      <c r="A3" s="2">
        <v>2.0</v>
      </c>
      <c r="B3" s="2">
        <v>2.0</v>
      </c>
      <c r="C3" s="2">
        <v>29.0</v>
      </c>
      <c r="D3" s="3">
        <f t="shared" si="1"/>
        <v>-4.1428</v>
      </c>
      <c r="E3" s="3">
        <f t="shared" si="2"/>
        <v>-72.071</v>
      </c>
      <c r="F3" s="3">
        <f t="shared" si="3"/>
        <v>298.5757388</v>
      </c>
      <c r="G3" s="3">
        <f t="shared" si="4"/>
        <v>17.16279184</v>
      </c>
      <c r="I3" s="1">
        <f t="shared" si="5"/>
        <v>38.08</v>
      </c>
      <c r="J3" s="1">
        <f t="shared" si="6"/>
        <v>-62.991</v>
      </c>
      <c r="K3" s="1">
        <f t="shared" si="7"/>
        <v>3967.866081</v>
      </c>
      <c r="L3" s="1">
        <f t="shared" si="8"/>
        <v>-72.071</v>
      </c>
      <c r="M3" s="1">
        <f t="shared" si="9"/>
        <v>5194.229041</v>
      </c>
      <c r="O3" s="1">
        <f t="shared" si="10"/>
        <v>82.4464</v>
      </c>
    </row>
    <row r="4" ht="15.75" customHeight="1">
      <c r="A4" s="2">
        <v>3.0</v>
      </c>
      <c r="B4" s="2">
        <v>4.0</v>
      </c>
      <c r="C4" s="2">
        <v>64.0</v>
      </c>
      <c r="D4" s="3">
        <f t="shared" si="1"/>
        <v>-2.1428</v>
      </c>
      <c r="E4" s="3">
        <f t="shared" si="2"/>
        <v>-37.071</v>
      </c>
      <c r="F4" s="3">
        <f t="shared" si="3"/>
        <v>79.4357388</v>
      </c>
      <c r="G4" s="3">
        <f t="shared" si="4"/>
        <v>4.59159184</v>
      </c>
      <c r="I4" s="1">
        <f t="shared" si="5"/>
        <v>68.46</v>
      </c>
      <c r="J4" s="1">
        <f t="shared" si="6"/>
        <v>-32.611</v>
      </c>
      <c r="K4" s="1">
        <f t="shared" si="7"/>
        <v>1063.477321</v>
      </c>
      <c r="L4" s="1">
        <f t="shared" si="8"/>
        <v>-37.071</v>
      </c>
      <c r="M4" s="1">
        <f t="shared" si="9"/>
        <v>1374.259041</v>
      </c>
      <c r="O4" s="1">
        <f t="shared" si="10"/>
        <v>19.8916</v>
      </c>
    </row>
    <row r="5" ht="15.75" customHeight="1">
      <c r="A5" s="2">
        <v>4.0</v>
      </c>
      <c r="B5" s="2">
        <v>4.0</v>
      </c>
      <c r="C5" s="2">
        <v>72.0</v>
      </c>
      <c r="D5" s="3">
        <f t="shared" si="1"/>
        <v>-2.1428</v>
      </c>
      <c r="E5" s="3">
        <f t="shared" si="2"/>
        <v>-29.071</v>
      </c>
      <c r="F5" s="3">
        <f t="shared" si="3"/>
        <v>62.2933388</v>
      </c>
      <c r="G5" s="3">
        <f t="shared" si="4"/>
        <v>4.59159184</v>
      </c>
      <c r="I5" s="1">
        <f t="shared" si="5"/>
        <v>68.46</v>
      </c>
      <c r="J5" s="1">
        <f t="shared" si="6"/>
        <v>-32.611</v>
      </c>
      <c r="K5" s="1">
        <f t="shared" si="7"/>
        <v>1063.477321</v>
      </c>
      <c r="L5" s="1">
        <f t="shared" si="8"/>
        <v>-29.071</v>
      </c>
      <c r="M5" s="1">
        <f t="shared" si="9"/>
        <v>845.123041</v>
      </c>
      <c r="O5" s="1">
        <f t="shared" si="10"/>
        <v>12.5316</v>
      </c>
    </row>
    <row r="6" ht="15.75" customHeight="1">
      <c r="A6" s="2">
        <v>5.0</v>
      </c>
      <c r="B6" s="2">
        <v>4.0</v>
      </c>
      <c r="C6" s="2">
        <v>80.0</v>
      </c>
      <c r="D6" s="3">
        <f t="shared" si="1"/>
        <v>-2.1428</v>
      </c>
      <c r="E6" s="3">
        <f t="shared" si="2"/>
        <v>-21.071</v>
      </c>
      <c r="F6" s="3">
        <f t="shared" si="3"/>
        <v>45.1509388</v>
      </c>
      <c r="G6" s="3">
        <f t="shared" si="4"/>
        <v>4.59159184</v>
      </c>
      <c r="I6" s="1">
        <f t="shared" si="5"/>
        <v>68.46</v>
      </c>
      <c r="J6" s="1">
        <f t="shared" si="6"/>
        <v>-32.611</v>
      </c>
      <c r="K6" s="1">
        <f t="shared" si="7"/>
        <v>1063.477321</v>
      </c>
      <c r="L6" s="1">
        <f t="shared" si="8"/>
        <v>-21.071</v>
      </c>
      <c r="M6" s="1">
        <f t="shared" si="9"/>
        <v>443.987041</v>
      </c>
      <c r="O6" s="1">
        <f t="shared" si="10"/>
        <v>133.1716</v>
      </c>
    </row>
    <row r="7" ht="15.75" customHeight="1">
      <c r="A7" s="2">
        <v>6.0</v>
      </c>
      <c r="B7" s="2">
        <v>5.0</v>
      </c>
      <c r="C7" s="2">
        <v>87.0</v>
      </c>
      <c r="D7" s="3">
        <f t="shared" si="1"/>
        <v>-1.1428</v>
      </c>
      <c r="E7" s="3">
        <f t="shared" si="2"/>
        <v>-14.071</v>
      </c>
      <c r="F7" s="3">
        <f t="shared" si="3"/>
        <v>16.0803388</v>
      </c>
      <c r="G7" s="3">
        <f t="shared" si="4"/>
        <v>1.30599184</v>
      </c>
      <c r="I7" s="1">
        <f t="shared" si="5"/>
        <v>83.65</v>
      </c>
      <c r="J7" s="1">
        <f t="shared" si="6"/>
        <v>-17.421</v>
      </c>
      <c r="K7" s="1">
        <f t="shared" si="7"/>
        <v>303.491241</v>
      </c>
      <c r="L7" s="1">
        <f t="shared" si="8"/>
        <v>-14.071</v>
      </c>
      <c r="M7" s="1">
        <f t="shared" si="9"/>
        <v>197.993041</v>
      </c>
      <c r="O7" s="1">
        <f t="shared" si="10"/>
        <v>11.2225</v>
      </c>
    </row>
    <row r="8" ht="15.75" customHeight="1">
      <c r="A8" s="2">
        <v>7.0</v>
      </c>
      <c r="B8" s="2">
        <v>6.0</v>
      </c>
      <c r="C8" s="2">
        <v>96.0</v>
      </c>
      <c r="D8" s="3">
        <f t="shared" si="1"/>
        <v>-0.1428</v>
      </c>
      <c r="E8" s="3">
        <f t="shared" si="2"/>
        <v>-5.071</v>
      </c>
      <c r="F8" s="3">
        <f t="shared" si="3"/>
        <v>0.7241388</v>
      </c>
      <c r="G8" s="3">
        <f t="shared" si="4"/>
        <v>0.02039184</v>
      </c>
      <c r="I8" s="1">
        <f t="shared" si="5"/>
        <v>98.84</v>
      </c>
      <c r="J8" s="1">
        <f t="shared" si="6"/>
        <v>-2.231</v>
      </c>
      <c r="K8" s="1">
        <f t="shared" si="7"/>
        <v>4.977361</v>
      </c>
      <c r="L8" s="1">
        <f t="shared" si="8"/>
        <v>-5.071</v>
      </c>
      <c r="M8" s="1">
        <f t="shared" si="9"/>
        <v>25.715041</v>
      </c>
      <c r="O8" s="1">
        <f t="shared" si="10"/>
        <v>8.0656</v>
      </c>
    </row>
    <row r="9" ht="15.75" customHeight="1">
      <c r="A9" s="2">
        <v>8.0</v>
      </c>
      <c r="B9" s="2">
        <v>6.0</v>
      </c>
      <c r="C9" s="2">
        <v>105.0</v>
      </c>
      <c r="D9" s="3">
        <f t="shared" si="1"/>
        <v>-0.1428</v>
      </c>
      <c r="E9" s="3">
        <f t="shared" si="2"/>
        <v>3.929</v>
      </c>
      <c r="F9" s="3">
        <f t="shared" si="3"/>
        <v>-0.5610612</v>
      </c>
      <c r="G9" s="3">
        <f t="shared" si="4"/>
        <v>0.02039184</v>
      </c>
      <c r="I9" s="1">
        <f t="shared" si="5"/>
        <v>98.84</v>
      </c>
      <c r="J9" s="1">
        <f t="shared" si="6"/>
        <v>-2.231</v>
      </c>
      <c r="K9" s="1">
        <f t="shared" si="7"/>
        <v>4.977361</v>
      </c>
      <c r="L9" s="1">
        <f t="shared" si="8"/>
        <v>3.929</v>
      </c>
      <c r="M9" s="1">
        <f t="shared" si="9"/>
        <v>15.437041</v>
      </c>
      <c r="O9" s="1">
        <f t="shared" si="10"/>
        <v>37.9456</v>
      </c>
    </row>
    <row r="10" ht="15.75" customHeight="1">
      <c r="A10" s="2">
        <v>9.0</v>
      </c>
      <c r="B10" s="2">
        <v>8.0</v>
      </c>
      <c r="C10" s="2">
        <v>127.0</v>
      </c>
      <c r="D10" s="3">
        <f t="shared" si="1"/>
        <v>1.8572</v>
      </c>
      <c r="E10" s="3">
        <f t="shared" si="2"/>
        <v>25.929</v>
      </c>
      <c r="F10" s="3">
        <f t="shared" si="3"/>
        <v>48.1553388</v>
      </c>
      <c r="G10" s="3">
        <f t="shared" si="4"/>
        <v>3.44919184</v>
      </c>
      <c r="I10" s="1">
        <f t="shared" si="5"/>
        <v>129.22</v>
      </c>
      <c r="J10" s="1">
        <f t="shared" si="6"/>
        <v>28.149</v>
      </c>
      <c r="K10" s="1">
        <f t="shared" si="7"/>
        <v>792.366201</v>
      </c>
      <c r="L10" s="1">
        <f t="shared" si="8"/>
        <v>25.929</v>
      </c>
      <c r="M10" s="1">
        <f t="shared" si="9"/>
        <v>672.313041</v>
      </c>
      <c r="O10" s="1">
        <f t="shared" si="10"/>
        <v>4.9284</v>
      </c>
    </row>
    <row r="11" ht="15.75" customHeight="1">
      <c r="A11" s="2">
        <v>10.0</v>
      </c>
      <c r="B11" s="2">
        <v>8.0</v>
      </c>
      <c r="C11" s="2">
        <v>119.0</v>
      </c>
      <c r="D11" s="3">
        <f t="shared" si="1"/>
        <v>1.8572</v>
      </c>
      <c r="E11" s="3">
        <f t="shared" si="2"/>
        <v>17.929</v>
      </c>
      <c r="F11" s="3">
        <f t="shared" si="3"/>
        <v>33.2977388</v>
      </c>
      <c r="G11" s="3">
        <f t="shared" si="4"/>
        <v>3.44919184</v>
      </c>
      <c r="I11" s="1">
        <f t="shared" si="5"/>
        <v>129.22</v>
      </c>
      <c r="J11" s="1">
        <f t="shared" si="6"/>
        <v>28.149</v>
      </c>
      <c r="K11" s="1">
        <f t="shared" si="7"/>
        <v>792.366201</v>
      </c>
      <c r="L11" s="1">
        <f t="shared" si="8"/>
        <v>17.929</v>
      </c>
      <c r="M11" s="1">
        <f t="shared" si="9"/>
        <v>321.449041</v>
      </c>
      <c r="O11" s="1">
        <f t="shared" si="10"/>
        <v>104.4484</v>
      </c>
    </row>
    <row r="12" ht="15.75" customHeight="1">
      <c r="A12" s="2">
        <v>11.0</v>
      </c>
      <c r="B12" s="2">
        <v>9.0</v>
      </c>
      <c r="C12" s="2">
        <v>145.0</v>
      </c>
      <c r="D12" s="3">
        <f t="shared" si="1"/>
        <v>2.8572</v>
      </c>
      <c r="E12" s="3">
        <f t="shared" si="2"/>
        <v>43.929</v>
      </c>
      <c r="F12" s="3">
        <f t="shared" si="3"/>
        <v>125.5139388</v>
      </c>
      <c r="G12" s="3">
        <f t="shared" si="4"/>
        <v>8.16359184</v>
      </c>
      <c r="I12" s="1">
        <f t="shared" si="5"/>
        <v>144.41</v>
      </c>
      <c r="J12" s="1">
        <f t="shared" si="6"/>
        <v>43.339</v>
      </c>
      <c r="K12" s="1">
        <f t="shared" si="7"/>
        <v>1878.268921</v>
      </c>
      <c r="L12" s="1">
        <f t="shared" si="8"/>
        <v>43.929</v>
      </c>
      <c r="M12" s="1">
        <f t="shared" si="9"/>
        <v>1929.757041</v>
      </c>
      <c r="O12" s="1">
        <f t="shared" si="10"/>
        <v>0.3481</v>
      </c>
    </row>
    <row r="13" ht="15.75" customHeight="1">
      <c r="A13" s="2">
        <v>12.0</v>
      </c>
      <c r="B13" s="2">
        <v>9.0</v>
      </c>
      <c r="C13" s="2">
        <v>149.0</v>
      </c>
      <c r="D13" s="3">
        <f t="shared" si="1"/>
        <v>2.8572</v>
      </c>
      <c r="E13" s="3">
        <f t="shared" si="2"/>
        <v>47.929</v>
      </c>
      <c r="F13" s="3">
        <f t="shared" si="3"/>
        <v>136.9427388</v>
      </c>
      <c r="G13" s="3">
        <f t="shared" si="4"/>
        <v>8.16359184</v>
      </c>
      <c r="I13" s="1">
        <f t="shared" si="5"/>
        <v>144.41</v>
      </c>
      <c r="J13" s="1">
        <f t="shared" si="6"/>
        <v>43.339</v>
      </c>
      <c r="K13" s="1">
        <f t="shared" si="7"/>
        <v>1878.268921</v>
      </c>
      <c r="L13" s="1">
        <f t="shared" si="8"/>
        <v>47.929</v>
      </c>
      <c r="M13" s="1">
        <f t="shared" si="9"/>
        <v>2297.189041</v>
      </c>
      <c r="O13" s="1">
        <f t="shared" si="10"/>
        <v>21.0681</v>
      </c>
    </row>
    <row r="14" ht="15.75" customHeight="1">
      <c r="A14" s="2">
        <v>13.0</v>
      </c>
      <c r="B14" s="2">
        <v>10.0</v>
      </c>
      <c r="C14" s="2">
        <v>165.0</v>
      </c>
      <c r="D14" s="3">
        <f t="shared" si="1"/>
        <v>3.8572</v>
      </c>
      <c r="E14" s="3">
        <f t="shared" si="2"/>
        <v>63.929</v>
      </c>
      <c r="F14" s="3">
        <f t="shared" si="3"/>
        <v>246.5869388</v>
      </c>
      <c r="G14" s="3">
        <f t="shared" si="4"/>
        <v>14.87799184</v>
      </c>
      <c r="I14" s="1">
        <f t="shared" si="5"/>
        <v>159.6</v>
      </c>
      <c r="J14" s="1">
        <f t="shared" si="6"/>
        <v>58.529</v>
      </c>
      <c r="K14" s="1">
        <f t="shared" si="7"/>
        <v>3425.643841</v>
      </c>
      <c r="L14" s="1">
        <f t="shared" si="8"/>
        <v>63.929</v>
      </c>
      <c r="M14" s="1">
        <f t="shared" si="9"/>
        <v>4086.917041</v>
      </c>
      <c r="O14" s="1">
        <f t="shared" si="10"/>
        <v>29.16</v>
      </c>
    </row>
    <row r="15" ht="15.75" customHeight="1">
      <c r="A15" s="2">
        <v>14.0</v>
      </c>
      <c r="B15" s="2">
        <v>10.0</v>
      </c>
      <c r="C15" s="2">
        <v>154.0</v>
      </c>
      <c r="D15" s="3">
        <f t="shared" si="1"/>
        <v>3.8572</v>
      </c>
      <c r="E15" s="3">
        <f t="shared" si="2"/>
        <v>52.929</v>
      </c>
      <c r="F15" s="3">
        <f t="shared" si="3"/>
        <v>204.1577388</v>
      </c>
      <c r="G15" s="3">
        <f t="shared" si="4"/>
        <v>14.87799184</v>
      </c>
      <c r="I15" s="1">
        <f t="shared" si="5"/>
        <v>159.6</v>
      </c>
      <c r="J15" s="1">
        <f t="shared" si="6"/>
        <v>58.529</v>
      </c>
      <c r="K15" s="1">
        <f t="shared" si="7"/>
        <v>3425.643841</v>
      </c>
      <c r="L15" s="1">
        <f t="shared" si="8"/>
        <v>52.929</v>
      </c>
      <c r="M15" s="1">
        <f t="shared" si="9"/>
        <v>2801.479041</v>
      </c>
      <c r="O15" s="1">
        <f t="shared" si="10"/>
        <v>31.36</v>
      </c>
    </row>
    <row r="16" ht="15.75" customHeight="1">
      <c r="B16" s="4">
        <f t="shared" ref="B16:C16" si="11">AVERAGE(B2:B15)</f>
        <v>6.142857143</v>
      </c>
      <c r="C16" s="4">
        <f t="shared" si="11"/>
        <v>101.0714286</v>
      </c>
      <c r="F16" s="1">
        <f t="shared" ref="F16:G16" si="12">SUM(F2:F15)</f>
        <v>1697.857143</v>
      </c>
      <c r="G16" s="1">
        <f t="shared" si="12"/>
        <v>111.7142858</v>
      </c>
      <c r="J16" s="4"/>
      <c r="K16" s="4">
        <f>SUM(K2:K15)</f>
        <v>25776.57069</v>
      </c>
      <c r="M16" s="4">
        <f>SUM(M2:M15)</f>
        <v>26300.92857</v>
      </c>
      <c r="O16" s="4">
        <f>SUM(O2:O15)</f>
        <v>496.6</v>
      </c>
    </row>
    <row r="17" ht="15.75" customHeight="1">
      <c r="B17" s="4" t="s">
        <v>13</v>
      </c>
      <c r="C17" s="4" t="s">
        <v>14</v>
      </c>
      <c r="K17" s="5" t="s">
        <v>15</v>
      </c>
      <c r="M17" s="4" t="s">
        <v>16</v>
      </c>
      <c r="O17" s="6" t="s">
        <v>17</v>
      </c>
    </row>
    <row r="18" ht="15.75" customHeight="1">
      <c r="F18" s="7" t="s">
        <v>18</v>
      </c>
      <c r="G18" s="7">
        <f>F16/G16</f>
        <v>15.19820972</v>
      </c>
    </row>
    <row r="19" ht="15.75" customHeight="1">
      <c r="F19" s="7" t="s">
        <v>19</v>
      </c>
      <c r="G19" s="7">
        <f>C16-G18*B16</f>
        <v>7.710997462</v>
      </c>
    </row>
    <row r="20" ht="15.75" customHeight="1">
      <c r="F20" s="4"/>
      <c r="G20" s="4"/>
    </row>
    <row r="21" ht="15.75" customHeight="1">
      <c r="F21" s="4" t="s">
        <v>20</v>
      </c>
      <c r="G21" s="4">
        <f>K16/M16</f>
        <v>0.9800631419</v>
      </c>
      <c r="H21" s="1" t="s">
        <v>21</v>
      </c>
    </row>
    <row r="22" ht="15.75" customHeight="1">
      <c r="F22" s="4" t="s">
        <v>22</v>
      </c>
      <c r="G22" s="4">
        <f>SQRT(O16/A15)</f>
        <v>5.9557895</v>
      </c>
      <c r="H22" s="1">
        <v>0.0</v>
      </c>
    </row>
    <row r="23" ht="15.75" customHeight="1">
      <c r="F23" s="4" t="s">
        <v>23</v>
      </c>
      <c r="G23" s="4">
        <f>(1-O16/M16)</f>
        <v>0.9811185374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2025-04-18T18:14:24Z</dcterms:created>
  <dc:creator>Vivek Kanhangad</dc:creator>
</cp:coreProperties>
</file>
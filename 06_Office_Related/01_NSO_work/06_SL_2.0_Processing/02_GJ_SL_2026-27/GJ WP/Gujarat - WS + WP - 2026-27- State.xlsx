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ujarat\Gujarat_2026-27\01 Work Programme\Revised WP 2026-27\2.0\"/>
    </mc:Choice>
  </mc:AlternateContent>
  <xr:revisionPtr revIDLastSave="0" documentId="13_ncr:1_{27FA6AC5-D5AA-412C-A819-B1E50809AEDD}" xr6:coauthVersionLast="47" xr6:coauthVersionMax="47" xr10:uidLastSave="{00000000-0000-0000-0000-000000000000}"/>
  <bookViews>
    <workbookView xWindow="-108" yWindow="-108" windowWidth="23256" windowHeight="12576" tabRatio="847" firstSheet="4" activeTab="4" xr2:uid="{00000000-000D-0000-FFFF-FFFF00000000}"/>
  </bookViews>
  <sheets>
    <sheet name="1.0SASA" sheetId="30" state="hidden" r:id="rId1"/>
    <sheet name="1.0WS" sheetId="1" state="hidden" r:id="rId2"/>
    <sheet name="1.0WP" sheetId="31" state="hidden" r:id="rId3"/>
    <sheet name="1.0WP (P)" sheetId="36" state="hidden" r:id="rId4"/>
    <sheet name="2.0SASA" sheetId="34" r:id="rId5"/>
    <sheet name="2.0WS(S)" sheetId="16" r:id="rId6"/>
    <sheet name="2.0WP" sheetId="14" r:id="rId7"/>
    <sheet name="WS Cotton 2021-22" sheetId="22" state="hidden" r:id="rId8"/>
    <sheet name="2.0WS (S-P)" sheetId="37" state="hidden" r:id="rId9"/>
  </sheets>
  <definedNames>
    <definedName name="_xlnm._FilterDatabase" localSheetId="1" hidden="1">'1.0WS'!$A$1:$M$300</definedName>
    <definedName name="_xlnm._FilterDatabase" localSheetId="8" hidden="1">'2.0WS (S-P)'!$A$4:$AY$50</definedName>
    <definedName name="_xlnm._FilterDatabase" localSheetId="5" hidden="1">'2.0WS(S)'!$A$4:$AY$50</definedName>
    <definedName name="_xlnm.Print_Area" localSheetId="1">'1.0WS'!$A$1:$K$299</definedName>
    <definedName name="_xlnm.Print_Area" localSheetId="8">'2.0WS (S-P)'!$A$1:$AQ$50</definedName>
    <definedName name="_xlnm.Print_Area" localSheetId="5">'2.0WS(S)'!$AF:$AQ</definedName>
    <definedName name="_xlnm.Print_Area" localSheetId="7">'WS Cotton 2021-22'!$A$1:$J$57</definedName>
    <definedName name="_xlnm.Print_Titles" localSheetId="1">'1.0WS'!$1:$4</definedName>
    <definedName name="_xlnm.Print_Titles" localSheetId="8">'2.0WS (S-P)'!$A:$A</definedName>
    <definedName name="_xlnm.Print_Titles" localSheetId="5">'2.0WS(S)'!$A:$A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" i="14" l="1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R9" i="14"/>
  <c r="P9" i="14"/>
  <c r="AQ21" i="16"/>
  <c r="AN32" i="16"/>
  <c r="AH16" i="16"/>
  <c r="AB37" i="16"/>
  <c r="D12" i="22"/>
  <c r="D13" i="22"/>
  <c r="D14" i="22"/>
  <c r="D15" i="22"/>
  <c r="D16" i="22"/>
  <c r="D17" i="22"/>
  <c r="D18" i="22"/>
  <c r="D35" i="22" s="1"/>
  <c r="D19" i="22"/>
  <c r="D20" i="22"/>
  <c r="D21" i="22"/>
  <c r="D22" i="22"/>
  <c r="D11" i="22"/>
  <c r="Z48" i="37"/>
  <c r="B48" i="37"/>
  <c r="AO47" i="37"/>
  <c r="AL47" i="37"/>
  <c r="AI47" i="37"/>
  <c r="AF47" i="37"/>
  <c r="AC47" i="37"/>
  <c r="Z47" i="37"/>
  <c r="W47" i="37"/>
  <c r="T47" i="37"/>
  <c r="Q47" i="37"/>
  <c r="N47" i="37"/>
  <c r="K47" i="37"/>
  <c r="H47" i="37"/>
  <c r="E47" i="37"/>
  <c r="B47" i="37"/>
  <c r="AO46" i="37"/>
  <c r="AO48" i="37" s="1"/>
  <c r="AL46" i="37"/>
  <c r="AI46" i="37"/>
  <c r="AI48" i="37" s="1"/>
  <c r="AF46" i="37"/>
  <c r="AF48" i="37" s="1"/>
  <c r="AC46" i="37"/>
  <c r="AC48" i="37" s="1"/>
  <c r="Z46" i="37"/>
  <c r="W46" i="37"/>
  <c r="W48" i="37" s="1"/>
  <c r="T46" i="37"/>
  <c r="T48" i="37" s="1"/>
  <c r="Q46" i="37"/>
  <c r="Q48" i="37" s="1"/>
  <c r="N46" i="37"/>
  <c r="K46" i="37"/>
  <c r="K48" i="37" s="1"/>
  <c r="H46" i="37"/>
  <c r="H48" i="37" s="1"/>
  <c r="E46" i="37"/>
  <c r="E48" i="37" s="1"/>
  <c r="B46" i="37"/>
  <c r="AF45" i="37"/>
  <c r="H45" i="37"/>
  <c r="AO44" i="37"/>
  <c r="AL44" i="37"/>
  <c r="AI44" i="37"/>
  <c r="AF44" i="37"/>
  <c r="AC44" i="37"/>
  <c r="Z44" i="37"/>
  <c r="W44" i="37"/>
  <c r="T44" i="37"/>
  <c r="Q44" i="37"/>
  <c r="N44" i="37"/>
  <c r="K44" i="37"/>
  <c r="H44" i="37"/>
  <c r="E44" i="37"/>
  <c r="B44" i="37"/>
  <c r="AO43" i="37"/>
  <c r="AL43" i="37"/>
  <c r="AI43" i="37"/>
  <c r="AF43" i="37"/>
  <c r="AC43" i="37"/>
  <c r="Z43" i="37"/>
  <c r="W43" i="37"/>
  <c r="T43" i="37"/>
  <c r="Q43" i="37"/>
  <c r="N43" i="37"/>
  <c r="K43" i="37"/>
  <c r="H43" i="37"/>
  <c r="E43" i="37"/>
  <c r="B43" i="37"/>
  <c r="AO42" i="37"/>
  <c r="AO45" i="37" s="1"/>
  <c r="AL42" i="37"/>
  <c r="AI42" i="37"/>
  <c r="AF42" i="37"/>
  <c r="AC42" i="37"/>
  <c r="AC45" i="37" s="1"/>
  <c r="Z42" i="37"/>
  <c r="W42" i="37"/>
  <c r="W45" i="37" s="1"/>
  <c r="T42" i="37"/>
  <c r="Q42" i="37"/>
  <c r="Q45" i="37" s="1"/>
  <c r="N42" i="37"/>
  <c r="K42" i="37"/>
  <c r="H42" i="37"/>
  <c r="E42" i="37"/>
  <c r="E45" i="37" s="1"/>
  <c r="B42" i="37"/>
  <c r="AO40" i="37"/>
  <c r="AL40" i="37"/>
  <c r="AI40" i="37"/>
  <c r="AF40" i="37"/>
  <c r="AC40" i="37"/>
  <c r="Z40" i="37"/>
  <c r="W40" i="37"/>
  <c r="T40" i="37"/>
  <c r="Q40" i="37"/>
  <c r="N40" i="37"/>
  <c r="K40" i="37"/>
  <c r="H40" i="37"/>
  <c r="E40" i="37"/>
  <c r="B40" i="37"/>
  <c r="AO39" i="37"/>
  <c r="AL39" i="37"/>
  <c r="AI39" i="37"/>
  <c r="AF39" i="37"/>
  <c r="AC39" i="37"/>
  <c r="Z39" i="37"/>
  <c r="W39" i="37"/>
  <c r="T39" i="37"/>
  <c r="Q39" i="37"/>
  <c r="N39" i="37"/>
  <c r="K39" i="37"/>
  <c r="H39" i="37"/>
  <c r="E39" i="37"/>
  <c r="B39" i="37"/>
  <c r="AO38" i="37"/>
  <c r="AL38" i="37"/>
  <c r="AI38" i="37"/>
  <c r="AF38" i="37"/>
  <c r="AC38" i="37"/>
  <c r="Z38" i="37"/>
  <c r="W38" i="37"/>
  <c r="T38" i="37"/>
  <c r="Q38" i="37"/>
  <c r="N38" i="37"/>
  <c r="K38" i="37"/>
  <c r="H38" i="37"/>
  <c r="E38" i="37"/>
  <c r="B38" i="37"/>
  <c r="AO37" i="37"/>
  <c r="AL37" i="37"/>
  <c r="AI37" i="37"/>
  <c r="AF37" i="37"/>
  <c r="AF41" i="37" s="1"/>
  <c r="AC37" i="37"/>
  <c r="Z37" i="37"/>
  <c r="W37" i="37"/>
  <c r="T37" i="37"/>
  <c r="Q37" i="37"/>
  <c r="N37" i="37"/>
  <c r="K37" i="37"/>
  <c r="H37" i="37"/>
  <c r="H41" i="37" s="1"/>
  <c r="E37" i="37"/>
  <c r="B37" i="37"/>
  <c r="AO36" i="37"/>
  <c r="AL36" i="37"/>
  <c r="AI36" i="37"/>
  <c r="AF36" i="37"/>
  <c r="AC36" i="37"/>
  <c r="Z36" i="37"/>
  <c r="W36" i="37"/>
  <c r="T36" i="37"/>
  <c r="Q36" i="37"/>
  <c r="N36" i="37"/>
  <c r="K36" i="37"/>
  <c r="H36" i="37"/>
  <c r="E36" i="37"/>
  <c r="B36" i="37"/>
  <c r="AO35" i="37"/>
  <c r="AL35" i="37"/>
  <c r="AI35" i="37"/>
  <c r="AF35" i="37"/>
  <c r="AC35" i="37"/>
  <c r="Z35" i="37"/>
  <c r="W35" i="37"/>
  <c r="T35" i="37"/>
  <c r="Q35" i="37"/>
  <c r="N35" i="37"/>
  <c r="K35" i="37"/>
  <c r="H35" i="37"/>
  <c r="E35" i="37"/>
  <c r="B35" i="37"/>
  <c r="AO34" i="37"/>
  <c r="AO41" i="37" s="1"/>
  <c r="AL34" i="37"/>
  <c r="AI34" i="37"/>
  <c r="AI41" i="37" s="1"/>
  <c r="AF34" i="37"/>
  <c r="AC34" i="37"/>
  <c r="AC41" i="37" s="1"/>
  <c r="Z34" i="37"/>
  <c r="W34" i="37"/>
  <c r="W41" i="37" s="1"/>
  <c r="T34" i="37"/>
  <c r="Q34" i="37"/>
  <c r="Q41" i="37" s="1"/>
  <c r="N34" i="37"/>
  <c r="K34" i="37"/>
  <c r="K41" i="37" s="1"/>
  <c r="H34" i="37"/>
  <c r="E34" i="37"/>
  <c r="E41" i="37" s="1"/>
  <c r="B34" i="37"/>
  <c r="AO32" i="37"/>
  <c r="AL32" i="37"/>
  <c r="AI32" i="37"/>
  <c r="AF32" i="37"/>
  <c r="AC32" i="37"/>
  <c r="Z32" i="37"/>
  <c r="W32" i="37"/>
  <c r="T32" i="37"/>
  <c r="Q32" i="37"/>
  <c r="N32" i="37"/>
  <c r="K32" i="37"/>
  <c r="H32" i="37"/>
  <c r="E32" i="37"/>
  <c r="B32" i="37"/>
  <c r="AO31" i="37"/>
  <c r="AL31" i="37"/>
  <c r="AI31" i="37"/>
  <c r="AF31" i="37"/>
  <c r="AC31" i="37"/>
  <c r="Z31" i="37"/>
  <c r="W31" i="37"/>
  <c r="T31" i="37"/>
  <c r="Q31" i="37"/>
  <c r="N31" i="37"/>
  <c r="K31" i="37"/>
  <c r="H31" i="37"/>
  <c r="E31" i="37"/>
  <c r="B31" i="37"/>
  <c r="AO30" i="37"/>
  <c r="AL30" i="37"/>
  <c r="AI30" i="37"/>
  <c r="AF30" i="37"/>
  <c r="AC30" i="37"/>
  <c r="Z30" i="37"/>
  <c r="W30" i="37"/>
  <c r="T30" i="37"/>
  <c r="Q30" i="37"/>
  <c r="N30" i="37"/>
  <c r="K30" i="37"/>
  <c r="H30" i="37"/>
  <c r="E30" i="37"/>
  <c r="B30" i="37"/>
  <c r="AO29" i="37"/>
  <c r="AL29" i="37"/>
  <c r="AL33" i="37" s="1"/>
  <c r="AI29" i="37"/>
  <c r="AI33" i="37" s="1"/>
  <c r="AF29" i="37"/>
  <c r="AC29" i="37"/>
  <c r="AC33" i="37" s="1"/>
  <c r="Z29" i="37"/>
  <c r="W29" i="37"/>
  <c r="T29" i="37"/>
  <c r="Q29" i="37"/>
  <c r="Q33" i="37" s="1"/>
  <c r="N29" i="37"/>
  <c r="K29" i="37"/>
  <c r="H29" i="37"/>
  <c r="E29" i="37"/>
  <c r="E33" i="37" s="1"/>
  <c r="B29" i="37"/>
  <c r="AO28" i="37"/>
  <c r="AL28" i="37"/>
  <c r="Q28" i="37"/>
  <c r="Q49" i="37" s="1"/>
  <c r="N28" i="37"/>
  <c r="AO27" i="37"/>
  <c r="AL27" i="37"/>
  <c r="AI27" i="37"/>
  <c r="AF27" i="37"/>
  <c r="AC27" i="37"/>
  <c r="Z27" i="37"/>
  <c r="W27" i="37"/>
  <c r="T27" i="37"/>
  <c r="Q27" i="37"/>
  <c r="N27" i="37"/>
  <c r="K27" i="37"/>
  <c r="H27" i="37"/>
  <c r="E27" i="37"/>
  <c r="B27" i="37"/>
  <c r="AO26" i="37"/>
  <c r="AL26" i="37"/>
  <c r="AI26" i="37"/>
  <c r="AI28" i="37" s="1"/>
  <c r="AF26" i="37"/>
  <c r="AC26" i="37"/>
  <c r="Z26" i="37"/>
  <c r="W26" i="37"/>
  <c r="T26" i="37"/>
  <c r="Q26" i="37"/>
  <c r="N26" i="37"/>
  <c r="K26" i="37"/>
  <c r="K28" i="37" s="1"/>
  <c r="H26" i="37"/>
  <c r="E26" i="37"/>
  <c r="B26" i="37"/>
  <c r="AO25" i="37"/>
  <c r="AL25" i="37"/>
  <c r="AI25" i="37"/>
  <c r="AF25" i="37"/>
  <c r="AC25" i="37"/>
  <c r="AC28" i="37" s="1"/>
  <c r="AC49" i="37" s="1"/>
  <c r="Z25" i="37"/>
  <c r="W25" i="37"/>
  <c r="T25" i="37"/>
  <c r="Q25" i="37"/>
  <c r="N25" i="37"/>
  <c r="K25" i="37"/>
  <c r="H25" i="37"/>
  <c r="E25" i="37"/>
  <c r="E28" i="37" s="1"/>
  <c r="E49" i="37" s="1"/>
  <c r="B25" i="37"/>
  <c r="AI23" i="37"/>
  <c r="K23" i="37"/>
  <c r="H23" i="37"/>
  <c r="AO22" i="37"/>
  <c r="AL22" i="37"/>
  <c r="AI22" i="37"/>
  <c r="AF22" i="37"/>
  <c r="AC22" i="37"/>
  <c r="Z22" i="37"/>
  <c r="W22" i="37"/>
  <c r="T22" i="37"/>
  <c r="Q22" i="37"/>
  <c r="N22" i="37"/>
  <c r="K22" i="37"/>
  <c r="H22" i="37"/>
  <c r="E22" i="37"/>
  <c r="B22" i="37"/>
  <c r="AO21" i="37"/>
  <c r="AL21" i="37"/>
  <c r="AI21" i="37"/>
  <c r="AF21" i="37"/>
  <c r="AC21" i="37"/>
  <c r="Z21" i="37"/>
  <c r="W21" i="37"/>
  <c r="T21" i="37"/>
  <c r="T23" i="37" s="1"/>
  <c r="Q21" i="37"/>
  <c r="N21" i="37"/>
  <c r="K21" i="37"/>
  <c r="H21" i="37"/>
  <c r="E21" i="37"/>
  <c r="B21" i="37"/>
  <c r="AO20" i="37"/>
  <c r="AO23" i="37" s="1"/>
  <c r="AL20" i="37"/>
  <c r="AI20" i="37"/>
  <c r="AF20" i="37"/>
  <c r="AC20" i="37"/>
  <c r="AC23" i="37" s="1"/>
  <c r="Z20" i="37"/>
  <c r="W20" i="37"/>
  <c r="W23" i="37" s="1"/>
  <c r="T20" i="37"/>
  <c r="Q20" i="37"/>
  <c r="Q23" i="37" s="1"/>
  <c r="N20" i="37"/>
  <c r="K20" i="37"/>
  <c r="H20" i="37"/>
  <c r="E20" i="37"/>
  <c r="E23" i="37" s="1"/>
  <c r="B20" i="37"/>
  <c r="AF19" i="37"/>
  <c r="H19" i="37"/>
  <c r="AO18" i="37"/>
  <c r="AL18" i="37"/>
  <c r="AI18" i="37"/>
  <c r="AF18" i="37"/>
  <c r="AC18" i="37"/>
  <c r="Z18" i="37"/>
  <c r="W18" i="37"/>
  <c r="T18" i="37"/>
  <c r="Q18" i="37"/>
  <c r="N18" i="37"/>
  <c r="K18" i="37"/>
  <c r="H18" i="37"/>
  <c r="E18" i="37"/>
  <c r="B18" i="37"/>
  <c r="AO17" i="37"/>
  <c r="AL17" i="37"/>
  <c r="AI17" i="37"/>
  <c r="AF17" i="37"/>
  <c r="AC17" i="37"/>
  <c r="Z17" i="37"/>
  <c r="W17" i="37"/>
  <c r="T17" i="37"/>
  <c r="Q17" i="37"/>
  <c r="N17" i="37"/>
  <c r="K17" i="37"/>
  <c r="H17" i="37"/>
  <c r="E17" i="37"/>
  <c r="B17" i="37"/>
  <c r="AO16" i="37"/>
  <c r="AO19" i="37" s="1"/>
  <c r="AL16" i="37"/>
  <c r="AL19" i="37" s="1"/>
  <c r="AI16" i="37"/>
  <c r="AI19" i="37" s="1"/>
  <c r="AF16" i="37"/>
  <c r="AC16" i="37"/>
  <c r="Z16" i="37"/>
  <c r="Z19" i="37" s="1"/>
  <c r="W16" i="37"/>
  <c r="T16" i="37"/>
  <c r="T19" i="37" s="1"/>
  <c r="Q16" i="37"/>
  <c r="Q19" i="37" s="1"/>
  <c r="N16" i="37"/>
  <c r="N19" i="37" s="1"/>
  <c r="K16" i="37"/>
  <c r="K19" i="37" s="1"/>
  <c r="H16" i="37"/>
  <c r="E16" i="37"/>
  <c r="B16" i="37"/>
  <c r="AO14" i="37"/>
  <c r="AL14" i="37"/>
  <c r="AI14" i="37"/>
  <c r="AF14" i="37"/>
  <c r="AC14" i="37"/>
  <c r="Z14" i="37"/>
  <c r="W14" i="37"/>
  <c r="T14" i="37"/>
  <c r="Q14" i="37"/>
  <c r="N14" i="37"/>
  <c r="K14" i="37"/>
  <c r="H14" i="37"/>
  <c r="E14" i="37"/>
  <c r="B14" i="37"/>
  <c r="AO13" i="37"/>
  <c r="AL13" i="37"/>
  <c r="AI13" i="37"/>
  <c r="AF13" i="37"/>
  <c r="AC13" i="37"/>
  <c r="Z13" i="37"/>
  <c r="W13" i="37"/>
  <c r="T13" i="37"/>
  <c r="Q13" i="37"/>
  <c r="N13" i="37"/>
  <c r="K13" i="37"/>
  <c r="H13" i="37"/>
  <c r="E13" i="37"/>
  <c r="B13" i="37"/>
  <c r="AO12" i="37"/>
  <c r="AL12" i="37"/>
  <c r="AI12" i="37"/>
  <c r="AF12" i="37"/>
  <c r="AC12" i="37"/>
  <c r="Z12" i="37"/>
  <c r="W12" i="37"/>
  <c r="T12" i="37"/>
  <c r="Q12" i="37"/>
  <c r="N12" i="37"/>
  <c r="K12" i="37"/>
  <c r="H12" i="37"/>
  <c r="E12" i="37"/>
  <c r="B12" i="37"/>
  <c r="AO11" i="37"/>
  <c r="AL11" i="37"/>
  <c r="AL15" i="37" s="1"/>
  <c r="AI11" i="37"/>
  <c r="AI15" i="37" s="1"/>
  <c r="AF11" i="37"/>
  <c r="AC11" i="37"/>
  <c r="AC15" i="37" s="1"/>
  <c r="Z11" i="37"/>
  <c r="W11" i="37"/>
  <c r="W15" i="37" s="1"/>
  <c r="T11" i="37"/>
  <c r="Q11" i="37"/>
  <c r="N11" i="37"/>
  <c r="N15" i="37" s="1"/>
  <c r="K11" i="37"/>
  <c r="K15" i="37" s="1"/>
  <c r="H11" i="37"/>
  <c r="E11" i="37"/>
  <c r="E15" i="37" s="1"/>
  <c r="B11" i="37"/>
  <c r="AI10" i="37"/>
  <c r="K10" i="37"/>
  <c r="AO9" i="37"/>
  <c r="AL9" i="37"/>
  <c r="AI9" i="37"/>
  <c r="AF9" i="37"/>
  <c r="AC9" i="37"/>
  <c r="Z9" i="37"/>
  <c r="W9" i="37"/>
  <c r="T9" i="37"/>
  <c r="Q9" i="37"/>
  <c r="N9" i="37"/>
  <c r="K9" i="37"/>
  <c r="H9" i="37"/>
  <c r="E9" i="37"/>
  <c r="B9" i="37"/>
  <c r="AO8" i="37"/>
  <c r="AO10" i="37" s="1"/>
  <c r="AL8" i="37"/>
  <c r="AL10" i="37" s="1"/>
  <c r="AI8" i="37"/>
  <c r="AF8" i="37"/>
  <c r="AC8" i="37"/>
  <c r="AC10" i="37" s="1"/>
  <c r="Z8" i="37"/>
  <c r="W8" i="37"/>
  <c r="W10" i="37" s="1"/>
  <c r="T8" i="37"/>
  <c r="T10" i="37" s="1"/>
  <c r="Q8" i="37"/>
  <c r="Q10" i="37" s="1"/>
  <c r="N8" i="37"/>
  <c r="N10" i="37" s="1"/>
  <c r="K8" i="37"/>
  <c r="H8" i="37"/>
  <c r="E8" i="37"/>
  <c r="E10" i="37" s="1"/>
  <c r="B8" i="37"/>
  <c r="AO6" i="37"/>
  <c r="AL6" i="37"/>
  <c r="AI6" i="37"/>
  <c r="AF6" i="37"/>
  <c r="AC6" i="37"/>
  <c r="Z6" i="37"/>
  <c r="W6" i="37"/>
  <c r="T6" i="37"/>
  <c r="Q6" i="37"/>
  <c r="N6" i="37"/>
  <c r="K6" i="37"/>
  <c r="H6" i="37"/>
  <c r="E6" i="37"/>
  <c r="B6" i="37"/>
  <c r="AO5" i="37"/>
  <c r="AO7" i="37" s="1"/>
  <c r="AL5" i="37"/>
  <c r="AI5" i="37"/>
  <c r="AI7" i="37" s="1"/>
  <c r="AI24" i="37" s="1"/>
  <c r="AF5" i="37"/>
  <c r="AC5" i="37"/>
  <c r="AC7" i="37" s="1"/>
  <c r="Z5" i="37"/>
  <c r="Z7" i="37" s="1"/>
  <c r="W5" i="37"/>
  <c r="W7" i="37" s="1"/>
  <c r="T5" i="37"/>
  <c r="T7" i="37" s="1"/>
  <c r="Q5" i="37"/>
  <c r="Q7" i="37" s="1"/>
  <c r="N5" i="37"/>
  <c r="K5" i="37"/>
  <c r="K7" i="37" s="1"/>
  <c r="K24" i="37" s="1"/>
  <c r="H5" i="37"/>
  <c r="E5" i="37"/>
  <c r="E7" i="37" s="1"/>
  <c r="B5" i="37"/>
  <c r="B7" i="37" s="1"/>
  <c r="A1" i="37"/>
  <c r="AO47" i="16"/>
  <c r="AL47" i="16"/>
  <c r="AI47" i="16"/>
  <c r="AF47" i="16"/>
  <c r="AC47" i="16"/>
  <c r="Z47" i="16"/>
  <c r="W47" i="16"/>
  <c r="T47" i="16"/>
  <c r="Q47" i="16"/>
  <c r="N47" i="16"/>
  <c r="K47" i="16"/>
  <c r="H47" i="16"/>
  <c r="E47" i="16"/>
  <c r="B47" i="16"/>
  <c r="AO46" i="16"/>
  <c r="AL46" i="16"/>
  <c r="AI46" i="16"/>
  <c r="AF46" i="16"/>
  <c r="AC46" i="16"/>
  <c r="Z46" i="16"/>
  <c r="W46" i="16"/>
  <c r="T46" i="16"/>
  <c r="Q46" i="16"/>
  <c r="N46" i="16"/>
  <c r="K46" i="16"/>
  <c r="H46" i="16"/>
  <c r="E46" i="16"/>
  <c r="B46" i="16"/>
  <c r="AO44" i="16"/>
  <c r="AL44" i="16"/>
  <c r="AI44" i="16"/>
  <c r="AF44" i="16"/>
  <c r="AC44" i="16"/>
  <c r="Z44" i="16"/>
  <c r="W44" i="16"/>
  <c r="T44" i="16"/>
  <c r="Q44" i="16"/>
  <c r="N44" i="16"/>
  <c r="K44" i="16"/>
  <c r="H44" i="16"/>
  <c r="E44" i="16"/>
  <c r="B44" i="16"/>
  <c r="AO43" i="16"/>
  <c r="AL43" i="16"/>
  <c r="AI43" i="16"/>
  <c r="AI45" i="16" s="1"/>
  <c r="AF43" i="16"/>
  <c r="AC43" i="16"/>
  <c r="Z43" i="16"/>
  <c r="W43" i="16"/>
  <c r="T43" i="16"/>
  <c r="Q43" i="16"/>
  <c r="N43" i="16"/>
  <c r="K43" i="16"/>
  <c r="H43" i="16"/>
  <c r="E43" i="16"/>
  <c r="B43" i="16"/>
  <c r="AO42" i="16"/>
  <c r="AL42" i="16"/>
  <c r="AI42" i="16"/>
  <c r="AF42" i="16"/>
  <c r="AC42" i="16"/>
  <c r="Z42" i="16"/>
  <c r="W42" i="16"/>
  <c r="T42" i="16"/>
  <c r="Q42" i="16"/>
  <c r="N42" i="16"/>
  <c r="K42" i="16"/>
  <c r="H42" i="16"/>
  <c r="E42" i="16"/>
  <c r="B42" i="16"/>
  <c r="AO40" i="16"/>
  <c r="AL40" i="16"/>
  <c r="AI40" i="16"/>
  <c r="AF40" i="16"/>
  <c r="AC40" i="16"/>
  <c r="Z40" i="16"/>
  <c r="W40" i="16"/>
  <c r="T40" i="16"/>
  <c r="Q40" i="16"/>
  <c r="N40" i="16"/>
  <c r="K40" i="16"/>
  <c r="H40" i="16"/>
  <c r="E40" i="16"/>
  <c r="B40" i="16"/>
  <c r="AO39" i="16"/>
  <c r="AL39" i="16"/>
  <c r="AI39" i="16"/>
  <c r="AF39" i="16"/>
  <c r="AC39" i="16"/>
  <c r="Z39" i="16"/>
  <c r="W39" i="16"/>
  <c r="T39" i="16"/>
  <c r="Q39" i="16"/>
  <c r="N39" i="16"/>
  <c r="K39" i="16"/>
  <c r="H39" i="16"/>
  <c r="E39" i="16"/>
  <c r="B39" i="16"/>
  <c r="AO38" i="16"/>
  <c r="AL38" i="16"/>
  <c r="AI38" i="16"/>
  <c r="AF38" i="16"/>
  <c r="AC38" i="16"/>
  <c r="Z38" i="16"/>
  <c r="W38" i="16"/>
  <c r="T38" i="16"/>
  <c r="Q38" i="16"/>
  <c r="N38" i="16"/>
  <c r="K38" i="16"/>
  <c r="H38" i="16"/>
  <c r="E38" i="16"/>
  <c r="B38" i="16"/>
  <c r="AO37" i="16"/>
  <c r="AL37" i="16"/>
  <c r="AI37" i="16"/>
  <c r="AF37" i="16"/>
  <c r="AC37" i="16"/>
  <c r="Z37" i="16"/>
  <c r="W37" i="16"/>
  <c r="T37" i="16"/>
  <c r="Q37" i="16"/>
  <c r="N37" i="16"/>
  <c r="K37" i="16"/>
  <c r="H37" i="16"/>
  <c r="E37" i="16"/>
  <c r="B37" i="16"/>
  <c r="AO36" i="16"/>
  <c r="AL36" i="16"/>
  <c r="AI36" i="16"/>
  <c r="AF36" i="16"/>
  <c r="AC36" i="16"/>
  <c r="Z36" i="16"/>
  <c r="W36" i="16"/>
  <c r="T36" i="16"/>
  <c r="Q36" i="16"/>
  <c r="N36" i="16"/>
  <c r="K36" i="16"/>
  <c r="H36" i="16"/>
  <c r="E36" i="16"/>
  <c r="B36" i="16"/>
  <c r="AO35" i="16"/>
  <c r="AL35" i="16"/>
  <c r="AI35" i="16"/>
  <c r="AF35" i="16"/>
  <c r="AC35" i="16"/>
  <c r="Z35" i="16"/>
  <c r="W35" i="16"/>
  <c r="T35" i="16"/>
  <c r="Q35" i="16"/>
  <c r="N35" i="16"/>
  <c r="K35" i="16"/>
  <c r="H35" i="16"/>
  <c r="E35" i="16"/>
  <c r="B35" i="16"/>
  <c r="AO34" i="16"/>
  <c r="AL34" i="16"/>
  <c r="AI34" i="16"/>
  <c r="AF34" i="16"/>
  <c r="AC34" i="16"/>
  <c r="Z34" i="16"/>
  <c r="W34" i="16"/>
  <c r="T34" i="16"/>
  <c r="Q34" i="16"/>
  <c r="N34" i="16"/>
  <c r="K34" i="16"/>
  <c r="H34" i="16"/>
  <c r="E34" i="16"/>
  <c r="B34" i="16"/>
  <c r="AO32" i="16"/>
  <c r="AL32" i="16"/>
  <c r="AI32" i="16"/>
  <c r="AF32" i="16"/>
  <c r="AC32" i="16"/>
  <c r="Z32" i="16"/>
  <c r="W32" i="16"/>
  <c r="T32" i="16"/>
  <c r="Q32" i="16"/>
  <c r="N32" i="16"/>
  <c r="K32" i="16"/>
  <c r="H32" i="16"/>
  <c r="E32" i="16"/>
  <c r="B32" i="16"/>
  <c r="AO31" i="16"/>
  <c r="AL31" i="16"/>
  <c r="AI31" i="16"/>
  <c r="AF31" i="16"/>
  <c r="AC31" i="16"/>
  <c r="Z31" i="16"/>
  <c r="W31" i="16"/>
  <c r="T31" i="16"/>
  <c r="Q31" i="16"/>
  <c r="N31" i="16"/>
  <c r="K31" i="16"/>
  <c r="H31" i="16"/>
  <c r="E31" i="16"/>
  <c r="B31" i="16"/>
  <c r="AO30" i="16"/>
  <c r="AL30" i="16"/>
  <c r="AI30" i="16"/>
  <c r="AF30" i="16"/>
  <c r="AC30" i="16"/>
  <c r="Z30" i="16"/>
  <c r="W30" i="16"/>
  <c r="T30" i="16"/>
  <c r="Q30" i="16"/>
  <c r="N30" i="16"/>
  <c r="K30" i="16"/>
  <c r="H30" i="16"/>
  <c r="E30" i="16"/>
  <c r="B30" i="16"/>
  <c r="AO29" i="16"/>
  <c r="AL29" i="16"/>
  <c r="AI29" i="16"/>
  <c r="AF29" i="16"/>
  <c r="AC29" i="16"/>
  <c r="Z29" i="16"/>
  <c r="W29" i="16"/>
  <c r="T29" i="16"/>
  <c r="Q29" i="16"/>
  <c r="N29" i="16"/>
  <c r="K29" i="16"/>
  <c r="H29" i="16"/>
  <c r="E29" i="16"/>
  <c r="B29" i="16"/>
  <c r="AO27" i="16"/>
  <c r="AL27" i="16"/>
  <c r="AI27" i="16"/>
  <c r="AF27" i="16"/>
  <c r="AC27" i="16"/>
  <c r="Z27" i="16"/>
  <c r="W27" i="16"/>
  <c r="T27" i="16"/>
  <c r="Q27" i="16"/>
  <c r="N27" i="16"/>
  <c r="K27" i="16"/>
  <c r="H27" i="16"/>
  <c r="E27" i="16"/>
  <c r="B27" i="16"/>
  <c r="AO26" i="16"/>
  <c r="AL26" i="16"/>
  <c r="AI26" i="16"/>
  <c r="AF26" i="16"/>
  <c r="AC26" i="16"/>
  <c r="Z26" i="16"/>
  <c r="W26" i="16"/>
  <c r="T26" i="16"/>
  <c r="Q26" i="16"/>
  <c r="N26" i="16"/>
  <c r="K26" i="16"/>
  <c r="H26" i="16"/>
  <c r="E26" i="16"/>
  <c r="B26" i="16"/>
  <c r="AO25" i="16"/>
  <c r="AL25" i="16"/>
  <c r="AI25" i="16"/>
  <c r="AF25" i="16"/>
  <c r="AC25" i="16"/>
  <c r="Z25" i="16"/>
  <c r="W25" i="16"/>
  <c r="T25" i="16"/>
  <c r="Q25" i="16"/>
  <c r="N25" i="16"/>
  <c r="K25" i="16"/>
  <c r="H25" i="16"/>
  <c r="E25" i="16"/>
  <c r="B25" i="16"/>
  <c r="AO22" i="16"/>
  <c r="AL22" i="16"/>
  <c r="AI22" i="16"/>
  <c r="AF22" i="16"/>
  <c r="AC22" i="16"/>
  <c r="Z22" i="16"/>
  <c r="W22" i="16"/>
  <c r="T22" i="16"/>
  <c r="Q22" i="16"/>
  <c r="N22" i="16"/>
  <c r="K22" i="16"/>
  <c r="H22" i="16"/>
  <c r="E22" i="16"/>
  <c r="B22" i="16"/>
  <c r="AO21" i="16"/>
  <c r="AL21" i="16"/>
  <c r="AI21" i="16"/>
  <c r="AF21" i="16"/>
  <c r="AC21" i="16"/>
  <c r="Z21" i="16"/>
  <c r="W21" i="16"/>
  <c r="T21" i="16"/>
  <c r="Q21" i="16"/>
  <c r="N21" i="16"/>
  <c r="K21" i="16"/>
  <c r="K23" i="16" s="1"/>
  <c r="H21" i="16"/>
  <c r="E21" i="16"/>
  <c r="B21" i="16"/>
  <c r="AO20" i="16"/>
  <c r="AL20" i="16"/>
  <c r="AI20" i="16"/>
  <c r="AF20" i="16"/>
  <c r="AC20" i="16"/>
  <c r="Z20" i="16"/>
  <c r="W20" i="16"/>
  <c r="T20" i="16"/>
  <c r="Q20" i="16"/>
  <c r="N20" i="16"/>
  <c r="K20" i="16"/>
  <c r="H20" i="16"/>
  <c r="E20" i="16"/>
  <c r="B20" i="16"/>
  <c r="AO18" i="16"/>
  <c r="AL18" i="16"/>
  <c r="AI18" i="16"/>
  <c r="AF18" i="16"/>
  <c r="AC18" i="16"/>
  <c r="Z18" i="16"/>
  <c r="W18" i="16"/>
  <c r="T18" i="16"/>
  <c r="Q18" i="16"/>
  <c r="N18" i="16"/>
  <c r="K18" i="16"/>
  <c r="H18" i="16"/>
  <c r="E18" i="16"/>
  <c r="B18" i="16"/>
  <c r="AO17" i="16"/>
  <c r="AL17" i="16"/>
  <c r="AI17" i="16"/>
  <c r="AF17" i="16"/>
  <c r="AC17" i="16"/>
  <c r="Z17" i="16"/>
  <c r="W17" i="16"/>
  <c r="T17" i="16"/>
  <c r="Q17" i="16"/>
  <c r="N17" i="16"/>
  <c r="K17" i="16"/>
  <c r="K19" i="16" s="1"/>
  <c r="H17" i="16"/>
  <c r="E17" i="16"/>
  <c r="B17" i="16"/>
  <c r="AO16" i="16"/>
  <c r="AL16" i="16"/>
  <c r="AI16" i="16"/>
  <c r="AF16" i="16"/>
  <c r="AC16" i="16"/>
  <c r="Z16" i="16"/>
  <c r="W16" i="16"/>
  <c r="T16" i="16"/>
  <c r="Q16" i="16"/>
  <c r="N16" i="16"/>
  <c r="K16" i="16"/>
  <c r="H16" i="16"/>
  <c r="E16" i="16"/>
  <c r="B16" i="16"/>
  <c r="AO14" i="16"/>
  <c r="AL14" i="16"/>
  <c r="AI14" i="16"/>
  <c r="AI15" i="16" s="1"/>
  <c r="AF14" i="16"/>
  <c r="AC14" i="16"/>
  <c r="Z14" i="16"/>
  <c r="W14" i="16"/>
  <c r="T14" i="16"/>
  <c r="T15" i="16" s="1"/>
  <c r="Q14" i="16"/>
  <c r="N14" i="16"/>
  <c r="K14" i="16"/>
  <c r="H14" i="16"/>
  <c r="E14" i="16"/>
  <c r="B14" i="16"/>
  <c r="AO13" i="16"/>
  <c r="AL13" i="16"/>
  <c r="AI13" i="16"/>
  <c r="AF13" i="16"/>
  <c r="AC13" i="16"/>
  <c r="Z13" i="16"/>
  <c r="W13" i="16"/>
  <c r="T13" i="16"/>
  <c r="Q13" i="16"/>
  <c r="N13" i="16"/>
  <c r="K13" i="16"/>
  <c r="H13" i="16"/>
  <c r="E13" i="16"/>
  <c r="B13" i="16"/>
  <c r="AO12" i="16"/>
  <c r="AL12" i="16"/>
  <c r="AI12" i="16"/>
  <c r="AF12" i="16"/>
  <c r="AF15" i="16" s="1"/>
  <c r="AC12" i="16"/>
  <c r="Z12" i="16"/>
  <c r="W12" i="16"/>
  <c r="T12" i="16"/>
  <c r="Q12" i="16"/>
  <c r="N12" i="16"/>
  <c r="K12" i="16"/>
  <c r="H12" i="16"/>
  <c r="E12" i="16"/>
  <c r="B12" i="16"/>
  <c r="AO11" i="16"/>
  <c r="AL11" i="16"/>
  <c r="AI11" i="16"/>
  <c r="AF11" i="16"/>
  <c r="AC11" i="16"/>
  <c r="Z11" i="16"/>
  <c r="Z15" i="16" s="1"/>
  <c r="W11" i="16"/>
  <c r="T11" i="16"/>
  <c r="Q11" i="16"/>
  <c r="N11" i="16"/>
  <c r="K11" i="16"/>
  <c r="H11" i="16"/>
  <c r="E11" i="16"/>
  <c r="B11" i="16"/>
  <c r="B15" i="16" s="1"/>
  <c r="AO9" i="16"/>
  <c r="AL9" i="16"/>
  <c r="AI9" i="16"/>
  <c r="AF9" i="16"/>
  <c r="AC9" i="16"/>
  <c r="Z9" i="16"/>
  <c r="W9" i="16"/>
  <c r="T9" i="16"/>
  <c r="Q9" i="16"/>
  <c r="N9" i="16"/>
  <c r="K9" i="16"/>
  <c r="H9" i="16"/>
  <c r="E9" i="16"/>
  <c r="B9" i="16"/>
  <c r="AO8" i="16"/>
  <c r="AL8" i="16"/>
  <c r="AI8" i="16"/>
  <c r="AF8" i="16"/>
  <c r="AC8" i="16"/>
  <c r="Z8" i="16"/>
  <c r="W8" i="16"/>
  <c r="T8" i="16"/>
  <c r="Q8" i="16"/>
  <c r="N8" i="16"/>
  <c r="N10" i="16" s="1"/>
  <c r="K8" i="16"/>
  <c r="H8" i="16"/>
  <c r="E8" i="16"/>
  <c r="B8" i="16"/>
  <c r="AO6" i="16"/>
  <c r="AL6" i="16"/>
  <c r="AI6" i="16"/>
  <c r="AF6" i="16"/>
  <c r="AC6" i="16"/>
  <c r="Z6" i="16"/>
  <c r="W6" i="16"/>
  <c r="T6" i="16"/>
  <c r="Q6" i="16"/>
  <c r="N6" i="16"/>
  <c r="K6" i="16"/>
  <c r="H6" i="16"/>
  <c r="E6" i="16"/>
  <c r="B6" i="16"/>
  <c r="E48" i="16"/>
  <c r="H48" i="16"/>
  <c r="K48" i="16"/>
  <c r="N48" i="16"/>
  <c r="Q48" i="16"/>
  <c r="T48" i="16"/>
  <c r="W48" i="16"/>
  <c r="Z48" i="16"/>
  <c r="AC48" i="16"/>
  <c r="AF48" i="16"/>
  <c r="AI48" i="16"/>
  <c r="AL48" i="16"/>
  <c r="AO48" i="16"/>
  <c r="E45" i="16"/>
  <c r="H45" i="16"/>
  <c r="K45" i="16"/>
  <c r="N45" i="16"/>
  <c r="Q45" i="16"/>
  <c r="T45" i="16"/>
  <c r="W45" i="16"/>
  <c r="Z45" i="16"/>
  <c r="AC45" i="16"/>
  <c r="AF45" i="16"/>
  <c r="AL45" i="16"/>
  <c r="AO45" i="16"/>
  <c r="E41" i="16"/>
  <c r="H41" i="16"/>
  <c r="N41" i="16"/>
  <c r="T41" i="16"/>
  <c r="Z41" i="16"/>
  <c r="AC41" i="16"/>
  <c r="AF41" i="16"/>
  <c r="AI41" i="16"/>
  <c r="AL41" i="16"/>
  <c r="AO41" i="16"/>
  <c r="E33" i="16"/>
  <c r="E49" i="16" s="1"/>
  <c r="H33" i="16"/>
  <c r="K33" i="16"/>
  <c r="N33" i="16"/>
  <c r="Q33" i="16"/>
  <c r="T33" i="16"/>
  <c r="W33" i="16"/>
  <c r="Z33" i="16"/>
  <c r="AC33" i="16"/>
  <c r="AF33" i="16"/>
  <c r="AI33" i="16"/>
  <c r="AL33" i="16"/>
  <c r="E28" i="16"/>
  <c r="H28" i="16"/>
  <c r="K28" i="16"/>
  <c r="N28" i="16"/>
  <c r="Q28" i="16"/>
  <c r="T28" i="16"/>
  <c r="W28" i="16"/>
  <c r="Z28" i="16"/>
  <c r="AC28" i="16"/>
  <c r="AF28" i="16"/>
  <c r="AL28" i="16"/>
  <c r="AO28" i="16"/>
  <c r="E23" i="16"/>
  <c r="N23" i="16"/>
  <c r="Q23" i="16"/>
  <c r="T23" i="16"/>
  <c r="W23" i="16"/>
  <c r="Z23" i="16"/>
  <c r="AC23" i="16"/>
  <c r="AF23" i="16"/>
  <c r="AI23" i="16"/>
  <c r="AL23" i="16"/>
  <c r="AO23" i="16"/>
  <c r="H19" i="16"/>
  <c r="N19" i="16"/>
  <c r="Q19" i="16"/>
  <c r="T19" i="16"/>
  <c r="W19" i="16"/>
  <c r="Z19" i="16"/>
  <c r="AF19" i="16"/>
  <c r="AI19" i="16"/>
  <c r="AL19" i="16"/>
  <c r="AO19" i="16"/>
  <c r="H15" i="16"/>
  <c r="N15" i="16"/>
  <c r="Q15" i="16"/>
  <c r="AL15" i="16"/>
  <c r="AO15" i="16"/>
  <c r="H10" i="16"/>
  <c r="K10" i="16"/>
  <c r="Q10" i="16"/>
  <c r="T10" i="16"/>
  <c r="W10" i="16"/>
  <c r="Z10" i="16"/>
  <c r="AC10" i="16"/>
  <c r="AF10" i="16"/>
  <c r="AL10" i="16"/>
  <c r="AO10" i="16"/>
  <c r="H7" i="16"/>
  <c r="N7" i="16"/>
  <c r="T7" i="16"/>
  <c r="W7" i="16"/>
  <c r="Z7" i="16"/>
  <c r="AF7" i="16"/>
  <c r="AF24" i="16" s="1"/>
  <c r="AL7" i="16"/>
  <c r="AO5" i="16"/>
  <c r="AL5" i="16"/>
  <c r="AI5" i="16"/>
  <c r="AF5" i="16"/>
  <c r="AC5" i="16"/>
  <c r="Z5" i="16"/>
  <c r="W5" i="16"/>
  <c r="T5" i="16"/>
  <c r="Q5" i="16"/>
  <c r="N5" i="16"/>
  <c r="H5" i="16"/>
  <c r="K5" i="16"/>
  <c r="E5" i="16"/>
  <c r="B10" i="16"/>
  <c r="B5" i="16"/>
  <c r="C57" i="22"/>
  <c r="H56" i="22"/>
  <c r="G56" i="22"/>
  <c r="D56" i="22"/>
  <c r="G55" i="22"/>
  <c r="H55" i="22" s="1"/>
  <c r="D55" i="22"/>
  <c r="G54" i="22"/>
  <c r="H54" i="22" s="1"/>
  <c r="D54" i="22"/>
  <c r="G53" i="22"/>
  <c r="H53" i="22" s="1"/>
  <c r="D53" i="22"/>
  <c r="G52" i="22"/>
  <c r="H52" i="22" s="1"/>
  <c r="D52" i="22"/>
  <c r="G50" i="22"/>
  <c r="H50" i="22" s="1"/>
  <c r="D50" i="22"/>
  <c r="H49" i="22"/>
  <c r="G49" i="22"/>
  <c r="D49" i="22"/>
  <c r="G48" i="22"/>
  <c r="H48" i="22" s="1"/>
  <c r="D48" i="22"/>
  <c r="H47" i="22"/>
  <c r="G47" i="22"/>
  <c r="D47" i="22"/>
  <c r="H46" i="22"/>
  <c r="G46" i="22"/>
  <c r="D46" i="22"/>
  <c r="H45" i="22"/>
  <c r="G45" i="22"/>
  <c r="D45" i="22"/>
  <c r="G44" i="22"/>
  <c r="H44" i="22" s="1"/>
  <c r="D44" i="22"/>
  <c r="C35" i="22"/>
  <c r="G34" i="22"/>
  <c r="H34" i="22" s="1"/>
  <c r="D34" i="22"/>
  <c r="H33" i="22"/>
  <c r="G33" i="22"/>
  <c r="D33" i="22"/>
  <c r="G32" i="22"/>
  <c r="H32" i="22" s="1"/>
  <c r="D32" i="22"/>
  <c r="H31" i="22"/>
  <c r="G31" i="22"/>
  <c r="D31" i="22"/>
  <c r="H30" i="22"/>
  <c r="G30" i="22"/>
  <c r="D30" i="22"/>
  <c r="H29" i="22"/>
  <c r="G29" i="22"/>
  <c r="D29" i="22"/>
  <c r="G28" i="22"/>
  <c r="H28" i="22" s="1"/>
  <c r="D28" i="22"/>
  <c r="G27" i="22"/>
  <c r="H27" i="22" s="1"/>
  <c r="D27" i="22"/>
  <c r="G26" i="22"/>
  <c r="H26" i="22" s="1"/>
  <c r="D26" i="22"/>
  <c r="G25" i="22"/>
  <c r="H25" i="22" s="1"/>
  <c r="D25" i="22"/>
  <c r="G24" i="22"/>
  <c r="H24" i="22" s="1"/>
  <c r="D24" i="22"/>
  <c r="J4" i="22"/>
  <c r="J37" i="22" s="1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S3" i="14"/>
  <c r="B48" i="16"/>
  <c r="B7" i="16"/>
  <c r="A1" i="16"/>
  <c r="G299" i="36"/>
  <c r="I296" i="36"/>
  <c r="H296" i="36"/>
  <c r="H299" i="36" s="1"/>
  <c r="I293" i="36"/>
  <c r="H293" i="36"/>
  <c r="G292" i="36"/>
  <c r="H286" i="36"/>
  <c r="H292" i="36" s="1"/>
  <c r="G284" i="36"/>
  <c r="I281" i="36"/>
  <c r="I284" i="36" s="1"/>
  <c r="H281" i="36"/>
  <c r="H284" i="36" s="1"/>
  <c r="G280" i="36"/>
  <c r="I276" i="36"/>
  <c r="H276" i="36"/>
  <c r="H273" i="36"/>
  <c r="I273" i="36" s="1"/>
  <c r="I280" i="36" s="1"/>
  <c r="G272" i="36"/>
  <c r="G285" i="36" s="1"/>
  <c r="H268" i="36"/>
  <c r="I268" i="36" s="1"/>
  <c r="H264" i="36"/>
  <c r="I264" i="36" s="1"/>
  <c r="I262" i="36"/>
  <c r="I272" i="36" s="1"/>
  <c r="I285" i="36" s="1"/>
  <c r="H262" i="36"/>
  <c r="H272" i="36" s="1"/>
  <c r="G260" i="36"/>
  <c r="I257" i="36"/>
  <c r="H257" i="36"/>
  <c r="H254" i="36"/>
  <c r="I254" i="36" s="1"/>
  <c r="H252" i="36"/>
  <c r="I252" i="36" s="1"/>
  <c r="H251" i="36"/>
  <c r="I250" i="36"/>
  <c r="H250" i="36"/>
  <c r="G250" i="36"/>
  <c r="I247" i="36"/>
  <c r="H247" i="36"/>
  <c r="I245" i="36"/>
  <c r="H245" i="36"/>
  <c r="H244" i="36"/>
  <c r="G244" i="36"/>
  <c r="I242" i="36"/>
  <c r="H242" i="36"/>
  <c r="H240" i="36"/>
  <c r="I240" i="36" s="1"/>
  <c r="H239" i="36"/>
  <c r="I239" i="36" s="1"/>
  <c r="H238" i="36"/>
  <c r="I238" i="36" s="1"/>
  <c r="I244" i="36" s="1"/>
  <c r="G237" i="36"/>
  <c r="I234" i="36"/>
  <c r="H234" i="36"/>
  <c r="I233" i="36"/>
  <c r="H233" i="36"/>
  <c r="H231" i="36"/>
  <c r="I231" i="36" s="1"/>
  <c r="I237" i="36" s="1"/>
  <c r="I230" i="36"/>
  <c r="H230" i="36"/>
  <c r="I229" i="36"/>
  <c r="H229" i="36"/>
  <c r="G228" i="36"/>
  <c r="I226" i="36"/>
  <c r="H226" i="36"/>
  <c r="H225" i="36"/>
  <c r="I225" i="36" s="1"/>
  <c r="H224" i="36"/>
  <c r="I224" i="36" s="1"/>
  <c r="H223" i="36"/>
  <c r="I223" i="36" s="1"/>
  <c r="H222" i="36"/>
  <c r="I222" i="36" s="1"/>
  <c r="H220" i="36"/>
  <c r="I220" i="36" s="1"/>
  <c r="H219" i="36"/>
  <c r="G219" i="36"/>
  <c r="H216" i="36"/>
  <c r="I216" i="36" s="1"/>
  <c r="I213" i="36"/>
  <c r="H213" i="36"/>
  <c r="G212" i="36"/>
  <c r="H209" i="36"/>
  <c r="I209" i="36" s="1"/>
  <c r="H207" i="36"/>
  <c r="I207" i="36" s="1"/>
  <c r="H205" i="36"/>
  <c r="G203" i="36"/>
  <c r="H200" i="36"/>
  <c r="I200" i="36" s="1"/>
  <c r="H198" i="36"/>
  <c r="I198" i="36" s="1"/>
  <c r="I197" i="36"/>
  <c r="H197" i="36"/>
  <c r="H196" i="36"/>
  <c r="I196" i="36" s="1"/>
  <c r="H195" i="36"/>
  <c r="I195" i="36" s="1"/>
  <c r="H193" i="36"/>
  <c r="I193" i="36" s="1"/>
  <c r="I203" i="36" s="1"/>
  <c r="G192" i="36"/>
  <c r="I190" i="36"/>
  <c r="H190" i="36"/>
  <c r="I189" i="36"/>
  <c r="H189" i="36"/>
  <c r="I188" i="36"/>
  <c r="H188" i="36"/>
  <c r="H187" i="36"/>
  <c r="I187" i="36" s="1"/>
  <c r="H185" i="36"/>
  <c r="I185" i="36" s="1"/>
  <c r="I184" i="36"/>
  <c r="I192" i="36" s="1"/>
  <c r="H184" i="36"/>
  <c r="H192" i="36" s="1"/>
  <c r="G183" i="36"/>
  <c r="I181" i="36"/>
  <c r="H181" i="36"/>
  <c r="H180" i="36"/>
  <c r="I180" i="36" s="1"/>
  <c r="H179" i="36"/>
  <c r="I179" i="36" s="1"/>
  <c r="H177" i="36"/>
  <c r="H183" i="36" s="1"/>
  <c r="G176" i="36"/>
  <c r="G204" i="36" s="1"/>
  <c r="I174" i="36"/>
  <c r="H174" i="36"/>
  <c r="I173" i="36"/>
  <c r="H173" i="36"/>
  <c r="H172" i="36"/>
  <c r="I172" i="36" s="1"/>
  <c r="H170" i="36"/>
  <c r="I170" i="36" s="1"/>
  <c r="I168" i="36"/>
  <c r="H168" i="36"/>
  <c r="H176" i="36" s="1"/>
  <c r="G166" i="36"/>
  <c r="I164" i="36"/>
  <c r="H164" i="36"/>
  <c r="I163" i="36"/>
  <c r="H163" i="36"/>
  <c r="H162" i="36"/>
  <c r="I162" i="36" s="1"/>
  <c r="H161" i="36"/>
  <c r="I161" i="36" s="1"/>
  <c r="I160" i="36"/>
  <c r="H160" i="36"/>
  <c r="I158" i="36"/>
  <c r="H158" i="36"/>
  <c r="H156" i="36"/>
  <c r="I156" i="36" s="1"/>
  <c r="G155" i="36"/>
  <c r="H154" i="36"/>
  <c r="I154" i="36" s="1"/>
  <c r="H153" i="36"/>
  <c r="I153" i="36" s="1"/>
  <c r="I152" i="36"/>
  <c r="H152" i="36"/>
  <c r="H151" i="36"/>
  <c r="I151" i="36" s="1"/>
  <c r="H150" i="36"/>
  <c r="I150" i="36" s="1"/>
  <c r="H149" i="36"/>
  <c r="I149" i="36" s="1"/>
  <c r="I148" i="36"/>
  <c r="H148" i="36"/>
  <c r="H147" i="36"/>
  <c r="I147" i="36" s="1"/>
  <c r="H146" i="36"/>
  <c r="H155" i="36" s="1"/>
  <c r="G145" i="36"/>
  <c r="G167" i="36" s="1"/>
  <c r="H143" i="36"/>
  <c r="I143" i="36" s="1"/>
  <c r="I142" i="36"/>
  <c r="H142" i="36"/>
  <c r="I141" i="36"/>
  <c r="H141" i="36"/>
  <c r="H140" i="36"/>
  <c r="I140" i="36" s="1"/>
  <c r="H138" i="36"/>
  <c r="I138" i="36" s="1"/>
  <c r="I136" i="36"/>
  <c r="H136" i="36"/>
  <c r="I135" i="36"/>
  <c r="H135" i="36"/>
  <c r="H134" i="36"/>
  <c r="I134" i="36" s="1"/>
  <c r="H133" i="36"/>
  <c r="I133" i="36" s="1"/>
  <c r="I132" i="36"/>
  <c r="H132" i="36"/>
  <c r="I131" i="36"/>
  <c r="H131" i="36"/>
  <c r="H145" i="36" s="1"/>
  <c r="G127" i="36"/>
  <c r="I125" i="36"/>
  <c r="H125" i="36"/>
  <c r="H124" i="36"/>
  <c r="I124" i="36" s="1"/>
  <c r="H123" i="36"/>
  <c r="I123" i="36" s="1"/>
  <c r="I127" i="36" s="1"/>
  <c r="G122" i="36"/>
  <c r="H120" i="36"/>
  <c r="I120" i="36" s="1"/>
  <c r="I119" i="36"/>
  <c r="H119" i="36"/>
  <c r="I117" i="36"/>
  <c r="H117" i="36"/>
  <c r="H115" i="36"/>
  <c r="H122" i="36" s="1"/>
  <c r="H112" i="36"/>
  <c r="I112" i="36" s="1"/>
  <c r="G111" i="36"/>
  <c r="G128" i="36" s="1"/>
  <c r="H108" i="36"/>
  <c r="I108" i="36" s="1"/>
  <c r="I107" i="36"/>
  <c r="H107" i="36"/>
  <c r="H105" i="36"/>
  <c r="I105" i="36" s="1"/>
  <c r="H104" i="36"/>
  <c r="I104" i="36" s="1"/>
  <c r="H102" i="36"/>
  <c r="I102" i="36" s="1"/>
  <c r="I101" i="36"/>
  <c r="H101" i="36"/>
  <c r="H100" i="36"/>
  <c r="I100" i="36" s="1"/>
  <c r="G98" i="36"/>
  <c r="H97" i="36"/>
  <c r="I97" i="36" s="1"/>
  <c r="H95" i="36"/>
  <c r="H98" i="36" s="1"/>
  <c r="G94" i="36"/>
  <c r="G99" i="36" s="1"/>
  <c r="H93" i="36"/>
  <c r="I93" i="36" s="1"/>
  <c r="I92" i="36"/>
  <c r="H92" i="36"/>
  <c r="I90" i="36"/>
  <c r="I94" i="36" s="1"/>
  <c r="H90" i="36"/>
  <c r="H94" i="36" s="1"/>
  <c r="G89" i="36"/>
  <c r="H88" i="36"/>
  <c r="I88" i="36" s="1"/>
  <c r="H87" i="36"/>
  <c r="I87" i="36" s="1"/>
  <c r="I86" i="36"/>
  <c r="H86" i="36"/>
  <c r="I85" i="36"/>
  <c r="H85" i="36"/>
  <c r="H83" i="36"/>
  <c r="H89" i="36" s="1"/>
  <c r="H99" i="36" s="1"/>
  <c r="G81" i="36"/>
  <c r="H80" i="36"/>
  <c r="I80" i="36" s="1"/>
  <c r="H79" i="36"/>
  <c r="H81" i="36" s="1"/>
  <c r="I78" i="36"/>
  <c r="H78" i="36"/>
  <c r="I75" i="36"/>
  <c r="H75" i="36"/>
  <c r="H74" i="36"/>
  <c r="G74" i="36"/>
  <c r="I73" i="36"/>
  <c r="H73" i="36"/>
  <c r="H72" i="36"/>
  <c r="I72" i="36" s="1"/>
  <c r="I71" i="36"/>
  <c r="H71" i="36"/>
  <c r="I70" i="36"/>
  <c r="H70" i="36"/>
  <c r="I68" i="36"/>
  <c r="H68" i="36"/>
  <c r="H66" i="36"/>
  <c r="I66" i="36" s="1"/>
  <c r="I65" i="36"/>
  <c r="H65" i="36"/>
  <c r="G64" i="36"/>
  <c r="G82" i="36" s="1"/>
  <c r="I63" i="36"/>
  <c r="H63" i="36"/>
  <c r="I62" i="36"/>
  <c r="H62" i="36"/>
  <c r="H61" i="36"/>
  <c r="I61" i="36" s="1"/>
  <c r="H60" i="36"/>
  <c r="I60" i="36" s="1"/>
  <c r="I59" i="36"/>
  <c r="H59" i="36"/>
  <c r="H64" i="36" s="1"/>
  <c r="G58" i="36"/>
  <c r="I57" i="36"/>
  <c r="H57" i="36"/>
  <c r="I55" i="36"/>
  <c r="H55" i="36"/>
  <c r="H54" i="36"/>
  <c r="I54" i="36" s="1"/>
  <c r="H53" i="36"/>
  <c r="I53" i="36" s="1"/>
  <c r="I52" i="36"/>
  <c r="H52" i="36"/>
  <c r="I50" i="36"/>
  <c r="H50" i="36"/>
  <c r="H48" i="36"/>
  <c r="I48" i="36" s="1"/>
  <c r="H47" i="36"/>
  <c r="H58" i="36" s="1"/>
  <c r="G46" i="36"/>
  <c r="G45" i="36"/>
  <c r="H44" i="36"/>
  <c r="I44" i="36" s="1"/>
  <c r="I43" i="36"/>
  <c r="H43" i="36"/>
  <c r="I42" i="36"/>
  <c r="H42" i="36"/>
  <c r="H41" i="36"/>
  <c r="I41" i="36" s="1"/>
  <c r="H40" i="36"/>
  <c r="I40" i="36" s="1"/>
  <c r="I39" i="36"/>
  <c r="H39" i="36"/>
  <c r="I38" i="36"/>
  <c r="H38" i="36"/>
  <c r="H36" i="36"/>
  <c r="H45" i="36" s="1"/>
  <c r="G35" i="36"/>
  <c r="H34" i="36"/>
  <c r="I34" i="36" s="1"/>
  <c r="I33" i="36"/>
  <c r="H33" i="36"/>
  <c r="I32" i="36"/>
  <c r="H32" i="36"/>
  <c r="H31" i="36"/>
  <c r="H35" i="36" s="1"/>
  <c r="G29" i="36"/>
  <c r="H27" i="36"/>
  <c r="I27" i="36" s="1"/>
  <c r="H26" i="36"/>
  <c r="I26" i="36" s="1"/>
  <c r="I25" i="36"/>
  <c r="H25" i="36"/>
  <c r="I24" i="36"/>
  <c r="H24" i="36"/>
  <c r="H23" i="36"/>
  <c r="I23" i="36" s="1"/>
  <c r="H22" i="36"/>
  <c r="I22" i="36" s="1"/>
  <c r="I21" i="36"/>
  <c r="H21" i="36"/>
  <c r="I20" i="36"/>
  <c r="H20" i="36"/>
  <c r="H19" i="36"/>
  <c r="H29" i="36" s="1"/>
  <c r="H18" i="36"/>
  <c r="G18" i="36"/>
  <c r="G30" i="36" s="1"/>
  <c r="H17" i="36"/>
  <c r="I17" i="36" s="1"/>
  <c r="H15" i="36"/>
  <c r="I15" i="36" s="1"/>
  <c r="I14" i="36"/>
  <c r="H14" i="36"/>
  <c r="I12" i="36"/>
  <c r="H12" i="36"/>
  <c r="H11" i="36"/>
  <c r="I11" i="36" s="1"/>
  <c r="H9" i="36"/>
  <c r="I9" i="36" s="1"/>
  <c r="I8" i="36"/>
  <c r="I18" i="36" s="1"/>
  <c r="H8" i="36"/>
  <c r="I298" i="31"/>
  <c r="H298" i="31"/>
  <c r="F297" i="31"/>
  <c r="E297" i="31"/>
  <c r="F296" i="31"/>
  <c r="E296" i="31"/>
  <c r="F295" i="31"/>
  <c r="E295" i="31"/>
  <c r="F294" i="31"/>
  <c r="E294" i="31"/>
  <c r="F293" i="31"/>
  <c r="E293" i="31"/>
  <c r="F292" i="31"/>
  <c r="E292" i="31"/>
  <c r="I291" i="31"/>
  <c r="I299" i="31" s="1"/>
  <c r="H291" i="31"/>
  <c r="H299" i="31" s="1"/>
  <c r="F290" i="31"/>
  <c r="E290" i="31"/>
  <c r="F289" i="31"/>
  <c r="E289" i="31"/>
  <c r="F288" i="31"/>
  <c r="E288" i="31"/>
  <c r="F287" i="31"/>
  <c r="E287" i="31"/>
  <c r="F286" i="31"/>
  <c r="E286" i="31"/>
  <c r="G285" i="31"/>
  <c r="F285" i="31"/>
  <c r="E285" i="31"/>
  <c r="I283" i="31"/>
  <c r="H283" i="31"/>
  <c r="F282" i="31"/>
  <c r="E282" i="31"/>
  <c r="F281" i="31"/>
  <c r="E281" i="31"/>
  <c r="G280" i="31"/>
  <c r="F280" i="31"/>
  <c r="E280" i="31"/>
  <c r="I279" i="31"/>
  <c r="H279" i="31"/>
  <c r="F278" i="31"/>
  <c r="E278" i="31"/>
  <c r="F277" i="31"/>
  <c r="E277" i="31"/>
  <c r="F276" i="31"/>
  <c r="E276" i="31"/>
  <c r="F275" i="31"/>
  <c r="E275" i="31"/>
  <c r="F274" i="31"/>
  <c r="E274" i="31"/>
  <c r="F273" i="31"/>
  <c r="E273" i="31"/>
  <c r="F272" i="31"/>
  <c r="E272" i="31"/>
  <c r="I271" i="31"/>
  <c r="I284" i="31" s="1"/>
  <c r="H271" i="31"/>
  <c r="H284" i="31" s="1"/>
  <c r="F270" i="31"/>
  <c r="E270" i="31"/>
  <c r="G269" i="31"/>
  <c r="F269" i="31"/>
  <c r="E269" i="31"/>
  <c r="F268" i="31"/>
  <c r="E268" i="31"/>
  <c r="F267" i="31"/>
  <c r="E267" i="31"/>
  <c r="F266" i="31"/>
  <c r="E266" i="31"/>
  <c r="F265" i="31"/>
  <c r="E265" i="31"/>
  <c r="F264" i="31"/>
  <c r="E264" i="31"/>
  <c r="F263" i="31"/>
  <c r="E263" i="31"/>
  <c r="F262" i="31"/>
  <c r="E262" i="31"/>
  <c r="F261" i="31"/>
  <c r="E261" i="31"/>
  <c r="I259" i="31"/>
  <c r="H259" i="31"/>
  <c r="F258" i="31"/>
  <c r="E258" i="31"/>
  <c r="G257" i="31"/>
  <c r="F257" i="31"/>
  <c r="E257" i="31"/>
  <c r="F256" i="31"/>
  <c r="E256" i="31"/>
  <c r="F255" i="31"/>
  <c r="E255" i="31"/>
  <c r="F254" i="31"/>
  <c r="E254" i="31"/>
  <c r="F253" i="31"/>
  <c r="E253" i="31"/>
  <c r="G252" i="31"/>
  <c r="F252" i="31"/>
  <c r="E252" i="31"/>
  <c r="F251" i="31"/>
  <c r="E251" i="31"/>
  <c r="F250" i="31"/>
  <c r="E250" i="31"/>
  <c r="I249" i="31"/>
  <c r="H249" i="31"/>
  <c r="F248" i="31"/>
  <c r="E248" i="31"/>
  <c r="F247" i="31"/>
  <c r="E247" i="31"/>
  <c r="G246" i="31"/>
  <c r="F246" i="31"/>
  <c r="E246" i="31"/>
  <c r="G245" i="31"/>
  <c r="F245" i="31"/>
  <c r="E245" i="31"/>
  <c r="F244" i="31"/>
  <c r="E244" i="31"/>
  <c r="I243" i="31"/>
  <c r="H243" i="31"/>
  <c r="F242" i="31"/>
  <c r="E242" i="31"/>
  <c r="F241" i="31"/>
  <c r="E241" i="31"/>
  <c r="F240" i="31"/>
  <c r="E240" i="31"/>
  <c r="F239" i="31"/>
  <c r="E239" i="31"/>
  <c r="F238" i="31"/>
  <c r="E238" i="31"/>
  <c r="F237" i="31"/>
  <c r="E237" i="31"/>
  <c r="I236" i="31"/>
  <c r="H236" i="31"/>
  <c r="F235" i="31"/>
  <c r="E235" i="31"/>
  <c r="F234" i="31"/>
  <c r="E234" i="31"/>
  <c r="F233" i="31"/>
  <c r="E233" i="31"/>
  <c r="F232" i="31"/>
  <c r="E232" i="31"/>
  <c r="F231" i="31"/>
  <c r="E231" i="31"/>
  <c r="G230" i="31"/>
  <c r="F230" i="31"/>
  <c r="E230" i="31"/>
  <c r="F229" i="31"/>
  <c r="E229" i="31"/>
  <c r="F228" i="31"/>
  <c r="E228" i="31"/>
  <c r="I227" i="31"/>
  <c r="H227" i="31"/>
  <c r="F226" i="31"/>
  <c r="E226" i="31"/>
  <c r="G225" i="31"/>
  <c r="F225" i="31"/>
  <c r="E225" i="31"/>
  <c r="F224" i="31"/>
  <c r="E224" i="31"/>
  <c r="F223" i="31"/>
  <c r="E223" i="31"/>
  <c r="F222" i="31"/>
  <c r="E222" i="31"/>
  <c r="F221" i="31"/>
  <c r="E221" i="31"/>
  <c r="F220" i="31"/>
  <c r="E220" i="31"/>
  <c r="F219" i="31"/>
  <c r="E219" i="31"/>
  <c r="I218" i="31"/>
  <c r="I260" i="31" s="1"/>
  <c r="H218" i="31"/>
  <c r="H260" i="31" s="1"/>
  <c r="F217" i="31"/>
  <c r="E217" i="31"/>
  <c r="F216" i="31"/>
  <c r="E216" i="31"/>
  <c r="F215" i="31"/>
  <c r="E215" i="31"/>
  <c r="F214" i="31"/>
  <c r="E214" i="31"/>
  <c r="F213" i="31"/>
  <c r="E213" i="31"/>
  <c r="F212" i="31"/>
  <c r="E212" i="31"/>
  <c r="I211" i="31"/>
  <c r="H211" i="31"/>
  <c r="F210" i="31"/>
  <c r="E210" i="31"/>
  <c r="F209" i="31"/>
  <c r="E209" i="31"/>
  <c r="F208" i="31"/>
  <c r="E208" i="31"/>
  <c r="F207" i="31"/>
  <c r="E207" i="31"/>
  <c r="F206" i="31"/>
  <c r="E206" i="31"/>
  <c r="F205" i="31"/>
  <c r="E205" i="31"/>
  <c r="F204" i="31"/>
  <c r="E204" i="31"/>
  <c r="I202" i="31"/>
  <c r="H202" i="31"/>
  <c r="F201" i="31"/>
  <c r="E201" i="31"/>
  <c r="F200" i="31"/>
  <c r="E200" i="31"/>
  <c r="F199" i="31"/>
  <c r="E199" i="31"/>
  <c r="F198" i="31"/>
  <c r="E198" i="31"/>
  <c r="F197" i="31"/>
  <c r="E197" i="31"/>
  <c r="F196" i="31"/>
  <c r="E196" i="31"/>
  <c r="F195" i="31"/>
  <c r="E195" i="31"/>
  <c r="F194" i="31"/>
  <c r="E194" i="31"/>
  <c r="G193" i="31"/>
  <c r="F193" i="31"/>
  <c r="E193" i="31"/>
  <c r="F192" i="31"/>
  <c r="E192" i="31"/>
  <c r="I191" i="31"/>
  <c r="H191" i="31"/>
  <c r="F190" i="31"/>
  <c r="E190" i="31"/>
  <c r="F189" i="31"/>
  <c r="E189" i="31"/>
  <c r="F188" i="31"/>
  <c r="E188" i="31"/>
  <c r="F187" i="31"/>
  <c r="E187" i="31"/>
  <c r="F186" i="31"/>
  <c r="E186" i="31"/>
  <c r="G185" i="31"/>
  <c r="F185" i="31"/>
  <c r="E185" i="31"/>
  <c r="F184" i="31"/>
  <c r="E184" i="31"/>
  <c r="F183" i="31"/>
  <c r="E183" i="31"/>
  <c r="I182" i="31"/>
  <c r="H182" i="31"/>
  <c r="G181" i="31"/>
  <c r="F181" i="31"/>
  <c r="E181" i="31"/>
  <c r="F180" i="31"/>
  <c r="E180" i="31"/>
  <c r="F179" i="31"/>
  <c r="E179" i="31"/>
  <c r="F178" i="31"/>
  <c r="E178" i="31"/>
  <c r="G177" i="31"/>
  <c r="F177" i="31"/>
  <c r="E177" i="31"/>
  <c r="F176" i="31"/>
  <c r="E176" i="31"/>
  <c r="I175" i="31"/>
  <c r="I203" i="31" s="1"/>
  <c r="H175" i="31"/>
  <c r="H203" i="31" s="1"/>
  <c r="F174" i="31"/>
  <c r="E174" i="31"/>
  <c r="F173" i="31"/>
  <c r="E173" i="31"/>
  <c r="F172" i="31"/>
  <c r="E172" i="31"/>
  <c r="F171" i="31"/>
  <c r="E171" i="31"/>
  <c r="F170" i="31"/>
  <c r="E170" i="31"/>
  <c r="G169" i="31"/>
  <c r="F169" i="31"/>
  <c r="E169" i="31"/>
  <c r="F168" i="31"/>
  <c r="E168" i="31"/>
  <c r="G167" i="31"/>
  <c r="F167" i="31"/>
  <c r="E167" i="31"/>
  <c r="I165" i="31"/>
  <c r="H165" i="31"/>
  <c r="F164" i="31"/>
  <c r="E164" i="31"/>
  <c r="F163" i="31"/>
  <c r="E163" i="31"/>
  <c r="F162" i="31"/>
  <c r="E162" i="31"/>
  <c r="F161" i="31"/>
  <c r="E161" i="31"/>
  <c r="F160" i="31"/>
  <c r="E160" i="31"/>
  <c r="F159" i="31"/>
  <c r="E159" i="31"/>
  <c r="F158" i="31"/>
  <c r="E158" i="31"/>
  <c r="F157" i="31"/>
  <c r="E157" i="31"/>
  <c r="F156" i="31"/>
  <c r="E156" i="31"/>
  <c r="F155" i="31"/>
  <c r="E155" i="31"/>
  <c r="I154" i="31"/>
  <c r="H154" i="31"/>
  <c r="F153" i="31"/>
  <c r="E153" i="31"/>
  <c r="F152" i="31"/>
  <c r="E152" i="31"/>
  <c r="F151" i="31"/>
  <c r="E151" i="31"/>
  <c r="F150" i="31"/>
  <c r="E150" i="31"/>
  <c r="F149" i="31"/>
  <c r="E149" i="31"/>
  <c r="F148" i="31"/>
  <c r="E148" i="31"/>
  <c r="F147" i="31"/>
  <c r="E147" i="31"/>
  <c r="F146" i="31"/>
  <c r="E146" i="31"/>
  <c r="G145" i="31"/>
  <c r="F145" i="31"/>
  <c r="E145" i="31"/>
  <c r="I144" i="31"/>
  <c r="I166" i="31" s="1"/>
  <c r="H144" i="31"/>
  <c r="H166" i="31" s="1"/>
  <c r="F143" i="31"/>
  <c r="E143" i="31"/>
  <c r="F142" i="31"/>
  <c r="E142" i="31"/>
  <c r="F141" i="31"/>
  <c r="E141" i="31"/>
  <c r="F140" i="31"/>
  <c r="E140" i="31"/>
  <c r="F139" i="31"/>
  <c r="E139" i="31"/>
  <c r="F138" i="31"/>
  <c r="E138" i="31"/>
  <c r="F137" i="31"/>
  <c r="E137" i="31"/>
  <c r="F136" i="31"/>
  <c r="E136" i="31"/>
  <c r="F135" i="31"/>
  <c r="E135" i="31"/>
  <c r="F134" i="31"/>
  <c r="E134" i="31"/>
  <c r="F133" i="31"/>
  <c r="E133" i="31"/>
  <c r="F132" i="31"/>
  <c r="E132" i="31"/>
  <c r="F131" i="31"/>
  <c r="E131" i="31"/>
  <c r="F130" i="31"/>
  <c r="E130" i="31"/>
  <c r="I126" i="31"/>
  <c r="H126" i="31"/>
  <c r="F125" i="31"/>
  <c r="E125" i="31"/>
  <c r="F124" i="31"/>
  <c r="E124" i="31"/>
  <c r="F123" i="31"/>
  <c r="E123" i="31"/>
  <c r="F122" i="31"/>
  <c r="E122" i="31"/>
  <c r="I121" i="31"/>
  <c r="H121" i="31"/>
  <c r="F120" i="31"/>
  <c r="E120" i="31"/>
  <c r="F119" i="31"/>
  <c r="E119" i="31"/>
  <c r="F118" i="31"/>
  <c r="E118" i="31"/>
  <c r="F117" i="31"/>
  <c r="E117" i="31"/>
  <c r="F116" i="31"/>
  <c r="E116" i="31"/>
  <c r="F115" i="31"/>
  <c r="E115" i="31"/>
  <c r="F114" i="31"/>
  <c r="E114" i="31"/>
  <c r="F113" i="31"/>
  <c r="E113" i="31"/>
  <c r="F112" i="31"/>
  <c r="E112" i="31"/>
  <c r="F111" i="31"/>
  <c r="E111" i="31"/>
  <c r="I110" i="31"/>
  <c r="I127" i="31" s="1"/>
  <c r="H110" i="31"/>
  <c r="H127" i="31" s="1"/>
  <c r="F109" i="31"/>
  <c r="E109" i="31"/>
  <c r="F108" i="31"/>
  <c r="E108" i="31"/>
  <c r="G107" i="31"/>
  <c r="F107" i="31"/>
  <c r="E107" i="31"/>
  <c r="F106" i="31"/>
  <c r="E106" i="31"/>
  <c r="F105" i="31"/>
  <c r="E105" i="31"/>
  <c r="F104" i="31"/>
  <c r="E104" i="31"/>
  <c r="F103" i="31"/>
  <c r="E103" i="31"/>
  <c r="F102" i="31"/>
  <c r="E102" i="31"/>
  <c r="F101" i="31"/>
  <c r="E101" i="31"/>
  <c r="F100" i="31"/>
  <c r="E100" i="31"/>
  <c r="F99" i="31"/>
  <c r="E99" i="31"/>
  <c r="I97" i="31"/>
  <c r="H97" i="31"/>
  <c r="F96" i="31"/>
  <c r="E96" i="31"/>
  <c r="F95" i="31"/>
  <c r="E95" i="31"/>
  <c r="F94" i="31"/>
  <c r="E94" i="31"/>
  <c r="I93" i="31"/>
  <c r="H93" i="31"/>
  <c r="F92" i="31"/>
  <c r="E92" i="31"/>
  <c r="F91" i="31"/>
  <c r="E91" i="31"/>
  <c r="F90" i="31"/>
  <c r="E90" i="31"/>
  <c r="F89" i="31"/>
  <c r="E89" i="31"/>
  <c r="I88" i="31"/>
  <c r="I98" i="31" s="1"/>
  <c r="H88" i="31"/>
  <c r="H98" i="31" s="1"/>
  <c r="F87" i="31"/>
  <c r="E87" i="31"/>
  <c r="F86" i="31"/>
  <c r="E86" i="31"/>
  <c r="F85" i="31"/>
  <c r="E85" i="31"/>
  <c r="F84" i="31"/>
  <c r="E84" i="31"/>
  <c r="G83" i="31"/>
  <c r="F83" i="31"/>
  <c r="E83" i="31"/>
  <c r="F82" i="31"/>
  <c r="E82" i="31"/>
  <c r="I80" i="31"/>
  <c r="H80" i="31"/>
  <c r="F79" i="31"/>
  <c r="E79" i="31"/>
  <c r="F78" i="31"/>
  <c r="E78" i="31"/>
  <c r="F77" i="31"/>
  <c r="E77" i="31"/>
  <c r="G76" i="31"/>
  <c r="F76" i="31"/>
  <c r="E76" i="31"/>
  <c r="F75" i="31"/>
  <c r="E75" i="31"/>
  <c r="G74" i="31"/>
  <c r="F74" i="31"/>
  <c r="E74" i="31"/>
  <c r="I73" i="31"/>
  <c r="H73" i="31"/>
  <c r="F72" i="31"/>
  <c r="E72" i="31"/>
  <c r="F71" i="31"/>
  <c r="E71" i="31"/>
  <c r="F70" i="31"/>
  <c r="E70" i="31"/>
  <c r="F69" i="31"/>
  <c r="E69" i="31"/>
  <c r="F68" i="31"/>
  <c r="E68" i="31"/>
  <c r="F67" i="31"/>
  <c r="E67" i="31"/>
  <c r="F66" i="31"/>
  <c r="E66" i="31"/>
  <c r="G65" i="31"/>
  <c r="F65" i="31"/>
  <c r="E65" i="31"/>
  <c r="F64" i="31"/>
  <c r="E64" i="31"/>
  <c r="I63" i="31"/>
  <c r="H63" i="31"/>
  <c r="F62" i="31"/>
  <c r="E62" i="31"/>
  <c r="F61" i="31"/>
  <c r="E61" i="31"/>
  <c r="F60" i="31"/>
  <c r="E60" i="31"/>
  <c r="F59" i="31"/>
  <c r="E59" i="31"/>
  <c r="G58" i="31"/>
  <c r="F58" i="31"/>
  <c r="E58" i="31"/>
  <c r="I57" i="31"/>
  <c r="I81" i="31" s="1"/>
  <c r="H57" i="31"/>
  <c r="H81" i="31" s="1"/>
  <c r="F56" i="31"/>
  <c r="E56" i="31"/>
  <c r="F55" i="31"/>
  <c r="E55" i="31"/>
  <c r="F54" i="31"/>
  <c r="E54" i="31"/>
  <c r="F53" i="31"/>
  <c r="E53" i="31"/>
  <c r="F52" i="31"/>
  <c r="E52" i="31"/>
  <c r="G51" i="31"/>
  <c r="F51" i="31"/>
  <c r="E51" i="31"/>
  <c r="F50" i="31"/>
  <c r="E50" i="31"/>
  <c r="F49" i="31"/>
  <c r="E49" i="31"/>
  <c r="F48" i="31"/>
  <c r="E48" i="31"/>
  <c r="F47" i="31"/>
  <c r="E47" i="31"/>
  <c r="F46" i="31"/>
  <c r="E46" i="31"/>
  <c r="H45" i="31"/>
  <c r="I44" i="31"/>
  <c r="I45" i="31" s="1"/>
  <c r="H44" i="31"/>
  <c r="F43" i="31"/>
  <c r="E43" i="31"/>
  <c r="F42" i="31"/>
  <c r="E42" i="31"/>
  <c r="G41" i="31"/>
  <c r="F41" i="31"/>
  <c r="E41" i="31"/>
  <c r="F40" i="31"/>
  <c r="E40" i="31"/>
  <c r="F39" i="31"/>
  <c r="E39" i="31"/>
  <c r="F38" i="31"/>
  <c r="E38" i="31"/>
  <c r="F37" i="31"/>
  <c r="E37" i="31"/>
  <c r="F36" i="31"/>
  <c r="E36" i="31"/>
  <c r="F35" i="31"/>
  <c r="E35" i="31"/>
  <c r="I34" i="31"/>
  <c r="H34" i="31"/>
  <c r="F33" i="31"/>
  <c r="E33" i="31"/>
  <c r="F32" i="31"/>
  <c r="E32" i="31"/>
  <c r="F31" i="31"/>
  <c r="E31" i="31"/>
  <c r="F30" i="31"/>
  <c r="E30" i="31"/>
  <c r="I29" i="31"/>
  <c r="H29" i="31"/>
  <c r="I28" i="31"/>
  <c r="H28" i="31"/>
  <c r="F27" i="31"/>
  <c r="E27" i="31"/>
  <c r="F26" i="31"/>
  <c r="E26" i="31"/>
  <c r="F25" i="31"/>
  <c r="E25" i="31"/>
  <c r="F24" i="31"/>
  <c r="E24" i="31"/>
  <c r="F23" i="31"/>
  <c r="E23" i="31"/>
  <c r="F22" i="31"/>
  <c r="E22" i="31"/>
  <c r="F21" i="31"/>
  <c r="E21" i="31"/>
  <c r="F20" i="31"/>
  <c r="E20" i="31"/>
  <c r="F19" i="31"/>
  <c r="E19" i="31"/>
  <c r="G18" i="31"/>
  <c r="F18" i="31"/>
  <c r="E18" i="31"/>
  <c r="I17" i="31"/>
  <c r="H17" i="31"/>
  <c r="F16" i="31"/>
  <c r="E16" i="31"/>
  <c r="F15" i="31"/>
  <c r="E15" i="31"/>
  <c r="F14" i="31"/>
  <c r="E14" i="31"/>
  <c r="F13" i="31"/>
  <c r="E13" i="31"/>
  <c r="F12" i="31"/>
  <c r="E12" i="31"/>
  <c r="F11" i="31"/>
  <c r="E11" i="31"/>
  <c r="F10" i="31"/>
  <c r="E10" i="31"/>
  <c r="F9" i="31"/>
  <c r="E9" i="31"/>
  <c r="F8" i="31"/>
  <c r="E8" i="31"/>
  <c r="F7" i="31"/>
  <c r="E7" i="31"/>
  <c r="G3" i="31"/>
  <c r="A3" i="31"/>
  <c r="G297" i="1"/>
  <c r="I296" i="1"/>
  <c r="H296" i="1"/>
  <c r="G296" i="1"/>
  <c r="F296" i="1"/>
  <c r="I295" i="1"/>
  <c r="I294" i="1"/>
  <c r="I293" i="1"/>
  <c r="I292" i="1"/>
  <c r="I291" i="1"/>
  <c r="I290" i="1"/>
  <c r="I289" i="1"/>
  <c r="I297" i="1" s="1"/>
  <c r="H289" i="1"/>
  <c r="H297" i="1" s="1"/>
  <c r="G289" i="1"/>
  <c r="F289" i="1"/>
  <c r="F297" i="1" s="1"/>
  <c r="I288" i="1"/>
  <c r="I287" i="1"/>
  <c r="I286" i="1"/>
  <c r="I285" i="1"/>
  <c r="I284" i="1"/>
  <c r="I283" i="1"/>
  <c r="H282" i="1"/>
  <c r="K281" i="1"/>
  <c r="H281" i="1"/>
  <c r="G281" i="1"/>
  <c r="F281" i="1"/>
  <c r="I280" i="1"/>
  <c r="I279" i="1"/>
  <c r="I278" i="1"/>
  <c r="I281" i="1" s="1"/>
  <c r="H277" i="1"/>
  <c r="G277" i="1"/>
  <c r="F277" i="1"/>
  <c r="I276" i="1"/>
  <c r="I275" i="1"/>
  <c r="I274" i="1"/>
  <c r="I273" i="1"/>
  <c r="I272" i="1"/>
  <c r="I271" i="1"/>
  <c r="I270" i="1"/>
  <c r="H269" i="1"/>
  <c r="G269" i="1"/>
  <c r="G282" i="1" s="1"/>
  <c r="F269" i="1"/>
  <c r="F282" i="1" s="1"/>
  <c r="I268" i="1"/>
  <c r="I267" i="1"/>
  <c r="I266" i="1"/>
  <c r="I265" i="1"/>
  <c r="I264" i="1"/>
  <c r="I263" i="1"/>
  <c r="I262" i="1"/>
  <c r="I261" i="1"/>
  <c r="I260" i="1"/>
  <c r="I259" i="1"/>
  <c r="I269" i="1" s="1"/>
  <c r="H257" i="1"/>
  <c r="G257" i="1"/>
  <c r="F257" i="1"/>
  <c r="I256" i="1"/>
  <c r="I255" i="1"/>
  <c r="I254" i="1"/>
  <c r="I253" i="1"/>
  <c r="I252" i="1"/>
  <c r="I251" i="1"/>
  <c r="I250" i="1"/>
  <c r="I249" i="1"/>
  <c r="I257" i="1" s="1"/>
  <c r="I248" i="1"/>
  <c r="H247" i="1"/>
  <c r="G247" i="1"/>
  <c r="F247" i="1"/>
  <c r="I246" i="1"/>
  <c r="I245" i="1"/>
  <c r="I244" i="1"/>
  <c r="I243" i="1"/>
  <c r="I242" i="1"/>
  <c r="I247" i="1" s="1"/>
  <c r="H241" i="1"/>
  <c r="G241" i="1"/>
  <c r="F241" i="1"/>
  <c r="I240" i="1"/>
  <c r="I239" i="1"/>
  <c r="I238" i="1"/>
  <c r="I237" i="1"/>
  <c r="I241" i="1" s="1"/>
  <c r="I236" i="1"/>
  <c r="I235" i="1"/>
  <c r="H234" i="1"/>
  <c r="G234" i="1"/>
  <c r="F234" i="1"/>
  <c r="I233" i="1"/>
  <c r="I232" i="1"/>
  <c r="I231" i="1"/>
  <c r="I230" i="1"/>
  <c r="I229" i="1"/>
  <c r="I228" i="1"/>
  <c r="I227" i="1"/>
  <c r="I234" i="1" s="1"/>
  <c r="I226" i="1"/>
  <c r="H225" i="1"/>
  <c r="G225" i="1"/>
  <c r="F225" i="1"/>
  <c r="F258" i="1" s="1"/>
  <c r="I224" i="1"/>
  <c r="I223" i="1"/>
  <c r="I222" i="1"/>
  <c r="I221" i="1"/>
  <c r="I220" i="1"/>
  <c r="I219" i="1"/>
  <c r="I218" i="1"/>
  <c r="I217" i="1"/>
  <c r="I225" i="1" s="1"/>
  <c r="H216" i="1"/>
  <c r="G216" i="1"/>
  <c r="F216" i="1"/>
  <c r="I215" i="1"/>
  <c r="I214" i="1"/>
  <c r="I213" i="1"/>
  <c r="I212" i="1"/>
  <c r="I211" i="1"/>
  <c r="I210" i="1"/>
  <c r="H209" i="1"/>
  <c r="H258" i="1" s="1"/>
  <c r="G209" i="1"/>
  <c r="G258" i="1" s="1"/>
  <c r="F209" i="1"/>
  <c r="I208" i="1"/>
  <c r="I207" i="1"/>
  <c r="I206" i="1"/>
  <c r="I205" i="1"/>
  <c r="I204" i="1"/>
  <c r="I203" i="1"/>
  <c r="I202" i="1"/>
  <c r="G201" i="1"/>
  <c r="F201" i="1"/>
  <c r="H200" i="1"/>
  <c r="G200" i="1"/>
  <c r="F200" i="1"/>
  <c r="I199" i="1"/>
  <c r="I198" i="1"/>
  <c r="I197" i="1"/>
  <c r="I196" i="1"/>
  <c r="I195" i="1"/>
  <c r="I194" i="1"/>
  <c r="I193" i="1"/>
  <c r="I192" i="1"/>
  <c r="I191" i="1"/>
  <c r="I190" i="1"/>
  <c r="H189" i="1"/>
  <c r="G189" i="1"/>
  <c r="F189" i="1"/>
  <c r="I188" i="1"/>
  <c r="I187" i="1"/>
  <c r="I186" i="1"/>
  <c r="I185" i="1"/>
  <c r="I184" i="1"/>
  <c r="I183" i="1"/>
  <c r="I182" i="1"/>
  <c r="I181" i="1"/>
  <c r="I189" i="1" s="1"/>
  <c r="H180" i="1"/>
  <c r="G180" i="1"/>
  <c r="F180" i="1"/>
  <c r="I179" i="1"/>
  <c r="I178" i="1"/>
  <c r="I177" i="1"/>
  <c r="I176" i="1"/>
  <c r="I175" i="1"/>
  <c r="I174" i="1"/>
  <c r="H173" i="1"/>
  <c r="G173" i="1"/>
  <c r="F173" i="1"/>
  <c r="I172" i="1"/>
  <c r="I171" i="1"/>
  <c r="I170" i="1"/>
  <c r="I169" i="1"/>
  <c r="I168" i="1"/>
  <c r="I167" i="1"/>
  <c r="I166" i="1"/>
  <c r="I165" i="1"/>
  <c r="G164" i="1"/>
  <c r="F164" i="1"/>
  <c r="H163" i="1"/>
  <c r="G163" i="1"/>
  <c r="F163" i="1"/>
  <c r="I162" i="1"/>
  <c r="I161" i="1"/>
  <c r="I160" i="1"/>
  <c r="I159" i="1"/>
  <c r="I158" i="1"/>
  <c r="I157" i="1"/>
  <c r="I156" i="1"/>
  <c r="I155" i="1"/>
  <c r="I154" i="1"/>
  <c r="I153" i="1"/>
  <c r="H152" i="1"/>
  <c r="G152" i="1"/>
  <c r="F152" i="1"/>
  <c r="I151" i="1"/>
  <c r="I150" i="1"/>
  <c r="I149" i="1"/>
  <c r="I148" i="1"/>
  <c r="I147" i="1"/>
  <c r="I146" i="1"/>
  <c r="I145" i="1"/>
  <c r="I144" i="1"/>
  <c r="I143" i="1"/>
  <c r="H142" i="1"/>
  <c r="H164" i="1" s="1"/>
  <c r="G142" i="1"/>
  <c r="F142" i="1"/>
  <c r="I141" i="1"/>
  <c r="I140" i="1"/>
  <c r="I139" i="1"/>
  <c r="I138" i="1"/>
  <c r="I137" i="1"/>
  <c r="I136" i="1"/>
  <c r="I135" i="1"/>
  <c r="I134" i="1"/>
  <c r="I133" i="1"/>
  <c r="I132" i="1"/>
  <c r="I131" i="1"/>
  <c r="I142" i="1" s="1"/>
  <c r="I130" i="1"/>
  <c r="I129" i="1"/>
  <c r="I128" i="1"/>
  <c r="H124" i="1"/>
  <c r="G124" i="1"/>
  <c r="F124" i="1"/>
  <c r="I123" i="1"/>
  <c r="I122" i="1"/>
  <c r="I121" i="1"/>
  <c r="I120" i="1"/>
  <c r="H119" i="1"/>
  <c r="H125" i="1" s="1"/>
  <c r="G119" i="1"/>
  <c r="G125" i="1" s="1"/>
  <c r="F119" i="1"/>
  <c r="F125" i="1" s="1"/>
  <c r="I118" i="1"/>
  <c r="I117" i="1"/>
  <c r="I116" i="1"/>
  <c r="I115" i="1"/>
  <c r="I114" i="1"/>
  <c r="I113" i="1"/>
  <c r="I112" i="1"/>
  <c r="I111" i="1"/>
  <c r="I110" i="1"/>
  <c r="I109" i="1"/>
  <c r="I119" i="1" s="1"/>
  <c r="H108" i="1"/>
  <c r="G108" i="1"/>
  <c r="F108" i="1"/>
  <c r="I107" i="1"/>
  <c r="I106" i="1"/>
  <c r="I105" i="1"/>
  <c r="I104" i="1"/>
  <c r="I103" i="1"/>
  <c r="I102" i="1"/>
  <c r="I101" i="1"/>
  <c r="I100" i="1"/>
  <c r="I99" i="1"/>
  <c r="I98" i="1"/>
  <c r="I97" i="1"/>
  <c r="I108" i="1" s="1"/>
  <c r="H95" i="1"/>
  <c r="G95" i="1"/>
  <c r="F95" i="1"/>
  <c r="I94" i="1"/>
  <c r="I93" i="1"/>
  <c r="I92" i="1"/>
  <c r="I95" i="1" s="1"/>
  <c r="H91" i="1"/>
  <c r="G91" i="1"/>
  <c r="F91" i="1"/>
  <c r="F96" i="1" s="1"/>
  <c r="I90" i="1"/>
  <c r="I89" i="1"/>
  <c r="I88" i="1"/>
  <c r="I87" i="1"/>
  <c r="H86" i="1"/>
  <c r="H96" i="1" s="1"/>
  <c r="G86" i="1"/>
  <c r="G96" i="1" s="1"/>
  <c r="F86" i="1"/>
  <c r="I85" i="1"/>
  <c r="I84" i="1"/>
  <c r="I83" i="1"/>
  <c r="I82" i="1"/>
  <c r="I81" i="1"/>
  <c r="I80" i="1"/>
  <c r="H78" i="1"/>
  <c r="G78" i="1"/>
  <c r="F78" i="1"/>
  <c r="I77" i="1"/>
  <c r="I76" i="1"/>
  <c r="I75" i="1"/>
  <c r="I74" i="1"/>
  <c r="I73" i="1"/>
  <c r="I72" i="1"/>
  <c r="H71" i="1"/>
  <c r="G71" i="1"/>
  <c r="F71" i="1"/>
  <c r="I70" i="1"/>
  <c r="I69" i="1"/>
  <c r="I68" i="1"/>
  <c r="I67" i="1"/>
  <c r="I66" i="1"/>
  <c r="I65" i="1"/>
  <c r="I64" i="1"/>
  <c r="I63" i="1"/>
  <c r="I62" i="1"/>
  <c r="I71" i="1" s="1"/>
  <c r="H61" i="1"/>
  <c r="G61" i="1"/>
  <c r="F61" i="1"/>
  <c r="I60" i="1"/>
  <c r="I59" i="1"/>
  <c r="I58" i="1"/>
  <c r="I57" i="1"/>
  <c r="I56" i="1"/>
  <c r="I61" i="1" s="1"/>
  <c r="H55" i="1"/>
  <c r="H79" i="1" s="1"/>
  <c r="G55" i="1"/>
  <c r="G79" i="1" s="1"/>
  <c r="F55" i="1"/>
  <c r="F79" i="1" s="1"/>
  <c r="I54" i="1"/>
  <c r="I53" i="1"/>
  <c r="I52" i="1"/>
  <c r="I51" i="1"/>
  <c r="I50" i="1"/>
  <c r="I49" i="1"/>
  <c r="I48" i="1"/>
  <c r="I47" i="1"/>
  <c r="I46" i="1"/>
  <c r="I45" i="1"/>
  <c r="I44" i="1"/>
  <c r="H42" i="1"/>
  <c r="G42" i="1"/>
  <c r="F42" i="1"/>
  <c r="I41" i="1"/>
  <c r="I40" i="1"/>
  <c r="I39" i="1"/>
  <c r="I38" i="1"/>
  <c r="I37" i="1"/>
  <c r="I36" i="1"/>
  <c r="I35" i="1"/>
  <c r="I34" i="1"/>
  <c r="I33" i="1"/>
  <c r="I42" i="1" s="1"/>
  <c r="H32" i="1"/>
  <c r="H43" i="1" s="1"/>
  <c r="H126" i="1" s="1"/>
  <c r="G32" i="1"/>
  <c r="F32" i="1"/>
  <c r="F43" i="1" s="1"/>
  <c r="I31" i="1"/>
  <c r="I30" i="1"/>
  <c r="I29" i="1"/>
  <c r="I28" i="1"/>
  <c r="I32" i="1" s="1"/>
  <c r="I43" i="1" s="1"/>
  <c r="H27" i="1"/>
  <c r="H26" i="1"/>
  <c r="G26" i="1"/>
  <c r="F26" i="1"/>
  <c r="I25" i="1"/>
  <c r="I24" i="1"/>
  <c r="I23" i="1"/>
  <c r="I22" i="1"/>
  <c r="I21" i="1"/>
  <c r="I20" i="1"/>
  <c r="I19" i="1"/>
  <c r="I18" i="1"/>
  <c r="I17" i="1"/>
  <c r="I16" i="1"/>
  <c r="H15" i="1"/>
  <c r="G15" i="1"/>
  <c r="G27" i="1" s="1"/>
  <c r="F15" i="1"/>
  <c r="F27" i="1" s="1"/>
  <c r="I14" i="1"/>
  <c r="I13" i="1"/>
  <c r="I12" i="1"/>
  <c r="I11" i="1"/>
  <c r="I10" i="1"/>
  <c r="I9" i="1"/>
  <c r="I8" i="1"/>
  <c r="I7" i="1"/>
  <c r="I6" i="1"/>
  <c r="I5" i="1"/>
  <c r="G284" i="30"/>
  <c r="F284" i="30"/>
  <c r="E284" i="30"/>
  <c r="G276" i="30"/>
  <c r="F276" i="30"/>
  <c r="E276" i="30"/>
  <c r="G269" i="30"/>
  <c r="F269" i="30"/>
  <c r="E269" i="30"/>
  <c r="G262" i="30"/>
  <c r="F262" i="30"/>
  <c r="E262" i="30"/>
  <c r="G258" i="30"/>
  <c r="F258" i="30"/>
  <c r="E258" i="30"/>
  <c r="G247" i="30"/>
  <c r="F247" i="30"/>
  <c r="E247" i="30"/>
  <c r="G237" i="30"/>
  <c r="F237" i="30"/>
  <c r="E237" i="30"/>
  <c r="G231" i="30"/>
  <c r="F231" i="30"/>
  <c r="E231" i="30"/>
  <c r="G224" i="30"/>
  <c r="F224" i="30"/>
  <c r="E224" i="30"/>
  <c r="G215" i="30"/>
  <c r="F215" i="30"/>
  <c r="E215" i="30"/>
  <c r="G206" i="30"/>
  <c r="F206" i="30"/>
  <c r="E206" i="30"/>
  <c r="G199" i="30"/>
  <c r="F199" i="30"/>
  <c r="E199" i="30"/>
  <c r="G191" i="30"/>
  <c r="F191" i="30"/>
  <c r="E191" i="30"/>
  <c r="G180" i="30"/>
  <c r="F180" i="30"/>
  <c r="E180" i="30"/>
  <c r="G171" i="30"/>
  <c r="F171" i="30"/>
  <c r="E171" i="30"/>
  <c r="G166" i="30"/>
  <c r="F166" i="30"/>
  <c r="E166" i="30"/>
  <c r="G155" i="30"/>
  <c r="F155" i="30"/>
  <c r="E155" i="30"/>
  <c r="G143" i="30"/>
  <c r="F143" i="30"/>
  <c r="E143" i="30"/>
  <c r="G136" i="30"/>
  <c r="F136" i="30"/>
  <c r="E136" i="30"/>
  <c r="G126" i="30"/>
  <c r="F126" i="30"/>
  <c r="E126" i="30"/>
  <c r="G122" i="30"/>
  <c r="F122" i="30"/>
  <c r="E122" i="30"/>
  <c r="G117" i="30"/>
  <c r="F117" i="30"/>
  <c r="E117" i="30"/>
  <c r="G110" i="30"/>
  <c r="F110" i="30"/>
  <c r="E110" i="30"/>
  <c r="G98" i="30"/>
  <c r="F98" i="30"/>
  <c r="E98" i="30"/>
  <c r="G92" i="30"/>
  <c r="F92" i="30"/>
  <c r="E92" i="30"/>
  <c r="G81" i="30"/>
  <c r="F81" i="30"/>
  <c r="E81" i="30"/>
  <c r="G70" i="30"/>
  <c r="F70" i="30"/>
  <c r="E70" i="30"/>
  <c r="G65" i="30"/>
  <c r="F65" i="30"/>
  <c r="E65" i="30"/>
  <c r="G58" i="30"/>
  <c r="F58" i="30"/>
  <c r="E58" i="30"/>
  <c r="G49" i="30"/>
  <c r="F49" i="30"/>
  <c r="E49" i="30"/>
  <c r="G38" i="30"/>
  <c r="F38" i="30"/>
  <c r="E38" i="30"/>
  <c r="G28" i="30"/>
  <c r="F28" i="30"/>
  <c r="F285" i="30" s="1"/>
  <c r="E28" i="30"/>
  <c r="G13" i="30"/>
  <c r="F13" i="30"/>
  <c r="E13" i="30"/>
  <c r="E285" i="30" s="1"/>
  <c r="Q24" i="37" l="1"/>
  <c r="Q50" i="37" s="1"/>
  <c r="R11" i="37" s="1"/>
  <c r="R5" i="37"/>
  <c r="N7" i="37"/>
  <c r="AL7" i="37"/>
  <c r="H10" i="37"/>
  <c r="AF10" i="37"/>
  <c r="AL23" i="37"/>
  <c r="W33" i="37"/>
  <c r="Z23" i="37"/>
  <c r="Z24" i="37" s="1"/>
  <c r="Z50" i="37" s="1"/>
  <c r="H7" i="37"/>
  <c r="AF7" i="37"/>
  <c r="B10" i="37"/>
  <c r="B24" i="37" s="1"/>
  <c r="Z10" i="37"/>
  <c r="H15" i="37"/>
  <c r="AF15" i="37"/>
  <c r="AO15" i="37"/>
  <c r="AO24" i="37" s="1"/>
  <c r="N23" i="37"/>
  <c r="B28" i="37"/>
  <c r="Q15" i="37"/>
  <c r="AC19" i="37"/>
  <c r="AC24" i="37" s="1"/>
  <c r="AC50" i="37" s="1"/>
  <c r="B23" i="37"/>
  <c r="AF33" i="37"/>
  <c r="B15" i="37"/>
  <c r="Z15" i="37"/>
  <c r="B19" i="37"/>
  <c r="R20" i="37"/>
  <c r="R27" i="37"/>
  <c r="S27" i="37" s="1"/>
  <c r="T15" i="37"/>
  <c r="T24" i="37" s="1"/>
  <c r="W19" i="37"/>
  <c r="W24" i="37" s="1"/>
  <c r="W50" i="37" s="1"/>
  <c r="T28" i="37"/>
  <c r="Z28" i="37"/>
  <c r="Z49" i="37" s="1"/>
  <c r="AO33" i="37"/>
  <c r="AO49" i="37" s="1"/>
  <c r="E19" i="37"/>
  <c r="E24" i="37" s="1"/>
  <c r="E50" i="37" s="1"/>
  <c r="AF23" i="37"/>
  <c r="W28" i="37"/>
  <c r="W49" i="37" s="1"/>
  <c r="H28" i="37"/>
  <c r="H49" i="37" s="1"/>
  <c r="AF28" i="37"/>
  <c r="AF49" i="37" s="1"/>
  <c r="N33" i="37"/>
  <c r="H33" i="37"/>
  <c r="R37" i="37"/>
  <c r="S37" i="37" s="1"/>
  <c r="N41" i="37"/>
  <c r="N45" i="37"/>
  <c r="B33" i="37"/>
  <c r="T41" i="37"/>
  <c r="AL41" i="37"/>
  <c r="AL49" i="37" s="1"/>
  <c r="T45" i="37"/>
  <c r="AL45" i="37"/>
  <c r="N48" i="37"/>
  <c r="K33" i="37"/>
  <c r="K49" i="37" s="1"/>
  <c r="K50" i="37" s="1"/>
  <c r="R35" i="37"/>
  <c r="S35" i="37" s="1"/>
  <c r="N49" i="37"/>
  <c r="T33" i="37"/>
  <c r="AL48" i="37"/>
  <c r="R47" i="37"/>
  <c r="S47" i="37" s="1"/>
  <c r="Z33" i="37"/>
  <c r="B41" i="37"/>
  <c r="Z41" i="37"/>
  <c r="B45" i="37"/>
  <c r="Z45" i="37"/>
  <c r="K45" i="37"/>
  <c r="AI45" i="37"/>
  <c r="AI49" i="37" s="1"/>
  <c r="AI50" i="37" s="1"/>
  <c r="AC49" i="16"/>
  <c r="AL49" i="16"/>
  <c r="AL24" i="16"/>
  <c r="AL50" i="16" s="1"/>
  <c r="AI7" i="16"/>
  <c r="AI10" i="16"/>
  <c r="E19" i="16"/>
  <c r="Z24" i="16"/>
  <c r="Z50" i="16" s="1"/>
  <c r="E10" i="16"/>
  <c r="AF49" i="16"/>
  <c r="AF50" i="16" s="1"/>
  <c r="AG17" i="16" s="1"/>
  <c r="AH17" i="16" s="1"/>
  <c r="E7" i="16"/>
  <c r="AC15" i="16"/>
  <c r="Q41" i="16"/>
  <c r="Q49" i="16" s="1"/>
  <c r="Q7" i="16"/>
  <c r="Q24" i="16" s="1"/>
  <c r="AM13" i="16"/>
  <c r="AN13" i="16" s="1"/>
  <c r="AM16" i="16"/>
  <c r="AN16" i="16" s="1"/>
  <c r="T24" i="16"/>
  <c r="E15" i="16"/>
  <c r="AC7" i="16"/>
  <c r="N24" i="16"/>
  <c r="N50" i="16" s="1"/>
  <c r="AO7" i="16"/>
  <c r="AO24" i="16" s="1"/>
  <c r="K15" i="16"/>
  <c r="AI28" i="16"/>
  <c r="AI49" i="16" s="1"/>
  <c r="K41" i="16"/>
  <c r="K49" i="16" s="1"/>
  <c r="T49" i="16"/>
  <c r="AO33" i="16"/>
  <c r="AO49" i="16" s="1"/>
  <c r="K7" i="16"/>
  <c r="W15" i="16"/>
  <c r="W24" i="16" s="1"/>
  <c r="AC19" i="16"/>
  <c r="H23" i="16"/>
  <c r="H24" i="16" s="1"/>
  <c r="W41" i="16"/>
  <c r="W49" i="16" s="1"/>
  <c r="AG46" i="16"/>
  <c r="AH46" i="16" s="1"/>
  <c r="N49" i="16"/>
  <c r="H49" i="16"/>
  <c r="AM21" i="16"/>
  <c r="Z49" i="16"/>
  <c r="B45" i="16"/>
  <c r="B19" i="16"/>
  <c r="B28" i="16"/>
  <c r="B23" i="16"/>
  <c r="B33" i="16"/>
  <c r="B41" i="16"/>
  <c r="G285" i="30"/>
  <c r="H300" i="31"/>
  <c r="G129" i="36"/>
  <c r="H46" i="36"/>
  <c r="I86" i="1"/>
  <c r="I124" i="1"/>
  <c r="H201" i="1"/>
  <c r="H298" i="1" s="1"/>
  <c r="H299" i="1" s="1"/>
  <c r="I300" i="31"/>
  <c r="H30" i="36"/>
  <c r="I111" i="36"/>
  <c r="I145" i="36"/>
  <c r="I125" i="1"/>
  <c r="I282" i="1"/>
  <c r="I78" i="1"/>
  <c r="F298" i="1"/>
  <c r="I176" i="36"/>
  <c r="I91" i="1"/>
  <c r="G298" i="1"/>
  <c r="I64" i="36"/>
  <c r="I74" i="36"/>
  <c r="I15" i="1"/>
  <c r="I173" i="1"/>
  <c r="H128" i="31"/>
  <c r="H301" i="31" s="1"/>
  <c r="H82" i="36"/>
  <c r="I228" i="36"/>
  <c r="F126" i="1"/>
  <c r="I26" i="1"/>
  <c r="G43" i="1"/>
  <c r="G126" i="1" s="1"/>
  <c r="G299" i="1" s="1"/>
  <c r="I55" i="1"/>
  <c r="I79" i="1" s="1"/>
  <c r="I216" i="1"/>
  <c r="I128" i="31"/>
  <c r="I301" i="31" s="1"/>
  <c r="I166" i="36"/>
  <c r="I152" i="1"/>
  <c r="I164" i="1" s="1"/>
  <c r="I30" i="36"/>
  <c r="H127" i="36"/>
  <c r="I177" i="36"/>
  <c r="I183" i="36" s="1"/>
  <c r="I299" i="36"/>
  <c r="I79" i="36"/>
  <c r="I81" i="36" s="1"/>
  <c r="I95" i="36"/>
  <c r="I98" i="36" s="1"/>
  <c r="H111" i="36"/>
  <c r="H128" i="36" s="1"/>
  <c r="I146" i="36"/>
  <c r="I155" i="36" s="1"/>
  <c r="H203" i="36"/>
  <c r="H204" i="36" s="1"/>
  <c r="H237" i="36"/>
  <c r="I180" i="1"/>
  <c r="I200" i="1"/>
  <c r="G261" i="36"/>
  <c r="I163" i="1"/>
  <c r="I209" i="1"/>
  <c r="I258" i="1" s="1"/>
  <c r="I277" i="1"/>
  <c r="I19" i="36"/>
  <c r="I29" i="36" s="1"/>
  <c r="I31" i="36"/>
  <c r="I35" i="36" s="1"/>
  <c r="I83" i="36"/>
  <c r="I89" i="36" s="1"/>
  <c r="I99" i="36" s="1"/>
  <c r="H260" i="36"/>
  <c r="I251" i="36"/>
  <c r="I260" i="36" s="1"/>
  <c r="H300" i="36"/>
  <c r="I47" i="36"/>
  <c r="I58" i="36" s="1"/>
  <c r="H166" i="36"/>
  <c r="H167" i="36" s="1"/>
  <c r="H301" i="36" s="1"/>
  <c r="H228" i="36"/>
  <c r="I286" i="36"/>
  <c r="I292" i="36" s="1"/>
  <c r="I300" i="36" s="1"/>
  <c r="I205" i="36"/>
  <c r="I212" i="36" s="1"/>
  <c r="H212" i="36"/>
  <c r="H261" i="36" s="1"/>
  <c r="I219" i="36"/>
  <c r="G300" i="36"/>
  <c r="G301" i="36" s="1"/>
  <c r="I36" i="36"/>
  <c r="I45" i="36" s="1"/>
  <c r="I115" i="36"/>
  <c r="I122" i="36" s="1"/>
  <c r="H280" i="36"/>
  <c r="H285" i="36" s="1"/>
  <c r="G35" i="22"/>
  <c r="H35" i="22"/>
  <c r="G57" i="22"/>
  <c r="D57" i="22"/>
  <c r="H57" i="22"/>
  <c r="AA47" i="37" l="1"/>
  <c r="AB47" i="37" s="1"/>
  <c r="AA43" i="37"/>
  <c r="AB43" i="37" s="1"/>
  <c r="AA39" i="37"/>
  <c r="AB39" i="37" s="1"/>
  <c r="AA35" i="37"/>
  <c r="AB35" i="37" s="1"/>
  <c r="AA31" i="37"/>
  <c r="AB31" i="37" s="1"/>
  <c r="AA27" i="37"/>
  <c r="AB27" i="37" s="1"/>
  <c r="AA16" i="37"/>
  <c r="AA13" i="37"/>
  <c r="AB13" i="37" s="1"/>
  <c r="AA9" i="37"/>
  <c r="AB9" i="37" s="1"/>
  <c r="AA5" i="37"/>
  <c r="AA8" i="37"/>
  <c r="AA14" i="37"/>
  <c r="AB14" i="37" s="1"/>
  <c r="AA20" i="37"/>
  <c r="AA17" i="37"/>
  <c r="AB17" i="37" s="1"/>
  <c r="AA29" i="37"/>
  <c r="AA38" i="37"/>
  <c r="AB38" i="37" s="1"/>
  <c r="AA21" i="37"/>
  <c r="AB21" i="37" s="1"/>
  <c r="AA18" i="37"/>
  <c r="AB18" i="37" s="1"/>
  <c r="AA30" i="37"/>
  <c r="AB30" i="37" s="1"/>
  <c r="AA42" i="37"/>
  <c r="AA22" i="37"/>
  <c r="AB22" i="37" s="1"/>
  <c r="AA36" i="37"/>
  <c r="AB36" i="37" s="1"/>
  <c r="AA25" i="37"/>
  <c r="AA44" i="37"/>
  <c r="AB44" i="37" s="1"/>
  <c r="AA34" i="37"/>
  <c r="AA6" i="37"/>
  <c r="AB6" i="37" s="1"/>
  <c r="AA12" i="37"/>
  <c r="AB12" i="37" s="1"/>
  <c r="AA40" i="37"/>
  <c r="AB40" i="37" s="1"/>
  <c r="AA11" i="37"/>
  <c r="AA46" i="37"/>
  <c r="AA37" i="37"/>
  <c r="AB37" i="37" s="1"/>
  <c r="AA32" i="37"/>
  <c r="AB32" i="37" s="1"/>
  <c r="AA26" i="37"/>
  <c r="AB26" i="37" s="1"/>
  <c r="AO50" i="37"/>
  <c r="F37" i="37"/>
  <c r="G37" i="37" s="1"/>
  <c r="F44" i="37"/>
  <c r="G44" i="37" s="1"/>
  <c r="F40" i="37"/>
  <c r="G40" i="37" s="1"/>
  <c r="F36" i="37"/>
  <c r="G36" i="37" s="1"/>
  <c r="F47" i="37"/>
  <c r="G47" i="37" s="1"/>
  <c r="F42" i="37"/>
  <c r="F34" i="37"/>
  <c r="F30" i="37"/>
  <c r="G30" i="37" s="1"/>
  <c r="F38" i="37"/>
  <c r="G38" i="37" s="1"/>
  <c r="F32" i="37"/>
  <c r="G32" i="37" s="1"/>
  <c r="F22" i="37"/>
  <c r="G22" i="37" s="1"/>
  <c r="F18" i="37"/>
  <c r="G18" i="37" s="1"/>
  <c r="F14" i="37"/>
  <c r="G14" i="37" s="1"/>
  <c r="F6" i="37"/>
  <c r="G6" i="37" s="1"/>
  <c r="F20" i="37"/>
  <c r="F12" i="37"/>
  <c r="G12" i="37" s="1"/>
  <c r="F8" i="37"/>
  <c r="F46" i="37"/>
  <c r="F16" i="37"/>
  <c r="F35" i="37"/>
  <c r="G35" i="37" s="1"/>
  <c r="F13" i="37"/>
  <c r="G13" i="37" s="1"/>
  <c r="F27" i="37"/>
  <c r="G27" i="37" s="1"/>
  <c r="F17" i="37"/>
  <c r="F26" i="37"/>
  <c r="G26" i="37" s="1"/>
  <c r="F5" i="37"/>
  <c r="F29" i="37"/>
  <c r="F43" i="37"/>
  <c r="G43" i="37" s="1"/>
  <c r="F39" i="37"/>
  <c r="G39" i="37" s="1"/>
  <c r="F25" i="37"/>
  <c r="F31" i="37"/>
  <c r="G31" i="37" s="1"/>
  <c r="F9" i="37"/>
  <c r="G9" i="37" s="1"/>
  <c r="F11" i="37"/>
  <c r="F21" i="37"/>
  <c r="G21" i="37" s="1"/>
  <c r="S11" i="37"/>
  <c r="L46" i="37"/>
  <c r="L34" i="37"/>
  <c r="L37" i="37"/>
  <c r="M37" i="37" s="1"/>
  <c r="L29" i="37"/>
  <c r="L47" i="37"/>
  <c r="M47" i="37" s="1"/>
  <c r="L20" i="37"/>
  <c r="L43" i="37"/>
  <c r="M43" i="37" s="1"/>
  <c r="L35" i="37"/>
  <c r="M35" i="37" s="1"/>
  <c r="L30" i="37"/>
  <c r="M30" i="37" s="1"/>
  <c r="L16" i="37"/>
  <c r="L11" i="37"/>
  <c r="L39" i="37"/>
  <c r="M39" i="37" s="1"/>
  <c r="L25" i="37"/>
  <c r="L13" i="37"/>
  <c r="M13" i="37" s="1"/>
  <c r="L9" i="37"/>
  <c r="M9" i="37" s="1"/>
  <c r="L5" i="37"/>
  <c r="L21" i="37"/>
  <c r="M21" i="37" s="1"/>
  <c r="L17" i="37"/>
  <c r="M17" i="37" s="1"/>
  <c r="L12" i="37"/>
  <c r="M12" i="37" s="1"/>
  <c r="L31" i="37"/>
  <c r="M31" i="37" s="1"/>
  <c r="L27" i="37"/>
  <c r="M27" i="37" s="1"/>
  <c r="L42" i="37"/>
  <c r="L38" i="37"/>
  <c r="M38" i="37" s="1"/>
  <c r="L40" i="37"/>
  <c r="M40" i="37" s="1"/>
  <c r="L22" i="37"/>
  <c r="M22" i="37" s="1"/>
  <c r="L36" i="37"/>
  <c r="M36" i="37" s="1"/>
  <c r="L6" i="37"/>
  <c r="M6" i="37" s="1"/>
  <c r="L44" i="37"/>
  <c r="M44" i="37" s="1"/>
  <c r="L8" i="37"/>
  <c r="L26" i="37"/>
  <c r="M26" i="37" s="1"/>
  <c r="L32" i="37"/>
  <c r="M32" i="37" s="1"/>
  <c r="L14" i="37"/>
  <c r="M14" i="37" s="1"/>
  <c r="L18" i="37"/>
  <c r="M18" i="37" s="1"/>
  <c r="AJ34" i="37"/>
  <c r="AJ37" i="37"/>
  <c r="AK37" i="37" s="1"/>
  <c r="AJ47" i="37"/>
  <c r="AK47" i="37" s="1"/>
  <c r="AJ43" i="37"/>
  <c r="AK43" i="37" s="1"/>
  <c r="AJ35" i="37"/>
  <c r="AK35" i="37" s="1"/>
  <c r="AJ30" i="37"/>
  <c r="AK30" i="37" s="1"/>
  <c r="AJ29" i="37"/>
  <c r="AJ20" i="37"/>
  <c r="AJ39" i="37"/>
  <c r="AK39" i="37" s="1"/>
  <c r="AJ21" i="37"/>
  <c r="AK21" i="37" s="1"/>
  <c r="AJ25" i="37"/>
  <c r="AJ11" i="37"/>
  <c r="AJ17" i="37"/>
  <c r="AK17" i="37" s="1"/>
  <c r="AJ16" i="37"/>
  <c r="AJ13" i="37"/>
  <c r="AK13" i="37" s="1"/>
  <c r="AJ9" i="37"/>
  <c r="AK9" i="37" s="1"/>
  <c r="AJ5" i="37"/>
  <c r="AJ8" i="37"/>
  <c r="AJ12" i="37"/>
  <c r="AK12" i="37" s="1"/>
  <c r="AJ40" i="37"/>
  <c r="AK40" i="37" s="1"/>
  <c r="AJ27" i="37"/>
  <c r="AK27" i="37" s="1"/>
  <c r="AJ22" i="37"/>
  <c r="AK22" i="37" s="1"/>
  <c r="AJ42" i="37"/>
  <c r="AJ38" i="37"/>
  <c r="AK38" i="37" s="1"/>
  <c r="AJ26" i="37"/>
  <c r="AK26" i="37" s="1"/>
  <c r="AJ32" i="37"/>
  <c r="AK32" i="37" s="1"/>
  <c r="AJ36" i="37"/>
  <c r="AK36" i="37" s="1"/>
  <c r="AJ14" i="37"/>
  <c r="AK14" i="37" s="1"/>
  <c r="AJ46" i="37"/>
  <c r="AJ31" i="37"/>
  <c r="AK31" i="37" s="1"/>
  <c r="AJ44" i="37"/>
  <c r="AK44" i="37" s="1"/>
  <c r="AJ6" i="37"/>
  <c r="AK6" i="37" s="1"/>
  <c r="AJ18" i="37"/>
  <c r="AK18" i="37" s="1"/>
  <c r="X36" i="37"/>
  <c r="Y36" i="37" s="1"/>
  <c r="X32" i="37"/>
  <c r="Y32" i="37" s="1"/>
  <c r="X47" i="37"/>
  <c r="Y47" i="37" s="1"/>
  <c r="X43" i="37"/>
  <c r="Y43" i="37" s="1"/>
  <c r="X39" i="37"/>
  <c r="Y39" i="37" s="1"/>
  <c r="X35" i="37"/>
  <c r="Y35" i="37" s="1"/>
  <c r="X31" i="37"/>
  <c r="Y31" i="37" s="1"/>
  <c r="X27" i="37"/>
  <c r="Y27" i="37" s="1"/>
  <c r="X22" i="37"/>
  <c r="Y22" i="37" s="1"/>
  <c r="X37" i="37"/>
  <c r="Y37" i="37" s="1"/>
  <c r="X13" i="37"/>
  <c r="Y13" i="37" s="1"/>
  <c r="X9" i="37"/>
  <c r="Y9" i="37" s="1"/>
  <c r="X5" i="37"/>
  <c r="X18" i="37"/>
  <c r="Y18" i="37" s="1"/>
  <c r="X17" i="37"/>
  <c r="Y17" i="37" s="1"/>
  <c r="X11" i="37"/>
  <c r="X16" i="37"/>
  <c r="X34" i="37"/>
  <c r="X20" i="37"/>
  <c r="X30" i="37"/>
  <c r="Y30" i="37" s="1"/>
  <c r="X40" i="37"/>
  <c r="Y40" i="37" s="1"/>
  <c r="X6" i="37"/>
  <c r="Y6" i="37" s="1"/>
  <c r="X29" i="37"/>
  <c r="X8" i="37"/>
  <c r="X26" i="37"/>
  <c r="Y26" i="37" s="1"/>
  <c r="X12" i="37"/>
  <c r="Y12" i="37" s="1"/>
  <c r="X14" i="37"/>
  <c r="Y14" i="37" s="1"/>
  <c r="X42" i="37"/>
  <c r="X25" i="37"/>
  <c r="X21" i="37"/>
  <c r="Y21" i="37" s="1"/>
  <c r="X44" i="37"/>
  <c r="Y44" i="37" s="1"/>
  <c r="X38" i="37"/>
  <c r="Y38" i="37" s="1"/>
  <c r="X46" i="37"/>
  <c r="AD37" i="37"/>
  <c r="AE37" i="37" s="1"/>
  <c r="AD44" i="37"/>
  <c r="AE44" i="37" s="1"/>
  <c r="AD40" i="37"/>
  <c r="AE40" i="37" s="1"/>
  <c r="AD36" i="37"/>
  <c r="AE36" i="37" s="1"/>
  <c r="AD47" i="37"/>
  <c r="AE47" i="37" s="1"/>
  <c r="AD38" i="37"/>
  <c r="AE38" i="37" s="1"/>
  <c r="AD46" i="37"/>
  <c r="AD18" i="37"/>
  <c r="AE18" i="37" s="1"/>
  <c r="AD14" i="37"/>
  <c r="AE14" i="37" s="1"/>
  <c r="AD6" i="37"/>
  <c r="AE6" i="37" s="1"/>
  <c r="AD16" i="37"/>
  <c r="AD20" i="37"/>
  <c r="AD42" i="37"/>
  <c r="AD12" i="37"/>
  <c r="AE12" i="37" s="1"/>
  <c r="AD8" i="37"/>
  <c r="AD34" i="37"/>
  <c r="AD32" i="37"/>
  <c r="AE32" i="37" s="1"/>
  <c r="AD11" i="37"/>
  <c r="AD26" i="37"/>
  <c r="AE26" i="37" s="1"/>
  <c r="AD27" i="37"/>
  <c r="AE27" i="37" s="1"/>
  <c r="AD17" i="37"/>
  <c r="AE17" i="37" s="1"/>
  <c r="AD5" i="37"/>
  <c r="AD35" i="37"/>
  <c r="AE35" i="37" s="1"/>
  <c r="AD29" i="37"/>
  <c r="AD25" i="37"/>
  <c r="AD22" i="37"/>
  <c r="AE22" i="37" s="1"/>
  <c r="AD39" i="37"/>
  <c r="AE39" i="37" s="1"/>
  <c r="AD30" i="37"/>
  <c r="AE30" i="37" s="1"/>
  <c r="AD21" i="37"/>
  <c r="AE21" i="37" s="1"/>
  <c r="AD13" i="37"/>
  <c r="AE13" i="37" s="1"/>
  <c r="AD43" i="37"/>
  <c r="AE43" i="37" s="1"/>
  <c r="AD31" i="37"/>
  <c r="AE31" i="37" s="1"/>
  <c r="AD9" i="37"/>
  <c r="AE9" i="37" s="1"/>
  <c r="B50" i="37"/>
  <c r="R43" i="37"/>
  <c r="S43" i="37" s="1"/>
  <c r="B49" i="37"/>
  <c r="T49" i="37"/>
  <c r="T50" i="37" s="1"/>
  <c r="AL24" i="37"/>
  <c r="AL50" i="37" s="1"/>
  <c r="S20" i="37"/>
  <c r="AF24" i="37"/>
  <c r="AF50" i="37" s="1"/>
  <c r="N24" i="37"/>
  <c r="N50" i="37" s="1"/>
  <c r="R39" i="37"/>
  <c r="S39" i="37" s="1"/>
  <c r="R25" i="37"/>
  <c r="H24" i="37"/>
  <c r="H50" i="37" s="1"/>
  <c r="R13" i="37"/>
  <c r="S13" i="37" s="1"/>
  <c r="S5" i="37"/>
  <c r="S7" i="37" s="1"/>
  <c r="R31" i="37"/>
  <c r="S31" i="37" s="1"/>
  <c r="R46" i="37"/>
  <c r="R42" i="37"/>
  <c r="R38" i="37"/>
  <c r="S38" i="37" s="1"/>
  <c r="R34" i="37"/>
  <c r="R44" i="37"/>
  <c r="S44" i="37" s="1"/>
  <c r="R36" i="37"/>
  <c r="S36" i="37" s="1"/>
  <c r="R40" i="37"/>
  <c r="S40" i="37" s="1"/>
  <c r="R21" i="37"/>
  <c r="S21" i="37" s="1"/>
  <c r="R32" i="37"/>
  <c r="S32" i="37" s="1"/>
  <c r="R30" i="37"/>
  <c r="S30" i="37" s="1"/>
  <c r="R18" i="37"/>
  <c r="S18" i="37" s="1"/>
  <c r="R17" i="37"/>
  <c r="S17" i="37" s="1"/>
  <c r="R12" i="37"/>
  <c r="S12" i="37" s="1"/>
  <c r="R8" i="37"/>
  <c r="R22" i="37"/>
  <c r="S22" i="37" s="1"/>
  <c r="R26" i="37"/>
  <c r="S26" i="37" s="1"/>
  <c r="R16" i="37"/>
  <c r="R14" i="37"/>
  <c r="S14" i="37" s="1"/>
  <c r="R6" i="37"/>
  <c r="S6" i="37" s="1"/>
  <c r="R29" i="37"/>
  <c r="R9" i="37"/>
  <c r="S9" i="37" s="1"/>
  <c r="AA35" i="16"/>
  <c r="AB35" i="16" s="1"/>
  <c r="AA44" i="16"/>
  <c r="AB44" i="16" s="1"/>
  <c r="H50" i="16"/>
  <c r="I20" i="16" s="1"/>
  <c r="J20" i="16" s="1"/>
  <c r="AI24" i="16"/>
  <c r="AI50" i="16" s="1"/>
  <c r="Q50" i="16"/>
  <c r="R18" i="16" s="1"/>
  <c r="S18" i="16" s="1"/>
  <c r="AO50" i="16"/>
  <c r="AP40" i="16" s="1"/>
  <c r="AQ40" i="16" s="1"/>
  <c r="R46" i="16"/>
  <c r="S46" i="16" s="1"/>
  <c r="R40" i="16"/>
  <c r="S40" i="16" s="1"/>
  <c r="R30" i="16"/>
  <c r="S30" i="16" s="1"/>
  <c r="R38" i="16"/>
  <c r="S38" i="16" s="1"/>
  <c r="R26" i="16"/>
  <c r="S26" i="16" s="1"/>
  <c r="R17" i="16"/>
  <c r="S17" i="16" s="1"/>
  <c r="R31" i="16"/>
  <c r="S31" i="16" s="1"/>
  <c r="R8" i="16"/>
  <c r="S8" i="16" s="1"/>
  <c r="R6" i="16"/>
  <c r="S6" i="16" s="1"/>
  <c r="R22" i="16"/>
  <c r="S22" i="16" s="1"/>
  <c r="R20" i="16"/>
  <c r="S20" i="16" s="1"/>
  <c r="R32" i="16"/>
  <c r="S32" i="16" s="1"/>
  <c r="R9" i="16"/>
  <c r="S9" i="16" s="1"/>
  <c r="R35" i="16"/>
  <c r="S35" i="16" s="1"/>
  <c r="R12" i="16"/>
  <c r="S12" i="16" s="1"/>
  <c r="R21" i="16"/>
  <c r="S21" i="16" s="1"/>
  <c r="R27" i="16"/>
  <c r="S27" i="16" s="1"/>
  <c r="R36" i="16"/>
  <c r="S36" i="16" s="1"/>
  <c r="R25" i="16"/>
  <c r="R29" i="16"/>
  <c r="S29" i="16" s="1"/>
  <c r="R39" i="16"/>
  <c r="S39" i="16" s="1"/>
  <c r="R47" i="16"/>
  <c r="S47" i="16" s="1"/>
  <c r="R14" i="16"/>
  <c r="S14" i="16" s="1"/>
  <c r="R13" i="16"/>
  <c r="S13" i="16" s="1"/>
  <c r="W50" i="16"/>
  <c r="AP46" i="16"/>
  <c r="AQ46" i="16" s="1"/>
  <c r="AP30" i="16"/>
  <c r="AQ30" i="16" s="1"/>
  <c r="AP35" i="16"/>
  <c r="AP8" i="16"/>
  <c r="AQ8" i="16" s="1"/>
  <c r="AP14" i="16"/>
  <c r="AQ14" i="16" s="1"/>
  <c r="AP27" i="16"/>
  <c r="AQ27" i="16" s="1"/>
  <c r="AP34" i="16"/>
  <c r="AQ34" i="16" s="1"/>
  <c r="AP21" i="16"/>
  <c r="AP38" i="16"/>
  <c r="AQ38" i="16" s="1"/>
  <c r="AP11" i="16"/>
  <c r="AQ11" i="16" s="1"/>
  <c r="AP25" i="16"/>
  <c r="AP16" i="16"/>
  <c r="AQ16" i="16" s="1"/>
  <c r="O44" i="16"/>
  <c r="P44" i="16" s="1"/>
  <c r="O39" i="16"/>
  <c r="P39" i="16" s="1"/>
  <c r="O38" i="16"/>
  <c r="P38" i="16" s="1"/>
  <c r="O34" i="16"/>
  <c r="P34" i="16" s="1"/>
  <c r="O29" i="16"/>
  <c r="P29" i="16" s="1"/>
  <c r="O22" i="16"/>
  <c r="P22" i="16" s="1"/>
  <c r="O42" i="16"/>
  <c r="P42" i="16" s="1"/>
  <c r="O32" i="16"/>
  <c r="P32" i="16" s="1"/>
  <c r="O27" i="16"/>
  <c r="P27" i="16" s="1"/>
  <c r="O36" i="16"/>
  <c r="P36" i="16" s="1"/>
  <c r="O18" i="16"/>
  <c r="P18" i="16" s="1"/>
  <c r="O31" i="16"/>
  <c r="P31" i="16" s="1"/>
  <c r="O20" i="16"/>
  <c r="P20" i="16" s="1"/>
  <c r="O16" i="16"/>
  <c r="P16" i="16" s="1"/>
  <c r="O40" i="16"/>
  <c r="P40" i="16" s="1"/>
  <c r="O35" i="16"/>
  <c r="P35" i="16" s="1"/>
  <c r="O25" i="16"/>
  <c r="P25" i="16" s="1"/>
  <c r="O17" i="16"/>
  <c r="P17" i="16" s="1"/>
  <c r="O46" i="16"/>
  <c r="P46" i="16" s="1"/>
  <c r="O26" i="16"/>
  <c r="P26" i="16" s="1"/>
  <c r="O30" i="16"/>
  <c r="P30" i="16" s="1"/>
  <c r="O12" i="16"/>
  <c r="P12" i="16" s="1"/>
  <c r="O14" i="16"/>
  <c r="P14" i="16" s="1"/>
  <c r="O8" i="16"/>
  <c r="P8" i="16" s="1"/>
  <c r="O13" i="16"/>
  <c r="P13" i="16" s="1"/>
  <c r="O9" i="16"/>
  <c r="P9" i="16" s="1"/>
  <c r="O6" i="16"/>
  <c r="O11" i="16"/>
  <c r="P11" i="16" s="1"/>
  <c r="O43" i="16"/>
  <c r="P43" i="16" s="1"/>
  <c r="O21" i="16"/>
  <c r="P21" i="16" s="1"/>
  <c r="O37" i="16"/>
  <c r="P37" i="16" s="1"/>
  <c r="O47" i="16"/>
  <c r="P47" i="16" s="1"/>
  <c r="AJ44" i="16"/>
  <c r="AK44" i="16" s="1"/>
  <c r="AJ39" i="16"/>
  <c r="AK39" i="16" s="1"/>
  <c r="AJ9" i="16"/>
  <c r="AK9" i="16" s="1"/>
  <c r="AJ43" i="16"/>
  <c r="AK43" i="16" s="1"/>
  <c r="AA47" i="16"/>
  <c r="AB47" i="16" s="1"/>
  <c r="AA42" i="16"/>
  <c r="AB42" i="16" s="1"/>
  <c r="AA37" i="16"/>
  <c r="AA40" i="16"/>
  <c r="AA36" i="16"/>
  <c r="AB36" i="16" s="1"/>
  <c r="AA31" i="16"/>
  <c r="AB31" i="16" s="1"/>
  <c r="AA26" i="16"/>
  <c r="AB26" i="16" s="1"/>
  <c r="AA39" i="16"/>
  <c r="AA30" i="16"/>
  <c r="AB30" i="16" s="1"/>
  <c r="AA25" i="16"/>
  <c r="AB25" i="16" s="1"/>
  <c r="AA38" i="16"/>
  <c r="AB38" i="16" s="1"/>
  <c r="AA34" i="16"/>
  <c r="AA22" i="16"/>
  <c r="AB22" i="16" s="1"/>
  <c r="AA17" i="16"/>
  <c r="AB17" i="16" s="1"/>
  <c r="AA13" i="16"/>
  <c r="AB13" i="16" s="1"/>
  <c r="AA43" i="16"/>
  <c r="AB43" i="16" s="1"/>
  <c r="AA27" i="16"/>
  <c r="AB27" i="16" s="1"/>
  <c r="AA29" i="16"/>
  <c r="AA20" i="16"/>
  <c r="AA9" i="16"/>
  <c r="AB9" i="16" s="1"/>
  <c r="AA32" i="16"/>
  <c r="AB32" i="16" s="1"/>
  <c r="AA18" i="16"/>
  <c r="AB18" i="16" s="1"/>
  <c r="AA14" i="16"/>
  <c r="AB14" i="16" s="1"/>
  <c r="AA12" i="16"/>
  <c r="AB12" i="16" s="1"/>
  <c r="AA11" i="16"/>
  <c r="AB11" i="16" s="1"/>
  <c r="AA6" i="16"/>
  <c r="AB6" i="16" s="1"/>
  <c r="AA8" i="16"/>
  <c r="AB8" i="16" s="1"/>
  <c r="AA21" i="16"/>
  <c r="AB21" i="16" s="1"/>
  <c r="AJ32" i="16"/>
  <c r="AK32" i="16" s="1"/>
  <c r="AJ29" i="16"/>
  <c r="AK29" i="16" s="1"/>
  <c r="AJ16" i="16"/>
  <c r="AK16" i="16" s="1"/>
  <c r="AJ17" i="16"/>
  <c r="I17" i="16"/>
  <c r="J17" i="16" s="1"/>
  <c r="AJ36" i="16"/>
  <c r="AK36" i="16" s="1"/>
  <c r="AJ27" i="16"/>
  <c r="AK27" i="16" s="1"/>
  <c r="AG43" i="16"/>
  <c r="AH43" i="16" s="1"/>
  <c r="AG38" i="16"/>
  <c r="AH38" i="16" s="1"/>
  <c r="AG47" i="16"/>
  <c r="AH47" i="16" s="1"/>
  <c r="AG37" i="16"/>
  <c r="AH37" i="16" s="1"/>
  <c r="AG32" i="16"/>
  <c r="AH32" i="16" s="1"/>
  <c r="AG27" i="16"/>
  <c r="AH27" i="16" s="1"/>
  <c r="AG21" i="16"/>
  <c r="AH21" i="16" s="1"/>
  <c r="AG40" i="16"/>
  <c r="AH40" i="16" s="1"/>
  <c r="AG36" i="16"/>
  <c r="AH36" i="16" s="1"/>
  <c r="AG26" i="16"/>
  <c r="AH26" i="16" s="1"/>
  <c r="AG25" i="16"/>
  <c r="AG14" i="16"/>
  <c r="AH14" i="16" s="1"/>
  <c r="AG35" i="16"/>
  <c r="AH35" i="16" s="1"/>
  <c r="AG29" i="16"/>
  <c r="AH29" i="16" s="1"/>
  <c r="AG20" i="16"/>
  <c r="AH20" i="16" s="1"/>
  <c r="AG18" i="16"/>
  <c r="AH18" i="16" s="1"/>
  <c r="AG39" i="16"/>
  <c r="AH39" i="16" s="1"/>
  <c r="AG30" i="16"/>
  <c r="AH30" i="16" s="1"/>
  <c r="AG44" i="16"/>
  <c r="AH44" i="16" s="1"/>
  <c r="AG8" i="16"/>
  <c r="AG9" i="16"/>
  <c r="AH9" i="16" s="1"/>
  <c r="AG12" i="16"/>
  <c r="AH12" i="16" s="1"/>
  <c r="AG11" i="16"/>
  <c r="AH11" i="16" s="1"/>
  <c r="AG22" i="16"/>
  <c r="AH22" i="16" s="1"/>
  <c r="AG34" i="16"/>
  <c r="AH34" i="16" s="1"/>
  <c r="AG16" i="16"/>
  <c r="AG13" i="16"/>
  <c r="AH13" i="16" s="1"/>
  <c r="AJ12" i="16"/>
  <c r="AK12" i="16" s="1"/>
  <c r="T50" i="16"/>
  <c r="AG42" i="16"/>
  <c r="AH42" i="16" s="1"/>
  <c r="AJ34" i="16"/>
  <c r="AK34" i="16" s="1"/>
  <c r="AJ22" i="16"/>
  <c r="AK22" i="16" s="1"/>
  <c r="AJ11" i="16"/>
  <c r="AA16" i="16"/>
  <c r="AB16" i="16" s="1"/>
  <c r="AJ13" i="16"/>
  <c r="AK13" i="16" s="1"/>
  <c r="AM44" i="16"/>
  <c r="AN44" i="16" s="1"/>
  <c r="AM39" i="16"/>
  <c r="AN39" i="16" s="1"/>
  <c r="AM35" i="16"/>
  <c r="AN35" i="16" s="1"/>
  <c r="AM38" i="16"/>
  <c r="AN38" i="16" s="1"/>
  <c r="AM34" i="16"/>
  <c r="AN34" i="16" s="1"/>
  <c r="AM29" i="16"/>
  <c r="AN29" i="16" s="1"/>
  <c r="AM22" i="16"/>
  <c r="AN22" i="16" s="1"/>
  <c r="AM42" i="16"/>
  <c r="AN42" i="16" s="1"/>
  <c r="AM37" i="16"/>
  <c r="AN37" i="16" s="1"/>
  <c r="AM27" i="16"/>
  <c r="AN27" i="16" s="1"/>
  <c r="AM40" i="16"/>
  <c r="AN40" i="16" s="1"/>
  <c r="AM26" i="16"/>
  <c r="AN26" i="16" s="1"/>
  <c r="AM46" i="16"/>
  <c r="AN46" i="16" s="1"/>
  <c r="AM30" i="16"/>
  <c r="AN30" i="16" s="1"/>
  <c r="AM31" i="16"/>
  <c r="AN31" i="16" s="1"/>
  <c r="AM25" i="16"/>
  <c r="AM17" i="16"/>
  <c r="AN17" i="16" s="1"/>
  <c r="AM14" i="16"/>
  <c r="AN14" i="16" s="1"/>
  <c r="AM20" i="16"/>
  <c r="AN20" i="16" s="1"/>
  <c r="AM9" i="16"/>
  <c r="AN9" i="16" s="1"/>
  <c r="AM8" i="16"/>
  <c r="AN8" i="16" s="1"/>
  <c r="AM6" i="16"/>
  <c r="AM36" i="16"/>
  <c r="AN36" i="16" s="1"/>
  <c r="AM11" i="16"/>
  <c r="AN11" i="16" s="1"/>
  <c r="AM18" i="16"/>
  <c r="AN18" i="16" s="1"/>
  <c r="AM12" i="16"/>
  <c r="AN12" i="16" s="1"/>
  <c r="AA46" i="16"/>
  <c r="AB46" i="16" s="1"/>
  <c r="AJ42" i="16"/>
  <c r="AK42" i="16" s="1"/>
  <c r="AM32" i="16"/>
  <c r="AJ40" i="16"/>
  <c r="AK40" i="16" s="1"/>
  <c r="AJ21" i="16"/>
  <c r="AJ35" i="16"/>
  <c r="AK35" i="16" s="1"/>
  <c r="AJ6" i="16"/>
  <c r="AK6" i="16" s="1"/>
  <c r="AJ47" i="16"/>
  <c r="AK47" i="16" s="1"/>
  <c r="AJ37" i="16"/>
  <c r="AK37" i="16" s="1"/>
  <c r="I43" i="16"/>
  <c r="J43" i="16" s="1"/>
  <c r="I38" i="16"/>
  <c r="J38" i="16" s="1"/>
  <c r="I47" i="16"/>
  <c r="J47" i="16" s="1"/>
  <c r="I42" i="16"/>
  <c r="J42" i="16" s="1"/>
  <c r="I37" i="16"/>
  <c r="I32" i="16"/>
  <c r="J32" i="16" s="1"/>
  <c r="I27" i="16"/>
  <c r="J27" i="16" s="1"/>
  <c r="I21" i="16"/>
  <c r="J21" i="16" s="1"/>
  <c r="I40" i="16"/>
  <c r="J40" i="16" s="1"/>
  <c r="I36" i="16"/>
  <c r="J36" i="16" s="1"/>
  <c r="I26" i="16"/>
  <c r="J26" i="16" s="1"/>
  <c r="I44" i="16"/>
  <c r="J44" i="16" s="1"/>
  <c r="I30" i="16"/>
  <c r="J30" i="16" s="1"/>
  <c r="I14" i="16"/>
  <c r="J14" i="16" s="1"/>
  <c r="I34" i="16"/>
  <c r="J34" i="16" s="1"/>
  <c r="I22" i="16"/>
  <c r="J22" i="16" s="1"/>
  <c r="I35" i="16"/>
  <c r="J35" i="16" s="1"/>
  <c r="I25" i="16"/>
  <c r="J25" i="16" s="1"/>
  <c r="I18" i="16"/>
  <c r="J18" i="16" s="1"/>
  <c r="I8" i="16"/>
  <c r="J8" i="16" s="1"/>
  <c r="I6" i="16"/>
  <c r="J6" i="16" s="1"/>
  <c r="I29" i="16"/>
  <c r="J29" i="16" s="1"/>
  <c r="I9" i="16"/>
  <c r="J9" i="16" s="1"/>
  <c r="I39" i="16"/>
  <c r="J39" i="16" s="1"/>
  <c r="I12" i="16"/>
  <c r="J12" i="16" s="1"/>
  <c r="I11" i="16"/>
  <c r="J11" i="16" s="1"/>
  <c r="I13" i="16"/>
  <c r="J13" i="16" s="1"/>
  <c r="I16" i="16"/>
  <c r="J16" i="16" s="1"/>
  <c r="AJ30" i="16"/>
  <c r="AK30" i="16" s="1"/>
  <c r="I46" i="16"/>
  <c r="J46" i="16" s="1"/>
  <c r="AJ14" i="16"/>
  <c r="AK14" i="16" s="1"/>
  <c r="AJ31" i="16"/>
  <c r="AK31" i="16" s="1"/>
  <c r="AM47" i="16"/>
  <c r="AN47" i="16" s="1"/>
  <c r="AG31" i="16"/>
  <c r="AH31" i="16" s="1"/>
  <c r="AJ18" i="16"/>
  <c r="AK18" i="16" s="1"/>
  <c r="AJ46" i="16"/>
  <c r="AK46" i="16" s="1"/>
  <c r="AJ26" i="16"/>
  <c r="AK26" i="16" s="1"/>
  <c r="AJ38" i="16"/>
  <c r="AK38" i="16" s="1"/>
  <c r="I31" i="16"/>
  <c r="J31" i="16" s="1"/>
  <c r="AM43" i="16"/>
  <c r="AN43" i="16" s="1"/>
  <c r="AG6" i="16"/>
  <c r="AH6" i="16" s="1"/>
  <c r="AJ25" i="16"/>
  <c r="AK25" i="16" s="1"/>
  <c r="AJ20" i="16"/>
  <c r="K24" i="16"/>
  <c r="K50" i="16" s="1"/>
  <c r="AC24" i="16"/>
  <c r="AC50" i="16" s="1"/>
  <c r="E24" i="16"/>
  <c r="E50" i="16" s="1"/>
  <c r="AJ8" i="16"/>
  <c r="AK8" i="16" s="1"/>
  <c r="B49" i="16"/>
  <c r="B24" i="16"/>
  <c r="I129" i="36"/>
  <c r="I167" i="36"/>
  <c r="G302" i="36"/>
  <c r="I128" i="36"/>
  <c r="H129" i="36"/>
  <c r="H302" i="36" s="1"/>
  <c r="I96" i="1"/>
  <c r="I82" i="36"/>
  <c r="I46" i="36"/>
  <c r="F299" i="1"/>
  <c r="I204" i="36"/>
  <c r="I261" i="36"/>
  <c r="I201" i="1"/>
  <c r="I298" i="1" s="1"/>
  <c r="I27" i="1"/>
  <c r="U46" i="37" l="1"/>
  <c r="U42" i="37"/>
  <c r="U38" i="37"/>
  <c r="V38" i="37" s="1"/>
  <c r="U34" i="37"/>
  <c r="U22" i="37"/>
  <c r="V22" i="37" s="1"/>
  <c r="U26" i="37"/>
  <c r="V26" i="37" s="1"/>
  <c r="U12" i="37"/>
  <c r="V12" i="37" s="1"/>
  <c r="U8" i="37"/>
  <c r="U18" i="37"/>
  <c r="V18" i="37" s="1"/>
  <c r="U27" i="37"/>
  <c r="V27" i="37" s="1"/>
  <c r="U39" i="37"/>
  <c r="V39" i="37" s="1"/>
  <c r="U14" i="37"/>
  <c r="V14" i="37" s="1"/>
  <c r="U21" i="37"/>
  <c r="V21" i="37" s="1"/>
  <c r="U36" i="37"/>
  <c r="V36" i="37" s="1"/>
  <c r="U29" i="37"/>
  <c r="U25" i="37"/>
  <c r="U44" i="37"/>
  <c r="V44" i="37" s="1"/>
  <c r="U40" i="37"/>
  <c r="V40" i="37" s="1"/>
  <c r="U17" i="37"/>
  <c r="V17" i="37" s="1"/>
  <c r="U9" i="37"/>
  <c r="V9" i="37" s="1"/>
  <c r="U37" i="37"/>
  <c r="V37" i="37" s="1"/>
  <c r="U47" i="37"/>
  <c r="V47" i="37" s="1"/>
  <c r="U31" i="37"/>
  <c r="V31" i="37" s="1"/>
  <c r="U35" i="37"/>
  <c r="V35" i="37" s="1"/>
  <c r="U43" i="37"/>
  <c r="V43" i="37" s="1"/>
  <c r="U6" i="37"/>
  <c r="V6" i="37" s="1"/>
  <c r="U16" i="37"/>
  <c r="U11" i="37"/>
  <c r="U5" i="37"/>
  <c r="U30" i="37"/>
  <c r="V30" i="37" s="1"/>
  <c r="U32" i="37"/>
  <c r="V32" i="37" s="1"/>
  <c r="U13" i="37"/>
  <c r="V13" i="37" s="1"/>
  <c r="U20" i="37"/>
  <c r="X23" i="37"/>
  <c r="Y20" i="37"/>
  <c r="Y23" i="37" s="1"/>
  <c r="M25" i="37"/>
  <c r="M28" i="37" s="1"/>
  <c r="L28" i="37"/>
  <c r="R23" i="37"/>
  <c r="AD33" i="37"/>
  <c r="AE29" i="37"/>
  <c r="AE33" i="37" s="1"/>
  <c r="AE34" i="37"/>
  <c r="AE41" i="37" s="1"/>
  <c r="AD41" i="37"/>
  <c r="S8" i="37"/>
  <c r="S10" i="37" s="1"/>
  <c r="R10" i="37"/>
  <c r="R7" i="37"/>
  <c r="S23" i="37"/>
  <c r="AD10" i="37"/>
  <c r="AE8" i="37"/>
  <c r="AE10" i="37" s="1"/>
  <c r="AE46" i="37"/>
  <c r="AE48" i="37" s="1"/>
  <c r="AD48" i="37"/>
  <c r="X48" i="37"/>
  <c r="Y46" i="37"/>
  <c r="Y48" i="37" s="1"/>
  <c r="Y16" i="37"/>
  <c r="Y19" i="37" s="1"/>
  <c r="X19" i="37"/>
  <c r="AJ10" i="37"/>
  <c r="AK8" i="37"/>
  <c r="AK10" i="37" s="1"/>
  <c r="M11" i="37"/>
  <c r="M15" i="37" s="1"/>
  <c r="L15" i="37"/>
  <c r="G42" i="37"/>
  <c r="G45" i="37" s="1"/>
  <c r="F45" i="37"/>
  <c r="AK11" i="37"/>
  <c r="AK15" i="37" s="1"/>
  <c r="AJ15" i="37"/>
  <c r="G15" i="37"/>
  <c r="F15" i="37"/>
  <c r="AP35" i="37"/>
  <c r="AQ35" i="37" s="1"/>
  <c r="AP31" i="37"/>
  <c r="AQ31" i="37" s="1"/>
  <c r="AP42" i="37"/>
  <c r="AP38" i="37"/>
  <c r="AQ38" i="37" s="1"/>
  <c r="AP34" i="37"/>
  <c r="AP40" i="37"/>
  <c r="AQ40" i="37" s="1"/>
  <c r="AP32" i="37"/>
  <c r="AQ32" i="37" s="1"/>
  <c r="AP26" i="37"/>
  <c r="AQ26" i="37" s="1"/>
  <c r="AP21" i="37"/>
  <c r="AQ21" i="37" s="1"/>
  <c r="AP30" i="37"/>
  <c r="AQ30" i="37" s="1"/>
  <c r="AP18" i="37"/>
  <c r="AQ18" i="37" s="1"/>
  <c r="AP16" i="37"/>
  <c r="AP12" i="37"/>
  <c r="AQ12" i="37" s="1"/>
  <c r="AP8" i="37"/>
  <c r="AP44" i="37"/>
  <c r="AQ44" i="37" s="1"/>
  <c r="AP36" i="37"/>
  <c r="AQ36" i="37" s="1"/>
  <c r="AP22" i="37"/>
  <c r="AQ22" i="37" s="1"/>
  <c r="AP20" i="37"/>
  <c r="AP17" i="37"/>
  <c r="AQ17" i="37" s="1"/>
  <c r="AP14" i="37"/>
  <c r="AQ14" i="37" s="1"/>
  <c r="AP6" i="37"/>
  <c r="AQ6" i="37" s="1"/>
  <c r="AP9" i="37"/>
  <c r="AQ9" i="37" s="1"/>
  <c r="AP27" i="37"/>
  <c r="AQ27" i="37" s="1"/>
  <c r="AP5" i="37"/>
  <c r="AP39" i="37"/>
  <c r="AQ39" i="37" s="1"/>
  <c r="AP11" i="37"/>
  <c r="AP13" i="37"/>
  <c r="AQ13" i="37" s="1"/>
  <c r="AP47" i="37"/>
  <c r="AQ47" i="37" s="1"/>
  <c r="AP29" i="37"/>
  <c r="AP43" i="37"/>
  <c r="AQ43" i="37" s="1"/>
  <c r="AP46" i="37"/>
  <c r="AP37" i="37"/>
  <c r="AQ37" i="37" s="1"/>
  <c r="AP25" i="37"/>
  <c r="AK25" i="37"/>
  <c r="AK28" i="37" s="1"/>
  <c r="AJ28" i="37"/>
  <c r="AM37" i="37"/>
  <c r="AN37" i="37" s="1"/>
  <c r="AM17" i="37"/>
  <c r="AN17" i="37" s="1"/>
  <c r="AM21" i="37"/>
  <c r="AN21" i="37" s="1"/>
  <c r="AM11" i="37"/>
  <c r="AM25" i="37"/>
  <c r="AM12" i="37"/>
  <c r="AN12" i="37" s="1"/>
  <c r="AM16" i="37"/>
  <c r="AM26" i="37"/>
  <c r="AN26" i="37" s="1"/>
  <c r="AM34" i="37"/>
  <c r="AM39" i="37"/>
  <c r="AN39" i="37" s="1"/>
  <c r="AM13" i="37"/>
  <c r="AN13" i="37" s="1"/>
  <c r="AM36" i="37"/>
  <c r="AN36" i="37" s="1"/>
  <c r="AM30" i="37"/>
  <c r="AN30" i="37" s="1"/>
  <c r="AM9" i="37"/>
  <c r="AN9" i="37" s="1"/>
  <c r="AM14" i="37"/>
  <c r="AN14" i="37" s="1"/>
  <c r="AM6" i="37"/>
  <c r="AN6" i="37" s="1"/>
  <c r="AM20" i="37"/>
  <c r="AM18" i="37"/>
  <c r="AN18" i="37" s="1"/>
  <c r="AM42" i="37"/>
  <c r="AM40" i="37"/>
  <c r="AN40" i="37" s="1"/>
  <c r="AM31" i="37"/>
  <c r="AN31" i="37" s="1"/>
  <c r="AM46" i="37"/>
  <c r="AM22" i="37"/>
  <c r="AN22" i="37" s="1"/>
  <c r="AM27" i="37"/>
  <c r="AN27" i="37" s="1"/>
  <c r="AM29" i="37"/>
  <c r="AM5" i="37"/>
  <c r="AM8" i="37"/>
  <c r="AM38" i="37"/>
  <c r="AN38" i="37" s="1"/>
  <c r="AM47" i="37"/>
  <c r="AN47" i="37" s="1"/>
  <c r="AM32" i="37"/>
  <c r="AN32" i="37" s="1"/>
  <c r="AM35" i="37"/>
  <c r="AN35" i="37" s="1"/>
  <c r="AM43" i="37"/>
  <c r="AN43" i="37" s="1"/>
  <c r="AM44" i="37"/>
  <c r="AN44" i="37" s="1"/>
  <c r="AE5" i="37"/>
  <c r="AE7" i="37" s="1"/>
  <c r="AD7" i="37"/>
  <c r="Y8" i="37"/>
  <c r="Y10" i="37" s="1"/>
  <c r="X10" i="37"/>
  <c r="Y11" i="37"/>
  <c r="Y15" i="37" s="1"/>
  <c r="X15" i="37"/>
  <c r="AJ7" i="37"/>
  <c r="AK5" i="37"/>
  <c r="AK7" i="37" s="1"/>
  <c r="AK24" i="37" s="1"/>
  <c r="AK34" i="37"/>
  <c r="AK41" i="37" s="1"/>
  <c r="AJ41" i="37"/>
  <c r="M16" i="37"/>
  <c r="M19" i="37" s="1"/>
  <c r="L19" i="37"/>
  <c r="M34" i="37"/>
  <c r="M41" i="37" s="1"/>
  <c r="L41" i="37"/>
  <c r="F28" i="37"/>
  <c r="G25" i="37"/>
  <c r="G28" i="37" s="1"/>
  <c r="AA28" i="37"/>
  <c r="AB25" i="37"/>
  <c r="AB28" i="37" s="1"/>
  <c r="AA33" i="37"/>
  <c r="AB29" i="37"/>
  <c r="AB33" i="37" s="1"/>
  <c r="AA19" i="37"/>
  <c r="AB16" i="37"/>
  <c r="AB19" i="37" s="1"/>
  <c r="AD28" i="37"/>
  <c r="AE25" i="37"/>
  <c r="AE28" i="37" s="1"/>
  <c r="AE49" i="37" s="1"/>
  <c r="I44" i="37"/>
  <c r="J44" i="37" s="1"/>
  <c r="I40" i="37"/>
  <c r="J40" i="37" s="1"/>
  <c r="I36" i="37"/>
  <c r="J36" i="37" s="1"/>
  <c r="I32" i="37"/>
  <c r="J32" i="37" s="1"/>
  <c r="I20" i="37"/>
  <c r="I16" i="37"/>
  <c r="I14" i="37"/>
  <c r="J14" i="37" s="1"/>
  <c r="I6" i="37"/>
  <c r="J6" i="37" s="1"/>
  <c r="I8" i="37"/>
  <c r="I13" i="37"/>
  <c r="J13" i="37" s="1"/>
  <c r="I5" i="37"/>
  <c r="I18" i="37"/>
  <c r="J18" i="37" s="1"/>
  <c r="I42" i="37"/>
  <c r="I38" i="37"/>
  <c r="J38" i="37" s="1"/>
  <c r="I9" i="37"/>
  <c r="J9" i="37" s="1"/>
  <c r="I43" i="37"/>
  <c r="J43" i="37" s="1"/>
  <c r="I39" i="37"/>
  <c r="J39" i="37" s="1"/>
  <c r="I29" i="37"/>
  <c r="I21" i="37"/>
  <c r="J21" i="37" s="1"/>
  <c r="I46" i="37"/>
  <c r="I11" i="37"/>
  <c r="I17" i="37"/>
  <c r="J17" i="37" s="1"/>
  <c r="I22" i="37"/>
  <c r="J22" i="37" s="1"/>
  <c r="I30" i="37"/>
  <c r="J30" i="37" s="1"/>
  <c r="I34" i="37"/>
  <c r="I35" i="37"/>
  <c r="J35" i="37" s="1"/>
  <c r="I37" i="37"/>
  <c r="I31" i="37"/>
  <c r="J31" i="37" s="1"/>
  <c r="I27" i="37"/>
  <c r="J27" i="37" s="1"/>
  <c r="I26" i="37"/>
  <c r="J26" i="37" s="1"/>
  <c r="I25" i="37"/>
  <c r="I12" i="37"/>
  <c r="J12" i="37" s="1"/>
  <c r="I47" i="37"/>
  <c r="J47" i="37" s="1"/>
  <c r="AE42" i="37"/>
  <c r="AE45" i="37" s="1"/>
  <c r="AD45" i="37"/>
  <c r="Y29" i="37"/>
  <c r="Y33" i="37" s="1"/>
  <c r="X33" i="37"/>
  <c r="AK20" i="37"/>
  <c r="AK23" i="37" s="1"/>
  <c r="AJ23" i="37"/>
  <c r="M46" i="37"/>
  <c r="M48" i="37" s="1"/>
  <c r="L48" i="37"/>
  <c r="AA48" i="37"/>
  <c r="AB46" i="37"/>
  <c r="AB48" i="37" s="1"/>
  <c r="AG44" i="37"/>
  <c r="AH44" i="37" s="1"/>
  <c r="AG40" i="37"/>
  <c r="AH40" i="37" s="1"/>
  <c r="AG36" i="37"/>
  <c r="AH36" i="37" s="1"/>
  <c r="AG32" i="37"/>
  <c r="AH32" i="37" s="1"/>
  <c r="AG47" i="37"/>
  <c r="AH47" i="37" s="1"/>
  <c r="AG16" i="37"/>
  <c r="AG20" i="37"/>
  <c r="AG17" i="37"/>
  <c r="AH17" i="37" s="1"/>
  <c r="AG14" i="37"/>
  <c r="AH14" i="37" s="1"/>
  <c r="AG6" i="37"/>
  <c r="AH6" i="37" s="1"/>
  <c r="AG26" i="37"/>
  <c r="AH26" i="37" s="1"/>
  <c r="AG21" i="37"/>
  <c r="AH21" i="37" s="1"/>
  <c r="AG35" i="37"/>
  <c r="AH35" i="37" s="1"/>
  <c r="AG8" i="37"/>
  <c r="AG13" i="37"/>
  <c r="AH13" i="37" s="1"/>
  <c r="AG5" i="37"/>
  <c r="AG22" i="37"/>
  <c r="AH22" i="37" s="1"/>
  <c r="AG18" i="37"/>
  <c r="AH18" i="37" s="1"/>
  <c r="AG37" i="37"/>
  <c r="AH37" i="37" s="1"/>
  <c r="AG9" i="37"/>
  <c r="AH9" i="37" s="1"/>
  <c r="AG34" i="37"/>
  <c r="AG30" i="37"/>
  <c r="AH30" i="37" s="1"/>
  <c r="AG27" i="37"/>
  <c r="AH27" i="37" s="1"/>
  <c r="AG39" i="37"/>
  <c r="AH39" i="37" s="1"/>
  <c r="AG46" i="37"/>
  <c r="AG11" i="37"/>
  <c r="AG42" i="37"/>
  <c r="AG12" i="37"/>
  <c r="AH12" i="37" s="1"/>
  <c r="AG31" i="37"/>
  <c r="AH31" i="37" s="1"/>
  <c r="AG29" i="37"/>
  <c r="AG38" i="37"/>
  <c r="AH38" i="37" s="1"/>
  <c r="AG43" i="37"/>
  <c r="AH43" i="37" s="1"/>
  <c r="AG25" i="37"/>
  <c r="R33" i="37"/>
  <c r="S29" i="37"/>
  <c r="S33" i="37" s="1"/>
  <c r="S34" i="37"/>
  <c r="S41" i="37" s="1"/>
  <c r="R41" i="37"/>
  <c r="S25" i="37"/>
  <c r="S28" i="37" s="1"/>
  <c r="R28" i="37"/>
  <c r="AE20" i="37"/>
  <c r="AE23" i="37" s="1"/>
  <c r="AD23" i="37"/>
  <c r="AK42" i="37"/>
  <c r="AK45" i="37" s="1"/>
  <c r="AJ45" i="37"/>
  <c r="AJ33" i="37"/>
  <c r="AK29" i="37"/>
  <c r="AK33" i="37" s="1"/>
  <c r="L7" i="37"/>
  <c r="M5" i="37"/>
  <c r="M7" i="37" s="1"/>
  <c r="R15" i="37"/>
  <c r="F19" i="37"/>
  <c r="G16" i="37"/>
  <c r="G19" i="37" s="1"/>
  <c r="AB11" i="37"/>
  <c r="AB15" i="37" s="1"/>
  <c r="AA15" i="37"/>
  <c r="AB20" i="37"/>
  <c r="AB23" i="37" s="1"/>
  <c r="AA23" i="37"/>
  <c r="AD19" i="37"/>
  <c r="AE16" i="37"/>
  <c r="AE19" i="37" s="1"/>
  <c r="Y5" i="37"/>
  <c r="Y7" i="37" s="1"/>
  <c r="X7" i="37"/>
  <c r="X24" i="37" s="1"/>
  <c r="AK16" i="37"/>
  <c r="AK19" i="37" s="1"/>
  <c r="AJ19" i="37"/>
  <c r="G46" i="37"/>
  <c r="G48" i="37" s="1"/>
  <c r="F48" i="37"/>
  <c r="S42" i="37"/>
  <c r="S45" i="37" s="1"/>
  <c r="R45" i="37"/>
  <c r="Y25" i="37"/>
  <c r="Y28" i="37" s="1"/>
  <c r="X28" i="37"/>
  <c r="X49" i="37" s="1"/>
  <c r="S15" i="37"/>
  <c r="F33" i="37"/>
  <c r="G29" i="37"/>
  <c r="G33" i="37" s="1"/>
  <c r="AB42" i="37"/>
  <c r="AB45" i="37" s="1"/>
  <c r="AA45" i="37"/>
  <c r="R19" i="37"/>
  <c r="S16" i="37"/>
  <c r="S19" i="37" s="1"/>
  <c r="S46" i="37"/>
  <c r="S48" i="37" s="1"/>
  <c r="R48" i="37"/>
  <c r="O37" i="37"/>
  <c r="P37" i="37" s="1"/>
  <c r="O30" i="37"/>
  <c r="P30" i="37" s="1"/>
  <c r="O29" i="37"/>
  <c r="O25" i="37"/>
  <c r="O21" i="37"/>
  <c r="P21" i="37" s="1"/>
  <c r="O17" i="37"/>
  <c r="P17" i="37" s="1"/>
  <c r="O11" i="37"/>
  <c r="O13" i="37"/>
  <c r="P13" i="37" s="1"/>
  <c r="O22" i="37"/>
  <c r="P22" i="37" s="1"/>
  <c r="O34" i="37"/>
  <c r="O39" i="37"/>
  <c r="P39" i="37" s="1"/>
  <c r="O36" i="37"/>
  <c r="P36" i="37" s="1"/>
  <c r="O16" i="37"/>
  <c r="O47" i="37"/>
  <c r="P47" i="37" s="1"/>
  <c r="O9" i="37"/>
  <c r="P9" i="37" s="1"/>
  <c r="O14" i="37"/>
  <c r="P14" i="37" s="1"/>
  <c r="O6" i="37"/>
  <c r="P6" i="37" s="1"/>
  <c r="O20" i="37"/>
  <c r="O18" i="37"/>
  <c r="P18" i="37" s="1"/>
  <c r="O27" i="37"/>
  <c r="P27" i="37" s="1"/>
  <c r="O42" i="37"/>
  <c r="O35" i="37"/>
  <c r="P35" i="37" s="1"/>
  <c r="O40" i="37"/>
  <c r="P40" i="37" s="1"/>
  <c r="O46" i="37"/>
  <c r="O5" i="37"/>
  <c r="O31" i="37"/>
  <c r="P31" i="37" s="1"/>
  <c r="O38" i="37"/>
  <c r="P38" i="37" s="1"/>
  <c r="O26" i="37"/>
  <c r="P26" i="37" s="1"/>
  <c r="O12" i="37"/>
  <c r="P12" i="37" s="1"/>
  <c r="O43" i="37"/>
  <c r="P43" i="37" s="1"/>
  <c r="O8" i="37"/>
  <c r="O44" i="37"/>
  <c r="P44" i="37" s="1"/>
  <c r="O32" i="37"/>
  <c r="P32" i="37" s="1"/>
  <c r="C47" i="37"/>
  <c r="D47" i="37" s="1"/>
  <c r="C43" i="37"/>
  <c r="D43" i="37" s="1"/>
  <c r="C39" i="37"/>
  <c r="D39" i="37" s="1"/>
  <c r="C35" i="37"/>
  <c r="C31" i="37"/>
  <c r="D31" i="37" s="1"/>
  <c r="C27" i="37"/>
  <c r="D27" i="37" s="1"/>
  <c r="C13" i="37"/>
  <c r="D13" i="37" s="1"/>
  <c r="C9" i="37"/>
  <c r="D9" i="37" s="1"/>
  <c r="C5" i="37"/>
  <c r="C30" i="37"/>
  <c r="D30" i="37" s="1"/>
  <c r="C36" i="37"/>
  <c r="D36" i="37" s="1"/>
  <c r="C38" i="37"/>
  <c r="D38" i="37" s="1"/>
  <c r="C29" i="37"/>
  <c r="C17" i="37"/>
  <c r="D17" i="37" s="1"/>
  <c r="C44" i="37"/>
  <c r="D44" i="37" s="1"/>
  <c r="C40" i="37"/>
  <c r="D40" i="37" s="1"/>
  <c r="C11" i="37"/>
  <c r="C20" i="37"/>
  <c r="C22" i="37"/>
  <c r="D22" i="37" s="1"/>
  <c r="C42" i="37"/>
  <c r="C34" i="37"/>
  <c r="C8" i="37"/>
  <c r="C32" i="37"/>
  <c r="D32" i="37" s="1"/>
  <c r="C18" i="37"/>
  <c r="D18" i="37" s="1"/>
  <c r="C26" i="37"/>
  <c r="D26" i="37" s="1"/>
  <c r="C25" i="37"/>
  <c r="C16" i="37"/>
  <c r="C37" i="37"/>
  <c r="D37" i="37" s="1"/>
  <c r="C6" i="37"/>
  <c r="D6" i="37" s="1"/>
  <c r="C12" i="37"/>
  <c r="D12" i="37" s="1"/>
  <c r="C21" i="37"/>
  <c r="D21" i="37" s="1"/>
  <c r="C46" i="37"/>
  <c r="C14" i="37"/>
  <c r="D14" i="37" s="1"/>
  <c r="AE11" i="37"/>
  <c r="AE15" i="37" s="1"/>
  <c r="AD15" i="37"/>
  <c r="Y42" i="37"/>
  <c r="Y45" i="37" s="1"/>
  <c r="X45" i="37"/>
  <c r="AK46" i="37"/>
  <c r="AK48" i="37" s="1"/>
  <c r="AJ48" i="37"/>
  <c r="M42" i="37"/>
  <c r="M45" i="37" s="1"/>
  <c r="L45" i="37"/>
  <c r="M20" i="37"/>
  <c r="M23" i="37" s="1"/>
  <c r="L23" i="37"/>
  <c r="G5" i="37"/>
  <c r="G7" i="37" s="1"/>
  <c r="G24" i="37" s="1"/>
  <c r="F7" i="37"/>
  <c r="F10" i="37"/>
  <c r="G8" i="37"/>
  <c r="G10" i="37" s="1"/>
  <c r="AA10" i="37"/>
  <c r="AB8" i="37"/>
  <c r="AB10" i="37" s="1"/>
  <c r="AA7" i="37"/>
  <c r="AB5" i="37"/>
  <c r="AB7" i="37" s="1"/>
  <c r="L10" i="37"/>
  <c r="M8" i="37"/>
  <c r="M10" i="37" s="1"/>
  <c r="S24" i="37"/>
  <c r="Y34" i="37"/>
  <c r="Y41" i="37" s="1"/>
  <c r="X41" i="37"/>
  <c r="L33" i="37"/>
  <c r="M29" i="37"/>
  <c r="M33" i="37" s="1"/>
  <c r="G23" i="37"/>
  <c r="F23" i="37"/>
  <c r="G34" i="37"/>
  <c r="G41" i="37" s="1"/>
  <c r="F41" i="37"/>
  <c r="AB34" i="37"/>
  <c r="AB41" i="37" s="1"/>
  <c r="AA41" i="37"/>
  <c r="AP18" i="16"/>
  <c r="AQ18" i="16" s="1"/>
  <c r="AP22" i="16"/>
  <c r="AQ22" i="16" s="1"/>
  <c r="AP42" i="16"/>
  <c r="AQ42" i="16" s="1"/>
  <c r="AP31" i="16"/>
  <c r="AQ31" i="16" s="1"/>
  <c r="AP47" i="16"/>
  <c r="AQ47" i="16" s="1"/>
  <c r="AQ48" i="16" s="1"/>
  <c r="AP43" i="16"/>
  <c r="AQ43" i="16" s="1"/>
  <c r="AP37" i="16"/>
  <c r="AQ37" i="16" s="1"/>
  <c r="Q41" i="14" s="1"/>
  <c r="AP17" i="16"/>
  <c r="AQ17" i="16" s="1"/>
  <c r="AP26" i="16"/>
  <c r="AQ26" i="16" s="1"/>
  <c r="Q30" i="14" s="1"/>
  <c r="AP13" i="16"/>
  <c r="AQ13" i="16" s="1"/>
  <c r="AP12" i="16"/>
  <c r="AQ12" i="16" s="1"/>
  <c r="AP29" i="16"/>
  <c r="AQ29" i="16" s="1"/>
  <c r="R43" i="16"/>
  <c r="S43" i="16" s="1"/>
  <c r="AQ15" i="16"/>
  <c r="AQ28" i="16"/>
  <c r="AP39" i="16"/>
  <c r="AQ39" i="16" s="1"/>
  <c r="AP32" i="16"/>
  <c r="AP9" i="16"/>
  <c r="AQ9" i="16" s="1"/>
  <c r="AP36" i="16"/>
  <c r="AQ36" i="16" s="1"/>
  <c r="AQ41" i="16" s="1"/>
  <c r="R34" i="16"/>
  <c r="S34" i="16" s="1"/>
  <c r="R37" i="16"/>
  <c r="S37" i="16" s="1"/>
  <c r="R16" i="16"/>
  <c r="S16" i="16" s="1"/>
  <c r="AP6" i="16"/>
  <c r="AQ6" i="16" s="1"/>
  <c r="Q10" i="14" s="1"/>
  <c r="AP44" i="16"/>
  <c r="AQ44" i="16" s="1"/>
  <c r="AP20" i="16"/>
  <c r="R44" i="16"/>
  <c r="S44" i="16" s="1"/>
  <c r="R11" i="16"/>
  <c r="S11" i="16" s="1"/>
  <c r="R42" i="16"/>
  <c r="S42" i="16" s="1"/>
  <c r="L39" i="16"/>
  <c r="M39" i="16" s="1"/>
  <c r="L38" i="16"/>
  <c r="M38" i="16" s="1"/>
  <c r="L42" i="16"/>
  <c r="L11" i="16"/>
  <c r="M11" i="16" s="1"/>
  <c r="L8" i="16"/>
  <c r="M8" i="16" s="1"/>
  <c r="L36" i="16"/>
  <c r="M36" i="16" s="1"/>
  <c r="L26" i="16"/>
  <c r="M26" i="16" s="1"/>
  <c r="L20" i="16"/>
  <c r="M20" i="16" s="1"/>
  <c r="L46" i="16"/>
  <c r="M46" i="16" s="1"/>
  <c r="L18" i="16"/>
  <c r="M18" i="16" s="1"/>
  <c r="L30" i="16"/>
  <c r="M30" i="16" s="1"/>
  <c r="L14" i="16"/>
  <c r="M14" i="16" s="1"/>
  <c r="L17" i="16"/>
  <c r="M17" i="16" s="1"/>
  <c r="L21" i="16"/>
  <c r="M21" i="16" s="1"/>
  <c r="L12" i="16"/>
  <c r="M12" i="16" s="1"/>
  <c r="L22" i="16"/>
  <c r="M22" i="16" s="1"/>
  <c r="L32" i="16"/>
  <c r="M32" i="16" s="1"/>
  <c r="L35" i="16"/>
  <c r="M35" i="16" s="1"/>
  <c r="L43" i="16"/>
  <c r="M43" i="16" s="1"/>
  <c r="L44" i="16"/>
  <c r="M44" i="16" s="1"/>
  <c r="L25" i="16"/>
  <c r="M25" i="16" s="1"/>
  <c r="L27" i="16"/>
  <c r="M27" i="16" s="1"/>
  <c r="L13" i="16"/>
  <c r="M13" i="16" s="1"/>
  <c r="L6" i="16"/>
  <c r="M6" i="16" s="1"/>
  <c r="L29" i="16"/>
  <c r="M29" i="16" s="1"/>
  <c r="L47" i="16"/>
  <c r="M47" i="16" s="1"/>
  <c r="L31" i="16"/>
  <c r="M31" i="16" s="1"/>
  <c r="L40" i="16"/>
  <c r="M40" i="16" s="1"/>
  <c r="L37" i="16"/>
  <c r="M37" i="16" s="1"/>
  <c r="L34" i="16"/>
  <c r="M34" i="16" s="1"/>
  <c r="L9" i="16"/>
  <c r="M9" i="16" s="1"/>
  <c r="L16" i="16"/>
  <c r="M16" i="16" s="1"/>
  <c r="U46" i="16"/>
  <c r="V46" i="16" s="1"/>
  <c r="U40" i="16"/>
  <c r="V40" i="16" s="1"/>
  <c r="U36" i="16"/>
  <c r="V36" i="16" s="1"/>
  <c r="U44" i="16"/>
  <c r="V44" i="16" s="1"/>
  <c r="U39" i="16"/>
  <c r="V39" i="16" s="1"/>
  <c r="U35" i="16"/>
  <c r="V35" i="16" s="1"/>
  <c r="U30" i="16"/>
  <c r="V30" i="16" s="1"/>
  <c r="U25" i="16"/>
  <c r="V25" i="16" s="1"/>
  <c r="U43" i="16"/>
  <c r="V43" i="16" s="1"/>
  <c r="U38" i="16"/>
  <c r="V38" i="16" s="1"/>
  <c r="U34" i="16"/>
  <c r="V34" i="16" s="1"/>
  <c r="U29" i="16"/>
  <c r="V29" i="16" s="1"/>
  <c r="U22" i="16"/>
  <c r="V22" i="16" s="1"/>
  <c r="U47" i="16"/>
  <c r="V47" i="16" s="1"/>
  <c r="U32" i="16"/>
  <c r="V32" i="16" s="1"/>
  <c r="U21" i="16"/>
  <c r="V21" i="16" s="1"/>
  <c r="U26" i="16"/>
  <c r="V26" i="16" s="1"/>
  <c r="U18" i="16"/>
  <c r="V18" i="16" s="1"/>
  <c r="U37" i="16"/>
  <c r="V37" i="16" s="1"/>
  <c r="U20" i="16"/>
  <c r="V20" i="16" s="1"/>
  <c r="U27" i="16"/>
  <c r="V27" i="16" s="1"/>
  <c r="U6" i="16"/>
  <c r="V6" i="16" s="1"/>
  <c r="U42" i="16"/>
  <c r="V42" i="16" s="1"/>
  <c r="U11" i="16"/>
  <c r="V11" i="16" s="1"/>
  <c r="U9" i="16"/>
  <c r="V9" i="16" s="1"/>
  <c r="U8" i="16"/>
  <c r="V8" i="16" s="1"/>
  <c r="U12" i="16"/>
  <c r="V12" i="16" s="1"/>
  <c r="U31" i="16"/>
  <c r="V31" i="16" s="1"/>
  <c r="U16" i="16"/>
  <c r="V16" i="16" s="1"/>
  <c r="U13" i="16"/>
  <c r="V13" i="16" s="1"/>
  <c r="U17" i="16"/>
  <c r="V17" i="16" s="1"/>
  <c r="U14" i="16"/>
  <c r="V14" i="16" s="1"/>
  <c r="AQ33" i="16"/>
  <c r="F43" i="16"/>
  <c r="G43" i="16" s="1"/>
  <c r="C47" i="14" s="1"/>
  <c r="F38" i="16"/>
  <c r="G38" i="16" s="1"/>
  <c r="C42" i="14" s="1"/>
  <c r="F21" i="16"/>
  <c r="G21" i="16" s="1"/>
  <c r="F31" i="16"/>
  <c r="G31" i="16" s="1"/>
  <c r="C35" i="14" s="1"/>
  <c r="F9" i="16"/>
  <c r="G9" i="16" s="1"/>
  <c r="C13" i="14" s="1"/>
  <c r="F47" i="16"/>
  <c r="G47" i="16" s="1"/>
  <c r="F13" i="16"/>
  <c r="G13" i="16" s="1"/>
  <c r="F11" i="16"/>
  <c r="F40" i="16"/>
  <c r="G40" i="16" s="1"/>
  <c r="C44" i="14" s="1"/>
  <c r="F34" i="16"/>
  <c r="G34" i="16" s="1"/>
  <c r="F36" i="16"/>
  <c r="G36" i="16" s="1"/>
  <c r="F29" i="16"/>
  <c r="G29" i="16" s="1"/>
  <c r="G33" i="16" s="1"/>
  <c r="F26" i="16"/>
  <c r="G26" i="16" s="1"/>
  <c r="C30" i="14" s="1"/>
  <c r="F27" i="16"/>
  <c r="G27" i="16" s="1"/>
  <c r="F8" i="16"/>
  <c r="G8" i="16" s="1"/>
  <c r="F12" i="16"/>
  <c r="G12" i="16" s="1"/>
  <c r="C16" i="14" s="1"/>
  <c r="F42" i="16"/>
  <c r="G42" i="16" s="1"/>
  <c r="G45" i="16" s="1"/>
  <c r="F20" i="16"/>
  <c r="F14" i="16"/>
  <c r="G14" i="16" s="1"/>
  <c r="F18" i="16"/>
  <c r="G18" i="16" s="1"/>
  <c r="F22" i="16"/>
  <c r="G22" i="16" s="1"/>
  <c r="C26" i="14" s="1"/>
  <c r="F16" i="16"/>
  <c r="G16" i="16" s="1"/>
  <c r="F30" i="16"/>
  <c r="G30" i="16" s="1"/>
  <c r="F37" i="16"/>
  <c r="G37" i="16" s="1"/>
  <c r="C41" i="14" s="1"/>
  <c r="F6" i="16"/>
  <c r="G6" i="16" s="1"/>
  <c r="C10" i="14" s="1"/>
  <c r="F17" i="16"/>
  <c r="C21" i="14" s="1"/>
  <c r="F46" i="16"/>
  <c r="G46" i="16" s="1"/>
  <c r="F25" i="16"/>
  <c r="G25" i="16" s="1"/>
  <c r="F39" i="16"/>
  <c r="G39" i="16" s="1"/>
  <c r="C43" i="14" s="1"/>
  <c r="F32" i="16"/>
  <c r="G32" i="16" s="1"/>
  <c r="C36" i="14" s="1"/>
  <c r="F44" i="16"/>
  <c r="G44" i="16" s="1"/>
  <c r="F35" i="16"/>
  <c r="G35" i="16" s="1"/>
  <c r="AD38" i="16"/>
  <c r="AE38" i="16" s="1"/>
  <c r="K42" i="14" s="1"/>
  <c r="AD16" i="16"/>
  <c r="AE16" i="16" s="1"/>
  <c r="AD47" i="16"/>
  <c r="AE47" i="16" s="1"/>
  <c r="AD37" i="16"/>
  <c r="AE37" i="16" s="1"/>
  <c r="AD20" i="16"/>
  <c r="AD31" i="16"/>
  <c r="AE31" i="16" s="1"/>
  <c r="AD42" i="16"/>
  <c r="AE42" i="16" s="1"/>
  <c r="AD13" i="16"/>
  <c r="AE13" i="16" s="1"/>
  <c r="AD40" i="16"/>
  <c r="K44" i="14" s="1"/>
  <c r="AD43" i="16"/>
  <c r="AE43" i="16" s="1"/>
  <c r="K47" i="14" s="1"/>
  <c r="AD44" i="16"/>
  <c r="AE44" i="16" s="1"/>
  <c r="AD26" i="16"/>
  <c r="AE26" i="16" s="1"/>
  <c r="K30" i="14" s="1"/>
  <c r="AD17" i="16"/>
  <c r="AE17" i="16" s="1"/>
  <c r="K21" i="14" s="1"/>
  <c r="AD11" i="16"/>
  <c r="AE11" i="16" s="1"/>
  <c r="AD9" i="16"/>
  <c r="AE9" i="16" s="1"/>
  <c r="AD21" i="16"/>
  <c r="K25" i="14" s="1"/>
  <c r="AD32" i="16"/>
  <c r="AE32" i="16" s="1"/>
  <c r="K36" i="14" s="1"/>
  <c r="AD46" i="16"/>
  <c r="AE46" i="16" s="1"/>
  <c r="AD29" i="16"/>
  <c r="AE29" i="16" s="1"/>
  <c r="AD34" i="16"/>
  <c r="AE34" i="16" s="1"/>
  <c r="AD12" i="16"/>
  <c r="AE12" i="16" s="1"/>
  <c r="K16" i="14" s="1"/>
  <c r="AD35" i="16"/>
  <c r="AE35" i="16" s="1"/>
  <c r="AD27" i="16"/>
  <c r="AE27" i="16" s="1"/>
  <c r="AD22" i="16"/>
  <c r="AE22" i="16" s="1"/>
  <c r="K26" i="14" s="1"/>
  <c r="AD8" i="16"/>
  <c r="AE8" i="16" s="1"/>
  <c r="AE10" i="16" s="1"/>
  <c r="AD39" i="16"/>
  <c r="AD6" i="16"/>
  <c r="AE6" i="16" s="1"/>
  <c r="AD14" i="16"/>
  <c r="AE14" i="16" s="1"/>
  <c r="K18" i="14" s="1"/>
  <c r="AD25" i="16"/>
  <c r="AE25" i="16" s="1"/>
  <c r="AE28" i="16" s="1"/>
  <c r="AD30" i="16"/>
  <c r="AE30" i="16" s="1"/>
  <c r="AD36" i="16"/>
  <c r="AE36" i="16" s="1"/>
  <c r="AD18" i="16"/>
  <c r="AE18" i="16" s="1"/>
  <c r="K22" i="14" s="1"/>
  <c r="Q24" i="14"/>
  <c r="AQ23" i="16"/>
  <c r="AQ10" i="16"/>
  <c r="AQ19" i="16"/>
  <c r="X47" i="16"/>
  <c r="Y47" i="16" s="1"/>
  <c r="X42" i="16"/>
  <c r="Y42" i="16" s="1"/>
  <c r="X37" i="16"/>
  <c r="Y37" i="16" s="1"/>
  <c r="X6" i="16"/>
  <c r="Y6" i="16" s="1"/>
  <c r="X12" i="16"/>
  <c r="Y12" i="16" s="1"/>
  <c r="X13" i="16"/>
  <c r="Y13" i="16" s="1"/>
  <c r="X20" i="16"/>
  <c r="Y20" i="16" s="1"/>
  <c r="X17" i="16"/>
  <c r="Y17" i="16" s="1"/>
  <c r="X43" i="16"/>
  <c r="Y43" i="16" s="1"/>
  <c r="X30" i="16"/>
  <c r="Y30" i="16" s="1"/>
  <c r="X46" i="16"/>
  <c r="Y46" i="16" s="1"/>
  <c r="X31" i="16"/>
  <c r="Y31" i="16" s="1"/>
  <c r="X14" i="16"/>
  <c r="Y14" i="16" s="1"/>
  <c r="X39" i="16"/>
  <c r="Y39" i="16" s="1"/>
  <c r="X35" i="16"/>
  <c r="Y35" i="16" s="1"/>
  <c r="X9" i="16"/>
  <c r="Y9" i="16" s="1"/>
  <c r="X8" i="16"/>
  <c r="Y8" i="16" s="1"/>
  <c r="X25" i="16"/>
  <c r="Y25" i="16" s="1"/>
  <c r="X27" i="16"/>
  <c r="Y27" i="16" s="1"/>
  <c r="X22" i="16"/>
  <c r="Y22" i="16" s="1"/>
  <c r="X29" i="16"/>
  <c r="Y29" i="16" s="1"/>
  <c r="X11" i="16"/>
  <c r="Y11" i="16" s="1"/>
  <c r="X34" i="16"/>
  <c r="Y34" i="16" s="1"/>
  <c r="X40" i="16"/>
  <c r="Y40" i="16" s="1"/>
  <c r="X26" i="16"/>
  <c r="Y26" i="16" s="1"/>
  <c r="X36" i="16"/>
  <c r="Y36" i="16" s="1"/>
  <c r="X18" i="16"/>
  <c r="Y18" i="16" s="1"/>
  <c r="X44" i="16"/>
  <c r="Y44" i="16" s="1"/>
  <c r="X38" i="16"/>
  <c r="Y38" i="16" s="1"/>
  <c r="X32" i="16"/>
  <c r="Y32" i="16" s="1"/>
  <c r="X21" i="16"/>
  <c r="Y21" i="16" s="1"/>
  <c r="X16" i="16"/>
  <c r="Y16" i="16" s="1"/>
  <c r="B50" i="16"/>
  <c r="C48" i="14"/>
  <c r="C31" i="14"/>
  <c r="C17" i="14"/>
  <c r="K17" i="14"/>
  <c r="K34" i="14"/>
  <c r="K48" i="14"/>
  <c r="K51" i="14"/>
  <c r="K41" i="14"/>
  <c r="K35" i="14"/>
  <c r="K43" i="14"/>
  <c r="K40" i="14"/>
  <c r="K39" i="14"/>
  <c r="Q18" i="14"/>
  <c r="Q22" i="14"/>
  <c r="Q16" i="14"/>
  <c r="Q34" i="14"/>
  <c r="Q13" i="14"/>
  <c r="Q21" i="14"/>
  <c r="Q39" i="14"/>
  <c r="Q51" i="14"/>
  <c r="Q36" i="14"/>
  <c r="Q40" i="14"/>
  <c r="Q31" i="14"/>
  <c r="Q42" i="14"/>
  <c r="Q47" i="14"/>
  <c r="Q43" i="14"/>
  <c r="I301" i="36"/>
  <c r="I302" i="36" s="1"/>
  <c r="Q25" i="14"/>
  <c r="C40" i="14"/>
  <c r="C22" i="14"/>
  <c r="C51" i="14"/>
  <c r="Q26" i="14"/>
  <c r="C25" i="14"/>
  <c r="Q44" i="14"/>
  <c r="Q35" i="14"/>
  <c r="C39" i="14"/>
  <c r="C34" i="14"/>
  <c r="K13" i="14"/>
  <c r="I126" i="1"/>
  <c r="I299" i="1" s="1"/>
  <c r="K10" i="14"/>
  <c r="C18" i="14"/>
  <c r="Q17" i="14"/>
  <c r="Q48" i="14"/>
  <c r="K31" i="14"/>
  <c r="O45" i="37" l="1"/>
  <c r="P42" i="37"/>
  <c r="P45" i="37" s="1"/>
  <c r="C10" i="37"/>
  <c r="D8" i="37"/>
  <c r="D10" i="37" s="1"/>
  <c r="P11" i="37"/>
  <c r="P15" i="37" s="1"/>
  <c r="O15" i="37"/>
  <c r="AH11" i="37"/>
  <c r="AH15" i="37" s="1"/>
  <c r="AG15" i="37"/>
  <c r="I45" i="37"/>
  <c r="J42" i="37"/>
  <c r="J45" i="37" s="1"/>
  <c r="I23" i="37"/>
  <c r="J20" i="37"/>
  <c r="J23" i="37" s="1"/>
  <c r="AM48" i="37"/>
  <c r="AN46" i="37"/>
  <c r="AN48" i="37" s="1"/>
  <c r="F24" i="37"/>
  <c r="D34" i="37"/>
  <c r="D41" i="37" s="1"/>
  <c r="C41" i="37"/>
  <c r="C33" i="37"/>
  <c r="D29" i="37"/>
  <c r="D33" i="37" s="1"/>
  <c r="Y49" i="37"/>
  <c r="Y24" i="37"/>
  <c r="AH25" i="37"/>
  <c r="AH28" i="37" s="1"/>
  <c r="AG28" i="37"/>
  <c r="AG48" i="37"/>
  <c r="AH46" i="37"/>
  <c r="AH48" i="37" s="1"/>
  <c r="I48" i="37"/>
  <c r="J46" i="37"/>
  <c r="J48" i="37" s="1"/>
  <c r="AM28" i="37"/>
  <c r="AN25" i="37"/>
  <c r="AN28" i="37" s="1"/>
  <c r="AP7" i="37"/>
  <c r="AQ5" i="37"/>
  <c r="AQ7" i="37" s="1"/>
  <c r="U28" i="37"/>
  <c r="V25" i="37"/>
  <c r="V28" i="37" s="1"/>
  <c r="U10" i="37"/>
  <c r="V8" i="37"/>
  <c r="V10" i="37" s="1"/>
  <c r="D42" i="37"/>
  <c r="D45" i="37" s="1"/>
  <c r="C45" i="37"/>
  <c r="AG7" i="37"/>
  <c r="AH5" i="37"/>
  <c r="AH7" i="37" s="1"/>
  <c r="AH24" i="37" s="1"/>
  <c r="I7" i="37"/>
  <c r="J5" i="37"/>
  <c r="J7" i="37" s="1"/>
  <c r="AQ46" i="37"/>
  <c r="AQ48" i="37" s="1"/>
  <c r="AP48" i="37"/>
  <c r="AB24" i="37"/>
  <c r="C19" i="37"/>
  <c r="D16" i="37"/>
  <c r="D19" i="37" s="1"/>
  <c r="O28" i="37"/>
  <c r="P25" i="37"/>
  <c r="P28" i="37" s="1"/>
  <c r="M24" i="37"/>
  <c r="R49" i="37"/>
  <c r="AG23" i="37"/>
  <c r="AH20" i="37"/>
  <c r="AH23" i="37" s="1"/>
  <c r="I33" i="37"/>
  <c r="J29" i="37"/>
  <c r="J33" i="37" s="1"/>
  <c r="AB49" i="37"/>
  <c r="AD24" i="37"/>
  <c r="AM10" i="37"/>
  <c r="AN8" i="37"/>
  <c r="AN10" i="37" s="1"/>
  <c r="AM45" i="37"/>
  <c r="AN42" i="37"/>
  <c r="AN45" i="37" s="1"/>
  <c r="AQ8" i="37"/>
  <c r="AQ10" i="37" s="1"/>
  <c r="AP10" i="37"/>
  <c r="O19" i="37"/>
  <c r="P16" i="37"/>
  <c r="P19" i="37" s="1"/>
  <c r="AN11" i="37"/>
  <c r="AN15" i="37" s="1"/>
  <c r="AM15" i="37"/>
  <c r="U33" i="37"/>
  <c r="V29" i="37"/>
  <c r="V33" i="37" s="1"/>
  <c r="AA24" i="37"/>
  <c r="C28" i="37"/>
  <c r="D25" i="37"/>
  <c r="D28" i="37" s="1"/>
  <c r="D20" i="37"/>
  <c r="D23" i="37" s="1"/>
  <c r="C23" i="37"/>
  <c r="O33" i="37"/>
  <c r="P29" i="37"/>
  <c r="P33" i="37" s="1"/>
  <c r="L24" i="37"/>
  <c r="S49" i="37"/>
  <c r="S50" i="37" s="1"/>
  <c r="AG33" i="37"/>
  <c r="AH29" i="37"/>
  <c r="AH33" i="37" s="1"/>
  <c r="AH8" i="37"/>
  <c r="AH10" i="37" s="1"/>
  <c r="AG10" i="37"/>
  <c r="AG19" i="37"/>
  <c r="AH16" i="37"/>
  <c r="AH19" i="37" s="1"/>
  <c r="I41" i="37"/>
  <c r="J34" i="37"/>
  <c r="J41" i="37" s="1"/>
  <c r="J8" i="37"/>
  <c r="J10" i="37" s="1"/>
  <c r="I10" i="37"/>
  <c r="AA49" i="37"/>
  <c r="AE24" i="37"/>
  <c r="AE50" i="37" s="1"/>
  <c r="AN5" i="37"/>
  <c r="AN7" i="37" s="1"/>
  <c r="AM7" i="37"/>
  <c r="AQ29" i="37"/>
  <c r="AQ33" i="37" s="1"/>
  <c r="AP33" i="37"/>
  <c r="AQ34" i="37"/>
  <c r="AQ41" i="37" s="1"/>
  <c r="AP41" i="37"/>
  <c r="R24" i="37"/>
  <c r="L49" i="37"/>
  <c r="U7" i="37"/>
  <c r="V5" i="37"/>
  <c r="V7" i="37" s="1"/>
  <c r="D11" i="37"/>
  <c r="D15" i="37" s="1"/>
  <c r="C15" i="37"/>
  <c r="G49" i="37"/>
  <c r="G50" i="37" s="1"/>
  <c r="AK50" i="37"/>
  <c r="AM33" i="37"/>
  <c r="AN29" i="37"/>
  <c r="AN33" i="37" s="1"/>
  <c r="AM23" i="37"/>
  <c r="AN20" i="37"/>
  <c r="AN23" i="37" s="1"/>
  <c r="AM41" i="37"/>
  <c r="AN34" i="37"/>
  <c r="AN41" i="37" s="1"/>
  <c r="AP19" i="37"/>
  <c r="AQ16" i="37"/>
  <c r="AQ19" i="37" s="1"/>
  <c r="M49" i="37"/>
  <c r="U15" i="37"/>
  <c r="V11" i="37"/>
  <c r="V15" i="37" s="1"/>
  <c r="U41" i="37"/>
  <c r="V34" i="37"/>
  <c r="V41" i="37" s="1"/>
  <c r="O41" i="37"/>
  <c r="P34" i="37"/>
  <c r="P41" i="37" s="1"/>
  <c r="J25" i="37"/>
  <c r="J28" i="37" s="1"/>
  <c r="J49" i="37" s="1"/>
  <c r="I28" i="37"/>
  <c r="AD49" i="37"/>
  <c r="F49" i="37"/>
  <c r="AJ24" i="37"/>
  <c r="AJ49" i="37"/>
  <c r="AQ42" i="37"/>
  <c r="AQ45" i="37" s="1"/>
  <c r="AP45" i="37"/>
  <c r="U19" i="37"/>
  <c r="V16" i="37"/>
  <c r="V19" i="37" s="1"/>
  <c r="C7" i="37"/>
  <c r="D5" i="37"/>
  <c r="D7" i="37" s="1"/>
  <c r="D24" i="37" s="1"/>
  <c r="O23" i="37"/>
  <c r="P20" i="37"/>
  <c r="P23" i="37" s="1"/>
  <c r="AG41" i="37"/>
  <c r="AH34" i="37"/>
  <c r="AH41" i="37" s="1"/>
  <c r="C48" i="37"/>
  <c r="D46" i="37"/>
  <c r="D48" i="37" s="1"/>
  <c r="P5" i="37"/>
  <c r="P7" i="37" s="1"/>
  <c r="O7" i="37"/>
  <c r="O48" i="37"/>
  <c r="P46" i="37"/>
  <c r="P48" i="37" s="1"/>
  <c r="AG45" i="37"/>
  <c r="AH42" i="37"/>
  <c r="AH45" i="37" s="1"/>
  <c r="I19" i="37"/>
  <c r="J16" i="37"/>
  <c r="J19" i="37" s="1"/>
  <c r="AM19" i="37"/>
  <c r="AN16" i="37"/>
  <c r="AN19" i="37" s="1"/>
  <c r="AK49" i="37"/>
  <c r="AP15" i="37"/>
  <c r="AQ11" i="37"/>
  <c r="AQ15" i="37" s="1"/>
  <c r="AQ20" i="37"/>
  <c r="AQ23" i="37" s="1"/>
  <c r="AP23" i="37"/>
  <c r="U45" i="37"/>
  <c r="V42" i="37"/>
  <c r="V45" i="37" s="1"/>
  <c r="O10" i="37"/>
  <c r="P8" i="37"/>
  <c r="P10" i="37" s="1"/>
  <c r="J11" i="37"/>
  <c r="J15" i="37" s="1"/>
  <c r="I15" i="37"/>
  <c r="AQ25" i="37"/>
  <c r="AQ28" i="37" s="1"/>
  <c r="AP28" i="37"/>
  <c r="AP49" i="37" s="1"/>
  <c r="U23" i="37"/>
  <c r="V20" i="37"/>
  <c r="V23" i="37" s="1"/>
  <c r="U48" i="37"/>
  <c r="V46" i="37"/>
  <c r="V48" i="37" s="1"/>
  <c r="AQ45" i="16"/>
  <c r="AQ49" i="16" s="1"/>
  <c r="AE23" i="16"/>
  <c r="AE41" i="16"/>
  <c r="C47" i="16"/>
  <c r="D47" i="16" s="1"/>
  <c r="C42" i="16"/>
  <c r="D42" i="16" s="1"/>
  <c r="C37" i="16"/>
  <c r="D37" i="16" s="1"/>
  <c r="C40" i="16"/>
  <c r="D40" i="16" s="1"/>
  <c r="C36" i="16"/>
  <c r="D36" i="16" s="1"/>
  <c r="C31" i="16"/>
  <c r="D31" i="16" s="1"/>
  <c r="C26" i="16"/>
  <c r="D26" i="16" s="1"/>
  <c r="C44" i="16"/>
  <c r="D44" i="16" s="1"/>
  <c r="C39" i="16"/>
  <c r="D39" i="16" s="1"/>
  <c r="C35" i="16"/>
  <c r="C30" i="16"/>
  <c r="D30" i="16" s="1"/>
  <c r="C25" i="16"/>
  <c r="D25" i="16" s="1"/>
  <c r="C29" i="16"/>
  <c r="D29" i="16" s="1"/>
  <c r="C20" i="16"/>
  <c r="D20" i="16" s="1"/>
  <c r="C13" i="16"/>
  <c r="D13" i="16" s="1"/>
  <c r="C38" i="16"/>
  <c r="D38" i="16" s="1"/>
  <c r="C32" i="16"/>
  <c r="D32" i="16" s="1"/>
  <c r="C21" i="16"/>
  <c r="D21" i="16" s="1"/>
  <c r="C43" i="16"/>
  <c r="D43" i="16" s="1"/>
  <c r="C34" i="16"/>
  <c r="D34" i="16" s="1"/>
  <c r="C22" i="16"/>
  <c r="D22" i="16" s="1"/>
  <c r="C17" i="16"/>
  <c r="D17" i="16" s="1"/>
  <c r="C12" i="16"/>
  <c r="D12" i="16" s="1"/>
  <c r="C9" i="16"/>
  <c r="D9" i="16" s="1"/>
  <c r="C14" i="16"/>
  <c r="D14" i="16" s="1"/>
  <c r="C6" i="16"/>
  <c r="D6" i="16" s="1"/>
  <c r="C27" i="16"/>
  <c r="D27" i="16" s="1"/>
  <c r="C8" i="16"/>
  <c r="D8" i="16" s="1"/>
  <c r="C46" i="16"/>
  <c r="D46" i="16" s="1"/>
  <c r="C18" i="16"/>
  <c r="D18" i="16" s="1"/>
  <c r="C11" i="16"/>
  <c r="D11" i="16" s="1"/>
  <c r="C16" i="16"/>
  <c r="D16" i="16" s="1"/>
  <c r="AE15" i="16"/>
  <c r="G19" i="16"/>
  <c r="G28" i="16"/>
  <c r="AE33" i="16"/>
  <c r="G48" i="16"/>
  <c r="AE48" i="16"/>
  <c r="AE19" i="16"/>
  <c r="G23" i="16"/>
  <c r="C24" i="14"/>
  <c r="C27" i="14" s="1"/>
  <c r="G41" i="16"/>
  <c r="G15" i="16"/>
  <c r="C15" i="14"/>
  <c r="C19" i="14" s="1"/>
  <c r="AE45" i="16"/>
  <c r="G10" i="16"/>
  <c r="Q27" i="14"/>
  <c r="Q33" i="14"/>
  <c r="Q37" i="14" s="1"/>
  <c r="C46" i="14"/>
  <c r="C49" i="14" s="1"/>
  <c r="K24" i="14"/>
  <c r="K27" i="14" s="1"/>
  <c r="Q38" i="14"/>
  <c r="Q45" i="14" s="1"/>
  <c r="Q15" i="14"/>
  <c r="Q19" i="14" s="1"/>
  <c r="K29" i="14"/>
  <c r="K32" i="14" s="1"/>
  <c r="C29" i="14"/>
  <c r="C32" i="14" s="1"/>
  <c r="K20" i="14"/>
  <c r="K23" i="14" s="1"/>
  <c r="K15" i="14"/>
  <c r="K19" i="14" s="1"/>
  <c r="K12" i="14"/>
  <c r="K14" i="14" s="1"/>
  <c r="C33" i="14"/>
  <c r="C37" i="14" s="1"/>
  <c r="Q20" i="14"/>
  <c r="Q23" i="14" s="1"/>
  <c r="C38" i="14"/>
  <c r="C45" i="14" s="1"/>
  <c r="C12" i="14"/>
  <c r="C14" i="14" s="1"/>
  <c r="Q46" i="14"/>
  <c r="Q49" i="14" s="1"/>
  <c r="K46" i="14"/>
  <c r="K49" i="14" s="1"/>
  <c r="Q29" i="14"/>
  <c r="Q32" i="14" s="1"/>
  <c r="J294" i="1"/>
  <c r="K294" i="1" s="1"/>
  <c r="G296" i="31" s="1"/>
  <c r="J287" i="1"/>
  <c r="K287" i="1" s="1"/>
  <c r="G289" i="31" s="1"/>
  <c r="J276" i="1"/>
  <c r="K276" i="1" s="1"/>
  <c r="G278" i="31" s="1"/>
  <c r="J266" i="1"/>
  <c r="K266" i="1" s="1"/>
  <c r="G268" i="31" s="1"/>
  <c r="J244" i="1"/>
  <c r="J222" i="1"/>
  <c r="K222" i="1" s="1"/>
  <c r="G224" i="31" s="1"/>
  <c r="J208" i="1"/>
  <c r="K208" i="1" s="1"/>
  <c r="G210" i="31" s="1"/>
  <c r="J291" i="1"/>
  <c r="K291" i="1" s="1"/>
  <c r="G293" i="31" s="1"/>
  <c r="J284" i="1"/>
  <c r="K284" i="1" s="1"/>
  <c r="J273" i="1"/>
  <c r="K273" i="1" s="1"/>
  <c r="G275" i="31" s="1"/>
  <c r="J263" i="1"/>
  <c r="K263" i="1" s="1"/>
  <c r="G265" i="31" s="1"/>
  <c r="J254" i="1"/>
  <c r="K254" i="1" s="1"/>
  <c r="G256" i="31" s="1"/>
  <c r="J239" i="1"/>
  <c r="K239" i="1" s="1"/>
  <c r="G241" i="31" s="1"/>
  <c r="J232" i="1"/>
  <c r="K232" i="1" s="1"/>
  <c r="G234" i="31" s="1"/>
  <c r="J219" i="1"/>
  <c r="K219" i="1" s="1"/>
  <c r="G221" i="31" s="1"/>
  <c r="J212" i="1"/>
  <c r="K212" i="1" s="1"/>
  <c r="G214" i="31" s="1"/>
  <c r="J205" i="1"/>
  <c r="K205" i="1" s="1"/>
  <c r="G207" i="31" s="1"/>
  <c r="J199" i="1"/>
  <c r="K199" i="1" s="1"/>
  <c r="G201" i="31" s="1"/>
  <c r="J176" i="1"/>
  <c r="K176" i="1" s="1"/>
  <c r="G178" i="31" s="1"/>
  <c r="J188" i="1"/>
  <c r="K188" i="1" s="1"/>
  <c r="G190" i="31" s="1"/>
  <c r="J153" i="1"/>
  <c r="J290" i="1"/>
  <c r="J272" i="1"/>
  <c r="K272" i="1" s="1"/>
  <c r="G274" i="31" s="1"/>
  <c r="J262" i="1"/>
  <c r="K262" i="1" s="1"/>
  <c r="G264" i="31" s="1"/>
  <c r="J256" i="1"/>
  <c r="K256" i="1" s="1"/>
  <c r="G258" i="31" s="1"/>
  <c r="J253" i="1"/>
  <c r="K253" i="1" s="1"/>
  <c r="G255" i="31" s="1"/>
  <c r="J250" i="1"/>
  <c r="J238" i="1"/>
  <c r="K238" i="1" s="1"/>
  <c r="G240" i="31" s="1"/>
  <c r="J231" i="1"/>
  <c r="K231" i="1" s="1"/>
  <c r="G233" i="31" s="1"/>
  <c r="J228" i="1"/>
  <c r="J218" i="1"/>
  <c r="K218" i="1" s="1"/>
  <c r="G220" i="31" s="1"/>
  <c r="J211" i="1"/>
  <c r="K211" i="1" s="1"/>
  <c r="G213" i="31" s="1"/>
  <c r="J204" i="1"/>
  <c r="K204" i="1" s="1"/>
  <c r="G206" i="31" s="1"/>
  <c r="J198" i="1"/>
  <c r="K198" i="1" s="1"/>
  <c r="G200" i="31" s="1"/>
  <c r="J161" i="1"/>
  <c r="K161" i="1" s="1"/>
  <c r="G163" i="31" s="1"/>
  <c r="J295" i="1"/>
  <c r="K295" i="1" s="1"/>
  <c r="G297" i="31" s="1"/>
  <c r="J288" i="1"/>
  <c r="K288" i="1" s="1"/>
  <c r="G290" i="31" s="1"/>
  <c r="J279" i="1"/>
  <c r="K279" i="1" s="1"/>
  <c r="G281" i="31" s="1"/>
  <c r="J267" i="1"/>
  <c r="J259" i="1"/>
  <c r="J242" i="1"/>
  <c r="J235" i="1"/>
  <c r="J223" i="1"/>
  <c r="J195" i="1"/>
  <c r="K195" i="1" s="1"/>
  <c r="G197" i="31" s="1"/>
  <c r="J185" i="1"/>
  <c r="K185" i="1" s="1"/>
  <c r="G187" i="31" s="1"/>
  <c r="J182" i="1"/>
  <c r="K182" i="1" s="1"/>
  <c r="G184" i="31" s="1"/>
  <c r="J170" i="1"/>
  <c r="K170" i="1" s="1"/>
  <c r="G172" i="31" s="1"/>
  <c r="J167" i="1"/>
  <c r="J158" i="1"/>
  <c r="K158" i="1" s="1"/>
  <c r="G160" i="31" s="1"/>
  <c r="J151" i="1"/>
  <c r="K151" i="1" s="1"/>
  <c r="G153" i="31" s="1"/>
  <c r="J141" i="1"/>
  <c r="K141" i="1" s="1"/>
  <c r="G143" i="31" s="1"/>
  <c r="J133" i="1"/>
  <c r="K133" i="1" s="1"/>
  <c r="G135" i="31" s="1"/>
  <c r="J112" i="1"/>
  <c r="K112" i="1" s="1"/>
  <c r="G114" i="31" s="1"/>
  <c r="J102" i="1"/>
  <c r="K102" i="1" s="1"/>
  <c r="G104" i="31" s="1"/>
  <c r="J89" i="1"/>
  <c r="K89" i="1" s="1"/>
  <c r="G91" i="31" s="1"/>
  <c r="J82" i="1"/>
  <c r="K82" i="1" s="1"/>
  <c r="G84" i="31" s="1"/>
  <c r="J68" i="1"/>
  <c r="K68" i="1" s="1"/>
  <c r="G70" i="31" s="1"/>
  <c r="J58" i="1"/>
  <c r="K58" i="1" s="1"/>
  <c r="G60" i="31" s="1"/>
  <c r="J45" i="1"/>
  <c r="K45" i="1" s="1"/>
  <c r="G47" i="31" s="1"/>
  <c r="J36" i="1"/>
  <c r="K36" i="1" s="1"/>
  <c r="G38" i="31" s="1"/>
  <c r="J29" i="1"/>
  <c r="K29" i="1" s="1"/>
  <c r="G31" i="31" s="1"/>
  <c r="J23" i="1"/>
  <c r="K23" i="1" s="1"/>
  <c r="G25" i="31" s="1"/>
  <c r="J13" i="1"/>
  <c r="K13" i="1" s="1"/>
  <c r="G15" i="31" s="1"/>
  <c r="J5" i="1"/>
  <c r="J215" i="1"/>
  <c r="K215" i="1" s="1"/>
  <c r="G217" i="31" s="1"/>
  <c r="J181" i="1"/>
  <c r="J166" i="1"/>
  <c r="K166" i="1" s="1"/>
  <c r="J157" i="1"/>
  <c r="K157" i="1" s="1"/>
  <c r="G159" i="31" s="1"/>
  <c r="J132" i="1"/>
  <c r="K132" i="1" s="1"/>
  <c r="G134" i="31" s="1"/>
  <c r="J73" i="1"/>
  <c r="K73" i="1" s="1"/>
  <c r="J57" i="1"/>
  <c r="K57" i="1" s="1"/>
  <c r="J44" i="1"/>
  <c r="J16" i="1"/>
  <c r="J162" i="1"/>
  <c r="K162" i="1" s="1"/>
  <c r="G164" i="31" s="1"/>
  <c r="J136" i="1"/>
  <c r="K136" i="1" s="1"/>
  <c r="G138" i="31" s="1"/>
  <c r="J116" i="1"/>
  <c r="K116" i="1" s="1"/>
  <c r="G118" i="31" s="1"/>
  <c r="J77" i="1"/>
  <c r="K77" i="1" s="1"/>
  <c r="G79" i="31" s="1"/>
  <c r="J48" i="1"/>
  <c r="K48" i="1" s="1"/>
  <c r="G50" i="31" s="1"/>
  <c r="J8" i="1"/>
  <c r="K8" i="1" s="1"/>
  <c r="G10" i="31" s="1"/>
  <c r="J191" i="1"/>
  <c r="J143" i="1"/>
  <c r="J140" i="1"/>
  <c r="K140" i="1" s="1"/>
  <c r="G142" i="31" s="1"/>
  <c r="J111" i="1"/>
  <c r="K111" i="1" s="1"/>
  <c r="G113" i="31" s="1"/>
  <c r="J98" i="1"/>
  <c r="K98" i="1" s="1"/>
  <c r="G100" i="31" s="1"/>
  <c r="J64" i="1"/>
  <c r="K64" i="1" s="1"/>
  <c r="G66" i="31" s="1"/>
  <c r="J52" i="1"/>
  <c r="K52" i="1" s="1"/>
  <c r="G54" i="31" s="1"/>
  <c r="J147" i="1"/>
  <c r="K147" i="1" s="1"/>
  <c r="G149" i="31" s="1"/>
  <c r="J123" i="1"/>
  <c r="K123" i="1" s="1"/>
  <c r="G125" i="31" s="1"/>
  <c r="J115" i="1"/>
  <c r="K115" i="1" s="1"/>
  <c r="G117" i="31" s="1"/>
  <c r="J76" i="1"/>
  <c r="K76" i="1" s="1"/>
  <c r="G78" i="31" s="1"/>
  <c r="J39" i="1"/>
  <c r="J19" i="1"/>
  <c r="K19" i="1" s="1"/>
  <c r="G21" i="31" s="1"/>
  <c r="J184" i="1"/>
  <c r="K184" i="1" s="1"/>
  <c r="G186" i="31" s="1"/>
  <c r="J97" i="1"/>
  <c r="J51" i="1"/>
  <c r="K51" i="1" s="1"/>
  <c r="G53" i="31" s="1"/>
  <c r="J179" i="1"/>
  <c r="J154" i="1"/>
  <c r="K154" i="1" s="1"/>
  <c r="G156" i="31" s="1"/>
  <c r="J146" i="1"/>
  <c r="K146" i="1" s="1"/>
  <c r="G148" i="31" s="1"/>
  <c r="J129" i="1"/>
  <c r="K129" i="1" s="1"/>
  <c r="G131" i="31" s="1"/>
  <c r="J122" i="1"/>
  <c r="K122" i="1" s="1"/>
  <c r="G124" i="31" s="1"/>
  <c r="J101" i="1"/>
  <c r="K101" i="1" s="1"/>
  <c r="G103" i="31" s="1"/>
  <c r="J67" i="1"/>
  <c r="K67" i="1" s="1"/>
  <c r="G69" i="31" s="1"/>
  <c r="J18" i="1"/>
  <c r="K18" i="1" s="1"/>
  <c r="G20" i="31" s="1"/>
  <c r="J194" i="1"/>
  <c r="K194" i="1" s="1"/>
  <c r="G196" i="31" s="1"/>
  <c r="J105" i="1"/>
  <c r="J74" i="1"/>
  <c r="J137" i="1"/>
  <c r="K137" i="1" s="1"/>
  <c r="G139" i="31" s="1"/>
  <c r="J128" i="1"/>
  <c r="J92" i="1"/>
  <c r="J85" i="1"/>
  <c r="K85" i="1" s="1"/>
  <c r="G87" i="31" s="1"/>
  <c r="J49" i="1"/>
  <c r="J9" i="1"/>
  <c r="K9" i="1" s="1"/>
  <c r="G11" i="31" s="1"/>
  <c r="J28" i="1"/>
  <c r="J12" i="1"/>
  <c r="K12" i="1" s="1"/>
  <c r="G14" i="31" s="1"/>
  <c r="J121" i="1"/>
  <c r="K121" i="1" s="1"/>
  <c r="G123" i="31" s="1"/>
  <c r="J118" i="1"/>
  <c r="K118" i="1" s="1"/>
  <c r="G120" i="31" s="1"/>
  <c r="J233" i="1"/>
  <c r="K233" i="1" s="1"/>
  <c r="G235" i="31" s="1"/>
  <c r="J226" i="1"/>
  <c r="J11" i="1"/>
  <c r="K11" i="1" s="1"/>
  <c r="G13" i="31" s="1"/>
  <c r="J280" i="1"/>
  <c r="K280" i="1" s="1"/>
  <c r="G282" i="31" s="1"/>
  <c r="J83" i="1"/>
  <c r="K83" i="1" s="1"/>
  <c r="G85" i="31" s="1"/>
  <c r="J175" i="1"/>
  <c r="J156" i="1"/>
  <c r="K156" i="1" s="1"/>
  <c r="G158" i="31" s="1"/>
  <c r="J149" i="1"/>
  <c r="K149" i="1" s="1"/>
  <c r="G151" i="31" s="1"/>
  <c r="J217" i="1"/>
  <c r="J150" i="1"/>
  <c r="K150" i="1" s="1"/>
  <c r="G152" i="31" s="1"/>
  <c r="J17" i="1"/>
  <c r="K17" i="1" s="1"/>
  <c r="J145" i="1"/>
  <c r="K145" i="1" s="1"/>
  <c r="G147" i="31" s="1"/>
  <c r="J245" i="1"/>
  <c r="K245" i="1" s="1"/>
  <c r="G247" i="31" s="1"/>
  <c r="J10" i="1"/>
  <c r="K10" i="1" s="1"/>
  <c r="G12" i="31" s="1"/>
  <c r="J106" i="1"/>
  <c r="K106" i="1" s="1"/>
  <c r="G108" i="31" s="1"/>
  <c r="J240" i="1"/>
  <c r="K240" i="1" s="1"/>
  <c r="G242" i="31" s="1"/>
  <c r="J34" i="1"/>
  <c r="K34" i="1" s="1"/>
  <c r="G36" i="31" s="1"/>
  <c r="J174" i="1"/>
  <c r="J285" i="1"/>
  <c r="K285" i="1" s="1"/>
  <c r="G287" i="31" s="1"/>
  <c r="J87" i="1"/>
  <c r="J197" i="1"/>
  <c r="K197" i="1" s="1"/>
  <c r="G199" i="31" s="1"/>
  <c r="J84" i="1"/>
  <c r="K84" i="1" s="1"/>
  <c r="G86" i="31" s="1"/>
  <c r="J210" i="1"/>
  <c r="J41" i="1"/>
  <c r="K41" i="1" s="1"/>
  <c r="G43" i="31" s="1"/>
  <c r="J227" i="1"/>
  <c r="K227" i="1" s="1"/>
  <c r="G229" i="31" s="1"/>
  <c r="J22" i="1"/>
  <c r="K22" i="1" s="1"/>
  <c r="G24" i="31" s="1"/>
  <c r="J37" i="1"/>
  <c r="K37" i="1" s="1"/>
  <c r="G39" i="31" s="1"/>
  <c r="J178" i="1"/>
  <c r="K178" i="1" s="1"/>
  <c r="G180" i="31" s="1"/>
  <c r="J21" i="1"/>
  <c r="K21" i="1" s="1"/>
  <c r="G23" i="31" s="1"/>
  <c r="J159" i="1"/>
  <c r="K159" i="1" s="1"/>
  <c r="G161" i="31" s="1"/>
  <c r="J251" i="1"/>
  <c r="K251" i="1" s="1"/>
  <c r="G253" i="31" s="1"/>
  <c r="J30" i="1"/>
  <c r="K30" i="1" s="1"/>
  <c r="G32" i="31" s="1"/>
  <c r="J114" i="1"/>
  <c r="K114" i="1" s="1"/>
  <c r="G116" i="31" s="1"/>
  <c r="J246" i="1"/>
  <c r="K246" i="1" s="1"/>
  <c r="G248" i="31" s="1"/>
  <c r="J63" i="1"/>
  <c r="J190" i="1"/>
  <c r="J202" i="1"/>
  <c r="J7" i="1"/>
  <c r="K7" i="1" s="1"/>
  <c r="G9" i="31" s="1"/>
  <c r="J171" i="1"/>
  <c r="K171" i="1" s="1"/>
  <c r="G173" i="31" s="1"/>
  <c r="J120" i="1"/>
  <c r="J224" i="1"/>
  <c r="K224" i="1" s="1"/>
  <c r="G226" i="31" s="1"/>
  <c r="J53" i="1"/>
  <c r="K53" i="1" s="1"/>
  <c r="G55" i="31" s="1"/>
  <c r="J177" i="1"/>
  <c r="K177" i="1" s="1"/>
  <c r="G179" i="31" s="1"/>
  <c r="J237" i="1"/>
  <c r="K237" i="1" s="1"/>
  <c r="G239" i="31" s="1"/>
  <c r="J33" i="1"/>
  <c r="J56" i="1"/>
  <c r="J61" i="1" s="1"/>
  <c r="J88" i="1"/>
  <c r="K88" i="1" s="1"/>
  <c r="G90" i="31" s="1"/>
  <c r="J54" i="1"/>
  <c r="K54" i="1" s="1"/>
  <c r="G56" i="31" s="1"/>
  <c r="J206" i="1"/>
  <c r="K206" i="1" s="1"/>
  <c r="G208" i="31" s="1"/>
  <c r="J14" i="1"/>
  <c r="K14" i="1" s="1"/>
  <c r="G16" i="31" s="1"/>
  <c r="J168" i="1"/>
  <c r="K168" i="1" s="1"/>
  <c r="G170" i="31" s="1"/>
  <c r="J283" i="1"/>
  <c r="J38" i="1"/>
  <c r="K38" i="1" s="1"/>
  <c r="G40" i="31" s="1"/>
  <c r="J134" i="1"/>
  <c r="K134" i="1" s="1"/>
  <c r="G136" i="31" s="1"/>
  <c r="J252" i="1"/>
  <c r="K252" i="1" s="1"/>
  <c r="G254" i="31" s="1"/>
  <c r="J196" i="1"/>
  <c r="K196" i="1" s="1"/>
  <c r="G198" i="31" s="1"/>
  <c r="J107" i="1"/>
  <c r="K107" i="1" s="1"/>
  <c r="G109" i="31" s="1"/>
  <c r="J261" i="1"/>
  <c r="K261" i="1" s="1"/>
  <c r="G263" i="31" s="1"/>
  <c r="J40" i="1"/>
  <c r="K40" i="1" s="1"/>
  <c r="G42" i="31" s="1"/>
  <c r="J186" i="1"/>
  <c r="K186" i="1" s="1"/>
  <c r="G188" i="31" s="1"/>
  <c r="J144" i="1"/>
  <c r="K144" i="1" s="1"/>
  <c r="J230" i="1"/>
  <c r="K230" i="1" s="1"/>
  <c r="G232" i="31" s="1"/>
  <c r="J65" i="1"/>
  <c r="K65" i="1" s="1"/>
  <c r="G67" i="31" s="1"/>
  <c r="J193" i="1"/>
  <c r="K193" i="1" s="1"/>
  <c r="G195" i="31" s="1"/>
  <c r="J249" i="1"/>
  <c r="K249" i="1" s="1"/>
  <c r="G251" i="31" s="1"/>
  <c r="J62" i="1"/>
  <c r="J165" i="1"/>
  <c r="J66" i="1"/>
  <c r="K66" i="1" s="1"/>
  <c r="G68" i="31" s="1"/>
  <c r="J265" i="1"/>
  <c r="K265" i="1" s="1"/>
  <c r="G267" i="31" s="1"/>
  <c r="J50" i="1"/>
  <c r="K50" i="1" s="1"/>
  <c r="G52" i="31" s="1"/>
  <c r="J46" i="1"/>
  <c r="K46" i="1" s="1"/>
  <c r="G48" i="31" s="1"/>
  <c r="J138" i="1"/>
  <c r="K138" i="1" s="1"/>
  <c r="G140" i="31" s="1"/>
  <c r="J94" i="1"/>
  <c r="K94" i="1" s="1"/>
  <c r="G96" i="31" s="1"/>
  <c r="J221" i="1"/>
  <c r="K221" i="1" s="1"/>
  <c r="G223" i="31" s="1"/>
  <c r="J24" i="1"/>
  <c r="K24" i="1" s="1"/>
  <c r="G26" i="31" s="1"/>
  <c r="J130" i="1"/>
  <c r="K130" i="1" s="1"/>
  <c r="G132" i="31" s="1"/>
  <c r="J275" i="1"/>
  <c r="K275" i="1" s="1"/>
  <c r="G277" i="31" s="1"/>
  <c r="J69" i="1"/>
  <c r="K69" i="1" s="1"/>
  <c r="G71" i="31" s="1"/>
  <c r="J203" i="1"/>
  <c r="K203" i="1" s="1"/>
  <c r="G205" i="31" s="1"/>
  <c r="J148" i="1"/>
  <c r="K148" i="1" s="1"/>
  <c r="G150" i="31" s="1"/>
  <c r="J236" i="1"/>
  <c r="K236" i="1" s="1"/>
  <c r="G238" i="31" s="1"/>
  <c r="J70" i="1"/>
  <c r="K70" i="1" s="1"/>
  <c r="G72" i="31" s="1"/>
  <c r="J243" i="1"/>
  <c r="J278" i="1"/>
  <c r="J281" i="1" s="1"/>
  <c r="J109" i="1"/>
  <c r="J100" i="1"/>
  <c r="K100" i="1" s="1"/>
  <c r="G102" i="31" s="1"/>
  <c r="J271" i="1"/>
  <c r="K271" i="1" s="1"/>
  <c r="G273" i="31" s="1"/>
  <c r="J183" i="1"/>
  <c r="J59" i="1"/>
  <c r="K59" i="1" s="1"/>
  <c r="G61" i="31" s="1"/>
  <c r="J110" i="1"/>
  <c r="K110" i="1" s="1"/>
  <c r="G112" i="31" s="1"/>
  <c r="J260" i="1"/>
  <c r="K260" i="1" s="1"/>
  <c r="G262" i="31" s="1"/>
  <c r="J31" i="1"/>
  <c r="K31" i="1" s="1"/>
  <c r="G33" i="31" s="1"/>
  <c r="J135" i="1"/>
  <c r="K135" i="1" s="1"/>
  <c r="G137" i="31" s="1"/>
  <c r="J286" i="1"/>
  <c r="K286" i="1" s="1"/>
  <c r="G288" i="31" s="1"/>
  <c r="J72" i="1"/>
  <c r="J78" i="1" s="1"/>
  <c r="J229" i="1"/>
  <c r="K229" i="1" s="1"/>
  <c r="G231" i="31" s="1"/>
  <c r="J20" i="1"/>
  <c r="K20" i="1" s="1"/>
  <c r="G22" i="31" s="1"/>
  <c r="J172" i="1"/>
  <c r="K172" i="1" s="1"/>
  <c r="G174" i="31" s="1"/>
  <c r="J248" i="1"/>
  <c r="J80" i="1"/>
  <c r="J264" i="1"/>
  <c r="K264" i="1" s="1"/>
  <c r="G266" i="31" s="1"/>
  <c r="J169" i="1"/>
  <c r="K169" i="1" s="1"/>
  <c r="G171" i="31" s="1"/>
  <c r="J113" i="1"/>
  <c r="K113" i="1" s="1"/>
  <c r="G115" i="31" s="1"/>
  <c r="J81" i="1"/>
  <c r="J207" i="1"/>
  <c r="K207" i="1" s="1"/>
  <c r="G209" i="31" s="1"/>
  <c r="J75" i="1"/>
  <c r="K75" i="1" s="1"/>
  <c r="G77" i="31" s="1"/>
  <c r="J214" i="1"/>
  <c r="K214" i="1" s="1"/>
  <c r="G216" i="31" s="1"/>
  <c r="J139" i="1"/>
  <c r="K139" i="1" s="1"/>
  <c r="G141" i="31" s="1"/>
  <c r="J268" i="1"/>
  <c r="K268" i="1" s="1"/>
  <c r="G270" i="31" s="1"/>
  <c r="J47" i="1"/>
  <c r="K47" i="1" s="1"/>
  <c r="G49" i="31" s="1"/>
  <c r="J155" i="1"/>
  <c r="K155" i="1" s="1"/>
  <c r="G157" i="31" s="1"/>
  <c r="J103" i="1"/>
  <c r="K103" i="1" s="1"/>
  <c r="G105" i="31" s="1"/>
  <c r="J255" i="1"/>
  <c r="J25" i="1"/>
  <c r="K25" i="1" s="1"/>
  <c r="G27" i="31" s="1"/>
  <c r="J187" i="1"/>
  <c r="K187" i="1" s="1"/>
  <c r="G189" i="31" s="1"/>
  <c r="J293" i="1"/>
  <c r="K293" i="1" s="1"/>
  <c r="G295" i="31" s="1"/>
  <c r="J99" i="1"/>
  <c r="K99" i="1" s="1"/>
  <c r="G101" i="31" s="1"/>
  <c r="J270" i="1"/>
  <c r="J35" i="1"/>
  <c r="K35" i="1" s="1"/>
  <c r="G37" i="31" s="1"/>
  <c r="J117" i="1"/>
  <c r="K117" i="1" s="1"/>
  <c r="G119" i="31" s="1"/>
  <c r="J90" i="1"/>
  <c r="K90" i="1" s="1"/>
  <c r="G92" i="31" s="1"/>
  <c r="J213" i="1"/>
  <c r="K213" i="1" s="1"/>
  <c r="G215" i="31" s="1"/>
  <c r="J93" i="1"/>
  <c r="K93" i="1" s="1"/>
  <c r="G95" i="31" s="1"/>
  <c r="J220" i="1"/>
  <c r="K220" i="1" s="1"/>
  <c r="G222" i="31" s="1"/>
  <c r="J6" i="1"/>
  <c r="K6" i="1" s="1"/>
  <c r="G8" i="31" s="1"/>
  <c r="J160" i="1"/>
  <c r="K160" i="1" s="1"/>
  <c r="G162" i="31" s="1"/>
  <c r="J274" i="1"/>
  <c r="K274" i="1" s="1"/>
  <c r="G276" i="31" s="1"/>
  <c r="J60" i="1"/>
  <c r="K60" i="1" s="1"/>
  <c r="G62" i="31" s="1"/>
  <c r="J131" i="1"/>
  <c r="K131" i="1" s="1"/>
  <c r="G133" i="31" s="1"/>
  <c r="J292" i="1"/>
  <c r="K292" i="1" s="1"/>
  <c r="G294" i="31" s="1"/>
  <c r="J192" i="1"/>
  <c r="K192" i="1" s="1"/>
  <c r="G194" i="31" s="1"/>
  <c r="J104" i="1"/>
  <c r="K104" i="1" s="1"/>
  <c r="G106" i="31" s="1"/>
  <c r="Q50" i="14"/>
  <c r="Q52" i="14" s="1"/>
  <c r="K38" i="14"/>
  <c r="K45" i="14" s="1"/>
  <c r="C50" i="14"/>
  <c r="C52" i="14" s="1"/>
  <c r="K33" i="14"/>
  <c r="K37" i="14" s="1"/>
  <c r="C20" i="14"/>
  <c r="C23" i="14" s="1"/>
  <c r="K50" i="14"/>
  <c r="K52" i="14" s="1"/>
  <c r="Q12" i="14"/>
  <c r="Q14" i="14" s="1"/>
  <c r="D49" i="37" l="1"/>
  <c r="D50" i="37" s="1"/>
  <c r="O49" i="37"/>
  <c r="U49" i="37"/>
  <c r="AQ49" i="37"/>
  <c r="C49" i="37"/>
  <c r="AG24" i="37"/>
  <c r="AQ24" i="37"/>
  <c r="AQ50" i="37" s="1"/>
  <c r="AG49" i="37"/>
  <c r="AP24" i="37"/>
  <c r="AH49" i="37"/>
  <c r="AH50" i="37" s="1"/>
  <c r="AO52" i="37" s="1"/>
  <c r="AB50" i="37"/>
  <c r="AN49" i="37"/>
  <c r="Y50" i="37"/>
  <c r="V24" i="37"/>
  <c r="V50" i="37" s="1"/>
  <c r="AM24" i="37"/>
  <c r="AM49" i="37"/>
  <c r="U24" i="37"/>
  <c r="P24" i="37"/>
  <c r="C24" i="37"/>
  <c r="M50" i="37"/>
  <c r="J24" i="37"/>
  <c r="J50" i="37" s="1"/>
  <c r="O24" i="37"/>
  <c r="AN24" i="37"/>
  <c r="AN50" i="37" s="1"/>
  <c r="I49" i="37"/>
  <c r="P49" i="37"/>
  <c r="I24" i="37"/>
  <c r="V49" i="37"/>
  <c r="AE49" i="16"/>
  <c r="G49" i="16"/>
  <c r="J216" i="1"/>
  <c r="K210" i="1"/>
  <c r="G168" i="31"/>
  <c r="K173" i="1"/>
  <c r="J119" i="1"/>
  <c r="K109" i="1"/>
  <c r="G146" i="31"/>
  <c r="K152" i="1"/>
  <c r="K33" i="1"/>
  <c r="J42" i="1"/>
  <c r="K202" i="1"/>
  <c r="J209" i="1"/>
  <c r="K28" i="1"/>
  <c r="J32" i="1"/>
  <c r="J152" i="1"/>
  <c r="J26" i="1"/>
  <c r="K242" i="1"/>
  <c r="J247" i="1"/>
  <c r="G286" i="31"/>
  <c r="K289" i="1"/>
  <c r="C53" i="14"/>
  <c r="J86" i="1"/>
  <c r="J96" i="1" s="1"/>
  <c r="K80" i="1"/>
  <c r="J289" i="1"/>
  <c r="K190" i="1"/>
  <c r="J200" i="1"/>
  <c r="K87" i="1"/>
  <c r="J91" i="1"/>
  <c r="J55" i="1"/>
  <c r="K44" i="1"/>
  <c r="J15" i="1"/>
  <c r="J27" i="1" s="1"/>
  <c r="K5" i="1"/>
  <c r="K259" i="1"/>
  <c r="J269" i="1"/>
  <c r="J282" i="1" s="1"/>
  <c r="K270" i="1"/>
  <c r="J277" i="1"/>
  <c r="K248" i="1"/>
  <c r="J257" i="1"/>
  <c r="G59" i="31"/>
  <c r="K61" i="1"/>
  <c r="J173" i="1"/>
  <c r="G19" i="31"/>
  <c r="K26" i="1"/>
  <c r="K62" i="1"/>
  <c r="J71" i="1"/>
  <c r="J180" i="1"/>
  <c r="K174" i="1"/>
  <c r="K226" i="1"/>
  <c r="J234" i="1"/>
  <c r="K97" i="1"/>
  <c r="J108" i="1"/>
  <c r="K78" i="1"/>
  <c r="G75" i="31"/>
  <c r="K290" i="1"/>
  <c r="J296" i="1"/>
  <c r="Q53" i="14"/>
  <c r="J189" i="1"/>
  <c r="K181" i="1"/>
  <c r="J241" i="1"/>
  <c r="K235" i="1"/>
  <c r="K53" i="14"/>
  <c r="J225" i="1"/>
  <c r="K217" i="1"/>
  <c r="J95" i="1"/>
  <c r="K92" i="1"/>
  <c r="J163" i="1"/>
  <c r="K153" i="1"/>
  <c r="J124" i="1"/>
  <c r="K120" i="1"/>
  <c r="K128" i="1"/>
  <c r="J142" i="1"/>
  <c r="AC52" i="37" l="1"/>
  <c r="P50" i="37"/>
  <c r="G94" i="31"/>
  <c r="K95" i="1"/>
  <c r="G228" i="31"/>
  <c r="K234" i="1"/>
  <c r="K15" i="1"/>
  <c r="K27" i="1" s="1"/>
  <c r="G7" i="31"/>
  <c r="J297" i="1"/>
  <c r="K247" i="1"/>
  <c r="G244" i="31"/>
  <c r="G35" i="31"/>
  <c r="K42" i="1"/>
  <c r="K124" i="1"/>
  <c r="G122" i="31"/>
  <c r="K269" i="1"/>
  <c r="G261" i="31"/>
  <c r="G176" i="31"/>
  <c r="K180" i="1"/>
  <c r="G82" i="31"/>
  <c r="K86" i="1"/>
  <c r="G292" i="31"/>
  <c r="K296" i="1"/>
  <c r="G46" i="31"/>
  <c r="K55" i="1"/>
  <c r="G237" i="31"/>
  <c r="K241" i="1"/>
  <c r="J201" i="1"/>
  <c r="G250" i="31"/>
  <c r="K257" i="1"/>
  <c r="J79" i="1"/>
  <c r="J43" i="1"/>
  <c r="J126" i="1" s="1"/>
  <c r="J299" i="1" s="1"/>
  <c r="G111" i="31"/>
  <c r="K119" i="1"/>
  <c r="G212" i="31"/>
  <c r="K216" i="1"/>
  <c r="K225" i="1"/>
  <c r="G219" i="31"/>
  <c r="J164" i="1"/>
  <c r="J298" i="1" s="1"/>
  <c r="G64" i="31"/>
  <c r="K71" i="1"/>
  <c r="G30" i="31"/>
  <c r="K32" i="1"/>
  <c r="K43" i="1" s="1"/>
  <c r="G192" i="31"/>
  <c r="K200" i="1"/>
  <c r="G130" i="31"/>
  <c r="K142" i="1"/>
  <c r="G183" i="31"/>
  <c r="K189" i="1"/>
  <c r="K201" i="1" s="1"/>
  <c r="J125" i="1"/>
  <c r="K277" i="1"/>
  <c r="G272" i="31"/>
  <c r="K91" i="1"/>
  <c r="G89" i="31"/>
  <c r="K297" i="1"/>
  <c r="J258" i="1"/>
  <c r="K163" i="1"/>
  <c r="G155" i="31"/>
  <c r="G99" i="31"/>
  <c r="K108" i="1"/>
  <c r="G204" i="31"/>
  <c r="K209" i="1"/>
  <c r="K125" i="1" l="1"/>
  <c r="K282" i="1"/>
  <c r="K96" i="1"/>
  <c r="K258" i="1"/>
  <c r="K79" i="1"/>
  <c r="K126" i="1" s="1"/>
  <c r="K164" i="1"/>
  <c r="K298" i="1" l="1"/>
  <c r="K299" i="1" s="1"/>
  <c r="C5" i="16"/>
  <c r="D5" i="16" s="1"/>
  <c r="B9" i="14" s="1"/>
  <c r="B10" i="14"/>
  <c r="B13" i="14"/>
  <c r="B15" i="14"/>
  <c r="B17" i="14"/>
  <c r="B18" i="14"/>
  <c r="B21" i="14"/>
  <c r="B22" i="14"/>
  <c r="B24" i="14"/>
  <c r="B25" i="14"/>
  <c r="B26" i="14"/>
  <c r="B29" i="14"/>
  <c r="B30" i="14"/>
  <c r="B31" i="14"/>
  <c r="B34" i="14"/>
  <c r="B35" i="14"/>
  <c r="B36" i="14"/>
  <c r="B38" i="14"/>
  <c r="C41" i="16"/>
  <c r="B41" i="14"/>
  <c r="B42" i="14"/>
  <c r="B43" i="14"/>
  <c r="B44" i="14"/>
  <c r="B47" i="14"/>
  <c r="B48" i="14"/>
  <c r="B50" i="14"/>
  <c r="B51" i="14"/>
  <c r="C48" i="16"/>
  <c r="D7" i="16" l="1"/>
  <c r="D48" i="16"/>
  <c r="B40" i="14"/>
  <c r="C15" i="16"/>
  <c r="C28" i="16"/>
  <c r="C7" i="16"/>
  <c r="C45" i="16"/>
  <c r="C23" i="16"/>
  <c r="B46" i="14"/>
  <c r="D45" i="16"/>
  <c r="B39" i="14"/>
  <c r="B16" i="14"/>
  <c r="D15" i="16"/>
  <c r="D28" i="16"/>
  <c r="B52" i="14"/>
  <c r="C33" i="16"/>
  <c r="C49" i="16" s="1"/>
  <c r="B27" i="14"/>
  <c r="D23" i="16"/>
  <c r="C19" i="16"/>
  <c r="B11" i="14"/>
  <c r="B32" i="14"/>
  <c r="C10" i="16"/>
  <c r="C24" i="16" l="1"/>
  <c r="D41" i="16"/>
  <c r="B33" i="14"/>
  <c r="D33" i="16"/>
  <c r="B12" i="14"/>
  <c r="D10" i="16"/>
  <c r="B20" i="14"/>
  <c r="D19" i="16"/>
  <c r="B19" i="14"/>
  <c r="B49" i="14"/>
  <c r="B45" i="14"/>
  <c r="D49" i="16" l="1"/>
  <c r="D24" i="16"/>
  <c r="B14" i="14"/>
  <c r="B37" i="14"/>
  <c r="B53" i="14" s="1"/>
  <c r="B23" i="14"/>
  <c r="D50" i="16" l="1"/>
  <c r="B28" i="14"/>
  <c r="B54" i="14" s="1"/>
  <c r="F5" i="16"/>
  <c r="F10" i="16"/>
  <c r="F19" i="16"/>
  <c r="F28" i="16"/>
  <c r="F41" i="16"/>
  <c r="F45" i="16"/>
  <c r="F48" i="16"/>
  <c r="F7" i="16" l="1"/>
  <c r="G5" i="16"/>
  <c r="F23" i="16"/>
  <c r="F33" i="16"/>
  <c r="F49" i="16" s="1"/>
  <c r="F15" i="16"/>
  <c r="I5" i="16"/>
  <c r="I7" i="16" s="1"/>
  <c r="D10" i="14"/>
  <c r="D12" i="14"/>
  <c r="D13" i="14"/>
  <c r="I10" i="16"/>
  <c r="D15" i="14"/>
  <c r="I15" i="16"/>
  <c r="D17" i="14"/>
  <c r="D18" i="14"/>
  <c r="I19" i="16"/>
  <c r="D21" i="14"/>
  <c r="D22" i="14"/>
  <c r="I23" i="16"/>
  <c r="D25" i="14"/>
  <c r="D26" i="14"/>
  <c r="D29" i="14"/>
  <c r="D30" i="14"/>
  <c r="D31" i="14"/>
  <c r="I28" i="16"/>
  <c r="J28" i="16"/>
  <c r="D33" i="14"/>
  <c r="D35" i="14"/>
  <c r="D36" i="14"/>
  <c r="I33" i="16"/>
  <c r="D38" i="14"/>
  <c r="D39" i="14"/>
  <c r="D40" i="14"/>
  <c r="D41" i="14"/>
  <c r="D42" i="14"/>
  <c r="D43" i="14"/>
  <c r="D44" i="14"/>
  <c r="I41" i="16"/>
  <c r="D46" i="14"/>
  <c r="D47" i="14"/>
  <c r="D48" i="14"/>
  <c r="I45" i="16"/>
  <c r="D50" i="14"/>
  <c r="I48" i="16"/>
  <c r="D51" i="14"/>
  <c r="I49" i="16" l="1"/>
  <c r="F24" i="16"/>
  <c r="J5" i="16"/>
  <c r="D9" i="14" s="1"/>
  <c r="D11" i="14" s="1"/>
  <c r="J7" i="16"/>
  <c r="G7" i="16"/>
  <c r="G24" i="16" s="1"/>
  <c r="G50" i="16" s="1"/>
  <c r="C9" i="14"/>
  <c r="C11" i="14" s="1"/>
  <c r="C28" i="14" s="1"/>
  <c r="C54" i="14" s="1"/>
  <c r="D32" i="14"/>
  <c r="D52" i="14"/>
  <c r="J15" i="16"/>
  <c r="D16" i="14"/>
  <c r="D34" i="14"/>
  <c r="J33" i="16"/>
  <c r="D20" i="14"/>
  <c r="J19" i="16"/>
  <c r="I24" i="16"/>
  <c r="J48" i="16"/>
  <c r="D45" i="14"/>
  <c r="J23" i="16"/>
  <c r="D24" i="14"/>
  <c r="J45" i="16"/>
  <c r="J41" i="16"/>
  <c r="D49" i="14"/>
  <c r="D14" i="14"/>
  <c r="J10" i="16"/>
  <c r="J24" i="16" l="1"/>
  <c r="D37" i="14"/>
  <c r="D53" i="14" s="1"/>
  <c r="D23" i="14"/>
  <c r="D27" i="14"/>
  <c r="D19" i="14"/>
  <c r="J49" i="16"/>
  <c r="J50" i="16" s="1"/>
  <c r="L5" i="16"/>
  <c r="L7" i="16" s="1"/>
  <c r="M5" i="16"/>
  <c r="E9" i="14" s="1"/>
  <c r="E10" i="14"/>
  <c r="E12" i="14"/>
  <c r="E13" i="14"/>
  <c r="L10" i="16"/>
  <c r="M10" i="16"/>
  <c r="L15" i="16"/>
  <c r="E16" i="14"/>
  <c r="E17" i="14"/>
  <c r="E18" i="14"/>
  <c r="E20" i="14"/>
  <c r="E21" i="14"/>
  <c r="E22" i="14"/>
  <c r="L19" i="16"/>
  <c r="E24" i="14"/>
  <c r="E25" i="14"/>
  <c r="E26" i="14"/>
  <c r="L23" i="16"/>
  <c r="M23" i="16"/>
  <c r="E30" i="14"/>
  <c r="E31" i="14"/>
  <c r="L28" i="16"/>
  <c r="E33" i="14"/>
  <c r="E34" i="14"/>
  <c r="E35" i="14"/>
  <c r="E36" i="14"/>
  <c r="L33" i="16"/>
  <c r="E38" i="14"/>
  <c r="L41" i="16"/>
  <c r="E41" i="14"/>
  <c r="E42" i="14"/>
  <c r="E43" i="14"/>
  <c r="E44" i="14"/>
  <c r="E47" i="14"/>
  <c r="E48" i="14"/>
  <c r="E50" i="14"/>
  <c r="E51" i="14"/>
  <c r="L48" i="16"/>
  <c r="M7" i="16" l="1"/>
  <c r="D28" i="14"/>
  <c r="D54" i="14" s="1"/>
  <c r="E39" i="14"/>
  <c r="M41" i="16"/>
  <c r="E52" i="14"/>
  <c r="L45" i="16"/>
  <c r="L49" i="16" s="1"/>
  <c r="E46" i="14"/>
  <c r="M45" i="16"/>
  <c r="M48" i="16"/>
  <c r="E29" i="14"/>
  <c r="M28" i="16"/>
  <c r="E40" i="14"/>
  <c r="M33" i="16"/>
  <c r="M19" i="16"/>
  <c r="L24" i="16"/>
  <c r="E23" i="14"/>
  <c r="E27" i="14"/>
  <c r="E37" i="14"/>
  <c r="E11" i="14"/>
  <c r="E14" i="14"/>
  <c r="M49" i="16" l="1"/>
  <c r="E15" i="14"/>
  <c r="M15" i="16"/>
  <c r="M24" i="16" s="1"/>
  <c r="E32" i="14"/>
  <c r="E49" i="14"/>
  <c r="E45" i="14"/>
  <c r="M50" i="16" l="1"/>
  <c r="E53" i="14"/>
  <c r="E19" i="14"/>
  <c r="E28" i="14" s="1"/>
  <c r="F16" i="14"/>
  <c r="F24" i="14"/>
  <c r="O5" i="16"/>
  <c r="F10" i="14"/>
  <c r="O7" i="16"/>
  <c r="F12" i="14"/>
  <c r="F13" i="14"/>
  <c r="O10" i="16"/>
  <c r="P10" i="16"/>
  <c r="F17" i="14"/>
  <c r="F18" i="14"/>
  <c r="O15" i="16"/>
  <c r="F21" i="14"/>
  <c r="F22" i="14"/>
  <c r="O19" i="16"/>
  <c r="F25" i="14"/>
  <c r="F26" i="14"/>
  <c r="O23" i="16"/>
  <c r="F29" i="14"/>
  <c r="F30" i="14"/>
  <c r="F31" i="14"/>
  <c r="F33" i="14"/>
  <c r="O33" i="16"/>
  <c r="F35" i="14"/>
  <c r="F36" i="14"/>
  <c r="F38" i="14"/>
  <c r="F39" i="14"/>
  <c r="F40" i="14"/>
  <c r="F41" i="14"/>
  <c r="F42" i="14"/>
  <c r="F43" i="14"/>
  <c r="F44" i="14"/>
  <c r="O41" i="16"/>
  <c r="F47" i="14"/>
  <c r="F48" i="14"/>
  <c r="O45" i="16"/>
  <c r="F51" i="14"/>
  <c r="O48" i="16"/>
  <c r="F32" i="14" l="1"/>
  <c r="E54" i="14"/>
  <c r="F50" i="14"/>
  <c r="P48" i="16"/>
  <c r="F46" i="14"/>
  <c r="P45" i="16"/>
  <c r="F45" i="14"/>
  <c r="F15" i="14"/>
  <c r="P15" i="16"/>
  <c r="P23" i="16"/>
  <c r="F27" i="14"/>
  <c r="F20" i="14"/>
  <c r="P19" i="16"/>
  <c r="P7" i="16"/>
  <c r="F9" i="14"/>
  <c r="P41" i="16"/>
  <c r="O28" i="16"/>
  <c r="O49" i="16" s="1"/>
  <c r="O24" i="16"/>
  <c r="F14" i="14"/>
  <c r="P28" i="16"/>
  <c r="F34" i="14" l="1"/>
  <c r="P33" i="16"/>
  <c r="P49" i="16" s="1"/>
  <c r="F19" i="14"/>
  <c r="F11" i="14"/>
  <c r="P24" i="16"/>
  <c r="F23" i="14"/>
  <c r="F52" i="14"/>
  <c r="F49" i="14"/>
  <c r="P50" i="16" l="1"/>
  <c r="F28" i="14"/>
  <c r="F37" i="14"/>
  <c r="F53" i="14" s="1"/>
  <c r="F54" i="14" l="1"/>
  <c r="G15" i="14"/>
  <c r="G47" i="14"/>
  <c r="R5" i="16"/>
  <c r="S5" i="16"/>
  <c r="G10" i="14"/>
  <c r="R7" i="16"/>
  <c r="R10" i="16"/>
  <c r="G13" i="14"/>
  <c r="R15" i="16"/>
  <c r="G16" i="14"/>
  <c r="G17" i="14"/>
  <c r="G18" i="14"/>
  <c r="R19" i="16"/>
  <c r="G20" i="14"/>
  <c r="G21" i="14"/>
  <c r="G22" i="14"/>
  <c r="G24" i="14"/>
  <c r="G25" i="14"/>
  <c r="G26" i="14"/>
  <c r="R23" i="16"/>
  <c r="S23" i="16"/>
  <c r="G29" i="14"/>
  <c r="G30" i="14"/>
  <c r="G31" i="14"/>
  <c r="R28" i="16"/>
  <c r="G33" i="14"/>
  <c r="G34" i="14"/>
  <c r="G35" i="14"/>
  <c r="G36" i="14"/>
  <c r="R33" i="16"/>
  <c r="S33" i="16"/>
  <c r="G38" i="14"/>
  <c r="G39" i="14"/>
  <c r="G40" i="14"/>
  <c r="G41" i="14"/>
  <c r="G42" i="14"/>
  <c r="G43" i="14"/>
  <c r="G44" i="14"/>
  <c r="R41" i="16"/>
  <c r="G46" i="14"/>
  <c r="G48" i="14"/>
  <c r="R45" i="16"/>
  <c r="G51" i="14"/>
  <c r="R48" i="16"/>
  <c r="R49" i="16" l="1"/>
  <c r="G50" i="14"/>
  <c r="S48" i="16"/>
  <c r="S41" i="16"/>
  <c r="R24" i="16"/>
  <c r="S15" i="16"/>
  <c r="G32" i="14"/>
  <c r="G9" i="14"/>
  <c r="S7" i="16"/>
  <c r="G45" i="14"/>
  <c r="S45" i="16"/>
  <c r="G37" i="14"/>
  <c r="G27" i="14"/>
  <c r="G19" i="14"/>
  <c r="G23" i="14"/>
  <c r="G49" i="14"/>
  <c r="S28" i="16"/>
  <c r="S19" i="16"/>
  <c r="S10" i="16" l="1"/>
  <c r="S24" i="16" s="1"/>
  <c r="G12" i="14"/>
  <c r="G52" i="14"/>
  <c r="G53" i="14" s="1"/>
  <c r="S49" i="16"/>
  <c r="G11" i="14"/>
  <c r="G14" i="14" l="1"/>
  <c r="G28" i="14" s="1"/>
  <c r="G54" i="14" s="1"/>
  <c r="S50" i="16"/>
  <c r="H21" i="14"/>
  <c r="U5" i="16"/>
  <c r="H9" i="14" s="1"/>
  <c r="H10" i="14"/>
  <c r="H13" i="14"/>
  <c r="U10" i="16"/>
  <c r="H15" i="14"/>
  <c r="H16" i="14"/>
  <c r="H17" i="14"/>
  <c r="H20" i="14"/>
  <c r="H24" i="14"/>
  <c r="H25" i="14"/>
  <c r="H29" i="14"/>
  <c r="H30" i="14"/>
  <c r="H31" i="14"/>
  <c r="V28" i="16"/>
  <c r="H35" i="14"/>
  <c r="H36" i="14"/>
  <c r="H39" i="14"/>
  <c r="H40" i="14"/>
  <c r="H41" i="14"/>
  <c r="H42" i="14"/>
  <c r="H43" i="14"/>
  <c r="H44" i="14"/>
  <c r="H47" i="14"/>
  <c r="H48" i="14"/>
  <c r="H50" i="14"/>
  <c r="H51" i="14"/>
  <c r="V48" i="16"/>
  <c r="V7" i="16" l="1"/>
  <c r="H52" i="14"/>
  <c r="U48" i="16"/>
  <c r="H34" i="14"/>
  <c r="U33" i="16"/>
  <c r="U45" i="16"/>
  <c r="H38" i="14"/>
  <c r="V41" i="16"/>
  <c r="H46" i="14"/>
  <c r="V45" i="16"/>
  <c r="U19" i="16"/>
  <c r="H18" i="14"/>
  <c r="U15" i="16"/>
  <c r="U41" i="16"/>
  <c r="H33" i="14"/>
  <c r="V33" i="16"/>
  <c r="V49" i="16" s="1"/>
  <c r="H32" i="14"/>
  <c r="U28" i="16"/>
  <c r="H26" i="14"/>
  <c r="H27" i="14" s="1"/>
  <c r="U23" i="16"/>
  <c r="V15" i="16"/>
  <c r="V10" i="16"/>
  <c r="H11" i="14"/>
  <c r="H12" i="14"/>
  <c r="U7" i="16"/>
  <c r="U24" i="16" s="1"/>
  <c r="U49" i="16" l="1"/>
  <c r="H14" i="14"/>
  <c r="V23" i="16"/>
  <c r="H22" i="14"/>
  <c r="V19" i="16"/>
  <c r="V24" i="16" s="1"/>
  <c r="V50" i="16" s="1"/>
  <c r="H19" i="14"/>
  <c r="H37" i="14"/>
  <c r="H45" i="14"/>
  <c r="H49" i="14"/>
  <c r="H53" i="14" l="1"/>
  <c r="H23" i="14"/>
  <c r="H28" i="14" s="1"/>
  <c r="X5" i="16"/>
  <c r="Y5" i="16" s="1"/>
  <c r="I9" i="14" s="1"/>
  <c r="I13" i="14"/>
  <c r="X15" i="16"/>
  <c r="I15" i="14"/>
  <c r="I16" i="14"/>
  <c r="I17" i="14"/>
  <c r="I18" i="14"/>
  <c r="I20" i="14"/>
  <c r="I21" i="14"/>
  <c r="I22" i="14"/>
  <c r="I25" i="14"/>
  <c r="I26" i="14"/>
  <c r="X28" i="16"/>
  <c r="I29" i="14"/>
  <c r="I30" i="14"/>
  <c r="I31" i="14"/>
  <c r="I33" i="14"/>
  <c r="X33" i="16"/>
  <c r="I34" i="14"/>
  <c r="I35" i="14"/>
  <c r="I36" i="14"/>
  <c r="X41" i="16"/>
  <c r="I38" i="14"/>
  <c r="I39" i="14"/>
  <c r="I40" i="14"/>
  <c r="I41" i="14"/>
  <c r="I42" i="14"/>
  <c r="I43" i="14"/>
  <c r="I44" i="14"/>
  <c r="X45" i="16"/>
  <c r="I46" i="14"/>
  <c r="I47" i="14"/>
  <c r="I48" i="14"/>
  <c r="Y45" i="16"/>
  <c r="I50" i="14"/>
  <c r="I51" i="14"/>
  <c r="X48" i="16"/>
  <c r="X7" i="16" l="1"/>
  <c r="X49" i="16"/>
  <c r="H54" i="14"/>
  <c r="Y48" i="16"/>
  <c r="Y41" i="16"/>
  <c r="I45" i="14"/>
  <c r="Y28" i="16"/>
  <c r="X19" i="16"/>
  <c r="Y15" i="16"/>
  <c r="I19" i="14"/>
  <c r="I52" i="14"/>
  <c r="I49" i="14"/>
  <c r="X10" i="16"/>
  <c r="Y33" i="16"/>
  <c r="I10" i="14"/>
  <c r="Y7" i="16"/>
  <c r="I32" i="14"/>
  <c r="X23" i="16"/>
  <c r="I37" i="14"/>
  <c r="I23" i="14"/>
  <c r="Y19" i="16"/>
  <c r="I53" i="14" l="1"/>
  <c r="I24" i="14"/>
  <c r="Y23" i="16"/>
  <c r="I12" i="14"/>
  <c r="Y10" i="16"/>
  <c r="Y49" i="16"/>
  <c r="I11" i="14"/>
  <c r="X24" i="16"/>
  <c r="Y24" i="16" l="1"/>
  <c r="Y50" i="16" s="1"/>
  <c r="I14" i="14"/>
  <c r="I27" i="14"/>
  <c r="J22" i="14"/>
  <c r="L22" i="14" s="1"/>
  <c r="J38" i="14"/>
  <c r="L38" i="14" s="1"/>
  <c r="AA5" i="16"/>
  <c r="AA7" i="16" s="1"/>
  <c r="J10" i="14"/>
  <c r="L10" i="14" s="1"/>
  <c r="J13" i="14"/>
  <c r="L13" i="14" s="1"/>
  <c r="AA10" i="16"/>
  <c r="J16" i="14"/>
  <c r="L16" i="14" s="1"/>
  <c r="AA15" i="16"/>
  <c r="J17" i="14"/>
  <c r="L17" i="14" s="1"/>
  <c r="J18" i="14"/>
  <c r="L18" i="14" s="1"/>
  <c r="AA19" i="16"/>
  <c r="J21" i="14"/>
  <c r="L21" i="14" s="1"/>
  <c r="AA23" i="16"/>
  <c r="J25" i="14"/>
  <c r="L25" i="14" s="1"/>
  <c r="J26" i="14"/>
  <c r="L26" i="14" s="1"/>
  <c r="J30" i="14"/>
  <c r="L30" i="14" s="1"/>
  <c r="J31" i="14"/>
  <c r="L31" i="14" s="1"/>
  <c r="J33" i="14"/>
  <c r="L33" i="14" s="1"/>
  <c r="J34" i="14"/>
  <c r="L34" i="14" s="1"/>
  <c r="J35" i="14"/>
  <c r="L35" i="14" s="1"/>
  <c r="J36" i="14"/>
  <c r="L36" i="14" s="1"/>
  <c r="AA33" i="16"/>
  <c r="AB33" i="16"/>
  <c r="AB41" i="16"/>
  <c r="J40" i="14"/>
  <c r="L40" i="14" s="1"/>
  <c r="J41" i="14"/>
  <c r="L41" i="14" s="1"/>
  <c r="J42" i="14"/>
  <c r="L42" i="14" s="1"/>
  <c r="J43" i="14"/>
  <c r="L43" i="14" s="1"/>
  <c r="J44" i="14"/>
  <c r="L44" i="14" s="1"/>
  <c r="AA41" i="16"/>
  <c r="J47" i="14"/>
  <c r="L47" i="14" s="1"/>
  <c r="J48" i="14"/>
  <c r="L48" i="14" s="1"/>
  <c r="J51" i="14"/>
  <c r="L51" i="14" s="1"/>
  <c r="I28" i="14" l="1"/>
  <c r="I54" i="14" s="1"/>
  <c r="J37" i="14"/>
  <c r="AB45" i="16"/>
  <c r="J46" i="14"/>
  <c r="J50" i="14"/>
  <c r="AB48" i="16"/>
  <c r="L37" i="14"/>
  <c r="AB28" i="16"/>
  <c r="AB15" i="16"/>
  <c r="AB5" i="16"/>
  <c r="J12" i="14"/>
  <c r="AB10" i="16"/>
  <c r="AA48" i="16"/>
  <c r="AA28" i="16"/>
  <c r="AA49" i="16" s="1"/>
  <c r="AA24" i="16"/>
  <c r="J15" i="14"/>
  <c r="AA45" i="16"/>
  <c r="J39" i="14"/>
  <c r="L39" i="14" s="1"/>
  <c r="AB23" i="16"/>
  <c r="J24" i="14"/>
  <c r="J20" i="14"/>
  <c r="AB19" i="16"/>
  <c r="J29" i="14"/>
  <c r="AB7" i="16" l="1"/>
  <c r="AB24" i="16" s="1"/>
  <c r="J9" i="14"/>
  <c r="AB49" i="16"/>
  <c r="J52" i="14"/>
  <c r="L50" i="14"/>
  <c r="J49" i="14"/>
  <c r="L46" i="14"/>
  <c r="L20" i="14"/>
  <c r="J23" i="14"/>
  <c r="J19" i="14"/>
  <c r="L15" i="14"/>
  <c r="L29" i="14"/>
  <c r="J32" i="14"/>
  <c r="J27" i="14"/>
  <c r="L24" i="14"/>
  <c r="J45" i="14"/>
  <c r="L12" i="14"/>
  <c r="J14" i="14"/>
  <c r="L45" i="14"/>
  <c r="J53" i="14" l="1"/>
  <c r="L32" i="14"/>
  <c r="L52" i="14"/>
  <c r="L49" i="14"/>
  <c r="L19" i="14"/>
  <c r="L27" i="14"/>
  <c r="L14" i="14"/>
  <c r="J11" i="14"/>
  <c r="J28" i="14" s="1"/>
  <c r="L23" i="14"/>
  <c r="AB50" i="16"/>
  <c r="J54" i="14" l="1"/>
  <c r="L53" i="14"/>
  <c r="AD5" i="16" l="1"/>
  <c r="AD10" i="16"/>
  <c r="AD15" i="16"/>
  <c r="AD19" i="16"/>
  <c r="AD23" i="16"/>
  <c r="AD28" i="16"/>
  <c r="AD33" i="16"/>
  <c r="AD41" i="16"/>
  <c r="AD45" i="16"/>
  <c r="AD48" i="16"/>
  <c r="AD7" i="16" l="1"/>
  <c r="AD24" i="16" s="1"/>
  <c r="AE5" i="16"/>
  <c r="AD49" i="16"/>
  <c r="M13" i="14"/>
  <c r="M29" i="14"/>
  <c r="AG5" i="16"/>
  <c r="M12" i="14"/>
  <c r="AG10" i="16"/>
  <c r="M15" i="14"/>
  <c r="M16" i="14"/>
  <c r="M17" i="14"/>
  <c r="M20" i="14"/>
  <c r="M21" i="14"/>
  <c r="M22" i="14"/>
  <c r="AG19" i="16"/>
  <c r="M24" i="14"/>
  <c r="M25" i="14"/>
  <c r="AH28" i="16"/>
  <c r="M30" i="14"/>
  <c r="M31" i="14"/>
  <c r="AG28" i="16"/>
  <c r="M33" i="14"/>
  <c r="M35" i="14"/>
  <c r="M36" i="14"/>
  <c r="M38" i="14"/>
  <c r="M39" i="14"/>
  <c r="M41" i="14"/>
  <c r="M43" i="14"/>
  <c r="M44" i="14"/>
  <c r="M46" i="14"/>
  <c r="M48" i="14"/>
  <c r="AG45" i="16"/>
  <c r="M51" i="14"/>
  <c r="AE7" i="16" l="1"/>
  <c r="AE24" i="16" s="1"/>
  <c r="AE50" i="16" s="1"/>
  <c r="AC52" i="16" s="1"/>
  <c r="K9" i="14"/>
  <c r="M23" i="14"/>
  <c r="M10" i="14"/>
  <c r="AG7" i="16"/>
  <c r="M40" i="14"/>
  <c r="M9" i="14"/>
  <c r="AH7" i="16"/>
  <c r="M47" i="14"/>
  <c r="M49" i="14" s="1"/>
  <c r="AH45" i="16"/>
  <c r="AG23" i="16"/>
  <c r="AG15" i="16"/>
  <c r="M42" i="14"/>
  <c r="AG41" i="16"/>
  <c r="M14" i="14"/>
  <c r="AG33" i="16"/>
  <c r="AG48" i="16"/>
  <c r="M32" i="14"/>
  <c r="AH10" i="16"/>
  <c r="AH19" i="16"/>
  <c r="AG49" i="16" l="1"/>
  <c r="K11" i="14"/>
  <c r="K28" i="14" s="1"/>
  <c r="K54" i="14" s="1"/>
  <c r="L9" i="14"/>
  <c r="L11" i="14" s="1"/>
  <c r="L28" i="14" s="1"/>
  <c r="L54" i="14" s="1"/>
  <c r="AH48" i="16"/>
  <c r="M50" i="14"/>
  <c r="AG24" i="16"/>
  <c r="M18" i="14"/>
  <c r="AH15" i="16"/>
  <c r="M26" i="14"/>
  <c r="AH23" i="16"/>
  <c r="AH41" i="16"/>
  <c r="AH33" i="16"/>
  <c r="M34" i="14"/>
  <c r="M45" i="14"/>
  <c r="M11" i="14"/>
  <c r="AH24" i="16" l="1"/>
  <c r="AH49" i="16"/>
  <c r="M37" i="14"/>
  <c r="M19" i="14"/>
  <c r="M52" i="14"/>
  <c r="M27" i="14"/>
  <c r="AJ5" i="16"/>
  <c r="AJ7" i="16" s="1"/>
  <c r="N10" i="14"/>
  <c r="N12" i="14"/>
  <c r="N13" i="14"/>
  <c r="AJ10" i="16"/>
  <c r="N15" i="14"/>
  <c r="N17" i="14"/>
  <c r="N18" i="14"/>
  <c r="N20" i="14"/>
  <c r="N21" i="14"/>
  <c r="AJ19" i="16"/>
  <c r="N25" i="14"/>
  <c r="N26" i="14"/>
  <c r="N30" i="14"/>
  <c r="N31" i="14"/>
  <c r="AJ28" i="16"/>
  <c r="AJ33" i="16"/>
  <c r="AK33" i="16"/>
  <c r="N34" i="14"/>
  <c r="N35" i="14"/>
  <c r="N36" i="14"/>
  <c r="N38" i="14"/>
  <c r="N39" i="14"/>
  <c r="N40" i="14"/>
  <c r="N41" i="14"/>
  <c r="N42" i="14"/>
  <c r="N43" i="14"/>
  <c r="N44" i="14"/>
  <c r="AJ45" i="16"/>
  <c r="N46" i="14"/>
  <c r="N47" i="14"/>
  <c r="N48" i="14"/>
  <c r="N50" i="14"/>
  <c r="AJ48" i="16"/>
  <c r="M28" i="14" l="1"/>
  <c r="AK5" i="16"/>
  <c r="N9" i="14" s="1"/>
  <c r="N11" i="14" s="1"/>
  <c r="M53" i="14"/>
  <c r="AH50" i="16"/>
  <c r="AK48" i="16"/>
  <c r="N51" i="14"/>
  <c r="N52" i="14" s="1"/>
  <c r="N49" i="14"/>
  <c r="AJ41" i="16"/>
  <c r="AJ49" i="16" s="1"/>
  <c r="AK28" i="16"/>
  <c r="AJ15" i="16"/>
  <c r="AJ23" i="16"/>
  <c r="N14" i="14"/>
  <c r="N45" i="14"/>
  <c r="N22" i="14"/>
  <c r="AK10" i="16"/>
  <c r="N33" i="14"/>
  <c r="N29" i="14"/>
  <c r="AK41" i="16"/>
  <c r="AK45" i="16"/>
  <c r="AJ24" i="16" l="1"/>
  <c r="M54" i="14"/>
  <c r="AK7" i="16"/>
  <c r="N16" i="14"/>
  <c r="AK15" i="16"/>
  <c r="AK49" i="16"/>
  <c r="N24" i="14"/>
  <c r="AK23" i="16"/>
  <c r="N23" i="14"/>
  <c r="N37" i="14"/>
  <c r="AK19" i="16"/>
  <c r="N32" i="14"/>
  <c r="AK24" i="16" l="1"/>
  <c r="AK50" i="16" s="1"/>
  <c r="N53" i="14"/>
  <c r="N27" i="14"/>
  <c r="N19" i="14"/>
  <c r="O40" i="14"/>
  <c r="S40" i="14" s="1"/>
  <c r="O48" i="14"/>
  <c r="S48" i="14" s="1"/>
  <c r="AM5" i="16"/>
  <c r="AM7" i="16" s="1"/>
  <c r="O10" i="14"/>
  <c r="S10" i="14" s="1"/>
  <c r="AM10" i="16"/>
  <c r="AN10" i="16"/>
  <c r="O13" i="14"/>
  <c r="S13" i="14" s="1"/>
  <c r="AM15" i="16"/>
  <c r="O15" i="14"/>
  <c r="O16" i="14"/>
  <c r="S16" i="14" s="1"/>
  <c r="O17" i="14"/>
  <c r="S17" i="14" s="1"/>
  <c r="O18" i="14"/>
  <c r="S18" i="14" s="1"/>
  <c r="O20" i="14"/>
  <c r="O22" i="14"/>
  <c r="S22" i="14" s="1"/>
  <c r="AM19" i="16"/>
  <c r="AM23" i="16"/>
  <c r="O26" i="14"/>
  <c r="S26" i="14" s="1"/>
  <c r="O30" i="14"/>
  <c r="S30" i="14" s="1"/>
  <c r="AM28" i="16"/>
  <c r="O31" i="14"/>
  <c r="S31" i="14" s="1"/>
  <c r="AM33" i="16"/>
  <c r="O34" i="14"/>
  <c r="S34" i="14" s="1"/>
  <c r="O35" i="14"/>
  <c r="S35" i="14" s="1"/>
  <c r="O36" i="14"/>
  <c r="S36" i="14" s="1"/>
  <c r="O38" i="14"/>
  <c r="AM41" i="16"/>
  <c r="O39" i="14"/>
  <c r="S39" i="14" s="1"/>
  <c r="O41" i="14"/>
  <c r="S41" i="14" s="1"/>
  <c r="O42" i="14"/>
  <c r="S42" i="14" s="1"/>
  <c r="O43" i="14"/>
  <c r="S43" i="14" s="1"/>
  <c r="O44" i="14"/>
  <c r="S44" i="14" s="1"/>
  <c r="O46" i="14"/>
  <c r="AM45" i="16"/>
  <c r="O47" i="14"/>
  <c r="S47" i="14" s="1"/>
  <c r="O51" i="14"/>
  <c r="S51" i="14" s="1"/>
  <c r="N28" i="14" l="1"/>
  <c r="N54" i="14" s="1"/>
  <c r="O49" i="14"/>
  <c r="AN28" i="16"/>
  <c r="O29" i="14"/>
  <c r="AM24" i="16"/>
  <c r="O24" i="14"/>
  <c r="AN48" i="16"/>
  <c r="O50" i="14"/>
  <c r="O45" i="14"/>
  <c r="AM49" i="16"/>
  <c r="O19" i="14"/>
  <c r="O21" i="14"/>
  <c r="S21" i="14" s="1"/>
  <c r="AN19" i="16"/>
  <c r="AM48" i="16"/>
  <c r="AN45" i="16"/>
  <c r="O25" i="14"/>
  <c r="S25" i="14" s="1"/>
  <c r="AN5" i="16"/>
  <c r="AN15" i="16"/>
  <c r="O12" i="14"/>
  <c r="AN41" i="16"/>
  <c r="O23" i="14" l="1"/>
  <c r="O9" i="14"/>
  <c r="AN7" i="16"/>
  <c r="S20" i="14"/>
  <c r="S23" i="14" s="1"/>
  <c r="AN23" i="16"/>
  <c r="O27" i="14"/>
  <c r="S15" i="14"/>
  <c r="S19" i="14" s="1"/>
  <c r="O32" i="14"/>
  <c r="O14" i="14"/>
  <c r="AN33" i="16"/>
  <c r="AN49" i="16" s="1"/>
  <c r="O33" i="14"/>
  <c r="S38" i="14"/>
  <c r="S45" i="14" s="1"/>
  <c r="O52" i="14"/>
  <c r="S46" i="14"/>
  <c r="S49" i="14" s="1"/>
  <c r="O37" i="14" l="1"/>
  <c r="O53" i="14" s="1"/>
  <c r="S12" i="14"/>
  <c r="S14" i="14" s="1"/>
  <c r="S50" i="14"/>
  <c r="S52" i="14" s="1"/>
  <c r="S24" i="14"/>
  <c r="S27" i="14" s="1"/>
  <c r="S29" i="14"/>
  <c r="S32" i="14" s="1"/>
  <c r="AN24" i="16"/>
  <c r="AN50" i="16" s="1"/>
  <c r="O11" i="14"/>
  <c r="O28" i="14" s="1"/>
  <c r="O54" i="14" l="1"/>
  <c r="S33" i="14"/>
  <c r="S37" i="14" s="1"/>
  <c r="S53" i="14" s="1"/>
  <c r="AP5" i="16" l="1"/>
  <c r="AP10" i="16"/>
  <c r="AP15" i="16"/>
  <c r="AP19" i="16"/>
  <c r="AP23" i="16"/>
  <c r="AP28" i="16"/>
  <c r="AP33" i="16"/>
  <c r="AP41" i="16"/>
  <c r="AP45" i="16"/>
  <c r="AP48" i="16"/>
  <c r="AP49" i="16" l="1"/>
  <c r="AP7" i="16"/>
  <c r="AP24" i="16" s="1"/>
  <c r="Q9" i="14" l="1"/>
  <c r="AQ7" i="16"/>
  <c r="AQ24" i="16" s="1"/>
  <c r="AQ50" i="16" s="1"/>
  <c r="AO52" i="16" s="1"/>
  <c r="Q11" i="14" l="1"/>
  <c r="Q28" i="14" s="1"/>
  <c r="Q54" i="14" s="1"/>
  <c r="S9" i="14" l="1"/>
  <c r="S11" i="14" s="1"/>
  <c r="S28" i="14" s="1"/>
  <c r="S54" i="14" s="1"/>
</calcChain>
</file>

<file path=xl/sharedStrings.xml><?xml version="1.0" encoding="utf-8"?>
<sst xmlns="http://schemas.openxmlformats.org/spreadsheetml/2006/main" count="1803" uniqueCount="488">
  <si>
    <t>List of District and Taluka in Gujarat state</t>
  </si>
  <si>
    <t>Sr. No.</t>
  </si>
  <si>
    <t xml:space="preserve">District  </t>
  </si>
  <si>
    <t>Taluka</t>
  </si>
  <si>
    <t>Gross Crop Area 2016-17 (in Hectares)</t>
  </si>
  <si>
    <t>Gross Crop Area 2017-18 (in Hectares)</t>
  </si>
  <si>
    <t>Gross Crop Area 2018-19 (in Hectares)</t>
  </si>
  <si>
    <t>Kachchh</t>
  </si>
  <si>
    <t>Lakhapat</t>
  </si>
  <si>
    <t>Rapar</t>
  </si>
  <si>
    <t>Bhachau</t>
  </si>
  <si>
    <t>Anjar</t>
  </si>
  <si>
    <t>Bhuj</t>
  </si>
  <si>
    <t>Nakhatrana</t>
  </si>
  <si>
    <t>Abdasa</t>
  </si>
  <si>
    <t>Mandvi</t>
  </si>
  <si>
    <t>Mundra</t>
  </si>
  <si>
    <t>Gandhidham</t>
  </si>
  <si>
    <t>District Total Area</t>
  </si>
  <si>
    <t>Banaskantha</t>
  </si>
  <si>
    <t>Vav</t>
  </si>
  <si>
    <t>Tharad</t>
  </si>
  <si>
    <t>Dhanera</t>
  </si>
  <si>
    <t>Dantiwada</t>
  </si>
  <si>
    <t>Amirgadh</t>
  </si>
  <si>
    <t>Danta</t>
  </si>
  <si>
    <t>Vadgam</t>
  </si>
  <si>
    <t>Palanpur</t>
  </si>
  <si>
    <t>Deesa</t>
  </si>
  <si>
    <t>Deodar</t>
  </si>
  <si>
    <t>Bhabhar</t>
  </si>
  <si>
    <t>Kankrej</t>
  </si>
  <si>
    <t>Lakhani</t>
  </si>
  <si>
    <t>Suigam</t>
  </si>
  <si>
    <t>Patan</t>
  </si>
  <si>
    <t>Santalpur</t>
  </si>
  <si>
    <t>Radhanpur</t>
  </si>
  <si>
    <t>Sidhpur</t>
  </si>
  <si>
    <t>Harij</t>
  </si>
  <si>
    <t>Sami</t>
  </si>
  <si>
    <t>Chanasma</t>
  </si>
  <si>
    <t>Shankheshwar</t>
  </si>
  <si>
    <t>Saraswati</t>
  </si>
  <si>
    <t>Mehsana</t>
  </si>
  <si>
    <t>Satlasana</t>
  </si>
  <si>
    <t>Kheralu</t>
  </si>
  <si>
    <t>Unjha</t>
  </si>
  <si>
    <t>Visnagar</t>
  </si>
  <si>
    <t>Vadnagar</t>
  </si>
  <si>
    <t>Vijapur</t>
  </si>
  <si>
    <t>Mahesana</t>
  </si>
  <si>
    <t>Becharaji</t>
  </si>
  <si>
    <t>Kadi</t>
  </si>
  <si>
    <t>Jotana</t>
  </si>
  <si>
    <t>Sabarkantha</t>
  </si>
  <si>
    <t>Khedbrahma</t>
  </si>
  <si>
    <t>Vijaynagar</t>
  </si>
  <si>
    <t>Vadali</t>
  </si>
  <si>
    <t>Idar</t>
  </si>
  <si>
    <t>Himatnagar</t>
  </si>
  <si>
    <t>Prantij</t>
  </si>
  <si>
    <t>Talod</t>
  </si>
  <si>
    <t>Poshina</t>
  </si>
  <si>
    <t>Arvalli</t>
  </si>
  <si>
    <t>Bhiloda</t>
  </si>
  <si>
    <t>Meghraj</t>
  </si>
  <si>
    <t>Modasa</t>
  </si>
  <si>
    <t>Dhansura</t>
  </si>
  <si>
    <t>Malpur</t>
  </si>
  <si>
    <t>Bayad</t>
  </si>
  <si>
    <t>Gandhinagar</t>
  </si>
  <si>
    <t>Kalol</t>
  </si>
  <si>
    <t>Mansa</t>
  </si>
  <si>
    <t>Dehgam</t>
  </si>
  <si>
    <t>Ahmedabad</t>
  </si>
  <si>
    <t>Mandal</t>
  </si>
  <si>
    <t>Detroj-Rampura</t>
  </si>
  <si>
    <t>Viramgam</t>
  </si>
  <si>
    <t>Sanand</t>
  </si>
  <si>
    <t>Ahmadabad-City</t>
  </si>
  <si>
    <t>Daskroi</t>
  </si>
  <si>
    <t>Dholka</t>
  </si>
  <si>
    <t>Bavla</t>
  </si>
  <si>
    <t>Dhandhuka</t>
  </si>
  <si>
    <t>Dholera</t>
  </si>
  <si>
    <t>Surendranagar</t>
  </si>
  <si>
    <t>Dhrangadhra</t>
  </si>
  <si>
    <t>Dasada</t>
  </si>
  <si>
    <t>Lakhtar</t>
  </si>
  <si>
    <t>Wadhwan</t>
  </si>
  <si>
    <t>Muli</t>
  </si>
  <si>
    <t>Chotila</t>
  </si>
  <si>
    <t>Sayla</t>
  </si>
  <si>
    <t>Chuda</t>
  </si>
  <si>
    <t>Limbdi</t>
  </si>
  <si>
    <t>Thangadh</t>
  </si>
  <si>
    <t>Morbi</t>
  </si>
  <si>
    <t>Maliya</t>
  </si>
  <si>
    <t>Tankara</t>
  </si>
  <si>
    <t>Wankaner</t>
  </si>
  <si>
    <t>Halvad</t>
  </si>
  <si>
    <t>Rajkot</t>
  </si>
  <si>
    <t>Paddhari</t>
  </si>
  <si>
    <t>Lodhika</t>
  </si>
  <si>
    <t>Kotda sangani</t>
  </si>
  <si>
    <t>Jasdan</t>
  </si>
  <si>
    <t>Gondal</t>
  </si>
  <si>
    <t>Jamkandorna</t>
  </si>
  <si>
    <t>Upleta</t>
  </si>
  <si>
    <t>Dhoraji</t>
  </si>
  <si>
    <t>Jetpur</t>
  </si>
  <si>
    <t>Vinchhiya</t>
  </si>
  <si>
    <t>Jamnagar</t>
  </si>
  <si>
    <t>Jodia</t>
  </si>
  <si>
    <t>Dhrol</t>
  </si>
  <si>
    <t>Kalawad</t>
  </si>
  <si>
    <t>Lalpur</t>
  </si>
  <si>
    <t>Jamjodhpur</t>
  </si>
  <si>
    <t>Devbhumi Dwarka</t>
  </si>
  <si>
    <t>Okhamandal</t>
  </si>
  <si>
    <t>Khambhalia</t>
  </si>
  <si>
    <t>Kalyanpur</t>
  </si>
  <si>
    <t>Bhanvad</t>
  </si>
  <si>
    <t>Porbandar</t>
  </si>
  <si>
    <t>Ranavav</t>
  </si>
  <si>
    <t>Kutiyana</t>
  </si>
  <si>
    <t>Junagadh</t>
  </si>
  <si>
    <t>Manavadar</t>
  </si>
  <si>
    <t>Vanthali</t>
  </si>
  <si>
    <t>Junagadh + City</t>
  </si>
  <si>
    <t>Bhesan</t>
  </si>
  <si>
    <t>Visavadar</t>
  </si>
  <si>
    <t>Mendarda</t>
  </si>
  <si>
    <t>Keshod</t>
  </si>
  <si>
    <t>Mangrol</t>
  </si>
  <si>
    <t>Malia</t>
  </si>
  <si>
    <t>Gir Somnath</t>
  </si>
  <si>
    <t>Talala</t>
  </si>
  <si>
    <t>Veraval</t>
  </si>
  <si>
    <t>Sutrapada</t>
  </si>
  <si>
    <t>Kodinar</t>
  </si>
  <si>
    <t>Una</t>
  </si>
  <si>
    <t>Girgadhada</t>
  </si>
  <si>
    <t>Amreli</t>
  </si>
  <si>
    <t>Kunkavav</t>
  </si>
  <si>
    <t>Babra</t>
  </si>
  <si>
    <t>Lathi</t>
  </si>
  <si>
    <t>Liliya</t>
  </si>
  <si>
    <t>Bagasara</t>
  </si>
  <si>
    <t>Dhari</t>
  </si>
  <si>
    <t>Savarkundla</t>
  </si>
  <si>
    <t>Khambha</t>
  </si>
  <si>
    <t>Jafrabad</t>
  </si>
  <si>
    <t>Rajula</t>
  </si>
  <si>
    <t>Bhavnagar</t>
  </si>
  <si>
    <t>Vallabhipur</t>
  </si>
  <si>
    <t>Umrala</t>
  </si>
  <si>
    <t>Ghogha</t>
  </si>
  <si>
    <t>Sihor</t>
  </si>
  <si>
    <t>Gariadhar</t>
  </si>
  <si>
    <t>Palitana</t>
  </si>
  <si>
    <t>Talaja</t>
  </si>
  <si>
    <t>Mahuva</t>
  </si>
  <si>
    <t>Jesar</t>
  </si>
  <si>
    <t>Botad</t>
  </si>
  <si>
    <t>Gadhada</t>
  </si>
  <si>
    <t>Ranpur</t>
  </si>
  <si>
    <t>Barwala</t>
  </si>
  <si>
    <t>Anand</t>
  </si>
  <si>
    <t>Tarapur</t>
  </si>
  <si>
    <t>Sojitra</t>
  </si>
  <si>
    <t>Umreth</t>
  </si>
  <si>
    <t>Petlad</t>
  </si>
  <si>
    <t>Khambhat</t>
  </si>
  <si>
    <t>Borsad</t>
  </si>
  <si>
    <t>Anklav</t>
  </si>
  <si>
    <t>Kheda</t>
  </si>
  <si>
    <t>Kapadvanj</t>
  </si>
  <si>
    <t>Kathlal</t>
  </si>
  <si>
    <t>Mehmadabad</t>
  </si>
  <si>
    <t>Matar</t>
  </si>
  <si>
    <t>Nadiad</t>
  </si>
  <si>
    <t>Mahudha</t>
  </si>
  <si>
    <t>Thasra</t>
  </si>
  <si>
    <t>Galteshwar</t>
  </si>
  <si>
    <t>Vaso</t>
  </si>
  <si>
    <t>Panchmahal</t>
  </si>
  <si>
    <t>Godhra</t>
  </si>
  <si>
    <t>Morva Hadaf</t>
  </si>
  <si>
    <t>Shehera</t>
  </si>
  <si>
    <t>Kalol.</t>
  </si>
  <si>
    <t>Ghoghamba</t>
  </si>
  <si>
    <t>Halol</t>
  </si>
  <si>
    <t>Jambughoda</t>
  </si>
  <si>
    <t>Mahisagar</t>
  </si>
  <si>
    <t>Khanpur</t>
  </si>
  <si>
    <t>Kadana</t>
  </si>
  <si>
    <t>Santrampur</t>
  </si>
  <si>
    <t>Lunavada</t>
  </si>
  <si>
    <t>Balasinor</t>
  </si>
  <si>
    <t>Virpur</t>
  </si>
  <si>
    <t>Dahod</t>
  </si>
  <si>
    <t>Fatepura</t>
  </si>
  <si>
    <t>Jhalod</t>
  </si>
  <si>
    <t>Limkheda</t>
  </si>
  <si>
    <t>Dohad</t>
  </si>
  <si>
    <t>Garbada</t>
  </si>
  <si>
    <t>Devgadh Baria</t>
  </si>
  <si>
    <t>Dhanpur</t>
  </si>
  <si>
    <t>Sanjeli</t>
  </si>
  <si>
    <t>Vadodara</t>
  </si>
  <si>
    <t>Savli</t>
  </si>
  <si>
    <t>Vaghodia</t>
  </si>
  <si>
    <t>Dabhoi</t>
  </si>
  <si>
    <t>Padra</t>
  </si>
  <si>
    <t>Karjan</t>
  </si>
  <si>
    <t>Sinor</t>
  </si>
  <si>
    <t>Desar</t>
  </si>
  <si>
    <t>Chhotaudepur</t>
  </si>
  <si>
    <t>Chhota Udepur</t>
  </si>
  <si>
    <t>Jetpur-pavi</t>
  </si>
  <si>
    <t>Kavant</t>
  </si>
  <si>
    <t>Nasvadi</t>
  </si>
  <si>
    <t>Sankheda</t>
  </si>
  <si>
    <t>Bodeli</t>
  </si>
  <si>
    <t>Narmada</t>
  </si>
  <si>
    <t>Tilakwada</t>
  </si>
  <si>
    <t>Nandod</t>
  </si>
  <si>
    <t>Dediapada</t>
  </si>
  <si>
    <t>Sagbara</t>
  </si>
  <si>
    <t>Garudeswar</t>
  </si>
  <si>
    <t>Bharuch</t>
  </si>
  <si>
    <t>Jambusar</t>
  </si>
  <si>
    <t>Amod</t>
  </si>
  <si>
    <t>Vagra</t>
  </si>
  <si>
    <t>Jhagadia</t>
  </si>
  <si>
    <t>Ankleshwar</t>
  </si>
  <si>
    <t>Hansot</t>
  </si>
  <si>
    <t>Valia</t>
  </si>
  <si>
    <t>Netrang</t>
  </si>
  <si>
    <t>Surat</t>
  </si>
  <si>
    <t>Olpad</t>
  </si>
  <si>
    <t>Mangrol.</t>
  </si>
  <si>
    <t>Umarpada</t>
  </si>
  <si>
    <t>Mandvi.</t>
  </si>
  <si>
    <t>Kamrej</t>
  </si>
  <si>
    <t>Surat City</t>
  </si>
  <si>
    <t>Choryasi</t>
  </si>
  <si>
    <t>Palsana</t>
  </si>
  <si>
    <t>Bardoli</t>
  </si>
  <si>
    <t>Mahuva.</t>
  </si>
  <si>
    <t>Dangs</t>
  </si>
  <si>
    <t>Ahwa</t>
  </si>
  <si>
    <t>Vaghai</t>
  </si>
  <si>
    <t>Subir</t>
  </si>
  <si>
    <t>Navsari</t>
  </si>
  <si>
    <t>Jalalpor</t>
  </si>
  <si>
    <t>Gandevi</t>
  </si>
  <si>
    <t>Chikhli</t>
  </si>
  <si>
    <t>Vansda</t>
  </si>
  <si>
    <t>Khergam</t>
  </si>
  <si>
    <t>Valsad</t>
  </si>
  <si>
    <t>Dharampur</t>
  </si>
  <si>
    <t>Pardi</t>
  </si>
  <si>
    <t>Kaprada</t>
  </si>
  <si>
    <t>Umargam</t>
  </si>
  <si>
    <t>Vapi</t>
  </si>
  <si>
    <t>Tapi</t>
  </si>
  <si>
    <t>Nizar</t>
  </si>
  <si>
    <t>Uchchhal</t>
  </si>
  <si>
    <t>Songadh</t>
  </si>
  <si>
    <t>Vyara</t>
  </si>
  <si>
    <t>Valod</t>
  </si>
  <si>
    <t>Dolvan</t>
  </si>
  <si>
    <t>Kukarmunda</t>
  </si>
  <si>
    <t xml:space="preserve">Gujarat State </t>
  </si>
  <si>
    <t>WORKING SHEET OF PLAN OF WORK UNDER ICS SCHEME FOR THE CROP AREA ENUMERATION 1.0</t>
  </si>
  <si>
    <t>STATE: GUJARAT</t>
  </si>
  <si>
    <t>REGION</t>
  </si>
  <si>
    <t>SRO</t>
  </si>
  <si>
    <t>DISTT.</t>
  </si>
  <si>
    <t>Stratum</t>
  </si>
  <si>
    <t>TEHSIL</t>
  </si>
  <si>
    <t>AREA IN HECTARE</t>
  </si>
  <si>
    <t>AVG</t>
  </si>
  <si>
    <t>PLAN</t>
  </si>
  <si>
    <t>ADJ</t>
  </si>
  <si>
    <t>2016-17</t>
  </si>
  <si>
    <t>2017-18</t>
  </si>
  <si>
    <t>2018-19</t>
  </si>
  <si>
    <t>AHMEDABAD</t>
  </si>
  <si>
    <t>S.Nagar</t>
  </si>
  <si>
    <t>Kutch</t>
  </si>
  <si>
    <t>DISTRICT TOTAL</t>
  </si>
  <si>
    <t>SRO TOTAL</t>
  </si>
  <si>
    <t xml:space="preserve">Morbi </t>
  </si>
  <si>
    <t>Devbhumi 
Dwarka</t>
  </si>
  <si>
    <t>RO TOTAL</t>
  </si>
  <si>
    <t>BARODA</t>
  </si>
  <si>
    <t>BanasKantha</t>
  </si>
  <si>
    <t>kukarmunda</t>
  </si>
  <si>
    <t>STATE TOTAL</t>
  </si>
  <si>
    <t>Plan of Work for undertaking Sample Check on Area Enumeration (A.S.1.0) and Aggregation of area (A.S.1.1) under ICS scheme</t>
  </si>
  <si>
    <t>Season : Kharif, Rabi &amp; Summer</t>
  </si>
  <si>
    <t>Region</t>
  </si>
  <si>
    <t>District</t>
  </si>
  <si>
    <t>District Code</t>
  </si>
  <si>
    <t>Tehsil</t>
  </si>
  <si>
    <t>No. of Vill.</t>
  </si>
  <si>
    <t>No. of Sample Villages for each season</t>
  </si>
  <si>
    <t>Central</t>
  </si>
  <si>
    <t>State*</t>
  </si>
  <si>
    <t>01</t>
  </si>
  <si>
    <t>08</t>
  </si>
  <si>
    <t>06</t>
  </si>
  <si>
    <t>07</t>
  </si>
  <si>
    <t>09</t>
  </si>
  <si>
    <t>33</t>
  </si>
  <si>
    <t>12</t>
  </si>
  <si>
    <t>31</t>
  </si>
  <si>
    <t>10</t>
  </si>
  <si>
    <t>30</t>
  </si>
  <si>
    <t>11</t>
  </si>
  <si>
    <t>13</t>
  </si>
  <si>
    <t>14</t>
  </si>
  <si>
    <t>28</t>
  </si>
  <si>
    <t>AHMEDABAD RO TOTAL</t>
  </si>
  <si>
    <t>Baroda</t>
  </si>
  <si>
    <t>02</t>
  </si>
  <si>
    <t>03</t>
  </si>
  <si>
    <t>04</t>
  </si>
  <si>
    <t>05</t>
  </si>
  <si>
    <t>27</t>
  </si>
  <si>
    <t>15</t>
  </si>
  <si>
    <t>16</t>
  </si>
  <si>
    <t>17</t>
  </si>
  <si>
    <t>32</t>
  </si>
  <si>
    <t>18</t>
  </si>
  <si>
    <t>19</t>
  </si>
  <si>
    <t>29</t>
  </si>
  <si>
    <t>20</t>
  </si>
  <si>
    <t>21</t>
  </si>
  <si>
    <t>22</t>
  </si>
  <si>
    <t>26</t>
  </si>
  <si>
    <t>23</t>
  </si>
  <si>
    <t>24</t>
  </si>
  <si>
    <t>25</t>
  </si>
  <si>
    <t>BARODA RO TOTAL</t>
  </si>
  <si>
    <t>GUJARAT STATE TOTAL</t>
  </si>
  <si>
    <t>Note :- * Aggregation of area to be carried out for state sample only.</t>
  </si>
  <si>
    <t>YEAR: 2022-23</t>
  </si>
  <si>
    <t/>
  </si>
  <si>
    <t>Maize</t>
  </si>
  <si>
    <t>Cotton (Irri)</t>
  </si>
  <si>
    <t>Cotton (Unirri)</t>
  </si>
  <si>
    <t>Castor</t>
  </si>
  <si>
    <t>Sesamum</t>
  </si>
  <si>
    <t>Tur</t>
  </si>
  <si>
    <t>Paddy (Irri)</t>
  </si>
  <si>
    <t>Paddy (Unirri)</t>
  </si>
  <si>
    <t>Ragi</t>
  </si>
  <si>
    <t>Soyabean</t>
  </si>
  <si>
    <t>Grand Total</t>
  </si>
  <si>
    <t>Rabi Jowar</t>
  </si>
  <si>
    <t>Rabi Maize</t>
  </si>
  <si>
    <t xml:space="preserve"> Gram</t>
  </si>
  <si>
    <t>Rapeseed&amp;  Mustard</t>
  </si>
  <si>
    <t xml:space="preserve"> Isabgul</t>
  </si>
  <si>
    <t>Cumin</t>
  </si>
  <si>
    <t>Tobacco</t>
  </si>
  <si>
    <t>Potato</t>
  </si>
  <si>
    <t xml:space="preserve">Grand Total </t>
  </si>
  <si>
    <t>KHARIF</t>
  </si>
  <si>
    <t>RABI</t>
  </si>
  <si>
    <t>SUMMER</t>
  </si>
  <si>
    <t>MAIZE</t>
  </si>
  <si>
    <t>GR NUT</t>
  </si>
  <si>
    <t>Paddy(I)</t>
  </si>
  <si>
    <t>Paddy(UI)</t>
  </si>
  <si>
    <t>SEASMUM</t>
  </si>
  <si>
    <t>BAJRA</t>
  </si>
  <si>
    <t>CASTOR</t>
  </si>
  <si>
    <t>TUR</t>
  </si>
  <si>
    <t>COTTON(I)</t>
  </si>
  <si>
    <t>COTTON(UI)</t>
  </si>
  <si>
    <t>R &amp; MUSTARD</t>
  </si>
  <si>
    <t>GRAM</t>
  </si>
  <si>
    <t>WHEAT(I)</t>
  </si>
  <si>
    <t>CES</t>
  </si>
  <si>
    <t>ICS</t>
  </si>
  <si>
    <t>ADJ.</t>
  </si>
  <si>
    <t>SRO S.NAGAR TOTAL</t>
  </si>
  <si>
    <t>SRO AHEMDABAD TOTAL</t>
  </si>
  <si>
    <t>SRO RAJKOT TOTAL</t>
  </si>
  <si>
    <t>SRO JAMNAGAR TOTAL</t>
  </si>
  <si>
    <t>SRO BHAVNAGAR TOTAL</t>
  </si>
  <si>
    <t>RO AHMEDABAD TOTAL</t>
  </si>
  <si>
    <t>SRO MEHSANA TOTAL</t>
  </si>
  <si>
    <t>SRO NADIAD TOTAL</t>
  </si>
  <si>
    <t>SRO VADODARA TOTAL</t>
  </si>
  <si>
    <t>SRO SURAT TOTAL</t>
  </si>
  <si>
    <t>SRO VALSAD TOTAL</t>
  </si>
  <si>
    <t>RO BARODA TOTAL</t>
  </si>
  <si>
    <t>KHARIF TOTAL</t>
  </si>
  <si>
    <t>RABI TOTAL</t>
  </si>
  <si>
    <t xml:space="preserve">PLAN OF WORK FOR UNDERTAKING SAMPLE CHECK ON CROP CUTTING EXPTS. (A.S. 2.0)  </t>
  </si>
  <si>
    <t>DISTT./</t>
  </si>
  <si>
    <t>NO. OF EXPERIMENTS PLANNED</t>
  </si>
  <si>
    <t>SRO/</t>
  </si>
  <si>
    <t xml:space="preserve">  G.NUT</t>
  </si>
  <si>
    <t>PADDY</t>
  </si>
  <si>
    <t>SESAMUM</t>
  </si>
  <si>
    <t>COTTON</t>
  </si>
  <si>
    <t>Total</t>
  </si>
  <si>
    <t>R&amp;M</t>
  </si>
  <si>
    <t>(I)</t>
  </si>
  <si>
    <t>(UI)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</si>
  <si>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</si>
  <si>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</si>
  <si>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</si>
  <si>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</si>
  <si>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</si>
  <si>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</si>
  <si>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</si>
  <si>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</si>
  <si>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</si>
  <si>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</si>
  <si>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</si>
  <si>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</si>
  <si>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</si>
  <si>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</si>
  <si>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</si>
  <si>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</si>
  <si>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</si>
  <si>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</si>
  <si>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 xml:space="preserve">                PLAN OF WORK  FOR SELECTION OF SAMPLE VILLAGE ON COTTON</t>
  </si>
  <si>
    <r>
      <rPr>
        <b/>
        <sz val="12"/>
        <rFont val="Times New Roman"/>
        <family val="1"/>
      </rPr>
      <t xml:space="preserve">           </t>
    </r>
    <r>
      <rPr>
        <b/>
        <u/>
        <sz val="12"/>
        <rFont val="Times New Roman"/>
        <family val="1"/>
      </rPr>
      <t xml:space="preserve">FOR GROUP "A" AND GROUP "B" UNDER THE SCHEME OF ICS </t>
    </r>
  </si>
  <si>
    <t>STATE:  GUJARAT</t>
  </si>
  <si>
    <t>CROP: COTTON (I)</t>
  </si>
  <si>
    <t>DISTRICT</t>
  </si>
  <si>
    <t>CENTRAL</t>
  </si>
  <si>
    <t>STATE</t>
  </si>
  <si>
    <t>Distt. Code</t>
  </si>
  <si>
    <t>No. of Expts.</t>
  </si>
  <si>
    <t>No. of Villages</t>
  </si>
  <si>
    <t>Group "A" Order of Selection</t>
  </si>
  <si>
    <t>Group "B"
Order of Selection</t>
  </si>
  <si>
    <t>Group "B"                               Order of Selection</t>
  </si>
  <si>
    <t>RO Ahmedabad</t>
  </si>
  <si>
    <t>1,2</t>
  </si>
  <si>
    <t>1,2,3</t>
  </si>
  <si>
    <t>2,3</t>
  </si>
  <si>
    <t>RO Vadodara</t>
  </si>
  <si>
    <t>1,3</t>
  </si>
  <si>
    <t>CROP: COTTON (UI)</t>
  </si>
  <si>
    <t>2,6</t>
  </si>
  <si>
    <t>1,3,4,5</t>
  </si>
  <si>
    <t>1,2,4,5,6</t>
  </si>
  <si>
    <t>1,5</t>
  </si>
  <si>
    <t>2,3,4,6</t>
  </si>
  <si>
    <t>3,7</t>
  </si>
  <si>
    <t>1,2,4,5,6,8,9,10</t>
  </si>
  <si>
    <t>4,8</t>
  </si>
  <si>
    <t>1,2,3,5,6,7,9,10</t>
  </si>
  <si>
    <t>2,3,4,6,7,8</t>
  </si>
  <si>
    <t>1,3,4,5,7,8</t>
  </si>
  <si>
    <t>1,2,4,5</t>
  </si>
  <si>
    <t>1,3,4,5,7</t>
  </si>
  <si>
    <t>1,2,4,5,6,</t>
  </si>
  <si>
    <t>STATE   TOTAL</t>
  </si>
  <si>
    <t>Kharif Groundnut</t>
  </si>
  <si>
    <t>Kh. Bajara</t>
  </si>
  <si>
    <t>Kh. Juwar</t>
  </si>
  <si>
    <t>Kh. Tobacco</t>
  </si>
  <si>
    <t>Wheat I</t>
  </si>
  <si>
    <t>Wheat UI</t>
  </si>
  <si>
    <t>Sugarcane</t>
  </si>
  <si>
    <t xml:space="preserve"> Fennel</t>
  </si>
  <si>
    <t>Summer Groundnut</t>
  </si>
  <si>
    <t>Summer Bajara</t>
  </si>
  <si>
    <t xml:space="preserve">Summer Paddy </t>
  </si>
  <si>
    <t>Summer Sesamum</t>
  </si>
  <si>
    <t>2,3,4</t>
  </si>
  <si>
    <t>YEAR: 2026-27</t>
  </si>
  <si>
    <t>(19)</t>
  </si>
  <si>
    <t>SEASON:  KHARIF / RABI/ SUMMER</t>
  </si>
  <si>
    <t>Total (Rabi + Summer)</t>
  </si>
  <si>
    <t>UNDER  I.C.S.(State 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</si>
</sst>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"/>
    <numFmt numFmtId="165" formatCode="0_)"/>
  </numFmts>
  <fonts count="25">
    <font>
      <sz val="10"/>
      <name val="Arial"/>
      <charset val="134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9"/>
      <name val="Times New Roman"/>
      <family val="1"/>
    </font>
    <font>
      <b/>
      <u/>
      <sz val="9"/>
      <name val="Times New Roman"/>
      <family val="1"/>
    </font>
    <font>
      <b/>
      <sz val="8"/>
      <name val="Times New Roman"/>
      <family val="1"/>
    </font>
    <font>
      <b/>
      <sz val="10"/>
      <name val="Arial"/>
      <family val="2"/>
    </font>
    <font>
      <b/>
      <sz val="28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1"/>
      <name val="Times New Roman"/>
      <family val="1"/>
    </font>
    <font>
      <b/>
      <sz val="15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u/>
      <sz val="11"/>
      <name val="Times New Roman"/>
      <family val="1"/>
    </font>
    <font>
      <sz val="10"/>
      <name val="Courier"/>
      <charset val="134"/>
    </font>
    <font>
      <b/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11" fillId="0" borderId="0"/>
    <xf numFmtId="0" fontId="11" fillId="0" borderId="0"/>
    <xf numFmtId="164" fontId="23" fillId="0" borderId="0"/>
  </cellStyleXfs>
  <cellXfs count="30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1" xfId="0" applyFont="1" applyBorder="1"/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6" fillId="0" borderId="6" xfId="3" applyFont="1" applyBorder="1" applyAlignment="1">
      <alignment horizontal="center" vertical="center"/>
    </xf>
    <xf numFmtId="164" fontId="2" fillId="0" borderId="12" xfId="3" applyFont="1" applyBorder="1" applyAlignment="1">
      <alignment horizontal="center" vertical="center"/>
    </xf>
    <xf numFmtId="164" fontId="2" fillId="0" borderId="1" xfId="3" applyFont="1" applyBorder="1" applyAlignment="1">
      <alignment horizontal="center" vertical="center"/>
    </xf>
    <xf numFmtId="49" fontId="2" fillId="0" borderId="1" xfId="3" applyNumberFormat="1" applyFont="1" applyBorder="1" applyAlignment="1">
      <alignment horizontal="center" vertical="center"/>
    </xf>
    <xf numFmtId="0" fontId="2" fillId="0" borderId="1" xfId="3" applyNumberFormat="1" applyFont="1" applyBorder="1" applyAlignment="1">
      <alignment horizontal="center" vertical="center"/>
    </xf>
    <xf numFmtId="0" fontId="1" fillId="10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3" applyNumberFormat="1" applyFont="1" applyBorder="1" applyAlignment="1">
      <alignment horizontal="center" vertical="center"/>
    </xf>
    <xf numFmtId="0" fontId="2" fillId="0" borderId="14" xfId="3" applyNumberFormat="1" applyFont="1" applyBorder="1" applyAlignment="1">
      <alignment horizontal="center" vertical="center"/>
    </xf>
    <xf numFmtId="1" fontId="2" fillId="0" borderId="14" xfId="3" applyNumberFormat="1" applyFont="1" applyBorder="1" applyAlignment="1">
      <alignment horizontal="center" vertical="center"/>
    </xf>
    <xf numFmtId="164" fontId="10" fillId="0" borderId="0" xfId="3" applyFont="1" applyAlignment="1">
      <alignment horizontal="center" vertical="center"/>
    </xf>
    <xf numFmtId="0" fontId="10" fillId="0" borderId="0" xfId="3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4" xfId="3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64" fontId="2" fillId="0" borderId="19" xfId="3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2" fillId="0" borderId="21" xfId="3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21" xfId="3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164" fontId="6" fillId="0" borderId="24" xfId="3" applyFont="1" applyBorder="1" applyAlignment="1">
      <alignment horizontal="center" vertical="center"/>
    </xf>
    <xf numFmtId="0" fontId="1" fillId="0" borderId="1" xfId="3" applyNumberFormat="1" applyFont="1" applyBorder="1" applyAlignment="1">
      <alignment horizontal="center" vertical="center" wrapText="1"/>
    </xf>
    <xf numFmtId="0" fontId="1" fillId="10" borderId="19" xfId="3" applyNumberFormat="1" applyFont="1" applyFill="1" applyBorder="1" applyAlignment="1">
      <alignment horizontal="center" vertical="center"/>
    </xf>
    <xf numFmtId="0" fontId="1" fillId="0" borderId="19" xfId="3" applyNumberFormat="1" applyFont="1" applyBorder="1" applyAlignment="1">
      <alignment horizontal="center" vertical="center"/>
    </xf>
    <xf numFmtId="0" fontId="1" fillId="0" borderId="19" xfId="3" applyNumberFormat="1" applyFont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1" fillId="10" borderId="0" xfId="0" applyFont="1" applyFill="1"/>
    <xf numFmtId="0" fontId="11" fillId="4" borderId="0" xfId="0" applyFont="1" applyFill="1"/>
    <xf numFmtId="0" fontId="11" fillId="5" borderId="0" xfId="0" applyFont="1" applyFill="1"/>
    <xf numFmtId="0" fontId="11" fillId="0" borderId="0" xfId="0" applyFont="1" applyAlignment="1">
      <alignment vertical="center"/>
    </xf>
    <xf numFmtId="0" fontId="11" fillId="0" borderId="25" xfId="0" applyFont="1" applyBorder="1"/>
    <xf numFmtId="0" fontId="11" fillId="0" borderId="0" xfId="0" applyFont="1"/>
    <xf numFmtId="0" fontId="11" fillId="0" borderId="26" xfId="0" applyFont="1" applyBorder="1"/>
    <xf numFmtId="0" fontId="11" fillId="0" borderId="0" xfId="0" applyFont="1" applyAlignment="1">
      <alignment horizontal="right" vertical="center"/>
    </xf>
    <xf numFmtId="1" fontId="11" fillId="0" borderId="0" xfId="0" applyNumberFormat="1" applyFont="1"/>
    <xf numFmtId="0" fontId="9" fillId="0" borderId="0" xfId="0" applyFont="1"/>
    <xf numFmtId="0" fontId="14" fillId="0" borderId="0" xfId="0" applyFont="1"/>
    <xf numFmtId="0" fontId="14" fillId="4" borderId="0" xfId="0" applyFont="1" applyFill="1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/>
    <xf numFmtId="0" fontId="4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/>
    </xf>
    <xf numFmtId="0" fontId="19" fillId="12" borderId="1" xfId="0" applyFont="1" applyFill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7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1" fontId="16" fillId="7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/>
    </xf>
    <xf numFmtId="1" fontId="16" fillId="8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 vertical="center"/>
    </xf>
    <xf numFmtId="0" fontId="20" fillId="0" borderId="0" xfId="0" applyFont="1"/>
    <xf numFmtId="0" fontId="16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34" xfId="0" applyFont="1" applyBorder="1"/>
    <xf numFmtId="0" fontId="20" fillId="0" borderId="28" xfId="0" applyFont="1" applyBorder="1"/>
    <xf numFmtId="0" fontId="16" fillId="0" borderId="8" xfId="0" applyFont="1" applyBorder="1"/>
    <xf numFmtId="0" fontId="16" fillId="0" borderId="4" xfId="0" applyFont="1" applyBorder="1" applyAlignment="1">
      <alignment horizontal="center" vertical="center"/>
    </xf>
    <xf numFmtId="0" fontId="20" fillId="0" borderId="7" xfId="0" applyFont="1" applyBorder="1"/>
    <xf numFmtId="0" fontId="16" fillId="0" borderId="9" xfId="0" applyFont="1" applyBorder="1"/>
    <xf numFmtId="0" fontId="16" fillId="0" borderId="7" xfId="0" applyFont="1" applyBorder="1"/>
    <xf numFmtId="0" fontId="20" fillId="0" borderId="11" xfId="0" applyFont="1" applyBorder="1"/>
    <xf numFmtId="0" fontId="20" fillId="2" borderId="2" xfId="0" applyFont="1" applyFill="1" applyBorder="1" applyAlignment="1">
      <alignment vertical="center"/>
    </xf>
    <xf numFmtId="0" fontId="20" fillId="2" borderId="4" xfId="0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center"/>
    </xf>
    <xf numFmtId="0" fontId="20" fillId="0" borderId="9" xfId="0" applyFont="1" applyBorder="1"/>
    <xf numFmtId="0" fontId="16" fillId="0" borderId="35" xfId="0" applyFont="1" applyBorder="1"/>
    <xf numFmtId="0" fontId="20" fillId="7" borderId="2" xfId="0" applyFont="1" applyFill="1" applyBorder="1" applyAlignment="1">
      <alignment vertical="center"/>
    </xf>
    <xf numFmtId="0" fontId="20" fillId="7" borderId="3" xfId="0" applyFont="1" applyFill="1" applyBorder="1" applyAlignment="1">
      <alignment vertical="center"/>
    </xf>
    <xf numFmtId="0" fontId="20" fillId="7" borderId="4" xfId="0" applyFont="1" applyFill="1" applyBorder="1" applyAlignment="1">
      <alignment horizontal="right" vertical="center"/>
    </xf>
    <xf numFmtId="0" fontId="20" fillId="7" borderId="1" xfId="0" applyFont="1" applyFill="1" applyBorder="1" applyAlignment="1">
      <alignment horizontal="center"/>
    </xf>
    <xf numFmtId="0" fontId="16" fillId="0" borderId="11" xfId="0" applyFont="1" applyBorder="1"/>
    <xf numFmtId="0" fontId="16" fillId="0" borderId="1" xfId="0" applyFont="1" applyBorder="1" applyAlignment="1">
      <alignment horizontal="left"/>
    </xf>
    <xf numFmtId="0" fontId="20" fillId="0" borderId="0" xfId="0" applyFont="1" applyAlignment="1">
      <alignment horizontal="right"/>
    </xf>
    <xf numFmtId="2" fontId="16" fillId="0" borderId="1" xfId="0" applyNumberFormat="1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2" fontId="20" fillId="2" borderId="1" xfId="0" applyNumberFormat="1" applyFont="1" applyFill="1" applyBorder="1" applyAlignment="1">
      <alignment horizontal="center"/>
    </xf>
    <xf numFmtId="0" fontId="20" fillId="2" borderId="19" xfId="0" applyFont="1" applyFill="1" applyBorder="1" applyAlignment="1">
      <alignment horizontal="center"/>
    </xf>
    <xf numFmtId="2" fontId="16" fillId="13" borderId="1" xfId="0" applyNumberFormat="1" applyFont="1" applyFill="1" applyBorder="1" applyAlignment="1">
      <alignment horizontal="center"/>
    </xf>
    <xf numFmtId="2" fontId="20" fillId="7" borderId="1" xfId="0" applyNumberFormat="1" applyFont="1" applyFill="1" applyBorder="1" applyAlignment="1">
      <alignment horizontal="center"/>
    </xf>
    <xf numFmtId="0" fontId="20" fillId="7" borderId="19" xfId="0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1" fontId="20" fillId="2" borderId="1" xfId="0" applyNumberFormat="1" applyFont="1" applyFill="1" applyBorder="1" applyAlignment="1">
      <alignment horizontal="center"/>
    </xf>
    <xf numFmtId="1" fontId="20" fillId="7" borderId="1" xfId="0" applyNumberFormat="1" applyFont="1" applyFill="1" applyBorder="1" applyAlignment="1">
      <alignment horizontal="center"/>
    </xf>
    <xf numFmtId="0" fontId="16" fillId="0" borderId="10" xfId="0" applyFont="1" applyBorder="1"/>
    <xf numFmtId="0" fontId="20" fillId="8" borderId="2" xfId="0" applyFont="1" applyFill="1" applyBorder="1" applyAlignment="1">
      <alignment vertical="center"/>
    </xf>
    <xf numFmtId="0" fontId="20" fillId="8" borderId="3" xfId="0" applyFont="1" applyFill="1" applyBorder="1" applyAlignment="1">
      <alignment vertical="center"/>
    </xf>
    <xf numFmtId="0" fontId="20" fillId="8" borderId="4" xfId="0" applyFont="1" applyFill="1" applyBorder="1" applyAlignment="1">
      <alignment horizontal="right" vertical="center"/>
    </xf>
    <xf numFmtId="1" fontId="20" fillId="8" borderId="1" xfId="0" applyNumberFormat="1" applyFont="1" applyFill="1" applyBorder="1" applyAlignment="1">
      <alignment horizontal="center"/>
    </xf>
    <xf numFmtId="0" fontId="16" fillId="0" borderId="34" xfId="0" applyFont="1" applyBorder="1"/>
    <xf numFmtId="0" fontId="16" fillId="0" borderId="2" xfId="0" applyFont="1" applyBorder="1"/>
    <xf numFmtId="0" fontId="20" fillId="0" borderId="4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/>
    </xf>
    <xf numFmtId="0" fontId="20" fillId="0" borderId="22" xfId="0" applyFont="1" applyBorder="1"/>
    <xf numFmtId="1" fontId="20" fillId="7" borderId="19" xfId="0" applyNumberFormat="1" applyFont="1" applyFill="1" applyBorder="1" applyAlignment="1">
      <alignment horizontal="center"/>
    </xf>
    <xf numFmtId="2" fontId="20" fillId="8" borderId="1" xfId="0" applyNumberFormat="1" applyFont="1" applyFill="1" applyBorder="1" applyAlignment="1">
      <alignment horizontal="center"/>
    </xf>
    <xf numFmtId="1" fontId="20" fillId="8" borderId="19" xfId="0" applyNumberFormat="1" applyFont="1" applyFill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16" fillId="10" borderId="1" xfId="0" applyFont="1" applyFill="1" applyBorder="1"/>
    <xf numFmtId="0" fontId="16" fillId="0" borderId="3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/>
    </xf>
    <xf numFmtId="0" fontId="16" fillId="0" borderId="38" xfId="0" applyFont="1" applyBorder="1"/>
    <xf numFmtId="0" fontId="20" fillId="2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right" vertical="center"/>
    </xf>
    <xf numFmtId="0" fontId="16" fillId="0" borderId="3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20" fillId="0" borderId="8" xfId="0" applyFont="1" applyBorder="1"/>
    <xf numFmtId="0" fontId="20" fillId="8" borderId="1" xfId="0" applyFont="1" applyFill="1" applyBorder="1" applyAlignment="1">
      <alignment horizontal="center"/>
    </xf>
    <xf numFmtId="0" fontId="20" fillId="12" borderId="29" xfId="0" applyFont="1" applyFill="1" applyBorder="1"/>
    <xf numFmtId="0" fontId="20" fillId="12" borderId="32" xfId="0" applyFont="1" applyFill="1" applyBorder="1"/>
    <xf numFmtId="0" fontId="20" fillId="12" borderId="33" xfId="0" applyFont="1" applyFill="1" applyBorder="1" applyAlignment="1">
      <alignment horizontal="right"/>
    </xf>
    <xf numFmtId="0" fontId="20" fillId="12" borderId="30" xfId="0" applyFont="1" applyFill="1" applyBorder="1" applyAlignment="1">
      <alignment horizontal="center"/>
    </xf>
    <xf numFmtId="0" fontId="20" fillId="8" borderId="19" xfId="0" applyFont="1" applyFill="1" applyBorder="1" applyAlignment="1">
      <alignment horizontal="center"/>
    </xf>
    <xf numFmtId="1" fontId="20" fillId="12" borderId="30" xfId="0" applyNumberFormat="1" applyFont="1" applyFill="1" applyBorder="1" applyAlignment="1">
      <alignment horizontal="center"/>
    </xf>
    <xf numFmtId="0" fontId="20" fillId="12" borderId="31" xfId="0" applyFont="1" applyFill="1" applyBorder="1" applyAlignment="1">
      <alignment horizontal="center"/>
    </xf>
    <xf numFmtId="0" fontId="21" fillId="0" borderId="0" xfId="0" applyFont="1"/>
    <xf numFmtId="0" fontId="22" fillId="0" borderId="1" xfId="0" applyFont="1" applyBorder="1" applyAlignment="1">
      <alignment vertical="center"/>
    </xf>
    <xf numFmtId="0" fontId="20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4" borderId="1" xfId="0" quotePrefix="1" applyFont="1" applyFill="1" applyBorder="1" applyAlignment="1">
      <alignment horizontal="center"/>
    </xf>
    <xf numFmtId="0" fontId="1" fillId="5" borderId="1" xfId="0" quotePrefix="1" applyFont="1" applyFill="1" applyBorder="1" applyAlignment="1">
      <alignment horizontal="center"/>
    </xf>
    <xf numFmtId="0" fontId="1" fillId="3" borderId="1" xfId="0" quotePrefix="1" applyFont="1" applyFill="1" applyBorder="1" applyAlignment="1">
      <alignment horizontal="center"/>
    </xf>
    <xf numFmtId="0" fontId="1" fillId="6" borderId="1" xfId="0" quotePrefix="1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0" fontId="2" fillId="9" borderId="1" xfId="0" quotePrefix="1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165" fontId="2" fillId="0" borderId="1" xfId="3" quotePrefix="1" applyNumberFormat="1" applyFont="1" applyBorder="1" applyAlignment="1">
      <alignment horizontal="center" vertical="center"/>
    </xf>
    <xf numFmtId="164" fontId="2" fillId="0" borderId="1" xfId="3" quotePrefix="1" applyFont="1" applyBorder="1" applyAlignment="1">
      <alignment horizontal="center" vertical="center"/>
    </xf>
    <xf numFmtId="164" fontId="2" fillId="0" borderId="19" xfId="3" quotePrefix="1" applyFont="1" applyBorder="1" applyAlignment="1">
      <alignment horizontal="center" vertical="center"/>
    </xf>
    <xf numFmtId="49" fontId="2" fillId="0" borderId="1" xfId="3" quotePrefix="1" applyNumberFormat="1" applyFont="1" applyBorder="1" applyAlignment="1">
      <alignment horizontal="center" vertical="center"/>
    </xf>
    <xf numFmtId="0" fontId="1" fillId="0" borderId="1" xfId="3" quotePrefix="1" applyNumberFormat="1" applyFont="1" applyBorder="1" applyAlignment="1">
      <alignment horizontal="center" vertical="center"/>
    </xf>
    <xf numFmtId="0" fontId="15" fillId="11" borderId="40" xfId="0" applyFont="1" applyFill="1" applyBorder="1" applyAlignment="1">
      <alignment horizontal="left"/>
    </xf>
    <xf numFmtId="49" fontId="2" fillId="0" borderId="1" xfId="1" applyNumberFormat="1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5" fillId="0" borderId="1" xfId="0" applyFont="1" applyBorder="1" applyAlignment="1">
      <alignment horizontal="left"/>
    </xf>
    <xf numFmtId="0" fontId="0" fillId="0" borderId="1" xfId="0" applyBorder="1"/>
    <xf numFmtId="0" fontId="24" fillId="0" borderId="1" xfId="0" applyFont="1" applyBorder="1" applyAlignment="1">
      <alignment wrapText="1"/>
    </xf>
    <xf numFmtId="0" fontId="24" fillId="0" borderId="1" xfId="0" applyFont="1" applyBorder="1"/>
    <xf numFmtId="0" fontId="24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10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1" fontId="11" fillId="14" borderId="1" xfId="1" applyNumberFormat="1" applyFill="1" applyBorder="1" applyAlignment="1">
      <alignment horizontal="center"/>
    </xf>
    <xf numFmtId="2" fontId="11" fillId="3" borderId="1" xfId="1" applyNumberFormat="1" applyFill="1" applyBorder="1" applyAlignment="1">
      <alignment horizontal="center"/>
    </xf>
    <xf numFmtId="1" fontId="11" fillId="15" borderId="1" xfId="1" applyNumberFormat="1" applyFill="1" applyBorder="1" applyAlignment="1">
      <alignment horizontal="center"/>
    </xf>
    <xf numFmtId="0" fontId="13" fillId="7" borderId="1" xfId="0" applyFont="1" applyFill="1" applyBorder="1" applyAlignment="1">
      <alignment horizontal="center" vertical="center"/>
    </xf>
    <xf numFmtId="1" fontId="11" fillId="7" borderId="1" xfId="1" applyNumberFormat="1" applyFill="1" applyBorder="1" applyAlignment="1">
      <alignment horizontal="center"/>
    </xf>
    <xf numFmtId="1" fontId="11" fillId="7" borderId="1" xfId="1" applyNumberForma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 wrapText="1"/>
    </xf>
    <xf numFmtId="1" fontId="11" fillId="16" borderId="1" xfId="1" applyNumberForma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/>
    </xf>
    <xf numFmtId="1" fontId="11" fillId="8" borderId="1" xfId="1" applyNumberFormat="1" applyFill="1" applyBorder="1" applyAlignment="1">
      <alignment horizontal="center"/>
    </xf>
    <xf numFmtId="1" fontId="11" fillId="2" borderId="1" xfId="1" applyNumberFormat="1" applyFill="1" applyBorder="1" applyAlignment="1">
      <alignment horizontal="center"/>
    </xf>
    <xf numFmtId="1" fontId="11" fillId="10" borderId="1" xfId="1" applyNumberFormat="1" applyFill="1" applyBorder="1" applyAlignment="1">
      <alignment horizontal="center"/>
    </xf>
    <xf numFmtId="0" fontId="1" fillId="9" borderId="4" xfId="0" applyFont="1" applyFill="1" applyBorder="1" applyAlignment="1">
      <alignment horizontal="center" vertical="center"/>
    </xf>
    <xf numFmtId="0" fontId="2" fillId="17" borderId="1" xfId="0" applyFont="1" applyFill="1" applyBorder="1"/>
    <xf numFmtId="0" fontId="2" fillId="17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3" fillId="18" borderId="1" xfId="0" applyFont="1" applyFill="1" applyBorder="1" applyAlignment="1">
      <alignment horizontal="center" vertical="center" wrapText="1"/>
    </xf>
    <xf numFmtId="1" fontId="11" fillId="18" borderId="1" xfId="1" applyNumberFormat="1" applyFill="1" applyBorder="1" applyAlignment="1">
      <alignment horizontal="center" vertical="center"/>
    </xf>
    <xf numFmtId="0" fontId="11" fillId="18" borderId="0" xfId="0" applyFont="1" applyFill="1"/>
    <xf numFmtId="0" fontId="13" fillId="19" borderId="1" xfId="0" applyFont="1" applyFill="1" applyBorder="1" applyAlignment="1">
      <alignment horizontal="center"/>
    </xf>
    <xf numFmtId="1" fontId="11" fillId="19" borderId="1" xfId="1" applyNumberFormat="1" applyFill="1" applyBorder="1" applyAlignment="1">
      <alignment horizontal="center"/>
    </xf>
    <xf numFmtId="0" fontId="11" fillId="19" borderId="0" xfId="0" applyFont="1" applyFill="1"/>
    <xf numFmtId="0" fontId="1" fillId="4" borderId="1" xfId="0" applyFont="1" applyFill="1" applyBorder="1" applyAlignment="1">
      <alignment horizontal="center" textRotation="90"/>
    </xf>
    <xf numFmtId="0" fontId="1" fillId="5" borderId="1" xfId="0" applyFont="1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1" fillId="6" borderId="1" xfId="0" applyFont="1" applyFill="1" applyBorder="1" applyAlignment="1">
      <alignment horizontal="center" textRotation="90"/>
    </xf>
    <xf numFmtId="0" fontId="2" fillId="9" borderId="1" xfId="0" applyFont="1" applyFill="1" applyBorder="1" applyAlignment="1">
      <alignment horizontal="center" textRotation="90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textRotation="90" wrapText="1"/>
    </xf>
    <xf numFmtId="0" fontId="2" fillId="9" borderId="9" xfId="0" applyFont="1" applyFill="1" applyBorder="1" applyAlignment="1">
      <alignment horizontal="center" textRotation="90" wrapText="1"/>
    </xf>
    <xf numFmtId="0" fontId="2" fillId="9" borderId="11" xfId="0" applyFont="1" applyFill="1" applyBorder="1" applyAlignment="1">
      <alignment horizontal="center" textRotation="90" wrapText="1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center" textRotation="90"/>
    </xf>
    <xf numFmtId="0" fontId="16" fillId="0" borderId="8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6" fillId="0" borderId="27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/>
    </xf>
    <xf numFmtId="0" fontId="16" fillId="7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6" fillId="0" borderId="1" xfId="0" quotePrefix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0" fontId="19" fillId="0" borderId="1" xfId="0" quotePrefix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9" fillId="0" borderId="1" xfId="0" quotePrefix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/>
    </xf>
    <xf numFmtId="0" fontId="19" fillId="1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3" fillId="0" borderId="0" xfId="0" applyFont="1" applyAlignment="1">
      <alignment horizontal="left" vertical="top" wrapText="1"/>
    </xf>
    <xf numFmtId="0" fontId="9" fillId="10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2" fillId="0" borderId="1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8" fillId="0" borderId="8" xfId="3" applyFont="1" applyBorder="1" applyAlignment="1">
      <alignment horizontal="center" vertical="center" wrapText="1"/>
    </xf>
    <xf numFmtId="164" fontId="8" fillId="0" borderId="9" xfId="3" applyFont="1" applyBorder="1" applyAlignment="1">
      <alignment horizontal="center" vertical="center" wrapText="1"/>
    </xf>
    <xf numFmtId="164" fontId="8" fillId="0" borderId="11" xfId="3" applyFont="1" applyBorder="1" applyAlignment="1">
      <alignment horizontal="center" vertical="center" wrapText="1"/>
    </xf>
    <xf numFmtId="164" fontId="2" fillId="0" borderId="13" xfId="3" applyFont="1" applyBorder="1" applyAlignment="1">
      <alignment horizontal="left" vertical="center"/>
    </xf>
    <xf numFmtId="164" fontId="2" fillId="0" borderId="3" xfId="3" applyFont="1" applyBorder="1" applyAlignment="1">
      <alignment horizontal="left" vertical="center"/>
    </xf>
    <xf numFmtId="164" fontId="2" fillId="0" borderId="20" xfId="3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4" fontId="8" fillId="0" borderId="16" xfId="3" applyFont="1" applyBorder="1" applyAlignment="1">
      <alignment horizontal="center" vertical="center" wrapText="1"/>
    </xf>
    <xf numFmtId="164" fontId="8" fillId="0" borderId="17" xfId="3" applyFont="1" applyBorder="1" applyAlignment="1">
      <alignment horizontal="center" vertical="center" wrapText="1"/>
    </xf>
    <xf numFmtId="164" fontId="8" fillId="0" borderId="18" xfId="3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5" xfId="2" xr:uid="{00000000-0005-0000-0000-000002000000}"/>
    <cellStyle name="Normal_Sheet2" xfId="3" xr:uid="{00000000-0005-0000-0000-000003000000}"/>
  </cellStyles>
  <dxfs count="23"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</dxfs>
  <tableStyles count="0" defaultTableStyle="TableStyleMedium9" defaultPivotStyle="PivotStyleLight16"/>
  <colors>
    <mruColors>
      <color rgb="FFFF99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5117038483843"/>
  </sheetPr>
  <dimension ref="A1:G285"/>
  <sheetViews>
    <sheetView zoomScale="80" zoomScaleNormal="80" workbookViewId="0">
      <selection activeCell="G13" sqref="G13"/>
    </sheetView>
  </sheetViews>
  <sheetFormatPr defaultColWidth="8.88671875" defaultRowHeight="13.8"/>
  <cols>
    <col min="1" max="1" width="8.88671875" style="170"/>
    <col min="2" max="2" width="17.6640625" style="170" customWidth="1"/>
    <col min="3" max="3" width="8.88671875" style="170"/>
    <col min="4" max="4" width="16" style="170" customWidth="1"/>
    <col min="5" max="7" width="12.5546875" style="170" customWidth="1"/>
    <col min="8" max="16384" width="8.88671875" style="170"/>
  </cols>
  <sheetData>
    <row r="1" spans="1:7">
      <c r="A1" s="171" t="s">
        <v>0</v>
      </c>
      <c r="B1" s="171"/>
      <c r="C1" s="171"/>
      <c r="D1" s="171"/>
      <c r="E1" s="171"/>
      <c r="F1" s="171"/>
      <c r="G1" s="171"/>
    </row>
    <row r="2" spans="1:7" ht="58.2" customHeight="1">
      <c r="A2" s="88" t="s">
        <v>1</v>
      </c>
      <c r="B2" s="88" t="s">
        <v>2</v>
      </c>
      <c r="C2" s="88" t="s">
        <v>1</v>
      </c>
      <c r="D2" s="88" t="s">
        <v>3</v>
      </c>
      <c r="E2" s="88" t="s">
        <v>4</v>
      </c>
      <c r="F2" s="88" t="s">
        <v>5</v>
      </c>
      <c r="G2" s="88" t="s">
        <v>6</v>
      </c>
    </row>
    <row r="3" spans="1:7">
      <c r="A3" s="91">
        <v>1</v>
      </c>
      <c r="B3" s="90" t="s">
        <v>7</v>
      </c>
      <c r="C3" s="91">
        <v>1</v>
      </c>
      <c r="D3" s="90" t="s">
        <v>8</v>
      </c>
      <c r="E3" s="89">
        <v>22682</v>
      </c>
      <c r="F3" s="89">
        <v>21032</v>
      </c>
      <c r="G3" s="89">
        <v>21032</v>
      </c>
    </row>
    <row r="4" spans="1:7">
      <c r="A4" s="90"/>
      <c r="B4" s="90"/>
      <c r="C4" s="91">
        <v>2</v>
      </c>
      <c r="D4" s="90" t="s">
        <v>9</v>
      </c>
      <c r="E4" s="89">
        <v>174644</v>
      </c>
      <c r="F4" s="89">
        <v>194934</v>
      </c>
      <c r="G4" s="89">
        <v>67656</v>
      </c>
    </row>
    <row r="5" spans="1:7">
      <c r="A5" s="90"/>
      <c r="B5" s="90"/>
      <c r="C5" s="91">
        <v>3</v>
      </c>
      <c r="D5" s="90" t="s">
        <v>10</v>
      </c>
      <c r="E5" s="89">
        <v>111111</v>
      </c>
      <c r="F5" s="89">
        <v>127520</v>
      </c>
      <c r="G5" s="89">
        <v>102044</v>
      </c>
    </row>
    <row r="6" spans="1:7">
      <c r="A6" s="90"/>
      <c r="B6" s="90"/>
      <c r="C6" s="91">
        <v>4</v>
      </c>
      <c r="D6" s="90" t="s">
        <v>11</v>
      </c>
      <c r="E6" s="89">
        <v>82467</v>
      </c>
      <c r="F6" s="89">
        <v>78802</v>
      </c>
      <c r="G6" s="89">
        <v>58328</v>
      </c>
    </row>
    <row r="7" spans="1:7">
      <c r="A7" s="90"/>
      <c r="B7" s="90"/>
      <c r="C7" s="91">
        <v>5</v>
      </c>
      <c r="D7" s="90" t="s">
        <v>12</v>
      </c>
      <c r="E7" s="89">
        <v>103270</v>
      </c>
      <c r="F7" s="89">
        <v>93569</v>
      </c>
      <c r="G7" s="89">
        <v>78272</v>
      </c>
    </row>
    <row r="8" spans="1:7">
      <c r="A8" s="90"/>
      <c r="B8" s="90"/>
      <c r="C8" s="91">
        <v>6</v>
      </c>
      <c r="D8" s="90" t="s">
        <v>13</v>
      </c>
      <c r="E8" s="89">
        <v>69524</v>
      </c>
      <c r="F8" s="89">
        <v>67528</v>
      </c>
      <c r="G8" s="89">
        <v>55626</v>
      </c>
    </row>
    <row r="9" spans="1:7">
      <c r="A9" s="90"/>
      <c r="B9" s="90"/>
      <c r="C9" s="91">
        <v>7</v>
      </c>
      <c r="D9" s="90" t="s">
        <v>14</v>
      </c>
      <c r="E9" s="89">
        <v>114126</v>
      </c>
      <c r="F9" s="89">
        <v>106646</v>
      </c>
      <c r="G9" s="89">
        <v>27093</v>
      </c>
    </row>
    <row r="10" spans="1:7">
      <c r="A10" s="90"/>
      <c r="B10" s="90"/>
      <c r="C10" s="91">
        <v>8</v>
      </c>
      <c r="D10" s="90" t="s">
        <v>15</v>
      </c>
      <c r="E10" s="89">
        <v>79264</v>
      </c>
      <c r="F10" s="89">
        <v>72705</v>
      </c>
      <c r="G10" s="89">
        <v>61584</v>
      </c>
    </row>
    <row r="11" spans="1:7">
      <c r="A11" s="90"/>
      <c r="B11" s="90"/>
      <c r="C11" s="91">
        <v>9</v>
      </c>
      <c r="D11" s="90" t="s">
        <v>16</v>
      </c>
      <c r="E11" s="89">
        <v>45111</v>
      </c>
      <c r="F11" s="89">
        <v>41931</v>
      </c>
      <c r="G11" s="89">
        <v>21175</v>
      </c>
    </row>
    <row r="12" spans="1:7">
      <c r="A12" s="90"/>
      <c r="B12" s="90"/>
      <c r="C12" s="91">
        <v>10</v>
      </c>
      <c r="D12" s="90" t="s">
        <v>17</v>
      </c>
      <c r="E12" s="89">
        <v>3192</v>
      </c>
      <c r="F12" s="89">
        <v>4719</v>
      </c>
      <c r="G12" s="89">
        <v>1200</v>
      </c>
    </row>
    <row r="13" spans="1:7">
      <c r="A13" s="172" t="s">
        <v>18</v>
      </c>
      <c r="B13" s="172"/>
      <c r="C13" s="172"/>
      <c r="D13" s="172"/>
      <c r="E13" s="87">
        <f>SUM(E3:E12)</f>
        <v>805391</v>
      </c>
      <c r="F13" s="87">
        <f t="shared" ref="F13:G13" si="0">SUM(F3:F12)</f>
        <v>809386</v>
      </c>
      <c r="G13" s="87">
        <f t="shared" si="0"/>
        <v>494010</v>
      </c>
    </row>
    <row r="14" spans="1:7">
      <c r="A14" s="91">
        <v>2</v>
      </c>
      <c r="B14" s="90" t="s">
        <v>19</v>
      </c>
      <c r="C14" s="91">
        <v>1</v>
      </c>
      <c r="D14" s="90" t="s">
        <v>20</v>
      </c>
      <c r="E14" s="89">
        <v>85996</v>
      </c>
      <c r="F14" s="89">
        <v>101664</v>
      </c>
      <c r="G14" s="89">
        <v>62788</v>
      </c>
    </row>
    <row r="15" spans="1:7">
      <c r="A15" s="90"/>
      <c r="B15" s="90"/>
      <c r="C15" s="91">
        <v>2</v>
      </c>
      <c r="D15" s="90" t="s">
        <v>21</v>
      </c>
      <c r="E15" s="89">
        <v>198431</v>
      </c>
      <c r="F15" s="89">
        <v>193187</v>
      </c>
      <c r="G15" s="89">
        <v>175991</v>
      </c>
    </row>
    <row r="16" spans="1:7">
      <c r="A16" s="90"/>
      <c r="B16" s="90"/>
      <c r="C16" s="91">
        <v>3</v>
      </c>
      <c r="D16" s="90" t="s">
        <v>22</v>
      </c>
      <c r="E16" s="89">
        <v>112226</v>
      </c>
      <c r="F16" s="89">
        <v>126084</v>
      </c>
      <c r="G16" s="89">
        <v>128484</v>
      </c>
    </row>
    <row r="17" spans="1:7">
      <c r="A17" s="90"/>
      <c r="B17" s="90"/>
      <c r="C17" s="91">
        <v>4</v>
      </c>
      <c r="D17" s="90" t="s">
        <v>23</v>
      </c>
      <c r="E17" s="89">
        <v>58340</v>
      </c>
      <c r="F17" s="89">
        <v>61342</v>
      </c>
      <c r="G17" s="89">
        <v>52275</v>
      </c>
    </row>
    <row r="18" spans="1:7">
      <c r="A18" s="90"/>
      <c r="B18" s="90"/>
      <c r="C18" s="91">
        <v>5</v>
      </c>
      <c r="D18" s="90" t="s">
        <v>24</v>
      </c>
      <c r="E18" s="89">
        <v>30996</v>
      </c>
      <c r="F18" s="89">
        <v>28814</v>
      </c>
      <c r="G18" s="89">
        <v>27693</v>
      </c>
    </row>
    <row r="19" spans="1:7">
      <c r="A19" s="90"/>
      <c r="B19" s="90"/>
      <c r="C19" s="91">
        <v>6</v>
      </c>
      <c r="D19" s="90" t="s">
        <v>25</v>
      </c>
      <c r="E19" s="89">
        <v>42911</v>
      </c>
      <c r="F19" s="89">
        <v>38253</v>
      </c>
      <c r="G19" s="89">
        <v>32466</v>
      </c>
    </row>
    <row r="20" spans="1:7">
      <c r="A20" s="90"/>
      <c r="B20" s="90"/>
      <c r="C20" s="91">
        <v>7</v>
      </c>
      <c r="D20" s="90" t="s">
        <v>26</v>
      </c>
      <c r="E20" s="89">
        <v>51422</v>
      </c>
      <c r="F20" s="89">
        <v>59894</v>
      </c>
      <c r="G20" s="89">
        <v>53928</v>
      </c>
    </row>
    <row r="21" spans="1:7">
      <c r="A21" s="90"/>
      <c r="B21" s="90"/>
      <c r="C21" s="91">
        <v>8</v>
      </c>
      <c r="D21" s="90" t="s">
        <v>27</v>
      </c>
      <c r="E21" s="89">
        <v>112634</v>
      </c>
      <c r="F21" s="89">
        <v>125217</v>
      </c>
      <c r="G21" s="89">
        <v>109607</v>
      </c>
    </row>
    <row r="22" spans="1:7">
      <c r="A22" s="90"/>
      <c r="B22" s="90"/>
      <c r="C22" s="91">
        <v>9</v>
      </c>
      <c r="D22" s="90" t="s">
        <v>28</v>
      </c>
      <c r="E22" s="89">
        <v>181334</v>
      </c>
      <c r="F22" s="89">
        <v>187821</v>
      </c>
      <c r="G22" s="89">
        <v>211026</v>
      </c>
    </row>
    <row r="23" spans="1:7">
      <c r="A23" s="90"/>
      <c r="B23" s="90"/>
      <c r="C23" s="91">
        <v>10</v>
      </c>
      <c r="D23" s="90" t="s">
        <v>29</v>
      </c>
      <c r="E23" s="89">
        <v>74672</v>
      </c>
      <c r="F23" s="89">
        <v>75007</v>
      </c>
      <c r="G23" s="89">
        <v>79771</v>
      </c>
    </row>
    <row r="24" spans="1:7">
      <c r="A24" s="90"/>
      <c r="B24" s="90"/>
      <c r="C24" s="91">
        <v>11</v>
      </c>
      <c r="D24" s="90" t="s">
        <v>30</v>
      </c>
      <c r="E24" s="89">
        <v>65649</v>
      </c>
      <c r="F24" s="89">
        <v>59263</v>
      </c>
      <c r="G24" s="89">
        <v>64844</v>
      </c>
    </row>
    <row r="25" spans="1:7">
      <c r="A25" s="90"/>
      <c r="B25" s="90"/>
      <c r="C25" s="91">
        <v>12</v>
      </c>
      <c r="D25" s="90" t="s">
        <v>31</v>
      </c>
      <c r="E25" s="89">
        <v>127213</v>
      </c>
      <c r="F25" s="89">
        <v>114719</v>
      </c>
      <c r="G25" s="89">
        <v>122477</v>
      </c>
    </row>
    <row r="26" spans="1:7">
      <c r="A26" s="90"/>
      <c r="B26" s="90"/>
      <c r="C26" s="91">
        <v>13</v>
      </c>
      <c r="D26" s="90" t="s">
        <v>32</v>
      </c>
      <c r="E26" s="89">
        <v>89591</v>
      </c>
      <c r="F26" s="89">
        <v>75129</v>
      </c>
      <c r="G26" s="89">
        <v>97119</v>
      </c>
    </row>
    <row r="27" spans="1:7">
      <c r="A27" s="90"/>
      <c r="B27" s="90"/>
      <c r="C27" s="91">
        <v>14</v>
      </c>
      <c r="D27" s="90" t="s">
        <v>33</v>
      </c>
      <c r="E27" s="89">
        <v>47156</v>
      </c>
      <c r="F27" s="89">
        <v>32114</v>
      </c>
      <c r="G27" s="89">
        <v>22367</v>
      </c>
    </row>
    <row r="28" spans="1:7">
      <c r="A28" s="172" t="s">
        <v>18</v>
      </c>
      <c r="B28" s="172"/>
      <c r="C28" s="172"/>
      <c r="D28" s="172"/>
      <c r="E28" s="87">
        <f>SUM(E14:E27)</f>
        <v>1278571</v>
      </c>
      <c r="F28" s="87">
        <f t="shared" ref="F28:G28" si="1">SUM(F14:F27)</f>
        <v>1278508</v>
      </c>
      <c r="G28" s="87">
        <f t="shared" si="1"/>
        <v>1240836</v>
      </c>
    </row>
    <row r="29" spans="1:7">
      <c r="A29" s="91">
        <v>3</v>
      </c>
      <c r="B29" s="90" t="s">
        <v>34</v>
      </c>
      <c r="C29" s="91">
        <v>1</v>
      </c>
      <c r="D29" s="90" t="s">
        <v>35</v>
      </c>
      <c r="E29" s="89">
        <v>89989</v>
      </c>
      <c r="F29" s="89">
        <v>103445</v>
      </c>
      <c r="G29" s="89">
        <v>102847</v>
      </c>
    </row>
    <row r="30" spans="1:7">
      <c r="A30" s="90"/>
      <c r="B30" s="90"/>
      <c r="C30" s="91">
        <v>2</v>
      </c>
      <c r="D30" s="90" t="s">
        <v>36</v>
      </c>
      <c r="E30" s="89">
        <v>55949</v>
      </c>
      <c r="F30" s="89">
        <v>63649</v>
      </c>
      <c r="G30" s="89">
        <v>32721</v>
      </c>
    </row>
    <row r="31" spans="1:7">
      <c r="A31" s="90"/>
      <c r="B31" s="90"/>
      <c r="C31" s="91">
        <v>3</v>
      </c>
      <c r="D31" s="90" t="s">
        <v>37</v>
      </c>
      <c r="E31" s="89">
        <v>41623</v>
      </c>
      <c r="F31" s="89">
        <v>43927</v>
      </c>
      <c r="G31" s="89">
        <v>42008</v>
      </c>
    </row>
    <row r="32" spans="1:7">
      <c r="A32" s="90"/>
      <c r="B32" s="90"/>
      <c r="C32" s="91">
        <v>4</v>
      </c>
      <c r="D32" s="90" t="s">
        <v>34</v>
      </c>
      <c r="E32" s="89">
        <v>50103</v>
      </c>
      <c r="F32" s="89">
        <v>50696</v>
      </c>
      <c r="G32" s="89">
        <v>53311</v>
      </c>
    </row>
    <row r="33" spans="1:7">
      <c r="A33" s="90"/>
      <c r="B33" s="90"/>
      <c r="C33" s="91">
        <v>5</v>
      </c>
      <c r="D33" s="90" t="s">
        <v>38</v>
      </c>
      <c r="E33" s="89">
        <v>48218</v>
      </c>
      <c r="F33" s="89">
        <v>48699</v>
      </c>
      <c r="G33" s="89">
        <v>41028</v>
      </c>
    </row>
    <row r="34" spans="1:7">
      <c r="A34" s="90"/>
      <c r="B34" s="90"/>
      <c r="C34" s="91">
        <v>6</v>
      </c>
      <c r="D34" s="90" t="s">
        <v>39</v>
      </c>
      <c r="E34" s="89">
        <v>64529</v>
      </c>
      <c r="F34" s="89">
        <v>81583</v>
      </c>
      <c r="G34" s="89">
        <v>49014</v>
      </c>
    </row>
    <row r="35" spans="1:7">
      <c r="A35" s="90"/>
      <c r="B35" s="90"/>
      <c r="C35" s="91">
        <v>7</v>
      </c>
      <c r="D35" s="90" t="s">
        <v>40</v>
      </c>
      <c r="E35" s="89">
        <v>46377</v>
      </c>
      <c r="F35" s="89">
        <v>45408</v>
      </c>
      <c r="G35" s="89">
        <v>44738</v>
      </c>
    </row>
    <row r="36" spans="1:7">
      <c r="A36" s="90"/>
      <c r="B36" s="90"/>
      <c r="C36" s="91">
        <v>8</v>
      </c>
      <c r="D36" s="90" t="s">
        <v>41</v>
      </c>
      <c r="E36" s="89">
        <v>52884</v>
      </c>
      <c r="F36" s="89">
        <v>52166</v>
      </c>
      <c r="G36" s="89">
        <v>50204</v>
      </c>
    </row>
    <row r="37" spans="1:7">
      <c r="A37" s="90"/>
      <c r="B37" s="90"/>
      <c r="C37" s="91">
        <v>9</v>
      </c>
      <c r="D37" s="90" t="s">
        <v>42</v>
      </c>
      <c r="E37" s="89">
        <v>55764</v>
      </c>
      <c r="F37" s="89">
        <v>54291</v>
      </c>
      <c r="G37" s="89">
        <v>55462</v>
      </c>
    </row>
    <row r="38" spans="1:7">
      <c r="A38" s="172" t="s">
        <v>18</v>
      </c>
      <c r="B38" s="172"/>
      <c r="C38" s="172"/>
      <c r="D38" s="172"/>
      <c r="E38" s="87">
        <f>SUM(E29:E37)</f>
        <v>505436</v>
      </c>
      <c r="F38" s="87">
        <f t="shared" ref="F38:G38" si="2">SUM(F29:F37)</f>
        <v>543864</v>
      </c>
      <c r="G38" s="87">
        <f t="shared" si="2"/>
        <v>471333</v>
      </c>
    </row>
    <row r="39" spans="1:7">
      <c r="A39" s="91">
        <v>4</v>
      </c>
      <c r="B39" s="90" t="s">
        <v>43</v>
      </c>
      <c r="C39" s="91">
        <v>1</v>
      </c>
      <c r="D39" s="90" t="s">
        <v>44</v>
      </c>
      <c r="E39" s="89">
        <v>37097</v>
      </c>
      <c r="F39" s="89">
        <v>35983</v>
      </c>
      <c r="G39" s="89">
        <v>31655</v>
      </c>
    </row>
    <row r="40" spans="1:7">
      <c r="A40" s="90"/>
      <c r="B40" s="90"/>
      <c r="C40" s="91">
        <v>2</v>
      </c>
      <c r="D40" s="90" t="s">
        <v>45</v>
      </c>
      <c r="E40" s="89">
        <v>44208</v>
      </c>
      <c r="F40" s="89">
        <v>46829</v>
      </c>
      <c r="G40" s="89">
        <v>45145</v>
      </c>
    </row>
    <row r="41" spans="1:7">
      <c r="A41" s="90"/>
      <c r="B41" s="90"/>
      <c r="C41" s="91">
        <v>3</v>
      </c>
      <c r="D41" s="90" t="s">
        <v>46</v>
      </c>
      <c r="E41" s="89">
        <v>30004</v>
      </c>
      <c r="F41" s="89">
        <v>27151</v>
      </c>
      <c r="G41" s="89">
        <v>26818</v>
      </c>
    </row>
    <row r="42" spans="1:7">
      <c r="A42" s="90"/>
      <c r="B42" s="90"/>
      <c r="C42" s="91">
        <v>4</v>
      </c>
      <c r="D42" s="90" t="s">
        <v>47</v>
      </c>
      <c r="E42" s="89">
        <v>57535</v>
      </c>
      <c r="F42" s="89">
        <v>53782</v>
      </c>
      <c r="G42" s="89">
        <v>57932</v>
      </c>
    </row>
    <row r="43" spans="1:7">
      <c r="A43" s="90"/>
      <c r="B43" s="90"/>
      <c r="C43" s="91">
        <v>5</v>
      </c>
      <c r="D43" s="90" t="s">
        <v>48</v>
      </c>
      <c r="E43" s="89">
        <v>48915</v>
      </c>
      <c r="F43" s="89">
        <v>45623</v>
      </c>
      <c r="G43" s="89">
        <v>40353</v>
      </c>
    </row>
    <row r="44" spans="1:7">
      <c r="A44" s="90"/>
      <c r="B44" s="90"/>
      <c r="C44" s="91">
        <v>6</v>
      </c>
      <c r="D44" s="90" t="s">
        <v>49</v>
      </c>
      <c r="E44" s="89">
        <v>56164</v>
      </c>
      <c r="F44" s="89">
        <v>61989</v>
      </c>
      <c r="G44" s="89">
        <v>55532</v>
      </c>
    </row>
    <row r="45" spans="1:7">
      <c r="A45" s="90"/>
      <c r="B45" s="90"/>
      <c r="C45" s="91">
        <v>7</v>
      </c>
      <c r="D45" s="90" t="s">
        <v>50</v>
      </c>
      <c r="E45" s="89">
        <v>82552</v>
      </c>
      <c r="F45" s="89">
        <v>78682</v>
      </c>
      <c r="G45" s="89">
        <v>75551</v>
      </c>
    </row>
    <row r="46" spans="1:7">
      <c r="A46" s="90"/>
      <c r="B46" s="90"/>
      <c r="C46" s="91">
        <v>8</v>
      </c>
      <c r="D46" s="90" t="s">
        <v>51</v>
      </c>
      <c r="E46" s="89">
        <v>55879</v>
      </c>
      <c r="F46" s="89">
        <v>52170</v>
      </c>
      <c r="G46" s="89">
        <v>43973</v>
      </c>
    </row>
    <row r="47" spans="1:7">
      <c r="A47" s="90"/>
      <c r="B47" s="90"/>
      <c r="C47" s="91">
        <v>9</v>
      </c>
      <c r="D47" s="90" t="s">
        <v>52</v>
      </c>
      <c r="E47" s="89">
        <v>84597</v>
      </c>
      <c r="F47" s="89">
        <v>87273</v>
      </c>
      <c r="G47" s="89">
        <v>74422</v>
      </c>
    </row>
    <row r="48" spans="1:7">
      <c r="A48" s="90"/>
      <c r="B48" s="90"/>
      <c r="C48" s="91">
        <v>10</v>
      </c>
      <c r="D48" s="90" t="s">
        <v>53</v>
      </c>
      <c r="E48" s="89">
        <v>28388</v>
      </c>
      <c r="F48" s="89">
        <v>28112</v>
      </c>
      <c r="G48" s="89">
        <v>21437</v>
      </c>
    </row>
    <row r="49" spans="1:7">
      <c r="A49" s="172" t="s">
        <v>18</v>
      </c>
      <c r="B49" s="172"/>
      <c r="C49" s="172"/>
      <c r="D49" s="172"/>
      <c r="E49" s="87">
        <f>SUM(E39:E48)</f>
        <v>525339</v>
      </c>
      <c r="F49" s="87">
        <f t="shared" ref="F49:G49" si="3">SUM(F39:F48)</f>
        <v>517594</v>
      </c>
      <c r="G49" s="87">
        <f t="shared" si="3"/>
        <v>472818</v>
      </c>
    </row>
    <row r="50" spans="1:7">
      <c r="A50" s="91">
        <v>5</v>
      </c>
      <c r="B50" s="90" t="s">
        <v>54</v>
      </c>
      <c r="C50" s="91">
        <v>1</v>
      </c>
      <c r="D50" s="90" t="s">
        <v>55</v>
      </c>
      <c r="E50" s="89">
        <v>35305</v>
      </c>
      <c r="F50" s="89">
        <v>36599</v>
      </c>
      <c r="G50" s="89">
        <v>34911</v>
      </c>
    </row>
    <row r="51" spans="1:7">
      <c r="A51" s="90"/>
      <c r="B51" s="90"/>
      <c r="C51" s="91">
        <v>2</v>
      </c>
      <c r="D51" s="90" t="s">
        <v>56</v>
      </c>
      <c r="E51" s="89">
        <v>21734</v>
      </c>
      <c r="F51" s="89">
        <v>20425</v>
      </c>
      <c r="G51" s="89">
        <v>22149</v>
      </c>
    </row>
    <row r="52" spans="1:7">
      <c r="A52" s="90"/>
      <c r="B52" s="90"/>
      <c r="C52" s="91">
        <v>3</v>
      </c>
      <c r="D52" s="90" t="s">
        <v>57</v>
      </c>
      <c r="E52" s="89">
        <v>35756</v>
      </c>
      <c r="F52" s="89">
        <v>38408</v>
      </c>
      <c r="G52" s="89">
        <v>39018</v>
      </c>
    </row>
    <row r="53" spans="1:7">
      <c r="A53" s="90"/>
      <c r="B53" s="90"/>
      <c r="C53" s="91">
        <v>4</v>
      </c>
      <c r="D53" s="90" t="s">
        <v>58</v>
      </c>
      <c r="E53" s="89">
        <v>84769</v>
      </c>
      <c r="F53" s="89">
        <v>87626</v>
      </c>
      <c r="G53" s="89">
        <v>84719</v>
      </c>
    </row>
    <row r="54" spans="1:7">
      <c r="A54" s="90"/>
      <c r="B54" s="90"/>
      <c r="C54" s="91">
        <v>5</v>
      </c>
      <c r="D54" s="90" t="s">
        <v>59</v>
      </c>
      <c r="E54" s="89">
        <v>87094</v>
      </c>
      <c r="F54" s="89">
        <v>88608</v>
      </c>
      <c r="G54" s="89">
        <v>91249</v>
      </c>
    </row>
    <row r="55" spans="1:7">
      <c r="A55" s="90"/>
      <c r="B55" s="90"/>
      <c r="C55" s="91">
        <v>6</v>
      </c>
      <c r="D55" s="90" t="s">
        <v>60</v>
      </c>
      <c r="E55" s="89">
        <v>41208</v>
      </c>
      <c r="F55" s="89">
        <v>47114</v>
      </c>
      <c r="G55" s="89">
        <v>43211</v>
      </c>
    </row>
    <row r="56" spans="1:7">
      <c r="A56" s="90"/>
      <c r="B56" s="90"/>
      <c r="C56" s="91">
        <v>7</v>
      </c>
      <c r="D56" s="90" t="s">
        <v>61</v>
      </c>
      <c r="E56" s="89">
        <v>30896</v>
      </c>
      <c r="F56" s="89">
        <v>41301</v>
      </c>
      <c r="G56" s="89">
        <v>41609</v>
      </c>
    </row>
    <row r="57" spans="1:7">
      <c r="A57" s="90"/>
      <c r="B57" s="90"/>
      <c r="C57" s="91">
        <v>8</v>
      </c>
      <c r="D57" s="90" t="s">
        <v>62</v>
      </c>
      <c r="E57" s="89">
        <v>21847</v>
      </c>
      <c r="F57" s="89">
        <v>13501</v>
      </c>
      <c r="G57" s="89">
        <v>13013</v>
      </c>
    </row>
    <row r="58" spans="1:7">
      <c r="A58" s="172" t="s">
        <v>18</v>
      </c>
      <c r="B58" s="172"/>
      <c r="C58" s="172"/>
      <c r="D58" s="172"/>
      <c r="E58" s="87">
        <f>SUM(E50:E57)</f>
        <v>358609</v>
      </c>
      <c r="F58" s="87">
        <f t="shared" ref="F58:G58" si="4">SUM(F50:F57)</f>
        <v>373582</v>
      </c>
      <c r="G58" s="87">
        <f t="shared" si="4"/>
        <v>369879</v>
      </c>
    </row>
    <row r="59" spans="1:7">
      <c r="A59" s="91">
        <v>6</v>
      </c>
      <c r="B59" s="90" t="s">
        <v>63</v>
      </c>
      <c r="C59" s="91">
        <v>1</v>
      </c>
      <c r="D59" s="90" t="s">
        <v>64</v>
      </c>
      <c r="E59" s="89">
        <v>43937</v>
      </c>
      <c r="F59" s="89">
        <v>48916</v>
      </c>
      <c r="G59" s="89">
        <v>47663</v>
      </c>
    </row>
    <row r="60" spans="1:7">
      <c r="A60" s="90"/>
      <c r="B60" s="90"/>
      <c r="C60" s="91">
        <v>2</v>
      </c>
      <c r="D60" s="90" t="s">
        <v>65</v>
      </c>
      <c r="E60" s="89">
        <v>54914</v>
      </c>
      <c r="F60" s="89">
        <v>53554</v>
      </c>
      <c r="G60" s="89">
        <v>51698</v>
      </c>
    </row>
    <row r="61" spans="1:7">
      <c r="A61" s="90"/>
      <c r="B61" s="90"/>
      <c r="C61" s="91">
        <v>3</v>
      </c>
      <c r="D61" s="90" t="s">
        <v>66</v>
      </c>
      <c r="E61" s="89">
        <v>64147</v>
      </c>
      <c r="F61" s="89">
        <v>62352</v>
      </c>
      <c r="G61" s="89">
        <v>65391</v>
      </c>
    </row>
    <row r="62" spans="1:7">
      <c r="A62" s="90"/>
      <c r="B62" s="90"/>
      <c r="C62" s="91">
        <v>4</v>
      </c>
      <c r="D62" s="90" t="s">
        <v>67</v>
      </c>
      <c r="E62" s="89">
        <v>42800</v>
      </c>
      <c r="F62" s="89">
        <v>42698</v>
      </c>
      <c r="G62" s="89">
        <v>41581</v>
      </c>
    </row>
    <row r="63" spans="1:7">
      <c r="A63" s="90"/>
      <c r="B63" s="90"/>
      <c r="C63" s="91">
        <v>5</v>
      </c>
      <c r="D63" s="90" t="s">
        <v>68</v>
      </c>
      <c r="E63" s="89">
        <v>41955</v>
      </c>
      <c r="F63" s="89">
        <v>42290</v>
      </c>
      <c r="G63" s="89">
        <v>37240</v>
      </c>
    </row>
    <row r="64" spans="1:7">
      <c r="A64" s="90"/>
      <c r="B64" s="90"/>
      <c r="C64" s="91">
        <v>6</v>
      </c>
      <c r="D64" s="90" t="s">
        <v>69</v>
      </c>
      <c r="E64" s="89">
        <v>79590</v>
      </c>
      <c r="F64" s="89">
        <v>75986</v>
      </c>
      <c r="G64" s="89">
        <v>64072</v>
      </c>
    </row>
    <row r="65" spans="1:7">
      <c r="A65" s="172" t="s">
        <v>18</v>
      </c>
      <c r="B65" s="172"/>
      <c r="C65" s="172"/>
      <c r="D65" s="172"/>
      <c r="E65" s="87">
        <f>SUM(E59:E64)</f>
        <v>327343</v>
      </c>
      <c r="F65" s="87">
        <f t="shared" ref="F65:G65" si="5">SUM(F59:F64)</f>
        <v>325796</v>
      </c>
      <c r="G65" s="87">
        <f t="shared" si="5"/>
        <v>307645</v>
      </c>
    </row>
    <row r="66" spans="1:7">
      <c r="A66" s="91">
        <v>7</v>
      </c>
      <c r="B66" s="90" t="s">
        <v>70</v>
      </c>
      <c r="C66" s="91">
        <v>1</v>
      </c>
      <c r="D66" s="90" t="s">
        <v>71</v>
      </c>
      <c r="E66" s="89">
        <v>57524</v>
      </c>
      <c r="F66" s="89">
        <v>53086</v>
      </c>
      <c r="G66" s="89">
        <v>54390</v>
      </c>
    </row>
    <row r="67" spans="1:7">
      <c r="A67" s="90"/>
      <c r="B67" s="90"/>
      <c r="C67" s="91">
        <v>2</v>
      </c>
      <c r="D67" s="90" t="s">
        <v>72</v>
      </c>
      <c r="E67" s="89">
        <v>56003</v>
      </c>
      <c r="F67" s="89">
        <v>58650</v>
      </c>
      <c r="G67" s="89">
        <v>52556</v>
      </c>
    </row>
    <row r="68" spans="1:7">
      <c r="A68" s="90"/>
      <c r="B68" s="90"/>
      <c r="C68" s="91">
        <v>3</v>
      </c>
      <c r="D68" s="90" t="s">
        <v>70</v>
      </c>
      <c r="E68" s="89">
        <v>68585</v>
      </c>
      <c r="F68" s="89">
        <v>62003</v>
      </c>
      <c r="G68" s="89">
        <v>64538</v>
      </c>
    </row>
    <row r="69" spans="1:7">
      <c r="A69" s="90"/>
      <c r="B69" s="90"/>
      <c r="C69" s="91">
        <v>4</v>
      </c>
      <c r="D69" s="90" t="s">
        <v>73</v>
      </c>
      <c r="E69" s="89">
        <v>62058</v>
      </c>
      <c r="F69" s="89">
        <v>74707</v>
      </c>
      <c r="G69" s="89">
        <v>70195</v>
      </c>
    </row>
    <row r="70" spans="1:7">
      <c r="A70" s="172" t="s">
        <v>18</v>
      </c>
      <c r="B70" s="172"/>
      <c r="C70" s="172"/>
      <c r="D70" s="172"/>
      <c r="E70" s="87">
        <f>SUM(E66:E69)</f>
        <v>244170</v>
      </c>
      <c r="F70" s="87">
        <f t="shared" ref="F70:G70" si="6">SUM(F66:F69)</f>
        <v>248446</v>
      </c>
      <c r="G70" s="87">
        <f t="shared" si="6"/>
        <v>241679</v>
      </c>
    </row>
    <row r="71" spans="1:7">
      <c r="A71" s="91">
        <v>8</v>
      </c>
      <c r="B71" s="90" t="s">
        <v>74</v>
      </c>
      <c r="C71" s="91">
        <v>1</v>
      </c>
      <c r="D71" s="90" t="s">
        <v>75</v>
      </c>
      <c r="E71" s="89">
        <v>48144</v>
      </c>
      <c r="F71" s="89">
        <v>46951</v>
      </c>
      <c r="G71" s="89">
        <v>51208</v>
      </c>
    </row>
    <row r="72" spans="1:7">
      <c r="A72" s="90"/>
      <c r="B72" s="90"/>
      <c r="C72" s="91">
        <v>2</v>
      </c>
      <c r="D72" s="90" t="s">
        <v>76</v>
      </c>
      <c r="E72" s="89">
        <v>38514</v>
      </c>
      <c r="F72" s="89">
        <v>34672</v>
      </c>
      <c r="G72" s="89">
        <v>35901</v>
      </c>
    </row>
    <row r="73" spans="1:7">
      <c r="A73" s="90"/>
      <c r="B73" s="90"/>
      <c r="C73" s="91">
        <v>3</v>
      </c>
      <c r="D73" s="90" t="s">
        <v>77</v>
      </c>
      <c r="E73" s="89">
        <v>88033</v>
      </c>
      <c r="F73" s="89">
        <v>83683</v>
      </c>
      <c r="G73" s="89">
        <v>91866</v>
      </c>
    </row>
    <row r="74" spans="1:7">
      <c r="A74" s="90"/>
      <c r="B74" s="90"/>
      <c r="C74" s="91">
        <v>4</v>
      </c>
      <c r="D74" s="90" t="s">
        <v>78</v>
      </c>
      <c r="E74" s="89">
        <v>94770</v>
      </c>
      <c r="F74" s="89">
        <v>84250</v>
      </c>
      <c r="G74" s="89">
        <v>76213</v>
      </c>
    </row>
    <row r="75" spans="1:7">
      <c r="A75" s="90"/>
      <c r="B75" s="90"/>
      <c r="C75" s="91">
        <v>5</v>
      </c>
      <c r="D75" s="90" t="s">
        <v>79</v>
      </c>
      <c r="E75" s="89">
        <v>0</v>
      </c>
      <c r="F75" s="89">
        <v>0</v>
      </c>
      <c r="G75" s="89">
        <v>0</v>
      </c>
    </row>
    <row r="76" spans="1:7">
      <c r="A76" s="90"/>
      <c r="B76" s="90"/>
      <c r="C76" s="91">
        <v>6</v>
      </c>
      <c r="D76" s="90" t="s">
        <v>80</v>
      </c>
      <c r="E76" s="89">
        <v>62820</v>
      </c>
      <c r="F76" s="89">
        <v>69363</v>
      </c>
      <c r="G76" s="89">
        <v>55418</v>
      </c>
    </row>
    <row r="77" spans="1:7">
      <c r="A77" s="90"/>
      <c r="B77" s="90"/>
      <c r="C77" s="91">
        <v>7</v>
      </c>
      <c r="D77" s="90" t="s">
        <v>81</v>
      </c>
      <c r="E77" s="89">
        <v>103733</v>
      </c>
      <c r="F77" s="89">
        <v>119122</v>
      </c>
      <c r="G77" s="89">
        <v>115699</v>
      </c>
    </row>
    <row r="78" spans="1:7">
      <c r="A78" s="90"/>
      <c r="B78" s="90"/>
      <c r="C78" s="91">
        <v>8</v>
      </c>
      <c r="D78" s="90" t="s">
        <v>82</v>
      </c>
      <c r="E78" s="89">
        <v>70812</v>
      </c>
      <c r="F78" s="89">
        <v>73302</v>
      </c>
      <c r="G78" s="89">
        <v>67149</v>
      </c>
    </row>
    <row r="79" spans="1:7">
      <c r="A79" s="90"/>
      <c r="B79" s="90"/>
      <c r="C79" s="91">
        <v>9</v>
      </c>
      <c r="D79" s="90" t="s">
        <v>83</v>
      </c>
      <c r="E79" s="89">
        <v>62703</v>
      </c>
      <c r="F79" s="89">
        <v>88821</v>
      </c>
      <c r="G79" s="89">
        <v>74328</v>
      </c>
    </row>
    <row r="80" spans="1:7">
      <c r="A80" s="91"/>
      <c r="B80" s="90"/>
      <c r="C80" s="91">
        <v>10</v>
      </c>
      <c r="D80" s="90" t="s">
        <v>84</v>
      </c>
      <c r="E80" s="89">
        <v>61572</v>
      </c>
      <c r="F80" s="89">
        <v>69402</v>
      </c>
      <c r="G80" s="89">
        <v>73145</v>
      </c>
    </row>
    <row r="81" spans="1:7">
      <c r="A81" s="172" t="s">
        <v>18</v>
      </c>
      <c r="B81" s="172"/>
      <c r="C81" s="172"/>
      <c r="D81" s="172"/>
      <c r="E81" s="87">
        <f>SUM(E71:E80)</f>
        <v>631101</v>
      </c>
      <c r="F81" s="87">
        <f t="shared" ref="F81:G81" si="7">SUM(F71:F80)</f>
        <v>669566</v>
      </c>
      <c r="G81" s="87">
        <f t="shared" si="7"/>
        <v>640927</v>
      </c>
    </row>
    <row r="82" spans="1:7">
      <c r="A82" s="91">
        <v>9</v>
      </c>
      <c r="B82" s="90" t="s">
        <v>85</v>
      </c>
      <c r="C82" s="91">
        <v>1</v>
      </c>
      <c r="D82" s="90" t="s">
        <v>86</v>
      </c>
      <c r="E82" s="89">
        <v>173282</v>
      </c>
      <c r="F82" s="89">
        <v>161596</v>
      </c>
      <c r="G82" s="89">
        <v>159700</v>
      </c>
    </row>
    <row r="83" spans="1:7">
      <c r="A83" s="90"/>
      <c r="B83" s="90"/>
      <c r="C83" s="91">
        <v>2</v>
      </c>
      <c r="D83" s="90" t="s">
        <v>87</v>
      </c>
      <c r="E83" s="89">
        <v>135107</v>
      </c>
      <c r="F83" s="89">
        <v>108097</v>
      </c>
      <c r="G83" s="89">
        <v>137249</v>
      </c>
    </row>
    <row r="84" spans="1:7">
      <c r="A84" s="90"/>
      <c r="B84" s="90"/>
      <c r="C84" s="91">
        <v>3</v>
      </c>
      <c r="D84" s="90" t="s">
        <v>88</v>
      </c>
      <c r="E84" s="89">
        <v>81611</v>
      </c>
      <c r="F84" s="89">
        <v>71978</v>
      </c>
      <c r="G84" s="89">
        <v>68629</v>
      </c>
    </row>
    <row r="85" spans="1:7">
      <c r="A85" s="90"/>
      <c r="B85" s="90"/>
      <c r="C85" s="91">
        <v>4</v>
      </c>
      <c r="D85" s="90" t="s">
        <v>89</v>
      </c>
      <c r="E85" s="89">
        <v>71045</v>
      </c>
      <c r="F85" s="89">
        <v>66639</v>
      </c>
      <c r="G85" s="89">
        <v>65576</v>
      </c>
    </row>
    <row r="86" spans="1:7">
      <c r="A86" s="90"/>
      <c r="B86" s="90"/>
      <c r="C86" s="91">
        <v>5</v>
      </c>
      <c r="D86" s="90" t="s">
        <v>90</v>
      </c>
      <c r="E86" s="89">
        <v>62921</v>
      </c>
      <c r="F86" s="89">
        <v>76311</v>
      </c>
      <c r="G86" s="89">
        <v>87551</v>
      </c>
    </row>
    <row r="87" spans="1:7">
      <c r="A87" s="90"/>
      <c r="B87" s="90"/>
      <c r="C87" s="91">
        <v>6</v>
      </c>
      <c r="D87" s="90" t="s">
        <v>91</v>
      </c>
      <c r="E87" s="89">
        <v>47658</v>
      </c>
      <c r="F87" s="89">
        <v>55718</v>
      </c>
      <c r="G87" s="89">
        <v>48058</v>
      </c>
    </row>
    <row r="88" spans="1:7">
      <c r="A88" s="90"/>
      <c r="B88" s="90"/>
      <c r="C88" s="91">
        <v>7</v>
      </c>
      <c r="D88" s="90" t="s">
        <v>92</v>
      </c>
      <c r="E88" s="89">
        <v>47512</v>
      </c>
      <c r="F88" s="89">
        <v>56396</v>
      </c>
      <c r="G88" s="89">
        <v>55655</v>
      </c>
    </row>
    <row r="89" spans="1:7">
      <c r="A89" s="90"/>
      <c r="B89" s="90"/>
      <c r="C89" s="91">
        <v>8</v>
      </c>
      <c r="D89" s="90" t="s">
        <v>93</v>
      </c>
      <c r="E89" s="89">
        <v>48352</v>
      </c>
      <c r="F89" s="89">
        <v>48210</v>
      </c>
      <c r="G89" s="89">
        <v>49845</v>
      </c>
    </row>
    <row r="90" spans="1:7">
      <c r="A90" s="90"/>
      <c r="B90" s="90"/>
      <c r="C90" s="91">
        <v>9</v>
      </c>
      <c r="D90" s="90" t="s">
        <v>94</v>
      </c>
      <c r="E90" s="89">
        <v>94903</v>
      </c>
      <c r="F90" s="89">
        <v>91988</v>
      </c>
      <c r="G90" s="89">
        <v>89725</v>
      </c>
    </row>
    <row r="91" spans="1:7">
      <c r="A91" s="90"/>
      <c r="B91" s="90"/>
      <c r="C91" s="91">
        <v>10</v>
      </c>
      <c r="D91" s="90" t="s">
        <v>95</v>
      </c>
      <c r="E91" s="89">
        <v>15801</v>
      </c>
      <c r="F91" s="89">
        <v>18763</v>
      </c>
      <c r="G91" s="89">
        <v>16513</v>
      </c>
    </row>
    <row r="92" spans="1:7">
      <c r="A92" s="172" t="s">
        <v>18</v>
      </c>
      <c r="B92" s="172"/>
      <c r="C92" s="172"/>
      <c r="D92" s="172"/>
      <c r="E92" s="87">
        <f>SUM(E82:E91)</f>
        <v>778192</v>
      </c>
      <c r="F92" s="87">
        <f t="shared" ref="F92:G92" si="8">SUM(F82:F91)</f>
        <v>755696</v>
      </c>
      <c r="G92" s="87">
        <f t="shared" si="8"/>
        <v>778501</v>
      </c>
    </row>
    <row r="93" spans="1:7">
      <c r="A93" s="91">
        <v>10</v>
      </c>
      <c r="B93" s="90" t="s">
        <v>96</v>
      </c>
      <c r="C93" s="91">
        <v>1</v>
      </c>
      <c r="D93" s="90" t="s">
        <v>96</v>
      </c>
      <c r="E93" s="89">
        <v>103051</v>
      </c>
      <c r="F93" s="89">
        <v>105842</v>
      </c>
      <c r="G93" s="89">
        <v>105728</v>
      </c>
    </row>
    <row r="94" spans="1:7">
      <c r="A94" s="90"/>
      <c r="B94" s="90"/>
      <c r="C94" s="91">
        <v>2</v>
      </c>
      <c r="D94" s="90" t="s">
        <v>97</v>
      </c>
      <c r="E94" s="89">
        <v>53396</v>
      </c>
      <c r="F94" s="89">
        <v>61178</v>
      </c>
      <c r="G94" s="89">
        <v>53500</v>
      </c>
    </row>
    <row r="95" spans="1:7">
      <c r="A95" s="90"/>
      <c r="B95" s="90"/>
      <c r="C95" s="91">
        <v>3</v>
      </c>
      <c r="D95" s="90" t="s">
        <v>98</v>
      </c>
      <c r="E95" s="89">
        <v>45662</v>
      </c>
      <c r="F95" s="89">
        <v>47914</v>
      </c>
      <c r="G95" s="89">
        <v>45768</v>
      </c>
    </row>
    <row r="96" spans="1:7">
      <c r="A96" s="90"/>
      <c r="B96" s="90"/>
      <c r="C96" s="91">
        <v>4</v>
      </c>
      <c r="D96" s="90" t="s">
        <v>99</v>
      </c>
      <c r="E96" s="89">
        <v>61117</v>
      </c>
      <c r="F96" s="89">
        <v>62668</v>
      </c>
      <c r="G96" s="89">
        <v>69590</v>
      </c>
    </row>
    <row r="97" spans="1:7">
      <c r="A97" s="90"/>
      <c r="B97" s="90"/>
      <c r="C97" s="91">
        <v>5</v>
      </c>
      <c r="D97" s="90" t="s">
        <v>100</v>
      </c>
      <c r="E97" s="89">
        <v>123005</v>
      </c>
      <c r="F97" s="89">
        <v>139247</v>
      </c>
      <c r="G97" s="89">
        <v>122948</v>
      </c>
    </row>
    <row r="98" spans="1:7">
      <c r="A98" s="172" t="s">
        <v>18</v>
      </c>
      <c r="B98" s="172"/>
      <c r="C98" s="172"/>
      <c r="D98" s="172"/>
      <c r="E98" s="87">
        <f>SUM(E93:E97)</f>
        <v>386231</v>
      </c>
      <c r="F98" s="87">
        <f t="shared" ref="F98:G98" si="9">SUM(F93:F97)</f>
        <v>416849</v>
      </c>
      <c r="G98" s="87">
        <f t="shared" si="9"/>
        <v>397534</v>
      </c>
    </row>
    <row r="99" spans="1:7">
      <c r="A99" s="91">
        <v>11</v>
      </c>
      <c r="B99" s="90" t="s">
        <v>101</v>
      </c>
      <c r="C99" s="91">
        <v>1</v>
      </c>
      <c r="D99" s="90" t="s">
        <v>101</v>
      </c>
      <c r="E99" s="89">
        <v>65454</v>
      </c>
      <c r="F99" s="89">
        <v>85912</v>
      </c>
      <c r="G99" s="89">
        <v>66093</v>
      </c>
    </row>
    <row r="100" spans="1:7">
      <c r="A100" s="90"/>
      <c r="B100" s="90"/>
      <c r="C100" s="91">
        <v>2</v>
      </c>
      <c r="D100" s="90" t="s">
        <v>102</v>
      </c>
      <c r="E100" s="89">
        <v>41207</v>
      </c>
      <c r="F100" s="89">
        <v>58746</v>
      </c>
      <c r="G100" s="89">
        <v>43021</v>
      </c>
    </row>
    <row r="101" spans="1:7">
      <c r="A101" s="90"/>
      <c r="B101" s="90"/>
      <c r="C101" s="91">
        <v>3</v>
      </c>
      <c r="D101" s="90" t="s">
        <v>103</v>
      </c>
      <c r="E101" s="89">
        <v>26740</v>
      </c>
      <c r="F101" s="89">
        <v>26371</v>
      </c>
      <c r="G101" s="89">
        <v>24925</v>
      </c>
    </row>
    <row r="102" spans="1:7">
      <c r="A102" s="90"/>
      <c r="B102" s="90"/>
      <c r="C102" s="91">
        <v>4</v>
      </c>
      <c r="D102" s="90" t="s">
        <v>104</v>
      </c>
      <c r="E102" s="89">
        <v>35870</v>
      </c>
      <c r="F102" s="89">
        <v>39745</v>
      </c>
      <c r="G102" s="89">
        <v>33186</v>
      </c>
    </row>
    <row r="103" spans="1:7">
      <c r="A103" s="90"/>
      <c r="B103" s="90"/>
      <c r="C103" s="91">
        <v>5</v>
      </c>
      <c r="D103" s="90" t="s">
        <v>105</v>
      </c>
      <c r="E103" s="89">
        <v>64094</v>
      </c>
      <c r="F103" s="89">
        <v>80766</v>
      </c>
      <c r="G103" s="89">
        <v>64751</v>
      </c>
    </row>
    <row r="104" spans="1:7">
      <c r="A104" s="90"/>
      <c r="B104" s="90"/>
      <c r="C104" s="91">
        <v>6</v>
      </c>
      <c r="D104" s="90" t="s">
        <v>106</v>
      </c>
      <c r="E104" s="89">
        <v>94420</v>
      </c>
      <c r="F104" s="89">
        <v>105428</v>
      </c>
      <c r="G104" s="89">
        <v>96212</v>
      </c>
    </row>
    <row r="105" spans="1:7">
      <c r="A105" s="90"/>
      <c r="B105" s="90"/>
      <c r="C105" s="91">
        <v>7</v>
      </c>
      <c r="D105" s="90" t="s">
        <v>107</v>
      </c>
      <c r="E105" s="89">
        <v>42892</v>
      </c>
      <c r="F105" s="89">
        <v>45831</v>
      </c>
      <c r="G105" s="89">
        <v>43042</v>
      </c>
    </row>
    <row r="106" spans="1:7">
      <c r="A106" s="90"/>
      <c r="B106" s="90"/>
      <c r="C106" s="91">
        <v>8</v>
      </c>
      <c r="D106" s="90" t="s">
        <v>108</v>
      </c>
      <c r="E106" s="89">
        <v>71593</v>
      </c>
      <c r="F106" s="89">
        <v>67564</v>
      </c>
      <c r="G106" s="89">
        <v>61042</v>
      </c>
    </row>
    <row r="107" spans="1:7">
      <c r="A107" s="90"/>
      <c r="B107" s="90"/>
      <c r="C107" s="91">
        <v>9</v>
      </c>
      <c r="D107" s="90" t="s">
        <v>109</v>
      </c>
      <c r="E107" s="89">
        <v>45395</v>
      </c>
      <c r="F107" s="89">
        <v>49195</v>
      </c>
      <c r="G107" s="89">
        <v>46216</v>
      </c>
    </row>
    <row r="108" spans="1:7">
      <c r="A108" s="90"/>
      <c r="B108" s="90"/>
      <c r="C108" s="91">
        <v>10</v>
      </c>
      <c r="D108" s="90" t="s">
        <v>110</v>
      </c>
      <c r="E108" s="89">
        <v>54709</v>
      </c>
      <c r="F108" s="89">
        <v>60241</v>
      </c>
      <c r="G108" s="89">
        <v>53293</v>
      </c>
    </row>
    <row r="109" spans="1:7">
      <c r="A109" s="90"/>
      <c r="B109" s="90"/>
      <c r="C109" s="91">
        <v>11</v>
      </c>
      <c r="D109" s="90" t="s">
        <v>111</v>
      </c>
      <c r="E109" s="89">
        <v>35328</v>
      </c>
      <c r="F109" s="89">
        <v>34669</v>
      </c>
      <c r="G109" s="89">
        <v>34068</v>
      </c>
    </row>
    <row r="110" spans="1:7">
      <c r="A110" s="172" t="s">
        <v>18</v>
      </c>
      <c r="B110" s="172"/>
      <c r="C110" s="172"/>
      <c r="D110" s="172"/>
      <c r="E110" s="87">
        <f>SUM(E99:E109)</f>
        <v>577702</v>
      </c>
      <c r="F110" s="87">
        <f t="shared" ref="F110:G110" si="10">SUM(F99:F109)</f>
        <v>654468</v>
      </c>
      <c r="G110" s="87">
        <f t="shared" si="10"/>
        <v>565849</v>
      </c>
    </row>
    <row r="111" spans="1:7">
      <c r="A111" s="91">
        <v>12</v>
      </c>
      <c r="B111" s="90" t="s">
        <v>112</v>
      </c>
      <c r="C111" s="91">
        <v>1</v>
      </c>
      <c r="D111" s="90" t="s">
        <v>112</v>
      </c>
      <c r="E111" s="89">
        <v>86140</v>
      </c>
      <c r="F111" s="89">
        <v>77031</v>
      </c>
      <c r="G111" s="89">
        <v>76413</v>
      </c>
    </row>
    <row r="112" spans="1:7">
      <c r="A112" s="90"/>
      <c r="B112" s="90"/>
      <c r="C112" s="91">
        <v>2</v>
      </c>
      <c r="D112" s="90" t="s">
        <v>113</v>
      </c>
      <c r="E112" s="89">
        <v>55230</v>
      </c>
      <c r="F112" s="89">
        <v>52909</v>
      </c>
      <c r="G112" s="89">
        <v>37018</v>
      </c>
    </row>
    <row r="113" spans="1:7">
      <c r="A113" s="90"/>
      <c r="B113" s="90"/>
      <c r="C113" s="91">
        <v>3</v>
      </c>
      <c r="D113" s="90" t="s">
        <v>114</v>
      </c>
      <c r="E113" s="89">
        <v>43275</v>
      </c>
      <c r="F113" s="89">
        <v>41887</v>
      </c>
      <c r="G113" s="89">
        <v>40313</v>
      </c>
    </row>
    <row r="114" spans="1:7">
      <c r="A114" s="90"/>
      <c r="B114" s="90"/>
      <c r="C114" s="91">
        <v>4</v>
      </c>
      <c r="D114" s="90" t="s">
        <v>115</v>
      </c>
      <c r="E114" s="89">
        <v>90206</v>
      </c>
      <c r="F114" s="89">
        <v>86430</v>
      </c>
      <c r="G114" s="89">
        <v>86114</v>
      </c>
    </row>
    <row r="115" spans="1:7">
      <c r="A115" s="90"/>
      <c r="B115" s="90"/>
      <c r="C115" s="91">
        <v>5</v>
      </c>
      <c r="D115" s="90" t="s">
        <v>116</v>
      </c>
      <c r="E115" s="89">
        <v>66415</v>
      </c>
      <c r="F115" s="89">
        <v>63810</v>
      </c>
      <c r="G115" s="89">
        <v>61149</v>
      </c>
    </row>
    <row r="116" spans="1:7">
      <c r="A116" s="90"/>
      <c r="B116" s="90"/>
      <c r="C116" s="91">
        <v>6</v>
      </c>
      <c r="D116" s="90" t="s">
        <v>117</v>
      </c>
      <c r="E116" s="89">
        <v>69768</v>
      </c>
      <c r="F116" s="89">
        <v>67544</v>
      </c>
      <c r="G116" s="89">
        <v>57303</v>
      </c>
    </row>
    <row r="117" spans="1:7">
      <c r="A117" s="172" t="s">
        <v>18</v>
      </c>
      <c r="B117" s="172"/>
      <c r="C117" s="172"/>
      <c r="D117" s="172"/>
      <c r="E117" s="87">
        <f>SUM(E111:E116)</f>
        <v>411034</v>
      </c>
      <c r="F117" s="87">
        <f t="shared" ref="F117:G117" si="11">SUM(F111:F116)</f>
        <v>389611</v>
      </c>
      <c r="G117" s="87">
        <f t="shared" si="11"/>
        <v>358310</v>
      </c>
    </row>
    <row r="118" spans="1:7">
      <c r="A118" s="91">
        <v>13</v>
      </c>
      <c r="B118" s="90" t="s">
        <v>118</v>
      </c>
      <c r="C118" s="91">
        <v>1</v>
      </c>
      <c r="D118" s="90" t="s">
        <v>119</v>
      </c>
      <c r="E118" s="89">
        <v>31898</v>
      </c>
      <c r="F118" s="89">
        <v>34398</v>
      </c>
      <c r="G118" s="89">
        <v>31374</v>
      </c>
    </row>
    <row r="119" spans="1:7">
      <c r="A119" s="90"/>
      <c r="B119" s="90"/>
      <c r="C119" s="91">
        <v>2</v>
      </c>
      <c r="D119" s="90" t="s">
        <v>120</v>
      </c>
      <c r="E119" s="89">
        <v>69172</v>
      </c>
      <c r="F119" s="89">
        <v>77865</v>
      </c>
      <c r="G119" s="89">
        <v>73716</v>
      </c>
    </row>
    <row r="120" spans="1:7">
      <c r="A120" s="90"/>
      <c r="B120" s="90"/>
      <c r="C120" s="91">
        <v>3</v>
      </c>
      <c r="D120" s="90" t="s">
        <v>121</v>
      </c>
      <c r="E120" s="89">
        <v>90042</v>
      </c>
      <c r="F120" s="89">
        <v>112375</v>
      </c>
      <c r="G120" s="89">
        <v>85302</v>
      </c>
    </row>
    <row r="121" spans="1:7">
      <c r="A121" s="90"/>
      <c r="B121" s="90"/>
      <c r="C121" s="91">
        <v>4</v>
      </c>
      <c r="D121" s="90" t="s">
        <v>122</v>
      </c>
      <c r="E121" s="89">
        <v>44024</v>
      </c>
      <c r="F121" s="89">
        <v>49388</v>
      </c>
      <c r="G121" s="89">
        <v>42721</v>
      </c>
    </row>
    <row r="122" spans="1:7">
      <c r="A122" s="172" t="s">
        <v>18</v>
      </c>
      <c r="B122" s="172"/>
      <c r="C122" s="172"/>
      <c r="D122" s="172"/>
      <c r="E122" s="87">
        <f>SUM(E118:E121)</f>
        <v>235136</v>
      </c>
      <c r="F122" s="87">
        <f t="shared" ref="F122:G122" si="12">SUM(F118:F121)</f>
        <v>274026</v>
      </c>
      <c r="G122" s="87">
        <f t="shared" si="12"/>
        <v>233113</v>
      </c>
    </row>
    <row r="123" spans="1:7">
      <c r="A123" s="91">
        <v>14</v>
      </c>
      <c r="B123" s="90" t="s">
        <v>123</v>
      </c>
      <c r="C123" s="91">
        <v>1</v>
      </c>
      <c r="D123" s="90" t="s">
        <v>123</v>
      </c>
      <c r="E123" s="89">
        <v>107145</v>
      </c>
      <c r="F123" s="89">
        <v>116693</v>
      </c>
      <c r="G123" s="89">
        <v>69665</v>
      </c>
    </row>
    <row r="124" spans="1:7">
      <c r="A124" s="90"/>
      <c r="B124" s="90"/>
      <c r="C124" s="91">
        <v>2</v>
      </c>
      <c r="D124" s="90" t="s">
        <v>124</v>
      </c>
      <c r="E124" s="89">
        <v>31298</v>
      </c>
      <c r="F124" s="89">
        <v>37137</v>
      </c>
      <c r="G124" s="89">
        <v>27823</v>
      </c>
    </row>
    <row r="125" spans="1:7">
      <c r="A125" s="90"/>
      <c r="B125" s="90"/>
      <c r="C125" s="91">
        <v>3</v>
      </c>
      <c r="D125" s="90" t="s">
        <v>125</v>
      </c>
      <c r="E125" s="89">
        <v>48701</v>
      </c>
      <c r="F125" s="89">
        <v>49205</v>
      </c>
      <c r="G125" s="89">
        <v>46930</v>
      </c>
    </row>
    <row r="126" spans="1:7">
      <c r="A126" s="172" t="s">
        <v>18</v>
      </c>
      <c r="B126" s="172"/>
      <c r="C126" s="172"/>
      <c r="D126" s="172"/>
      <c r="E126" s="87">
        <f>SUM(E123:E125)</f>
        <v>187144</v>
      </c>
      <c r="F126" s="87">
        <f t="shared" ref="F126:G126" si="13">SUM(F123:F125)</f>
        <v>203035</v>
      </c>
      <c r="G126" s="87">
        <f t="shared" si="13"/>
        <v>144418</v>
      </c>
    </row>
    <row r="127" spans="1:7">
      <c r="A127" s="91">
        <v>15</v>
      </c>
      <c r="B127" s="90" t="s">
        <v>126</v>
      </c>
      <c r="C127" s="91">
        <v>1</v>
      </c>
      <c r="D127" s="90" t="s">
        <v>127</v>
      </c>
      <c r="E127" s="89">
        <v>64809</v>
      </c>
      <c r="F127" s="89">
        <v>59835</v>
      </c>
      <c r="G127" s="89">
        <v>54154</v>
      </c>
    </row>
    <row r="128" spans="1:7">
      <c r="A128" s="90"/>
      <c r="B128" s="90"/>
      <c r="C128" s="91">
        <v>2</v>
      </c>
      <c r="D128" s="90" t="s">
        <v>128</v>
      </c>
      <c r="E128" s="89">
        <v>45845</v>
      </c>
      <c r="F128" s="89">
        <v>45121</v>
      </c>
      <c r="G128" s="89">
        <v>41289</v>
      </c>
    </row>
    <row r="129" spans="1:7">
      <c r="A129" s="90"/>
      <c r="B129" s="90"/>
      <c r="C129" s="91">
        <v>3</v>
      </c>
      <c r="D129" s="90" t="s">
        <v>129</v>
      </c>
      <c r="E129" s="89">
        <v>41768</v>
      </c>
      <c r="F129" s="89">
        <v>46314</v>
      </c>
      <c r="G129" s="89">
        <v>45272</v>
      </c>
    </row>
    <row r="130" spans="1:7">
      <c r="A130" s="90"/>
      <c r="B130" s="90"/>
      <c r="C130" s="91">
        <v>4</v>
      </c>
      <c r="D130" s="90" t="s">
        <v>130</v>
      </c>
      <c r="E130" s="89">
        <v>35605</v>
      </c>
      <c r="F130" s="89">
        <v>37077</v>
      </c>
      <c r="G130" s="89">
        <v>37573</v>
      </c>
    </row>
    <row r="131" spans="1:7">
      <c r="A131" s="90"/>
      <c r="B131" s="90"/>
      <c r="C131" s="91">
        <v>5</v>
      </c>
      <c r="D131" s="90" t="s">
        <v>131</v>
      </c>
      <c r="E131" s="89">
        <v>64570</v>
      </c>
      <c r="F131" s="89">
        <v>62506</v>
      </c>
      <c r="G131" s="89">
        <v>79805</v>
      </c>
    </row>
    <row r="132" spans="1:7">
      <c r="A132" s="90"/>
      <c r="B132" s="90"/>
      <c r="C132" s="91">
        <v>6</v>
      </c>
      <c r="D132" s="90" t="s">
        <v>132</v>
      </c>
      <c r="E132" s="89">
        <v>56552</v>
      </c>
      <c r="F132" s="89">
        <v>53996</v>
      </c>
      <c r="G132" s="89">
        <v>32546</v>
      </c>
    </row>
    <row r="133" spans="1:7">
      <c r="A133" s="90"/>
      <c r="B133" s="90"/>
      <c r="C133" s="91">
        <v>7</v>
      </c>
      <c r="D133" s="90" t="s">
        <v>133</v>
      </c>
      <c r="E133" s="89">
        <v>78454</v>
      </c>
      <c r="F133" s="89">
        <v>76186</v>
      </c>
      <c r="G133" s="89">
        <v>64725</v>
      </c>
    </row>
    <row r="134" spans="1:7">
      <c r="A134" s="90"/>
      <c r="B134" s="90"/>
      <c r="C134" s="91">
        <v>8</v>
      </c>
      <c r="D134" s="90" t="s">
        <v>134</v>
      </c>
      <c r="E134" s="89">
        <v>59618</v>
      </c>
      <c r="F134" s="89">
        <v>62744</v>
      </c>
      <c r="G134" s="89">
        <v>60212</v>
      </c>
    </row>
    <row r="135" spans="1:7">
      <c r="A135" s="90"/>
      <c r="B135" s="90"/>
      <c r="C135" s="91">
        <v>9</v>
      </c>
      <c r="D135" s="90" t="s">
        <v>135</v>
      </c>
      <c r="E135" s="89">
        <v>70180</v>
      </c>
      <c r="F135" s="89">
        <v>71222</v>
      </c>
      <c r="G135" s="89">
        <v>63235</v>
      </c>
    </row>
    <row r="136" spans="1:7">
      <c r="A136" s="172" t="s">
        <v>18</v>
      </c>
      <c r="B136" s="172"/>
      <c r="C136" s="172"/>
      <c r="D136" s="172"/>
      <c r="E136" s="87">
        <f>SUM(E127:E135)</f>
        <v>517401</v>
      </c>
      <c r="F136" s="87">
        <f>SUM(F127:F135)</f>
        <v>515001</v>
      </c>
      <c r="G136" s="87">
        <f>SUM(G127:G135)</f>
        <v>478811</v>
      </c>
    </row>
    <row r="137" spans="1:7">
      <c r="A137" s="91">
        <v>16</v>
      </c>
      <c r="B137" s="90" t="s">
        <v>136</v>
      </c>
      <c r="C137" s="91">
        <v>1</v>
      </c>
      <c r="D137" s="90" t="s">
        <v>137</v>
      </c>
      <c r="E137" s="89">
        <v>41680</v>
      </c>
      <c r="F137" s="89">
        <v>46728</v>
      </c>
      <c r="G137" s="89">
        <v>43075</v>
      </c>
    </row>
    <row r="138" spans="1:7">
      <c r="A138" s="90"/>
      <c r="B138" s="90"/>
      <c r="C138" s="91">
        <v>2</v>
      </c>
      <c r="D138" s="90" t="s">
        <v>138</v>
      </c>
      <c r="E138" s="89">
        <v>42495</v>
      </c>
      <c r="F138" s="89">
        <v>54080</v>
      </c>
      <c r="G138" s="89">
        <v>47082</v>
      </c>
    </row>
    <row r="139" spans="1:7">
      <c r="A139" s="90"/>
      <c r="B139" s="90"/>
      <c r="C139" s="91">
        <v>3</v>
      </c>
      <c r="D139" s="90" t="s">
        <v>139</v>
      </c>
      <c r="E139" s="89">
        <v>40864</v>
      </c>
      <c r="F139" s="89">
        <v>43814</v>
      </c>
      <c r="G139" s="89">
        <v>40140</v>
      </c>
    </row>
    <row r="140" spans="1:7">
      <c r="A140" s="90"/>
      <c r="B140" s="90"/>
      <c r="C140" s="91">
        <v>4</v>
      </c>
      <c r="D140" s="90" t="s">
        <v>140</v>
      </c>
      <c r="E140" s="89">
        <v>70424</v>
      </c>
      <c r="F140" s="89">
        <v>63917</v>
      </c>
      <c r="G140" s="89">
        <v>51335</v>
      </c>
    </row>
    <row r="141" spans="1:7">
      <c r="A141" s="90"/>
      <c r="B141" s="90"/>
      <c r="C141" s="91">
        <v>5</v>
      </c>
      <c r="D141" s="90" t="s">
        <v>141</v>
      </c>
      <c r="E141" s="89">
        <v>66497</v>
      </c>
      <c r="F141" s="89">
        <v>55714</v>
      </c>
      <c r="G141" s="89">
        <v>49213</v>
      </c>
    </row>
    <row r="142" spans="1:7">
      <c r="A142" s="90"/>
      <c r="B142" s="90"/>
      <c r="C142" s="91">
        <v>6</v>
      </c>
      <c r="D142" s="90" t="s">
        <v>142</v>
      </c>
      <c r="E142" s="89">
        <v>57491</v>
      </c>
      <c r="F142" s="89">
        <v>64515</v>
      </c>
      <c r="G142" s="89">
        <v>47763</v>
      </c>
    </row>
    <row r="143" spans="1:7">
      <c r="A143" s="172" t="s">
        <v>18</v>
      </c>
      <c r="B143" s="172"/>
      <c r="C143" s="172"/>
      <c r="D143" s="172"/>
      <c r="E143" s="87">
        <f>SUM(E137:E142)</f>
        <v>319451</v>
      </c>
      <c r="F143" s="87">
        <f t="shared" ref="F143:G143" si="14">SUM(F137:F142)</f>
        <v>328768</v>
      </c>
      <c r="G143" s="87">
        <f t="shared" si="14"/>
        <v>278608</v>
      </c>
    </row>
    <row r="144" spans="1:7">
      <c r="A144" s="91">
        <v>17</v>
      </c>
      <c r="B144" s="90" t="s">
        <v>143</v>
      </c>
      <c r="C144" s="91">
        <v>1</v>
      </c>
      <c r="D144" s="90" t="s">
        <v>144</v>
      </c>
      <c r="E144" s="89">
        <v>50186</v>
      </c>
      <c r="F144" s="89">
        <v>48471</v>
      </c>
      <c r="G144" s="89">
        <v>48985</v>
      </c>
    </row>
    <row r="145" spans="1:7">
      <c r="A145" s="90"/>
      <c r="B145" s="90"/>
      <c r="C145" s="91">
        <v>2</v>
      </c>
      <c r="D145" s="90" t="s">
        <v>145</v>
      </c>
      <c r="E145" s="89">
        <v>61432</v>
      </c>
      <c r="F145" s="89">
        <v>61050</v>
      </c>
      <c r="G145" s="89">
        <v>58272</v>
      </c>
    </row>
    <row r="146" spans="1:7">
      <c r="A146" s="90"/>
      <c r="B146" s="90"/>
      <c r="C146" s="91">
        <v>3</v>
      </c>
      <c r="D146" s="90" t="s">
        <v>146</v>
      </c>
      <c r="E146" s="89">
        <v>56023</v>
      </c>
      <c r="F146" s="89">
        <v>51067</v>
      </c>
      <c r="G146" s="89">
        <v>53528</v>
      </c>
    </row>
    <row r="147" spans="1:7">
      <c r="A147" s="90"/>
      <c r="B147" s="90"/>
      <c r="C147" s="91">
        <v>4</v>
      </c>
      <c r="D147" s="90" t="s">
        <v>147</v>
      </c>
      <c r="E147" s="89">
        <v>32878</v>
      </c>
      <c r="F147" s="89">
        <v>31004</v>
      </c>
      <c r="G147" s="89">
        <v>34126</v>
      </c>
    </row>
    <row r="148" spans="1:7">
      <c r="A148" s="90"/>
      <c r="B148" s="90"/>
      <c r="C148" s="91">
        <v>5</v>
      </c>
      <c r="D148" s="90" t="s">
        <v>143</v>
      </c>
      <c r="E148" s="89">
        <v>74320</v>
      </c>
      <c r="F148" s="89">
        <v>73237</v>
      </c>
      <c r="G148" s="89">
        <v>69429</v>
      </c>
    </row>
    <row r="149" spans="1:7">
      <c r="A149" s="90"/>
      <c r="B149" s="90"/>
      <c r="C149" s="91">
        <v>6</v>
      </c>
      <c r="D149" s="90" t="s">
        <v>148</v>
      </c>
      <c r="E149" s="89">
        <v>31320</v>
      </c>
      <c r="F149" s="89">
        <v>32482</v>
      </c>
      <c r="G149" s="89">
        <v>29516</v>
      </c>
    </row>
    <row r="150" spans="1:7">
      <c r="A150" s="90"/>
      <c r="B150" s="90"/>
      <c r="C150" s="91">
        <v>7</v>
      </c>
      <c r="D150" s="90" t="s">
        <v>149</v>
      </c>
      <c r="E150" s="89">
        <v>76812</v>
      </c>
      <c r="F150" s="89">
        <v>75435</v>
      </c>
      <c r="G150" s="89">
        <v>74501</v>
      </c>
    </row>
    <row r="151" spans="1:7">
      <c r="A151" s="90"/>
      <c r="B151" s="90"/>
      <c r="C151" s="91">
        <v>8</v>
      </c>
      <c r="D151" s="90" t="s">
        <v>150</v>
      </c>
      <c r="E151" s="89">
        <v>94398</v>
      </c>
      <c r="F151" s="89">
        <v>84912</v>
      </c>
      <c r="G151" s="89">
        <v>90581</v>
      </c>
    </row>
    <row r="152" spans="1:7">
      <c r="A152" s="90"/>
      <c r="B152" s="90"/>
      <c r="C152" s="91">
        <v>9</v>
      </c>
      <c r="D152" s="90" t="s">
        <v>151</v>
      </c>
      <c r="E152" s="89">
        <v>42875</v>
      </c>
      <c r="F152" s="89">
        <v>42991</v>
      </c>
      <c r="G152" s="89">
        <v>39120</v>
      </c>
    </row>
    <row r="153" spans="1:7">
      <c r="A153" s="90"/>
      <c r="B153" s="90"/>
      <c r="C153" s="91">
        <v>10</v>
      </c>
      <c r="D153" s="90" t="s">
        <v>152</v>
      </c>
      <c r="E153" s="89">
        <v>26000</v>
      </c>
      <c r="F153" s="89">
        <v>25173</v>
      </c>
      <c r="G153" s="89">
        <v>25259</v>
      </c>
    </row>
    <row r="154" spans="1:7">
      <c r="A154" s="90"/>
      <c r="B154" s="90"/>
      <c r="C154" s="91">
        <v>11</v>
      </c>
      <c r="D154" s="90" t="s">
        <v>153</v>
      </c>
      <c r="E154" s="89">
        <v>51747</v>
      </c>
      <c r="F154" s="89">
        <v>56820</v>
      </c>
      <c r="G154" s="89">
        <v>48503</v>
      </c>
    </row>
    <row r="155" spans="1:7">
      <c r="A155" s="172" t="s">
        <v>18</v>
      </c>
      <c r="B155" s="172"/>
      <c r="C155" s="172"/>
      <c r="D155" s="172"/>
      <c r="E155" s="87">
        <f>SUM(E144:E154)</f>
        <v>597991</v>
      </c>
      <c r="F155" s="87">
        <f t="shared" ref="F155:G155" si="15">SUM(F144:F154)</f>
        <v>582642</v>
      </c>
      <c r="G155" s="87">
        <f t="shared" si="15"/>
        <v>571820</v>
      </c>
    </row>
    <row r="156" spans="1:7">
      <c r="A156" s="91">
        <v>18</v>
      </c>
      <c r="B156" s="90" t="s">
        <v>154</v>
      </c>
      <c r="C156" s="91">
        <v>1</v>
      </c>
      <c r="D156" s="90" t="s">
        <v>154</v>
      </c>
      <c r="E156" s="89">
        <v>35908</v>
      </c>
      <c r="F156" s="89">
        <v>42496</v>
      </c>
      <c r="G156" s="89">
        <v>41352</v>
      </c>
    </row>
    <row r="157" spans="1:7">
      <c r="A157" s="90"/>
      <c r="B157" s="90"/>
      <c r="C157" s="91">
        <v>2</v>
      </c>
      <c r="D157" s="90" t="s">
        <v>155</v>
      </c>
      <c r="E157" s="89">
        <v>46134</v>
      </c>
      <c r="F157" s="89">
        <v>48340</v>
      </c>
      <c r="G157" s="89">
        <v>47206</v>
      </c>
    </row>
    <row r="158" spans="1:7">
      <c r="A158" s="90"/>
      <c r="B158" s="90"/>
      <c r="C158" s="91">
        <v>3</v>
      </c>
      <c r="D158" s="90" t="s">
        <v>156</v>
      </c>
      <c r="E158" s="89">
        <v>32050</v>
      </c>
      <c r="F158" s="89">
        <v>33837</v>
      </c>
      <c r="G158" s="89">
        <v>31588</v>
      </c>
    </row>
    <row r="159" spans="1:7">
      <c r="A159" s="90"/>
      <c r="B159" s="90"/>
      <c r="C159" s="91">
        <v>4</v>
      </c>
      <c r="D159" s="90" t="s">
        <v>157</v>
      </c>
      <c r="E159" s="89">
        <v>33883</v>
      </c>
      <c r="F159" s="89">
        <v>34183</v>
      </c>
      <c r="G159" s="89">
        <v>29830</v>
      </c>
    </row>
    <row r="160" spans="1:7">
      <c r="A160" s="90"/>
      <c r="B160" s="90"/>
      <c r="C160" s="91">
        <v>5</v>
      </c>
      <c r="D160" s="90" t="s">
        <v>158</v>
      </c>
      <c r="E160" s="89">
        <v>56232</v>
      </c>
      <c r="F160" s="89">
        <v>51958</v>
      </c>
      <c r="G160" s="89">
        <v>51890</v>
      </c>
    </row>
    <row r="161" spans="1:7">
      <c r="A161" s="90"/>
      <c r="B161" s="90"/>
      <c r="C161" s="91">
        <v>6</v>
      </c>
      <c r="D161" s="90" t="s">
        <v>159</v>
      </c>
      <c r="E161" s="89">
        <v>38399</v>
      </c>
      <c r="F161" s="89">
        <v>38702</v>
      </c>
      <c r="G161" s="89">
        <v>36070</v>
      </c>
    </row>
    <row r="162" spans="1:7">
      <c r="A162" s="90"/>
      <c r="B162" s="90"/>
      <c r="C162" s="91">
        <v>7</v>
      </c>
      <c r="D162" s="90" t="s">
        <v>160</v>
      </c>
      <c r="E162" s="89">
        <v>42837</v>
      </c>
      <c r="F162" s="89">
        <v>42888</v>
      </c>
      <c r="G162" s="89">
        <v>44804</v>
      </c>
    </row>
    <row r="163" spans="1:7">
      <c r="A163" s="90"/>
      <c r="B163" s="90"/>
      <c r="C163" s="91">
        <v>8</v>
      </c>
      <c r="D163" s="90" t="s">
        <v>161</v>
      </c>
      <c r="E163" s="89">
        <v>102683</v>
      </c>
      <c r="F163" s="89">
        <v>98259</v>
      </c>
      <c r="G163" s="89">
        <v>75768</v>
      </c>
    </row>
    <row r="164" spans="1:7">
      <c r="A164" s="90"/>
      <c r="B164" s="90"/>
      <c r="C164" s="91">
        <v>9</v>
      </c>
      <c r="D164" s="90" t="s">
        <v>162</v>
      </c>
      <c r="E164" s="89">
        <v>105448</v>
      </c>
      <c r="F164" s="89">
        <v>100264</v>
      </c>
      <c r="G164" s="89">
        <v>91256</v>
      </c>
    </row>
    <row r="165" spans="1:7">
      <c r="A165" s="90"/>
      <c r="B165" s="90"/>
      <c r="C165" s="91">
        <v>10</v>
      </c>
      <c r="D165" s="90" t="s">
        <v>163</v>
      </c>
      <c r="E165" s="89">
        <v>39027</v>
      </c>
      <c r="F165" s="89">
        <v>39268</v>
      </c>
      <c r="G165" s="89">
        <v>38408</v>
      </c>
    </row>
    <row r="166" spans="1:7">
      <c r="A166" s="172" t="s">
        <v>18</v>
      </c>
      <c r="B166" s="172"/>
      <c r="C166" s="172"/>
      <c r="D166" s="172"/>
      <c r="E166" s="87">
        <f>SUM(E156:E165)</f>
        <v>532601</v>
      </c>
      <c r="F166" s="87">
        <f t="shared" ref="F166:G166" si="16">SUM(F156:F165)</f>
        <v>530195</v>
      </c>
      <c r="G166" s="87">
        <f t="shared" si="16"/>
        <v>488172</v>
      </c>
    </row>
    <row r="167" spans="1:7">
      <c r="A167" s="91">
        <v>19</v>
      </c>
      <c r="B167" s="90" t="s">
        <v>164</v>
      </c>
      <c r="C167" s="91">
        <v>1</v>
      </c>
      <c r="D167" s="90" t="s">
        <v>164</v>
      </c>
      <c r="E167" s="89">
        <v>59503</v>
      </c>
      <c r="F167" s="89">
        <v>61053</v>
      </c>
      <c r="G167" s="89">
        <v>62343</v>
      </c>
    </row>
    <row r="168" spans="1:7">
      <c r="A168" s="90"/>
      <c r="B168" s="90"/>
      <c r="C168" s="91">
        <v>2</v>
      </c>
      <c r="D168" s="90" t="s">
        <v>165</v>
      </c>
      <c r="E168" s="89">
        <v>76538</v>
      </c>
      <c r="F168" s="89">
        <v>70619</v>
      </c>
      <c r="G168" s="89">
        <v>67591</v>
      </c>
    </row>
    <row r="169" spans="1:7">
      <c r="A169" s="90"/>
      <c r="B169" s="90"/>
      <c r="C169" s="91">
        <v>3</v>
      </c>
      <c r="D169" s="90" t="s">
        <v>166</v>
      </c>
      <c r="E169" s="89">
        <v>42995</v>
      </c>
      <c r="F169" s="89">
        <v>44910</v>
      </c>
      <c r="G169" s="89">
        <v>44541</v>
      </c>
    </row>
    <row r="170" spans="1:7">
      <c r="A170" s="90"/>
      <c r="B170" s="90"/>
      <c r="C170" s="91">
        <v>4</v>
      </c>
      <c r="D170" s="90" t="s">
        <v>167</v>
      </c>
      <c r="E170" s="89">
        <v>28906</v>
      </c>
      <c r="F170" s="89">
        <v>31173</v>
      </c>
      <c r="G170" s="89">
        <v>29319</v>
      </c>
    </row>
    <row r="171" spans="1:7">
      <c r="A171" s="172" t="s">
        <v>18</v>
      </c>
      <c r="B171" s="172"/>
      <c r="C171" s="172"/>
      <c r="D171" s="172"/>
      <c r="E171" s="87">
        <f>SUM(E167:E170)</f>
        <v>207942</v>
      </c>
      <c r="F171" s="87">
        <f t="shared" ref="F171:G171" si="17">SUM(F167:F170)</f>
        <v>207755</v>
      </c>
      <c r="G171" s="87">
        <f t="shared" si="17"/>
        <v>203794</v>
      </c>
    </row>
    <row r="172" spans="1:7">
      <c r="A172" s="91">
        <v>20</v>
      </c>
      <c r="B172" s="90" t="s">
        <v>168</v>
      </c>
      <c r="C172" s="91">
        <v>1</v>
      </c>
      <c r="D172" s="90" t="s">
        <v>169</v>
      </c>
      <c r="E172" s="89">
        <v>52230</v>
      </c>
      <c r="F172" s="89">
        <v>51848</v>
      </c>
      <c r="G172" s="89">
        <v>52567</v>
      </c>
    </row>
    <row r="173" spans="1:7">
      <c r="A173" s="90"/>
      <c r="B173" s="90"/>
      <c r="C173" s="91">
        <v>2</v>
      </c>
      <c r="D173" s="90" t="s">
        <v>170</v>
      </c>
      <c r="E173" s="89">
        <v>29294</v>
      </c>
      <c r="F173" s="89">
        <v>28506</v>
      </c>
      <c r="G173" s="89">
        <v>28457</v>
      </c>
    </row>
    <row r="174" spans="1:7">
      <c r="A174" s="90"/>
      <c r="B174" s="90"/>
      <c r="C174" s="91">
        <v>3</v>
      </c>
      <c r="D174" s="90" t="s">
        <v>171</v>
      </c>
      <c r="E174" s="89">
        <v>34665</v>
      </c>
      <c r="F174" s="89">
        <v>31922</v>
      </c>
      <c r="G174" s="89">
        <v>37496</v>
      </c>
    </row>
    <row r="175" spans="1:7">
      <c r="A175" s="90"/>
      <c r="B175" s="90"/>
      <c r="C175" s="91">
        <v>4</v>
      </c>
      <c r="D175" s="90" t="s">
        <v>168</v>
      </c>
      <c r="E175" s="89">
        <v>56131</v>
      </c>
      <c r="F175" s="89">
        <v>57486</v>
      </c>
      <c r="G175" s="89">
        <v>61255</v>
      </c>
    </row>
    <row r="176" spans="1:7">
      <c r="A176" s="90"/>
      <c r="B176" s="90"/>
      <c r="C176" s="91">
        <v>5</v>
      </c>
      <c r="D176" s="90" t="s">
        <v>172</v>
      </c>
      <c r="E176" s="89">
        <v>46207</v>
      </c>
      <c r="F176" s="89">
        <v>39930</v>
      </c>
      <c r="G176" s="89">
        <v>46275</v>
      </c>
    </row>
    <row r="177" spans="1:7">
      <c r="A177" s="90"/>
      <c r="B177" s="90"/>
      <c r="C177" s="91">
        <v>6</v>
      </c>
      <c r="D177" s="90" t="s">
        <v>173</v>
      </c>
      <c r="E177" s="89">
        <v>76693</v>
      </c>
      <c r="F177" s="89">
        <v>77760</v>
      </c>
      <c r="G177" s="89">
        <v>78676</v>
      </c>
    </row>
    <row r="178" spans="1:7">
      <c r="A178" s="90"/>
      <c r="B178" s="90"/>
      <c r="C178" s="91">
        <v>7</v>
      </c>
      <c r="D178" s="90" t="s">
        <v>174</v>
      </c>
      <c r="E178" s="89">
        <v>67757</v>
      </c>
      <c r="F178" s="89">
        <v>68062</v>
      </c>
      <c r="G178" s="89">
        <v>67157</v>
      </c>
    </row>
    <row r="179" spans="1:7">
      <c r="A179" s="90"/>
      <c r="B179" s="90"/>
      <c r="C179" s="91">
        <v>8</v>
      </c>
      <c r="D179" s="90" t="s">
        <v>175</v>
      </c>
      <c r="E179" s="89">
        <v>28895</v>
      </c>
      <c r="F179" s="89">
        <v>28590</v>
      </c>
      <c r="G179" s="89">
        <v>30060</v>
      </c>
    </row>
    <row r="180" spans="1:7">
      <c r="A180" s="172" t="s">
        <v>18</v>
      </c>
      <c r="B180" s="172"/>
      <c r="C180" s="172"/>
      <c r="D180" s="172"/>
      <c r="E180" s="87">
        <f>SUM(E172:E179)</f>
        <v>391872</v>
      </c>
      <c r="F180" s="87">
        <f t="shared" ref="F180:G180" si="18">SUM(F172:F179)</f>
        <v>384104</v>
      </c>
      <c r="G180" s="87">
        <f t="shared" si="18"/>
        <v>401943</v>
      </c>
    </row>
    <row r="181" spans="1:7">
      <c r="A181" s="91">
        <v>21</v>
      </c>
      <c r="B181" s="90" t="s">
        <v>176</v>
      </c>
      <c r="C181" s="91">
        <v>1</v>
      </c>
      <c r="D181" s="90" t="s">
        <v>177</v>
      </c>
      <c r="E181" s="89">
        <v>58844</v>
      </c>
      <c r="F181" s="89">
        <v>64967</v>
      </c>
      <c r="G181" s="89">
        <v>60433</v>
      </c>
    </row>
    <row r="182" spans="1:7">
      <c r="A182" s="90"/>
      <c r="B182" s="90"/>
      <c r="C182" s="91">
        <v>2</v>
      </c>
      <c r="D182" s="90" t="s">
        <v>178</v>
      </c>
      <c r="E182" s="89">
        <v>37583</v>
      </c>
      <c r="F182" s="89">
        <v>40841</v>
      </c>
      <c r="G182" s="89">
        <v>38155</v>
      </c>
    </row>
    <row r="183" spans="1:7">
      <c r="A183" s="90"/>
      <c r="B183" s="90"/>
      <c r="C183" s="91">
        <v>3</v>
      </c>
      <c r="D183" s="90" t="s">
        <v>179</v>
      </c>
      <c r="E183" s="89">
        <v>55163</v>
      </c>
      <c r="F183" s="89">
        <v>67312</v>
      </c>
      <c r="G183" s="89">
        <v>66291</v>
      </c>
    </row>
    <row r="184" spans="1:7">
      <c r="A184" s="90"/>
      <c r="B184" s="90"/>
      <c r="C184" s="91">
        <v>4</v>
      </c>
      <c r="D184" s="90" t="s">
        <v>176</v>
      </c>
      <c r="E184" s="89">
        <v>40200</v>
      </c>
      <c r="F184" s="89">
        <v>41894</v>
      </c>
      <c r="G184" s="89">
        <v>47254</v>
      </c>
    </row>
    <row r="185" spans="1:7">
      <c r="A185" s="90"/>
      <c r="B185" s="90"/>
      <c r="C185" s="91">
        <v>5</v>
      </c>
      <c r="D185" s="90" t="s">
        <v>180</v>
      </c>
      <c r="E185" s="89">
        <v>53361</v>
      </c>
      <c r="F185" s="89">
        <v>51559</v>
      </c>
      <c r="G185" s="89">
        <v>59293</v>
      </c>
    </row>
    <row r="186" spans="1:7">
      <c r="A186" s="90"/>
      <c r="B186" s="90"/>
      <c r="C186" s="91">
        <v>6</v>
      </c>
      <c r="D186" s="90" t="s">
        <v>181</v>
      </c>
      <c r="E186" s="89">
        <v>59993</v>
      </c>
      <c r="F186" s="89">
        <v>58997</v>
      </c>
      <c r="G186" s="89">
        <v>61846</v>
      </c>
    </row>
    <row r="187" spans="1:7">
      <c r="A187" s="90"/>
      <c r="B187" s="90"/>
      <c r="C187" s="91">
        <v>7</v>
      </c>
      <c r="D187" s="90" t="s">
        <v>182</v>
      </c>
      <c r="E187" s="89">
        <v>32207</v>
      </c>
      <c r="F187" s="89">
        <v>38581</v>
      </c>
      <c r="G187" s="89">
        <v>33643</v>
      </c>
    </row>
    <row r="188" spans="1:7">
      <c r="A188" s="90"/>
      <c r="B188" s="90"/>
      <c r="C188" s="91">
        <v>8</v>
      </c>
      <c r="D188" s="90" t="s">
        <v>183</v>
      </c>
      <c r="E188" s="89">
        <v>48724</v>
      </c>
      <c r="F188" s="89">
        <v>45963</v>
      </c>
      <c r="G188" s="89">
        <v>47326</v>
      </c>
    </row>
    <row r="189" spans="1:7">
      <c r="A189" s="90"/>
      <c r="B189" s="90"/>
      <c r="C189" s="91">
        <v>9</v>
      </c>
      <c r="D189" s="90" t="s">
        <v>184</v>
      </c>
      <c r="E189" s="89">
        <v>19520</v>
      </c>
      <c r="F189" s="89">
        <v>19417</v>
      </c>
      <c r="G189" s="89">
        <v>19016</v>
      </c>
    </row>
    <row r="190" spans="1:7">
      <c r="A190" s="90"/>
      <c r="B190" s="90"/>
      <c r="C190" s="91">
        <v>10</v>
      </c>
      <c r="D190" s="90" t="s">
        <v>185</v>
      </c>
      <c r="E190" s="89">
        <v>24738</v>
      </c>
      <c r="F190" s="89">
        <v>22660</v>
      </c>
      <c r="G190" s="89">
        <v>22434</v>
      </c>
    </row>
    <row r="191" spans="1:7">
      <c r="A191" s="172" t="s">
        <v>18</v>
      </c>
      <c r="B191" s="172"/>
      <c r="C191" s="172"/>
      <c r="D191" s="172"/>
      <c r="E191" s="87">
        <f>SUM(E181:E190)</f>
        <v>430333</v>
      </c>
      <c r="F191" s="87">
        <f t="shared" ref="F191:G191" si="19">SUM(F181:F190)</f>
        <v>452191</v>
      </c>
      <c r="G191" s="87">
        <f t="shared" si="19"/>
        <v>455691</v>
      </c>
    </row>
    <row r="192" spans="1:7">
      <c r="A192" s="91">
        <v>22</v>
      </c>
      <c r="B192" s="90" t="s">
        <v>186</v>
      </c>
      <c r="C192" s="91">
        <v>1</v>
      </c>
      <c r="D192" s="90" t="s">
        <v>187</v>
      </c>
      <c r="E192" s="89">
        <v>54119</v>
      </c>
      <c r="F192" s="89">
        <v>45593</v>
      </c>
      <c r="G192" s="89">
        <v>48659</v>
      </c>
    </row>
    <row r="193" spans="1:7">
      <c r="A193" s="90"/>
      <c r="B193" s="90"/>
      <c r="C193" s="91">
        <v>2</v>
      </c>
      <c r="D193" s="90" t="s">
        <v>188</v>
      </c>
      <c r="E193" s="89">
        <v>32940</v>
      </c>
      <c r="F193" s="89">
        <v>29710</v>
      </c>
      <c r="G193" s="89">
        <v>31079</v>
      </c>
    </row>
    <row r="194" spans="1:7">
      <c r="A194" s="90"/>
      <c r="B194" s="90"/>
      <c r="C194" s="91">
        <v>3</v>
      </c>
      <c r="D194" s="90" t="s">
        <v>189</v>
      </c>
      <c r="E194" s="89">
        <v>51545</v>
      </c>
      <c r="F194" s="89">
        <v>48989</v>
      </c>
      <c r="G194" s="89">
        <v>47394</v>
      </c>
    </row>
    <row r="195" spans="1:7">
      <c r="A195" s="90"/>
      <c r="B195" s="90"/>
      <c r="C195" s="91">
        <v>4</v>
      </c>
      <c r="D195" s="90" t="s">
        <v>190</v>
      </c>
      <c r="E195" s="89">
        <v>36204</v>
      </c>
      <c r="F195" s="89">
        <v>28360</v>
      </c>
      <c r="G195" s="89">
        <v>32986</v>
      </c>
    </row>
    <row r="196" spans="1:7">
      <c r="A196" s="90"/>
      <c r="B196" s="90"/>
      <c r="C196" s="91">
        <v>5</v>
      </c>
      <c r="D196" s="90" t="s">
        <v>191</v>
      </c>
      <c r="E196" s="89">
        <v>38648</v>
      </c>
      <c r="F196" s="89">
        <v>37531</v>
      </c>
      <c r="G196" s="89">
        <v>38196</v>
      </c>
    </row>
    <row r="197" spans="1:7">
      <c r="A197" s="90"/>
      <c r="B197" s="90"/>
      <c r="C197" s="91">
        <v>6</v>
      </c>
      <c r="D197" s="90" t="s">
        <v>192</v>
      </c>
      <c r="E197" s="89">
        <v>35073</v>
      </c>
      <c r="F197" s="89">
        <v>30114</v>
      </c>
      <c r="G197" s="89">
        <v>30820</v>
      </c>
    </row>
    <row r="198" spans="1:7">
      <c r="A198" s="90"/>
      <c r="B198" s="90"/>
      <c r="C198" s="91">
        <v>7</v>
      </c>
      <c r="D198" s="90" t="s">
        <v>193</v>
      </c>
      <c r="E198" s="89">
        <v>8475</v>
      </c>
      <c r="F198" s="89">
        <v>8347</v>
      </c>
      <c r="G198" s="89">
        <v>7915</v>
      </c>
    </row>
    <row r="199" spans="1:7">
      <c r="A199" s="172" t="s">
        <v>18</v>
      </c>
      <c r="B199" s="172"/>
      <c r="C199" s="172"/>
      <c r="D199" s="172"/>
      <c r="E199" s="87">
        <f>SUM(E192:E198)</f>
        <v>257004</v>
      </c>
      <c r="F199" s="87">
        <f t="shared" ref="F199:G199" si="20">SUM(F192:F198)</f>
        <v>228644</v>
      </c>
      <c r="G199" s="87">
        <f t="shared" si="20"/>
        <v>237049</v>
      </c>
    </row>
    <row r="200" spans="1:7">
      <c r="A200" s="90">
        <v>23</v>
      </c>
      <c r="B200" s="90" t="s">
        <v>194</v>
      </c>
      <c r="C200" s="91">
        <v>1</v>
      </c>
      <c r="D200" s="90" t="s">
        <v>195</v>
      </c>
      <c r="E200" s="89">
        <v>15588</v>
      </c>
      <c r="F200" s="89">
        <v>22925</v>
      </c>
      <c r="G200" s="89">
        <v>19407</v>
      </c>
    </row>
    <row r="201" spans="1:7">
      <c r="A201" s="90"/>
      <c r="B201" s="90"/>
      <c r="C201" s="91">
        <v>2</v>
      </c>
      <c r="D201" s="90" t="s">
        <v>196</v>
      </c>
      <c r="E201" s="89">
        <v>28088</v>
      </c>
      <c r="F201" s="89">
        <v>29716</v>
      </c>
      <c r="G201" s="89">
        <v>28118</v>
      </c>
    </row>
    <row r="202" spans="1:7">
      <c r="A202" s="90"/>
      <c r="B202" s="90"/>
      <c r="C202" s="91">
        <v>3</v>
      </c>
      <c r="D202" s="90" t="s">
        <v>197</v>
      </c>
      <c r="E202" s="89">
        <v>38770</v>
      </c>
      <c r="F202" s="89">
        <v>38466</v>
      </c>
      <c r="G202" s="89">
        <v>41346</v>
      </c>
    </row>
    <row r="203" spans="1:7">
      <c r="A203" s="90"/>
      <c r="B203" s="90"/>
      <c r="C203" s="91">
        <v>4</v>
      </c>
      <c r="D203" s="90" t="s">
        <v>198</v>
      </c>
      <c r="E203" s="89">
        <v>54298</v>
      </c>
      <c r="F203" s="89">
        <v>56007</v>
      </c>
      <c r="G203" s="89">
        <v>55568</v>
      </c>
    </row>
    <row r="204" spans="1:7">
      <c r="A204" s="90"/>
      <c r="B204" s="90"/>
      <c r="C204" s="91">
        <v>5</v>
      </c>
      <c r="D204" s="90" t="s">
        <v>199</v>
      </c>
      <c r="E204" s="89">
        <v>28685</v>
      </c>
      <c r="F204" s="89">
        <v>18959</v>
      </c>
      <c r="G204" s="89">
        <v>22283</v>
      </c>
    </row>
    <row r="205" spans="1:7">
      <c r="A205" s="90"/>
      <c r="B205" s="90"/>
      <c r="C205" s="91">
        <v>6</v>
      </c>
      <c r="D205" s="90" t="s">
        <v>200</v>
      </c>
      <c r="E205" s="89">
        <v>17316</v>
      </c>
      <c r="F205" s="89">
        <v>18219</v>
      </c>
      <c r="G205" s="89">
        <v>19823</v>
      </c>
    </row>
    <row r="206" spans="1:7">
      <c r="A206" s="172" t="s">
        <v>18</v>
      </c>
      <c r="B206" s="172"/>
      <c r="C206" s="172"/>
      <c r="D206" s="172"/>
      <c r="E206" s="87">
        <f>SUM(E200:E205)</f>
        <v>182745</v>
      </c>
      <c r="F206" s="87">
        <f t="shared" ref="F206:G206" si="21">SUM(F200:F205)</f>
        <v>184292</v>
      </c>
      <c r="G206" s="87">
        <f t="shared" si="21"/>
        <v>186545</v>
      </c>
    </row>
    <row r="207" spans="1:7">
      <c r="A207" s="91">
        <v>24</v>
      </c>
      <c r="B207" s="90" t="s">
        <v>201</v>
      </c>
      <c r="C207" s="91">
        <v>1</v>
      </c>
      <c r="D207" s="90" t="s">
        <v>202</v>
      </c>
      <c r="E207" s="89">
        <v>33105</v>
      </c>
      <c r="F207" s="89">
        <v>34469</v>
      </c>
      <c r="G207" s="89">
        <v>33866</v>
      </c>
    </row>
    <row r="208" spans="1:7">
      <c r="A208" s="90"/>
      <c r="B208" s="90"/>
      <c r="C208" s="91">
        <v>2</v>
      </c>
      <c r="D208" s="90" t="s">
        <v>203</v>
      </c>
      <c r="E208" s="89">
        <v>68038</v>
      </c>
      <c r="F208" s="89">
        <v>86956</v>
      </c>
      <c r="G208" s="89">
        <v>59192</v>
      </c>
    </row>
    <row r="209" spans="1:7">
      <c r="A209" s="90"/>
      <c r="B209" s="90"/>
      <c r="C209" s="91">
        <v>3</v>
      </c>
      <c r="D209" s="90" t="s">
        <v>204</v>
      </c>
      <c r="E209" s="89">
        <v>47398</v>
      </c>
      <c r="F209" s="89">
        <v>47398</v>
      </c>
      <c r="G209" s="89">
        <v>37830</v>
      </c>
    </row>
    <row r="210" spans="1:7">
      <c r="A210" s="90"/>
      <c r="B210" s="90"/>
      <c r="C210" s="91">
        <v>4</v>
      </c>
      <c r="D210" s="90" t="s">
        <v>205</v>
      </c>
      <c r="E210" s="89">
        <v>62255</v>
      </c>
      <c r="F210" s="89">
        <v>70569</v>
      </c>
      <c r="G210" s="89">
        <v>70075</v>
      </c>
    </row>
    <row r="211" spans="1:7">
      <c r="A211" s="90"/>
      <c r="B211" s="90"/>
      <c r="C211" s="91">
        <v>5</v>
      </c>
      <c r="D211" s="90" t="s">
        <v>206</v>
      </c>
      <c r="E211" s="89">
        <v>39583</v>
      </c>
      <c r="F211" s="89">
        <v>39469</v>
      </c>
      <c r="G211" s="89">
        <v>38494</v>
      </c>
    </row>
    <row r="212" spans="1:7">
      <c r="A212" s="90"/>
      <c r="B212" s="90"/>
      <c r="C212" s="91">
        <v>6</v>
      </c>
      <c r="D212" s="90" t="s">
        <v>207</v>
      </c>
      <c r="E212" s="89">
        <v>51740</v>
      </c>
      <c r="F212" s="89">
        <v>51949</v>
      </c>
      <c r="G212" s="89">
        <v>54466</v>
      </c>
    </row>
    <row r="213" spans="1:7">
      <c r="A213" s="90"/>
      <c r="B213" s="90"/>
      <c r="C213" s="91">
        <v>7</v>
      </c>
      <c r="D213" s="90" t="s">
        <v>208</v>
      </c>
      <c r="E213" s="89">
        <v>30147</v>
      </c>
      <c r="F213" s="89">
        <v>30187</v>
      </c>
      <c r="G213" s="89">
        <v>30490</v>
      </c>
    </row>
    <row r="214" spans="1:7">
      <c r="A214" s="90"/>
      <c r="B214" s="90"/>
      <c r="C214" s="91">
        <v>8</v>
      </c>
      <c r="D214" s="90" t="s">
        <v>209</v>
      </c>
      <c r="E214" s="89">
        <v>18504</v>
      </c>
      <c r="F214" s="89">
        <v>16856</v>
      </c>
      <c r="G214" s="89">
        <v>16251</v>
      </c>
    </row>
    <row r="215" spans="1:7">
      <c r="A215" s="172" t="s">
        <v>18</v>
      </c>
      <c r="B215" s="172"/>
      <c r="C215" s="172"/>
      <c r="D215" s="172"/>
      <c r="E215" s="87">
        <f>SUM(E207:E214)</f>
        <v>350770</v>
      </c>
      <c r="F215" s="87">
        <f t="shared" ref="F215:G215" si="22">SUM(F207:F214)</f>
        <v>377853</v>
      </c>
      <c r="G215" s="87">
        <f t="shared" si="22"/>
        <v>340664</v>
      </c>
    </row>
    <row r="216" spans="1:7">
      <c r="A216" s="91">
        <v>25</v>
      </c>
      <c r="B216" s="90" t="s">
        <v>210</v>
      </c>
      <c r="C216" s="91">
        <v>1</v>
      </c>
      <c r="D216" s="90" t="s">
        <v>211</v>
      </c>
      <c r="E216" s="89">
        <v>43401</v>
      </c>
      <c r="F216" s="89">
        <v>41842</v>
      </c>
      <c r="G216" s="89">
        <v>50520</v>
      </c>
    </row>
    <row r="217" spans="1:7">
      <c r="A217" s="90"/>
      <c r="B217" s="90"/>
      <c r="C217" s="91">
        <v>2</v>
      </c>
      <c r="D217" s="90" t="s">
        <v>210</v>
      </c>
      <c r="E217" s="89">
        <v>50953</v>
      </c>
      <c r="F217" s="89">
        <v>45280</v>
      </c>
      <c r="G217" s="89">
        <v>51578</v>
      </c>
    </row>
    <row r="218" spans="1:7">
      <c r="A218" s="90"/>
      <c r="B218" s="90"/>
      <c r="C218" s="91">
        <v>3</v>
      </c>
      <c r="D218" s="90" t="s">
        <v>212</v>
      </c>
      <c r="E218" s="89">
        <v>39595</v>
      </c>
      <c r="F218" s="89">
        <v>36829</v>
      </c>
      <c r="G218" s="89">
        <v>50849</v>
      </c>
    </row>
    <row r="219" spans="1:7">
      <c r="A219" s="90"/>
      <c r="B219" s="90"/>
      <c r="C219" s="91">
        <v>4</v>
      </c>
      <c r="D219" s="90" t="s">
        <v>213</v>
      </c>
      <c r="E219" s="89">
        <v>54360</v>
      </c>
      <c r="F219" s="89">
        <v>59934</v>
      </c>
      <c r="G219" s="89">
        <v>62603</v>
      </c>
    </row>
    <row r="220" spans="1:7">
      <c r="A220" s="90"/>
      <c r="B220" s="90"/>
      <c r="C220" s="91">
        <v>5</v>
      </c>
      <c r="D220" s="90" t="s">
        <v>214</v>
      </c>
      <c r="E220" s="89">
        <v>43890</v>
      </c>
      <c r="F220" s="89">
        <v>47461</v>
      </c>
      <c r="G220" s="89">
        <v>56104</v>
      </c>
    </row>
    <row r="221" spans="1:7">
      <c r="A221" s="90"/>
      <c r="B221" s="90"/>
      <c r="C221" s="91">
        <v>6</v>
      </c>
      <c r="D221" s="90" t="s">
        <v>215</v>
      </c>
      <c r="E221" s="89">
        <v>50585</v>
      </c>
      <c r="F221" s="89">
        <v>56510</v>
      </c>
      <c r="G221" s="89">
        <v>53057</v>
      </c>
    </row>
    <row r="222" spans="1:7">
      <c r="A222" s="90"/>
      <c r="B222" s="90"/>
      <c r="C222" s="91">
        <v>7</v>
      </c>
      <c r="D222" s="90" t="s">
        <v>216</v>
      </c>
      <c r="E222" s="89">
        <v>21486</v>
      </c>
      <c r="F222" s="89">
        <v>20023</v>
      </c>
      <c r="G222" s="89">
        <v>20576</v>
      </c>
    </row>
    <row r="223" spans="1:7">
      <c r="A223" s="90"/>
      <c r="B223" s="90"/>
      <c r="C223" s="91">
        <v>8</v>
      </c>
      <c r="D223" s="90" t="s">
        <v>217</v>
      </c>
      <c r="E223" s="89">
        <v>20184</v>
      </c>
      <c r="F223" s="89">
        <v>19955</v>
      </c>
      <c r="G223" s="89">
        <v>20960</v>
      </c>
    </row>
    <row r="224" spans="1:7">
      <c r="A224" s="172" t="s">
        <v>18</v>
      </c>
      <c r="B224" s="172"/>
      <c r="C224" s="172"/>
      <c r="D224" s="172"/>
      <c r="E224" s="87">
        <f>SUM(E216:E223)</f>
        <v>324454</v>
      </c>
      <c r="F224" s="87">
        <f t="shared" ref="F224:G224" si="23">SUM(F216:F223)</f>
        <v>327834</v>
      </c>
      <c r="G224" s="87">
        <f t="shared" si="23"/>
        <v>366247</v>
      </c>
    </row>
    <row r="225" spans="1:7">
      <c r="A225" s="91">
        <v>26</v>
      </c>
      <c r="B225" s="90" t="s">
        <v>218</v>
      </c>
      <c r="C225" s="91">
        <v>1</v>
      </c>
      <c r="D225" s="90" t="s">
        <v>219</v>
      </c>
      <c r="E225" s="89">
        <v>40965</v>
      </c>
      <c r="F225" s="89">
        <v>41737</v>
      </c>
      <c r="G225" s="89">
        <v>40435</v>
      </c>
    </row>
    <row r="226" spans="1:7">
      <c r="A226" s="90"/>
      <c r="B226" s="90"/>
      <c r="C226" s="91">
        <v>2</v>
      </c>
      <c r="D226" s="90" t="s">
        <v>220</v>
      </c>
      <c r="E226" s="89">
        <v>54304</v>
      </c>
      <c r="F226" s="89">
        <v>40237</v>
      </c>
      <c r="G226" s="89">
        <v>40045</v>
      </c>
    </row>
    <row r="227" spans="1:7">
      <c r="A227" s="90"/>
      <c r="B227" s="90"/>
      <c r="C227" s="91">
        <v>3</v>
      </c>
      <c r="D227" s="90" t="s">
        <v>221</v>
      </c>
      <c r="E227" s="89">
        <v>39595</v>
      </c>
      <c r="F227" s="89">
        <v>31855</v>
      </c>
      <c r="G227" s="89">
        <v>40916</v>
      </c>
    </row>
    <row r="228" spans="1:7">
      <c r="A228" s="90"/>
      <c r="B228" s="90"/>
      <c r="C228" s="91">
        <v>4</v>
      </c>
      <c r="D228" s="90" t="s">
        <v>222</v>
      </c>
      <c r="E228" s="89">
        <v>41963</v>
      </c>
      <c r="F228" s="89">
        <v>33463</v>
      </c>
      <c r="G228" s="89">
        <v>35128</v>
      </c>
    </row>
    <row r="229" spans="1:7">
      <c r="A229" s="90"/>
      <c r="B229" s="90"/>
      <c r="C229" s="91">
        <v>5</v>
      </c>
      <c r="D229" s="90" t="s">
        <v>223</v>
      </c>
      <c r="E229" s="89">
        <v>46135</v>
      </c>
      <c r="F229" s="89">
        <v>32966</v>
      </c>
      <c r="G229" s="89">
        <v>36075</v>
      </c>
    </row>
    <row r="230" spans="1:7">
      <c r="A230" s="90"/>
      <c r="B230" s="90"/>
      <c r="C230" s="91">
        <v>6</v>
      </c>
      <c r="D230" s="90" t="s">
        <v>224</v>
      </c>
      <c r="E230" s="89">
        <v>34570</v>
      </c>
      <c r="F230" s="89">
        <v>44878</v>
      </c>
      <c r="G230" s="89">
        <v>41452</v>
      </c>
    </row>
    <row r="231" spans="1:7">
      <c r="A231" s="172" t="s">
        <v>18</v>
      </c>
      <c r="B231" s="172"/>
      <c r="C231" s="172"/>
      <c r="D231" s="172"/>
      <c r="E231" s="87">
        <f>SUM(E225:E230)</f>
        <v>257532</v>
      </c>
      <c r="F231" s="87">
        <f t="shared" ref="F231:G231" si="24">SUM(F225:F230)</f>
        <v>225136</v>
      </c>
      <c r="G231" s="87">
        <f t="shared" si="24"/>
        <v>234051</v>
      </c>
    </row>
    <row r="232" spans="1:7">
      <c r="A232" s="91">
        <v>27</v>
      </c>
      <c r="B232" s="90" t="s">
        <v>225</v>
      </c>
      <c r="C232" s="91">
        <v>1</v>
      </c>
      <c r="D232" s="90" t="s">
        <v>226</v>
      </c>
      <c r="E232" s="89">
        <v>20862</v>
      </c>
      <c r="F232" s="89">
        <v>20688</v>
      </c>
      <c r="G232" s="89">
        <v>20458</v>
      </c>
    </row>
    <row r="233" spans="1:7">
      <c r="A233" s="90"/>
      <c r="B233" s="90"/>
      <c r="C233" s="91">
        <v>2</v>
      </c>
      <c r="D233" s="90" t="s">
        <v>227</v>
      </c>
      <c r="E233" s="89">
        <v>34904</v>
      </c>
      <c r="F233" s="89">
        <v>38800</v>
      </c>
      <c r="G233" s="89">
        <v>37345</v>
      </c>
    </row>
    <row r="234" spans="1:7">
      <c r="A234" s="90"/>
      <c r="B234" s="90"/>
      <c r="C234" s="91">
        <v>3</v>
      </c>
      <c r="D234" s="90" t="s">
        <v>228</v>
      </c>
      <c r="E234" s="89">
        <v>30015</v>
      </c>
      <c r="F234" s="89">
        <v>28959</v>
      </c>
      <c r="G234" s="89">
        <v>33225</v>
      </c>
    </row>
    <row r="235" spans="1:7">
      <c r="A235" s="90"/>
      <c r="B235" s="90"/>
      <c r="C235" s="91">
        <v>4</v>
      </c>
      <c r="D235" s="90" t="s">
        <v>229</v>
      </c>
      <c r="E235" s="89">
        <v>19130</v>
      </c>
      <c r="F235" s="89">
        <v>17380</v>
      </c>
      <c r="G235" s="89">
        <v>20392</v>
      </c>
    </row>
    <row r="236" spans="1:7">
      <c r="A236" s="90"/>
      <c r="B236" s="90"/>
      <c r="C236" s="91">
        <v>5</v>
      </c>
      <c r="D236" s="90" t="s">
        <v>230</v>
      </c>
      <c r="E236" s="89">
        <v>22108</v>
      </c>
      <c r="F236" s="89">
        <v>19432</v>
      </c>
      <c r="G236" s="89">
        <v>21747</v>
      </c>
    </row>
    <row r="237" spans="1:7">
      <c r="A237" s="172" t="s">
        <v>18</v>
      </c>
      <c r="B237" s="172"/>
      <c r="C237" s="172"/>
      <c r="D237" s="172"/>
      <c r="E237" s="87">
        <f>SUM(E232:E236)</f>
        <v>127019</v>
      </c>
      <c r="F237" s="87">
        <f t="shared" ref="F237:G237" si="25">SUM(F232:F236)</f>
        <v>125259</v>
      </c>
      <c r="G237" s="87">
        <f t="shared" si="25"/>
        <v>133167</v>
      </c>
    </row>
    <row r="238" spans="1:7">
      <c r="A238" s="91">
        <v>28</v>
      </c>
      <c r="B238" s="90" t="s">
        <v>231</v>
      </c>
      <c r="C238" s="91">
        <v>1</v>
      </c>
      <c r="D238" s="90" t="s">
        <v>232</v>
      </c>
      <c r="E238" s="89">
        <v>61231</v>
      </c>
      <c r="F238" s="89">
        <v>58528</v>
      </c>
      <c r="G238" s="89">
        <v>55998</v>
      </c>
    </row>
    <row r="239" spans="1:7">
      <c r="A239" s="90"/>
      <c r="B239" s="90"/>
      <c r="C239" s="91">
        <v>2</v>
      </c>
      <c r="D239" s="90" t="s">
        <v>233</v>
      </c>
      <c r="E239" s="89">
        <v>37851</v>
      </c>
      <c r="F239" s="89">
        <v>38555</v>
      </c>
      <c r="G239" s="89">
        <v>34620</v>
      </c>
    </row>
    <row r="240" spans="1:7">
      <c r="A240" s="90"/>
      <c r="B240" s="90"/>
      <c r="C240" s="91">
        <v>3</v>
      </c>
      <c r="D240" s="90" t="s">
        <v>234</v>
      </c>
      <c r="E240" s="89">
        <v>38690</v>
      </c>
      <c r="F240" s="89">
        <v>36685</v>
      </c>
      <c r="G240" s="89">
        <v>36703</v>
      </c>
    </row>
    <row r="241" spans="1:7">
      <c r="A241" s="90"/>
      <c r="B241" s="90"/>
      <c r="C241" s="91">
        <v>4</v>
      </c>
      <c r="D241" s="90" t="s">
        <v>231</v>
      </c>
      <c r="E241" s="89">
        <v>45492</v>
      </c>
      <c r="F241" s="89">
        <v>43226</v>
      </c>
      <c r="G241" s="89">
        <v>47343</v>
      </c>
    </row>
    <row r="242" spans="1:7">
      <c r="A242" s="90"/>
      <c r="B242" s="90"/>
      <c r="C242" s="91">
        <v>5</v>
      </c>
      <c r="D242" s="90" t="s">
        <v>235</v>
      </c>
      <c r="E242" s="89">
        <v>35920</v>
      </c>
      <c r="F242" s="89">
        <v>35504</v>
      </c>
      <c r="G242" s="89">
        <v>34446</v>
      </c>
    </row>
    <row r="243" spans="1:7">
      <c r="A243" s="90"/>
      <c r="B243" s="90"/>
      <c r="C243" s="91">
        <v>6</v>
      </c>
      <c r="D243" s="90" t="s">
        <v>236</v>
      </c>
      <c r="E243" s="89">
        <v>30109</v>
      </c>
      <c r="F243" s="89">
        <v>31659</v>
      </c>
      <c r="G243" s="89">
        <v>30200</v>
      </c>
    </row>
    <row r="244" spans="1:7">
      <c r="A244" s="90"/>
      <c r="B244" s="90"/>
      <c r="C244" s="91">
        <v>7</v>
      </c>
      <c r="D244" s="90" t="s">
        <v>237</v>
      </c>
      <c r="E244" s="89">
        <v>27545</v>
      </c>
      <c r="F244" s="89">
        <v>26371</v>
      </c>
      <c r="G244" s="89">
        <v>20891</v>
      </c>
    </row>
    <row r="245" spans="1:7">
      <c r="A245" s="90"/>
      <c r="B245" s="90"/>
      <c r="C245" s="91">
        <v>8</v>
      </c>
      <c r="D245" s="90" t="s">
        <v>238</v>
      </c>
      <c r="E245" s="89">
        <v>24411</v>
      </c>
      <c r="F245" s="89">
        <v>27956</v>
      </c>
      <c r="G245" s="89">
        <v>25655</v>
      </c>
    </row>
    <row r="246" spans="1:7">
      <c r="A246" s="90"/>
      <c r="B246" s="90"/>
      <c r="C246" s="91">
        <v>9</v>
      </c>
      <c r="D246" s="90" t="s">
        <v>239</v>
      </c>
      <c r="E246" s="89">
        <v>19382</v>
      </c>
      <c r="F246" s="89">
        <v>22982</v>
      </c>
      <c r="G246" s="89">
        <v>23408</v>
      </c>
    </row>
    <row r="247" spans="1:7">
      <c r="A247" s="172" t="s">
        <v>18</v>
      </c>
      <c r="B247" s="172"/>
      <c r="C247" s="172"/>
      <c r="D247" s="172"/>
      <c r="E247" s="87">
        <f>SUM(E238:E246)</f>
        <v>320631</v>
      </c>
      <c r="F247" s="87">
        <f t="shared" ref="F247:G247" si="26">SUM(F238:F246)</f>
        <v>321466</v>
      </c>
      <c r="G247" s="87">
        <f t="shared" si="26"/>
        <v>309264</v>
      </c>
    </row>
    <row r="248" spans="1:7">
      <c r="A248" s="91">
        <v>29</v>
      </c>
      <c r="B248" s="90" t="s">
        <v>240</v>
      </c>
      <c r="C248" s="91">
        <v>1</v>
      </c>
      <c r="D248" s="90" t="s">
        <v>241</v>
      </c>
      <c r="E248" s="89">
        <v>40643</v>
      </c>
      <c r="F248" s="89">
        <v>49737</v>
      </c>
      <c r="G248" s="89">
        <v>46203</v>
      </c>
    </row>
    <row r="249" spans="1:7">
      <c r="A249" s="90"/>
      <c r="B249" s="90"/>
      <c r="C249" s="91">
        <v>2</v>
      </c>
      <c r="D249" s="90" t="s">
        <v>242</v>
      </c>
      <c r="E249" s="89">
        <v>35449</v>
      </c>
      <c r="F249" s="89">
        <v>36981</v>
      </c>
      <c r="G249" s="89">
        <v>34590</v>
      </c>
    </row>
    <row r="250" spans="1:7">
      <c r="A250" s="90"/>
      <c r="B250" s="90"/>
      <c r="C250" s="91">
        <v>3</v>
      </c>
      <c r="D250" s="90" t="s">
        <v>243</v>
      </c>
      <c r="E250" s="89">
        <v>21604</v>
      </c>
      <c r="F250" s="89">
        <v>19205</v>
      </c>
      <c r="G250" s="89">
        <v>20163</v>
      </c>
    </row>
    <row r="251" spans="1:7">
      <c r="A251" s="90"/>
      <c r="B251" s="90"/>
      <c r="C251" s="91">
        <v>4</v>
      </c>
      <c r="D251" s="90" t="s">
        <v>244</v>
      </c>
      <c r="E251" s="89">
        <v>56516</v>
      </c>
      <c r="F251" s="89">
        <v>51943</v>
      </c>
      <c r="G251" s="89">
        <v>36551</v>
      </c>
    </row>
    <row r="252" spans="1:7">
      <c r="A252" s="90"/>
      <c r="B252" s="90"/>
      <c r="C252" s="91">
        <v>5</v>
      </c>
      <c r="D252" s="90" t="s">
        <v>245</v>
      </c>
      <c r="E252" s="89">
        <v>33921</v>
      </c>
      <c r="F252" s="89">
        <v>26565</v>
      </c>
      <c r="G252" s="89">
        <v>26443</v>
      </c>
    </row>
    <row r="253" spans="1:7">
      <c r="A253" s="90"/>
      <c r="B253" s="90"/>
      <c r="C253" s="91">
        <v>6</v>
      </c>
      <c r="D253" s="90" t="s">
        <v>246</v>
      </c>
      <c r="E253" s="89">
        <v>7050</v>
      </c>
      <c r="F253" s="89">
        <v>9506</v>
      </c>
      <c r="G253" s="89">
        <v>9503</v>
      </c>
    </row>
    <row r="254" spans="1:7">
      <c r="A254" s="90"/>
      <c r="B254" s="90"/>
      <c r="C254" s="91">
        <v>7</v>
      </c>
      <c r="D254" s="90" t="s">
        <v>247</v>
      </c>
      <c r="E254" s="89">
        <v>15128</v>
      </c>
      <c r="F254" s="89">
        <v>16777</v>
      </c>
      <c r="G254" s="89">
        <v>9842</v>
      </c>
    </row>
    <row r="255" spans="1:7">
      <c r="A255" s="90"/>
      <c r="B255" s="90"/>
      <c r="C255" s="91">
        <v>8</v>
      </c>
      <c r="D255" s="90" t="s">
        <v>248</v>
      </c>
      <c r="E255" s="89">
        <v>20033</v>
      </c>
      <c r="F255" s="89">
        <v>18484</v>
      </c>
      <c r="G255" s="89">
        <v>19343</v>
      </c>
    </row>
    <row r="256" spans="1:7">
      <c r="A256" s="90"/>
      <c r="B256" s="90"/>
      <c r="C256" s="91">
        <v>9</v>
      </c>
      <c r="D256" s="90" t="s">
        <v>249</v>
      </c>
      <c r="E256" s="89">
        <v>34036</v>
      </c>
      <c r="F256" s="89">
        <v>33679</v>
      </c>
      <c r="G256" s="89">
        <v>19304</v>
      </c>
    </row>
    <row r="257" spans="1:7">
      <c r="A257" s="90"/>
      <c r="B257" s="90"/>
      <c r="C257" s="91">
        <v>10</v>
      </c>
      <c r="D257" s="90" t="s">
        <v>250</v>
      </c>
      <c r="E257" s="89">
        <v>29731</v>
      </c>
      <c r="F257" s="89">
        <v>27238</v>
      </c>
      <c r="G257" s="89">
        <v>21520</v>
      </c>
    </row>
    <row r="258" spans="1:7">
      <c r="A258" s="172" t="s">
        <v>18</v>
      </c>
      <c r="B258" s="172"/>
      <c r="C258" s="172"/>
      <c r="D258" s="172"/>
      <c r="E258" s="87">
        <f>SUM(E248:E257)</f>
        <v>294111</v>
      </c>
      <c r="F258" s="87">
        <f t="shared" ref="F258:G258" si="27">SUM(F248:F257)</f>
        <v>290115</v>
      </c>
      <c r="G258" s="87">
        <f t="shared" si="27"/>
        <v>243462</v>
      </c>
    </row>
    <row r="259" spans="1:7">
      <c r="A259" s="91">
        <v>30</v>
      </c>
      <c r="B259" s="90" t="s">
        <v>251</v>
      </c>
      <c r="C259" s="91">
        <v>1</v>
      </c>
      <c r="D259" s="90" t="s">
        <v>252</v>
      </c>
      <c r="E259" s="89">
        <v>32633</v>
      </c>
      <c r="F259" s="89">
        <v>27589</v>
      </c>
      <c r="G259" s="89">
        <v>27463</v>
      </c>
    </row>
    <row r="260" spans="1:7">
      <c r="A260" s="91"/>
      <c r="B260" s="90"/>
      <c r="C260" s="91">
        <v>2</v>
      </c>
      <c r="D260" s="90" t="s">
        <v>253</v>
      </c>
      <c r="E260" s="89">
        <v>29727</v>
      </c>
      <c r="F260" s="89">
        <v>24473</v>
      </c>
      <c r="G260" s="89">
        <v>23982</v>
      </c>
    </row>
    <row r="261" spans="1:7">
      <c r="A261" s="91"/>
      <c r="B261" s="90"/>
      <c r="C261" s="91">
        <v>3</v>
      </c>
      <c r="D261" s="90" t="s">
        <v>254</v>
      </c>
      <c r="E261" s="89">
        <v>31220</v>
      </c>
      <c r="F261" s="89">
        <v>30742</v>
      </c>
      <c r="G261" s="89">
        <v>21014</v>
      </c>
    </row>
    <row r="262" spans="1:7">
      <c r="A262" s="172" t="s">
        <v>18</v>
      </c>
      <c r="B262" s="172"/>
      <c r="C262" s="172"/>
      <c r="D262" s="172"/>
      <c r="E262" s="87">
        <f>SUM(E259:E261)</f>
        <v>93580</v>
      </c>
      <c r="F262" s="87">
        <f t="shared" ref="F262:G262" si="28">SUM(F259:F261)</f>
        <v>82804</v>
      </c>
      <c r="G262" s="87">
        <f t="shared" si="28"/>
        <v>72459</v>
      </c>
    </row>
    <row r="263" spans="1:7">
      <c r="A263" s="91">
        <v>31</v>
      </c>
      <c r="B263" s="90" t="s">
        <v>255</v>
      </c>
      <c r="C263" s="91">
        <v>1</v>
      </c>
      <c r="D263" s="90" t="s">
        <v>255</v>
      </c>
      <c r="E263" s="89">
        <v>21020</v>
      </c>
      <c r="F263" s="89">
        <v>15154</v>
      </c>
      <c r="G263" s="89">
        <v>17930</v>
      </c>
    </row>
    <row r="264" spans="1:7">
      <c r="A264" s="90"/>
      <c r="B264" s="90"/>
      <c r="C264" s="91">
        <v>2</v>
      </c>
      <c r="D264" s="90" t="s">
        <v>256</v>
      </c>
      <c r="E264" s="89">
        <v>28840</v>
      </c>
      <c r="F264" s="89">
        <v>20080</v>
      </c>
      <c r="G264" s="89">
        <v>20587</v>
      </c>
    </row>
    <row r="265" spans="1:7">
      <c r="A265" s="90"/>
      <c r="B265" s="90"/>
      <c r="C265" s="91">
        <v>3</v>
      </c>
      <c r="D265" s="90" t="s">
        <v>257</v>
      </c>
      <c r="E265" s="89">
        <v>14414</v>
      </c>
      <c r="F265" s="89">
        <v>15215</v>
      </c>
      <c r="G265" s="89">
        <v>19305</v>
      </c>
    </row>
    <row r="266" spans="1:7">
      <c r="A266" s="90"/>
      <c r="B266" s="90"/>
      <c r="C266" s="91">
        <v>4</v>
      </c>
      <c r="D266" s="90" t="s">
        <v>258</v>
      </c>
      <c r="E266" s="89">
        <v>22101</v>
      </c>
      <c r="F266" s="89">
        <v>25889</v>
      </c>
      <c r="G266" s="89">
        <v>24954</v>
      </c>
    </row>
    <row r="267" spans="1:7">
      <c r="A267" s="90"/>
      <c r="B267" s="90"/>
      <c r="C267" s="91">
        <v>5</v>
      </c>
      <c r="D267" s="90" t="s">
        <v>259</v>
      </c>
      <c r="E267" s="89">
        <v>34503</v>
      </c>
      <c r="F267" s="89">
        <v>29192</v>
      </c>
      <c r="G267" s="89">
        <v>33052</v>
      </c>
    </row>
    <row r="268" spans="1:7">
      <c r="A268" s="90"/>
      <c r="B268" s="90"/>
      <c r="C268" s="91">
        <v>6</v>
      </c>
      <c r="D268" s="90" t="s">
        <v>260</v>
      </c>
      <c r="E268" s="89">
        <v>11450</v>
      </c>
      <c r="F268" s="89">
        <v>8625</v>
      </c>
      <c r="G268" s="89">
        <v>8793</v>
      </c>
    </row>
    <row r="269" spans="1:7">
      <c r="A269" s="172" t="s">
        <v>18</v>
      </c>
      <c r="B269" s="172"/>
      <c r="C269" s="172"/>
      <c r="D269" s="172"/>
      <c r="E269" s="87">
        <f>SUM(E263:E268)</f>
        <v>132328</v>
      </c>
      <c r="F269" s="87">
        <f t="shared" ref="F269:G269" si="29">SUM(F263:F268)</f>
        <v>114155</v>
      </c>
      <c r="G269" s="87">
        <f t="shared" si="29"/>
        <v>124621</v>
      </c>
    </row>
    <row r="270" spans="1:7">
      <c r="A270" s="91">
        <v>32</v>
      </c>
      <c r="B270" s="90" t="s">
        <v>261</v>
      </c>
      <c r="C270" s="91">
        <v>1</v>
      </c>
      <c r="D270" s="90" t="s">
        <v>261</v>
      </c>
      <c r="E270" s="89">
        <v>41376</v>
      </c>
      <c r="F270" s="89">
        <v>41860</v>
      </c>
      <c r="G270" s="89">
        <v>40277</v>
      </c>
    </row>
    <row r="271" spans="1:7">
      <c r="A271" s="90"/>
      <c r="B271" s="90"/>
      <c r="C271" s="91">
        <v>2</v>
      </c>
      <c r="D271" s="90" t="s">
        <v>262</v>
      </c>
      <c r="E271" s="89">
        <v>31776</v>
      </c>
      <c r="F271" s="89">
        <v>33862</v>
      </c>
      <c r="G271" s="89">
        <v>39676</v>
      </c>
    </row>
    <row r="272" spans="1:7">
      <c r="A272" s="90"/>
      <c r="B272" s="90"/>
      <c r="C272" s="91">
        <v>3</v>
      </c>
      <c r="D272" s="90" t="s">
        <v>263</v>
      </c>
      <c r="E272" s="89">
        <v>33884</v>
      </c>
      <c r="F272" s="89">
        <v>32365</v>
      </c>
      <c r="G272" s="89">
        <v>31354</v>
      </c>
    </row>
    <row r="273" spans="1:7">
      <c r="A273" s="90"/>
      <c r="B273" s="90"/>
      <c r="C273" s="91">
        <v>4</v>
      </c>
      <c r="D273" s="90" t="s">
        <v>264</v>
      </c>
      <c r="E273" s="89">
        <v>38183</v>
      </c>
      <c r="F273" s="89">
        <v>42782</v>
      </c>
      <c r="G273" s="89">
        <v>56287</v>
      </c>
    </row>
    <row r="274" spans="1:7">
      <c r="A274" s="90"/>
      <c r="B274" s="90"/>
      <c r="C274" s="91">
        <v>5</v>
      </c>
      <c r="D274" s="90" t="s">
        <v>265</v>
      </c>
      <c r="E274" s="89">
        <v>25605</v>
      </c>
      <c r="F274" s="89">
        <v>29644</v>
      </c>
      <c r="G274" s="89">
        <v>26199</v>
      </c>
    </row>
    <row r="275" spans="1:7">
      <c r="A275" s="90"/>
      <c r="B275" s="90"/>
      <c r="C275" s="91">
        <v>6</v>
      </c>
      <c r="D275" s="90" t="s">
        <v>266</v>
      </c>
      <c r="E275" s="89">
        <v>8731</v>
      </c>
      <c r="F275" s="89">
        <v>9543</v>
      </c>
      <c r="G275" s="89">
        <v>11029</v>
      </c>
    </row>
    <row r="276" spans="1:7">
      <c r="A276" s="172" t="s">
        <v>18</v>
      </c>
      <c r="B276" s="172"/>
      <c r="C276" s="172"/>
      <c r="D276" s="172"/>
      <c r="E276" s="87">
        <f>SUM(E270:E275)</f>
        <v>179555</v>
      </c>
      <c r="F276" s="87">
        <f t="shared" ref="F276:G276" si="30">SUM(F270:F275)</f>
        <v>190056</v>
      </c>
      <c r="G276" s="87">
        <f t="shared" si="30"/>
        <v>204822</v>
      </c>
    </row>
    <row r="277" spans="1:7">
      <c r="A277" s="90">
        <v>33</v>
      </c>
      <c r="B277" s="90" t="s">
        <v>267</v>
      </c>
      <c r="C277" s="91">
        <v>1</v>
      </c>
      <c r="D277" s="90" t="s">
        <v>268</v>
      </c>
      <c r="E277" s="89">
        <v>24471</v>
      </c>
      <c r="F277" s="89">
        <v>15676</v>
      </c>
      <c r="G277" s="89">
        <v>17868</v>
      </c>
    </row>
    <row r="278" spans="1:7">
      <c r="A278" s="90"/>
      <c r="B278" s="90"/>
      <c r="C278" s="91">
        <v>2</v>
      </c>
      <c r="D278" s="90" t="s">
        <v>269</v>
      </c>
      <c r="E278" s="89">
        <v>21648</v>
      </c>
      <c r="F278" s="89">
        <v>19716</v>
      </c>
      <c r="G278" s="89">
        <v>18113</v>
      </c>
    </row>
    <row r="279" spans="1:7">
      <c r="A279" s="90"/>
      <c r="B279" s="90"/>
      <c r="C279" s="91">
        <v>3</v>
      </c>
      <c r="D279" s="90" t="s">
        <v>270</v>
      </c>
      <c r="E279" s="89">
        <v>48139</v>
      </c>
      <c r="F279" s="89">
        <v>55643</v>
      </c>
      <c r="G279" s="89">
        <v>53865</v>
      </c>
    </row>
    <row r="280" spans="1:7">
      <c r="A280" s="90"/>
      <c r="B280" s="90"/>
      <c r="C280" s="91">
        <v>4</v>
      </c>
      <c r="D280" s="90" t="s">
        <v>271</v>
      </c>
      <c r="E280" s="89">
        <v>65685</v>
      </c>
      <c r="F280" s="89">
        <v>35788</v>
      </c>
      <c r="G280" s="89">
        <v>33050</v>
      </c>
    </row>
    <row r="281" spans="1:7">
      <c r="A281" s="90"/>
      <c r="B281" s="90"/>
      <c r="C281" s="91">
        <v>5</v>
      </c>
      <c r="D281" s="90" t="s">
        <v>272</v>
      </c>
      <c r="E281" s="89">
        <v>20770</v>
      </c>
      <c r="F281" s="89">
        <v>18732</v>
      </c>
      <c r="G281" s="89">
        <v>20710</v>
      </c>
    </row>
    <row r="282" spans="1:7">
      <c r="A282" s="90"/>
      <c r="B282" s="90"/>
      <c r="C282" s="91">
        <v>6</v>
      </c>
      <c r="D282" s="90" t="s">
        <v>273</v>
      </c>
      <c r="E282" s="89">
        <v>0</v>
      </c>
      <c r="F282" s="89">
        <v>19993</v>
      </c>
      <c r="G282" s="89">
        <v>26023</v>
      </c>
    </row>
    <row r="283" spans="1:7">
      <c r="A283" s="90"/>
      <c r="B283" s="90"/>
      <c r="C283" s="91">
        <v>7</v>
      </c>
      <c r="D283" s="90" t="s">
        <v>274</v>
      </c>
      <c r="E283" s="89">
        <v>0</v>
      </c>
      <c r="F283" s="89">
        <v>13785</v>
      </c>
      <c r="G283" s="89">
        <v>15370</v>
      </c>
    </row>
    <row r="284" spans="1:7">
      <c r="A284" s="172" t="s">
        <v>18</v>
      </c>
      <c r="B284" s="172"/>
      <c r="C284" s="172"/>
      <c r="D284" s="172"/>
      <c r="E284" s="87">
        <f>SUM(E277:E283)</f>
        <v>180713</v>
      </c>
      <c r="F284" s="87">
        <f t="shared" ref="F284:G284" si="31">SUM(F277:F283)</f>
        <v>179333</v>
      </c>
      <c r="G284" s="87">
        <f t="shared" si="31"/>
        <v>184999</v>
      </c>
    </row>
    <row r="285" spans="1:7">
      <c r="A285" s="90"/>
      <c r="B285" s="172" t="s">
        <v>275</v>
      </c>
      <c r="C285" s="172"/>
      <c r="D285" s="172"/>
      <c r="E285" s="87">
        <f>E13+E28+E38+E49+E58+E65+E70+E81+E92+E98+E110+E117+E122+E126+E136+E143+E155+E166+E171+E180+E191+E199+E206+E215+E224+E231+E237+E247+E258+E262+E269+E276+E284</f>
        <v>12949432</v>
      </c>
      <c r="F285" s="87">
        <f t="shared" ref="F285:G285" si="32">F13+F28+F38+F49+F58+F65+F70+F81+F92+F98+F110+F117+F122+F126+F136+F143+F155+F166+F171+F180+F191+F199+F206+F215+F224+F231+F237+F247+F258+F262+F269+F276+F284</f>
        <v>13108030</v>
      </c>
      <c r="G285" s="87">
        <f t="shared" si="32"/>
        <v>12233041</v>
      </c>
    </row>
  </sheetData>
  <conditionalFormatting sqref="D1:D1048576">
    <cfRule type="duplicateValues" dxfId="2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M300"/>
  <sheetViews>
    <sheetView view="pageBreakPreview" topLeftCell="C1" zoomScale="90" zoomScaleNormal="85" zoomScalePageLayoutView="70" workbookViewId="0">
      <pane ySplit="4" topLeftCell="A5" activePane="bottomLeft" state="frozen"/>
      <selection pane="bottomLeft" activeCell="K3" sqref="K3:K4"/>
    </sheetView>
  </sheetViews>
  <sheetFormatPr defaultColWidth="8.88671875" defaultRowHeight="13.8"/>
  <cols>
    <col min="1" max="1" width="15.44140625" style="70" customWidth="1"/>
    <col min="2" max="2" width="11.6640625" style="70" customWidth="1"/>
    <col min="3" max="3" width="12.33203125" style="70" customWidth="1"/>
    <col min="4" max="4" width="7.33203125" style="105" customWidth="1"/>
    <col min="5" max="5" width="14" style="70" customWidth="1"/>
    <col min="6" max="9" width="9.88671875" style="70" customWidth="1"/>
    <col min="10" max="10" width="7.109375" style="70" customWidth="1"/>
    <col min="11" max="11" width="4.88671875" style="72" customWidth="1"/>
    <col min="12" max="16384" width="8.88671875" style="70"/>
  </cols>
  <sheetData>
    <row r="1" spans="1:12">
      <c r="A1" s="245" t="s">
        <v>276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</row>
    <row r="2" spans="1:12">
      <c r="A2" s="246" t="s">
        <v>277</v>
      </c>
      <c r="B2" s="246"/>
      <c r="D2" s="106"/>
      <c r="E2" s="104"/>
      <c r="F2" s="104"/>
      <c r="G2" s="104"/>
      <c r="H2" s="104"/>
      <c r="I2" s="126"/>
      <c r="J2" s="126"/>
      <c r="K2" s="126" t="s">
        <v>483</v>
      </c>
    </row>
    <row r="3" spans="1:12">
      <c r="A3" s="247" t="s">
        <v>278</v>
      </c>
      <c r="B3" s="241" t="s">
        <v>279</v>
      </c>
      <c r="C3" s="241" t="s">
        <v>280</v>
      </c>
      <c r="D3" s="241" t="s">
        <v>281</v>
      </c>
      <c r="E3" s="241" t="s">
        <v>282</v>
      </c>
      <c r="F3" s="241" t="s">
        <v>283</v>
      </c>
      <c r="G3" s="241"/>
      <c r="H3" s="241"/>
      <c r="I3" s="241" t="s">
        <v>284</v>
      </c>
      <c r="J3" s="243" t="s">
        <v>285</v>
      </c>
      <c r="K3" s="249" t="s">
        <v>286</v>
      </c>
    </row>
    <row r="4" spans="1:12" ht="13.95" customHeight="1">
      <c r="A4" s="248"/>
      <c r="B4" s="242"/>
      <c r="C4" s="242"/>
      <c r="D4" s="242"/>
      <c r="E4" s="242"/>
      <c r="F4" s="89" t="s">
        <v>287</v>
      </c>
      <c r="G4" s="89" t="s">
        <v>288</v>
      </c>
      <c r="H4" s="89" t="s">
        <v>289</v>
      </c>
      <c r="I4" s="242"/>
      <c r="J4" s="244"/>
      <c r="K4" s="250"/>
    </row>
    <row r="5" spans="1:12">
      <c r="A5" s="107" t="s">
        <v>290</v>
      </c>
      <c r="B5" s="108" t="s">
        <v>291</v>
      </c>
      <c r="C5" s="109" t="s">
        <v>292</v>
      </c>
      <c r="D5" s="110">
        <v>1</v>
      </c>
      <c r="E5" s="90" t="s">
        <v>14</v>
      </c>
      <c r="F5" s="91">
        <v>114126</v>
      </c>
      <c r="G5" s="91">
        <v>106646</v>
      </c>
      <c r="H5" s="91">
        <v>27093</v>
      </c>
      <c r="I5" s="91">
        <f t="shared" ref="I5:I25" si="0">IF(AND(F5="NA",G5="NA",H5="NA"),0,ROUND(AVERAGE(F5:H5),0))</f>
        <v>82622</v>
      </c>
      <c r="J5" s="127">
        <f t="shared" ref="J5:J14" si="1">ROUND(I5*340/I$299,2)</f>
        <v>2.2000000000000002</v>
      </c>
      <c r="K5" s="128">
        <f t="shared" ref="K5:K14" si="2">IF(J5&gt;=2,ROUND(J5,0),IF(J5&gt;1.1,2,""))</f>
        <v>2</v>
      </c>
    </row>
    <row r="6" spans="1:12">
      <c r="A6" s="111"/>
      <c r="B6" s="104"/>
      <c r="C6" s="112"/>
      <c r="D6" s="110">
        <v>2</v>
      </c>
      <c r="E6" s="90" t="s">
        <v>8</v>
      </c>
      <c r="F6" s="91">
        <v>22682</v>
      </c>
      <c r="G6" s="91">
        <v>21032</v>
      </c>
      <c r="H6" s="91">
        <v>21032</v>
      </c>
      <c r="I6" s="91">
        <f t="shared" si="0"/>
        <v>21582</v>
      </c>
      <c r="J6" s="127">
        <f t="shared" si="1"/>
        <v>0.56999999999999995</v>
      </c>
      <c r="K6" s="128" t="str">
        <f t="shared" si="2"/>
        <v/>
      </c>
    </row>
    <row r="7" spans="1:12">
      <c r="A7" s="111"/>
      <c r="B7" s="104"/>
      <c r="C7" s="112"/>
      <c r="D7" s="110"/>
      <c r="E7" s="90" t="s">
        <v>13</v>
      </c>
      <c r="F7" s="91">
        <v>69524</v>
      </c>
      <c r="G7" s="91">
        <v>67528</v>
      </c>
      <c r="H7" s="91">
        <v>55626</v>
      </c>
      <c r="I7" s="91">
        <f t="shared" si="0"/>
        <v>64226</v>
      </c>
      <c r="J7" s="127">
        <f t="shared" si="1"/>
        <v>1.71</v>
      </c>
      <c r="K7" s="128">
        <f t="shared" si="2"/>
        <v>2</v>
      </c>
    </row>
    <row r="8" spans="1:12">
      <c r="A8" s="111"/>
      <c r="B8" s="104"/>
      <c r="C8" s="112"/>
      <c r="D8" s="110">
        <v>3</v>
      </c>
      <c r="E8" s="90" t="s">
        <v>12</v>
      </c>
      <c r="F8" s="91">
        <v>103270</v>
      </c>
      <c r="G8" s="91">
        <v>93569</v>
      </c>
      <c r="H8" s="91">
        <v>78272</v>
      </c>
      <c r="I8" s="91">
        <f t="shared" si="0"/>
        <v>91704</v>
      </c>
      <c r="J8" s="127">
        <f t="shared" si="1"/>
        <v>2.44</v>
      </c>
      <c r="K8" s="128">
        <f t="shared" si="2"/>
        <v>2</v>
      </c>
    </row>
    <row r="9" spans="1:12">
      <c r="A9" s="113"/>
      <c r="C9" s="112"/>
      <c r="D9" s="110">
        <v>4</v>
      </c>
      <c r="E9" s="90" t="s">
        <v>16</v>
      </c>
      <c r="F9" s="91">
        <v>45111</v>
      </c>
      <c r="G9" s="91">
        <v>41931</v>
      </c>
      <c r="H9" s="91">
        <v>21175</v>
      </c>
      <c r="I9" s="91">
        <f t="shared" si="0"/>
        <v>36072</v>
      </c>
      <c r="J9" s="127">
        <f t="shared" si="1"/>
        <v>0.96</v>
      </c>
      <c r="K9" s="128" t="str">
        <f t="shared" si="2"/>
        <v/>
      </c>
    </row>
    <row r="10" spans="1:12">
      <c r="A10" s="113"/>
      <c r="C10" s="112"/>
      <c r="D10" s="110"/>
      <c r="E10" s="90" t="s">
        <v>15</v>
      </c>
      <c r="F10" s="91">
        <v>79264</v>
      </c>
      <c r="G10" s="91">
        <v>72705</v>
      </c>
      <c r="H10" s="91">
        <v>61584</v>
      </c>
      <c r="I10" s="91">
        <f t="shared" si="0"/>
        <v>71184</v>
      </c>
      <c r="J10" s="127">
        <f t="shared" si="1"/>
        <v>1.9</v>
      </c>
      <c r="K10" s="128">
        <f t="shared" si="2"/>
        <v>2</v>
      </c>
    </row>
    <row r="11" spans="1:12">
      <c r="A11" s="113"/>
      <c r="C11" s="112"/>
      <c r="D11" s="110">
        <v>5</v>
      </c>
      <c r="E11" s="90" t="s">
        <v>11</v>
      </c>
      <c r="F11" s="91">
        <v>82467</v>
      </c>
      <c r="G11" s="91">
        <v>78802</v>
      </c>
      <c r="H11" s="91">
        <v>58328</v>
      </c>
      <c r="I11" s="91">
        <f t="shared" si="0"/>
        <v>73199</v>
      </c>
      <c r="J11" s="127">
        <f t="shared" si="1"/>
        <v>1.95</v>
      </c>
      <c r="K11" s="128">
        <f t="shared" si="2"/>
        <v>2</v>
      </c>
    </row>
    <row r="12" spans="1:12">
      <c r="A12" s="113"/>
      <c r="C12" s="112"/>
      <c r="D12" s="110">
        <v>6</v>
      </c>
      <c r="E12" s="90" t="s">
        <v>17</v>
      </c>
      <c r="F12" s="91">
        <v>3192</v>
      </c>
      <c r="G12" s="91">
        <v>4719</v>
      </c>
      <c r="H12" s="91">
        <v>1200</v>
      </c>
      <c r="I12" s="91">
        <f t="shared" si="0"/>
        <v>3037</v>
      </c>
      <c r="J12" s="127">
        <f t="shared" si="1"/>
        <v>0.08</v>
      </c>
      <c r="K12" s="128" t="str">
        <f t="shared" si="2"/>
        <v/>
      </c>
    </row>
    <row r="13" spans="1:12">
      <c r="A13" s="113"/>
      <c r="C13" s="112"/>
      <c r="D13" s="110"/>
      <c r="E13" s="90" t="s">
        <v>10</v>
      </c>
      <c r="F13" s="91">
        <v>111111</v>
      </c>
      <c r="G13" s="91">
        <v>127520</v>
      </c>
      <c r="H13" s="91">
        <v>102044</v>
      </c>
      <c r="I13" s="91">
        <f t="shared" si="0"/>
        <v>113558</v>
      </c>
      <c r="J13" s="127">
        <f t="shared" si="1"/>
        <v>3.03</v>
      </c>
      <c r="K13" s="128">
        <f t="shared" si="2"/>
        <v>3</v>
      </c>
    </row>
    <row r="14" spans="1:12">
      <c r="A14" s="113"/>
      <c r="C14" s="112"/>
      <c r="D14" s="110">
        <v>7</v>
      </c>
      <c r="E14" s="90" t="s">
        <v>9</v>
      </c>
      <c r="F14" s="91">
        <v>174644</v>
      </c>
      <c r="G14" s="91">
        <v>194934</v>
      </c>
      <c r="H14" s="91">
        <v>67656</v>
      </c>
      <c r="I14" s="91">
        <f t="shared" si="0"/>
        <v>145745</v>
      </c>
      <c r="J14" s="127">
        <f t="shared" si="1"/>
        <v>3.88</v>
      </c>
      <c r="K14" s="128">
        <f t="shared" si="2"/>
        <v>4</v>
      </c>
    </row>
    <row r="15" spans="1:12" s="104" customFormat="1">
      <c r="A15" s="111"/>
      <c r="C15" s="114"/>
      <c r="D15" s="115"/>
      <c r="E15" s="116" t="s">
        <v>293</v>
      </c>
      <c r="F15" s="117">
        <f t="shared" ref="F15:G15" si="3">SUM(F5:F14)</f>
        <v>805391</v>
      </c>
      <c r="G15" s="117">
        <f t="shared" si="3"/>
        <v>809386</v>
      </c>
      <c r="H15" s="117">
        <f t="shared" ref="H15:K15" si="4">SUM(H5:H14)</f>
        <v>494010</v>
      </c>
      <c r="I15" s="117">
        <f t="shared" si="4"/>
        <v>702929</v>
      </c>
      <c r="J15" s="129">
        <f t="shared" si="4"/>
        <v>18.72</v>
      </c>
      <c r="K15" s="130">
        <f t="shared" si="4"/>
        <v>17</v>
      </c>
      <c r="L15" s="70"/>
    </row>
    <row r="16" spans="1:12">
      <c r="A16" s="113"/>
      <c r="C16" s="109" t="s">
        <v>291</v>
      </c>
      <c r="D16" s="110">
        <v>1</v>
      </c>
      <c r="E16" s="90" t="s">
        <v>86</v>
      </c>
      <c r="F16" s="91">
        <v>173282</v>
      </c>
      <c r="G16" s="91">
        <v>161596</v>
      </c>
      <c r="H16" s="91">
        <v>159700</v>
      </c>
      <c r="I16" s="91">
        <f t="shared" si="0"/>
        <v>164859</v>
      </c>
      <c r="J16" s="127">
        <f t="shared" ref="J16:J25" si="5">ROUND(I16*340/I$299,2)</f>
        <v>4.3899999999999997</v>
      </c>
      <c r="K16" s="128">
        <v>3</v>
      </c>
    </row>
    <row r="17" spans="1:12">
      <c r="A17" s="113"/>
      <c r="C17" s="112"/>
      <c r="D17" s="110">
        <v>2</v>
      </c>
      <c r="E17" s="90" t="s">
        <v>87</v>
      </c>
      <c r="F17" s="91">
        <v>135107</v>
      </c>
      <c r="G17" s="91">
        <v>108097</v>
      </c>
      <c r="H17" s="91">
        <v>137249</v>
      </c>
      <c r="I17" s="91">
        <f t="shared" si="0"/>
        <v>126818</v>
      </c>
      <c r="J17" s="127">
        <f t="shared" si="5"/>
        <v>3.38</v>
      </c>
      <c r="K17" s="128">
        <f t="shared" ref="K17:K25" si="6">IF(J17&gt;=2,ROUND(J17,0),IF(J17&gt;1.1,2,""))</f>
        <v>3</v>
      </c>
    </row>
    <row r="18" spans="1:12">
      <c r="A18" s="113"/>
      <c r="C18" s="112"/>
      <c r="D18" s="110">
        <v>3</v>
      </c>
      <c r="E18" s="90" t="s">
        <v>88</v>
      </c>
      <c r="F18" s="91">
        <v>81611</v>
      </c>
      <c r="G18" s="91">
        <v>71978</v>
      </c>
      <c r="H18" s="91">
        <v>68629</v>
      </c>
      <c r="I18" s="91">
        <f t="shared" si="0"/>
        <v>74073</v>
      </c>
      <c r="J18" s="127">
        <f t="shared" si="5"/>
        <v>1.97</v>
      </c>
      <c r="K18" s="128">
        <f t="shared" si="6"/>
        <v>2</v>
      </c>
    </row>
    <row r="19" spans="1:12">
      <c r="A19" s="113"/>
      <c r="C19" s="112"/>
      <c r="D19" s="110">
        <v>4</v>
      </c>
      <c r="E19" s="90" t="s">
        <v>89</v>
      </c>
      <c r="F19" s="91">
        <v>71045</v>
      </c>
      <c r="G19" s="91">
        <v>66639</v>
      </c>
      <c r="H19" s="91">
        <v>65576</v>
      </c>
      <c r="I19" s="91">
        <f t="shared" si="0"/>
        <v>67753</v>
      </c>
      <c r="J19" s="127">
        <f t="shared" si="5"/>
        <v>1.8</v>
      </c>
      <c r="K19" s="128">
        <f t="shared" si="6"/>
        <v>2</v>
      </c>
    </row>
    <row r="20" spans="1:12">
      <c r="A20" s="113"/>
      <c r="C20" s="112"/>
      <c r="D20" s="110">
        <v>5</v>
      </c>
      <c r="E20" s="90" t="s">
        <v>94</v>
      </c>
      <c r="F20" s="91">
        <v>94903</v>
      </c>
      <c r="G20" s="91">
        <v>91988</v>
      </c>
      <c r="H20" s="91">
        <v>89725</v>
      </c>
      <c r="I20" s="91">
        <f t="shared" si="0"/>
        <v>92205</v>
      </c>
      <c r="J20" s="127">
        <f t="shared" si="5"/>
        <v>2.46</v>
      </c>
      <c r="K20" s="128">
        <f t="shared" si="6"/>
        <v>2</v>
      </c>
    </row>
    <row r="21" spans="1:12">
      <c r="A21" s="113"/>
      <c r="C21" s="112"/>
      <c r="D21" s="110">
        <v>6</v>
      </c>
      <c r="E21" s="90" t="s">
        <v>90</v>
      </c>
      <c r="F21" s="91">
        <v>62921</v>
      </c>
      <c r="G21" s="91">
        <v>76311</v>
      </c>
      <c r="H21" s="91">
        <v>87551</v>
      </c>
      <c r="I21" s="91">
        <f t="shared" si="0"/>
        <v>75594</v>
      </c>
      <c r="J21" s="127">
        <f t="shared" si="5"/>
        <v>2.0099999999999998</v>
      </c>
      <c r="K21" s="128">
        <f t="shared" si="6"/>
        <v>2</v>
      </c>
    </row>
    <row r="22" spans="1:12">
      <c r="A22" s="113"/>
      <c r="C22" s="112"/>
      <c r="D22" s="110">
        <v>7</v>
      </c>
      <c r="E22" s="90" t="s">
        <v>92</v>
      </c>
      <c r="F22" s="91">
        <v>47512</v>
      </c>
      <c r="G22" s="91">
        <v>56396</v>
      </c>
      <c r="H22" s="91">
        <v>55655</v>
      </c>
      <c r="I22" s="91">
        <f t="shared" si="0"/>
        <v>53188</v>
      </c>
      <c r="J22" s="127">
        <f t="shared" si="5"/>
        <v>1.42</v>
      </c>
      <c r="K22" s="128">
        <f t="shared" si="6"/>
        <v>2</v>
      </c>
    </row>
    <row r="23" spans="1:12">
      <c r="A23" s="113"/>
      <c r="C23" s="112"/>
      <c r="D23" s="110">
        <v>8</v>
      </c>
      <c r="E23" s="90" t="s">
        <v>91</v>
      </c>
      <c r="F23" s="91">
        <v>47658</v>
      </c>
      <c r="G23" s="91">
        <v>55718</v>
      </c>
      <c r="H23" s="91">
        <v>48058</v>
      </c>
      <c r="I23" s="91">
        <f t="shared" si="0"/>
        <v>50478</v>
      </c>
      <c r="J23" s="131">
        <f t="shared" si="5"/>
        <v>1.34</v>
      </c>
      <c r="K23" s="128">
        <f t="shared" si="6"/>
        <v>2</v>
      </c>
    </row>
    <row r="24" spans="1:12">
      <c r="A24" s="113"/>
      <c r="C24" s="112"/>
      <c r="D24" s="110">
        <v>9</v>
      </c>
      <c r="E24" s="90" t="s">
        <v>93</v>
      </c>
      <c r="F24" s="91">
        <v>48352</v>
      </c>
      <c r="G24" s="91">
        <v>48210</v>
      </c>
      <c r="H24" s="91">
        <v>49845</v>
      </c>
      <c r="I24" s="91">
        <f t="shared" si="0"/>
        <v>48802</v>
      </c>
      <c r="J24" s="131">
        <f t="shared" si="5"/>
        <v>1.3</v>
      </c>
      <c r="K24" s="128">
        <f t="shared" si="6"/>
        <v>2</v>
      </c>
    </row>
    <row r="25" spans="1:12">
      <c r="A25" s="113"/>
      <c r="C25" s="112"/>
      <c r="D25" s="110"/>
      <c r="E25" s="90" t="s">
        <v>95</v>
      </c>
      <c r="F25" s="91">
        <v>15801</v>
      </c>
      <c r="G25" s="91">
        <v>18763</v>
      </c>
      <c r="H25" s="91">
        <v>16513</v>
      </c>
      <c r="I25" s="91">
        <f t="shared" si="0"/>
        <v>17026</v>
      </c>
      <c r="J25" s="131">
        <f t="shared" si="5"/>
        <v>0.45</v>
      </c>
      <c r="K25" s="128" t="str">
        <f t="shared" si="6"/>
        <v/>
      </c>
    </row>
    <row r="26" spans="1:12">
      <c r="A26" s="113"/>
      <c r="C26" s="118"/>
      <c r="D26" s="115"/>
      <c r="E26" s="116" t="s">
        <v>293</v>
      </c>
      <c r="F26" s="117">
        <f t="shared" ref="F26:G26" si="7">SUM(F16:F25)</f>
        <v>778192</v>
      </c>
      <c r="G26" s="117">
        <f t="shared" si="7"/>
        <v>755696</v>
      </c>
      <c r="H26" s="117">
        <f t="shared" ref="H26:K26" si="8">SUM(H16:H25)</f>
        <v>778501</v>
      </c>
      <c r="I26" s="117">
        <f t="shared" si="8"/>
        <v>770796</v>
      </c>
      <c r="J26" s="129">
        <f t="shared" si="8"/>
        <v>20.52</v>
      </c>
      <c r="K26" s="130">
        <f t="shared" si="8"/>
        <v>20</v>
      </c>
    </row>
    <row r="27" spans="1:12">
      <c r="A27" s="113"/>
      <c r="B27" s="119"/>
      <c r="C27" s="120"/>
      <c r="D27" s="121"/>
      <c r="E27" s="122" t="s">
        <v>294</v>
      </c>
      <c r="F27" s="123">
        <f t="shared" ref="F27:G27" si="9">SUM(F15,F26)</f>
        <v>1583583</v>
      </c>
      <c r="G27" s="123">
        <f t="shared" si="9"/>
        <v>1565082</v>
      </c>
      <c r="H27" s="123">
        <f t="shared" ref="H27:K27" si="10">SUM(H15,H26)</f>
        <v>1272511</v>
      </c>
      <c r="I27" s="123">
        <f t="shared" si="10"/>
        <v>1473725</v>
      </c>
      <c r="J27" s="132">
        <f t="shared" si="10"/>
        <v>39.239999999999995</v>
      </c>
      <c r="K27" s="133">
        <f t="shared" si="10"/>
        <v>37</v>
      </c>
    </row>
    <row r="28" spans="1:12">
      <c r="A28" s="113"/>
      <c r="B28" s="104" t="s">
        <v>74</v>
      </c>
      <c r="C28" s="109" t="s">
        <v>70</v>
      </c>
      <c r="D28" s="110">
        <v>1</v>
      </c>
      <c r="E28" s="90" t="s">
        <v>72</v>
      </c>
      <c r="F28" s="91">
        <v>56003</v>
      </c>
      <c r="G28" s="91">
        <v>58650</v>
      </c>
      <c r="H28" s="91">
        <v>52556</v>
      </c>
      <c r="I28" s="91">
        <f t="shared" ref="I28:I31" si="11">IF(AND(F28="NA",G28="NA",H28="NA"),0,ROUND(AVERAGE(F28:H28),0))</f>
        <v>55736</v>
      </c>
      <c r="J28" s="127">
        <f>ROUND(I28*340/I$299,2)</f>
        <v>1.48</v>
      </c>
      <c r="K28" s="128">
        <f t="shared" ref="K28:K31" si="12">IF(J28&gt;=2,ROUND(J28,0),IF(J28&gt;1.1,2,""))</f>
        <v>2</v>
      </c>
    </row>
    <row r="29" spans="1:12">
      <c r="A29" s="111"/>
      <c r="B29" s="104"/>
      <c r="C29" s="112"/>
      <c r="D29" s="110">
        <v>2</v>
      </c>
      <c r="E29" s="90" t="s">
        <v>70</v>
      </c>
      <c r="F29" s="91">
        <v>68585</v>
      </c>
      <c r="G29" s="91">
        <v>62003</v>
      </c>
      <c r="H29" s="91">
        <v>64538</v>
      </c>
      <c r="I29" s="91">
        <f t="shared" si="11"/>
        <v>65042</v>
      </c>
      <c r="J29" s="127">
        <f>ROUND(I29*340/I$299,2)</f>
        <v>1.73</v>
      </c>
      <c r="K29" s="128">
        <f t="shared" si="12"/>
        <v>2</v>
      </c>
    </row>
    <row r="30" spans="1:12" s="104" customFormat="1">
      <c r="A30" s="111"/>
      <c r="C30" s="112"/>
      <c r="D30" s="110">
        <v>3</v>
      </c>
      <c r="E30" s="90" t="s">
        <v>73</v>
      </c>
      <c r="F30" s="91">
        <v>62058</v>
      </c>
      <c r="G30" s="91">
        <v>74707</v>
      </c>
      <c r="H30" s="91">
        <v>70195</v>
      </c>
      <c r="I30" s="91">
        <f t="shared" si="11"/>
        <v>68987</v>
      </c>
      <c r="J30" s="127">
        <f>ROUND(I30*340/I$299,2)</f>
        <v>1.84</v>
      </c>
      <c r="K30" s="128">
        <f t="shared" si="12"/>
        <v>2</v>
      </c>
      <c r="L30" s="70"/>
    </row>
    <row r="31" spans="1:12" s="104" customFormat="1">
      <c r="A31" s="113"/>
      <c r="B31" s="70"/>
      <c r="C31" s="112"/>
      <c r="D31" s="110">
        <v>4</v>
      </c>
      <c r="E31" s="90" t="s">
        <v>71</v>
      </c>
      <c r="F31" s="91">
        <v>57524</v>
      </c>
      <c r="G31" s="91">
        <v>53086</v>
      </c>
      <c r="H31" s="91">
        <v>54390</v>
      </c>
      <c r="I31" s="91">
        <f t="shared" si="11"/>
        <v>55000</v>
      </c>
      <c r="J31" s="127">
        <f>ROUND(I31*340/I$299,2)</f>
        <v>1.47</v>
      </c>
      <c r="K31" s="128">
        <f t="shared" si="12"/>
        <v>2</v>
      </c>
      <c r="L31" s="70"/>
    </row>
    <row r="32" spans="1:12">
      <c r="A32" s="113"/>
      <c r="C32" s="124"/>
      <c r="D32" s="115"/>
      <c r="E32" s="116" t="s">
        <v>293</v>
      </c>
      <c r="F32" s="117">
        <f t="shared" ref="F32:G32" si="13">SUM(F28:F31)</f>
        <v>244170</v>
      </c>
      <c r="G32" s="117">
        <f t="shared" si="13"/>
        <v>248446</v>
      </c>
      <c r="H32" s="117">
        <f t="shared" ref="H32:K32" si="14">SUM(H28:H31)</f>
        <v>241679</v>
      </c>
      <c r="I32" s="117">
        <f t="shared" si="14"/>
        <v>244765</v>
      </c>
      <c r="J32" s="129">
        <f t="shared" si="14"/>
        <v>6.52</v>
      </c>
      <c r="K32" s="130">
        <f t="shared" si="14"/>
        <v>8</v>
      </c>
    </row>
    <row r="33" spans="1:12">
      <c r="A33" s="111"/>
      <c r="B33" s="104"/>
      <c r="C33" s="109" t="s">
        <v>74</v>
      </c>
      <c r="D33" s="110">
        <v>1</v>
      </c>
      <c r="E33" s="90" t="s">
        <v>75</v>
      </c>
      <c r="F33" s="91">
        <v>48144</v>
      </c>
      <c r="G33" s="91">
        <v>46951</v>
      </c>
      <c r="H33" s="91">
        <v>51208</v>
      </c>
      <c r="I33" s="91">
        <f t="shared" ref="I33:I41" si="15">IF(AND(F33="NA",G33="NA",H33="NA"),0,ROUND(AVERAGE(F33:H33),0))</f>
        <v>48768</v>
      </c>
      <c r="J33" s="127">
        <f t="shared" ref="J33:J41" si="16">ROUND(I33*340/I$299,2)</f>
        <v>1.3</v>
      </c>
      <c r="K33" s="128">
        <f t="shared" ref="K33:K41" si="17">IF(J33&gt;=2,ROUND(J33,0),IF(J33&gt;1.1,2,""))</f>
        <v>2</v>
      </c>
    </row>
    <row r="34" spans="1:12">
      <c r="A34" s="111"/>
      <c r="B34" s="104"/>
      <c r="C34" s="112"/>
      <c r="D34" s="110"/>
      <c r="E34" s="90" t="s">
        <v>76</v>
      </c>
      <c r="F34" s="91">
        <v>38514</v>
      </c>
      <c r="G34" s="91">
        <v>34672</v>
      </c>
      <c r="H34" s="91">
        <v>35901</v>
      </c>
      <c r="I34" s="91">
        <f t="shared" si="15"/>
        <v>36362</v>
      </c>
      <c r="J34" s="127">
        <f t="shared" si="16"/>
        <v>0.97</v>
      </c>
      <c r="K34" s="128" t="str">
        <f t="shared" si="17"/>
        <v/>
      </c>
    </row>
    <row r="35" spans="1:12">
      <c r="A35" s="111"/>
      <c r="B35" s="104"/>
      <c r="C35" s="112"/>
      <c r="D35" s="110">
        <v>2</v>
      </c>
      <c r="E35" s="90" t="s">
        <v>77</v>
      </c>
      <c r="F35" s="91">
        <v>88033</v>
      </c>
      <c r="G35" s="91">
        <v>83683</v>
      </c>
      <c r="H35" s="91">
        <v>91866</v>
      </c>
      <c r="I35" s="91">
        <f t="shared" si="15"/>
        <v>87861</v>
      </c>
      <c r="J35" s="127">
        <f t="shared" si="16"/>
        <v>2.34</v>
      </c>
      <c r="K35" s="128">
        <f t="shared" si="17"/>
        <v>2</v>
      </c>
    </row>
    <row r="36" spans="1:12">
      <c r="A36" s="111"/>
      <c r="B36" s="104"/>
      <c r="C36" s="112"/>
      <c r="D36" s="110">
        <v>3</v>
      </c>
      <c r="E36" s="90" t="s">
        <v>78</v>
      </c>
      <c r="F36" s="91">
        <v>94770</v>
      </c>
      <c r="G36" s="91">
        <v>84250</v>
      </c>
      <c r="H36" s="91">
        <v>76213</v>
      </c>
      <c r="I36" s="91">
        <f t="shared" si="15"/>
        <v>85078</v>
      </c>
      <c r="J36" s="127">
        <f t="shared" si="16"/>
        <v>2.27</v>
      </c>
      <c r="K36" s="128">
        <f t="shared" si="17"/>
        <v>2</v>
      </c>
    </row>
    <row r="37" spans="1:12" s="104" customFormat="1">
      <c r="A37" s="111"/>
      <c r="C37" s="112"/>
      <c r="D37" s="110">
        <v>4</v>
      </c>
      <c r="E37" s="90" t="s">
        <v>82</v>
      </c>
      <c r="F37" s="91">
        <v>70812</v>
      </c>
      <c r="G37" s="91">
        <v>73302</v>
      </c>
      <c r="H37" s="91">
        <v>67149</v>
      </c>
      <c r="I37" s="91">
        <f t="shared" si="15"/>
        <v>70421</v>
      </c>
      <c r="J37" s="127">
        <f t="shared" si="16"/>
        <v>1.88</v>
      </c>
      <c r="K37" s="128">
        <f t="shared" si="17"/>
        <v>2</v>
      </c>
      <c r="L37" s="70"/>
    </row>
    <row r="38" spans="1:12" s="104" customFormat="1">
      <c r="A38" s="111"/>
      <c r="C38" s="112"/>
      <c r="D38" s="110">
        <v>5</v>
      </c>
      <c r="E38" s="90" t="s">
        <v>80</v>
      </c>
      <c r="F38" s="91">
        <v>62820</v>
      </c>
      <c r="G38" s="91">
        <v>69363</v>
      </c>
      <c r="H38" s="91">
        <v>55418</v>
      </c>
      <c r="I38" s="91">
        <f t="shared" si="15"/>
        <v>62534</v>
      </c>
      <c r="J38" s="127">
        <f t="shared" si="16"/>
        <v>1.67</v>
      </c>
      <c r="K38" s="128">
        <f t="shared" si="17"/>
        <v>2</v>
      </c>
      <c r="L38" s="70"/>
    </row>
    <row r="39" spans="1:12" s="104" customFormat="1">
      <c r="A39" s="111"/>
      <c r="C39" s="112"/>
      <c r="D39" s="110">
        <v>6</v>
      </c>
      <c r="E39" s="90" t="s">
        <v>81</v>
      </c>
      <c r="F39" s="91">
        <v>103733</v>
      </c>
      <c r="G39" s="91">
        <v>119122</v>
      </c>
      <c r="H39" s="91">
        <v>115699</v>
      </c>
      <c r="I39" s="91">
        <f t="shared" si="15"/>
        <v>112851</v>
      </c>
      <c r="J39" s="127">
        <f t="shared" si="16"/>
        <v>3.01</v>
      </c>
      <c r="K39" s="128">
        <v>2</v>
      </c>
      <c r="L39" s="70"/>
    </row>
    <row r="40" spans="1:12" s="104" customFormat="1">
      <c r="A40" s="111"/>
      <c r="C40" s="112"/>
      <c r="D40" s="110">
        <v>7</v>
      </c>
      <c r="E40" s="90" t="s">
        <v>83</v>
      </c>
      <c r="F40" s="91">
        <v>62703</v>
      </c>
      <c r="G40" s="91">
        <v>88821</v>
      </c>
      <c r="H40" s="91">
        <v>74328</v>
      </c>
      <c r="I40" s="91">
        <f t="shared" si="15"/>
        <v>75284</v>
      </c>
      <c r="J40" s="127">
        <f t="shared" si="16"/>
        <v>2.0099999999999998</v>
      </c>
      <c r="K40" s="128">
        <f t="shared" si="17"/>
        <v>2</v>
      </c>
      <c r="L40" s="70"/>
    </row>
    <row r="41" spans="1:12" s="104" customFormat="1">
      <c r="A41" s="111"/>
      <c r="C41" s="112"/>
      <c r="D41" s="110">
        <v>8</v>
      </c>
      <c r="E41" s="90" t="s">
        <v>84</v>
      </c>
      <c r="F41" s="91">
        <v>61572</v>
      </c>
      <c r="G41" s="91">
        <v>69402</v>
      </c>
      <c r="H41" s="91">
        <v>73145</v>
      </c>
      <c r="I41" s="91">
        <f t="shared" si="15"/>
        <v>68040</v>
      </c>
      <c r="J41" s="127">
        <f t="shared" si="16"/>
        <v>1.81</v>
      </c>
      <c r="K41" s="128">
        <f t="shared" si="17"/>
        <v>2</v>
      </c>
      <c r="L41" s="70"/>
    </row>
    <row r="42" spans="1:12">
      <c r="A42" s="113"/>
      <c r="C42" s="124"/>
      <c r="D42" s="115"/>
      <c r="E42" s="116" t="s">
        <v>293</v>
      </c>
      <c r="F42" s="117">
        <f t="shared" ref="F42:G42" si="18">SUM(F33:F41)</f>
        <v>631101</v>
      </c>
      <c r="G42" s="117">
        <f t="shared" si="18"/>
        <v>669566</v>
      </c>
      <c r="H42" s="117">
        <f t="shared" ref="H42:K42" si="19">SUM(H33:H41)</f>
        <v>640927</v>
      </c>
      <c r="I42" s="117">
        <f t="shared" si="19"/>
        <v>647199</v>
      </c>
      <c r="J42" s="129">
        <f t="shared" si="19"/>
        <v>17.259999999999998</v>
      </c>
      <c r="K42" s="130">
        <f t="shared" si="19"/>
        <v>16</v>
      </c>
    </row>
    <row r="43" spans="1:12">
      <c r="A43" s="113"/>
      <c r="B43" s="119"/>
      <c r="C43" s="120"/>
      <c r="D43" s="121"/>
      <c r="E43" s="122" t="s">
        <v>294</v>
      </c>
      <c r="F43" s="123">
        <f t="shared" ref="F43:G43" si="20">SUM(F32,F42)</f>
        <v>875271</v>
      </c>
      <c r="G43" s="123">
        <f t="shared" si="20"/>
        <v>918012</v>
      </c>
      <c r="H43" s="123">
        <f t="shared" ref="H43:K43" si="21">SUM(H32,H42)</f>
        <v>882606</v>
      </c>
      <c r="I43" s="123">
        <f t="shared" si="21"/>
        <v>891964</v>
      </c>
      <c r="J43" s="132">
        <f t="shared" si="21"/>
        <v>23.779999999999998</v>
      </c>
      <c r="K43" s="133">
        <f t="shared" si="21"/>
        <v>24</v>
      </c>
    </row>
    <row r="44" spans="1:12">
      <c r="A44" s="113"/>
      <c r="B44" s="104" t="s">
        <v>101</v>
      </c>
      <c r="C44" s="109" t="s">
        <v>101</v>
      </c>
      <c r="D44" s="110">
        <v>1</v>
      </c>
      <c r="E44" s="90" t="s">
        <v>101</v>
      </c>
      <c r="F44" s="91">
        <v>65454</v>
      </c>
      <c r="G44" s="91">
        <v>85912</v>
      </c>
      <c r="H44" s="91">
        <v>66093</v>
      </c>
      <c r="I44" s="91">
        <f t="shared" ref="I44:I54" si="22">IF(AND(F44="NA",G44="NA",H44="NA"),0,ROUND(AVERAGE(F44:H44),0))</f>
        <v>72486</v>
      </c>
      <c r="J44" s="127">
        <f t="shared" ref="J44:J54" si="23">ROUND(I44*340/I$299,2)</f>
        <v>1.93</v>
      </c>
      <c r="K44" s="128">
        <f t="shared" ref="K44:K54" si="24">IF(J44&gt;=2,ROUND(J44,0),IF(J44&gt;1.1,2,""))</f>
        <v>2</v>
      </c>
    </row>
    <row r="45" spans="1:12">
      <c r="A45" s="113"/>
      <c r="C45" s="112"/>
      <c r="D45" s="110">
        <v>2</v>
      </c>
      <c r="E45" s="90" t="s">
        <v>102</v>
      </c>
      <c r="F45" s="91">
        <v>41207</v>
      </c>
      <c r="G45" s="91">
        <v>58746</v>
      </c>
      <c r="H45" s="91">
        <v>43021</v>
      </c>
      <c r="I45" s="91">
        <f t="shared" si="22"/>
        <v>47658</v>
      </c>
      <c r="J45" s="127">
        <f t="shared" si="23"/>
        <v>1.27</v>
      </c>
      <c r="K45" s="128">
        <f t="shared" si="24"/>
        <v>2</v>
      </c>
    </row>
    <row r="46" spans="1:12">
      <c r="A46" s="113"/>
      <c r="C46" s="112"/>
      <c r="D46" s="110"/>
      <c r="E46" s="90" t="s">
        <v>103</v>
      </c>
      <c r="F46" s="91">
        <v>26740</v>
      </c>
      <c r="G46" s="91">
        <v>26371</v>
      </c>
      <c r="H46" s="91">
        <v>24925</v>
      </c>
      <c r="I46" s="91">
        <f t="shared" si="22"/>
        <v>26012</v>
      </c>
      <c r="J46" s="127">
        <f t="shared" si="23"/>
        <v>0.69</v>
      </c>
      <c r="K46" s="128" t="str">
        <f t="shared" si="24"/>
        <v/>
      </c>
    </row>
    <row r="47" spans="1:12">
      <c r="A47" s="113"/>
      <c r="C47" s="112"/>
      <c r="D47" s="110">
        <v>3</v>
      </c>
      <c r="E47" s="90" t="s">
        <v>104</v>
      </c>
      <c r="F47" s="91">
        <v>35870</v>
      </c>
      <c r="G47" s="91">
        <v>39745</v>
      </c>
      <c r="H47" s="91">
        <v>33186</v>
      </c>
      <c r="I47" s="91">
        <f t="shared" si="22"/>
        <v>36267</v>
      </c>
      <c r="J47" s="127">
        <f t="shared" si="23"/>
        <v>0.97</v>
      </c>
      <c r="K47" s="128" t="str">
        <f t="shared" si="24"/>
        <v/>
      </c>
    </row>
    <row r="48" spans="1:12">
      <c r="A48" s="113"/>
      <c r="C48" s="112"/>
      <c r="D48" s="110"/>
      <c r="E48" s="90" t="s">
        <v>105</v>
      </c>
      <c r="F48" s="91">
        <v>64094</v>
      </c>
      <c r="G48" s="91">
        <v>80766</v>
      </c>
      <c r="H48" s="91">
        <v>64751</v>
      </c>
      <c r="I48" s="91">
        <f t="shared" si="22"/>
        <v>69870</v>
      </c>
      <c r="J48" s="127">
        <f t="shared" si="23"/>
        <v>1.86</v>
      </c>
      <c r="K48" s="128">
        <f t="shared" si="24"/>
        <v>2</v>
      </c>
    </row>
    <row r="49" spans="1:11">
      <c r="A49" s="113"/>
      <c r="C49" s="112"/>
      <c r="D49" s="110">
        <v>4</v>
      </c>
      <c r="E49" s="90" t="s">
        <v>106</v>
      </c>
      <c r="F49" s="91">
        <v>94420</v>
      </c>
      <c r="G49" s="91">
        <v>105428</v>
      </c>
      <c r="H49" s="91">
        <v>96212</v>
      </c>
      <c r="I49" s="91">
        <f t="shared" si="22"/>
        <v>98687</v>
      </c>
      <c r="J49" s="127">
        <f t="shared" si="23"/>
        <v>2.63</v>
      </c>
      <c r="K49" s="128">
        <v>2</v>
      </c>
    </row>
    <row r="50" spans="1:11">
      <c r="A50" s="113"/>
      <c r="C50" s="112"/>
      <c r="D50" s="110">
        <v>5</v>
      </c>
      <c r="E50" s="90" t="s">
        <v>110</v>
      </c>
      <c r="F50" s="91">
        <v>54709</v>
      </c>
      <c r="G50" s="91">
        <v>60241</v>
      </c>
      <c r="H50" s="91">
        <v>53293</v>
      </c>
      <c r="I50" s="91">
        <f t="shared" si="22"/>
        <v>56081</v>
      </c>
      <c r="J50" s="127">
        <f t="shared" si="23"/>
        <v>1.49</v>
      </c>
      <c r="K50" s="128">
        <f t="shared" si="24"/>
        <v>2</v>
      </c>
    </row>
    <row r="51" spans="1:11">
      <c r="A51" s="113"/>
      <c r="C51" s="112"/>
      <c r="D51" s="110">
        <v>6</v>
      </c>
      <c r="E51" s="90" t="s">
        <v>109</v>
      </c>
      <c r="F51" s="91">
        <v>45395</v>
      </c>
      <c r="G51" s="91">
        <v>49195</v>
      </c>
      <c r="H51" s="91">
        <v>46216</v>
      </c>
      <c r="I51" s="91">
        <f t="shared" si="22"/>
        <v>46935</v>
      </c>
      <c r="J51" s="127">
        <f t="shared" si="23"/>
        <v>1.25</v>
      </c>
      <c r="K51" s="128">
        <f t="shared" si="24"/>
        <v>2</v>
      </c>
    </row>
    <row r="52" spans="1:11">
      <c r="A52" s="113"/>
      <c r="C52" s="112"/>
      <c r="D52" s="110">
        <v>7</v>
      </c>
      <c r="E52" s="90" t="s">
        <v>107</v>
      </c>
      <c r="F52" s="91">
        <v>42892</v>
      </c>
      <c r="G52" s="91">
        <v>45831</v>
      </c>
      <c r="H52" s="91">
        <v>43042</v>
      </c>
      <c r="I52" s="91">
        <f t="shared" si="22"/>
        <v>43922</v>
      </c>
      <c r="J52" s="127">
        <f t="shared" si="23"/>
        <v>1.17</v>
      </c>
      <c r="K52" s="128">
        <f t="shared" si="24"/>
        <v>2</v>
      </c>
    </row>
    <row r="53" spans="1:11">
      <c r="A53" s="113"/>
      <c r="C53" s="112"/>
      <c r="D53" s="110"/>
      <c r="E53" s="90" t="s">
        <v>111</v>
      </c>
      <c r="F53" s="91">
        <v>35328</v>
      </c>
      <c r="G53" s="91">
        <v>34669</v>
      </c>
      <c r="H53" s="91">
        <v>34068</v>
      </c>
      <c r="I53" s="91">
        <f t="shared" si="22"/>
        <v>34688</v>
      </c>
      <c r="J53" s="127">
        <f t="shared" si="23"/>
        <v>0.92</v>
      </c>
      <c r="K53" s="128" t="str">
        <f t="shared" si="24"/>
        <v/>
      </c>
    </row>
    <row r="54" spans="1:11">
      <c r="A54" s="113"/>
      <c r="C54" s="112"/>
      <c r="D54" s="110">
        <v>8</v>
      </c>
      <c r="E54" s="90" t="s">
        <v>108</v>
      </c>
      <c r="F54" s="91">
        <v>71593</v>
      </c>
      <c r="G54" s="91">
        <v>67564</v>
      </c>
      <c r="H54" s="91">
        <v>61042</v>
      </c>
      <c r="I54" s="91">
        <f t="shared" si="22"/>
        <v>66733</v>
      </c>
      <c r="J54" s="127">
        <f t="shared" si="23"/>
        <v>1.78</v>
      </c>
      <c r="K54" s="128">
        <f t="shared" si="24"/>
        <v>2</v>
      </c>
    </row>
    <row r="55" spans="1:11">
      <c r="A55" s="113"/>
      <c r="C55" s="124"/>
      <c r="D55" s="115"/>
      <c r="E55" s="116" t="s">
        <v>293</v>
      </c>
      <c r="F55" s="117">
        <f t="shared" ref="F55:G55" si="25">SUM(F44:F54)</f>
        <v>577702</v>
      </c>
      <c r="G55" s="117">
        <f t="shared" si="25"/>
        <v>654468</v>
      </c>
      <c r="H55" s="117">
        <f t="shared" ref="H55:K55" si="26">SUM(H44:H54)</f>
        <v>565849</v>
      </c>
      <c r="I55" s="117">
        <f t="shared" si="26"/>
        <v>599339</v>
      </c>
      <c r="J55" s="129">
        <f t="shared" si="26"/>
        <v>15.96</v>
      </c>
      <c r="K55" s="130">
        <f t="shared" si="26"/>
        <v>16</v>
      </c>
    </row>
    <row r="56" spans="1:11">
      <c r="A56" s="113"/>
      <c r="C56" s="109" t="s">
        <v>295</v>
      </c>
      <c r="D56" s="110">
        <v>1</v>
      </c>
      <c r="E56" s="125" t="s">
        <v>96</v>
      </c>
      <c r="F56" s="91">
        <v>103051</v>
      </c>
      <c r="G56" s="91">
        <v>105842</v>
      </c>
      <c r="H56" s="91">
        <v>105728</v>
      </c>
      <c r="I56" s="91">
        <f t="shared" ref="I56:I60" si="27">IF(AND(F56="NA",G56="NA",H56="NA"),0,ROUND(AVERAGE(F56:H56),0))</f>
        <v>104874</v>
      </c>
      <c r="J56" s="127">
        <f>ROUND(I56*340/I$299,2)</f>
        <v>2.79</v>
      </c>
      <c r="K56" s="128">
        <v>2</v>
      </c>
    </row>
    <row r="57" spans="1:11">
      <c r="A57" s="113"/>
      <c r="C57" s="112"/>
      <c r="D57" s="110">
        <v>2</v>
      </c>
      <c r="E57" s="125" t="s">
        <v>97</v>
      </c>
      <c r="F57" s="91">
        <v>53396</v>
      </c>
      <c r="G57" s="91">
        <v>61178</v>
      </c>
      <c r="H57" s="91">
        <v>53500</v>
      </c>
      <c r="I57" s="91">
        <f t="shared" si="27"/>
        <v>56025</v>
      </c>
      <c r="J57" s="127">
        <f>ROUND(I57*340/I$299,2)</f>
        <v>1.49</v>
      </c>
      <c r="K57" s="128">
        <f t="shared" ref="K57:K60" si="28">IF(J57&gt;=2,ROUND(J57,0),IF(J57&gt;1.1,2,""))</f>
        <v>2</v>
      </c>
    </row>
    <row r="58" spans="1:11">
      <c r="A58" s="113"/>
      <c r="C58" s="112"/>
      <c r="D58" s="110">
        <v>3</v>
      </c>
      <c r="E58" s="125" t="s">
        <v>98</v>
      </c>
      <c r="F58" s="91">
        <v>45662</v>
      </c>
      <c r="G58" s="91">
        <v>47914</v>
      </c>
      <c r="H58" s="91">
        <v>45768</v>
      </c>
      <c r="I58" s="91">
        <f t="shared" si="27"/>
        <v>46448</v>
      </c>
      <c r="J58" s="127">
        <f>ROUND(I58*340/I$299,2)</f>
        <v>1.24</v>
      </c>
      <c r="K58" s="128">
        <f t="shared" si="28"/>
        <v>2</v>
      </c>
    </row>
    <row r="59" spans="1:11">
      <c r="A59" s="113"/>
      <c r="C59" s="112"/>
      <c r="D59" s="110">
        <v>4</v>
      </c>
      <c r="E59" s="125" t="s">
        <v>99</v>
      </c>
      <c r="F59" s="91">
        <v>61117</v>
      </c>
      <c r="G59" s="91">
        <v>62668</v>
      </c>
      <c r="H59" s="91">
        <v>69590</v>
      </c>
      <c r="I59" s="91">
        <f t="shared" si="27"/>
        <v>64458</v>
      </c>
      <c r="J59" s="127">
        <f>ROUND(I59*340/I$299,2)</f>
        <v>1.72</v>
      </c>
      <c r="K59" s="128">
        <f t="shared" si="28"/>
        <v>2</v>
      </c>
    </row>
    <row r="60" spans="1:11">
      <c r="A60" s="113"/>
      <c r="C60" s="112"/>
      <c r="D60" s="110">
        <v>5</v>
      </c>
      <c r="E60" s="125" t="s">
        <v>100</v>
      </c>
      <c r="F60" s="91">
        <v>123005</v>
      </c>
      <c r="G60" s="91">
        <v>139247</v>
      </c>
      <c r="H60" s="91">
        <v>122948</v>
      </c>
      <c r="I60" s="91">
        <f t="shared" si="27"/>
        <v>128400</v>
      </c>
      <c r="J60" s="127">
        <f>ROUND(I60*340/I$299,2)</f>
        <v>3.42</v>
      </c>
      <c r="K60" s="128">
        <f t="shared" si="28"/>
        <v>3</v>
      </c>
    </row>
    <row r="61" spans="1:11">
      <c r="A61" s="113"/>
      <c r="C61" s="124"/>
      <c r="D61" s="115"/>
      <c r="E61" s="116" t="s">
        <v>293</v>
      </c>
      <c r="F61" s="117">
        <f t="shared" ref="F61:G61" si="29">SUM(F56:F60)</f>
        <v>386231</v>
      </c>
      <c r="G61" s="117">
        <f t="shared" si="29"/>
        <v>416849</v>
      </c>
      <c r="H61" s="117">
        <f t="shared" ref="H61:K61" si="30">SUM(H56:H60)</f>
        <v>397534</v>
      </c>
      <c r="I61" s="117">
        <f t="shared" si="30"/>
        <v>400205</v>
      </c>
      <c r="J61" s="129">
        <f t="shared" si="30"/>
        <v>10.66</v>
      </c>
      <c r="K61" s="130">
        <f t="shared" si="30"/>
        <v>11</v>
      </c>
    </row>
    <row r="62" spans="1:11">
      <c r="A62" s="113"/>
      <c r="C62" s="109" t="s">
        <v>126</v>
      </c>
      <c r="D62" s="110">
        <v>1</v>
      </c>
      <c r="E62" s="125" t="s">
        <v>127</v>
      </c>
      <c r="F62" s="91">
        <v>64809</v>
      </c>
      <c r="G62" s="91">
        <v>59835</v>
      </c>
      <c r="H62" s="91">
        <v>54154</v>
      </c>
      <c r="I62" s="91">
        <f t="shared" ref="I62:I70" si="31">IF(AND(F62="NA",G62="NA",H62="NA"),0,ROUND(AVERAGE(F62:H62),0))</f>
        <v>59599</v>
      </c>
      <c r="J62" s="127">
        <f t="shared" ref="J62:J70" si="32">ROUND(I62*340/I$299,2)</f>
        <v>1.59</v>
      </c>
      <c r="K62" s="128">
        <f t="shared" ref="K62:K70" si="33">IF(J62&gt;=2,ROUND(J62,0),IF(J62&gt;1.1,2,""))</f>
        <v>2</v>
      </c>
    </row>
    <row r="63" spans="1:11">
      <c r="A63" s="113"/>
      <c r="C63" s="112"/>
      <c r="D63" s="110">
        <v>2</v>
      </c>
      <c r="E63" s="125" t="s">
        <v>128</v>
      </c>
      <c r="F63" s="91">
        <v>45845</v>
      </c>
      <c r="G63" s="91">
        <v>45121</v>
      </c>
      <c r="H63" s="91">
        <v>41289</v>
      </c>
      <c r="I63" s="91">
        <f t="shared" si="31"/>
        <v>44085</v>
      </c>
      <c r="J63" s="127">
        <f t="shared" si="32"/>
        <v>1.17</v>
      </c>
      <c r="K63" s="128"/>
    </row>
    <row r="64" spans="1:11">
      <c r="A64" s="113"/>
      <c r="C64" s="112"/>
      <c r="D64" s="110"/>
      <c r="E64" s="90" t="s">
        <v>129</v>
      </c>
      <c r="F64" s="91">
        <v>41768</v>
      </c>
      <c r="G64" s="91">
        <v>46314</v>
      </c>
      <c r="H64" s="91">
        <v>45272</v>
      </c>
      <c r="I64" s="91">
        <f t="shared" si="31"/>
        <v>44451</v>
      </c>
      <c r="J64" s="127">
        <f t="shared" si="32"/>
        <v>1.18</v>
      </c>
      <c r="K64" s="128">
        <f t="shared" si="33"/>
        <v>2</v>
      </c>
    </row>
    <row r="65" spans="1:11">
      <c r="A65" s="113"/>
      <c r="C65" s="112"/>
      <c r="D65" s="110">
        <v>3</v>
      </c>
      <c r="E65" s="125" t="s">
        <v>130</v>
      </c>
      <c r="F65" s="91">
        <v>35605</v>
      </c>
      <c r="G65" s="91">
        <v>37077</v>
      </c>
      <c r="H65" s="91">
        <v>37573</v>
      </c>
      <c r="I65" s="91">
        <f t="shared" si="31"/>
        <v>36752</v>
      </c>
      <c r="J65" s="127">
        <f t="shared" si="32"/>
        <v>0.98</v>
      </c>
      <c r="K65" s="128" t="str">
        <f t="shared" si="33"/>
        <v/>
      </c>
    </row>
    <row r="66" spans="1:11">
      <c r="A66" s="113"/>
      <c r="C66" s="112"/>
      <c r="D66" s="110"/>
      <c r="E66" s="125" t="s">
        <v>131</v>
      </c>
      <c r="F66" s="91">
        <v>64570</v>
      </c>
      <c r="G66" s="91">
        <v>62506</v>
      </c>
      <c r="H66" s="91">
        <v>79805</v>
      </c>
      <c r="I66" s="91">
        <f t="shared" si="31"/>
        <v>68960</v>
      </c>
      <c r="J66" s="127">
        <f t="shared" si="32"/>
        <v>1.84</v>
      </c>
      <c r="K66" s="128">
        <f t="shared" si="33"/>
        <v>2</v>
      </c>
    </row>
    <row r="67" spans="1:11">
      <c r="A67" s="113"/>
      <c r="C67" s="112"/>
      <c r="D67" s="110">
        <v>4</v>
      </c>
      <c r="E67" s="125" t="s">
        <v>132</v>
      </c>
      <c r="F67" s="91">
        <v>56552</v>
      </c>
      <c r="G67" s="91">
        <v>53996</v>
      </c>
      <c r="H67" s="91">
        <v>32546</v>
      </c>
      <c r="I67" s="91">
        <f t="shared" si="31"/>
        <v>47698</v>
      </c>
      <c r="J67" s="127">
        <f t="shared" si="32"/>
        <v>1.27</v>
      </c>
      <c r="K67" s="128">
        <f t="shared" si="33"/>
        <v>2</v>
      </c>
    </row>
    <row r="68" spans="1:11">
      <c r="A68" s="113"/>
      <c r="C68" s="112"/>
      <c r="D68" s="110">
        <v>5</v>
      </c>
      <c r="E68" s="125" t="s">
        <v>133</v>
      </c>
      <c r="F68" s="91">
        <v>78454</v>
      </c>
      <c r="G68" s="91">
        <v>76186</v>
      </c>
      <c r="H68" s="91">
        <v>64725</v>
      </c>
      <c r="I68" s="91">
        <f t="shared" si="31"/>
        <v>73122</v>
      </c>
      <c r="J68" s="127">
        <f t="shared" si="32"/>
        <v>1.95</v>
      </c>
      <c r="K68" s="128">
        <f t="shared" si="33"/>
        <v>2</v>
      </c>
    </row>
    <row r="69" spans="1:11">
      <c r="A69" s="113"/>
      <c r="C69" s="112"/>
      <c r="D69" s="110">
        <v>6</v>
      </c>
      <c r="E69" s="125" t="s">
        <v>134</v>
      </c>
      <c r="F69" s="91">
        <v>59618</v>
      </c>
      <c r="G69" s="91">
        <v>62744</v>
      </c>
      <c r="H69" s="91">
        <v>60212</v>
      </c>
      <c r="I69" s="91">
        <f t="shared" si="31"/>
        <v>60858</v>
      </c>
      <c r="J69" s="127">
        <f t="shared" si="32"/>
        <v>1.62</v>
      </c>
      <c r="K69" s="128">
        <f t="shared" si="33"/>
        <v>2</v>
      </c>
    </row>
    <row r="70" spans="1:11">
      <c r="A70" s="113"/>
      <c r="C70" s="112"/>
      <c r="D70" s="110">
        <v>7</v>
      </c>
      <c r="E70" s="125" t="s">
        <v>135</v>
      </c>
      <c r="F70" s="91">
        <v>70180</v>
      </c>
      <c r="G70" s="91">
        <v>71222</v>
      </c>
      <c r="H70" s="91">
        <v>63235</v>
      </c>
      <c r="I70" s="91">
        <f t="shared" si="31"/>
        <v>68212</v>
      </c>
      <c r="J70" s="127">
        <f t="shared" si="32"/>
        <v>1.82</v>
      </c>
      <c r="K70" s="128">
        <f t="shared" si="33"/>
        <v>2</v>
      </c>
    </row>
    <row r="71" spans="1:11">
      <c r="A71" s="113"/>
      <c r="C71" s="124"/>
      <c r="D71" s="115"/>
      <c r="E71" s="116" t="s">
        <v>293</v>
      </c>
      <c r="F71" s="117">
        <f t="shared" ref="F71:K71" si="34">SUM(F62:F70)</f>
        <v>517401</v>
      </c>
      <c r="G71" s="117">
        <f t="shared" si="34"/>
        <v>515001</v>
      </c>
      <c r="H71" s="117">
        <f t="shared" si="34"/>
        <v>478811</v>
      </c>
      <c r="I71" s="117">
        <f t="shared" si="34"/>
        <v>503737</v>
      </c>
      <c r="J71" s="129">
        <f t="shared" si="34"/>
        <v>13.419999999999998</v>
      </c>
      <c r="K71" s="130">
        <f t="shared" si="34"/>
        <v>14</v>
      </c>
    </row>
    <row r="72" spans="1:11">
      <c r="A72" s="113"/>
      <c r="C72" s="109" t="s">
        <v>136</v>
      </c>
      <c r="D72" s="110">
        <v>1</v>
      </c>
      <c r="E72" s="125" t="s">
        <v>137</v>
      </c>
      <c r="F72" s="91">
        <v>41680</v>
      </c>
      <c r="G72" s="91">
        <v>46728</v>
      </c>
      <c r="H72" s="91">
        <v>43075</v>
      </c>
      <c r="I72" s="91">
        <f t="shared" ref="I72:I77" si="35">IF(AND(F72="NA",G72="NA",H72="NA"),0,ROUND(AVERAGE(F72:H72),0))</f>
        <v>43828</v>
      </c>
      <c r="J72" s="127">
        <f t="shared" ref="J72:J77" si="36">ROUND(I72*340/I$299,2)</f>
        <v>1.17</v>
      </c>
      <c r="K72" s="128"/>
    </row>
    <row r="73" spans="1:11">
      <c r="A73" s="113"/>
      <c r="C73" s="112"/>
      <c r="D73" s="110"/>
      <c r="E73" s="90" t="s">
        <v>138</v>
      </c>
      <c r="F73" s="91">
        <v>42495</v>
      </c>
      <c r="G73" s="91">
        <v>54080</v>
      </c>
      <c r="H73" s="91">
        <v>47082</v>
      </c>
      <c r="I73" s="91">
        <f t="shared" si="35"/>
        <v>47886</v>
      </c>
      <c r="J73" s="127">
        <f t="shared" si="36"/>
        <v>1.28</v>
      </c>
      <c r="K73" s="128">
        <f t="shared" ref="K73:K77" si="37">IF(J73&gt;=2,ROUND(J73,0),IF(J73&gt;1.1,2,""))</f>
        <v>2</v>
      </c>
    </row>
    <row r="74" spans="1:11">
      <c r="A74" s="113"/>
      <c r="C74" s="112"/>
      <c r="D74" s="110"/>
      <c r="E74" s="125" t="s">
        <v>139</v>
      </c>
      <c r="F74" s="91">
        <v>40864</v>
      </c>
      <c r="G74" s="91">
        <v>43814</v>
      </c>
      <c r="H74" s="91">
        <v>40140</v>
      </c>
      <c r="I74" s="91">
        <f t="shared" si="35"/>
        <v>41606</v>
      </c>
      <c r="J74" s="127">
        <f t="shared" si="36"/>
        <v>1.1100000000000001</v>
      </c>
      <c r="K74" s="128"/>
    </row>
    <row r="75" spans="1:11">
      <c r="A75" s="113"/>
      <c r="C75" s="112"/>
      <c r="D75" s="110">
        <v>2</v>
      </c>
      <c r="E75" s="125" t="s">
        <v>140</v>
      </c>
      <c r="F75" s="91">
        <v>70424</v>
      </c>
      <c r="G75" s="91">
        <v>63917</v>
      </c>
      <c r="H75" s="91">
        <v>51335</v>
      </c>
      <c r="I75" s="91">
        <f t="shared" si="35"/>
        <v>61892</v>
      </c>
      <c r="J75" s="127">
        <f t="shared" si="36"/>
        <v>1.65</v>
      </c>
      <c r="K75" s="128">
        <f t="shared" si="37"/>
        <v>2</v>
      </c>
    </row>
    <row r="76" spans="1:11">
      <c r="A76" s="113"/>
      <c r="C76" s="112"/>
      <c r="D76" s="110">
        <v>3</v>
      </c>
      <c r="E76" s="125" t="s">
        <v>141</v>
      </c>
      <c r="F76" s="91">
        <v>66497</v>
      </c>
      <c r="G76" s="91">
        <v>55714</v>
      </c>
      <c r="H76" s="91">
        <v>49213</v>
      </c>
      <c r="I76" s="91">
        <f t="shared" si="35"/>
        <v>57141</v>
      </c>
      <c r="J76" s="127">
        <f t="shared" si="36"/>
        <v>1.52</v>
      </c>
      <c r="K76" s="128">
        <f t="shared" si="37"/>
        <v>2</v>
      </c>
    </row>
    <row r="77" spans="1:11">
      <c r="A77" s="113"/>
      <c r="C77" s="112"/>
      <c r="D77" s="110">
        <v>4</v>
      </c>
      <c r="E77" s="125" t="s">
        <v>142</v>
      </c>
      <c r="F77" s="91">
        <v>57491</v>
      </c>
      <c r="G77" s="91">
        <v>64515</v>
      </c>
      <c r="H77" s="91">
        <v>47763</v>
      </c>
      <c r="I77" s="91">
        <f t="shared" si="35"/>
        <v>56590</v>
      </c>
      <c r="J77" s="127">
        <f t="shared" si="36"/>
        <v>1.51</v>
      </c>
      <c r="K77" s="128">
        <f t="shared" si="37"/>
        <v>2</v>
      </c>
    </row>
    <row r="78" spans="1:11">
      <c r="A78" s="113"/>
      <c r="C78" s="124"/>
      <c r="D78" s="115"/>
      <c r="E78" s="116" t="s">
        <v>293</v>
      </c>
      <c r="F78" s="117">
        <f t="shared" ref="F78:G78" si="38">SUM(F72:F77)</f>
        <v>319451</v>
      </c>
      <c r="G78" s="117">
        <f t="shared" si="38"/>
        <v>328768</v>
      </c>
      <c r="H78" s="117">
        <f t="shared" ref="H78:K78" si="39">SUM(H72:H77)</f>
        <v>278608</v>
      </c>
      <c r="I78" s="117">
        <f t="shared" si="39"/>
        <v>308943</v>
      </c>
      <c r="J78" s="129">
        <f t="shared" si="39"/>
        <v>8.24</v>
      </c>
      <c r="K78" s="130">
        <f t="shared" si="39"/>
        <v>8</v>
      </c>
    </row>
    <row r="79" spans="1:11">
      <c r="A79" s="113"/>
      <c r="B79" s="119"/>
      <c r="C79" s="120"/>
      <c r="D79" s="121"/>
      <c r="E79" s="122" t="s">
        <v>294</v>
      </c>
      <c r="F79" s="123">
        <f t="shared" ref="F79:K79" si="40">SUM(F55,F61,F71,F78)</f>
        <v>1800785</v>
      </c>
      <c r="G79" s="123">
        <f t="shared" si="40"/>
        <v>1915086</v>
      </c>
      <c r="H79" s="123">
        <f t="shared" si="40"/>
        <v>1720802</v>
      </c>
      <c r="I79" s="123">
        <f t="shared" si="40"/>
        <v>1812224</v>
      </c>
      <c r="J79" s="132">
        <f t="shared" si="40"/>
        <v>48.28</v>
      </c>
      <c r="K79" s="133">
        <f t="shared" si="40"/>
        <v>49</v>
      </c>
    </row>
    <row r="80" spans="1:11">
      <c r="A80" s="111"/>
      <c r="B80" s="104" t="s">
        <v>112</v>
      </c>
      <c r="C80" s="109" t="s">
        <v>112</v>
      </c>
      <c r="D80" s="110">
        <v>1</v>
      </c>
      <c r="E80" s="90" t="s">
        <v>113</v>
      </c>
      <c r="F80" s="91">
        <v>55230</v>
      </c>
      <c r="G80" s="91">
        <v>52909</v>
      </c>
      <c r="H80" s="91">
        <v>37018</v>
      </c>
      <c r="I80" s="91">
        <f t="shared" ref="I80:I85" si="41">IF(AND(F80="NA",G80="NA",H80="NA"),0,ROUND(AVERAGE(F80:H80),0))</f>
        <v>48386</v>
      </c>
      <c r="J80" s="127">
        <f t="shared" ref="J80:J85" si="42">ROUND(I80*340/I$299,2)</f>
        <v>1.29</v>
      </c>
      <c r="K80" s="128">
        <f t="shared" ref="K80:K85" si="43">IF(J80&gt;=2,ROUND(J80,0),IF(J80&gt;1.1,2,""))</f>
        <v>2</v>
      </c>
    </row>
    <row r="81" spans="1:12" s="104" customFormat="1">
      <c r="A81" s="111"/>
      <c r="B81" s="70"/>
      <c r="C81" s="112"/>
      <c r="D81" s="110"/>
      <c r="E81" s="90" t="s">
        <v>114</v>
      </c>
      <c r="F81" s="91">
        <v>43275</v>
      </c>
      <c r="G81" s="91">
        <v>41887</v>
      </c>
      <c r="H81" s="91">
        <v>40313</v>
      </c>
      <c r="I81" s="91">
        <f t="shared" si="41"/>
        <v>41825</v>
      </c>
      <c r="J81" s="127">
        <f t="shared" si="42"/>
        <v>1.1100000000000001</v>
      </c>
      <c r="K81" s="128"/>
      <c r="L81" s="70"/>
    </row>
    <row r="82" spans="1:12" s="104" customFormat="1">
      <c r="A82" s="111"/>
      <c r="B82" s="70"/>
      <c r="C82" s="112"/>
      <c r="D82" s="110">
        <v>2</v>
      </c>
      <c r="E82" s="90" t="s">
        <v>112</v>
      </c>
      <c r="F82" s="91">
        <v>86140</v>
      </c>
      <c r="G82" s="91">
        <v>77031</v>
      </c>
      <c r="H82" s="91">
        <v>76413</v>
      </c>
      <c r="I82" s="91">
        <f t="shared" si="41"/>
        <v>79861</v>
      </c>
      <c r="J82" s="127">
        <f t="shared" si="42"/>
        <v>2.13</v>
      </c>
      <c r="K82" s="128">
        <f t="shared" si="43"/>
        <v>2</v>
      </c>
      <c r="L82" s="70"/>
    </row>
    <row r="83" spans="1:12" s="104" customFormat="1">
      <c r="A83" s="111"/>
      <c r="B83" s="70"/>
      <c r="C83" s="112"/>
      <c r="D83" s="110">
        <v>3</v>
      </c>
      <c r="E83" s="90" t="s">
        <v>115</v>
      </c>
      <c r="F83" s="91">
        <v>90206</v>
      </c>
      <c r="G83" s="91">
        <v>86430</v>
      </c>
      <c r="H83" s="91">
        <v>86114</v>
      </c>
      <c r="I83" s="91">
        <f t="shared" si="41"/>
        <v>87583</v>
      </c>
      <c r="J83" s="127">
        <f t="shared" si="42"/>
        <v>2.33</v>
      </c>
      <c r="K83" s="128">
        <f t="shared" si="43"/>
        <v>2</v>
      </c>
      <c r="L83" s="70"/>
    </row>
    <row r="84" spans="1:12" s="104" customFormat="1">
      <c r="A84" s="111"/>
      <c r="B84" s="70"/>
      <c r="C84" s="112"/>
      <c r="D84" s="110">
        <v>4</v>
      </c>
      <c r="E84" s="90" t="s">
        <v>117</v>
      </c>
      <c r="F84" s="91">
        <v>69768</v>
      </c>
      <c r="G84" s="91">
        <v>67544</v>
      </c>
      <c r="H84" s="91">
        <v>57303</v>
      </c>
      <c r="I84" s="91">
        <f t="shared" si="41"/>
        <v>64872</v>
      </c>
      <c r="J84" s="127">
        <f t="shared" si="42"/>
        <v>1.73</v>
      </c>
      <c r="K84" s="128">
        <f t="shared" si="43"/>
        <v>2</v>
      </c>
      <c r="L84" s="70"/>
    </row>
    <row r="85" spans="1:12" s="104" customFormat="1">
      <c r="A85" s="111"/>
      <c r="B85" s="70"/>
      <c r="C85" s="112"/>
      <c r="D85" s="110">
        <v>5</v>
      </c>
      <c r="E85" s="90" t="s">
        <v>116</v>
      </c>
      <c r="F85" s="91">
        <v>66415</v>
      </c>
      <c r="G85" s="91">
        <v>63810</v>
      </c>
      <c r="H85" s="91">
        <v>61149</v>
      </c>
      <c r="I85" s="91">
        <f t="shared" si="41"/>
        <v>63791</v>
      </c>
      <c r="J85" s="127">
        <f t="shared" si="42"/>
        <v>1.7</v>
      </c>
      <c r="K85" s="128">
        <f t="shared" si="43"/>
        <v>2</v>
      </c>
      <c r="L85" s="70"/>
    </row>
    <row r="86" spans="1:12" s="104" customFormat="1">
      <c r="A86" s="111"/>
      <c r="B86" s="70"/>
      <c r="C86" s="124"/>
      <c r="D86" s="115"/>
      <c r="E86" s="116" t="s">
        <v>293</v>
      </c>
      <c r="F86" s="117">
        <f t="shared" ref="F86:G86" si="44">SUM(F80:F85)</f>
        <v>411034</v>
      </c>
      <c r="G86" s="117">
        <f t="shared" si="44"/>
        <v>389611</v>
      </c>
      <c r="H86" s="117">
        <f t="shared" ref="H86:K86" si="45">SUM(H80:H85)</f>
        <v>358310</v>
      </c>
      <c r="I86" s="117">
        <f t="shared" si="45"/>
        <v>386318</v>
      </c>
      <c r="J86" s="129">
        <f t="shared" si="45"/>
        <v>10.29</v>
      </c>
      <c r="K86" s="130">
        <f t="shared" si="45"/>
        <v>10</v>
      </c>
      <c r="L86" s="70"/>
    </row>
    <row r="87" spans="1:12" s="104" customFormat="1">
      <c r="A87" s="111"/>
      <c r="B87" s="70"/>
      <c r="C87" s="239" t="s">
        <v>296</v>
      </c>
      <c r="D87" s="110">
        <v>1</v>
      </c>
      <c r="E87" s="90" t="s">
        <v>119</v>
      </c>
      <c r="F87" s="91">
        <v>31898</v>
      </c>
      <c r="G87" s="91">
        <v>34398</v>
      </c>
      <c r="H87" s="91">
        <v>31374</v>
      </c>
      <c r="I87" s="91">
        <f t="shared" ref="I87:I90" si="46">IF(AND(F87="NA",G87="NA",H87="NA"),0,ROUND(AVERAGE(F87:H87),0))</f>
        <v>32557</v>
      </c>
      <c r="J87" s="127">
        <f>ROUND(I87*340/I$299,2)</f>
        <v>0.87</v>
      </c>
      <c r="K87" s="128" t="str">
        <f t="shared" ref="K87:K90" si="47">IF(J87&gt;=2,ROUND(J87,0),IF(J87&gt;1.1,2,""))</f>
        <v/>
      </c>
      <c r="L87" s="70"/>
    </row>
    <row r="88" spans="1:12" s="104" customFormat="1">
      <c r="A88" s="111"/>
      <c r="B88" s="70"/>
      <c r="C88" s="240"/>
      <c r="D88" s="110"/>
      <c r="E88" s="90" t="s">
        <v>120</v>
      </c>
      <c r="F88" s="91">
        <v>69172</v>
      </c>
      <c r="G88" s="91">
        <v>77865</v>
      </c>
      <c r="H88" s="91">
        <v>73716</v>
      </c>
      <c r="I88" s="91">
        <f t="shared" si="46"/>
        <v>73584</v>
      </c>
      <c r="J88" s="127">
        <f>ROUND(I88*340/I$299,2)</f>
        <v>1.96</v>
      </c>
      <c r="K88" s="128">
        <f t="shared" si="47"/>
        <v>2</v>
      </c>
      <c r="L88" s="70"/>
    </row>
    <row r="89" spans="1:12" s="104" customFormat="1">
      <c r="A89" s="111"/>
      <c r="B89" s="70"/>
      <c r="C89" s="112"/>
      <c r="D89" s="110">
        <v>2</v>
      </c>
      <c r="E89" s="90" t="s">
        <v>121</v>
      </c>
      <c r="F89" s="91">
        <v>90042</v>
      </c>
      <c r="G89" s="91">
        <v>112375</v>
      </c>
      <c r="H89" s="91">
        <v>85302</v>
      </c>
      <c r="I89" s="91">
        <f t="shared" si="46"/>
        <v>95906</v>
      </c>
      <c r="J89" s="127">
        <f>ROUND(I89*340/I$299,2)</f>
        <v>2.5499999999999998</v>
      </c>
      <c r="K89" s="128">
        <f t="shared" si="47"/>
        <v>3</v>
      </c>
      <c r="L89" s="70"/>
    </row>
    <row r="90" spans="1:12" s="104" customFormat="1">
      <c r="A90" s="111"/>
      <c r="B90" s="70"/>
      <c r="C90" s="112"/>
      <c r="D90" s="110">
        <v>3</v>
      </c>
      <c r="E90" s="90" t="s">
        <v>122</v>
      </c>
      <c r="F90" s="91">
        <v>44024</v>
      </c>
      <c r="G90" s="91">
        <v>49388</v>
      </c>
      <c r="H90" s="91">
        <v>42721</v>
      </c>
      <c r="I90" s="91">
        <f t="shared" si="46"/>
        <v>45378</v>
      </c>
      <c r="J90" s="127">
        <f>ROUND(I90*340/I$299,2)</f>
        <v>1.21</v>
      </c>
      <c r="K90" s="128">
        <f t="shared" si="47"/>
        <v>2</v>
      </c>
      <c r="L90" s="70"/>
    </row>
    <row r="91" spans="1:12" s="104" customFormat="1">
      <c r="A91" s="113"/>
      <c r="B91" s="70"/>
      <c r="C91" s="124"/>
      <c r="D91" s="115"/>
      <c r="E91" s="116" t="s">
        <v>293</v>
      </c>
      <c r="F91" s="117">
        <f t="shared" ref="F91:G91" si="48">SUM(F87:F90)</f>
        <v>235136</v>
      </c>
      <c r="G91" s="117">
        <f t="shared" si="48"/>
        <v>274026</v>
      </c>
      <c r="H91" s="117">
        <f t="shared" ref="H91:K91" si="49">SUM(H87:H90)</f>
        <v>233113</v>
      </c>
      <c r="I91" s="117">
        <f t="shared" si="49"/>
        <v>247425</v>
      </c>
      <c r="J91" s="129">
        <f t="shared" si="49"/>
        <v>6.59</v>
      </c>
      <c r="K91" s="130">
        <f t="shared" si="49"/>
        <v>7</v>
      </c>
      <c r="L91" s="70"/>
    </row>
    <row r="92" spans="1:12" s="104" customFormat="1">
      <c r="A92" s="113"/>
      <c r="B92" s="70"/>
      <c r="C92" s="109" t="s">
        <v>123</v>
      </c>
      <c r="D92" s="110">
        <v>1</v>
      </c>
      <c r="E92" s="90" t="s">
        <v>124</v>
      </c>
      <c r="F92" s="91">
        <v>31298</v>
      </c>
      <c r="G92" s="91">
        <v>37137</v>
      </c>
      <c r="H92" s="91">
        <v>27823</v>
      </c>
      <c r="I92" s="91">
        <f t="shared" ref="I92:I94" si="50">IF(AND(F92="NA",G92="NA",H92="NA"),0,ROUND(AVERAGE(F92:H92),0))</f>
        <v>32086</v>
      </c>
      <c r="J92" s="127">
        <f>ROUND(I92*340/I$299,2)</f>
        <v>0.85</v>
      </c>
      <c r="K92" s="128" t="str">
        <f t="shared" ref="K92:K94" si="51">IF(J92&gt;=2,ROUND(J92,0),IF(J92&gt;1.1,2,""))</f>
        <v/>
      </c>
      <c r="L92" s="70"/>
    </row>
    <row r="93" spans="1:12">
      <c r="A93" s="113"/>
      <c r="C93" s="112"/>
      <c r="D93" s="110"/>
      <c r="E93" s="90" t="s">
        <v>125</v>
      </c>
      <c r="F93" s="91">
        <v>48701</v>
      </c>
      <c r="G93" s="91">
        <v>49205</v>
      </c>
      <c r="H93" s="91">
        <v>46930</v>
      </c>
      <c r="I93" s="91">
        <f t="shared" si="50"/>
        <v>48279</v>
      </c>
      <c r="J93" s="127">
        <f>ROUND(I93*340/I$299,2)</f>
        <v>1.29</v>
      </c>
      <c r="K93" s="128">
        <f t="shared" si="51"/>
        <v>2</v>
      </c>
    </row>
    <row r="94" spans="1:12">
      <c r="A94" s="111"/>
      <c r="B94" s="104"/>
      <c r="C94" s="112"/>
      <c r="D94" s="110">
        <v>2</v>
      </c>
      <c r="E94" s="90" t="s">
        <v>123</v>
      </c>
      <c r="F94" s="91">
        <v>107145</v>
      </c>
      <c r="G94" s="91">
        <v>116693</v>
      </c>
      <c r="H94" s="91">
        <v>69665</v>
      </c>
      <c r="I94" s="91">
        <f t="shared" si="50"/>
        <v>97834</v>
      </c>
      <c r="J94" s="127">
        <f>ROUND(I94*340/I$299,2)</f>
        <v>2.61</v>
      </c>
      <c r="K94" s="128">
        <f t="shared" si="51"/>
        <v>3</v>
      </c>
    </row>
    <row r="95" spans="1:12">
      <c r="A95" s="113"/>
      <c r="C95" s="112"/>
      <c r="D95" s="115"/>
      <c r="E95" s="116" t="s">
        <v>293</v>
      </c>
      <c r="F95" s="117">
        <f>SUM(F92:F94)</f>
        <v>187144</v>
      </c>
      <c r="G95" s="117">
        <f t="shared" ref="G95" si="52">SUM(G92:G94)</f>
        <v>203035</v>
      </c>
      <c r="H95" s="117">
        <f t="shared" ref="H95:K95" si="53">SUM(H92:H94)</f>
        <v>144418</v>
      </c>
      <c r="I95" s="117">
        <f t="shared" si="53"/>
        <v>178199</v>
      </c>
      <c r="J95" s="129">
        <f t="shared" si="53"/>
        <v>4.75</v>
      </c>
      <c r="K95" s="130">
        <f t="shared" si="53"/>
        <v>5</v>
      </c>
    </row>
    <row r="96" spans="1:12">
      <c r="A96" s="113"/>
      <c r="B96" s="119"/>
      <c r="C96" s="120"/>
      <c r="D96" s="121"/>
      <c r="E96" s="122" t="s">
        <v>294</v>
      </c>
      <c r="F96" s="123">
        <f t="shared" ref="F96:G96" si="54">SUM(F86,F91,F95)</f>
        <v>833314</v>
      </c>
      <c r="G96" s="123">
        <f t="shared" si="54"/>
        <v>866672</v>
      </c>
      <c r="H96" s="123">
        <f t="shared" ref="H96:K96" si="55">SUM(H86,H91,H95)</f>
        <v>735841</v>
      </c>
      <c r="I96" s="123">
        <f t="shared" si="55"/>
        <v>811942</v>
      </c>
      <c r="J96" s="132">
        <f t="shared" si="55"/>
        <v>21.63</v>
      </c>
      <c r="K96" s="133">
        <f t="shared" si="55"/>
        <v>22</v>
      </c>
    </row>
    <row r="97" spans="1:12">
      <c r="A97" s="113"/>
      <c r="B97" s="104" t="s">
        <v>154</v>
      </c>
      <c r="C97" s="109" t="s">
        <v>143</v>
      </c>
      <c r="D97" s="110">
        <v>1</v>
      </c>
      <c r="E97" s="90" t="s">
        <v>144</v>
      </c>
      <c r="F97" s="91">
        <v>50186</v>
      </c>
      <c r="G97" s="91">
        <v>48471</v>
      </c>
      <c r="H97" s="91">
        <v>48985</v>
      </c>
      <c r="I97" s="91">
        <f t="shared" ref="I97:I107" si="56">IF(AND(F97="NA",G97="NA",H97="NA"),0,ROUND(AVERAGE(F97:H97),0))</f>
        <v>49214</v>
      </c>
      <c r="J97" s="127">
        <f t="shared" ref="J97:J107" si="57">ROUND(I97*340/I$299,2)</f>
        <v>1.31</v>
      </c>
      <c r="K97" s="128">
        <f t="shared" ref="K97:K107" si="58">IF(J97&gt;=2,ROUND(J97,0),IF(J97&gt;1.1,2,""))</f>
        <v>2</v>
      </c>
    </row>
    <row r="98" spans="1:12">
      <c r="A98" s="113"/>
      <c r="C98" s="134"/>
      <c r="D98" s="110">
        <v>2</v>
      </c>
      <c r="E98" s="90" t="s">
        <v>145</v>
      </c>
      <c r="F98" s="91">
        <v>61432</v>
      </c>
      <c r="G98" s="91">
        <v>61050</v>
      </c>
      <c r="H98" s="91">
        <v>58272</v>
      </c>
      <c r="I98" s="91">
        <f t="shared" si="56"/>
        <v>60251</v>
      </c>
      <c r="J98" s="127">
        <f t="shared" si="57"/>
        <v>1.6</v>
      </c>
      <c r="K98" s="128">
        <f t="shared" si="58"/>
        <v>2</v>
      </c>
    </row>
    <row r="99" spans="1:12">
      <c r="A99" s="113"/>
      <c r="C99" s="134"/>
      <c r="D99" s="110">
        <v>3</v>
      </c>
      <c r="E99" s="90" t="s">
        <v>146</v>
      </c>
      <c r="F99" s="91">
        <v>56023</v>
      </c>
      <c r="G99" s="91">
        <v>51067</v>
      </c>
      <c r="H99" s="91">
        <v>53528</v>
      </c>
      <c r="I99" s="91">
        <f t="shared" si="56"/>
        <v>53539</v>
      </c>
      <c r="J99" s="127">
        <f t="shared" si="57"/>
        <v>1.43</v>
      </c>
      <c r="K99" s="128">
        <f t="shared" si="58"/>
        <v>2</v>
      </c>
    </row>
    <row r="100" spans="1:12">
      <c r="A100" s="113"/>
      <c r="C100" s="134"/>
      <c r="D100" s="110"/>
      <c r="E100" s="90" t="s">
        <v>147</v>
      </c>
      <c r="F100" s="91">
        <v>32878</v>
      </c>
      <c r="G100" s="91">
        <v>31004</v>
      </c>
      <c r="H100" s="91">
        <v>34126</v>
      </c>
      <c r="I100" s="91">
        <f t="shared" si="56"/>
        <v>32669</v>
      </c>
      <c r="J100" s="127">
        <f t="shared" si="57"/>
        <v>0.87</v>
      </c>
      <c r="K100" s="128" t="str">
        <f t="shared" si="58"/>
        <v/>
      </c>
    </row>
    <row r="101" spans="1:12">
      <c r="A101" s="113"/>
      <c r="C101" s="134"/>
      <c r="D101" s="110">
        <v>4</v>
      </c>
      <c r="E101" s="90" t="s">
        <v>143</v>
      </c>
      <c r="F101" s="91">
        <v>74320</v>
      </c>
      <c r="G101" s="91">
        <v>73237</v>
      </c>
      <c r="H101" s="91">
        <v>69429</v>
      </c>
      <c r="I101" s="91">
        <f t="shared" si="56"/>
        <v>72329</v>
      </c>
      <c r="J101" s="127">
        <f t="shared" si="57"/>
        <v>1.93</v>
      </c>
      <c r="K101" s="128">
        <f t="shared" si="58"/>
        <v>2</v>
      </c>
    </row>
    <row r="102" spans="1:12">
      <c r="A102" s="113"/>
      <c r="C102" s="134"/>
      <c r="D102" s="110">
        <v>5</v>
      </c>
      <c r="E102" s="90" t="s">
        <v>148</v>
      </c>
      <c r="F102" s="91">
        <v>31320</v>
      </c>
      <c r="G102" s="91">
        <v>32482</v>
      </c>
      <c r="H102" s="91">
        <v>29516</v>
      </c>
      <c r="I102" s="91">
        <f t="shared" si="56"/>
        <v>31106</v>
      </c>
      <c r="J102" s="127">
        <f t="shared" si="57"/>
        <v>0.83</v>
      </c>
      <c r="K102" s="128" t="str">
        <f t="shared" si="58"/>
        <v/>
      </c>
    </row>
    <row r="103" spans="1:12">
      <c r="A103" s="113"/>
      <c r="C103" s="134"/>
      <c r="D103" s="110"/>
      <c r="E103" s="90" t="s">
        <v>149</v>
      </c>
      <c r="F103" s="91">
        <v>76812</v>
      </c>
      <c r="G103" s="91">
        <v>75435</v>
      </c>
      <c r="H103" s="91">
        <v>74501</v>
      </c>
      <c r="I103" s="91">
        <f t="shared" si="56"/>
        <v>75583</v>
      </c>
      <c r="J103" s="127">
        <f t="shared" si="57"/>
        <v>2.0099999999999998</v>
      </c>
      <c r="K103" s="128">
        <f t="shared" si="58"/>
        <v>2</v>
      </c>
    </row>
    <row r="104" spans="1:12">
      <c r="A104" s="113"/>
      <c r="C104" s="134"/>
      <c r="D104" s="110">
        <v>6</v>
      </c>
      <c r="E104" s="90" t="s">
        <v>150</v>
      </c>
      <c r="F104" s="91">
        <v>94398</v>
      </c>
      <c r="G104" s="91">
        <v>84912</v>
      </c>
      <c r="H104" s="91">
        <v>90581</v>
      </c>
      <c r="I104" s="91">
        <f t="shared" si="56"/>
        <v>89964</v>
      </c>
      <c r="J104" s="127">
        <f t="shared" si="57"/>
        <v>2.4</v>
      </c>
      <c r="K104" s="128">
        <f t="shared" si="58"/>
        <v>2</v>
      </c>
    </row>
    <row r="105" spans="1:12">
      <c r="A105" s="113"/>
      <c r="C105" s="134"/>
      <c r="D105" s="110">
        <v>7</v>
      </c>
      <c r="E105" s="90" t="s">
        <v>151</v>
      </c>
      <c r="F105" s="91">
        <v>42875</v>
      </c>
      <c r="G105" s="91">
        <v>42991</v>
      </c>
      <c r="H105" s="91">
        <v>39120</v>
      </c>
      <c r="I105" s="91">
        <f t="shared" si="56"/>
        <v>41662</v>
      </c>
      <c r="J105" s="127">
        <f t="shared" si="57"/>
        <v>1.1100000000000001</v>
      </c>
      <c r="K105" s="128"/>
    </row>
    <row r="106" spans="1:12">
      <c r="A106" s="113"/>
      <c r="C106" s="134"/>
      <c r="D106" s="110"/>
      <c r="E106" s="90" t="s">
        <v>152</v>
      </c>
      <c r="F106" s="91">
        <v>26000</v>
      </c>
      <c r="G106" s="91">
        <v>25173</v>
      </c>
      <c r="H106" s="91">
        <v>25259</v>
      </c>
      <c r="I106" s="91">
        <f t="shared" si="56"/>
        <v>25477</v>
      </c>
      <c r="J106" s="127">
        <f t="shared" si="57"/>
        <v>0.68</v>
      </c>
      <c r="K106" s="128" t="str">
        <f t="shared" si="58"/>
        <v/>
      </c>
    </row>
    <row r="107" spans="1:12">
      <c r="A107" s="113"/>
      <c r="C107" s="134"/>
      <c r="D107" s="110"/>
      <c r="E107" s="90" t="s">
        <v>153</v>
      </c>
      <c r="F107" s="91">
        <v>51747</v>
      </c>
      <c r="G107" s="91">
        <v>56820</v>
      </c>
      <c r="H107" s="91">
        <v>48503</v>
      </c>
      <c r="I107" s="91">
        <f t="shared" si="56"/>
        <v>52357</v>
      </c>
      <c r="J107" s="127">
        <f t="shared" si="57"/>
        <v>1.39</v>
      </c>
      <c r="K107" s="128">
        <f t="shared" si="58"/>
        <v>2</v>
      </c>
    </row>
    <row r="108" spans="1:12" s="104" customFormat="1">
      <c r="A108" s="113"/>
      <c r="B108" s="70"/>
      <c r="C108" s="124"/>
      <c r="D108" s="115"/>
      <c r="E108" s="116" t="s">
        <v>293</v>
      </c>
      <c r="F108" s="117">
        <f t="shared" ref="F108:G108" si="59">SUM(F97:F107)</f>
        <v>597991</v>
      </c>
      <c r="G108" s="117">
        <f t="shared" si="59"/>
        <v>582642</v>
      </c>
      <c r="H108" s="117">
        <f t="shared" ref="H108:K108" si="60">SUM(H97:H107)</f>
        <v>571820</v>
      </c>
      <c r="I108" s="117">
        <f t="shared" si="60"/>
        <v>584151</v>
      </c>
      <c r="J108" s="129">
        <f t="shared" si="60"/>
        <v>15.56</v>
      </c>
      <c r="K108" s="130">
        <f t="shared" si="60"/>
        <v>14</v>
      </c>
      <c r="L108" s="70"/>
    </row>
    <row r="109" spans="1:12">
      <c r="A109" s="111"/>
      <c r="B109" s="104"/>
      <c r="C109" s="109" t="s">
        <v>154</v>
      </c>
      <c r="D109" s="110">
        <v>1</v>
      </c>
      <c r="E109" s="90" t="s">
        <v>154</v>
      </c>
      <c r="F109" s="91">
        <v>35908</v>
      </c>
      <c r="G109" s="91">
        <v>42496</v>
      </c>
      <c r="H109" s="91">
        <v>41352</v>
      </c>
      <c r="I109" s="91">
        <f t="shared" ref="I109:I118" si="61">IF(AND(F109="NA",G109="NA",H109="NA"),0,ROUND(AVERAGE(F109:H109),0))</f>
        <v>39919</v>
      </c>
      <c r="J109" s="127">
        <f t="shared" ref="J109:J118" si="62">ROUND(I109*340/I$299,2)</f>
        <v>1.06</v>
      </c>
      <c r="K109" s="128" t="str">
        <f t="shared" ref="K109:K118" si="63">IF(J109&gt;=2,ROUND(J109,0),IF(J109&gt;1.1,2,""))</f>
        <v/>
      </c>
    </row>
    <row r="110" spans="1:12" s="104" customFormat="1">
      <c r="A110" s="113"/>
      <c r="B110" s="70"/>
      <c r="C110" s="112"/>
      <c r="D110" s="110"/>
      <c r="E110" s="90" t="s">
        <v>155</v>
      </c>
      <c r="F110" s="91">
        <v>46134</v>
      </c>
      <c r="G110" s="91">
        <v>48340</v>
      </c>
      <c r="H110" s="91">
        <v>47206</v>
      </c>
      <c r="I110" s="91">
        <f t="shared" si="61"/>
        <v>47227</v>
      </c>
      <c r="J110" s="127">
        <f t="shared" si="62"/>
        <v>1.26</v>
      </c>
      <c r="K110" s="128">
        <f t="shared" si="63"/>
        <v>2</v>
      </c>
      <c r="L110" s="70"/>
    </row>
    <row r="111" spans="1:12" s="104" customFormat="1">
      <c r="A111" s="113"/>
      <c r="B111" s="70"/>
      <c r="C111" s="112"/>
      <c r="D111" s="110"/>
      <c r="E111" s="90" t="s">
        <v>156</v>
      </c>
      <c r="F111" s="91">
        <v>32050</v>
      </c>
      <c r="G111" s="91">
        <v>33837</v>
      </c>
      <c r="H111" s="91">
        <v>31588</v>
      </c>
      <c r="I111" s="91">
        <f t="shared" si="61"/>
        <v>32492</v>
      </c>
      <c r="J111" s="127">
        <f t="shared" si="62"/>
        <v>0.87</v>
      </c>
      <c r="K111" s="128" t="str">
        <f t="shared" si="63"/>
        <v/>
      </c>
      <c r="L111" s="70"/>
    </row>
    <row r="112" spans="1:12" s="104" customFormat="1">
      <c r="A112" s="113"/>
      <c r="B112" s="70"/>
      <c r="C112" s="112"/>
      <c r="D112" s="110">
        <v>2</v>
      </c>
      <c r="E112" s="90" t="s">
        <v>157</v>
      </c>
      <c r="F112" s="91">
        <v>33883</v>
      </c>
      <c r="G112" s="91">
        <v>34183</v>
      </c>
      <c r="H112" s="91">
        <v>29830</v>
      </c>
      <c r="I112" s="91">
        <f t="shared" si="61"/>
        <v>32632</v>
      </c>
      <c r="J112" s="127">
        <f t="shared" si="62"/>
        <v>0.87</v>
      </c>
      <c r="K112" s="128" t="str">
        <f t="shared" si="63"/>
        <v/>
      </c>
      <c r="L112" s="70"/>
    </row>
    <row r="113" spans="1:12">
      <c r="A113" s="113"/>
      <c r="C113" s="112"/>
      <c r="D113" s="110"/>
      <c r="E113" s="90" t="s">
        <v>158</v>
      </c>
      <c r="F113" s="91">
        <v>56232</v>
      </c>
      <c r="G113" s="91">
        <v>51958</v>
      </c>
      <c r="H113" s="91">
        <v>51890</v>
      </c>
      <c r="I113" s="91">
        <f t="shared" si="61"/>
        <v>53360</v>
      </c>
      <c r="J113" s="127">
        <f t="shared" si="62"/>
        <v>1.42</v>
      </c>
      <c r="K113" s="128">
        <f t="shared" si="63"/>
        <v>2</v>
      </c>
    </row>
    <row r="114" spans="1:12">
      <c r="A114" s="113"/>
      <c r="C114" s="112"/>
      <c r="D114" s="110">
        <v>3</v>
      </c>
      <c r="E114" s="90" t="s">
        <v>159</v>
      </c>
      <c r="F114" s="91">
        <v>38399</v>
      </c>
      <c r="G114" s="91">
        <v>38702</v>
      </c>
      <c r="H114" s="91">
        <v>36070</v>
      </c>
      <c r="I114" s="91">
        <f t="shared" si="61"/>
        <v>37724</v>
      </c>
      <c r="J114" s="127">
        <f t="shared" si="62"/>
        <v>1</v>
      </c>
      <c r="K114" s="128" t="str">
        <f t="shared" si="63"/>
        <v/>
      </c>
    </row>
    <row r="115" spans="1:12">
      <c r="A115" s="113"/>
      <c r="C115" s="112"/>
      <c r="D115" s="110"/>
      <c r="E115" s="90" t="s">
        <v>160</v>
      </c>
      <c r="F115" s="91">
        <v>42837</v>
      </c>
      <c r="G115" s="91">
        <v>42888</v>
      </c>
      <c r="H115" s="91">
        <v>44804</v>
      </c>
      <c r="I115" s="91">
        <f t="shared" si="61"/>
        <v>43510</v>
      </c>
      <c r="J115" s="127">
        <f t="shared" si="62"/>
        <v>1.1599999999999999</v>
      </c>
      <c r="K115" s="128">
        <f t="shared" si="63"/>
        <v>2</v>
      </c>
    </row>
    <row r="116" spans="1:12">
      <c r="A116" s="113"/>
      <c r="C116" s="112"/>
      <c r="D116" s="110">
        <v>4</v>
      </c>
      <c r="E116" s="90" t="s">
        <v>161</v>
      </c>
      <c r="F116" s="91">
        <v>102683</v>
      </c>
      <c r="G116" s="91">
        <v>98259</v>
      </c>
      <c r="H116" s="91">
        <v>75768</v>
      </c>
      <c r="I116" s="91">
        <f t="shared" si="61"/>
        <v>92237</v>
      </c>
      <c r="J116" s="127">
        <f t="shared" si="62"/>
        <v>2.46</v>
      </c>
      <c r="K116" s="128">
        <f t="shared" si="63"/>
        <v>2</v>
      </c>
    </row>
    <row r="117" spans="1:12">
      <c r="A117" s="113"/>
      <c r="C117" s="112"/>
      <c r="D117" s="110">
        <v>5</v>
      </c>
      <c r="E117" s="90" t="s">
        <v>162</v>
      </c>
      <c r="F117" s="91">
        <v>105448</v>
      </c>
      <c r="G117" s="91">
        <v>100264</v>
      </c>
      <c r="H117" s="91">
        <v>91256</v>
      </c>
      <c r="I117" s="91">
        <f t="shared" si="61"/>
        <v>98989</v>
      </c>
      <c r="J117" s="127">
        <f t="shared" si="62"/>
        <v>2.64</v>
      </c>
      <c r="K117" s="128">
        <f t="shared" si="63"/>
        <v>3</v>
      </c>
    </row>
    <row r="118" spans="1:12">
      <c r="A118" s="113"/>
      <c r="C118" s="112"/>
      <c r="D118" s="110"/>
      <c r="E118" s="90" t="s">
        <v>163</v>
      </c>
      <c r="F118" s="91">
        <v>39027</v>
      </c>
      <c r="G118" s="91">
        <v>39268</v>
      </c>
      <c r="H118" s="91">
        <v>38408</v>
      </c>
      <c r="I118" s="91">
        <f t="shared" si="61"/>
        <v>38901</v>
      </c>
      <c r="J118" s="127">
        <f t="shared" si="62"/>
        <v>1.04</v>
      </c>
      <c r="K118" s="128" t="str">
        <f t="shared" si="63"/>
        <v/>
      </c>
    </row>
    <row r="119" spans="1:12">
      <c r="A119" s="111"/>
      <c r="B119" s="104"/>
      <c r="C119" s="114"/>
      <c r="D119" s="115"/>
      <c r="E119" s="116" t="s">
        <v>293</v>
      </c>
      <c r="F119" s="117">
        <f t="shared" ref="F119:G119" si="64">SUM(F109:F118)</f>
        <v>532601</v>
      </c>
      <c r="G119" s="117">
        <f t="shared" si="64"/>
        <v>530195</v>
      </c>
      <c r="H119" s="117">
        <f t="shared" ref="H119:K119" si="65">SUM(H109:H118)</f>
        <v>488172</v>
      </c>
      <c r="I119" s="117">
        <f t="shared" si="65"/>
        <v>516991</v>
      </c>
      <c r="J119" s="129">
        <f t="shared" si="65"/>
        <v>13.780000000000001</v>
      </c>
      <c r="K119" s="130">
        <f t="shared" si="65"/>
        <v>11</v>
      </c>
    </row>
    <row r="120" spans="1:12">
      <c r="A120" s="111"/>
      <c r="B120" s="104"/>
      <c r="C120" s="109" t="s">
        <v>164</v>
      </c>
      <c r="D120" s="110">
        <v>1</v>
      </c>
      <c r="E120" s="90" t="s">
        <v>164</v>
      </c>
      <c r="F120" s="91">
        <v>59503</v>
      </c>
      <c r="G120" s="91">
        <v>61053</v>
      </c>
      <c r="H120" s="91">
        <v>62343</v>
      </c>
      <c r="I120" s="91">
        <f t="shared" ref="I120:I123" si="66">IF(AND(F120="NA",G120="NA",H120="NA"),0,ROUND(AVERAGE(F120:H120),0))</f>
        <v>60966</v>
      </c>
      <c r="J120" s="127">
        <f>ROUND(I120*340/I$299,2)</f>
        <v>1.62</v>
      </c>
      <c r="K120" s="128">
        <f t="shared" ref="K120:K123" si="67">IF(J120&gt;=2,ROUND(J120,0),IF(J120&gt;1.1,2,""))</f>
        <v>2</v>
      </c>
    </row>
    <row r="121" spans="1:12">
      <c r="A121" s="111"/>
      <c r="B121" s="104"/>
      <c r="C121" s="118"/>
      <c r="D121" s="110">
        <v>2</v>
      </c>
      <c r="E121" s="90" t="s">
        <v>165</v>
      </c>
      <c r="F121" s="91">
        <v>76538</v>
      </c>
      <c r="G121" s="91">
        <v>70619</v>
      </c>
      <c r="H121" s="91">
        <v>67591</v>
      </c>
      <c r="I121" s="91">
        <f t="shared" si="66"/>
        <v>71583</v>
      </c>
      <c r="J121" s="127">
        <f>ROUND(I121*340/I$299,2)</f>
        <v>1.91</v>
      </c>
      <c r="K121" s="128">
        <f t="shared" si="67"/>
        <v>2</v>
      </c>
    </row>
    <row r="122" spans="1:12">
      <c r="A122" s="111"/>
      <c r="B122" s="104"/>
      <c r="C122" s="118"/>
      <c r="D122" s="110">
        <v>3</v>
      </c>
      <c r="E122" s="90" t="s">
        <v>166</v>
      </c>
      <c r="F122" s="91">
        <v>42995</v>
      </c>
      <c r="G122" s="91">
        <v>44910</v>
      </c>
      <c r="H122" s="91">
        <v>44541</v>
      </c>
      <c r="I122" s="91">
        <f t="shared" si="66"/>
        <v>44149</v>
      </c>
      <c r="J122" s="127">
        <f>ROUND(I122*340/I$299,2)</f>
        <v>1.18</v>
      </c>
      <c r="K122" s="128">
        <f t="shared" si="67"/>
        <v>2</v>
      </c>
    </row>
    <row r="123" spans="1:12">
      <c r="A123" s="111"/>
      <c r="B123" s="104"/>
      <c r="C123" s="118"/>
      <c r="D123" s="110"/>
      <c r="E123" s="90" t="s">
        <v>167</v>
      </c>
      <c r="F123" s="91">
        <v>28906</v>
      </c>
      <c r="G123" s="91">
        <v>31173</v>
      </c>
      <c r="H123" s="91">
        <v>29319</v>
      </c>
      <c r="I123" s="91">
        <f t="shared" si="66"/>
        <v>29799</v>
      </c>
      <c r="J123" s="127">
        <f>ROUND(I123*340/I$299,2)</f>
        <v>0.79</v>
      </c>
      <c r="K123" s="128" t="str">
        <f t="shared" si="67"/>
        <v/>
      </c>
    </row>
    <row r="124" spans="1:12">
      <c r="A124" s="111"/>
      <c r="B124" s="104"/>
      <c r="C124" s="114"/>
      <c r="D124" s="115"/>
      <c r="E124" s="116" t="s">
        <v>293</v>
      </c>
      <c r="F124" s="135">
        <f t="shared" ref="F124:G124" si="68">SUM(F120:F123)</f>
        <v>207942</v>
      </c>
      <c r="G124" s="135">
        <f t="shared" si="68"/>
        <v>207755</v>
      </c>
      <c r="H124" s="135">
        <f t="shared" ref="H124:K124" si="69">SUM(H120:H123)</f>
        <v>203794</v>
      </c>
      <c r="I124" s="135">
        <f t="shared" si="69"/>
        <v>206497</v>
      </c>
      <c r="J124" s="129">
        <f t="shared" si="69"/>
        <v>5.5</v>
      </c>
      <c r="K124" s="130">
        <f t="shared" si="69"/>
        <v>6</v>
      </c>
    </row>
    <row r="125" spans="1:12" s="104" customFormat="1">
      <c r="A125" s="113"/>
      <c r="B125" s="124"/>
      <c r="C125" s="120"/>
      <c r="D125" s="121"/>
      <c r="E125" s="122" t="s">
        <v>294</v>
      </c>
      <c r="F125" s="136">
        <f t="shared" ref="F125:G125" si="70">SUM(F108,F119,F124)</f>
        <v>1338534</v>
      </c>
      <c r="G125" s="136">
        <f t="shared" si="70"/>
        <v>1320592</v>
      </c>
      <c r="H125" s="136">
        <f t="shared" ref="H125:K125" si="71">SUM(H108,H119,H124)</f>
        <v>1263786</v>
      </c>
      <c r="I125" s="136">
        <f t="shared" si="71"/>
        <v>1307639</v>
      </c>
      <c r="J125" s="132">
        <f t="shared" si="71"/>
        <v>34.840000000000003</v>
      </c>
      <c r="K125" s="147">
        <f t="shared" si="71"/>
        <v>31</v>
      </c>
      <c r="L125" s="70"/>
    </row>
    <row r="126" spans="1:12">
      <c r="A126" s="137"/>
      <c r="B126" s="138"/>
      <c r="C126" s="139"/>
      <c r="D126" s="139"/>
      <c r="E126" s="140" t="s">
        <v>297</v>
      </c>
      <c r="F126" s="141">
        <f t="shared" ref="F126:K126" si="72">SUM(F27,F43,F79,F96,F125)</f>
        <v>6431487</v>
      </c>
      <c r="G126" s="141">
        <f t="shared" si="72"/>
        <v>6585444</v>
      </c>
      <c r="H126" s="141">
        <f t="shared" si="72"/>
        <v>5875546</v>
      </c>
      <c r="I126" s="141">
        <f t="shared" si="72"/>
        <v>6297494</v>
      </c>
      <c r="J126" s="148">
        <f t="shared" si="72"/>
        <v>167.77</v>
      </c>
      <c r="K126" s="149">
        <f t="shared" si="72"/>
        <v>163</v>
      </c>
    </row>
    <row r="127" spans="1:12">
      <c r="A127" s="142"/>
      <c r="B127" s="143"/>
      <c r="D127" s="144"/>
      <c r="E127" s="145"/>
      <c r="F127" s="145"/>
      <c r="G127" s="145"/>
      <c r="H127" s="145"/>
      <c r="I127" s="145"/>
      <c r="J127" s="145"/>
      <c r="K127" s="150"/>
    </row>
    <row r="128" spans="1:12">
      <c r="A128" s="146" t="s">
        <v>298</v>
      </c>
      <c r="B128" s="104" t="s">
        <v>43</v>
      </c>
      <c r="C128" s="109" t="s">
        <v>299</v>
      </c>
      <c r="D128" s="110">
        <v>1</v>
      </c>
      <c r="E128" s="90" t="s">
        <v>20</v>
      </c>
      <c r="F128" s="91">
        <v>85996</v>
      </c>
      <c r="G128" s="91">
        <v>101664</v>
      </c>
      <c r="H128" s="91">
        <v>62788</v>
      </c>
      <c r="I128" s="91">
        <f t="shared" ref="I128:I141" si="73">IF(AND(F128="NA",G128="NA",H128="NA"),0,ROUND(AVERAGE(F128:H128),0))</f>
        <v>83483</v>
      </c>
      <c r="J128" s="91">
        <f t="shared" ref="J128:J141" si="74">ROUND(I128*340/I$299,2)</f>
        <v>2.2200000000000002</v>
      </c>
      <c r="K128" s="128">
        <f>IF(J128&gt;=2,ROUND(J128,0),IF(J128&gt;1,2,""))</f>
        <v>2</v>
      </c>
    </row>
    <row r="129" spans="1:11">
      <c r="A129" s="113"/>
      <c r="B129" s="104"/>
      <c r="C129" s="112"/>
      <c r="D129" s="110">
        <v>2</v>
      </c>
      <c r="E129" s="90" t="s">
        <v>21</v>
      </c>
      <c r="F129" s="91">
        <v>198431</v>
      </c>
      <c r="G129" s="91">
        <v>193187</v>
      </c>
      <c r="H129" s="91">
        <v>175991</v>
      </c>
      <c r="I129" s="91">
        <f t="shared" si="73"/>
        <v>189203</v>
      </c>
      <c r="J129" s="91">
        <f t="shared" si="74"/>
        <v>5.04</v>
      </c>
      <c r="K129" s="128">
        <f t="shared" ref="K129:K141" si="75">IF(J129&gt;=2,ROUND(J129,0),IF(J129&gt;1,2,""))</f>
        <v>5</v>
      </c>
    </row>
    <row r="130" spans="1:11">
      <c r="A130" s="113"/>
      <c r="B130" s="104"/>
      <c r="C130" s="112"/>
      <c r="D130" s="110">
        <v>3</v>
      </c>
      <c r="E130" s="90" t="s">
        <v>22</v>
      </c>
      <c r="F130" s="91">
        <v>112226</v>
      </c>
      <c r="G130" s="91">
        <v>126084</v>
      </c>
      <c r="H130" s="91">
        <v>128484</v>
      </c>
      <c r="I130" s="91">
        <f t="shared" si="73"/>
        <v>122265</v>
      </c>
      <c r="J130" s="91">
        <f t="shared" si="74"/>
        <v>3.26</v>
      </c>
      <c r="K130" s="128">
        <f t="shared" si="75"/>
        <v>3</v>
      </c>
    </row>
    <row r="131" spans="1:11">
      <c r="A131" s="113"/>
      <c r="B131" s="104"/>
      <c r="C131" s="112"/>
      <c r="D131" s="110">
        <v>4</v>
      </c>
      <c r="E131" s="90" t="s">
        <v>28</v>
      </c>
      <c r="F131" s="91">
        <v>181334</v>
      </c>
      <c r="G131" s="91">
        <v>187821</v>
      </c>
      <c r="H131" s="91">
        <v>211026</v>
      </c>
      <c r="I131" s="91">
        <f t="shared" si="73"/>
        <v>193394</v>
      </c>
      <c r="J131" s="91">
        <f t="shared" si="74"/>
        <v>5.15</v>
      </c>
      <c r="K131" s="128">
        <f t="shared" si="75"/>
        <v>5</v>
      </c>
    </row>
    <row r="132" spans="1:11">
      <c r="A132" s="113"/>
      <c r="B132" s="104"/>
      <c r="C132" s="112"/>
      <c r="D132" s="110">
        <v>5</v>
      </c>
      <c r="E132" s="90" t="s">
        <v>23</v>
      </c>
      <c r="F132" s="91">
        <v>58340</v>
      </c>
      <c r="G132" s="91">
        <v>61342</v>
      </c>
      <c r="H132" s="91">
        <v>52275</v>
      </c>
      <c r="I132" s="91">
        <f t="shared" si="73"/>
        <v>57319</v>
      </c>
      <c r="J132" s="91">
        <f t="shared" si="74"/>
        <v>1.53</v>
      </c>
      <c r="K132" s="128">
        <f t="shared" si="75"/>
        <v>2</v>
      </c>
    </row>
    <row r="133" spans="1:11">
      <c r="A133" s="113"/>
      <c r="B133" s="104"/>
      <c r="C133" s="112"/>
      <c r="D133" s="110">
        <v>6</v>
      </c>
      <c r="E133" s="90" t="s">
        <v>27</v>
      </c>
      <c r="F133" s="91">
        <v>112634</v>
      </c>
      <c r="G133" s="91">
        <v>125217</v>
      </c>
      <c r="H133" s="91">
        <v>109607</v>
      </c>
      <c r="I133" s="91">
        <f t="shared" si="73"/>
        <v>115819</v>
      </c>
      <c r="J133" s="91">
        <f t="shared" si="74"/>
        <v>3.09</v>
      </c>
      <c r="K133" s="128">
        <f t="shared" si="75"/>
        <v>3</v>
      </c>
    </row>
    <row r="134" spans="1:11">
      <c r="A134" s="113"/>
      <c r="B134" s="104"/>
      <c r="C134" s="112"/>
      <c r="D134" s="110"/>
      <c r="E134" s="90" t="s">
        <v>25</v>
      </c>
      <c r="F134" s="91">
        <v>42911</v>
      </c>
      <c r="G134" s="91">
        <v>38253</v>
      </c>
      <c r="H134" s="91">
        <v>32466</v>
      </c>
      <c r="I134" s="91">
        <f t="shared" si="73"/>
        <v>37877</v>
      </c>
      <c r="J134" s="91">
        <f t="shared" si="74"/>
        <v>1.01</v>
      </c>
      <c r="K134" s="128">
        <f t="shared" si="75"/>
        <v>2</v>
      </c>
    </row>
    <row r="135" spans="1:11">
      <c r="A135" s="113"/>
      <c r="B135" s="104"/>
      <c r="C135" s="112"/>
      <c r="D135" s="110">
        <v>7</v>
      </c>
      <c r="E135" s="90" t="s">
        <v>26</v>
      </c>
      <c r="F135" s="91">
        <v>51422</v>
      </c>
      <c r="G135" s="91">
        <v>59894</v>
      </c>
      <c r="H135" s="91">
        <v>53928</v>
      </c>
      <c r="I135" s="91">
        <f t="shared" si="73"/>
        <v>55081</v>
      </c>
      <c r="J135" s="91">
        <f t="shared" si="74"/>
        <v>1.47</v>
      </c>
      <c r="K135" s="128">
        <f t="shared" si="75"/>
        <v>2</v>
      </c>
    </row>
    <row r="136" spans="1:11">
      <c r="A136" s="113"/>
      <c r="B136" s="104"/>
      <c r="C136" s="112"/>
      <c r="D136" s="110"/>
      <c r="E136" s="90" t="s">
        <v>24</v>
      </c>
      <c r="F136" s="91">
        <v>30996</v>
      </c>
      <c r="G136" s="91">
        <v>28814</v>
      </c>
      <c r="H136" s="91">
        <v>27693</v>
      </c>
      <c r="I136" s="91">
        <f t="shared" si="73"/>
        <v>29168</v>
      </c>
      <c r="J136" s="91">
        <f t="shared" si="74"/>
        <v>0.78</v>
      </c>
      <c r="K136" s="128" t="str">
        <f t="shared" si="75"/>
        <v/>
      </c>
    </row>
    <row r="137" spans="1:11">
      <c r="A137" s="113"/>
      <c r="B137" s="104"/>
      <c r="C137" s="112"/>
      <c r="D137" s="110">
        <v>8</v>
      </c>
      <c r="E137" s="90" t="s">
        <v>29</v>
      </c>
      <c r="F137" s="91">
        <v>74672</v>
      </c>
      <c r="G137" s="91">
        <v>75007</v>
      </c>
      <c r="H137" s="91">
        <v>79771</v>
      </c>
      <c r="I137" s="91">
        <f t="shared" si="73"/>
        <v>76483</v>
      </c>
      <c r="J137" s="91">
        <f t="shared" si="74"/>
        <v>2.04</v>
      </c>
      <c r="K137" s="128">
        <f t="shared" si="75"/>
        <v>2</v>
      </c>
    </row>
    <row r="138" spans="1:11">
      <c r="A138" s="113"/>
      <c r="B138" s="104"/>
      <c r="C138" s="112"/>
      <c r="D138" s="110">
        <v>9</v>
      </c>
      <c r="E138" s="90" t="s">
        <v>30</v>
      </c>
      <c r="F138" s="91">
        <v>65649</v>
      </c>
      <c r="G138" s="91">
        <v>59263</v>
      </c>
      <c r="H138" s="91">
        <v>64844</v>
      </c>
      <c r="I138" s="91">
        <f t="shared" si="73"/>
        <v>63252</v>
      </c>
      <c r="J138" s="91">
        <f t="shared" si="74"/>
        <v>1.68</v>
      </c>
      <c r="K138" s="128">
        <f t="shared" si="75"/>
        <v>2</v>
      </c>
    </row>
    <row r="139" spans="1:11">
      <c r="A139" s="113"/>
      <c r="B139" s="104"/>
      <c r="C139" s="112"/>
      <c r="D139" s="110">
        <v>10</v>
      </c>
      <c r="E139" s="90" t="s">
        <v>31</v>
      </c>
      <c r="F139" s="91">
        <v>127213</v>
      </c>
      <c r="G139" s="91">
        <v>114719</v>
      </c>
      <c r="H139" s="91">
        <v>122477</v>
      </c>
      <c r="I139" s="91">
        <f t="shared" si="73"/>
        <v>121470</v>
      </c>
      <c r="J139" s="91">
        <f t="shared" si="74"/>
        <v>3.24</v>
      </c>
      <c r="K139" s="128">
        <f t="shared" si="75"/>
        <v>3</v>
      </c>
    </row>
    <row r="140" spans="1:11">
      <c r="A140" s="113"/>
      <c r="B140" s="104"/>
      <c r="C140" s="112"/>
      <c r="D140" s="110">
        <v>11</v>
      </c>
      <c r="E140" s="90" t="s">
        <v>32</v>
      </c>
      <c r="F140" s="91">
        <v>89591</v>
      </c>
      <c r="G140" s="91">
        <v>75129</v>
      </c>
      <c r="H140" s="91">
        <v>97119</v>
      </c>
      <c r="I140" s="91">
        <f t="shared" si="73"/>
        <v>87280</v>
      </c>
      <c r="J140" s="91">
        <f t="shared" si="74"/>
        <v>2.33</v>
      </c>
      <c r="K140" s="128">
        <f t="shared" si="75"/>
        <v>2</v>
      </c>
    </row>
    <row r="141" spans="1:11">
      <c r="A141" s="113"/>
      <c r="B141" s="104"/>
      <c r="C141" s="112"/>
      <c r="D141" s="110"/>
      <c r="E141" s="90" t="s">
        <v>33</v>
      </c>
      <c r="F141" s="91">
        <v>47156</v>
      </c>
      <c r="G141" s="91">
        <v>32114</v>
      </c>
      <c r="H141" s="91">
        <v>22367</v>
      </c>
      <c r="I141" s="91">
        <f t="shared" si="73"/>
        <v>33879</v>
      </c>
      <c r="J141" s="91">
        <f t="shared" si="74"/>
        <v>0.9</v>
      </c>
      <c r="K141" s="128" t="str">
        <f t="shared" si="75"/>
        <v/>
      </c>
    </row>
    <row r="142" spans="1:11">
      <c r="A142" s="113"/>
      <c r="B142" s="104"/>
      <c r="C142" s="124"/>
      <c r="D142" s="115"/>
      <c r="E142" s="116" t="s">
        <v>293</v>
      </c>
      <c r="F142" s="117">
        <f t="shared" ref="F142:K142" si="76">SUM(F128:F141)</f>
        <v>1278571</v>
      </c>
      <c r="G142" s="117">
        <f t="shared" si="76"/>
        <v>1278508</v>
      </c>
      <c r="H142" s="117">
        <f t="shared" si="76"/>
        <v>1240836</v>
      </c>
      <c r="I142" s="117">
        <f t="shared" si="76"/>
        <v>1265973</v>
      </c>
      <c r="J142" s="117">
        <f t="shared" si="76"/>
        <v>33.739999999999995</v>
      </c>
      <c r="K142" s="130">
        <f t="shared" si="76"/>
        <v>33</v>
      </c>
    </row>
    <row r="143" spans="1:11">
      <c r="A143" s="113"/>
      <c r="C143" s="109" t="s">
        <v>34</v>
      </c>
      <c r="D143" s="110">
        <v>1</v>
      </c>
      <c r="E143" s="90" t="s">
        <v>35</v>
      </c>
      <c r="F143" s="91">
        <v>89989</v>
      </c>
      <c r="G143" s="91">
        <v>103445</v>
      </c>
      <c r="H143" s="91">
        <v>102847</v>
      </c>
      <c r="I143" s="91">
        <f t="shared" ref="I143:I151" si="77">IF(AND(F143="NA",G143="NA",H143="NA"),0,ROUND(AVERAGE(F143:H143),0))</f>
        <v>98760</v>
      </c>
      <c r="J143" s="91">
        <f t="shared" ref="J143:J151" si="78">ROUND(I143*340/I$299,2)</f>
        <v>2.63</v>
      </c>
      <c r="K143" s="128">
        <v>2</v>
      </c>
    </row>
    <row r="144" spans="1:11">
      <c r="A144" s="113"/>
      <c r="C144" s="112"/>
      <c r="D144" s="110">
        <v>2</v>
      </c>
      <c r="E144" s="90" t="s">
        <v>36</v>
      </c>
      <c r="F144" s="91">
        <v>55949</v>
      </c>
      <c r="G144" s="91">
        <v>63649</v>
      </c>
      <c r="H144" s="91">
        <v>32721</v>
      </c>
      <c r="I144" s="91">
        <f t="shared" si="77"/>
        <v>50773</v>
      </c>
      <c r="J144" s="91">
        <f t="shared" si="78"/>
        <v>1.35</v>
      </c>
      <c r="K144" s="128">
        <f t="shared" ref="K144:K151" si="79">IF(J144&gt;=2,ROUND(J144,0),IF(J144&gt;1,2,""))</f>
        <v>2</v>
      </c>
    </row>
    <row r="145" spans="1:12">
      <c r="A145" s="113"/>
      <c r="C145" s="112"/>
      <c r="D145" s="110">
        <v>3</v>
      </c>
      <c r="E145" s="90" t="s">
        <v>37</v>
      </c>
      <c r="F145" s="91">
        <v>41623</v>
      </c>
      <c r="G145" s="91">
        <v>43927</v>
      </c>
      <c r="H145" s="91">
        <v>42008</v>
      </c>
      <c r="I145" s="91">
        <f t="shared" si="77"/>
        <v>42519</v>
      </c>
      <c r="J145" s="91">
        <f t="shared" si="78"/>
        <v>1.1299999999999999</v>
      </c>
      <c r="K145" s="128">
        <f t="shared" si="79"/>
        <v>2</v>
      </c>
    </row>
    <row r="146" spans="1:12">
      <c r="A146" s="113"/>
      <c r="C146" s="112"/>
      <c r="D146" s="110">
        <v>4</v>
      </c>
      <c r="E146" s="90" t="s">
        <v>38</v>
      </c>
      <c r="F146" s="91">
        <v>48218</v>
      </c>
      <c r="G146" s="91">
        <v>48699</v>
      </c>
      <c r="H146" s="91">
        <v>41028</v>
      </c>
      <c r="I146" s="91">
        <f t="shared" si="77"/>
        <v>45982</v>
      </c>
      <c r="J146" s="91">
        <f t="shared" si="78"/>
        <v>1.22</v>
      </c>
      <c r="K146" s="128">
        <f t="shared" si="79"/>
        <v>2</v>
      </c>
    </row>
    <row r="147" spans="1:12">
      <c r="A147" s="113"/>
      <c r="C147" s="112"/>
      <c r="D147" s="110">
        <v>5</v>
      </c>
      <c r="E147" s="90" t="s">
        <v>34</v>
      </c>
      <c r="F147" s="91">
        <v>50103</v>
      </c>
      <c r="G147" s="91">
        <v>50696</v>
      </c>
      <c r="H147" s="91">
        <v>53311</v>
      </c>
      <c r="I147" s="91">
        <f t="shared" si="77"/>
        <v>51370</v>
      </c>
      <c r="J147" s="91">
        <f t="shared" si="78"/>
        <v>1.37</v>
      </c>
      <c r="K147" s="128">
        <f t="shared" si="79"/>
        <v>2</v>
      </c>
    </row>
    <row r="148" spans="1:12" s="104" customFormat="1">
      <c r="A148" s="113"/>
      <c r="B148" s="70"/>
      <c r="C148" s="112"/>
      <c r="D148" s="110">
        <v>6</v>
      </c>
      <c r="E148" s="90" t="s">
        <v>40</v>
      </c>
      <c r="F148" s="91">
        <v>46377</v>
      </c>
      <c r="G148" s="91">
        <v>45408</v>
      </c>
      <c r="H148" s="91">
        <v>44738</v>
      </c>
      <c r="I148" s="91">
        <f t="shared" si="77"/>
        <v>45508</v>
      </c>
      <c r="J148" s="91">
        <f t="shared" si="78"/>
        <v>1.21</v>
      </c>
      <c r="K148" s="128">
        <f t="shared" si="79"/>
        <v>2</v>
      </c>
      <c r="L148" s="70"/>
    </row>
    <row r="149" spans="1:12" s="104" customFormat="1">
      <c r="A149" s="113"/>
      <c r="B149" s="70"/>
      <c r="C149" s="112"/>
      <c r="D149" s="110">
        <v>7</v>
      </c>
      <c r="E149" s="90" t="s">
        <v>39</v>
      </c>
      <c r="F149" s="91">
        <v>64529</v>
      </c>
      <c r="G149" s="91">
        <v>81583</v>
      </c>
      <c r="H149" s="91">
        <v>49014</v>
      </c>
      <c r="I149" s="91">
        <f t="shared" si="77"/>
        <v>65042</v>
      </c>
      <c r="J149" s="91">
        <f t="shared" si="78"/>
        <v>1.73</v>
      </c>
      <c r="K149" s="128">
        <f t="shared" si="79"/>
        <v>2</v>
      </c>
      <c r="L149" s="70"/>
    </row>
    <row r="150" spans="1:12" s="104" customFormat="1">
      <c r="A150" s="113"/>
      <c r="B150" s="70"/>
      <c r="C150" s="112"/>
      <c r="D150" s="110">
        <v>8</v>
      </c>
      <c r="E150" s="90" t="s">
        <v>41</v>
      </c>
      <c r="F150" s="91">
        <v>52884</v>
      </c>
      <c r="G150" s="91">
        <v>52166</v>
      </c>
      <c r="H150" s="91">
        <v>50204</v>
      </c>
      <c r="I150" s="91">
        <f t="shared" si="77"/>
        <v>51751</v>
      </c>
      <c r="J150" s="91">
        <f t="shared" si="78"/>
        <v>1.38</v>
      </c>
      <c r="K150" s="128">
        <f t="shared" si="79"/>
        <v>2</v>
      </c>
      <c r="L150" s="70"/>
    </row>
    <row r="151" spans="1:12" s="104" customFormat="1">
      <c r="A151" s="113"/>
      <c r="B151" s="70"/>
      <c r="C151" s="112"/>
      <c r="D151" s="110">
        <v>9</v>
      </c>
      <c r="E151" s="90" t="s">
        <v>42</v>
      </c>
      <c r="F151" s="91">
        <v>55764</v>
      </c>
      <c r="G151" s="91">
        <v>54291</v>
      </c>
      <c r="H151" s="91">
        <v>55462</v>
      </c>
      <c r="I151" s="91">
        <f t="shared" si="77"/>
        <v>55172</v>
      </c>
      <c r="J151" s="91">
        <f t="shared" si="78"/>
        <v>1.47</v>
      </c>
      <c r="K151" s="128">
        <f t="shared" si="79"/>
        <v>2</v>
      </c>
      <c r="L151" s="70"/>
    </row>
    <row r="152" spans="1:12">
      <c r="A152" s="113"/>
      <c r="C152" s="124"/>
      <c r="D152" s="115"/>
      <c r="E152" s="116" t="s">
        <v>293</v>
      </c>
      <c r="F152" s="117">
        <f t="shared" ref="F152:K152" si="80">SUM(F143:F151)</f>
        <v>505436</v>
      </c>
      <c r="G152" s="117">
        <f t="shared" si="80"/>
        <v>543864</v>
      </c>
      <c r="H152" s="117">
        <f t="shared" si="80"/>
        <v>471333</v>
      </c>
      <c r="I152" s="117">
        <f t="shared" si="80"/>
        <v>506877</v>
      </c>
      <c r="J152" s="117">
        <f t="shared" si="80"/>
        <v>13.49</v>
      </c>
      <c r="K152" s="130">
        <f t="shared" si="80"/>
        <v>18</v>
      </c>
    </row>
    <row r="153" spans="1:12">
      <c r="A153" s="113"/>
      <c r="C153" s="109" t="s">
        <v>43</v>
      </c>
      <c r="D153" s="110">
        <v>1</v>
      </c>
      <c r="E153" s="90" t="s">
        <v>44</v>
      </c>
      <c r="F153" s="91">
        <v>37097</v>
      </c>
      <c r="G153" s="91">
        <v>35983</v>
      </c>
      <c r="H153" s="91">
        <v>31655</v>
      </c>
      <c r="I153" s="91">
        <f t="shared" ref="I153:I162" si="81">IF(AND(F153="NA",G153="NA",H153="NA"),0,ROUND(AVERAGE(F153:H153),0))</f>
        <v>34912</v>
      </c>
      <c r="J153" s="91">
        <f t="shared" ref="J153:J162" si="82">ROUND(I153*340/I$299,2)</f>
        <v>0.93</v>
      </c>
      <c r="K153" s="128" t="str">
        <f t="shared" ref="K153:K162" si="83">IF(J153&gt;=2,ROUND(J153,0),IF(J153&gt;1,2,""))</f>
        <v/>
      </c>
    </row>
    <row r="154" spans="1:12">
      <c r="A154" s="113"/>
      <c r="C154" s="112"/>
      <c r="D154" s="110"/>
      <c r="E154" s="90" t="s">
        <v>45</v>
      </c>
      <c r="F154" s="91">
        <v>44208</v>
      </c>
      <c r="G154" s="91">
        <v>46829</v>
      </c>
      <c r="H154" s="91">
        <v>45145</v>
      </c>
      <c r="I154" s="91">
        <f t="shared" si="81"/>
        <v>45394</v>
      </c>
      <c r="J154" s="91">
        <f t="shared" si="82"/>
        <v>1.21</v>
      </c>
      <c r="K154" s="128">
        <f t="shared" si="83"/>
        <v>2</v>
      </c>
    </row>
    <row r="155" spans="1:12">
      <c r="A155" s="113"/>
      <c r="C155" s="112"/>
      <c r="D155" s="110">
        <v>2</v>
      </c>
      <c r="E155" s="90" t="s">
        <v>46</v>
      </c>
      <c r="F155" s="91">
        <v>30004</v>
      </c>
      <c r="G155" s="91">
        <v>27151</v>
      </c>
      <c r="H155" s="91">
        <v>26818</v>
      </c>
      <c r="I155" s="91">
        <f t="shared" si="81"/>
        <v>27991</v>
      </c>
      <c r="J155" s="91">
        <f t="shared" si="82"/>
        <v>0.75</v>
      </c>
      <c r="K155" s="128" t="str">
        <f t="shared" si="83"/>
        <v/>
      </c>
    </row>
    <row r="156" spans="1:12">
      <c r="A156" s="113"/>
      <c r="C156" s="112"/>
      <c r="D156" s="110"/>
      <c r="E156" s="90" t="s">
        <v>48</v>
      </c>
      <c r="F156" s="91">
        <v>48915</v>
      </c>
      <c r="G156" s="91">
        <v>45623</v>
      </c>
      <c r="H156" s="91">
        <v>40353</v>
      </c>
      <c r="I156" s="91">
        <f t="shared" si="81"/>
        <v>44964</v>
      </c>
      <c r="J156" s="127">
        <f t="shared" si="82"/>
        <v>1.2</v>
      </c>
      <c r="K156" s="128">
        <f t="shared" si="83"/>
        <v>2</v>
      </c>
    </row>
    <row r="157" spans="1:12">
      <c r="A157" s="113"/>
      <c r="C157" s="112"/>
      <c r="D157" s="110">
        <v>3</v>
      </c>
      <c r="E157" s="90" t="s">
        <v>49</v>
      </c>
      <c r="F157" s="91">
        <v>56164</v>
      </c>
      <c r="G157" s="91">
        <v>61989</v>
      </c>
      <c r="H157" s="91">
        <v>55532</v>
      </c>
      <c r="I157" s="91">
        <f t="shared" si="81"/>
        <v>57895</v>
      </c>
      <c r="J157" s="91">
        <f t="shared" si="82"/>
        <v>1.54</v>
      </c>
      <c r="K157" s="128">
        <f t="shared" si="83"/>
        <v>2</v>
      </c>
    </row>
    <row r="158" spans="1:12">
      <c r="A158" s="113"/>
      <c r="C158" s="112"/>
      <c r="D158" s="110">
        <v>4</v>
      </c>
      <c r="E158" s="90" t="s">
        <v>47</v>
      </c>
      <c r="F158" s="91">
        <v>57535</v>
      </c>
      <c r="G158" s="91">
        <v>53782</v>
      </c>
      <c r="H158" s="91">
        <v>57932</v>
      </c>
      <c r="I158" s="91">
        <f t="shared" si="81"/>
        <v>56416</v>
      </c>
      <c r="J158" s="127">
        <f t="shared" si="82"/>
        <v>1.5</v>
      </c>
      <c r="K158" s="128">
        <f t="shared" si="83"/>
        <v>2</v>
      </c>
    </row>
    <row r="159" spans="1:12">
      <c r="A159" s="113"/>
      <c r="C159" s="112"/>
      <c r="D159" s="110">
        <v>5</v>
      </c>
      <c r="E159" s="90" t="s">
        <v>50</v>
      </c>
      <c r="F159" s="91">
        <v>82552</v>
      </c>
      <c r="G159" s="91">
        <v>78682</v>
      </c>
      <c r="H159" s="91">
        <v>75551</v>
      </c>
      <c r="I159" s="91">
        <f t="shared" si="81"/>
        <v>78928</v>
      </c>
      <c r="J159" s="127">
        <f t="shared" si="82"/>
        <v>2.1</v>
      </c>
      <c r="K159" s="128">
        <f t="shared" si="83"/>
        <v>2</v>
      </c>
    </row>
    <row r="160" spans="1:12">
      <c r="A160" s="113"/>
      <c r="C160" s="112"/>
      <c r="D160" s="110">
        <v>6</v>
      </c>
      <c r="E160" s="90" t="s">
        <v>51</v>
      </c>
      <c r="F160" s="91">
        <v>55879</v>
      </c>
      <c r="G160" s="91">
        <v>52170</v>
      </c>
      <c r="H160" s="91">
        <v>43973</v>
      </c>
      <c r="I160" s="91">
        <f t="shared" si="81"/>
        <v>50674</v>
      </c>
      <c r="J160" s="91">
        <f t="shared" si="82"/>
        <v>1.35</v>
      </c>
      <c r="K160" s="128">
        <f t="shared" si="83"/>
        <v>2</v>
      </c>
    </row>
    <row r="161" spans="1:11">
      <c r="A161" s="113"/>
      <c r="C161" s="112"/>
      <c r="D161" s="110">
        <v>7</v>
      </c>
      <c r="E161" s="90" t="s">
        <v>52</v>
      </c>
      <c r="F161" s="91">
        <v>84597</v>
      </c>
      <c r="G161" s="91">
        <v>87273</v>
      </c>
      <c r="H161" s="91">
        <v>74422</v>
      </c>
      <c r="I161" s="91">
        <f t="shared" si="81"/>
        <v>82097</v>
      </c>
      <c r="J161" s="91">
        <f t="shared" si="82"/>
        <v>2.19</v>
      </c>
      <c r="K161" s="128">
        <f t="shared" si="83"/>
        <v>2</v>
      </c>
    </row>
    <row r="162" spans="1:11">
      <c r="A162" s="113"/>
      <c r="C162" s="112"/>
      <c r="D162" s="110"/>
      <c r="E162" s="90" t="s">
        <v>53</v>
      </c>
      <c r="F162" s="91">
        <v>28388</v>
      </c>
      <c r="G162" s="91">
        <v>28112</v>
      </c>
      <c r="H162" s="91">
        <v>21437</v>
      </c>
      <c r="I162" s="91">
        <f t="shared" si="81"/>
        <v>25979</v>
      </c>
      <c r="J162" s="91">
        <f t="shared" si="82"/>
        <v>0.69</v>
      </c>
      <c r="K162" s="128" t="str">
        <f t="shared" si="83"/>
        <v/>
      </c>
    </row>
    <row r="163" spans="1:11">
      <c r="A163" s="113"/>
      <c r="C163" s="124"/>
      <c r="D163" s="115"/>
      <c r="E163" s="116" t="s">
        <v>293</v>
      </c>
      <c r="F163" s="117">
        <f t="shared" ref="F163:K163" si="84">SUM(F153:F162)</f>
        <v>525339</v>
      </c>
      <c r="G163" s="117">
        <f t="shared" si="84"/>
        <v>517594</v>
      </c>
      <c r="H163" s="117">
        <f t="shared" si="84"/>
        <v>472818</v>
      </c>
      <c r="I163" s="117">
        <f t="shared" si="84"/>
        <v>505250</v>
      </c>
      <c r="J163" s="117">
        <f t="shared" si="84"/>
        <v>13.459999999999999</v>
      </c>
      <c r="K163" s="130">
        <f t="shared" si="84"/>
        <v>14</v>
      </c>
    </row>
    <row r="164" spans="1:11">
      <c r="A164" s="113"/>
      <c r="B164" s="119"/>
      <c r="C164" s="120"/>
      <c r="D164" s="121"/>
      <c r="E164" s="122" t="s">
        <v>294</v>
      </c>
      <c r="F164" s="123">
        <f t="shared" ref="F164:K164" si="85">SUM(F142,F152,F163)</f>
        <v>2309346</v>
      </c>
      <c r="G164" s="123">
        <f t="shared" si="85"/>
        <v>2339966</v>
      </c>
      <c r="H164" s="123">
        <f t="shared" si="85"/>
        <v>2184987</v>
      </c>
      <c r="I164" s="123">
        <f t="shared" si="85"/>
        <v>2278100</v>
      </c>
      <c r="J164" s="123">
        <f t="shared" si="85"/>
        <v>60.69</v>
      </c>
      <c r="K164" s="133">
        <f t="shared" si="85"/>
        <v>65</v>
      </c>
    </row>
    <row r="165" spans="1:11">
      <c r="A165" s="113"/>
      <c r="B165" s="104" t="s">
        <v>181</v>
      </c>
      <c r="C165" s="109" t="s">
        <v>54</v>
      </c>
      <c r="D165" s="110">
        <v>1</v>
      </c>
      <c r="E165" s="151" t="s">
        <v>55</v>
      </c>
      <c r="F165" s="91">
        <v>35305</v>
      </c>
      <c r="G165" s="91">
        <v>36599</v>
      </c>
      <c r="H165" s="91">
        <v>34911</v>
      </c>
      <c r="I165" s="91">
        <f t="shared" ref="I165:I172" si="86">IF(AND(F165="NA",G165="NA",H165="NA"),0,ROUND(AVERAGE(F165:H165),0))</f>
        <v>35605</v>
      </c>
      <c r="J165" s="91">
        <f t="shared" ref="J165:J172" si="87">ROUND(I165*340/I$299,2)</f>
        <v>0.95</v>
      </c>
      <c r="K165" s="128">
        <v>2</v>
      </c>
    </row>
    <row r="166" spans="1:11">
      <c r="A166" s="113"/>
      <c r="C166" s="112"/>
      <c r="D166" s="110"/>
      <c r="E166" s="151" t="s">
        <v>56</v>
      </c>
      <c r="F166" s="91">
        <v>21734</v>
      </c>
      <c r="G166" s="91">
        <v>20425</v>
      </c>
      <c r="H166" s="91">
        <v>22149</v>
      </c>
      <c r="I166" s="91">
        <f t="shared" si="86"/>
        <v>21436</v>
      </c>
      <c r="J166" s="91">
        <f t="shared" si="87"/>
        <v>0.56999999999999995</v>
      </c>
      <c r="K166" s="128" t="str">
        <f t="shared" ref="K166:K172" si="88">IF(J166&gt;=2,ROUND(J166,0),IF(J166&gt;1,2,""))</f>
        <v/>
      </c>
    </row>
    <row r="167" spans="1:11">
      <c r="A167" s="113"/>
      <c r="C167" s="112"/>
      <c r="D167" s="110">
        <v>2</v>
      </c>
      <c r="E167" s="151" t="s">
        <v>57</v>
      </c>
      <c r="F167" s="91">
        <v>35756</v>
      </c>
      <c r="G167" s="91">
        <v>38408</v>
      </c>
      <c r="H167" s="91">
        <v>39018</v>
      </c>
      <c r="I167" s="91">
        <f t="shared" si="86"/>
        <v>37727</v>
      </c>
      <c r="J167" s="91">
        <f t="shared" si="87"/>
        <v>1</v>
      </c>
      <c r="K167" s="128"/>
    </row>
    <row r="168" spans="1:11">
      <c r="A168" s="113"/>
      <c r="C168" s="112"/>
      <c r="D168" s="110"/>
      <c r="E168" s="151" t="s">
        <v>58</v>
      </c>
      <c r="F168" s="91">
        <v>84769</v>
      </c>
      <c r="G168" s="91">
        <v>87626</v>
      </c>
      <c r="H168" s="91">
        <v>84719</v>
      </c>
      <c r="I168" s="91">
        <f t="shared" si="86"/>
        <v>85705</v>
      </c>
      <c r="J168" s="91">
        <f t="shared" si="87"/>
        <v>2.2799999999999998</v>
      </c>
      <c r="K168" s="128">
        <f t="shared" si="88"/>
        <v>2</v>
      </c>
    </row>
    <row r="169" spans="1:11">
      <c r="A169" s="113"/>
      <c r="B169" s="104"/>
      <c r="C169" s="112"/>
      <c r="D169" s="110">
        <v>3</v>
      </c>
      <c r="E169" s="151" t="s">
        <v>59</v>
      </c>
      <c r="F169" s="91">
        <v>87094</v>
      </c>
      <c r="G169" s="91">
        <v>88608</v>
      </c>
      <c r="H169" s="91">
        <v>91249</v>
      </c>
      <c r="I169" s="91">
        <f t="shared" si="86"/>
        <v>88984</v>
      </c>
      <c r="J169" s="91">
        <f t="shared" si="87"/>
        <v>2.37</v>
      </c>
      <c r="K169" s="128">
        <f t="shared" si="88"/>
        <v>2</v>
      </c>
    </row>
    <row r="170" spans="1:11">
      <c r="A170" s="113"/>
      <c r="C170" s="112"/>
      <c r="D170" s="110">
        <v>4</v>
      </c>
      <c r="E170" s="151" t="s">
        <v>60</v>
      </c>
      <c r="F170" s="91">
        <v>41208</v>
      </c>
      <c r="G170" s="91">
        <v>47114</v>
      </c>
      <c r="H170" s="91">
        <v>43211</v>
      </c>
      <c r="I170" s="91">
        <f t="shared" si="86"/>
        <v>43844</v>
      </c>
      <c r="J170" s="91">
        <f t="shared" si="87"/>
        <v>1.17</v>
      </c>
      <c r="K170" s="128">
        <f t="shared" si="88"/>
        <v>2</v>
      </c>
    </row>
    <row r="171" spans="1:11">
      <c r="A171" s="113"/>
      <c r="C171" s="112"/>
      <c r="D171" s="110">
        <v>5</v>
      </c>
      <c r="E171" s="151" t="s">
        <v>61</v>
      </c>
      <c r="F171" s="91">
        <v>30896</v>
      </c>
      <c r="G171" s="91">
        <v>41301</v>
      </c>
      <c r="H171" s="91">
        <v>41609</v>
      </c>
      <c r="I171" s="91">
        <f t="shared" si="86"/>
        <v>37935</v>
      </c>
      <c r="J171" s="91">
        <f t="shared" si="87"/>
        <v>1.01</v>
      </c>
      <c r="K171" s="128">
        <f t="shared" si="88"/>
        <v>2</v>
      </c>
    </row>
    <row r="172" spans="1:11">
      <c r="A172" s="113"/>
      <c r="C172" s="112"/>
      <c r="D172" s="110"/>
      <c r="E172" s="151" t="s">
        <v>62</v>
      </c>
      <c r="F172" s="91">
        <v>21847</v>
      </c>
      <c r="G172" s="91">
        <v>13501</v>
      </c>
      <c r="H172" s="91">
        <v>13013</v>
      </c>
      <c r="I172" s="91">
        <f t="shared" si="86"/>
        <v>16120</v>
      </c>
      <c r="J172" s="91">
        <f t="shared" si="87"/>
        <v>0.43</v>
      </c>
      <c r="K172" s="128" t="str">
        <f t="shared" si="88"/>
        <v/>
      </c>
    </row>
    <row r="173" spans="1:11">
      <c r="A173" s="113"/>
      <c r="C173" s="124"/>
      <c r="D173" s="115"/>
      <c r="E173" s="116" t="s">
        <v>293</v>
      </c>
      <c r="F173" s="117">
        <f t="shared" ref="F173:K173" si="89">SUM(F165:F172)</f>
        <v>358609</v>
      </c>
      <c r="G173" s="117">
        <f t="shared" si="89"/>
        <v>373582</v>
      </c>
      <c r="H173" s="117">
        <f t="shared" si="89"/>
        <v>369879</v>
      </c>
      <c r="I173" s="117">
        <f t="shared" si="89"/>
        <v>367356</v>
      </c>
      <c r="J173" s="117">
        <f t="shared" si="89"/>
        <v>9.7799999999999994</v>
      </c>
      <c r="K173" s="130">
        <f t="shared" si="89"/>
        <v>10</v>
      </c>
    </row>
    <row r="174" spans="1:11">
      <c r="A174" s="113"/>
      <c r="C174" s="109" t="s">
        <v>63</v>
      </c>
      <c r="D174" s="110">
        <v>1</v>
      </c>
      <c r="E174" s="90" t="s">
        <v>64</v>
      </c>
      <c r="F174" s="91">
        <v>43937</v>
      </c>
      <c r="G174" s="91">
        <v>48916</v>
      </c>
      <c r="H174" s="91">
        <v>47663</v>
      </c>
      <c r="I174" s="91">
        <f t="shared" ref="I174:I179" si="90">IF(AND(F174="NA",G174="NA",H174="NA"),0,ROUND(AVERAGE(F174:H174),0))</f>
        <v>46839</v>
      </c>
      <c r="J174" s="91">
        <f t="shared" ref="J174:J179" si="91">ROUND(I174*340/I$299,2)</f>
        <v>1.25</v>
      </c>
      <c r="K174" s="128">
        <f t="shared" ref="K174:K178" si="92">IF(J174&gt;=2,ROUND(J174,0),IF(J174&gt;1,2,""))</f>
        <v>2</v>
      </c>
    </row>
    <row r="175" spans="1:11">
      <c r="A175" s="113"/>
      <c r="C175" s="112"/>
      <c r="D175" s="110"/>
      <c r="E175" s="90" t="s">
        <v>68</v>
      </c>
      <c r="F175" s="91">
        <v>41955</v>
      </c>
      <c r="G175" s="91">
        <v>42290</v>
      </c>
      <c r="H175" s="91">
        <v>37240</v>
      </c>
      <c r="I175" s="91">
        <f t="shared" si="90"/>
        <v>40495</v>
      </c>
      <c r="J175" s="91">
        <f t="shared" si="91"/>
        <v>1.08</v>
      </c>
      <c r="K175" s="128"/>
    </row>
    <row r="176" spans="1:11">
      <c r="A176" s="113"/>
      <c r="C176" s="112"/>
      <c r="D176" s="110">
        <v>2</v>
      </c>
      <c r="E176" s="90" t="s">
        <v>65</v>
      </c>
      <c r="F176" s="91">
        <v>54914</v>
      </c>
      <c r="G176" s="91">
        <v>53554</v>
      </c>
      <c r="H176" s="91">
        <v>51698</v>
      </c>
      <c r="I176" s="91">
        <f t="shared" si="90"/>
        <v>53389</v>
      </c>
      <c r="J176" s="91">
        <f t="shared" si="91"/>
        <v>1.42</v>
      </c>
      <c r="K176" s="128">
        <f t="shared" si="92"/>
        <v>2</v>
      </c>
    </row>
    <row r="177" spans="1:13">
      <c r="A177" s="113"/>
      <c r="C177" s="112"/>
      <c r="D177" s="110">
        <v>3</v>
      </c>
      <c r="E177" s="90" t="s">
        <v>66</v>
      </c>
      <c r="F177" s="91">
        <v>64147</v>
      </c>
      <c r="G177" s="91">
        <v>62352</v>
      </c>
      <c r="H177" s="91">
        <v>65391</v>
      </c>
      <c r="I177" s="91">
        <f t="shared" si="90"/>
        <v>63963</v>
      </c>
      <c r="J177" s="91">
        <f t="shared" si="91"/>
        <v>1.7</v>
      </c>
      <c r="K177" s="128">
        <f t="shared" si="92"/>
        <v>2</v>
      </c>
    </row>
    <row r="178" spans="1:13">
      <c r="A178" s="113"/>
      <c r="C178" s="112"/>
      <c r="D178" s="110">
        <v>4</v>
      </c>
      <c r="E178" s="90" t="s">
        <v>69</v>
      </c>
      <c r="F178" s="91">
        <v>79590</v>
      </c>
      <c r="G178" s="91">
        <v>75986</v>
      </c>
      <c r="H178" s="91">
        <v>64072</v>
      </c>
      <c r="I178" s="91">
        <f t="shared" si="90"/>
        <v>73216</v>
      </c>
      <c r="J178" s="91">
        <f t="shared" si="91"/>
        <v>1.95</v>
      </c>
      <c r="K178" s="128">
        <f t="shared" si="92"/>
        <v>2</v>
      </c>
      <c r="M178" s="72"/>
    </row>
    <row r="179" spans="1:13">
      <c r="A179" s="113"/>
      <c r="C179" s="112"/>
      <c r="D179" s="110"/>
      <c r="E179" s="90" t="s">
        <v>67</v>
      </c>
      <c r="F179" s="91">
        <v>42800</v>
      </c>
      <c r="G179" s="91">
        <v>42698</v>
      </c>
      <c r="H179" s="91">
        <v>41581</v>
      </c>
      <c r="I179" s="91">
        <f t="shared" si="90"/>
        <v>42360</v>
      </c>
      <c r="J179" s="91">
        <f t="shared" si="91"/>
        <v>1.1299999999999999</v>
      </c>
      <c r="K179" s="128"/>
    </row>
    <row r="180" spans="1:13" s="104" customFormat="1">
      <c r="A180" s="113"/>
      <c r="B180" s="70"/>
      <c r="C180" s="124"/>
      <c r="D180" s="115"/>
      <c r="E180" s="116" t="s">
        <v>293</v>
      </c>
      <c r="F180" s="117">
        <f t="shared" ref="F180:K180" si="93">SUM(F174:F179)</f>
        <v>327343</v>
      </c>
      <c r="G180" s="117">
        <f t="shared" si="93"/>
        <v>325796</v>
      </c>
      <c r="H180" s="117">
        <f t="shared" si="93"/>
        <v>307645</v>
      </c>
      <c r="I180" s="117">
        <f t="shared" si="93"/>
        <v>320262</v>
      </c>
      <c r="J180" s="117">
        <f t="shared" si="93"/>
        <v>8.5300000000000011</v>
      </c>
      <c r="K180" s="130">
        <f t="shared" si="93"/>
        <v>8</v>
      </c>
      <c r="L180" s="70"/>
    </row>
    <row r="181" spans="1:13">
      <c r="A181" s="113"/>
      <c r="C181" s="109" t="s">
        <v>168</v>
      </c>
      <c r="D181" s="110">
        <v>1</v>
      </c>
      <c r="E181" s="90" t="s">
        <v>169</v>
      </c>
      <c r="F181" s="91">
        <v>52230</v>
      </c>
      <c r="G181" s="91">
        <v>51848</v>
      </c>
      <c r="H181" s="91">
        <v>52567</v>
      </c>
      <c r="I181" s="91">
        <f t="shared" ref="I181:I188" si="94">IF(AND(F181="NA",G181="NA",H181="NA"),0,ROUND(AVERAGE(F181:H181),0))</f>
        <v>52215</v>
      </c>
      <c r="J181" s="91">
        <f t="shared" ref="J181:J188" si="95">ROUND(I181*340/I$299,2)</f>
        <v>1.39</v>
      </c>
      <c r="K181" s="128">
        <f t="shared" ref="K181:K188" si="96">IF(J181&gt;=2,ROUND(J181,0),IF(J181&gt;1,2,""))</f>
        <v>2</v>
      </c>
    </row>
    <row r="182" spans="1:13">
      <c r="A182" s="113"/>
      <c r="C182" s="112"/>
      <c r="D182" s="110">
        <v>2</v>
      </c>
      <c r="E182" s="90" t="s">
        <v>170</v>
      </c>
      <c r="F182" s="91">
        <v>29294</v>
      </c>
      <c r="G182" s="91">
        <v>28506</v>
      </c>
      <c r="H182" s="91">
        <v>28457</v>
      </c>
      <c r="I182" s="91">
        <f t="shared" si="94"/>
        <v>28752</v>
      </c>
      <c r="J182" s="91">
        <f t="shared" si="95"/>
        <v>0.77</v>
      </c>
      <c r="K182" s="128" t="str">
        <f t="shared" si="96"/>
        <v/>
      </c>
    </row>
    <row r="183" spans="1:13">
      <c r="A183" s="113"/>
      <c r="C183" s="112"/>
      <c r="D183" s="110"/>
      <c r="E183" s="90" t="s">
        <v>171</v>
      </c>
      <c r="F183" s="91">
        <v>34665</v>
      </c>
      <c r="G183" s="91">
        <v>31922</v>
      </c>
      <c r="H183" s="91">
        <v>37496</v>
      </c>
      <c r="I183" s="91">
        <f t="shared" si="94"/>
        <v>34694</v>
      </c>
      <c r="J183" s="91">
        <f t="shared" si="95"/>
        <v>0.92</v>
      </c>
      <c r="K183" s="128">
        <v>2</v>
      </c>
    </row>
    <row r="184" spans="1:13">
      <c r="A184" s="113"/>
      <c r="C184" s="112"/>
      <c r="D184" s="110">
        <v>3</v>
      </c>
      <c r="E184" s="90" t="s">
        <v>168</v>
      </c>
      <c r="F184" s="91">
        <v>56131</v>
      </c>
      <c r="G184" s="91">
        <v>57486</v>
      </c>
      <c r="H184" s="91">
        <v>61255</v>
      </c>
      <c r="I184" s="91">
        <f t="shared" si="94"/>
        <v>58291</v>
      </c>
      <c r="J184" s="91">
        <f t="shared" si="95"/>
        <v>1.55</v>
      </c>
      <c r="K184" s="128">
        <f t="shared" si="96"/>
        <v>2</v>
      </c>
    </row>
    <row r="185" spans="1:13">
      <c r="A185" s="113"/>
      <c r="C185" s="112"/>
      <c r="D185" s="110">
        <v>4</v>
      </c>
      <c r="E185" s="90" t="s">
        <v>172</v>
      </c>
      <c r="F185" s="91">
        <v>46207</v>
      </c>
      <c r="G185" s="91">
        <v>39930</v>
      </c>
      <c r="H185" s="91">
        <v>46275</v>
      </c>
      <c r="I185" s="91">
        <f t="shared" si="94"/>
        <v>44137</v>
      </c>
      <c r="J185" s="91">
        <f t="shared" si="95"/>
        <v>1.18</v>
      </c>
      <c r="K185" s="128">
        <f t="shared" si="96"/>
        <v>2</v>
      </c>
    </row>
    <row r="186" spans="1:13">
      <c r="A186" s="113"/>
      <c r="C186" s="112"/>
      <c r="D186" s="110">
        <v>5</v>
      </c>
      <c r="E186" s="90" t="s">
        <v>173</v>
      </c>
      <c r="F186" s="91">
        <v>76693</v>
      </c>
      <c r="G186" s="91">
        <v>77760</v>
      </c>
      <c r="H186" s="91">
        <v>78676</v>
      </c>
      <c r="I186" s="91">
        <f t="shared" si="94"/>
        <v>77710</v>
      </c>
      <c r="J186" s="91">
        <f t="shared" si="95"/>
        <v>2.0699999999999998</v>
      </c>
      <c r="K186" s="128">
        <f t="shared" si="96"/>
        <v>2</v>
      </c>
    </row>
    <row r="187" spans="1:13">
      <c r="A187" s="113"/>
      <c r="C187" s="112"/>
      <c r="D187" s="110">
        <v>6</v>
      </c>
      <c r="E187" s="90" t="s">
        <v>174</v>
      </c>
      <c r="F187" s="91">
        <v>67757</v>
      </c>
      <c r="G187" s="91">
        <v>68062</v>
      </c>
      <c r="H187" s="91">
        <v>67157</v>
      </c>
      <c r="I187" s="91">
        <f t="shared" si="94"/>
        <v>67659</v>
      </c>
      <c r="J187" s="91">
        <f t="shared" si="95"/>
        <v>1.8</v>
      </c>
      <c r="K187" s="128">
        <f t="shared" si="96"/>
        <v>2</v>
      </c>
    </row>
    <row r="188" spans="1:13">
      <c r="A188" s="113"/>
      <c r="C188" s="112"/>
      <c r="D188" s="152"/>
      <c r="E188" s="109" t="s">
        <v>175</v>
      </c>
      <c r="F188" s="153">
        <v>28895</v>
      </c>
      <c r="G188" s="153">
        <v>28590</v>
      </c>
      <c r="H188" s="153">
        <v>30060</v>
      </c>
      <c r="I188" s="153">
        <f t="shared" si="94"/>
        <v>29182</v>
      </c>
      <c r="J188" s="153">
        <f t="shared" si="95"/>
        <v>0.78</v>
      </c>
      <c r="K188" s="159" t="str">
        <f t="shared" si="96"/>
        <v/>
      </c>
    </row>
    <row r="189" spans="1:13">
      <c r="A189" s="113"/>
      <c r="C189" s="154"/>
      <c r="D189" s="155"/>
      <c r="E189" s="156" t="s">
        <v>293</v>
      </c>
      <c r="F189" s="117">
        <f t="shared" ref="F189:K189" si="97">SUM(F181:F188)</f>
        <v>391872</v>
      </c>
      <c r="G189" s="117">
        <f t="shared" si="97"/>
        <v>384104</v>
      </c>
      <c r="H189" s="117">
        <f t="shared" si="97"/>
        <v>401943</v>
      </c>
      <c r="I189" s="117">
        <f t="shared" si="97"/>
        <v>392640</v>
      </c>
      <c r="J189" s="117">
        <f t="shared" si="97"/>
        <v>10.459999999999999</v>
      </c>
      <c r="K189" s="130">
        <f t="shared" si="97"/>
        <v>12</v>
      </c>
    </row>
    <row r="190" spans="1:13">
      <c r="A190" s="113"/>
      <c r="C190" s="109" t="s">
        <v>176</v>
      </c>
      <c r="D190" s="157">
        <v>1</v>
      </c>
      <c r="E190" s="124" t="s">
        <v>177</v>
      </c>
      <c r="F190" s="158">
        <v>58844</v>
      </c>
      <c r="G190" s="158">
        <v>64967</v>
      </c>
      <c r="H190" s="158">
        <v>60433</v>
      </c>
      <c r="I190" s="158">
        <f t="shared" ref="I190:I199" si="98">IF(AND(F190="NA",G190="NA",H190="NA"),0,ROUND(AVERAGE(F190:H190),0))</f>
        <v>61415</v>
      </c>
      <c r="J190" s="158">
        <f t="shared" ref="J190:J199" si="99">ROUND(I190*340/I$299,2)</f>
        <v>1.64</v>
      </c>
      <c r="K190" s="160">
        <f t="shared" ref="K190:K199" si="100">IF(J190&gt;=2,ROUND(J190,0),IF(J190&gt;1,2,""))</f>
        <v>2</v>
      </c>
    </row>
    <row r="191" spans="1:13">
      <c r="A191" s="113"/>
      <c r="C191" s="112"/>
      <c r="D191" s="110"/>
      <c r="E191" s="90" t="s">
        <v>178</v>
      </c>
      <c r="F191" s="91">
        <v>37583</v>
      </c>
      <c r="G191" s="91">
        <v>40841</v>
      </c>
      <c r="H191" s="91">
        <v>38155</v>
      </c>
      <c r="I191" s="91">
        <f t="shared" si="98"/>
        <v>38860</v>
      </c>
      <c r="J191" s="91">
        <f t="shared" si="99"/>
        <v>1.04</v>
      </c>
      <c r="K191" s="128"/>
    </row>
    <row r="192" spans="1:13">
      <c r="A192" s="113"/>
      <c r="C192" s="112"/>
      <c r="D192" s="110">
        <v>2</v>
      </c>
      <c r="E192" s="90" t="s">
        <v>179</v>
      </c>
      <c r="F192" s="91">
        <v>55163</v>
      </c>
      <c r="G192" s="91">
        <v>67312</v>
      </c>
      <c r="H192" s="91">
        <v>66291</v>
      </c>
      <c r="I192" s="91">
        <f t="shared" si="98"/>
        <v>62922</v>
      </c>
      <c r="J192" s="91">
        <f t="shared" si="99"/>
        <v>1.68</v>
      </c>
      <c r="K192" s="128">
        <f t="shared" si="100"/>
        <v>2</v>
      </c>
    </row>
    <row r="193" spans="1:11">
      <c r="A193" s="113"/>
      <c r="C193" s="112"/>
      <c r="D193" s="110">
        <v>3</v>
      </c>
      <c r="E193" s="90" t="s">
        <v>176</v>
      </c>
      <c r="F193" s="91">
        <v>40200</v>
      </c>
      <c r="G193" s="91">
        <v>41894</v>
      </c>
      <c r="H193" s="91">
        <v>47254</v>
      </c>
      <c r="I193" s="91">
        <f t="shared" si="98"/>
        <v>43116</v>
      </c>
      <c r="J193" s="91">
        <f t="shared" si="99"/>
        <v>1.1499999999999999</v>
      </c>
      <c r="K193" s="128">
        <f t="shared" si="100"/>
        <v>2</v>
      </c>
    </row>
    <row r="194" spans="1:11">
      <c r="A194" s="113"/>
      <c r="C194" s="112"/>
      <c r="D194" s="110">
        <v>4</v>
      </c>
      <c r="E194" s="90" t="s">
        <v>180</v>
      </c>
      <c r="F194" s="91">
        <v>53361</v>
      </c>
      <c r="G194" s="91">
        <v>51559</v>
      </c>
      <c r="H194" s="91">
        <v>59293</v>
      </c>
      <c r="I194" s="91">
        <f t="shared" si="98"/>
        <v>54738</v>
      </c>
      <c r="J194" s="91">
        <f t="shared" si="99"/>
        <v>1.46</v>
      </c>
      <c r="K194" s="128">
        <f t="shared" si="100"/>
        <v>2</v>
      </c>
    </row>
    <row r="195" spans="1:11">
      <c r="A195" s="113"/>
      <c r="C195" s="112"/>
      <c r="D195" s="110">
        <v>5</v>
      </c>
      <c r="E195" s="90" t="s">
        <v>181</v>
      </c>
      <c r="F195" s="91">
        <v>59993</v>
      </c>
      <c r="G195" s="91">
        <v>58997</v>
      </c>
      <c r="H195" s="91">
        <v>61846</v>
      </c>
      <c r="I195" s="91">
        <f t="shared" si="98"/>
        <v>60279</v>
      </c>
      <c r="J195" s="91">
        <f t="shared" si="99"/>
        <v>1.61</v>
      </c>
      <c r="K195" s="128">
        <f t="shared" si="100"/>
        <v>2</v>
      </c>
    </row>
    <row r="196" spans="1:11">
      <c r="A196" s="113"/>
      <c r="C196" s="112"/>
      <c r="D196" s="110"/>
      <c r="E196" s="90" t="s">
        <v>182</v>
      </c>
      <c r="F196" s="91">
        <v>32207</v>
      </c>
      <c r="G196" s="91">
        <v>38581</v>
      </c>
      <c r="H196" s="91">
        <v>33643</v>
      </c>
      <c r="I196" s="91">
        <f t="shared" si="98"/>
        <v>34810</v>
      </c>
      <c r="J196" s="91">
        <f t="shared" si="99"/>
        <v>0.93</v>
      </c>
      <c r="K196" s="128" t="str">
        <f t="shared" si="100"/>
        <v/>
      </c>
    </row>
    <row r="197" spans="1:11">
      <c r="A197" s="113"/>
      <c r="C197" s="112"/>
      <c r="D197" s="110">
        <v>6</v>
      </c>
      <c r="E197" s="90" t="s">
        <v>183</v>
      </c>
      <c r="F197" s="91">
        <v>48724</v>
      </c>
      <c r="G197" s="91">
        <v>45963</v>
      </c>
      <c r="H197" s="91">
        <v>47326</v>
      </c>
      <c r="I197" s="91">
        <f t="shared" si="98"/>
        <v>47338</v>
      </c>
      <c r="J197" s="91">
        <f t="shared" si="99"/>
        <v>1.26</v>
      </c>
      <c r="K197" s="128">
        <f t="shared" si="100"/>
        <v>2</v>
      </c>
    </row>
    <row r="198" spans="1:11">
      <c r="A198" s="113"/>
      <c r="C198" s="112"/>
      <c r="D198" s="110"/>
      <c r="E198" s="90" t="s">
        <v>184</v>
      </c>
      <c r="F198" s="91">
        <v>19520</v>
      </c>
      <c r="G198" s="91">
        <v>19417</v>
      </c>
      <c r="H198" s="91">
        <v>19016</v>
      </c>
      <c r="I198" s="91">
        <f t="shared" si="98"/>
        <v>19318</v>
      </c>
      <c r="J198" s="91">
        <f t="shared" si="99"/>
        <v>0.51</v>
      </c>
      <c r="K198" s="128" t="str">
        <f t="shared" si="100"/>
        <v/>
      </c>
    </row>
    <row r="199" spans="1:11">
      <c r="A199" s="113"/>
      <c r="C199" s="112"/>
      <c r="D199" s="110"/>
      <c r="E199" s="90" t="s">
        <v>185</v>
      </c>
      <c r="F199" s="91">
        <v>24738</v>
      </c>
      <c r="G199" s="91">
        <v>22660</v>
      </c>
      <c r="H199" s="91">
        <v>22434</v>
      </c>
      <c r="I199" s="91">
        <f t="shared" si="98"/>
        <v>23277</v>
      </c>
      <c r="J199" s="91">
        <f t="shared" si="99"/>
        <v>0.62</v>
      </c>
      <c r="K199" s="128" t="str">
        <f t="shared" si="100"/>
        <v/>
      </c>
    </row>
    <row r="200" spans="1:11">
      <c r="A200" s="113"/>
      <c r="C200" s="124"/>
      <c r="D200" s="115"/>
      <c r="E200" s="116" t="s">
        <v>293</v>
      </c>
      <c r="F200" s="117">
        <f t="shared" ref="F200:K200" si="101">SUM(F190:F199)</f>
        <v>430333</v>
      </c>
      <c r="G200" s="117">
        <f t="shared" si="101"/>
        <v>452191</v>
      </c>
      <c r="H200" s="117">
        <f t="shared" si="101"/>
        <v>455691</v>
      </c>
      <c r="I200" s="117">
        <f t="shared" si="101"/>
        <v>446073</v>
      </c>
      <c r="J200" s="117">
        <f t="shared" si="101"/>
        <v>11.899999999999999</v>
      </c>
      <c r="K200" s="130">
        <f t="shared" si="101"/>
        <v>12</v>
      </c>
    </row>
    <row r="201" spans="1:11">
      <c r="A201" s="113"/>
      <c r="B201" s="119"/>
      <c r="C201" s="120"/>
      <c r="D201" s="121"/>
      <c r="E201" s="122" t="s">
        <v>294</v>
      </c>
      <c r="F201" s="123">
        <f t="shared" ref="F201:K201" si="102">SUM(F173,F180,F189,F200)</f>
        <v>1508157</v>
      </c>
      <c r="G201" s="123">
        <f t="shared" si="102"/>
        <v>1535673</v>
      </c>
      <c r="H201" s="123">
        <f t="shared" si="102"/>
        <v>1535158</v>
      </c>
      <c r="I201" s="123">
        <f t="shared" si="102"/>
        <v>1526331</v>
      </c>
      <c r="J201" s="123">
        <f t="shared" si="102"/>
        <v>40.67</v>
      </c>
      <c r="K201" s="133">
        <f t="shared" si="102"/>
        <v>42</v>
      </c>
    </row>
    <row r="202" spans="1:11">
      <c r="A202" s="113"/>
      <c r="B202" s="104" t="s">
        <v>210</v>
      </c>
      <c r="C202" s="109" t="s">
        <v>186</v>
      </c>
      <c r="D202" s="110">
        <v>1</v>
      </c>
      <c r="E202" s="90" t="s">
        <v>187</v>
      </c>
      <c r="F202" s="91">
        <v>54119</v>
      </c>
      <c r="G202" s="91">
        <v>45593</v>
      </c>
      <c r="H202" s="91">
        <v>48659</v>
      </c>
      <c r="I202" s="91">
        <f t="shared" ref="I202:I208" si="103">IF(AND(F202="NA",G202="NA",H202="NA"),0,ROUND(AVERAGE(F202:H202),0))</f>
        <v>49457</v>
      </c>
      <c r="J202" s="91">
        <f t="shared" ref="J202:J208" si="104">ROUND(I202*340/I$299,2)</f>
        <v>1.32</v>
      </c>
      <c r="K202" s="128">
        <f t="shared" ref="K202:K208" si="105">IF(J202&gt;=2,ROUND(J202,0),IF(J202&gt;1,2,""))</f>
        <v>2</v>
      </c>
    </row>
    <row r="203" spans="1:11">
      <c r="A203" s="111"/>
      <c r="B203" s="104"/>
      <c r="C203" s="112"/>
      <c r="D203" s="110"/>
      <c r="E203" s="90" t="s">
        <v>188</v>
      </c>
      <c r="F203" s="91">
        <v>32940</v>
      </c>
      <c r="G203" s="91">
        <v>29710</v>
      </c>
      <c r="H203" s="91">
        <v>31079</v>
      </c>
      <c r="I203" s="91">
        <f t="shared" si="103"/>
        <v>31243</v>
      </c>
      <c r="J203" s="91">
        <f t="shared" si="104"/>
        <v>0.83</v>
      </c>
      <c r="K203" s="128" t="str">
        <f t="shared" si="105"/>
        <v/>
      </c>
    </row>
    <row r="204" spans="1:11">
      <c r="A204" s="111"/>
      <c r="B204" s="104"/>
      <c r="C204" s="112"/>
      <c r="D204" s="110">
        <v>2</v>
      </c>
      <c r="E204" s="90" t="s">
        <v>189</v>
      </c>
      <c r="F204" s="91">
        <v>51545</v>
      </c>
      <c r="G204" s="91">
        <v>48989</v>
      </c>
      <c r="H204" s="91">
        <v>47394</v>
      </c>
      <c r="I204" s="91">
        <f t="shared" si="103"/>
        <v>49309</v>
      </c>
      <c r="J204" s="91">
        <f t="shared" si="104"/>
        <v>1.31</v>
      </c>
      <c r="K204" s="128">
        <f t="shared" si="105"/>
        <v>2</v>
      </c>
    </row>
    <row r="205" spans="1:11">
      <c r="A205" s="111"/>
      <c r="B205" s="104"/>
      <c r="C205" s="112"/>
      <c r="D205" s="110"/>
      <c r="E205" s="90" t="s">
        <v>190</v>
      </c>
      <c r="F205" s="91">
        <v>36204</v>
      </c>
      <c r="G205" s="91">
        <v>28360</v>
      </c>
      <c r="H205" s="91">
        <v>32986</v>
      </c>
      <c r="I205" s="91">
        <f t="shared" si="103"/>
        <v>32517</v>
      </c>
      <c r="J205" s="91">
        <f t="shared" si="104"/>
        <v>0.87</v>
      </c>
      <c r="K205" s="128" t="str">
        <f t="shared" si="105"/>
        <v/>
      </c>
    </row>
    <row r="206" spans="1:11">
      <c r="A206" s="111"/>
      <c r="B206" s="104"/>
      <c r="C206" s="112"/>
      <c r="D206" s="110">
        <v>3</v>
      </c>
      <c r="E206" s="90" t="s">
        <v>191</v>
      </c>
      <c r="F206" s="91">
        <v>38648</v>
      </c>
      <c r="G206" s="91">
        <v>37531</v>
      </c>
      <c r="H206" s="91">
        <v>38196</v>
      </c>
      <c r="I206" s="91">
        <f t="shared" si="103"/>
        <v>38125</v>
      </c>
      <c r="J206" s="91">
        <f t="shared" si="104"/>
        <v>1.02</v>
      </c>
      <c r="K206" s="128">
        <f t="shared" si="105"/>
        <v>2</v>
      </c>
    </row>
    <row r="207" spans="1:11">
      <c r="A207" s="111"/>
      <c r="B207" s="104"/>
      <c r="C207" s="112"/>
      <c r="D207" s="110"/>
      <c r="E207" s="90" t="s">
        <v>192</v>
      </c>
      <c r="F207" s="91">
        <v>35073</v>
      </c>
      <c r="G207" s="91">
        <v>30114</v>
      </c>
      <c r="H207" s="91">
        <v>30820</v>
      </c>
      <c r="I207" s="91">
        <f t="shared" si="103"/>
        <v>32002</v>
      </c>
      <c r="J207" s="91">
        <f t="shared" si="104"/>
        <v>0.85</v>
      </c>
      <c r="K207" s="128" t="str">
        <f t="shared" si="105"/>
        <v/>
      </c>
    </row>
    <row r="208" spans="1:11">
      <c r="A208" s="111"/>
      <c r="B208" s="104"/>
      <c r="C208" s="112"/>
      <c r="D208" s="110"/>
      <c r="E208" s="90" t="s">
        <v>193</v>
      </c>
      <c r="F208" s="91">
        <v>8475</v>
      </c>
      <c r="G208" s="91">
        <v>8347</v>
      </c>
      <c r="H208" s="91">
        <v>7915</v>
      </c>
      <c r="I208" s="91">
        <f t="shared" si="103"/>
        <v>8246</v>
      </c>
      <c r="J208" s="91">
        <f t="shared" si="104"/>
        <v>0.22</v>
      </c>
      <c r="K208" s="128" t="str">
        <f t="shared" si="105"/>
        <v/>
      </c>
    </row>
    <row r="209" spans="1:12">
      <c r="A209" s="111"/>
      <c r="B209" s="104"/>
      <c r="C209" s="124"/>
      <c r="D209" s="115"/>
      <c r="E209" s="116" t="s">
        <v>293</v>
      </c>
      <c r="F209" s="135">
        <f t="shared" ref="F209:K209" si="106">SUM(F202:F208)</f>
        <v>257004</v>
      </c>
      <c r="G209" s="135">
        <f t="shared" si="106"/>
        <v>228644</v>
      </c>
      <c r="H209" s="135">
        <f t="shared" si="106"/>
        <v>237049</v>
      </c>
      <c r="I209" s="135">
        <f t="shared" si="106"/>
        <v>240899</v>
      </c>
      <c r="J209" s="135">
        <f t="shared" si="106"/>
        <v>6.419999999999999</v>
      </c>
      <c r="K209" s="130">
        <f t="shared" si="106"/>
        <v>6</v>
      </c>
    </row>
    <row r="210" spans="1:12">
      <c r="A210" s="111"/>
      <c r="B210" s="104"/>
      <c r="C210" s="109" t="s">
        <v>194</v>
      </c>
      <c r="D210" s="110">
        <v>1</v>
      </c>
      <c r="E210" s="90" t="s">
        <v>195</v>
      </c>
      <c r="F210" s="91">
        <v>15588</v>
      </c>
      <c r="G210" s="91">
        <v>22925</v>
      </c>
      <c r="H210" s="91">
        <v>19407</v>
      </c>
      <c r="I210" s="91">
        <f t="shared" ref="I210:I215" si="107">IF(AND(F210="NA",G210="NA",H210="NA"),0,ROUND(AVERAGE(F210:H210),0))</f>
        <v>19307</v>
      </c>
      <c r="J210" s="91">
        <f t="shared" ref="J210:J215" si="108">ROUND(I210*340/I$299,2)</f>
        <v>0.51</v>
      </c>
      <c r="K210" s="128" t="str">
        <f t="shared" ref="K210:K215" si="109">IF(J210&gt;=2,ROUND(J210,0),IF(J210&gt;1,2,""))</f>
        <v/>
      </c>
    </row>
    <row r="211" spans="1:12">
      <c r="A211" s="111"/>
      <c r="B211" s="104"/>
      <c r="C211" s="112"/>
      <c r="D211" s="110"/>
      <c r="E211" s="90" t="s">
        <v>196</v>
      </c>
      <c r="F211" s="91">
        <v>28088</v>
      </c>
      <c r="G211" s="91">
        <v>29716</v>
      </c>
      <c r="H211" s="91">
        <v>28118</v>
      </c>
      <c r="I211" s="91">
        <f t="shared" si="107"/>
        <v>28641</v>
      </c>
      <c r="J211" s="91">
        <f t="shared" si="108"/>
        <v>0.76</v>
      </c>
      <c r="K211" s="128" t="str">
        <f t="shared" si="109"/>
        <v/>
      </c>
    </row>
    <row r="212" spans="1:12">
      <c r="A212" s="111"/>
      <c r="B212" s="104"/>
      <c r="C212" s="112"/>
      <c r="D212" s="110"/>
      <c r="E212" s="90" t="s">
        <v>197</v>
      </c>
      <c r="F212" s="91">
        <v>38770</v>
      </c>
      <c r="G212" s="91">
        <v>38466</v>
      </c>
      <c r="H212" s="91">
        <v>41346</v>
      </c>
      <c r="I212" s="91">
        <f t="shared" si="107"/>
        <v>39527</v>
      </c>
      <c r="J212" s="91">
        <f t="shared" si="108"/>
        <v>1.05</v>
      </c>
      <c r="K212" s="128">
        <f t="shared" si="109"/>
        <v>2</v>
      </c>
    </row>
    <row r="213" spans="1:12">
      <c r="A213" s="111"/>
      <c r="B213" s="104"/>
      <c r="C213" s="112"/>
      <c r="D213" s="110">
        <v>2</v>
      </c>
      <c r="E213" s="90" t="s">
        <v>198</v>
      </c>
      <c r="F213" s="91">
        <v>54298</v>
      </c>
      <c r="G213" s="91">
        <v>56007</v>
      </c>
      <c r="H213" s="91">
        <v>55568</v>
      </c>
      <c r="I213" s="91">
        <f t="shared" si="107"/>
        <v>55291</v>
      </c>
      <c r="J213" s="91">
        <f t="shared" si="108"/>
        <v>1.47</v>
      </c>
      <c r="K213" s="128">
        <f t="shared" si="109"/>
        <v>2</v>
      </c>
    </row>
    <row r="214" spans="1:12" s="104" customFormat="1">
      <c r="A214" s="111"/>
      <c r="B214" s="70"/>
      <c r="C214" s="112"/>
      <c r="D214" s="110"/>
      <c r="E214" s="90" t="s">
        <v>199</v>
      </c>
      <c r="F214" s="91">
        <v>28685</v>
      </c>
      <c r="G214" s="91">
        <v>18959</v>
      </c>
      <c r="H214" s="91">
        <v>22283</v>
      </c>
      <c r="I214" s="91">
        <f t="shared" si="107"/>
        <v>23309</v>
      </c>
      <c r="J214" s="91">
        <f t="shared" si="108"/>
        <v>0.62</v>
      </c>
      <c r="K214" s="128" t="str">
        <f t="shared" si="109"/>
        <v/>
      </c>
      <c r="L214" s="70"/>
    </row>
    <row r="215" spans="1:12" s="104" customFormat="1">
      <c r="A215" s="111"/>
      <c r="B215" s="70"/>
      <c r="C215" s="112"/>
      <c r="D215" s="110"/>
      <c r="E215" s="90" t="s">
        <v>200</v>
      </c>
      <c r="F215" s="91">
        <v>17316</v>
      </c>
      <c r="G215" s="91">
        <v>18219</v>
      </c>
      <c r="H215" s="91">
        <v>19823</v>
      </c>
      <c r="I215" s="91">
        <f t="shared" si="107"/>
        <v>18453</v>
      </c>
      <c r="J215" s="91">
        <f t="shared" si="108"/>
        <v>0.49</v>
      </c>
      <c r="K215" s="128" t="str">
        <f t="shared" si="109"/>
        <v/>
      </c>
      <c r="L215" s="70"/>
    </row>
    <row r="216" spans="1:12">
      <c r="A216" s="113"/>
      <c r="C216" s="124"/>
      <c r="D216" s="115"/>
      <c r="E216" s="116" t="s">
        <v>293</v>
      </c>
      <c r="F216" s="117">
        <f t="shared" ref="F216:K216" si="110">SUM(F210:F215)</f>
        <v>182745</v>
      </c>
      <c r="G216" s="117">
        <f t="shared" si="110"/>
        <v>184292</v>
      </c>
      <c r="H216" s="117">
        <f t="shared" si="110"/>
        <v>186545</v>
      </c>
      <c r="I216" s="117">
        <f t="shared" si="110"/>
        <v>184528</v>
      </c>
      <c r="J216" s="117">
        <f t="shared" si="110"/>
        <v>4.9000000000000004</v>
      </c>
      <c r="K216" s="130">
        <f t="shared" si="110"/>
        <v>4</v>
      </c>
    </row>
    <row r="217" spans="1:12">
      <c r="A217" s="113"/>
      <c r="C217" s="109" t="s">
        <v>201</v>
      </c>
      <c r="D217" s="110">
        <v>1</v>
      </c>
      <c r="E217" s="90" t="s">
        <v>202</v>
      </c>
      <c r="F217" s="91">
        <v>33105</v>
      </c>
      <c r="G217" s="91">
        <v>34469</v>
      </c>
      <c r="H217" s="91">
        <v>33866</v>
      </c>
      <c r="I217" s="91">
        <f t="shared" ref="I217:I224" si="111">IF(AND(F217="NA",G217="NA",H217="NA"),0,ROUND(AVERAGE(F217:H217),0))</f>
        <v>33813</v>
      </c>
      <c r="J217" s="91">
        <f t="shared" ref="J217:J224" si="112">ROUND(I217*340/I$299,2)</f>
        <v>0.9</v>
      </c>
      <c r="K217" s="128" t="str">
        <f t="shared" ref="K217:K224" si="113">IF(J217&gt;=2,ROUND(J217,0),IF(J217&gt;1,2,""))</f>
        <v/>
      </c>
    </row>
    <row r="218" spans="1:12">
      <c r="A218" s="113"/>
      <c r="C218" s="112"/>
      <c r="D218" s="110"/>
      <c r="E218" s="90" t="s">
        <v>203</v>
      </c>
      <c r="F218" s="91">
        <v>68038</v>
      </c>
      <c r="G218" s="91">
        <v>86956</v>
      </c>
      <c r="H218" s="91">
        <v>59192</v>
      </c>
      <c r="I218" s="91">
        <f t="shared" si="111"/>
        <v>71395</v>
      </c>
      <c r="J218" s="91">
        <f t="shared" si="112"/>
        <v>1.9</v>
      </c>
      <c r="K218" s="128">
        <f t="shared" si="113"/>
        <v>2</v>
      </c>
    </row>
    <row r="219" spans="1:12">
      <c r="A219" s="113"/>
      <c r="C219" s="112"/>
      <c r="D219" s="110">
        <v>2</v>
      </c>
      <c r="E219" s="90" t="s">
        <v>204</v>
      </c>
      <c r="F219" s="91">
        <v>47398</v>
      </c>
      <c r="G219" s="91">
        <v>47398</v>
      </c>
      <c r="H219" s="91">
        <v>37830</v>
      </c>
      <c r="I219" s="91">
        <f t="shared" si="111"/>
        <v>44209</v>
      </c>
      <c r="J219" s="91">
        <f t="shared" si="112"/>
        <v>1.18</v>
      </c>
      <c r="K219" s="128">
        <f t="shared" si="113"/>
        <v>2</v>
      </c>
    </row>
    <row r="220" spans="1:12">
      <c r="A220" s="113"/>
      <c r="C220" s="112"/>
      <c r="D220" s="110">
        <v>3</v>
      </c>
      <c r="E220" s="90" t="s">
        <v>205</v>
      </c>
      <c r="F220" s="91">
        <v>62255</v>
      </c>
      <c r="G220" s="91">
        <v>70569</v>
      </c>
      <c r="H220" s="91">
        <v>70075</v>
      </c>
      <c r="I220" s="91">
        <f t="shared" si="111"/>
        <v>67633</v>
      </c>
      <c r="J220" s="91">
        <f t="shared" si="112"/>
        <v>1.8</v>
      </c>
      <c r="K220" s="128">
        <f t="shared" si="113"/>
        <v>2</v>
      </c>
    </row>
    <row r="221" spans="1:12">
      <c r="A221" s="113"/>
      <c r="C221" s="112"/>
      <c r="D221" s="110">
        <v>4</v>
      </c>
      <c r="E221" s="90" t="s">
        <v>206</v>
      </c>
      <c r="F221" s="91">
        <v>39583</v>
      </c>
      <c r="G221" s="91">
        <v>39469</v>
      </c>
      <c r="H221" s="91">
        <v>38494</v>
      </c>
      <c r="I221" s="91">
        <f t="shared" si="111"/>
        <v>39182</v>
      </c>
      <c r="J221" s="91">
        <f t="shared" si="112"/>
        <v>1.04</v>
      </c>
      <c r="K221" s="128">
        <f t="shared" si="113"/>
        <v>2</v>
      </c>
    </row>
    <row r="222" spans="1:12">
      <c r="A222" s="113"/>
      <c r="C222" s="112"/>
      <c r="D222" s="110">
        <v>5</v>
      </c>
      <c r="E222" s="90" t="s">
        <v>207</v>
      </c>
      <c r="F222" s="91">
        <v>51740</v>
      </c>
      <c r="G222" s="91">
        <v>51949</v>
      </c>
      <c r="H222" s="91">
        <v>54466</v>
      </c>
      <c r="I222" s="91">
        <f t="shared" si="111"/>
        <v>52718</v>
      </c>
      <c r="J222" s="91">
        <f t="shared" si="112"/>
        <v>1.4</v>
      </c>
      <c r="K222" s="128">
        <f t="shared" si="113"/>
        <v>2</v>
      </c>
    </row>
    <row r="223" spans="1:12">
      <c r="A223" s="113"/>
      <c r="C223" s="112"/>
      <c r="D223" s="110">
        <v>6</v>
      </c>
      <c r="E223" s="90" t="s">
        <v>208</v>
      </c>
      <c r="F223" s="91">
        <v>30147</v>
      </c>
      <c r="G223" s="91">
        <v>30187</v>
      </c>
      <c r="H223" s="91">
        <v>30490</v>
      </c>
      <c r="I223" s="91">
        <f t="shared" si="111"/>
        <v>30275</v>
      </c>
      <c r="J223" s="91">
        <f t="shared" si="112"/>
        <v>0.81</v>
      </c>
      <c r="K223" s="128">
        <v>2</v>
      </c>
    </row>
    <row r="224" spans="1:12">
      <c r="A224" s="113"/>
      <c r="C224" s="112"/>
      <c r="D224" s="110"/>
      <c r="E224" s="90" t="s">
        <v>209</v>
      </c>
      <c r="F224" s="91">
        <v>18504</v>
      </c>
      <c r="G224" s="91">
        <v>16856</v>
      </c>
      <c r="H224" s="91">
        <v>16251</v>
      </c>
      <c r="I224" s="91">
        <f t="shared" si="111"/>
        <v>17204</v>
      </c>
      <c r="J224" s="91">
        <f t="shared" si="112"/>
        <v>0.46</v>
      </c>
      <c r="K224" s="128" t="str">
        <f t="shared" si="113"/>
        <v/>
      </c>
    </row>
    <row r="225" spans="1:11">
      <c r="A225" s="113"/>
      <c r="C225" s="124"/>
      <c r="D225" s="115"/>
      <c r="E225" s="116" t="s">
        <v>293</v>
      </c>
      <c r="F225" s="117">
        <f>SUM(F217:F224)</f>
        <v>350770</v>
      </c>
      <c r="G225" s="117">
        <f>SUM(G217:G224)</f>
        <v>377853</v>
      </c>
      <c r="H225" s="117">
        <f>SUM(H217:H224)</f>
        <v>340664</v>
      </c>
      <c r="I225" s="117">
        <f>SUM(I217:I224)</f>
        <v>356429</v>
      </c>
      <c r="J225" s="117">
        <f>SUM(J217:J224)</f>
        <v>9.49</v>
      </c>
      <c r="K225" s="130">
        <f>SUM(K217:K223)</f>
        <v>12</v>
      </c>
    </row>
    <row r="226" spans="1:11">
      <c r="A226" s="113"/>
      <c r="C226" s="109" t="s">
        <v>210</v>
      </c>
      <c r="D226" s="110">
        <v>1</v>
      </c>
      <c r="E226" s="90" t="s">
        <v>211</v>
      </c>
      <c r="F226" s="91">
        <v>43401</v>
      </c>
      <c r="G226" s="91">
        <v>41842</v>
      </c>
      <c r="H226" s="91">
        <v>50520</v>
      </c>
      <c r="I226" s="91">
        <f t="shared" ref="I226:I233" si="114">IF(AND(F226="NA",G226="NA",H226="NA"),0,ROUND(AVERAGE(F226:H226),0))</f>
        <v>45254</v>
      </c>
      <c r="J226" s="91">
        <f t="shared" ref="J226:J233" si="115">ROUND(I226*340/I$299,2)</f>
        <v>1.21</v>
      </c>
      <c r="K226" s="128">
        <f t="shared" ref="K226:K233" si="116">IF(J226&gt;=2,ROUND(J226,0),IF(J226&gt;1,2,""))</f>
        <v>2</v>
      </c>
    </row>
    <row r="227" spans="1:11">
      <c r="A227" s="113"/>
      <c r="C227" s="112"/>
      <c r="D227" s="110">
        <v>2</v>
      </c>
      <c r="E227" s="90" t="s">
        <v>210</v>
      </c>
      <c r="F227" s="91">
        <v>50953</v>
      </c>
      <c r="G227" s="91">
        <v>45280</v>
      </c>
      <c r="H227" s="91">
        <v>51578</v>
      </c>
      <c r="I227" s="91">
        <f t="shared" si="114"/>
        <v>49270</v>
      </c>
      <c r="J227" s="91">
        <f t="shared" si="115"/>
        <v>1.31</v>
      </c>
      <c r="K227" s="128">
        <f t="shared" si="116"/>
        <v>2</v>
      </c>
    </row>
    <row r="228" spans="1:11">
      <c r="A228" s="113"/>
      <c r="C228" s="112"/>
      <c r="D228" s="110">
        <v>3</v>
      </c>
      <c r="E228" s="90" t="s">
        <v>212</v>
      </c>
      <c r="F228" s="91">
        <v>39595</v>
      </c>
      <c r="G228" s="91">
        <v>36829</v>
      </c>
      <c r="H228" s="91">
        <v>50849</v>
      </c>
      <c r="I228" s="91">
        <f t="shared" si="114"/>
        <v>42424</v>
      </c>
      <c r="J228" s="91">
        <f t="shared" si="115"/>
        <v>1.1299999999999999</v>
      </c>
      <c r="K228" s="128"/>
    </row>
    <row r="229" spans="1:11">
      <c r="A229" s="113"/>
      <c r="C229" s="112"/>
      <c r="D229" s="110"/>
      <c r="E229" s="90" t="s">
        <v>213</v>
      </c>
      <c r="F229" s="91">
        <v>54360</v>
      </c>
      <c r="G229" s="91">
        <v>59934</v>
      </c>
      <c r="H229" s="91">
        <v>62603</v>
      </c>
      <c r="I229" s="91">
        <f t="shared" si="114"/>
        <v>58966</v>
      </c>
      <c r="J229" s="91">
        <f t="shared" si="115"/>
        <v>1.57</v>
      </c>
      <c r="K229" s="128">
        <f t="shared" si="116"/>
        <v>2</v>
      </c>
    </row>
    <row r="230" spans="1:11">
      <c r="A230" s="113"/>
      <c r="C230" s="112"/>
      <c r="D230" s="110">
        <v>4</v>
      </c>
      <c r="E230" s="90" t="s">
        <v>214</v>
      </c>
      <c r="F230" s="91">
        <v>43890</v>
      </c>
      <c r="G230" s="91">
        <v>47461</v>
      </c>
      <c r="H230" s="91">
        <v>56104</v>
      </c>
      <c r="I230" s="91">
        <f t="shared" si="114"/>
        <v>49152</v>
      </c>
      <c r="J230" s="91">
        <f t="shared" si="115"/>
        <v>1.31</v>
      </c>
      <c r="K230" s="128">
        <f t="shared" si="116"/>
        <v>2</v>
      </c>
    </row>
    <row r="231" spans="1:11">
      <c r="A231" s="113"/>
      <c r="C231" s="112"/>
      <c r="D231" s="110">
        <v>5</v>
      </c>
      <c r="E231" s="90" t="s">
        <v>215</v>
      </c>
      <c r="F231" s="91">
        <v>50585</v>
      </c>
      <c r="G231" s="91">
        <v>56510</v>
      </c>
      <c r="H231" s="91">
        <v>53057</v>
      </c>
      <c r="I231" s="91">
        <f t="shared" si="114"/>
        <v>53384</v>
      </c>
      <c r="J231" s="91">
        <f t="shared" si="115"/>
        <v>1.42</v>
      </c>
      <c r="K231" s="128">
        <f t="shared" si="116"/>
        <v>2</v>
      </c>
    </row>
    <row r="232" spans="1:11">
      <c r="A232" s="113"/>
      <c r="C232" s="112"/>
      <c r="D232" s="110"/>
      <c r="E232" s="90" t="s">
        <v>216</v>
      </c>
      <c r="F232" s="91">
        <v>21486</v>
      </c>
      <c r="G232" s="91">
        <v>20023</v>
      </c>
      <c r="H232" s="91">
        <v>20576</v>
      </c>
      <c r="I232" s="91">
        <f t="shared" si="114"/>
        <v>20695</v>
      </c>
      <c r="J232" s="91">
        <f t="shared" si="115"/>
        <v>0.55000000000000004</v>
      </c>
      <c r="K232" s="128" t="str">
        <f t="shared" si="116"/>
        <v/>
      </c>
    </row>
    <row r="233" spans="1:11">
      <c r="A233" s="113"/>
      <c r="C233" s="112"/>
      <c r="D233" s="110"/>
      <c r="E233" s="90" t="s">
        <v>217</v>
      </c>
      <c r="F233" s="91">
        <v>20184</v>
      </c>
      <c r="G233" s="91">
        <v>19955</v>
      </c>
      <c r="H233" s="91">
        <v>20960</v>
      </c>
      <c r="I233" s="91">
        <f t="shared" si="114"/>
        <v>20366</v>
      </c>
      <c r="J233" s="91">
        <f t="shared" si="115"/>
        <v>0.54</v>
      </c>
      <c r="K233" s="128" t="str">
        <f t="shared" si="116"/>
        <v/>
      </c>
    </row>
    <row r="234" spans="1:11">
      <c r="A234" s="113"/>
      <c r="C234" s="124"/>
      <c r="D234" s="115"/>
      <c r="E234" s="116" t="s">
        <v>293</v>
      </c>
      <c r="F234" s="135">
        <f t="shared" ref="F234:K234" si="117">SUM(F226:F233)</f>
        <v>324454</v>
      </c>
      <c r="G234" s="135">
        <f t="shared" si="117"/>
        <v>327834</v>
      </c>
      <c r="H234" s="135">
        <f t="shared" si="117"/>
        <v>366247</v>
      </c>
      <c r="I234" s="135">
        <f t="shared" si="117"/>
        <v>339511</v>
      </c>
      <c r="J234" s="135">
        <f t="shared" si="117"/>
        <v>9.0399999999999991</v>
      </c>
      <c r="K234" s="130">
        <f t="shared" si="117"/>
        <v>10</v>
      </c>
    </row>
    <row r="235" spans="1:11">
      <c r="A235" s="113"/>
      <c r="C235" s="109" t="s">
        <v>218</v>
      </c>
      <c r="D235" s="110">
        <v>1</v>
      </c>
      <c r="E235" s="90" t="s">
        <v>219</v>
      </c>
      <c r="F235" s="91">
        <v>40965</v>
      </c>
      <c r="G235" s="91">
        <v>41737</v>
      </c>
      <c r="H235" s="91">
        <v>40435</v>
      </c>
      <c r="I235" s="91">
        <f t="shared" ref="I235:I240" si="118">IF(AND(F235="NA",G235="NA",H235="NA"),0,ROUND(AVERAGE(F235:H235),0))</f>
        <v>41046</v>
      </c>
      <c r="J235" s="91">
        <f t="shared" ref="J235:J240" si="119">ROUND(I235*340/I$299,2)</f>
        <v>1.0900000000000001</v>
      </c>
      <c r="K235" s="128">
        <f t="shared" ref="K235:K240" si="120">IF(J235&gt;=2,ROUND(J235,0),IF(J235&gt;1,2,""))</f>
        <v>2</v>
      </c>
    </row>
    <row r="236" spans="1:11">
      <c r="A236" s="113"/>
      <c r="C236" s="112"/>
      <c r="D236" s="110">
        <v>2</v>
      </c>
      <c r="E236" s="90" t="s">
        <v>220</v>
      </c>
      <c r="F236" s="91">
        <v>54304</v>
      </c>
      <c r="G236" s="91">
        <v>40237</v>
      </c>
      <c r="H236" s="91">
        <v>40045</v>
      </c>
      <c r="I236" s="91">
        <f t="shared" si="118"/>
        <v>44862</v>
      </c>
      <c r="J236" s="91">
        <f t="shared" si="119"/>
        <v>1.2</v>
      </c>
      <c r="K236" s="128">
        <f t="shared" si="120"/>
        <v>2</v>
      </c>
    </row>
    <row r="237" spans="1:11">
      <c r="A237" s="113"/>
      <c r="C237" s="112"/>
      <c r="D237" s="110">
        <v>3</v>
      </c>
      <c r="E237" s="90" t="s">
        <v>221</v>
      </c>
      <c r="F237" s="91">
        <v>39595</v>
      </c>
      <c r="G237" s="91">
        <v>31855</v>
      </c>
      <c r="H237" s="91">
        <v>40916</v>
      </c>
      <c r="I237" s="91">
        <f t="shared" si="118"/>
        <v>37455</v>
      </c>
      <c r="J237" s="91">
        <f t="shared" si="119"/>
        <v>1</v>
      </c>
      <c r="K237" s="128" t="str">
        <f t="shared" si="120"/>
        <v/>
      </c>
    </row>
    <row r="238" spans="1:11">
      <c r="A238" s="113"/>
      <c r="C238" s="112"/>
      <c r="D238" s="110"/>
      <c r="E238" s="90" t="s">
        <v>222</v>
      </c>
      <c r="F238" s="91">
        <v>41963</v>
      </c>
      <c r="G238" s="91">
        <v>33463</v>
      </c>
      <c r="H238" s="91">
        <v>35128</v>
      </c>
      <c r="I238" s="91">
        <f t="shared" si="118"/>
        <v>36851</v>
      </c>
      <c r="J238" s="91">
        <f t="shared" si="119"/>
        <v>0.98</v>
      </c>
      <c r="K238" s="128" t="str">
        <f t="shared" si="120"/>
        <v/>
      </c>
    </row>
    <row r="239" spans="1:11">
      <c r="A239" s="113"/>
      <c r="C239" s="112"/>
      <c r="D239" s="110">
        <v>4</v>
      </c>
      <c r="E239" s="90" t="s">
        <v>223</v>
      </c>
      <c r="F239" s="91">
        <v>46135</v>
      </c>
      <c r="G239" s="91">
        <v>32966</v>
      </c>
      <c r="H239" s="91">
        <v>36075</v>
      </c>
      <c r="I239" s="91">
        <f t="shared" si="118"/>
        <v>38392</v>
      </c>
      <c r="J239" s="91">
        <f t="shared" si="119"/>
        <v>1.02</v>
      </c>
      <c r="K239" s="128">
        <f t="shared" si="120"/>
        <v>2</v>
      </c>
    </row>
    <row r="240" spans="1:11">
      <c r="A240" s="113"/>
      <c r="C240" s="112"/>
      <c r="D240" s="110"/>
      <c r="E240" s="90" t="s">
        <v>224</v>
      </c>
      <c r="F240" s="91">
        <v>34570</v>
      </c>
      <c r="G240" s="91">
        <v>44878</v>
      </c>
      <c r="H240" s="91">
        <v>41452</v>
      </c>
      <c r="I240" s="91">
        <f t="shared" si="118"/>
        <v>40300</v>
      </c>
      <c r="J240" s="91">
        <f t="shared" si="119"/>
        <v>1.07</v>
      </c>
      <c r="K240" s="128">
        <f t="shared" si="120"/>
        <v>2</v>
      </c>
    </row>
    <row r="241" spans="1:11">
      <c r="A241" s="113"/>
      <c r="C241" s="124"/>
      <c r="D241" s="115"/>
      <c r="E241" s="116" t="s">
        <v>293</v>
      </c>
      <c r="F241" s="117">
        <f t="shared" ref="F241:K241" si="121">SUM(F235:F240)</f>
        <v>257532</v>
      </c>
      <c r="G241" s="117">
        <f t="shared" si="121"/>
        <v>225136</v>
      </c>
      <c r="H241" s="117">
        <f t="shared" si="121"/>
        <v>234051</v>
      </c>
      <c r="I241" s="117">
        <f t="shared" si="121"/>
        <v>238906</v>
      </c>
      <c r="J241" s="117">
        <f t="shared" si="121"/>
        <v>6.3599999999999994</v>
      </c>
      <c r="K241" s="130">
        <f t="shared" si="121"/>
        <v>8</v>
      </c>
    </row>
    <row r="242" spans="1:11">
      <c r="A242" s="113"/>
      <c r="C242" s="109" t="s">
        <v>225</v>
      </c>
      <c r="D242" s="110">
        <v>1</v>
      </c>
      <c r="E242" s="90" t="s">
        <v>226</v>
      </c>
      <c r="F242" s="91">
        <v>20862</v>
      </c>
      <c r="G242" s="91">
        <v>20688</v>
      </c>
      <c r="H242" s="91">
        <v>20458</v>
      </c>
      <c r="I242" s="91">
        <f t="shared" ref="I242:I246" si="122">IF(AND(F242="NA",G242="NA",H242="NA"),0,ROUND(AVERAGE(F242:H242),0))</f>
        <v>20669</v>
      </c>
      <c r="J242" s="91">
        <f>ROUND(I242*340/I$299,2)</f>
        <v>0.55000000000000004</v>
      </c>
      <c r="K242" s="128" t="str">
        <f t="shared" ref="K242:K246" si="123">IF(J242&gt;=2,ROUND(J242,0),IF(J242&gt;1,2,""))</f>
        <v/>
      </c>
    </row>
    <row r="243" spans="1:11">
      <c r="A243" s="113"/>
      <c r="C243" s="112"/>
      <c r="D243" s="110"/>
      <c r="E243" s="90" t="s">
        <v>227</v>
      </c>
      <c r="F243" s="91">
        <v>34904</v>
      </c>
      <c r="G243" s="91">
        <v>38800</v>
      </c>
      <c r="H243" s="91">
        <v>37345</v>
      </c>
      <c r="I243" s="91">
        <f t="shared" si="122"/>
        <v>37016</v>
      </c>
      <c r="J243" s="91">
        <f>ROUND(I243*340/I$299,2)</f>
        <v>0.99</v>
      </c>
      <c r="K243" s="128">
        <v>2</v>
      </c>
    </row>
    <row r="244" spans="1:11">
      <c r="A244" s="113"/>
      <c r="C244" s="112"/>
      <c r="D244" s="110">
        <v>2</v>
      </c>
      <c r="E244" s="90" t="s">
        <v>228</v>
      </c>
      <c r="F244" s="91">
        <v>30015</v>
      </c>
      <c r="G244" s="91">
        <v>28959</v>
      </c>
      <c r="H244" s="91">
        <v>33225</v>
      </c>
      <c r="I244" s="91">
        <f t="shared" si="122"/>
        <v>30733</v>
      </c>
      <c r="J244" s="91">
        <f>ROUND(I244*340/I$299,2)</f>
        <v>0.82</v>
      </c>
      <c r="K244" s="128">
        <v>2</v>
      </c>
    </row>
    <row r="245" spans="1:11">
      <c r="A245" s="113"/>
      <c r="C245" s="112"/>
      <c r="D245" s="110"/>
      <c r="E245" s="90" t="s">
        <v>229</v>
      </c>
      <c r="F245" s="91">
        <v>19130</v>
      </c>
      <c r="G245" s="91">
        <v>17380</v>
      </c>
      <c r="H245" s="91">
        <v>20392</v>
      </c>
      <c r="I245" s="91">
        <f t="shared" si="122"/>
        <v>18967</v>
      </c>
      <c r="J245" s="91">
        <f>ROUND(I245*340/I$299,2)</f>
        <v>0.51</v>
      </c>
      <c r="K245" s="128" t="str">
        <f t="shared" si="123"/>
        <v/>
      </c>
    </row>
    <row r="246" spans="1:11">
      <c r="A246" s="113"/>
      <c r="C246" s="112"/>
      <c r="D246" s="110"/>
      <c r="E246" s="90" t="s">
        <v>230</v>
      </c>
      <c r="F246" s="91">
        <v>22108</v>
      </c>
      <c r="G246" s="91">
        <v>19432</v>
      </c>
      <c r="H246" s="91">
        <v>21747</v>
      </c>
      <c r="I246" s="91">
        <f t="shared" si="122"/>
        <v>21096</v>
      </c>
      <c r="J246" s="91">
        <f>ROUND(I246*340/I$299,2)</f>
        <v>0.56000000000000005</v>
      </c>
      <c r="K246" s="128" t="str">
        <f t="shared" si="123"/>
        <v/>
      </c>
    </row>
    <row r="247" spans="1:11">
      <c r="A247" s="113"/>
      <c r="C247" s="124"/>
      <c r="D247" s="115"/>
      <c r="E247" s="116" t="s">
        <v>293</v>
      </c>
      <c r="F247" s="117">
        <f t="shared" ref="F247:K247" si="124">SUM(F242:F246)</f>
        <v>127019</v>
      </c>
      <c r="G247" s="117">
        <f t="shared" si="124"/>
        <v>125259</v>
      </c>
      <c r="H247" s="117">
        <f t="shared" si="124"/>
        <v>133167</v>
      </c>
      <c r="I247" s="117">
        <f t="shared" si="124"/>
        <v>128481</v>
      </c>
      <c r="J247" s="117">
        <f t="shared" si="124"/>
        <v>3.43</v>
      </c>
      <c r="K247" s="130">
        <f t="shared" si="124"/>
        <v>4</v>
      </c>
    </row>
    <row r="248" spans="1:11">
      <c r="A248" s="113"/>
      <c r="C248" s="109" t="s">
        <v>231</v>
      </c>
      <c r="D248" s="110">
        <v>1</v>
      </c>
      <c r="E248" s="90" t="s">
        <v>232</v>
      </c>
      <c r="F248" s="91">
        <v>61231</v>
      </c>
      <c r="G248" s="91">
        <v>58528</v>
      </c>
      <c r="H248" s="91">
        <v>55998</v>
      </c>
      <c r="I248" s="91">
        <f t="shared" ref="I248:I256" si="125">IF(AND(F248="NA",G248="NA",H248="NA"),0,ROUND(AVERAGE(F248:H248),0))</f>
        <v>58586</v>
      </c>
      <c r="J248" s="91">
        <f t="shared" ref="J248:J256" si="126">ROUND(I248*340/I$299,2)</f>
        <v>1.56</v>
      </c>
      <c r="K248" s="128">
        <f t="shared" ref="K248:K256" si="127">IF(J248&gt;=2,ROUND(J248,0),IF(J248&gt;1,2,""))</f>
        <v>2</v>
      </c>
    </row>
    <row r="249" spans="1:11">
      <c r="A249" s="113"/>
      <c r="C249" s="112"/>
      <c r="D249" s="110">
        <v>2</v>
      </c>
      <c r="E249" s="90" t="s">
        <v>233</v>
      </c>
      <c r="F249" s="91">
        <v>37851</v>
      </c>
      <c r="G249" s="91">
        <v>38555</v>
      </c>
      <c r="H249" s="91">
        <v>34620</v>
      </c>
      <c r="I249" s="91">
        <f t="shared" si="125"/>
        <v>37009</v>
      </c>
      <c r="J249" s="91">
        <f t="shared" si="126"/>
        <v>0.99</v>
      </c>
      <c r="K249" s="128" t="str">
        <f t="shared" si="127"/>
        <v/>
      </c>
    </row>
    <row r="250" spans="1:11">
      <c r="A250" s="113"/>
      <c r="C250" s="112"/>
      <c r="D250" s="110"/>
      <c r="E250" s="90" t="s">
        <v>234</v>
      </c>
      <c r="F250" s="91">
        <v>38690</v>
      </c>
      <c r="G250" s="91">
        <v>36685</v>
      </c>
      <c r="H250" s="91">
        <v>36703</v>
      </c>
      <c r="I250" s="91">
        <f t="shared" si="125"/>
        <v>37359</v>
      </c>
      <c r="J250" s="91">
        <f t="shared" si="126"/>
        <v>1</v>
      </c>
      <c r="K250" s="128">
        <v>2</v>
      </c>
    </row>
    <row r="251" spans="1:11">
      <c r="A251" s="113"/>
      <c r="C251" s="112"/>
      <c r="D251" s="110">
        <v>3</v>
      </c>
      <c r="E251" s="90" t="s">
        <v>231</v>
      </c>
      <c r="F251" s="91">
        <v>45492</v>
      </c>
      <c r="G251" s="91">
        <v>43226</v>
      </c>
      <c r="H251" s="91">
        <v>47343</v>
      </c>
      <c r="I251" s="91">
        <f t="shared" si="125"/>
        <v>45354</v>
      </c>
      <c r="J251" s="91">
        <f t="shared" si="126"/>
        <v>1.21</v>
      </c>
      <c r="K251" s="128">
        <f t="shared" si="127"/>
        <v>2</v>
      </c>
    </row>
    <row r="252" spans="1:11">
      <c r="A252" s="113"/>
      <c r="C252" s="112"/>
      <c r="D252" s="110"/>
      <c r="E252" s="90" t="s">
        <v>235</v>
      </c>
      <c r="F252" s="91">
        <v>35920</v>
      </c>
      <c r="G252" s="91">
        <v>35504</v>
      </c>
      <c r="H252" s="91">
        <v>34446</v>
      </c>
      <c r="I252" s="91">
        <f t="shared" si="125"/>
        <v>35290</v>
      </c>
      <c r="J252" s="91">
        <f t="shared" si="126"/>
        <v>0.94</v>
      </c>
      <c r="K252" s="128" t="str">
        <f t="shared" si="127"/>
        <v/>
      </c>
    </row>
    <row r="253" spans="1:11">
      <c r="A253" s="113"/>
      <c r="C253" s="112"/>
      <c r="D253" s="110"/>
      <c r="E253" s="90" t="s">
        <v>236</v>
      </c>
      <c r="F253" s="91">
        <v>30109</v>
      </c>
      <c r="G253" s="91">
        <v>31659</v>
      </c>
      <c r="H253" s="91">
        <v>30200</v>
      </c>
      <c r="I253" s="91">
        <f t="shared" si="125"/>
        <v>30656</v>
      </c>
      <c r="J253" s="91">
        <f t="shared" si="126"/>
        <v>0.82</v>
      </c>
      <c r="K253" s="128" t="str">
        <f t="shared" si="127"/>
        <v/>
      </c>
    </row>
    <row r="254" spans="1:11">
      <c r="A254" s="113"/>
      <c r="C254" s="112"/>
      <c r="D254" s="110">
        <v>4</v>
      </c>
      <c r="E254" s="90" t="s">
        <v>237</v>
      </c>
      <c r="F254" s="91">
        <v>27545</v>
      </c>
      <c r="G254" s="91">
        <v>26371</v>
      </c>
      <c r="H254" s="91">
        <v>20891</v>
      </c>
      <c r="I254" s="91">
        <f t="shared" si="125"/>
        <v>24936</v>
      </c>
      <c r="J254" s="91">
        <f t="shared" si="126"/>
        <v>0.66</v>
      </c>
      <c r="K254" s="128" t="str">
        <f t="shared" si="127"/>
        <v/>
      </c>
    </row>
    <row r="255" spans="1:11">
      <c r="A255" s="113"/>
      <c r="C255" s="112"/>
      <c r="D255" s="110"/>
      <c r="E255" s="90" t="s">
        <v>238</v>
      </c>
      <c r="F255" s="91">
        <v>24411</v>
      </c>
      <c r="G255" s="91">
        <v>27956</v>
      </c>
      <c r="H255" s="91">
        <v>25655</v>
      </c>
      <c r="I255" s="91">
        <f t="shared" si="125"/>
        <v>26007</v>
      </c>
      <c r="J255" s="91">
        <f t="shared" si="126"/>
        <v>0.69</v>
      </c>
      <c r="K255" s="128">
        <v>2</v>
      </c>
    </row>
    <row r="256" spans="1:11">
      <c r="A256" s="113"/>
      <c r="C256" s="112"/>
      <c r="D256" s="110"/>
      <c r="E256" s="90" t="s">
        <v>239</v>
      </c>
      <c r="F256" s="91">
        <v>19382</v>
      </c>
      <c r="G256" s="91">
        <v>22982</v>
      </c>
      <c r="H256" s="91">
        <v>23408</v>
      </c>
      <c r="I256" s="91">
        <f t="shared" si="125"/>
        <v>21924</v>
      </c>
      <c r="J256" s="91">
        <f t="shared" si="126"/>
        <v>0.57999999999999996</v>
      </c>
      <c r="K256" s="128" t="str">
        <f t="shared" si="127"/>
        <v/>
      </c>
    </row>
    <row r="257" spans="1:11">
      <c r="A257" s="113"/>
      <c r="C257" s="124"/>
      <c r="D257" s="115"/>
      <c r="E257" s="116" t="s">
        <v>293</v>
      </c>
      <c r="F257" s="117">
        <f t="shared" ref="F257:K257" si="128">SUM(F248:F256)</f>
        <v>320631</v>
      </c>
      <c r="G257" s="117">
        <f t="shared" si="128"/>
        <v>321466</v>
      </c>
      <c r="H257" s="117">
        <f t="shared" si="128"/>
        <v>309264</v>
      </c>
      <c r="I257" s="117">
        <f t="shared" si="128"/>
        <v>317121</v>
      </c>
      <c r="J257" s="117">
        <f t="shared" si="128"/>
        <v>8.4499999999999993</v>
      </c>
      <c r="K257" s="130">
        <f t="shared" si="128"/>
        <v>8</v>
      </c>
    </row>
    <row r="258" spans="1:11">
      <c r="A258" s="113"/>
      <c r="B258" s="154"/>
      <c r="C258" s="120"/>
      <c r="D258" s="121"/>
      <c r="E258" s="122" t="s">
        <v>294</v>
      </c>
      <c r="F258" s="136">
        <f t="shared" ref="F258:K258" si="129">SUM(F209,F216,F225,F234,F241,F247,F257)</f>
        <v>1820155</v>
      </c>
      <c r="G258" s="136">
        <f t="shared" si="129"/>
        <v>1790484</v>
      </c>
      <c r="H258" s="136">
        <f t="shared" si="129"/>
        <v>1806987</v>
      </c>
      <c r="I258" s="136">
        <f t="shared" si="129"/>
        <v>1805875</v>
      </c>
      <c r="J258" s="136">
        <f t="shared" si="129"/>
        <v>48.09</v>
      </c>
      <c r="K258" s="147">
        <f t="shared" si="129"/>
        <v>52</v>
      </c>
    </row>
    <row r="259" spans="1:11">
      <c r="A259" s="113"/>
      <c r="B259" s="161" t="s">
        <v>240</v>
      </c>
      <c r="C259" s="112" t="s">
        <v>240</v>
      </c>
      <c r="D259" s="157">
        <v>1</v>
      </c>
      <c r="E259" s="124" t="s">
        <v>241</v>
      </c>
      <c r="F259" s="158">
        <v>40643</v>
      </c>
      <c r="G259" s="158">
        <v>49737</v>
      </c>
      <c r="H259" s="158">
        <v>46203</v>
      </c>
      <c r="I259" s="158">
        <f t="shared" ref="I259:I268" si="130">IF(AND(F259="NA",G259="NA",H259="NA"),0,ROUND(AVERAGE(F259:H259),0))</f>
        <v>45528</v>
      </c>
      <c r="J259" s="158">
        <f t="shared" ref="J259:J268" si="131">ROUND(I259*340/I$299,2)</f>
        <v>1.21</v>
      </c>
      <c r="K259" s="160">
        <f t="shared" ref="K259:K268" si="132">IF(J259&gt;=2,ROUND(J259,0),IF(J259&gt;1,2,""))</f>
        <v>2</v>
      </c>
    </row>
    <row r="260" spans="1:11">
      <c r="A260" s="113"/>
      <c r="B260" s="112"/>
      <c r="C260" s="112"/>
      <c r="D260" s="110"/>
      <c r="E260" s="90" t="s">
        <v>242</v>
      </c>
      <c r="F260" s="91">
        <v>35449</v>
      </c>
      <c r="G260" s="91">
        <v>36981</v>
      </c>
      <c r="H260" s="91">
        <v>34590</v>
      </c>
      <c r="I260" s="91">
        <f t="shared" si="130"/>
        <v>35673</v>
      </c>
      <c r="J260" s="91">
        <f t="shared" si="131"/>
        <v>0.95</v>
      </c>
      <c r="K260" s="128" t="str">
        <f t="shared" si="132"/>
        <v/>
      </c>
    </row>
    <row r="261" spans="1:11">
      <c r="A261" s="113"/>
      <c r="B261" s="112"/>
      <c r="C261" s="112"/>
      <c r="D261" s="110">
        <v>2</v>
      </c>
      <c r="E261" s="90" t="s">
        <v>243</v>
      </c>
      <c r="F261" s="91">
        <v>21604</v>
      </c>
      <c r="G261" s="91">
        <v>19205</v>
      </c>
      <c r="H261" s="91">
        <v>20163</v>
      </c>
      <c r="I261" s="91">
        <f t="shared" si="130"/>
        <v>20324</v>
      </c>
      <c r="J261" s="91">
        <f t="shared" si="131"/>
        <v>0.54</v>
      </c>
      <c r="K261" s="128" t="str">
        <f t="shared" si="132"/>
        <v/>
      </c>
    </row>
    <row r="262" spans="1:11">
      <c r="A262" s="113"/>
      <c r="B262" s="112"/>
      <c r="C262" s="112"/>
      <c r="D262" s="110"/>
      <c r="E262" s="90" t="s">
        <v>244</v>
      </c>
      <c r="F262" s="91">
        <v>56516</v>
      </c>
      <c r="G262" s="91">
        <v>51943</v>
      </c>
      <c r="H262" s="91">
        <v>36551</v>
      </c>
      <c r="I262" s="91">
        <f t="shared" si="130"/>
        <v>48337</v>
      </c>
      <c r="J262" s="91">
        <f t="shared" si="131"/>
        <v>1.29</v>
      </c>
      <c r="K262" s="128">
        <f t="shared" si="132"/>
        <v>2</v>
      </c>
    </row>
    <row r="263" spans="1:11">
      <c r="A263" s="113"/>
      <c r="B263" s="112"/>
      <c r="C263" s="112"/>
      <c r="D263" s="110"/>
      <c r="E263" s="90" t="s">
        <v>245</v>
      </c>
      <c r="F263" s="91">
        <v>33921</v>
      </c>
      <c r="G263" s="91">
        <v>26565</v>
      </c>
      <c r="H263" s="91">
        <v>26443</v>
      </c>
      <c r="I263" s="91">
        <f t="shared" si="130"/>
        <v>28976</v>
      </c>
      <c r="J263" s="91">
        <f t="shared" si="131"/>
        <v>0.77</v>
      </c>
      <c r="K263" s="128" t="str">
        <f t="shared" si="132"/>
        <v/>
      </c>
    </row>
    <row r="264" spans="1:11">
      <c r="A264" s="113"/>
      <c r="B264" s="112"/>
      <c r="C264" s="112"/>
      <c r="D264" s="110"/>
      <c r="E264" s="90" t="s">
        <v>246</v>
      </c>
      <c r="F264" s="91">
        <v>7050</v>
      </c>
      <c r="G264" s="91">
        <v>9506</v>
      </c>
      <c r="H264" s="91">
        <v>9503</v>
      </c>
      <c r="I264" s="91">
        <f t="shared" ref="I264" si="133">IF(AND(F264="NA",G264="NA",H264="NA"),0,ROUND(AVERAGE(F264:H264),0))</f>
        <v>8686</v>
      </c>
      <c r="J264" s="91">
        <f t="shared" si="131"/>
        <v>0.23</v>
      </c>
      <c r="K264" s="128" t="str">
        <f t="shared" si="132"/>
        <v/>
      </c>
    </row>
    <row r="265" spans="1:11">
      <c r="A265" s="113"/>
      <c r="B265" s="112"/>
      <c r="C265" s="112"/>
      <c r="D265" s="110">
        <v>3</v>
      </c>
      <c r="E265" s="90" t="s">
        <v>247</v>
      </c>
      <c r="F265" s="91">
        <v>15128</v>
      </c>
      <c r="G265" s="91">
        <v>16777</v>
      </c>
      <c r="H265" s="91">
        <v>9842</v>
      </c>
      <c r="I265" s="91">
        <f t="shared" si="130"/>
        <v>13916</v>
      </c>
      <c r="J265" s="91">
        <f t="shared" si="131"/>
        <v>0.37</v>
      </c>
      <c r="K265" s="128" t="str">
        <f t="shared" si="132"/>
        <v/>
      </c>
    </row>
    <row r="266" spans="1:11">
      <c r="A266" s="113"/>
      <c r="B266" s="112"/>
      <c r="C266" s="112"/>
      <c r="D266" s="110"/>
      <c r="E266" s="90" t="s">
        <v>248</v>
      </c>
      <c r="F266" s="91">
        <v>20033</v>
      </c>
      <c r="G266" s="91">
        <v>18484</v>
      </c>
      <c r="H266" s="91">
        <v>19343</v>
      </c>
      <c r="I266" s="91">
        <f t="shared" si="130"/>
        <v>19287</v>
      </c>
      <c r="J266" s="91">
        <f t="shared" si="131"/>
        <v>0.51</v>
      </c>
      <c r="K266" s="128" t="str">
        <f t="shared" si="132"/>
        <v/>
      </c>
    </row>
    <row r="267" spans="1:11">
      <c r="A267" s="113"/>
      <c r="B267" s="112"/>
      <c r="C267" s="112"/>
      <c r="D267" s="110"/>
      <c r="E267" s="90" t="s">
        <v>249</v>
      </c>
      <c r="F267" s="91">
        <v>34036</v>
      </c>
      <c r="G267" s="91">
        <v>33679</v>
      </c>
      <c r="H267" s="91">
        <v>19304</v>
      </c>
      <c r="I267" s="91">
        <f t="shared" si="130"/>
        <v>29006</v>
      </c>
      <c r="J267" s="91">
        <f t="shared" si="131"/>
        <v>0.77</v>
      </c>
      <c r="K267" s="128">
        <v>2</v>
      </c>
    </row>
    <row r="268" spans="1:11">
      <c r="A268" s="113"/>
      <c r="B268" s="112"/>
      <c r="C268" s="112"/>
      <c r="D268" s="110"/>
      <c r="E268" s="90" t="s">
        <v>250</v>
      </c>
      <c r="F268" s="91">
        <v>29731</v>
      </c>
      <c r="G268" s="91">
        <v>27238</v>
      </c>
      <c r="H268" s="91">
        <v>21520</v>
      </c>
      <c r="I268" s="91">
        <f t="shared" si="130"/>
        <v>26163</v>
      </c>
      <c r="J268" s="91">
        <f t="shared" si="131"/>
        <v>0.7</v>
      </c>
      <c r="K268" s="128" t="str">
        <f t="shared" si="132"/>
        <v/>
      </c>
    </row>
    <row r="269" spans="1:11">
      <c r="A269" s="113"/>
      <c r="B269" s="112"/>
      <c r="C269" s="124"/>
      <c r="D269" s="115"/>
      <c r="E269" s="116" t="s">
        <v>293</v>
      </c>
      <c r="F269" s="117">
        <f t="shared" ref="F269:K269" si="134">SUM(F259:F268)</f>
        <v>294111</v>
      </c>
      <c r="G269" s="135">
        <f t="shared" si="134"/>
        <v>290115</v>
      </c>
      <c r="H269" s="135">
        <f t="shared" si="134"/>
        <v>243462</v>
      </c>
      <c r="I269" s="117">
        <f t="shared" si="134"/>
        <v>275896</v>
      </c>
      <c r="J269" s="117">
        <f t="shared" si="134"/>
        <v>7.3400000000000007</v>
      </c>
      <c r="K269" s="130">
        <f t="shared" si="134"/>
        <v>6</v>
      </c>
    </row>
    <row r="270" spans="1:11">
      <c r="A270" s="113"/>
      <c r="B270" s="112"/>
      <c r="C270" s="109" t="s">
        <v>267</v>
      </c>
      <c r="D270" s="110">
        <v>1</v>
      </c>
      <c r="E270" s="90" t="s">
        <v>268</v>
      </c>
      <c r="F270" s="91">
        <v>24471</v>
      </c>
      <c r="G270" s="91">
        <v>15676</v>
      </c>
      <c r="H270" s="91">
        <v>17868</v>
      </c>
      <c r="I270" s="91">
        <f t="shared" ref="I270:I276" si="135">IF(AND(F270="NA",G270="NA",H270="NA"),0,ROUND(AVERAGE(F270:H270),0))</f>
        <v>19338</v>
      </c>
      <c r="J270" s="91">
        <f>ROUND(I270*340/I$299,2)</f>
        <v>0.52</v>
      </c>
      <c r="K270" s="128" t="str">
        <f t="shared" ref="K270:K276" si="136">IF(J270&gt;=2,ROUND(J270,0),IF(J270&gt;1,2,""))</f>
        <v/>
      </c>
    </row>
    <row r="271" spans="1:11">
      <c r="A271" s="113"/>
      <c r="B271" s="112"/>
      <c r="C271" s="112"/>
      <c r="D271" s="110"/>
      <c r="E271" s="90" t="s">
        <v>269</v>
      </c>
      <c r="F271" s="91">
        <v>21648</v>
      </c>
      <c r="G271" s="91">
        <v>19716</v>
      </c>
      <c r="H271" s="91">
        <v>18113</v>
      </c>
      <c r="I271" s="91">
        <f t="shared" si="135"/>
        <v>19826</v>
      </c>
      <c r="J271" s="91">
        <f t="shared" ref="J271:J276" si="137">ROUND(I271*340/I$299,2)</f>
        <v>0.53</v>
      </c>
      <c r="K271" s="128" t="str">
        <f t="shared" si="136"/>
        <v/>
      </c>
    </row>
    <row r="272" spans="1:11">
      <c r="A272" s="113"/>
      <c r="B272" s="112"/>
      <c r="C272" s="112"/>
      <c r="D272" s="110"/>
      <c r="E272" s="90" t="s">
        <v>270</v>
      </c>
      <c r="F272" s="91">
        <v>48139</v>
      </c>
      <c r="G272" s="91">
        <v>55643</v>
      </c>
      <c r="H272" s="91">
        <v>53865</v>
      </c>
      <c r="I272" s="91">
        <f t="shared" si="135"/>
        <v>52549</v>
      </c>
      <c r="J272" s="91">
        <f t="shared" si="137"/>
        <v>1.4</v>
      </c>
      <c r="K272" s="128">
        <f t="shared" si="136"/>
        <v>2</v>
      </c>
    </row>
    <row r="273" spans="1:11">
      <c r="A273" s="113"/>
      <c r="B273" s="112"/>
      <c r="C273" s="112"/>
      <c r="D273" s="110">
        <v>2</v>
      </c>
      <c r="E273" s="90" t="s">
        <v>271</v>
      </c>
      <c r="F273" s="91">
        <v>65685</v>
      </c>
      <c r="G273" s="91">
        <v>35788</v>
      </c>
      <c r="H273" s="91">
        <v>33050</v>
      </c>
      <c r="I273" s="91">
        <f t="shared" si="135"/>
        <v>44841</v>
      </c>
      <c r="J273" s="91">
        <f t="shared" si="137"/>
        <v>1.19</v>
      </c>
      <c r="K273" s="128">
        <f t="shared" si="136"/>
        <v>2</v>
      </c>
    </row>
    <row r="274" spans="1:11">
      <c r="A274" s="113"/>
      <c r="B274" s="112"/>
      <c r="C274" s="112"/>
      <c r="D274" s="110"/>
      <c r="E274" s="90" t="s">
        <v>272</v>
      </c>
      <c r="F274" s="91">
        <v>20770</v>
      </c>
      <c r="G274" s="91">
        <v>18732</v>
      </c>
      <c r="H274" s="91">
        <v>20710</v>
      </c>
      <c r="I274" s="91">
        <f t="shared" si="135"/>
        <v>20071</v>
      </c>
      <c r="J274" s="91">
        <f t="shared" si="137"/>
        <v>0.53</v>
      </c>
      <c r="K274" s="128" t="str">
        <f t="shared" si="136"/>
        <v/>
      </c>
    </row>
    <row r="275" spans="1:11">
      <c r="A275" s="113"/>
      <c r="B275" s="112"/>
      <c r="C275" s="112"/>
      <c r="D275" s="110"/>
      <c r="E275" s="90" t="s">
        <v>273</v>
      </c>
      <c r="F275" s="91">
        <v>0</v>
      </c>
      <c r="G275" s="91">
        <v>19993</v>
      </c>
      <c r="H275" s="91">
        <v>26023</v>
      </c>
      <c r="I275" s="91">
        <f t="shared" si="135"/>
        <v>15339</v>
      </c>
      <c r="J275" s="91">
        <f t="shared" si="137"/>
        <v>0.41</v>
      </c>
      <c r="K275" s="128" t="str">
        <f t="shared" si="136"/>
        <v/>
      </c>
    </row>
    <row r="276" spans="1:11">
      <c r="A276" s="113"/>
      <c r="B276" s="112"/>
      <c r="C276" s="112"/>
      <c r="D276" s="110"/>
      <c r="E276" s="90" t="s">
        <v>300</v>
      </c>
      <c r="F276" s="91">
        <v>0</v>
      </c>
      <c r="G276" s="91">
        <v>13785</v>
      </c>
      <c r="H276" s="91">
        <v>15370</v>
      </c>
      <c r="I276" s="91">
        <f t="shared" si="135"/>
        <v>9718</v>
      </c>
      <c r="J276" s="91">
        <f t="shared" si="137"/>
        <v>0.26</v>
      </c>
      <c r="K276" s="128" t="str">
        <f t="shared" si="136"/>
        <v/>
      </c>
    </row>
    <row r="277" spans="1:11">
      <c r="A277" s="113"/>
      <c r="B277" s="112"/>
      <c r="C277" s="124"/>
      <c r="D277" s="115"/>
      <c r="E277" s="116" t="s">
        <v>293</v>
      </c>
      <c r="F277" s="117">
        <f t="shared" ref="F277:K277" si="138">SUM(F270:F276)</f>
        <v>180713</v>
      </c>
      <c r="G277" s="135">
        <f t="shared" si="138"/>
        <v>179333</v>
      </c>
      <c r="H277" s="117">
        <f t="shared" si="138"/>
        <v>184999</v>
      </c>
      <c r="I277" s="117">
        <f t="shared" si="138"/>
        <v>181682</v>
      </c>
      <c r="J277" s="117">
        <f t="shared" si="138"/>
        <v>4.84</v>
      </c>
      <c r="K277" s="130">
        <f t="shared" si="138"/>
        <v>4</v>
      </c>
    </row>
    <row r="278" spans="1:11">
      <c r="A278" s="113"/>
      <c r="B278" s="112"/>
      <c r="C278" s="109" t="s">
        <v>251</v>
      </c>
      <c r="D278" s="110">
        <v>1</v>
      </c>
      <c r="E278" s="125" t="s">
        <v>252</v>
      </c>
      <c r="F278" s="91">
        <v>32633</v>
      </c>
      <c r="G278" s="91">
        <v>27589</v>
      </c>
      <c r="H278" s="91">
        <v>27463</v>
      </c>
      <c r="I278" s="91">
        <f t="shared" ref="I278:I280" si="139">IF(AND(F278="NA",G278="NA",H278="NA"),0,ROUND(AVERAGE(F278:H278),0))</f>
        <v>29228</v>
      </c>
      <c r="J278" s="91">
        <f>ROUND(I278*340/I$299,2)</f>
        <v>0.78</v>
      </c>
      <c r="K278" s="128">
        <v>2</v>
      </c>
    </row>
    <row r="279" spans="1:11">
      <c r="A279" s="113"/>
      <c r="B279" s="112"/>
      <c r="C279" s="112"/>
      <c r="D279" s="110"/>
      <c r="E279" s="125" t="s">
        <v>253</v>
      </c>
      <c r="F279" s="91">
        <v>29727</v>
      </c>
      <c r="G279" s="91">
        <v>24473</v>
      </c>
      <c r="H279" s="91">
        <v>23982</v>
      </c>
      <c r="I279" s="91">
        <f t="shared" si="139"/>
        <v>26061</v>
      </c>
      <c r="J279" s="91">
        <f>ROUND(I279*340/I$299,2)</f>
        <v>0.69</v>
      </c>
      <c r="K279" s="128" t="str">
        <f t="shared" ref="K279:K280" si="140">IF(J279&gt;=2,ROUND(J279,0),IF(J279&gt;1,2,""))</f>
        <v/>
      </c>
    </row>
    <row r="280" spans="1:11">
      <c r="A280" s="113"/>
      <c r="B280" s="112"/>
      <c r="C280" s="112"/>
      <c r="D280" s="110"/>
      <c r="E280" s="125" t="s">
        <v>254</v>
      </c>
      <c r="F280" s="91">
        <v>31220</v>
      </c>
      <c r="G280" s="91">
        <v>30742</v>
      </c>
      <c r="H280" s="91">
        <v>21014</v>
      </c>
      <c r="I280" s="91">
        <f t="shared" si="139"/>
        <v>27659</v>
      </c>
      <c r="J280" s="91">
        <f>ROUND(I280*340/I$299,2)</f>
        <v>0.74</v>
      </c>
      <c r="K280" s="128" t="str">
        <f t="shared" si="140"/>
        <v/>
      </c>
    </row>
    <row r="281" spans="1:11">
      <c r="A281" s="113"/>
      <c r="B281" s="112"/>
      <c r="C281" s="124"/>
      <c r="D281" s="115"/>
      <c r="E281" s="116" t="s">
        <v>293</v>
      </c>
      <c r="F281" s="117">
        <f>SUM(F278:F280)</f>
        <v>93580</v>
      </c>
      <c r="G281" s="117">
        <f>SUM(G278:G280)</f>
        <v>82804</v>
      </c>
      <c r="H281" s="117">
        <f>SUM(H278:H280)</f>
        <v>72459</v>
      </c>
      <c r="I281" s="117">
        <f>SUM(I278:I280)</f>
        <v>82948</v>
      </c>
      <c r="J281" s="117">
        <f>SUM(J278:J280)</f>
        <v>2.21</v>
      </c>
      <c r="K281" s="130">
        <f>SUM(K278)</f>
        <v>2</v>
      </c>
    </row>
    <row r="282" spans="1:11">
      <c r="A282" s="113"/>
      <c r="B282" s="124"/>
      <c r="C282" s="120"/>
      <c r="D282" s="121"/>
      <c r="E282" s="122" t="s">
        <v>294</v>
      </c>
      <c r="F282" s="123">
        <f t="shared" ref="F282:K282" si="141">SUM(F269,F277,F281)</f>
        <v>568404</v>
      </c>
      <c r="G282" s="136">
        <f t="shared" si="141"/>
        <v>552252</v>
      </c>
      <c r="H282" s="136">
        <f t="shared" si="141"/>
        <v>500920</v>
      </c>
      <c r="I282" s="123">
        <f t="shared" si="141"/>
        <v>540526</v>
      </c>
      <c r="J282" s="123">
        <f t="shared" si="141"/>
        <v>14.39</v>
      </c>
      <c r="K282" s="133">
        <f t="shared" si="141"/>
        <v>12</v>
      </c>
    </row>
    <row r="283" spans="1:11">
      <c r="A283" s="113"/>
      <c r="B283" s="161" t="s">
        <v>261</v>
      </c>
      <c r="C283" s="109" t="s">
        <v>255</v>
      </c>
      <c r="D283" s="110">
        <v>1</v>
      </c>
      <c r="E283" s="125" t="s">
        <v>255</v>
      </c>
      <c r="F283" s="91">
        <v>21020</v>
      </c>
      <c r="G283" s="91">
        <v>15154</v>
      </c>
      <c r="H283" s="91">
        <v>17930</v>
      </c>
      <c r="I283" s="91">
        <f t="shared" ref="I283:I288" si="142">IF(AND(F283="NA",G283="NA",H283="NA"),0,ROUND(AVERAGE(F283:H283),0))</f>
        <v>18035</v>
      </c>
      <c r="J283" s="91">
        <f t="shared" ref="J283:J288" si="143">ROUND(I283*340/I$299,2)</f>
        <v>0.48</v>
      </c>
      <c r="K283" s="128">
        <v>2</v>
      </c>
    </row>
    <row r="284" spans="1:11">
      <c r="A284" s="113"/>
      <c r="B284" s="112"/>
      <c r="C284" s="112"/>
      <c r="D284" s="110"/>
      <c r="E284" s="125" t="s">
        <v>256</v>
      </c>
      <c r="F284" s="91">
        <v>28840</v>
      </c>
      <c r="G284" s="91">
        <v>20080</v>
      </c>
      <c r="H284" s="91">
        <v>20587</v>
      </c>
      <c r="I284" s="91">
        <f t="shared" si="142"/>
        <v>23169</v>
      </c>
      <c r="J284" s="91">
        <f t="shared" si="143"/>
        <v>0.62</v>
      </c>
      <c r="K284" s="128" t="str">
        <f t="shared" ref="K284:K288" si="144">IF(J284&gt;=2,ROUND(J284,0),IF(J284&gt;1,2,""))</f>
        <v/>
      </c>
    </row>
    <row r="285" spans="1:11">
      <c r="A285" s="113"/>
      <c r="B285" s="112"/>
      <c r="C285" s="112"/>
      <c r="D285" s="110"/>
      <c r="E285" s="125" t="s">
        <v>257</v>
      </c>
      <c r="F285" s="91">
        <v>14414</v>
      </c>
      <c r="G285" s="91">
        <v>15215</v>
      </c>
      <c r="H285" s="91">
        <v>19305</v>
      </c>
      <c r="I285" s="91">
        <f t="shared" si="142"/>
        <v>16311</v>
      </c>
      <c r="J285" s="91">
        <f t="shared" si="143"/>
        <v>0.43</v>
      </c>
      <c r="K285" s="128" t="str">
        <f t="shared" si="144"/>
        <v/>
      </c>
    </row>
    <row r="286" spans="1:11">
      <c r="A286" s="113"/>
      <c r="B286" s="112"/>
      <c r="C286" s="112"/>
      <c r="D286" s="110"/>
      <c r="E286" s="125" t="s">
        <v>258</v>
      </c>
      <c r="F286" s="91">
        <v>22101</v>
      </c>
      <c r="G286" s="91">
        <v>25889</v>
      </c>
      <c r="H286" s="91">
        <v>24954</v>
      </c>
      <c r="I286" s="91">
        <f t="shared" si="142"/>
        <v>24315</v>
      </c>
      <c r="J286" s="91">
        <f t="shared" si="143"/>
        <v>0.65</v>
      </c>
      <c r="K286" s="128" t="str">
        <f t="shared" si="144"/>
        <v/>
      </c>
    </row>
    <row r="287" spans="1:11">
      <c r="A287" s="113"/>
      <c r="B287" s="112"/>
      <c r="C287" s="112"/>
      <c r="D287" s="110"/>
      <c r="E287" s="90" t="s">
        <v>259</v>
      </c>
      <c r="F287" s="91">
        <v>34503</v>
      </c>
      <c r="G287" s="91">
        <v>29192</v>
      </c>
      <c r="H287" s="91">
        <v>33052</v>
      </c>
      <c r="I287" s="91">
        <f t="shared" si="142"/>
        <v>32249</v>
      </c>
      <c r="J287" s="91">
        <f t="shared" si="143"/>
        <v>0.86</v>
      </c>
      <c r="K287" s="128" t="str">
        <f t="shared" si="144"/>
        <v/>
      </c>
    </row>
    <row r="288" spans="1:11">
      <c r="A288" s="113"/>
      <c r="B288" s="112"/>
      <c r="C288" s="112"/>
      <c r="D288" s="110"/>
      <c r="E288" s="125" t="s">
        <v>260</v>
      </c>
      <c r="F288" s="91">
        <v>11450</v>
      </c>
      <c r="G288" s="91">
        <v>8625</v>
      </c>
      <c r="H288" s="91">
        <v>8793</v>
      </c>
      <c r="I288" s="91">
        <f t="shared" si="142"/>
        <v>9623</v>
      </c>
      <c r="J288" s="91">
        <f t="shared" si="143"/>
        <v>0.26</v>
      </c>
      <c r="K288" s="128" t="str">
        <f t="shared" si="144"/>
        <v/>
      </c>
    </row>
    <row r="289" spans="1:11">
      <c r="A289" s="113"/>
      <c r="B289" s="112"/>
      <c r="C289" s="124"/>
      <c r="D289" s="115"/>
      <c r="E289" s="116" t="s">
        <v>293</v>
      </c>
      <c r="F289" s="117">
        <f t="shared" ref="F289:K289" si="145">SUM(F283:F288)</f>
        <v>132328</v>
      </c>
      <c r="G289" s="117">
        <f t="shared" si="145"/>
        <v>114155</v>
      </c>
      <c r="H289" s="117">
        <f t="shared" si="145"/>
        <v>124621</v>
      </c>
      <c r="I289" s="117">
        <f t="shared" si="145"/>
        <v>123702</v>
      </c>
      <c r="J289" s="117">
        <f t="shared" si="145"/>
        <v>3.3</v>
      </c>
      <c r="K289" s="130">
        <f t="shared" si="145"/>
        <v>2</v>
      </c>
    </row>
    <row r="290" spans="1:11">
      <c r="A290" s="113"/>
      <c r="B290" s="112"/>
      <c r="C290" s="109" t="s">
        <v>261</v>
      </c>
      <c r="D290" s="110">
        <v>1</v>
      </c>
      <c r="E290" s="125" t="s">
        <v>261</v>
      </c>
      <c r="F290" s="91">
        <v>41376</v>
      </c>
      <c r="G290" s="91">
        <v>41860</v>
      </c>
      <c r="H290" s="91">
        <v>40277</v>
      </c>
      <c r="I290" s="91">
        <f t="shared" ref="I290:I295" si="146">IF(AND(F290="NA",G290="NA",H290="NA"),0,ROUND(AVERAGE(F290:H290),0))</f>
        <v>41171</v>
      </c>
      <c r="J290" s="91">
        <f t="shared" ref="J290:J295" si="147">ROUND(I290*340/I$299,2)</f>
        <v>1.1000000000000001</v>
      </c>
      <c r="K290" s="128">
        <f t="shared" ref="K290:K295" si="148">IF(J290&gt;=2,ROUND(J290,0),IF(J290&gt;1,2,""))</f>
        <v>2</v>
      </c>
    </row>
    <row r="291" spans="1:11">
      <c r="A291" s="113"/>
      <c r="B291" s="112"/>
      <c r="C291" s="112"/>
      <c r="D291" s="110"/>
      <c r="E291" s="125" t="s">
        <v>262</v>
      </c>
      <c r="F291" s="91">
        <v>31776</v>
      </c>
      <c r="G291" s="91">
        <v>33862</v>
      </c>
      <c r="H291" s="91">
        <v>39676</v>
      </c>
      <c r="I291" s="91">
        <f t="shared" si="146"/>
        <v>35105</v>
      </c>
      <c r="J291" s="91">
        <f t="shared" si="147"/>
        <v>0.94</v>
      </c>
      <c r="K291" s="128" t="str">
        <f t="shared" si="148"/>
        <v/>
      </c>
    </row>
    <row r="292" spans="1:11">
      <c r="A292" s="113"/>
      <c r="B292" s="112"/>
      <c r="C292" s="112"/>
      <c r="D292" s="110"/>
      <c r="E292" s="125" t="s">
        <v>263</v>
      </c>
      <c r="F292" s="91">
        <v>33884</v>
      </c>
      <c r="G292" s="91">
        <v>32365</v>
      </c>
      <c r="H292" s="91">
        <v>31354</v>
      </c>
      <c r="I292" s="91">
        <f t="shared" si="146"/>
        <v>32534</v>
      </c>
      <c r="J292" s="91">
        <f t="shared" si="147"/>
        <v>0.87</v>
      </c>
      <c r="K292" s="128" t="str">
        <f t="shared" si="148"/>
        <v/>
      </c>
    </row>
    <row r="293" spans="1:11">
      <c r="A293" s="113"/>
      <c r="B293" s="112"/>
      <c r="C293" s="112"/>
      <c r="D293" s="110">
        <v>2</v>
      </c>
      <c r="E293" s="125" t="s">
        <v>264</v>
      </c>
      <c r="F293" s="91">
        <v>38183</v>
      </c>
      <c r="G293" s="91">
        <v>42782</v>
      </c>
      <c r="H293" s="91">
        <v>56287</v>
      </c>
      <c r="I293" s="91">
        <f t="shared" si="146"/>
        <v>45751</v>
      </c>
      <c r="J293" s="91">
        <f t="shared" si="147"/>
        <v>1.22</v>
      </c>
      <c r="K293" s="128">
        <f t="shared" si="148"/>
        <v>2</v>
      </c>
    </row>
    <row r="294" spans="1:11">
      <c r="A294" s="113"/>
      <c r="B294" s="112"/>
      <c r="C294" s="112"/>
      <c r="D294" s="110"/>
      <c r="E294" s="90" t="s">
        <v>265</v>
      </c>
      <c r="F294" s="91">
        <v>25605</v>
      </c>
      <c r="G294" s="91">
        <v>29644</v>
      </c>
      <c r="H294" s="91">
        <v>26199</v>
      </c>
      <c r="I294" s="91">
        <f t="shared" si="146"/>
        <v>27149</v>
      </c>
      <c r="J294" s="91">
        <f t="shared" si="147"/>
        <v>0.72</v>
      </c>
      <c r="K294" s="128" t="str">
        <f t="shared" si="148"/>
        <v/>
      </c>
    </row>
    <row r="295" spans="1:11">
      <c r="A295" s="113"/>
      <c r="B295" s="112"/>
      <c r="C295" s="112"/>
      <c r="D295" s="110"/>
      <c r="E295" s="125" t="s">
        <v>266</v>
      </c>
      <c r="F295" s="91">
        <v>8731</v>
      </c>
      <c r="G295" s="91">
        <v>9543</v>
      </c>
      <c r="H295" s="91">
        <v>11029</v>
      </c>
      <c r="I295" s="91">
        <f t="shared" si="146"/>
        <v>9768</v>
      </c>
      <c r="J295" s="91">
        <f t="shared" si="147"/>
        <v>0.26</v>
      </c>
      <c r="K295" s="128" t="str">
        <f t="shared" si="148"/>
        <v/>
      </c>
    </row>
    <row r="296" spans="1:11">
      <c r="A296" s="113"/>
      <c r="B296" s="112"/>
      <c r="C296" s="124"/>
      <c r="D296" s="115"/>
      <c r="E296" s="116" t="s">
        <v>293</v>
      </c>
      <c r="F296" s="117">
        <f t="shared" ref="F296:K296" si="149">SUM(F290:F295)</f>
        <v>179555</v>
      </c>
      <c r="G296" s="117">
        <f t="shared" si="149"/>
        <v>190056</v>
      </c>
      <c r="H296" s="117">
        <f t="shared" si="149"/>
        <v>204822</v>
      </c>
      <c r="I296" s="117">
        <f t="shared" si="149"/>
        <v>191478</v>
      </c>
      <c r="J296" s="117">
        <f t="shared" si="149"/>
        <v>5.1099999999999994</v>
      </c>
      <c r="K296" s="130">
        <f t="shared" si="149"/>
        <v>4</v>
      </c>
    </row>
    <row r="297" spans="1:11">
      <c r="A297" s="113"/>
      <c r="B297" s="124"/>
      <c r="C297" s="120"/>
      <c r="D297" s="121"/>
      <c r="E297" s="122" t="s">
        <v>294</v>
      </c>
      <c r="F297" s="123">
        <f t="shared" ref="F297:K297" si="150">SUM(F289,F296)</f>
        <v>311883</v>
      </c>
      <c r="G297" s="123">
        <f t="shared" si="150"/>
        <v>304211</v>
      </c>
      <c r="H297" s="123">
        <f t="shared" si="150"/>
        <v>329443</v>
      </c>
      <c r="I297" s="123">
        <f t="shared" si="150"/>
        <v>315180</v>
      </c>
      <c r="J297" s="123">
        <f t="shared" si="150"/>
        <v>8.41</v>
      </c>
      <c r="K297" s="133">
        <f t="shared" si="150"/>
        <v>6</v>
      </c>
    </row>
    <row r="298" spans="1:11">
      <c r="A298" s="137"/>
      <c r="B298" s="138"/>
      <c r="C298" s="139"/>
      <c r="D298" s="139"/>
      <c r="E298" s="140" t="s">
        <v>297</v>
      </c>
      <c r="F298" s="162">
        <f t="shared" ref="F298:K298" si="151">SUM(F164,F201,F258,F282,F297)</f>
        <v>6517945</v>
      </c>
      <c r="G298" s="162">
        <f t="shared" si="151"/>
        <v>6522586</v>
      </c>
      <c r="H298" s="162">
        <f t="shared" si="151"/>
        <v>6357495</v>
      </c>
      <c r="I298" s="162">
        <f t="shared" si="151"/>
        <v>6466012</v>
      </c>
      <c r="J298" s="141">
        <f t="shared" si="151"/>
        <v>172.24999999999997</v>
      </c>
      <c r="K298" s="167">
        <f t="shared" si="151"/>
        <v>177</v>
      </c>
    </row>
    <row r="299" spans="1:11">
      <c r="A299" s="163"/>
      <c r="B299" s="164"/>
      <c r="C299" s="164"/>
      <c r="D299" s="164"/>
      <c r="E299" s="165" t="s">
        <v>301</v>
      </c>
      <c r="F299" s="166">
        <f t="shared" ref="F299:K299" si="152">SUM(F126,F298)</f>
        <v>12949432</v>
      </c>
      <c r="G299" s="166">
        <f t="shared" si="152"/>
        <v>13108030</v>
      </c>
      <c r="H299" s="166">
        <f t="shared" si="152"/>
        <v>12233041</v>
      </c>
      <c r="I299" s="166">
        <f t="shared" si="152"/>
        <v>12763506</v>
      </c>
      <c r="J299" s="168">
        <f t="shared" si="152"/>
        <v>340.02</v>
      </c>
      <c r="K299" s="169">
        <f t="shared" si="152"/>
        <v>340</v>
      </c>
    </row>
    <row r="300" spans="1:11">
      <c r="F300" s="72"/>
      <c r="G300" s="72"/>
      <c r="H300" s="72"/>
      <c r="I300" s="72"/>
      <c r="J300" s="72"/>
    </row>
  </sheetData>
  <mergeCells count="12">
    <mergeCell ref="A1:K1"/>
    <mergeCell ref="A2:B2"/>
    <mergeCell ref="F3:H3"/>
    <mergeCell ref="A3:A4"/>
    <mergeCell ref="B3:B4"/>
    <mergeCell ref="C3:C4"/>
    <mergeCell ref="K3:K4"/>
    <mergeCell ref="C87:C88"/>
    <mergeCell ref="D3:D4"/>
    <mergeCell ref="E3:E4"/>
    <mergeCell ref="I3:I4"/>
    <mergeCell ref="J3:J4"/>
  </mergeCells>
  <conditionalFormatting sqref="E6">
    <cfRule type="duplicateValues" dxfId="21" priority="22"/>
  </conditionalFormatting>
  <conditionalFormatting sqref="E7">
    <cfRule type="duplicateValues" dxfId="20" priority="21"/>
  </conditionalFormatting>
  <conditionalFormatting sqref="E16">
    <cfRule type="duplicateValues" dxfId="19" priority="20"/>
  </conditionalFormatting>
  <conditionalFormatting sqref="E19">
    <cfRule type="duplicateValues" dxfId="18" priority="19"/>
  </conditionalFormatting>
  <conditionalFormatting sqref="E20">
    <cfRule type="duplicateValues" dxfId="17" priority="18"/>
  </conditionalFormatting>
  <conditionalFormatting sqref="E25">
    <cfRule type="duplicateValues" dxfId="16" priority="17"/>
  </conditionalFormatting>
  <conditionalFormatting sqref="E34">
    <cfRule type="duplicateValues" dxfId="15" priority="16"/>
  </conditionalFormatting>
  <conditionalFormatting sqref="E47">
    <cfRule type="duplicateValues" dxfId="14" priority="15"/>
  </conditionalFormatting>
  <conditionalFormatting sqref="E53">
    <cfRule type="duplicateValues" dxfId="13" priority="14"/>
  </conditionalFormatting>
  <conditionalFormatting sqref="E64">
    <cfRule type="duplicateValues" dxfId="12" priority="13"/>
  </conditionalFormatting>
  <conditionalFormatting sqref="E73">
    <cfRule type="duplicateValues" dxfId="11" priority="12"/>
  </conditionalFormatting>
  <conditionalFormatting sqref="E83">
    <cfRule type="duplicateValues" dxfId="10" priority="11"/>
  </conditionalFormatting>
  <conditionalFormatting sqref="E88">
    <cfRule type="duplicateValues" dxfId="9" priority="10"/>
  </conditionalFormatting>
  <conditionalFormatting sqref="E132">
    <cfRule type="duplicateValues" dxfId="8" priority="9"/>
  </conditionalFormatting>
  <conditionalFormatting sqref="E137">
    <cfRule type="duplicateValues" dxfId="7" priority="8"/>
  </conditionalFormatting>
  <conditionalFormatting sqref="E151">
    <cfRule type="duplicateValues" dxfId="6" priority="7"/>
  </conditionalFormatting>
  <conditionalFormatting sqref="E160">
    <cfRule type="duplicateValues" dxfId="5" priority="6"/>
  </conditionalFormatting>
  <conditionalFormatting sqref="E270">
    <cfRule type="duplicateValues" dxfId="4" priority="5"/>
  </conditionalFormatting>
  <conditionalFormatting sqref="E271:E274 E1:E5 E8:E14 E17:E18 E21:E24 E28:E31 E35:E41 E48:E52 E54 E65:E70 E74:E77 E84:E85 E89:E90 E133:E136 E138:E141 E153:E159 E161:E162 E276 E288 E295 E33 E44:E46 E56:E60 E62:E63 E72 E80:E82 E87 E92:E94 E97:E107 E109:E118 E120:E123 E127:E131 E143:E150 E165:E172 E174:E179 E181:E188 E190:E199 E202:E208 E210:E215 E217:E224 E226:E233 E235:E240 E242:E246 E248:E256 E259:E268 E278:E280 E283:E286 E290:E293 E300:E1048576 A299">
    <cfRule type="duplicateValues" dxfId="3" priority="23"/>
  </conditionalFormatting>
  <conditionalFormatting sqref="E275">
    <cfRule type="duplicateValues" dxfId="2" priority="4"/>
  </conditionalFormatting>
  <conditionalFormatting sqref="E287">
    <cfRule type="duplicateValues" dxfId="1" priority="3"/>
  </conditionalFormatting>
  <conditionalFormatting sqref="E294">
    <cfRule type="duplicateValues" dxfId="0" priority="2"/>
  </conditionalFormatting>
  <printOptions horizontalCentered="1"/>
  <pageMargins left="0.25" right="0.25" top="0.75" bottom="0.75" header="0.3" footer="0.3"/>
  <pageSetup scale="88" orientation="portrait" r:id="rId1"/>
  <headerFooter alignWithMargins="0">
    <oddFooter>&amp;C&amp;P</oddFooter>
  </headerFooter>
  <rowBreaks count="5" manualBreakCount="5">
    <brk id="55" max="10" man="1"/>
    <brk id="108" max="10" man="1"/>
    <brk id="164" max="10" man="1"/>
    <brk id="216" max="10" man="1"/>
    <brk id="269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K303"/>
  <sheetViews>
    <sheetView workbookViewId="0">
      <selection activeCell="N20" sqref="N20"/>
    </sheetView>
  </sheetViews>
  <sheetFormatPr defaultColWidth="8.88671875" defaultRowHeight="13.8"/>
  <cols>
    <col min="1" max="1" width="11" style="70" customWidth="1"/>
    <col min="2" max="2" width="10.33203125" style="70" customWidth="1"/>
    <col min="3" max="3" width="12.33203125" style="71" customWidth="1"/>
    <col min="4" max="4" width="7.33203125" style="71" customWidth="1"/>
    <col min="5" max="5" width="8" style="72" customWidth="1"/>
    <col min="6" max="6" width="30.44140625" style="70" customWidth="1"/>
    <col min="7" max="7" width="5.33203125" style="72" customWidth="1"/>
    <col min="8" max="8" width="7.44140625" style="72" customWidth="1"/>
    <col min="9" max="9" width="7.33203125" style="72" customWidth="1"/>
    <col min="10" max="16384" width="8.88671875" style="70"/>
  </cols>
  <sheetData>
    <row r="1" spans="1:9" ht="21.6" customHeight="1">
      <c r="A1" s="255" t="s">
        <v>302</v>
      </c>
      <c r="B1" s="255"/>
      <c r="C1" s="255"/>
      <c r="D1" s="255"/>
      <c r="E1" s="255"/>
      <c r="F1" s="255"/>
      <c r="G1" s="255"/>
      <c r="H1" s="255"/>
      <c r="I1" s="255"/>
    </row>
    <row r="2" spans="1:9" ht="21.6" customHeight="1">
      <c r="A2" s="255"/>
      <c r="B2" s="255"/>
      <c r="C2" s="255"/>
      <c r="D2" s="255"/>
      <c r="E2" s="255"/>
      <c r="F2" s="255"/>
      <c r="G2" s="255"/>
      <c r="H2" s="255"/>
      <c r="I2" s="255"/>
    </row>
    <row r="3" spans="1:9" ht="15.6">
      <c r="A3" s="262" t="str">
        <f>'1.0WS'!A2</f>
        <v>STATE: GUJARAT</v>
      </c>
      <c r="B3" s="262"/>
      <c r="D3" s="262" t="s">
        <v>303</v>
      </c>
      <c r="E3" s="262"/>
      <c r="F3" s="262"/>
      <c r="G3" s="263" t="str">
        <f>'1.0WS'!K2</f>
        <v>YEAR: 2026-27</v>
      </c>
      <c r="H3" s="263"/>
      <c r="I3" s="263"/>
    </row>
    <row r="4" spans="1:9">
      <c r="C4" s="72"/>
      <c r="D4" s="72"/>
      <c r="F4" s="72"/>
      <c r="I4" s="70"/>
    </row>
    <row r="5" spans="1:9" ht="43.2" customHeight="1">
      <c r="A5" s="253" t="s">
        <v>304</v>
      </c>
      <c r="B5" s="253" t="s">
        <v>279</v>
      </c>
      <c r="C5" s="253" t="s">
        <v>305</v>
      </c>
      <c r="D5" s="254" t="s">
        <v>306</v>
      </c>
      <c r="E5" s="253" t="s">
        <v>281</v>
      </c>
      <c r="F5" s="253" t="s">
        <v>307</v>
      </c>
      <c r="G5" s="254" t="s">
        <v>308</v>
      </c>
      <c r="H5" s="254" t="s">
        <v>309</v>
      </c>
      <c r="I5" s="254"/>
    </row>
    <row r="6" spans="1:9">
      <c r="A6" s="253"/>
      <c r="B6" s="253"/>
      <c r="C6" s="253"/>
      <c r="D6" s="254"/>
      <c r="E6" s="253"/>
      <c r="F6" s="253"/>
      <c r="G6" s="254"/>
      <c r="H6" s="87" t="s">
        <v>310</v>
      </c>
      <c r="I6" s="87" t="s">
        <v>311</v>
      </c>
    </row>
    <row r="7" spans="1:9">
      <c r="A7" s="242" t="s">
        <v>74</v>
      </c>
      <c r="B7" s="242" t="s">
        <v>291</v>
      </c>
      <c r="C7" s="242" t="s">
        <v>292</v>
      </c>
      <c r="D7" s="251" t="s">
        <v>312</v>
      </c>
      <c r="E7" s="89">
        <f>IF('1.0WS'!D5="","",'1.0WS'!D5)</f>
        <v>1</v>
      </c>
      <c r="F7" s="90" t="str">
        <f>'1.0WS'!E5</f>
        <v>Abdasa</v>
      </c>
      <c r="G7" s="91">
        <f>IF('1.0WS'!K5="","",'1.0WS'!K5)</f>
        <v>2</v>
      </c>
      <c r="H7" s="91"/>
      <c r="I7" s="91"/>
    </row>
    <row r="8" spans="1:9">
      <c r="A8" s="242"/>
      <c r="B8" s="242"/>
      <c r="C8" s="242"/>
      <c r="D8" s="242"/>
      <c r="E8" s="89">
        <f>IF('1.0WS'!D6="","",'1.0WS'!D6)</f>
        <v>2</v>
      </c>
      <c r="F8" s="90" t="str">
        <f>'1.0WS'!E6</f>
        <v>Lakhapat</v>
      </c>
      <c r="G8" s="91" t="str">
        <f>IF('1.0WS'!K6="","",'1.0WS'!K6)</f>
        <v/>
      </c>
      <c r="H8" s="91"/>
      <c r="I8" s="91"/>
    </row>
    <row r="9" spans="1:9">
      <c r="A9" s="242"/>
      <c r="B9" s="242"/>
      <c r="C9" s="242"/>
      <c r="D9" s="242"/>
      <c r="E9" s="89" t="str">
        <f>IF('1.0WS'!D7="","",'1.0WS'!D7)</f>
        <v/>
      </c>
      <c r="F9" s="90" t="str">
        <f>'1.0WS'!E7</f>
        <v>Nakhatrana</v>
      </c>
      <c r="G9" s="91">
        <f>IF('1.0WS'!K7="","",'1.0WS'!K7)</f>
        <v>2</v>
      </c>
      <c r="H9" s="91"/>
      <c r="I9" s="91"/>
    </row>
    <row r="10" spans="1:9">
      <c r="A10" s="242"/>
      <c r="B10" s="242"/>
      <c r="C10" s="242"/>
      <c r="D10" s="242"/>
      <c r="E10" s="89">
        <f>IF('1.0WS'!D8="","",'1.0WS'!D8)</f>
        <v>3</v>
      </c>
      <c r="F10" s="90" t="str">
        <f>'1.0WS'!E8</f>
        <v>Bhuj</v>
      </c>
      <c r="G10" s="91">
        <f>IF('1.0WS'!K8="","",'1.0WS'!K8)</f>
        <v>2</v>
      </c>
      <c r="H10" s="91"/>
      <c r="I10" s="91"/>
    </row>
    <row r="11" spans="1:9">
      <c r="A11" s="242"/>
      <c r="B11" s="242"/>
      <c r="C11" s="242"/>
      <c r="D11" s="242"/>
      <c r="E11" s="89">
        <f>IF('1.0WS'!D9="","",'1.0WS'!D9)</f>
        <v>4</v>
      </c>
      <c r="F11" s="90" t="str">
        <f>'1.0WS'!E9</f>
        <v>Mundra</v>
      </c>
      <c r="G11" s="91" t="str">
        <f>IF('1.0WS'!K9="","",'1.0WS'!K9)</f>
        <v/>
      </c>
      <c r="H11" s="91"/>
      <c r="I11" s="91"/>
    </row>
    <row r="12" spans="1:9">
      <c r="A12" s="242"/>
      <c r="B12" s="242"/>
      <c r="C12" s="242"/>
      <c r="D12" s="242"/>
      <c r="E12" s="89" t="str">
        <f>IF('1.0WS'!D10="","",'1.0WS'!D10)</f>
        <v/>
      </c>
      <c r="F12" s="90" t="str">
        <f>'1.0WS'!E10</f>
        <v>Mandvi</v>
      </c>
      <c r="G12" s="91">
        <f>IF('1.0WS'!K10="","",'1.0WS'!K10)</f>
        <v>2</v>
      </c>
      <c r="H12" s="91"/>
      <c r="I12" s="91"/>
    </row>
    <row r="13" spans="1:9">
      <c r="A13" s="242"/>
      <c r="B13" s="242"/>
      <c r="C13" s="242"/>
      <c r="D13" s="242"/>
      <c r="E13" s="89">
        <f>IF('1.0WS'!D11="","",'1.0WS'!D11)</f>
        <v>5</v>
      </c>
      <c r="F13" s="90" t="str">
        <f>'1.0WS'!E11</f>
        <v>Anjar</v>
      </c>
      <c r="G13" s="91">
        <f>IF('1.0WS'!K11="","",'1.0WS'!K11)</f>
        <v>2</v>
      </c>
      <c r="H13" s="91"/>
      <c r="I13" s="91"/>
    </row>
    <row r="14" spans="1:9">
      <c r="A14" s="242"/>
      <c r="B14" s="242"/>
      <c r="C14" s="242"/>
      <c r="D14" s="242"/>
      <c r="E14" s="89">
        <f>IF('1.0WS'!D12="","",'1.0WS'!D12)</f>
        <v>6</v>
      </c>
      <c r="F14" s="90" t="str">
        <f>'1.0WS'!E12</f>
        <v>Gandhidham</v>
      </c>
      <c r="G14" s="91" t="str">
        <f>IF('1.0WS'!K12="","",'1.0WS'!K12)</f>
        <v/>
      </c>
      <c r="H14" s="91"/>
      <c r="I14" s="91"/>
    </row>
    <row r="15" spans="1:9">
      <c r="A15" s="242"/>
      <c r="B15" s="242"/>
      <c r="C15" s="242"/>
      <c r="D15" s="242"/>
      <c r="E15" s="89" t="str">
        <f>IF('1.0WS'!D13="","",'1.0WS'!D13)</f>
        <v/>
      </c>
      <c r="F15" s="90" t="str">
        <f>'1.0WS'!E13</f>
        <v>Bhachau</v>
      </c>
      <c r="G15" s="91">
        <f>IF('1.0WS'!K13="","",'1.0WS'!K13)</f>
        <v>3</v>
      </c>
      <c r="H15" s="91"/>
      <c r="I15" s="91"/>
    </row>
    <row r="16" spans="1:9">
      <c r="A16" s="242"/>
      <c r="B16" s="242"/>
      <c r="C16" s="242"/>
      <c r="D16" s="242"/>
      <c r="E16" s="89">
        <f>IF('1.0WS'!D14="","",'1.0WS'!D14)</f>
        <v>7</v>
      </c>
      <c r="F16" s="90" t="str">
        <f>'1.0WS'!E14</f>
        <v>Rapar</v>
      </c>
      <c r="G16" s="91">
        <f>IF('1.0WS'!K14="","",'1.0WS'!K14)</f>
        <v>4</v>
      </c>
      <c r="H16" s="91"/>
      <c r="I16" s="91"/>
    </row>
    <row r="17" spans="1:9">
      <c r="A17" s="242"/>
      <c r="B17" s="242"/>
      <c r="C17" s="242"/>
      <c r="D17" s="242"/>
      <c r="E17" s="258" t="s">
        <v>293</v>
      </c>
      <c r="F17" s="258"/>
      <c r="G17" s="92"/>
      <c r="H17" s="93">
        <f t="shared" ref="H17:I17" si="0">SUM(H7:H16)</f>
        <v>0</v>
      </c>
      <c r="I17" s="93">
        <f t="shared" si="0"/>
        <v>0</v>
      </c>
    </row>
    <row r="18" spans="1:9">
      <c r="A18" s="242"/>
      <c r="B18" s="242"/>
      <c r="C18" s="242" t="s">
        <v>291</v>
      </c>
      <c r="D18" s="251" t="s">
        <v>313</v>
      </c>
      <c r="E18" s="89">
        <f>IF('1.0WS'!D16="","",'1.0WS'!D16)</f>
        <v>1</v>
      </c>
      <c r="F18" s="90" t="str">
        <f>'1.0WS'!E16</f>
        <v>Dhrangadhra</v>
      </c>
      <c r="G18" s="91">
        <f>IF('1.0WS'!K16="","",'1.0WS'!K16)</f>
        <v>3</v>
      </c>
      <c r="H18" s="89"/>
      <c r="I18" s="89"/>
    </row>
    <row r="19" spans="1:9">
      <c r="A19" s="242"/>
      <c r="B19" s="242"/>
      <c r="C19" s="242"/>
      <c r="D19" s="242"/>
      <c r="E19" s="89">
        <f>IF('1.0WS'!D17="","",'1.0WS'!D17)</f>
        <v>2</v>
      </c>
      <c r="F19" s="90" t="str">
        <f>'1.0WS'!E17</f>
        <v>Dasada</v>
      </c>
      <c r="G19" s="91">
        <f>IF('1.0WS'!K17="","",'1.0WS'!K17)</f>
        <v>3</v>
      </c>
      <c r="H19" s="89"/>
      <c r="I19" s="89"/>
    </row>
    <row r="20" spans="1:9">
      <c r="A20" s="242"/>
      <c r="B20" s="242"/>
      <c r="C20" s="242"/>
      <c r="D20" s="242"/>
      <c r="E20" s="89">
        <f>IF('1.0WS'!D18="","",'1.0WS'!D18)</f>
        <v>3</v>
      </c>
      <c r="F20" s="90" t="str">
        <f>'1.0WS'!E18</f>
        <v>Lakhtar</v>
      </c>
      <c r="G20" s="91">
        <f>IF('1.0WS'!K18="","",'1.0WS'!K18)</f>
        <v>2</v>
      </c>
      <c r="H20" s="89"/>
      <c r="I20" s="89"/>
    </row>
    <row r="21" spans="1:9">
      <c r="A21" s="242"/>
      <c r="B21" s="242"/>
      <c r="C21" s="242"/>
      <c r="D21" s="242"/>
      <c r="E21" s="89">
        <f>IF('1.0WS'!D19="","",'1.0WS'!D19)</f>
        <v>4</v>
      </c>
      <c r="F21" s="90" t="str">
        <f>'1.0WS'!E19</f>
        <v>Wadhwan</v>
      </c>
      <c r="G21" s="91">
        <f>IF('1.0WS'!K19="","",'1.0WS'!K19)</f>
        <v>2</v>
      </c>
      <c r="H21" s="89"/>
      <c r="I21" s="89"/>
    </row>
    <row r="22" spans="1:9">
      <c r="A22" s="242"/>
      <c r="B22" s="242"/>
      <c r="C22" s="242"/>
      <c r="D22" s="242"/>
      <c r="E22" s="89">
        <f>IF('1.0WS'!D20="","",'1.0WS'!D20)</f>
        <v>5</v>
      </c>
      <c r="F22" s="90" t="str">
        <f>'1.0WS'!E20</f>
        <v>Limbdi</v>
      </c>
      <c r="G22" s="91">
        <f>IF('1.0WS'!K20="","",'1.0WS'!K20)</f>
        <v>2</v>
      </c>
      <c r="H22" s="89"/>
      <c r="I22" s="89"/>
    </row>
    <row r="23" spans="1:9">
      <c r="A23" s="242"/>
      <c r="B23" s="242"/>
      <c r="C23" s="242"/>
      <c r="D23" s="242"/>
      <c r="E23" s="89">
        <f>IF('1.0WS'!D21="","",'1.0WS'!D21)</f>
        <v>6</v>
      </c>
      <c r="F23" s="90" t="str">
        <f>'1.0WS'!E21</f>
        <v>Muli</v>
      </c>
      <c r="G23" s="91">
        <f>IF('1.0WS'!K21="","",'1.0WS'!K21)</f>
        <v>2</v>
      </c>
      <c r="H23" s="89"/>
      <c r="I23" s="89"/>
    </row>
    <row r="24" spans="1:9">
      <c r="A24" s="242"/>
      <c r="B24" s="242"/>
      <c r="C24" s="242"/>
      <c r="D24" s="242"/>
      <c r="E24" s="89">
        <f>IF('1.0WS'!D22="","",'1.0WS'!D22)</f>
        <v>7</v>
      </c>
      <c r="F24" s="90" t="str">
        <f>'1.0WS'!E22</f>
        <v>Sayla</v>
      </c>
      <c r="G24" s="91">
        <f>IF('1.0WS'!K22="","",'1.0WS'!K22)</f>
        <v>2</v>
      </c>
      <c r="H24" s="89"/>
      <c r="I24" s="89"/>
    </row>
    <row r="25" spans="1:9">
      <c r="A25" s="242"/>
      <c r="B25" s="242"/>
      <c r="C25" s="242"/>
      <c r="D25" s="242"/>
      <c r="E25" s="89">
        <f>IF('1.0WS'!D23="","",'1.0WS'!D23)</f>
        <v>8</v>
      </c>
      <c r="F25" s="90" t="str">
        <f>'1.0WS'!E23</f>
        <v>Chotila</v>
      </c>
      <c r="G25" s="91">
        <f>IF('1.0WS'!K23="","",'1.0WS'!K23)</f>
        <v>2</v>
      </c>
      <c r="H25" s="89"/>
      <c r="I25" s="89"/>
    </row>
    <row r="26" spans="1:9">
      <c r="A26" s="242"/>
      <c r="B26" s="242"/>
      <c r="C26" s="242"/>
      <c r="D26" s="242"/>
      <c r="E26" s="89">
        <f>IF('1.0WS'!D24="","",'1.0WS'!D24)</f>
        <v>9</v>
      </c>
      <c r="F26" s="90" t="str">
        <f>'1.0WS'!E24</f>
        <v>Chuda</v>
      </c>
      <c r="G26" s="91">
        <f>IF('1.0WS'!K24="","",'1.0WS'!K24)</f>
        <v>2</v>
      </c>
      <c r="H26" s="94"/>
      <c r="I26" s="94"/>
    </row>
    <row r="27" spans="1:9">
      <c r="A27" s="242"/>
      <c r="B27" s="242"/>
      <c r="C27" s="242"/>
      <c r="D27" s="242"/>
      <c r="E27" s="89" t="str">
        <f>IF('1.0WS'!D25="","",'1.0WS'!D25)</f>
        <v/>
      </c>
      <c r="F27" s="90" t="str">
        <f>'1.0WS'!E25</f>
        <v>Thangadh</v>
      </c>
      <c r="G27" s="91" t="str">
        <f>IF('1.0WS'!K25="","",'1.0WS'!K25)</f>
        <v/>
      </c>
      <c r="H27" s="94"/>
      <c r="I27" s="94"/>
    </row>
    <row r="28" spans="1:9">
      <c r="A28" s="242"/>
      <c r="B28" s="242"/>
      <c r="C28" s="242"/>
      <c r="D28" s="242"/>
      <c r="E28" s="258" t="s">
        <v>293</v>
      </c>
      <c r="F28" s="258"/>
      <c r="G28" s="92"/>
      <c r="H28" s="93">
        <f>SUM(H18:H27)</f>
        <v>0</v>
      </c>
      <c r="I28" s="93">
        <f>SUM(I18:I27)</f>
        <v>0</v>
      </c>
    </row>
    <row r="29" spans="1:9">
      <c r="A29" s="242"/>
      <c r="B29" s="242"/>
      <c r="C29" s="252" t="s">
        <v>294</v>
      </c>
      <c r="D29" s="252"/>
      <c r="E29" s="252"/>
      <c r="F29" s="252"/>
      <c r="G29" s="95"/>
      <c r="H29" s="96">
        <f t="shared" ref="H29:I29" si="1">SUM(H17,H28)</f>
        <v>0</v>
      </c>
      <c r="I29" s="96">
        <f t="shared" si="1"/>
        <v>0</v>
      </c>
    </row>
    <row r="30" spans="1:9">
      <c r="A30" s="242"/>
      <c r="B30" s="242" t="s">
        <v>74</v>
      </c>
      <c r="C30" s="242" t="s">
        <v>70</v>
      </c>
      <c r="D30" s="251" t="s">
        <v>314</v>
      </c>
      <c r="E30" s="89">
        <f>IF('1.0WS'!D28="","",'1.0WS'!D28)</f>
        <v>1</v>
      </c>
      <c r="F30" s="90" t="str">
        <f>'1.0WS'!E28</f>
        <v>Mansa</v>
      </c>
      <c r="G30" s="91">
        <f>IF('1.0WS'!K28="","",'1.0WS'!K28)</f>
        <v>2</v>
      </c>
      <c r="H30" s="89"/>
      <c r="I30" s="89"/>
    </row>
    <row r="31" spans="1:9">
      <c r="A31" s="242"/>
      <c r="B31" s="242"/>
      <c r="C31" s="242"/>
      <c r="D31" s="242"/>
      <c r="E31" s="89">
        <f>IF('1.0WS'!D29="","",'1.0WS'!D29)</f>
        <v>2</v>
      </c>
      <c r="F31" s="90" t="str">
        <f>'1.0WS'!E29</f>
        <v>Gandhinagar</v>
      </c>
      <c r="G31" s="91">
        <f>IF('1.0WS'!K29="","",'1.0WS'!K29)</f>
        <v>2</v>
      </c>
      <c r="H31" s="89"/>
      <c r="I31" s="89"/>
    </row>
    <row r="32" spans="1:9">
      <c r="A32" s="242"/>
      <c r="B32" s="242"/>
      <c r="C32" s="242"/>
      <c r="D32" s="242"/>
      <c r="E32" s="89">
        <f>IF('1.0WS'!D30="","",'1.0WS'!D30)</f>
        <v>3</v>
      </c>
      <c r="F32" s="90" t="str">
        <f>'1.0WS'!E30</f>
        <v>Dehgam</v>
      </c>
      <c r="G32" s="91">
        <f>IF('1.0WS'!K30="","",'1.0WS'!K30)</f>
        <v>2</v>
      </c>
      <c r="H32" s="89"/>
      <c r="I32" s="89"/>
    </row>
    <row r="33" spans="1:9">
      <c r="A33" s="242"/>
      <c r="B33" s="242"/>
      <c r="C33" s="242"/>
      <c r="D33" s="242"/>
      <c r="E33" s="89">
        <f>IF('1.0WS'!D31="","",'1.0WS'!D31)</f>
        <v>4</v>
      </c>
      <c r="F33" s="90" t="str">
        <f>'1.0WS'!E31</f>
        <v>Kalol</v>
      </c>
      <c r="G33" s="91">
        <f>IF('1.0WS'!K31="","",'1.0WS'!K31)</f>
        <v>2</v>
      </c>
      <c r="H33" s="89"/>
      <c r="I33" s="89"/>
    </row>
    <row r="34" spans="1:9">
      <c r="A34" s="242"/>
      <c r="B34" s="242"/>
      <c r="C34" s="242"/>
      <c r="D34" s="242"/>
      <c r="E34" s="258" t="s">
        <v>293</v>
      </c>
      <c r="F34" s="258"/>
      <c r="G34" s="92"/>
      <c r="H34" s="93">
        <f t="shared" ref="H34:I34" si="2">SUM(H30:H33)</f>
        <v>0</v>
      </c>
      <c r="I34" s="93">
        <f t="shared" si="2"/>
        <v>0</v>
      </c>
    </row>
    <row r="35" spans="1:9">
      <c r="A35" s="242"/>
      <c r="B35" s="242"/>
      <c r="C35" s="242" t="s">
        <v>74</v>
      </c>
      <c r="D35" s="251" t="s">
        <v>315</v>
      </c>
      <c r="E35" s="89">
        <f>IF('1.0WS'!D33="","",'1.0WS'!D33)</f>
        <v>1</v>
      </c>
      <c r="F35" s="90" t="str">
        <f>'1.0WS'!E33</f>
        <v>Mandal</v>
      </c>
      <c r="G35" s="91">
        <f>IF('1.0WS'!K33="","",'1.0WS'!K33)</f>
        <v>2</v>
      </c>
      <c r="H35" s="89"/>
      <c r="I35" s="89"/>
    </row>
    <row r="36" spans="1:9">
      <c r="A36" s="242"/>
      <c r="B36" s="242"/>
      <c r="C36" s="242"/>
      <c r="D36" s="242"/>
      <c r="E36" s="89" t="str">
        <f>IF('1.0WS'!D34="","",'1.0WS'!D34)</f>
        <v/>
      </c>
      <c r="F36" s="90" t="str">
        <f>'1.0WS'!E34</f>
        <v>Detroj-Rampura</v>
      </c>
      <c r="G36" s="91" t="str">
        <f>IF('1.0WS'!K34="","",'1.0WS'!K34)</f>
        <v/>
      </c>
      <c r="H36" s="89"/>
      <c r="I36" s="89"/>
    </row>
    <row r="37" spans="1:9">
      <c r="A37" s="242"/>
      <c r="B37" s="242"/>
      <c r="C37" s="242"/>
      <c r="D37" s="242"/>
      <c r="E37" s="89">
        <f>IF('1.0WS'!D35="","",'1.0WS'!D35)</f>
        <v>2</v>
      </c>
      <c r="F37" s="90" t="str">
        <f>'1.0WS'!E35</f>
        <v>Viramgam</v>
      </c>
      <c r="G37" s="91">
        <f>IF('1.0WS'!K35="","",'1.0WS'!K35)</f>
        <v>2</v>
      </c>
      <c r="H37" s="89"/>
      <c r="I37" s="89"/>
    </row>
    <row r="38" spans="1:9">
      <c r="A38" s="242"/>
      <c r="B38" s="242"/>
      <c r="C38" s="242"/>
      <c r="D38" s="242"/>
      <c r="E38" s="89">
        <f>IF('1.0WS'!D36="","",'1.0WS'!D36)</f>
        <v>3</v>
      </c>
      <c r="F38" s="90" t="str">
        <f>'1.0WS'!E36</f>
        <v>Sanand</v>
      </c>
      <c r="G38" s="91">
        <f>IF('1.0WS'!K36="","",'1.0WS'!K36)</f>
        <v>2</v>
      </c>
      <c r="H38" s="89"/>
      <c r="I38" s="89"/>
    </row>
    <row r="39" spans="1:9">
      <c r="A39" s="242"/>
      <c r="B39" s="242"/>
      <c r="C39" s="242"/>
      <c r="D39" s="242"/>
      <c r="E39" s="89">
        <f>IF('1.0WS'!D37="","",'1.0WS'!D37)</f>
        <v>4</v>
      </c>
      <c r="F39" s="90" t="str">
        <f>'1.0WS'!E37</f>
        <v>Bavla</v>
      </c>
      <c r="G39" s="91">
        <f>IF('1.0WS'!K37="","",'1.0WS'!K37)</f>
        <v>2</v>
      </c>
      <c r="H39" s="89"/>
      <c r="I39" s="89"/>
    </row>
    <row r="40" spans="1:9">
      <c r="A40" s="242"/>
      <c r="B40" s="242"/>
      <c r="C40" s="242"/>
      <c r="D40" s="242"/>
      <c r="E40" s="89">
        <f>IF('1.0WS'!D38="","",'1.0WS'!D38)</f>
        <v>5</v>
      </c>
      <c r="F40" s="90" t="str">
        <f>'1.0WS'!E38</f>
        <v>Daskroi</v>
      </c>
      <c r="G40" s="91">
        <f>IF('1.0WS'!K38="","",'1.0WS'!K38)</f>
        <v>2</v>
      </c>
      <c r="H40" s="89"/>
      <c r="I40" s="89"/>
    </row>
    <row r="41" spans="1:9">
      <c r="A41" s="242"/>
      <c r="B41" s="242"/>
      <c r="C41" s="242"/>
      <c r="D41" s="242"/>
      <c r="E41" s="89">
        <f>IF('1.0WS'!D39="","",'1.0WS'!D39)</f>
        <v>6</v>
      </c>
      <c r="F41" s="90" t="str">
        <f>'1.0WS'!E39</f>
        <v>Dholka</v>
      </c>
      <c r="G41" s="91">
        <f>IF('1.0WS'!K39="","",'1.0WS'!K39)</f>
        <v>2</v>
      </c>
      <c r="H41" s="89"/>
      <c r="I41" s="89"/>
    </row>
    <row r="42" spans="1:9">
      <c r="A42" s="242"/>
      <c r="B42" s="242"/>
      <c r="C42" s="242"/>
      <c r="D42" s="242"/>
      <c r="E42" s="89">
        <f>IF('1.0WS'!D40="","",'1.0WS'!D40)</f>
        <v>7</v>
      </c>
      <c r="F42" s="90" t="str">
        <f>'1.0WS'!E40</f>
        <v>Dhandhuka</v>
      </c>
      <c r="G42" s="91">
        <f>IF('1.0WS'!K40="","",'1.0WS'!K40)</f>
        <v>2</v>
      </c>
      <c r="H42" s="89"/>
      <c r="I42" s="89"/>
    </row>
    <row r="43" spans="1:9">
      <c r="A43" s="242"/>
      <c r="B43" s="242"/>
      <c r="C43" s="242"/>
      <c r="D43" s="242"/>
      <c r="E43" s="89">
        <f>IF('1.0WS'!D41="","",'1.0WS'!D41)</f>
        <v>8</v>
      </c>
      <c r="F43" s="90" t="str">
        <f>'1.0WS'!E41</f>
        <v>Dholera</v>
      </c>
      <c r="G43" s="91">
        <f>IF('1.0WS'!K41="","",'1.0WS'!K41)</f>
        <v>2</v>
      </c>
      <c r="H43" s="89"/>
      <c r="I43" s="89"/>
    </row>
    <row r="44" spans="1:9">
      <c r="A44" s="242"/>
      <c r="B44" s="242"/>
      <c r="C44" s="242"/>
      <c r="D44" s="242"/>
      <c r="E44" s="258" t="s">
        <v>293</v>
      </c>
      <c r="F44" s="258"/>
      <c r="G44" s="92"/>
      <c r="H44" s="93">
        <f>SUM(H35:H43)</f>
        <v>0</v>
      </c>
      <c r="I44" s="93">
        <f>SUM(I35:I43)</f>
        <v>0</v>
      </c>
    </row>
    <row r="45" spans="1:9">
      <c r="A45" s="242"/>
      <c r="B45" s="242"/>
      <c r="C45" s="252" t="s">
        <v>294</v>
      </c>
      <c r="D45" s="252"/>
      <c r="E45" s="252"/>
      <c r="F45" s="252"/>
      <c r="G45" s="95"/>
      <c r="H45" s="96">
        <f>SUM(H34,H44)</f>
        <v>0</v>
      </c>
      <c r="I45" s="96">
        <f>SUM(I34,I44)</f>
        <v>0</v>
      </c>
    </row>
    <row r="46" spans="1:9">
      <c r="A46" s="242"/>
      <c r="B46" s="242" t="s">
        <v>101</v>
      </c>
      <c r="C46" s="242" t="s">
        <v>101</v>
      </c>
      <c r="D46" s="251" t="s">
        <v>316</v>
      </c>
      <c r="E46" s="89">
        <f>IF('1.0WS'!D44="","",'1.0WS'!D44)</f>
        <v>1</v>
      </c>
      <c r="F46" s="90" t="str">
        <f>'1.0WS'!E44</f>
        <v>Rajkot</v>
      </c>
      <c r="G46" s="91">
        <f>IF('1.0WS'!K44="","",'1.0WS'!K44)</f>
        <v>2</v>
      </c>
      <c r="H46" s="97"/>
      <c r="I46" s="97"/>
    </row>
    <row r="47" spans="1:9">
      <c r="A47" s="242"/>
      <c r="B47" s="242"/>
      <c r="C47" s="242"/>
      <c r="D47" s="242"/>
      <c r="E47" s="89">
        <f>IF('1.0WS'!D45="","",'1.0WS'!D45)</f>
        <v>2</v>
      </c>
      <c r="F47" s="90" t="str">
        <f>'1.0WS'!E45</f>
        <v>Paddhari</v>
      </c>
      <c r="G47" s="91">
        <f>IF('1.0WS'!K45="","",'1.0WS'!K45)</f>
        <v>2</v>
      </c>
      <c r="H47" s="89"/>
      <c r="I47" s="89"/>
    </row>
    <row r="48" spans="1:9">
      <c r="A48" s="242"/>
      <c r="B48" s="242"/>
      <c r="C48" s="242"/>
      <c r="D48" s="242"/>
      <c r="E48" s="89" t="str">
        <f>IF('1.0WS'!D46="","",'1.0WS'!D46)</f>
        <v/>
      </c>
      <c r="F48" s="90" t="str">
        <f>'1.0WS'!E46</f>
        <v>Lodhika</v>
      </c>
      <c r="G48" s="91" t="str">
        <f>IF('1.0WS'!K46="","",'1.0WS'!K46)</f>
        <v/>
      </c>
      <c r="H48" s="89"/>
      <c r="I48" s="89"/>
    </row>
    <row r="49" spans="1:9">
      <c r="A49" s="242"/>
      <c r="B49" s="242"/>
      <c r="C49" s="242"/>
      <c r="D49" s="242"/>
      <c r="E49" s="89">
        <f>IF('1.0WS'!D47="","",'1.0WS'!D47)</f>
        <v>3</v>
      </c>
      <c r="F49" s="90" t="str">
        <f>'1.0WS'!E47</f>
        <v>Kotda sangani</v>
      </c>
      <c r="G49" s="91" t="str">
        <f>IF('1.0WS'!K47="","",'1.0WS'!K47)</f>
        <v/>
      </c>
      <c r="H49" s="89"/>
      <c r="I49" s="89"/>
    </row>
    <row r="50" spans="1:9">
      <c r="A50" s="242"/>
      <c r="B50" s="242"/>
      <c r="C50" s="242"/>
      <c r="D50" s="242"/>
      <c r="E50" s="89" t="str">
        <f>IF('1.0WS'!D48="","",'1.0WS'!D48)</f>
        <v/>
      </c>
      <c r="F50" s="90" t="str">
        <f>'1.0WS'!E48</f>
        <v>Jasdan</v>
      </c>
      <c r="G50" s="91">
        <f>IF('1.0WS'!K48="","",'1.0WS'!K48)</f>
        <v>2</v>
      </c>
      <c r="H50" s="89"/>
      <c r="I50" s="89"/>
    </row>
    <row r="51" spans="1:9">
      <c r="A51" s="242"/>
      <c r="B51" s="242"/>
      <c r="C51" s="242"/>
      <c r="D51" s="242"/>
      <c r="E51" s="89">
        <f>IF('1.0WS'!D49="","",'1.0WS'!D49)</f>
        <v>4</v>
      </c>
      <c r="F51" s="90" t="str">
        <f>'1.0WS'!E49</f>
        <v>Gondal</v>
      </c>
      <c r="G51" s="91">
        <f>IF('1.0WS'!K49="","",'1.0WS'!K49)</f>
        <v>2</v>
      </c>
      <c r="H51" s="89"/>
      <c r="I51" s="89"/>
    </row>
    <row r="52" spans="1:9">
      <c r="A52" s="242"/>
      <c r="B52" s="242"/>
      <c r="C52" s="242"/>
      <c r="D52" s="242"/>
      <c r="E52" s="89">
        <f>IF('1.0WS'!D50="","",'1.0WS'!D50)</f>
        <v>5</v>
      </c>
      <c r="F52" s="90" t="str">
        <f>'1.0WS'!E50</f>
        <v>Jetpur</v>
      </c>
      <c r="G52" s="91">
        <f>IF('1.0WS'!K50="","",'1.0WS'!K50)</f>
        <v>2</v>
      </c>
      <c r="H52" s="89"/>
      <c r="I52" s="89"/>
    </row>
    <row r="53" spans="1:9">
      <c r="A53" s="242"/>
      <c r="B53" s="242"/>
      <c r="C53" s="242"/>
      <c r="D53" s="242"/>
      <c r="E53" s="89">
        <f>IF('1.0WS'!D51="","",'1.0WS'!D51)</f>
        <v>6</v>
      </c>
      <c r="F53" s="90" t="str">
        <f>'1.0WS'!E51</f>
        <v>Dhoraji</v>
      </c>
      <c r="G53" s="91">
        <f>IF('1.0WS'!K51="","",'1.0WS'!K51)</f>
        <v>2</v>
      </c>
      <c r="H53" s="89"/>
      <c r="I53" s="89"/>
    </row>
    <row r="54" spans="1:9">
      <c r="A54" s="242"/>
      <c r="B54" s="242"/>
      <c r="C54" s="242"/>
      <c r="D54" s="242"/>
      <c r="E54" s="89">
        <f>IF('1.0WS'!D52="","",'1.0WS'!D52)</f>
        <v>7</v>
      </c>
      <c r="F54" s="90" t="str">
        <f>'1.0WS'!E52</f>
        <v>Jamkandorna</v>
      </c>
      <c r="G54" s="91">
        <f>IF('1.0WS'!K52="","",'1.0WS'!K52)</f>
        <v>2</v>
      </c>
      <c r="H54" s="89"/>
      <c r="I54" s="89"/>
    </row>
    <row r="55" spans="1:9">
      <c r="A55" s="242"/>
      <c r="B55" s="242"/>
      <c r="C55" s="242"/>
      <c r="D55" s="242"/>
      <c r="E55" s="89" t="str">
        <f>IF('1.0WS'!D53="","",'1.0WS'!D53)</f>
        <v/>
      </c>
      <c r="F55" s="90" t="str">
        <f>'1.0WS'!E53</f>
        <v>Vinchhiya</v>
      </c>
      <c r="G55" s="91" t="str">
        <f>IF('1.0WS'!K53="","",'1.0WS'!K53)</f>
        <v/>
      </c>
      <c r="H55" s="89"/>
      <c r="I55" s="89"/>
    </row>
    <row r="56" spans="1:9">
      <c r="A56" s="242"/>
      <c r="B56" s="242"/>
      <c r="C56" s="242"/>
      <c r="D56" s="242"/>
      <c r="E56" s="89">
        <f>IF('1.0WS'!D54="","",'1.0WS'!D54)</f>
        <v>8</v>
      </c>
      <c r="F56" s="90" t="str">
        <f>'1.0WS'!E54</f>
        <v>Upleta</v>
      </c>
      <c r="G56" s="91">
        <f>IF('1.0WS'!K54="","",'1.0WS'!K54)</f>
        <v>2</v>
      </c>
      <c r="H56" s="89"/>
      <c r="I56" s="89"/>
    </row>
    <row r="57" spans="1:9">
      <c r="A57" s="242"/>
      <c r="B57" s="242"/>
      <c r="C57" s="242"/>
      <c r="D57" s="242"/>
      <c r="E57" s="258" t="s">
        <v>293</v>
      </c>
      <c r="F57" s="258"/>
      <c r="G57" s="92"/>
      <c r="H57" s="93">
        <f>SUM(H46:H56)</f>
        <v>0</v>
      </c>
      <c r="I57" s="93">
        <f>SUM(I46:I56)</f>
        <v>0</v>
      </c>
    </row>
    <row r="58" spans="1:9">
      <c r="A58" s="242"/>
      <c r="B58" s="242"/>
      <c r="C58" s="242" t="s">
        <v>295</v>
      </c>
      <c r="D58" s="251" t="s">
        <v>317</v>
      </c>
      <c r="E58" s="89">
        <f>IF('1.0WS'!D56="","",'1.0WS'!D56)</f>
        <v>1</v>
      </c>
      <c r="F58" s="90" t="str">
        <f>'1.0WS'!E56</f>
        <v>Morbi</v>
      </c>
      <c r="G58" s="91">
        <f>IF('1.0WS'!K56="","",'1.0WS'!K56)</f>
        <v>2</v>
      </c>
      <c r="H58" s="89"/>
      <c r="I58" s="89"/>
    </row>
    <row r="59" spans="1:9">
      <c r="A59" s="242"/>
      <c r="B59" s="242"/>
      <c r="C59" s="242"/>
      <c r="D59" s="242"/>
      <c r="E59" s="89">
        <f>IF('1.0WS'!D57="","",'1.0WS'!D57)</f>
        <v>2</v>
      </c>
      <c r="F59" s="90" t="str">
        <f>'1.0WS'!E57</f>
        <v>Maliya</v>
      </c>
      <c r="G59" s="91">
        <f>IF('1.0WS'!K57="","",'1.0WS'!K57)</f>
        <v>2</v>
      </c>
      <c r="H59" s="89"/>
      <c r="I59" s="89"/>
    </row>
    <row r="60" spans="1:9">
      <c r="A60" s="242"/>
      <c r="B60" s="242"/>
      <c r="C60" s="242"/>
      <c r="D60" s="242"/>
      <c r="E60" s="89">
        <f>IF('1.0WS'!D58="","",'1.0WS'!D58)</f>
        <v>3</v>
      </c>
      <c r="F60" s="90" t="str">
        <f>'1.0WS'!E58</f>
        <v>Tankara</v>
      </c>
      <c r="G60" s="91">
        <f>IF('1.0WS'!K58="","",'1.0WS'!K58)</f>
        <v>2</v>
      </c>
      <c r="H60" s="89"/>
      <c r="I60" s="89"/>
    </row>
    <row r="61" spans="1:9">
      <c r="A61" s="242"/>
      <c r="B61" s="242"/>
      <c r="C61" s="242"/>
      <c r="D61" s="242"/>
      <c r="E61" s="89">
        <f>IF('1.0WS'!D59="","",'1.0WS'!D59)</f>
        <v>4</v>
      </c>
      <c r="F61" s="90" t="str">
        <f>'1.0WS'!E59</f>
        <v>Wankaner</v>
      </c>
      <c r="G61" s="91">
        <f>IF('1.0WS'!K59="","",'1.0WS'!K59)</f>
        <v>2</v>
      </c>
      <c r="H61" s="89"/>
      <c r="I61" s="89"/>
    </row>
    <row r="62" spans="1:9">
      <c r="A62" s="242"/>
      <c r="B62" s="242"/>
      <c r="C62" s="242"/>
      <c r="D62" s="242"/>
      <c r="E62" s="89">
        <f>IF('1.0WS'!D60="","",'1.0WS'!D60)</f>
        <v>5</v>
      </c>
      <c r="F62" s="90" t="str">
        <f>'1.0WS'!E60</f>
        <v>Halvad</v>
      </c>
      <c r="G62" s="91">
        <f>IF('1.0WS'!K60="","",'1.0WS'!K60)</f>
        <v>3</v>
      </c>
      <c r="H62" s="89"/>
      <c r="I62" s="89"/>
    </row>
    <row r="63" spans="1:9">
      <c r="A63" s="242"/>
      <c r="B63" s="242"/>
      <c r="C63" s="242"/>
      <c r="D63" s="242"/>
      <c r="E63" s="258" t="s">
        <v>293</v>
      </c>
      <c r="F63" s="258"/>
      <c r="G63" s="92"/>
      <c r="H63" s="93">
        <f>SUM(H58:H62)</f>
        <v>0</v>
      </c>
      <c r="I63" s="93">
        <f>SUM(I58:I62)</f>
        <v>0</v>
      </c>
    </row>
    <row r="64" spans="1:9">
      <c r="A64" s="242" t="s">
        <v>74</v>
      </c>
      <c r="B64" s="242" t="s">
        <v>101</v>
      </c>
      <c r="C64" s="242" t="s">
        <v>126</v>
      </c>
      <c r="D64" s="251" t="s">
        <v>318</v>
      </c>
      <c r="E64" s="89">
        <f>IF('1.0WS'!D62="","",'1.0WS'!D62)</f>
        <v>1</v>
      </c>
      <c r="F64" s="90" t="str">
        <f>'1.0WS'!E62</f>
        <v>Manavadar</v>
      </c>
      <c r="G64" s="91">
        <f>IF('1.0WS'!K62="","",'1.0WS'!K62)</f>
        <v>2</v>
      </c>
      <c r="H64" s="89"/>
      <c r="I64" s="89"/>
    </row>
    <row r="65" spans="1:9">
      <c r="A65" s="242"/>
      <c r="B65" s="242"/>
      <c r="C65" s="242"/>
      <c r="D65" s="242"/>
      <c r="E65" s="89">
        <f>IF('1.0WS'!D63="","",'1.0WS'!D63)</f>
        <v>2</v>
      </c>
      <c r="F65" s="90" t="str">
        <f>'1.0WS'!E63</f>
        <v>Vanthali</v>
      </c>
      <c r="G65" s="91" t="str">
        <f>IF('1.0WS'!K63="","",'1.0WS'!K63)</f>
        <v/>
      </c>
      <c r="H65" s="94"/>
      <c r="I65" s="94"/>
    </row>
    <row r="66" spans="1:9">
      <c r="A66" s="242"/>
      <c r="B66" s="242"/>
      <c r="C66" s="242"/>
      <c r="D66" s="242"/>
      <c r="E66" s="89" t="str">
        <f>IF('1.0WS'!D64="","",'1.0WS'!D64)</f>
        <v/>
      </c>
      <c r="F66" s="90" t="str">
        <f>'1.0WS'!E64</f>
        <v>Junagadh + City</v>
      </c>
      <c r="G66" s="91">
        <f>IF('1.0WS'!K64="","",'1.0WS'!K64)</f>
        <v>2</v>
      </c>
      <c r="H66" s="94"/>
      <c r="I66" s="94"/>
    </row>
    <row r="67" spans="1:9">
      <c r="A67" s="242"/>
      <c r="B67" s="242"/>
      <c r="C67" s="242"/>
      <c r="D67" s="242"/>
      <c r="E67" s="89">
        <f>IF('1.0WS'!D65="","",'1.0WS'!D65)</f>
        <v>3</v>
      </c>
      <c r="F67" s="90" t="str">
        <f>'1.0WS'!E65</f>
        <v>Bhesan</v>
      </c>
      <c r="G67" s="91" t="str">
        <f>IF('1.0WS'!K65="","",'1.0WS'!K65)</f>
        <v/>
      </c>
      <c r="H67" s="94"/>
      <c r="I67" s="94"/>
    </row>
    <row r="68" spans="1:9">
      <c r="A68" s="242"/>
      <c r="B68" s="242"/>
      <c r="C68" s="242"/>
      <c r="D68" s="242"/>
      <c r="E68" s="89" t="str">
        <f>IF('1.0WS'!D66="","",'1.0WS'!D66)</f>
        <v/>
      </c>
      <c r="F68" s="90" t="str">
        <f>'1.0WS'!E66</f>
        <v>Visavadar</v>
      </c>
      <c r="G68" s="91">
        <f>IF('1.0WS'!K66="","",'1.0WS'!K66)</f>
        <v>2</v>
      </c>
      <c r="H68" s="94"/>
      <c r="I68" s="94"/>
    </row>
    <row r="69" spans="1:9">
      <c r="A69" s="242"/>
      <c r="B69" s="242"/>
      <c r="C69" s="242"/>
      <c r="D69" s="242"/>
      <c r="E69" s="89">
        <f>IF('1.0WS'!D67="","",'1.0WS'!D67)</f>
        <v>4</v>
      </c>
      <c r="F69" s="90" t="str">
        <f>'1.0WS'!E67</f>
        <v>Mendarda</v>
      </c>
      <c r="G69" s="91">
        <f>IF('1.0WS'!K67="","",'1.0WS'!K67)</f>
        <v>2</v>
      </c>
      <c r="H69" s="89"/>
      <c r="I69" s="89"/>
    </row>
    <row r="70" spans="1:9">
      <c r="A70" s="242"/>
      <c r="B70" s="242"/>
      <c r="C70" s="242"/>
      <c r="D70" s="242"/>
      <c r="E70" s="89">
        <f>IF('1.0WS'!D68="","",'1.0WS'!D68)</f>
        <v>5</v>
      </c>
      <c r="F70" s="90" t="str">
        <f>'1.0WS'!E68</f>
        <v>Keshod</v>
      </c>
      <c r="G70" s="91">
        <f>IF('1.0WS'!K68="","",'1.0WS'!K68)</f>
        <v>2</v>
      </c>
      <c r="H70" s="89"/>
      <c r="I70" s="89"/>
    </row>
    <row r="71" spans="1:9">
      <c r="A71" s="242"/>
      <c r="B71" s="242"/>
      <c r="C71" s="242"/>
      <c r="D71" s="242"/>
      <c r="E71" s="89">
        <f>IF('1.0WS'!D69="","",'1.0WS'!D69)</f>
        <v>6</v>
      </c>
      <c r="F71" s="90" t="str">
        <f>'1.0WS'!E69</f>
        <v>Mangrol</v>
      </c>
      <c r="G71" s="91">
        <f>IF('1.0WS'!K69="","",'1.0WS'!K69)</f>
        <v>2</v>
      </c>
      <c r="H71" s="89"/>
      <c r="I71" s="89"/>
    </row>
    <row r="72" spans="1:9">
      <c r="A72" s="242"/>
      <c r="B72" s="242"/>
      <c r="C72" s="242"/>
      <c r="D72" s="242"/>
      <c r="E72" s="89">
        <f>IF('1.0WS'!D70="","",'1.0WS'!D70)</f>
        <v>7</v>
      </c>
      <c r="F72" s="90" t="str">
        <f>'1.0WS'!E70</f>
        <v>Malia</v>
      </c>
      <c r="G72" s="91">
        <f>IF('1.0WS'!K70="","",'1.0WS'!K70)</f>
        <v>2</v>
      </c>
      <c r="H72" s="89"/>
      <c r="I72" s="89"/>
    </row>
    <row r="73" spans="1:9">
      <c r="A73" s="242"/>
      <c r="B73" s="242"/>
      <c r="C73" s="242"/>
      <c r="D73" s="242"/>
      <c r="E73" s="258" t="s">
        <v>293</v>
      </c>
      <c r="F73" s="258"/>
      <c r="G73" s="92"/>
      <c r="H73" s="93">
        <f>SUM(H64:H72)</f>
        <v>0</v>
      </c>
      <c r="I73" s="93">
        <f>SUM(I64:I72)</f>
        <v>0</v>
      </c>
    </row>
    <row r="74" spans="1:9">
      <c r="A74" s="242"/>
      <c r="B74" s="242"/>
      <c r="C74" s="242" t="s">
        <v>136</v>
      </c>
      <c r="D74" s="251" t="s">
        <v>319</v>
      </c>
      <c r="E74" s="89">
        <f>IF('1.0WS'!D72="","",'1.0WS'!D72)</f>
        <v>1</v>
      </c>
      <c r="F74" s="90" t="str">
        <f>'1.0WS'!E72</f>
        <v>Talala</v>
      </c>
      <c r="G74" s="91" t="str">
        <f>IF('1.0WS'!K72="","",'1.0WS'!K72)</f>
        <v/>
      </c>
      <c r="H74" s="94"/>
      <c r="I74" s="94"/>
    </row>
    <row r="75" spans="1:9">
      <c r="A75" s="242"/>
      <c r="B75" s="242"/>
      <c r="C75" s="242"/>
      <c r="D75" s="242"/>
      <c r="E75" s="89" t="str">
        <f>IF('1.0WS'!D73="","",'1.0WS'!D73)</f>
        <v/>
      </c>
      <c r="F75" s="90" t="str">
        <f>'1.0WS'!E73</f>
        <v>Veraval</v>
      </c>
      <c r="G75" s="91">
        <f>IF('1.0WS'!K73="","",'1.0WS'!K73)</f>
        <v>2</v>
      </c>
      <c r="H75" s="94"/>
      <c r="I75" s="94"/>
    </row>
    <row r="76" spans="1:9">
      <c r="A76" s="242"/>
      <c r="B76" s="242"/>
      <c r="C76" s="242"/>
      <c r="D76" s="242"/>
      <c r="E76" s="89" t="str">
        <f>IF('1.0WS'!D74="","",'1.0WS'!D74)</f>
        <v/>
      </c>
      <c r="F76" s="90" t="str">
        <f>'1.0WS'!E74</f>
        <v>Sutrapada</v>
      </c>
      <c r="G76" s="91" t="str">
        <f>IF('1.0WS'!K74="","",'1.0WS'!K74)</f>
        <v/>
      </c>
      <c r="H76" s="94"/>
      <c r="I76" s="94"/>
    </row>
    <row r="77" spans="1:9">
      <c r="A77" s="242"/>
      <c r="B77" s="242"/>
      <c r="C77" s="242"/>
      <c r="D77" s="242"/>
      <c r="E77" s="89">
        <f>IF('1.0WS'!D75="","",'1.0WS'!D75)</f>
        <v>2</v>
      </c>
      <c r="F77" s="90" t="str">
        <f>'1.0WS'!E75</f>
        <v>Kodinar</v>
      </c>
      <c r="G77" s="91">
        <f>IF('1.0WS'!K75="","",'1.0WS'!K75)</f>
        <v>2</v>
      </c>
      <c r="H77" s="89"/>
      <c r="I77" s="89"/>
    </row>
    <row r="78" spans="1:9">
      <c r="A78" s="242"/>
      <c r="B78" s="242"/>
      <c r="C78" s="242"/>
      <c r="D78" s="242"/>
      <c r="E78" s="89">
        <f>IF('1.0WS'!D76="","",'1.0WS'!D76)</f>
        <v>3</v>
      </c>
      <c r="F78" s="90" t="str">
        <f>'1.0WS'!E76</f>
        <v>Una</v>
      </c>
      <c r="G78" s="91">
        <f>IF('1.0WS'!K76="","",'1.0WS'!K76)</f>
        <v>2</v>
      </c>
      <c r="H78" s="89"/>
      <c r="I78" s="89"/>
    </row>
    <row r="79" spans="1:9">
      <c r="A79" s="242"/>
      <c r="B79" s="242"/>
      <c r="C79" s="242"/>
      <c r="D79" s="242"/>
      <c r="E79" s="89">
        <f>IF('1.0WS'!D77="","",'1.0WS'!D77)</f>
        <v>4</v>
      </c>
      <c r="F79" s="90" t="str">
        <f>'1.0WS'!E77</f>
        <v>Girgadhada</v>
      </c>
      <c r="G79" s="91">
        <f>IF('1.0WS'!K77="","",'1.0WS'!K77)</f>
        <v>2</v>
      </c>
      <c r="H79" s="89"/>
      <c r="I79" s="89"/>
    </row>
    <row r="80" spans="1:9">
      <c r="A80" s="242"/>
      <c r="B80" s="242"/>
      <c r="C80" s="242"/>
      <c r="D80" s="242"/>
      <c r="E80" s="258" t="s">
        <v>293</v>
      </c>
      <c r="F80" s="258"/>
      <c r="G80" s="92"/>
      <c r="H80" s="93">
        <f t="shared" ref="H80:I80" si="3">SUM(H74:H79)</f>
        <v>0</v>
      </c>
      <c r="I80" s="93">
        <f t="shared" si="3"/>
        <v>0</v>
      </c>
    </row>
    <row r="81" spans="1:9">
      <c r="A81" s="242"/>
      <c r="B81" s="242"/>
      <c r="C81" s="252" t="s">
        <v>294</v>
      </c>
      <c r="D81" s="252"/>
      <c r="E81" s="252"/>
      <c r="F81" s="252"/>
      <c r="G81" s="95"/>
      <c r="H81" s="96">
        <f>SUM(H57,H63,H73,H80)</f>
        <v>0</v>
      </c>
      <c r="I81" s="96">
        <f>SUM(I57,I63,I73,I80)</f>
        <v>0</v>
      </c>
    </row>
    <row r="82" spans="1:9">
      <c r="A82" s="242"/>
      <c r="B82" s="242" t="s">
        <v>112</v>
      </c>
      <c r="C82" s="242" t="s">
        <v>112</v>
      </c>
      <c r="D82" s="251" t="s">
        <v>320</v>
      </c>
      <c r="E82" s="89">
        <f>IF('1.0WS'!D80="","",'1.0WS'!D80)</f>
        <v>1</v>
      </c>
      <c r="F82" s="90" t="str">
        <f>'1.0WS'!E80</f>
        <v>Jodia</v>
      </c>
      <c r="G82" s="91">
        <f>IF('1.0WS'!K80="","",'1.0WS'!K80)</f>
        <v>2</v>
      </c>
      <c r="H82" s="89"/>
      <c r="I82" s="89"/>
    </row>
    <row r="83" spans="1:9">
      <c r="A83" s="242"/>
      <c r="B83" s="242"/>
      <c r="C83" s="242"/>
      <c r="D83" s="242"/>
      <c r="E83" s="89" t="str">
        <f>IF('1.0WS'!D81="","",'1.0WS'!D81)</f>
        <v/>
      </c>
      <c r="F83" s="90" t="str">
        <f>'1.0WS'!E81</f>
        <v>Dhrol</v>
      </c>
      <c r="G83" s="91" t="str">
        <f>IF('1.0WS'!K81="","",'1.0WS'!K81)</f>
        <v/>
      </c>
      <c r="H83" s="89"/>
      <c r="I83" s="89"/>
    </row>
    <row r="84" spans="1:9">
      <c r="A84" s="242"/>
      <c r="B84" s="242"/>
      <c r="C84" s="242"/>
      <c r="D84" s="242"/>
      <c r="E84" s="89">
        <f>IF('1.0WS'!D82="","",'1.0WS'!D82)</f>
        <v>2</v>
      </c>
      <c r="F84" s="90" t="str">
        <f>'1.0WS'!E82</f>
        <v>Jamnagar</v>
      </c>
      <c r="G84" s="91">
        <f>IF('1.0WS'!K82="","",'1.0WS'!K82)</f>
        <v>2</v>
      </c>
      <c r="H84" s="89"/>
      <c r="I84" s="89"/>
    </row>
    <row r="85" spans="1:9">
      <c r="A85" s="242"/>
      <c r="B85" s="242"/>
      <c r="C85" s="242"/>
      <c r="D85" s="242"/>
      <c r="E85" s="89">
        <f>IF('1.0WS'!D83="","",'1.0WS'!D83)</f>
        <v>3</v>
      </c>
      <c r="F85" s="90" t="str">
        <f>'1.0WS'!E83</f>
        <v>Kalawad</v>
      </c>
      <c r="G85" s="91">
        <f>IF('1.0WS'!K83="","",'1.0WS'!K83)</f>
        <v>2</v>
      </c>
      <c r="H85" s="89"/>
      <c r="I85" s="89"/>
    </row>
    <row r="86" spans="1:9">
      <c r="A86" s="242"/>
      <c r="B86" s="242"/>
      <c r="C86" s="242"/>
      <c r="D86" s="242"/>
      <c r="E86" s="89">
        <f>IF('1.0WS'!D84="","",'1.0WS'!D84)</f>
        <v>4</v>
      </c>
      <c r="F86" s="90" t="str">
        <f>'1.0WS'!E84</f>
        <v>Jamjodhpur</v>
      </c>
      <c r="G86" s="91">
        <f>IF('1.0WS'!K84="","",'1.0WS'!K84)</f>
        <v>2</v>
      </c>
      <c r="H86" s="89"/>
      <c r="I86" s="89"/>
    </row>
    <row r="87" spans="1:9">
      <c r="A87" s="242"/>
      <c r="B87" s="242"/>
      <c r="C87" s="242"/>
      <c r="D87" s="242"/>
      <c r="E87" s="89">
        <f>IF('1.0WS'!D85="","",'1.0WS'!D85)</f>
        <v>5</v>
      </c>
      <c r="F87" s="90" t="str">
        <f>'1.0WS'!E85</f>
        <v>Lalpur</v>
      </c>
      <c r="G87" s="91">
        <f>IF('1.0WS'!K85="","",'1.0WS'!K85)</f>
        <v>2</v>
      </c>
      <c r="H87" s="89"/>
      <c r="I87" s="89"/>
    </row>
    <row r="88" spans="1:9">
      <c r="A88" s="242"/>
      <c r="B88" s="242"/>
      <c r="C88" s="242"/>
      <c r="D88" s="242"/>
      <c r="E88" s="258" t="s">
        <v>293</v>
      </c>
      <c r="F88" s="258"/>
      <c r="G88" s="92"/>
      <c r="H88" s="93">
        <f t="shared" ref="H88:I88" si="4">SUM(H82:H87)</f>
        <v>0</v>
      </c>
      <c r="I88" s="93">
        <f t="shared" si="4"/>
        <v>0</v>
      </c>
    </row>
    <row r="89" spans="1:9" ht="13.95" customHeight="1">
      <c r="A89" s="242"/>
      <c r="B89" s="242"/>
      <c r="C89" s="257" t="s">
        <v>296</v>
      </c>
      <c r="D89" s="256" t="s">
        <v>321</v>
      </c>
      <c r="E89" s="89">
        <f>IF('1.0WS'!D87="","",'1.0WS'!D87)</f>
        <v>1</v>
      </c>
      <c r="F89" s="90" t="str">
        <f>'1.0WS'!E87</f>
        <v>Okhamandal</v>
      </c>
      <c r="G89" s="91" t="str">
        <f>IF('1.0WS'!K87="","",'1.0WS'!K87)</f>
        <v/>
      </c>
      <c r="H89" s="94"/>
      <c r="I89" s="94"/>
    </row>
    <row r="90" spans="1:9">
      <c r="A90" s="242"/>
      <c r="B90" s="242"/>
      <c r="C90" s="257"/>
      <c r="D90" s="257"/>
      <c r="E90" s="89" t="str">
        <f>IF('1.0WS'!D88="","",'1.0WS'!D88)</f>
        <v/>
      </c>
      <c r="F90" s="90" t="str">
        <f>'1.0WS'!E88</f>
        <v>Khambhalia</v>
      </c>
      <c r="G90" s="91">
        <f>IF('1.0WS'!K88="","",'1.0WS'!K88)</f>
        <v>2</v>
      </c>
      <c r="H90" s="94"/>
      <c r="I90" s="94"/>
    </row>
    <row r="91" spans="1:9">
      <c r="A91" s="242"/>
      <c r="B91" s="242"/>
      <c r="C91" s="257"/>
      <c r="D91" s="257"/>
      <c r="E91" s="89">
        <f>IF('1.0WS'!D89="","",'1.0WS'!D89)</f>
        <v>2</v>
      </c>
      <c r="F91" s="90" t="str">
        <f>'1.0WS'!E89</f>
        <v>Kalyanpur</v>
      </c>
      <c r="G91" s="91">
        <f>IF('1.0WS'!K89="","",'1.0WS'!K89)</f>
        <v>3</v>
      </c>
      <c r="H91" s="89"/>
      <c r="I91" s="89"/>
    </row>
    <row r="92" spans="1:9">
      <c r="A92" s="242"/>
      <c r="B92" s="242"/>
      <c r="C92" s="257"/>
      <c r="D92" s="257"/>
      <c r="E92" s="89">
        <f>IF('1.0WS'!D90="","",'1.0WS'!D90)</f>
        <v>3</v>
      </c>
      <c r="F92" s="90" t="str">
        <f>'1.0WS'!E90</f>
        <v>Bhanvad</v>
      </c>
      <c r="G92" s="91">
        <f>IF('1.0WS'!K90="","",'1.0WS'!K90)</f>
        <v>2</v>
      </c>
      <c r="H92" s="89"/>
      <c r="I92" s="89"/>
    </row>
    <row r="93" spans="1:9">
      <c r="A93" s="242"/>
      <c r="B93" s="242"/>
      <c r="C93" s="257"/>
      <c r="D93" s="257"/>
      <c r="E93" s="258" t="s">
        <v>293</v>
      </c>
      <c r="F93" s="258"/>
      <c r="G93" s="92"/>
      <c r="H93" s="93">
        <f t="shared" ref="H93:I93" si="5">SUM(H89:H92)</f>
        <v>0</v>
      </c>
      <c r="I93" s="93">
        <f t="shared" si="5"/>
        <v>0</v>
      </c>
    </row>
    <row r="94" spans="1:9">
      <c r="A94" s="242"/>
      <c r="B94" s="242"/>
      <c r="C94" s="242" t="s">
        <v>123</v>
      </c>
      <c r="D94" s="251" t="s">
        <v>322</v>
      </c>
      <c r="E94" s="89">
        <f>IF('1.0WS'!D92="","",'1.0WS'!D92)</f>
        <v>1</v>
      </c>
      <c r="F94" s="90" t="str">
        <f>'1.0WS'!E92</f>
        <v>Ranavav</v>
      </c>
      <c r="G94" s="91" t="str">
        <f>IF('1.0WS'!K92="","",'1.0WS'!K92)</f>
        <v/>
      </c>
      <c r="H94" s="94"/>
      <c r="I94" s="94"/>
    </row>
    <row r="95" spans="1:9">
      <c r="A95" s="242"/>
      <c r="B95" s="242"/>
      <c r="C95" s="242"/>
      <c r="D95" s="242"/>
      <c r="E95" s="89" t="str">
        <f>IF('1.0WS'!D93="","",'1.0WS'!D93)</f>
        <v/>
      </c>
      <c r="F95" s="90" t="str">
        <f>'1.0WS'!E93</f>
        <v>Kutiyana</v>
      </c>
      <c r="G95" s="91">
        <f>IF('1.0WS'!K93="","",'1.0WS'!K93)</f>
        <v>2</v>
      </c>
      <c r="H95" s="94"/>
      <c r="I95" s="94"/>
    </row>
    <row r="96" spans="1:9">
      <c r="A96" s="242"/>
      <c r="B96" s="242"/>
      <c r="C96" s="242"/>
      <c r="D96" s="242"/>
      <c r="E96" s="89">
        <f>IF('1.0WS'!D94="","",'1.0WS'!D94)</f>
        <v>2</v>
      </c>
      <c r="F96" s="90" t="str">
        <f>'1.0WS'!E94</f>
        <v>Porbandar</v>
      </c>
      <c r="G96" s="91">
        <f>IF('1.0WS'!K94="","",'1.0WS'!K94)</f>
        <v>3</v>
      </c>
      <c r="H96" s="89"/>
      <c r="I96" s="89"/>
    </row>
    <row r="97" spans="1:9">
      <c r="A97" s="242"/>
      <c r="B97" s="242"/>
      <c r="C97" s="242"/>
      <c r="D97" s="242"/>
      <c r="E97" s="258" t="s">
        <v>293</v>
      </c>
      <c r="F97" s="258"/>
      <c r="G97" s="92"/>
      <c r="H97" s="93">
        <f>SUM(H94:H96)</f>
        <v>0</v>
      </c>
      <c r="I97" s="93">
        <f>SUM(I94:I96)</f>
        <v>0</v>
      </c>
    </row>
    <row r="98" spans="1:9">
      <c r="A98" s="242"/>
      <c r="B98" s="242"/>
      <c r="C98" s="252" t="s">
        <v>294</v>
      </c>
      <c r="D98" s="252"/>
      <c r="E98" s="252"/>
      <c r="F98" s="252"/>
      <c r="G98" s="95"/>
      <c r="H98" s="96">
        <f>SUM(H88,H93,H97)</f>
        <v>0</v>
      </c>
      <c r="I98" s="96">
        <f>SUM(I88,I93,I97)</f>
        <v>0</v>
      </c>
    </row>
    <row r="99" spans="1:9">
      <c r="A99" s="242"/>
      <c r="B99" s="242" t="s">
        <v>154</v>
      </c>
      <c r="C99" s="242" t="s">
        <v>143</v>
      </c>
      <c r="D99" s="251" t="s">
        <v>323</v>
      </c>
      <c r="E99" s="89">
        <f>IF('1.0WS'!D97="","",'1.0WS'!D97)</f>
        <v>1</v>
      </c>
      <c r="F99" s="90" t="str">
        <f>'1.0WS'!E97</f>
        <v>Kunkavav</v>
      </c>
      <c r="G99" s="91">
        <f>IF('1.0WS'!K97="","",'1.0WS'!K97)</f>
        <v>2</v>
      </c>
      <c r="H99" s="89"/>
      <c r="I99" s="89"/>
    </row>
    <row r="100" spans="1:9">
      <c r="A100" s="242"/>
      <c r="B100" s="242"/>
      <c r="C100" s="242"/>
      <c r="D100" s="242"/>
      <c r="E100" s="89">
        <f>IF('1.0WS'!D98="","",'1.0WS'!D98)</f>
        <v>2</v>
      </c>
      <c r="F100" s="90" t="str">
        <f>'1.0WS'!E98</f>
        <v>Babra</v>
      </c>
      <c r="G100" s="91">
        <f>IF('1.0WS'!K98="","",'1.0WS'!K98)</f>
        <v>2</v>
      </c>
      <c r="H100" s="89"/>
      <c r="I100" s="89"/>
    </row>
    <row r="101" spans="1:9">
      <c r="A101" s="242"/>
      <c r="B101" s="242"/>
      <c r="C101" s="242"/>
      <c r="D101" s="242"/>
      <c r="E101" s="89">
        <f>IF('1.0WS'!D99="","",'1.0WS'!D99)</f>
        <v>3</v>
      </c>
      <c r="F101" s="90" t="str">
        <f>'1.0WS'!E99</f>
        <v>Lathi</v>
      </c>
      <c r="G101" s="91">
        <f>IF('1.0WS'!K99="","",'1.0WS'!K99)</f>
        <v>2</v>
      </c>
      <c r="H101" s="94"/>
      <c r="I101" s="94"/>
    </row>
    <row r="102" spans="1:9">
      <c r="A102" s="242"/>
      <c r="B102" s="242"/>
      <c r="C102" s="242"/>
      <c r="D102" s="242"/>
      <c r="E102" s="89" t="str">
        <f>IF('1.0WS'!D100="","",'1.0WS'!D100)</f>
        <v/>
      </c>
      <c r="F102" s="90" t="str">
        <f>'1.0WS'!E100</f>
        <v>Liliya</v>
      </c>
      <c r="G102" s="91" t="str">
        <f>IF('1.0WS'!K100="","",'1.0WS'!K100)</f>
        <v/>
      </c>
      <c r="H102" s="94"/>
      <c r="I102" s="94"/>
    </row>
    <row r="103" spans="1:9">
      <c r="A103" s="242"/>
      <c r="B103" s="242"/>
      <c r="C103" s="242"/>
      <c r="D103" s="242"/>
      <c r="E103" s="89">
        <f>IF('1.0WS'!D101="","",'1.0WS'!D101)</f>
        <v>4</v>
      </c>
      <c r="F103" s="90" t="str">
        <f>'1.0WS'!E101</f>
        <v>Amreli</v>
      </c>
      <c r="G103" s="91">
        <f>IF('1.0WS'!K101="","",'1.0WS'!K101)</f>
        <v>2</v>
      </c>
      <c r="H103" s="89"/>
      <c r="I103" s="89"/>
    </row>
    <row r="104" spans="1:9">
      <c r="A104" s="242"/>
      <c r="B104" s="242"/>
      <c r="C104" s="242"/>
      <c r="D104" s="242"/>
      <c r="E104" s="89">
        <f>IF('1.0WS'!D102="","",'1.0WS'!D102)</f>
        <v>5</v>
      </c>
      <c r="F104" s="90" t="str">
        <f>'1.0WS'!E102</f>
        <v>Bagasara</v>
      </c>
      <c r="G104" s="91" t="str">
        <f>IF('1.0WS'!K102="","",'1.0WS'!K102)</f>
        <v/>
      </c>
      <c r="H104" s="94"/>
      <c r="I104" s="94"/>
    </row>
    <row r="105" spans="1:9">
      <c r="A105" s="242"/>
      <c r="B105" s="242"/>
      <c r="C105" s="242"/>
      <c r="D105" s="242"/>
      <c r="E105" s="89" t="str">
        <f>IF('1.0WS'!D103="","",'1.0WS'!D103)</f>
        <v/>
      </c>
      <c r="F105" s="90" t="str">
        <f>'1.0WS'!E103</f>
        <v>Dhari</v>
      </c>
      <c r="G105" s="91">
        <f>IF('1.0WS'!K103="","",'1.0WS'!K103)</f>
        <v>2</v>
      </c>
      <c r="H105" s="94"/>
      <c r="I105" s="94"/>
    </row>
    <row r="106" spans="1:9">
      <c r="A106" s="242"/>
      <c r="B106" s="242"/>
      <c r="C106" s="242"/>
      <c r="D106" s="242"/>
      <c r="E106" s="89">
        <f>IF('1.0WS'!D104="","",'1.0WS'!D104)</f>
        <v>6</v>
      </c>
      <c r="F106" s="90" t="str">
        <f>'1.0WS'!E104</f>
        <v>Savarkundla</v>
      </c>
      <c r="G106" s="91">
        <f>IF('1.0WS'!K104="","",'1.0WS'!K104)</f>
        <v>2</v>
      </c>
      <c r="H106" s="89"/>
      <c r="I106" s="89"/>
    </row>
    <row r="107" spans="1:9">
      <c r="A107" s="242"/>
      <c r="B107" s="242"/>
      <c r="C107" s="242"/>
      <c r="D107" s="242"/>
      <c r="E107" s="89">
        <f>IF('1.0WS'!D105="","",'1.0WS'!D105)</f>
        <v>7</v>
      </c>
      <c r="F107" s="90" t="str">
        <f>'1.0WS'!E105</f>
        <v>Khambha</v>
      </c>
      <c r="G107" s="91" t="str">
        <f>IF('1.0WS'!K105="","",'1.0WS'!K105)</f>
        <v/>
      </c>
      <c r="H107" s="94"/>
      <c r="I107" s="94"/>
    </row>
    <row r="108" spans="1:9">
      <c r="A108" s="242"/>
      <c r="B108" s="242"/>
      <c r="C108" s="242"/>
      <c r="D108" s="242"/>
      <c r="E108" s="89" t="str">
        <f>IF('1.0WS'!D106="","",'1.0WS'!D106)</f>
        <v/>
      </c>
      <c r="F108" s="90" t="str">
        <f>'1.0WS'!E106</f>
        <v>Jafrabad</v>
      </c>
      <c r="G108" s="91" t="str">
        <f>IF('1.0WS'!K106="","",'1.0WS'!K106)</f>
        <v/>
      </c>
      <c r="H108" s="94"/>
      <c r="I108" s="94"/>
    </row>
    <row r="109" spans="1:9">
      <c r="A109" s="242"/>
      <c r="B109" s="242"/>
      <c r="C109" s="242"/>
      <c r="D109" s="242"/>
      <c r="E109" s="89" t="str">
        <f>IF('1.0WS'!D107="","",'1.0WS'!D107)</f>
        <v/>
      </c>
      <c r="F109" s="90" t="str">
        <f>'1.0WS'!E107</f>
        <v>Rajula</v>
      </c>
      <c r="G109" s="91">
        <f>IF('1.0WS'!K107="","",'1.0WS'!K107)</f>
        <v>2</v>
      </c>
      <c r="H109" s="94"/>
      <c r="I109" s="94"/>
    </row>
    <row r="110" spans="1:9">
      <c r="A110" s="242"/>
      <c r="B110" s="242"/>
      <c r="C110" s="242"/>
      <c r="D110" s="242"/>
      <c r="E110" s="258" t="s">
        <v>293</v>
      </c>
      <c r="F110" s="258"/>
      <c r="G110" s="92"/>
      <c r="H110" s="93">
        <f t="shared" ref="H110:I110" si="6">SUM(H99:H109)</f>
        <v>0</v>
      </c>
      <c r="I110" s="93">
        <f t="shared" si="6"/>
        <v>0</v>
      </c>
    </row>
    <row r="111" spans="1:9">
      <c r="A111" s="242"/>
      <c r="B111" s="242"/>
      <c r="C111" s="242" t="s">
        <v>154</v>
      </c>
      <c r="D111" s="251" t="s">
        <v>324</v>
      </c>
      <c r="E111" s="89">
        <f>IF('1.0WS'!D109="","",'1.0WS'!D109)</f>
        <v>1</v>
      </c>
      <c r="F111" s="90" t="str">
        <f>'1.0WS'!E109</f>
        <v>Bhavnagar</v>
      </c>
      <c r="G111" s="91" t="str">
        <f>IF('1.0WS'!K109="","",'1.0WS'!K109)</f>
        <v/>
      </c>
      <c r="H111" s="94"/>
      <c r="I111" s="94"/>
    </row>
    <row r="112" spans="1:9">
      <c r="A112" s="242"/>
      <c r="B112" s="242"/>
      <c r="C112" s="242"/>
      <c r="D112" s="242"/>
      <c r="E112" s="89" t="str">
        <f>IF('1.0WS'!D110="","",'1.0WS'!D110)</f>
        <v/>
      </c>
      <c r="F112" s="90" t="str">
        <f>'1.0WS'!E110</f>
        <v>Vallabhipur</v>
      </c>
      <c r="G112" s="91">
        <f>IF('1.0WS'!K110="","",'1.0WS'!K110)</f>
        <v>2</v>
      </c>
      <c r="H112" s="94"/>
      <c r="I112" s="94"/>
    </row>
    <row r="113" spans="1:9">
      <c r="A113" s="242"/>
      <c r="B113" s="242"/>
      <c r="C113" s="242"/>
      <c r="D113" s="242"/>
      <c r="E113" s="89" t="str">
        <f>IF('1.0WS'!D111="","",'1.0WS'!D111)</f>
        <v/>
      </c>
      <c r="F113" s="90" t="str">
        <f>'1.0WS'!E111</f>
        <v>Umrala</v>
      </c>
      <c r="G113" s="91" t="str">
        <f>IF('1.0WS'!K111="","",'1.0WS'!K111)</f>
        <v/>
      </c>
      <c r="H113" s="94"/>
      <c r="I113" s="94"/>
    </row>
    <row r="114" spans="1:9">
      <c r="A114" s="242"/>
      <c r="B114" s="242"/>
      <c r="C114" s="242"/>
      <c r="D114" s="242"/>
      <c r="E114" s="89">
        <f>IF('1.0WS'!D112="","",'1.0WS'!D112)</f>
        <v>2</v>
      </c>
      <c r="F114" s="90" t="str">
        <f>'1.0WS'!E112</f>
        <v>Ghogha</v>
      </c>
      <c r="G114" s="91" t="str">
        <f>IF('1.0WS'!K112="","",'1.0WS'!K112)</f>
        <v/>
      </c>
      <c r="H114" s="94"/>
      <c r="I114" s="94"/>
    </row>
    <row r="115" spans="1:9">
      <c r="A115" s="242"/>
      <c r="B115" s="242"/>
      <c r="C115" s="242"/>
      <c r="D115" s="242"/>
      <c r="E115" s="89" t="str">
        <f>IF('1.0WS'!D113="","",'1.0WS'!D113)</f>
        <v/>
      </c>
      <c r="F115" s="90" t="str">
        <f>'1.0WS'!E113</f>
        <v>Sihor</v>
      </c>
      <c r="G115" s="91">
        <f>IF('1.0WS'!K113="","",'1.0WS'!K113)</f>
        <v>2</v>
      </c>
      <c r="H115" s="94"/>
      <c r="I115" s="94"/>
    </row>
    <row r="116" spans="1:9">
      <c r="A116" s="242"/>
      <c r="B116" s="242"/>
      <c r="C116" s="242"/>
      <c r="D116" s="242"/>
      <c r="E116" s="89">
        <f>IF('1.0WS'!D114="","",'1.0WS'!D114)</f>
        <v>3</v>
      </c>
      <c r="F116" s="90" t="str">
        <f>'1.0WS'!E114</f>
        <v>Gariadhar</v>
      </c>
      <c r="G116" s="91" t="str">
        <f>IF('1.0WS'!K114="","",'1.0WS'!K114)</f>
        <v/>
      </c>
      <c r="H116" s="94"/>
      <c r="I116" s="94"/>
    </row>
    <row r="117" spans="1:9">
      <c r="A117" s="242"/>
      <c r="B117" s="242"/>
      <c r="C117" s="242"/>
      <c r="D117" s="242"/>
      <c r="E117" s="89" t="str">
        <f>IF('1.0WS'!D115="","",'1.0WS'!D115)</f>
        <v/>
      </c>
      <c r="F117" s="90" t="str">
        <f>'1.0WS'!E115</f>
        <v>Palitana</v>
      </c>
      <c r="G117" s="91">
        <f>IF('1.0WS'!K115="","",'1.0WS'!K115)</f>
        <v>2</v>
      </c>
      <c r="H117" s="94"/>
      <c r="I117" s="94"/>
    </row>
    <row r="118" spans="1:9">
      <c r="A118" s="242"/>
      <c r="B118" s="242"/>
      <c r="C118" s="242"/>
      <c r="D118" s="242"/>
      <c r="E118" s="89">
        <f>IF('1.0WS'!D116="","",'1.0WS'!D116)</f>
        <v>4</v>
      </c>
      <c r="F118" s="90" t="str">
        <f>'1.0WS'!E116</f>
        <v>Talaja</v>
      </c>
      <c r="G118" s="91">
        <f>IF('1.0WS'!K116="","",'1.0WS'!K116)</f>
        <v>2</v>
      </c>
      <c r="H118" s="89"/>
      <c r="I118" s="89"/>
    </row>
    <row r="119" spans="1:9">
      <c r="A119" s="242"/>
      <c r="B119" s="242"/>
      <c r="C119" s="242"/>
      <c r="D119" s="242"/>
      <c r="E119" s="89">
        <f>IF('1.0WS'!D117="","",'1.0WS'!D117)</f>
        <v>5</v>
      </c>
      <c r="F119" s="90" t="str">
        <f>'1.0WS'!E117</f>
        <v>Mahuva</v>
      </c>
      <c r="G119" s="91">
        <f>IF('1.0WS'!K117="","",'1.0WS'!K117)</f>
        <v>3</v>
      </c>
      <c r="H119" s="94"/>
      <c r="I119" s="94"/>
    </row>
    <row r="120" spans="1:9">
      <c r="A120" s="242"/>
      <c r="B120" s="242"/>
      <c r="C120" s="242"/>
      <c r="D120" s="242"/>
      <c r="E120" s="89" t="str">
        <f>IF('1.0WS'!D118="","",'1.0WS'!D118)</f>
        <v/>
      </c>
      <c r="F120" s="90" t="str">
        <f>'1.0WS'!E118</f>
        <v>Jesar</v>
      </c>
      <c r="G120" s="91" t="str">
        <f>IF('1.0WS'!K118="","",'1.0WS'!K118)</f>
        <v/>
      </c>
      <c r="H120" s="94"/>
      <c r="I120" s="94"/>
    </row>
    <row r="121" spans="1:9">
      <c r="A121" s="242"/>
      <c r="B121" s="242"/>
      <c r="C121" s="242"/>
      <c r="D121" s="242"/>
      <c r="E121" s="258" t="s">
        <v>293</v>
      </c>
      <c r="F121" s="258"/>
      <c r="G121" s="92"/>
      <c r="H121" s="93">
        <f t="shared" ref="H121:I121" si="7">SUM(H111:H120)</f>
        <v>0</v>
      </c>
      <c r="I121" s="93">
        <f t="shared" si="7"/>
        <v>0</v>
      </c>
    </row>
    <row r="122" spans="1:9">
      <c r="A122" s="242"/>
      <c r="B122" s="242"/>
      <c r="C122" s="242" t="s">
        <v>164</v>
      </c>
      <c r="D122" s="251" t="s">
        <v>325</v>
      </c>
      <c r="E122" s="89">
        <f>IF('1.0WS'!D120="","",'1.0WS'!D120)</f>
        <v>1</v>
      </c>
      <c r="F122" s="90" t="str">
        <f>'1.0WS'!E120</f>
        <v>Botad</v>
      </c>
      <c r="G122" s="91">
        <f>IF('1.0WS'!K120="","",'1.0WS'!K120)</f>
        <v>2</v>
      </c>
      <c r="H122" s="89"/>
      <c r="I122" s="89"/>
    </row>
    <row r="123" spans="1:9">
      <c r="A123" s="242"/>
      <c r="B123" s="242"/>
      <c r="C123" s="242"/>
      <c r="D123" s="242"/>
      <c r="E123" s="89">
        <f>IF('1.0WS'!D121="","",'1.0WS'!D121)</f>
        <v>2</v>
      </c>
      <c r="F123" s="90" t="str">
        <f>'1.0WS'!E121</f>
        <v>Gadhada</v>
      </c>
      <c r="G123" s="91">
        <f>IF('1.0WS'!K121="","",'1.0WS'!K121)</f>
        <v>2</v>
      </c>
      <c r="H123" s="89"/>
      <c r="I123" s="89"/>
    </row>
    <row r="124" spans="1:9">
      <c r="A124" s="242"/>
      <c r="B124" s="242"/>
      <c r="C124" s="242"/>
      <c r="D124" s="242"/>
      <c r="E124" s="89">
        <f>IF('1.0WS'!D122="","",'1.0WS'!D122)</f>
        <v>3</v>
      </c>
      <c r="F124" s="90" t="str">
        <f>'1.0WS'!E122</f>
        <v>Ranpur</v>
      </c>
      <c r="G124" s="91">
        <f>IF('1.0WS'!K122="","",'1.0WS'!K122)</f>
        <v>2</v>
      </c>
      <c r="H124" s="94"/>
      <c r="I124" s="94"/>
    </row>
    <row r="125" spans="1:9">
      <c r="A125" s="242"/>
      <c r="B125" s="242"/>
      <c r="C125" s="242"/>
      <c r="D125" s="242"/>
      <c r="E125" s="89" t="str">
        <f>IF('1.0WS'!D123="","",'1.0WS'!D123)</f>
        <v/>
      </c>
      <c r="F125" s="90" t="str">
        <f>'1.0WS'!E123</f>
        <v>Barwala</v>
      </c>
      <c r="G125" s="91" t="str">
        <f>IF('1.0WS'!K123="","",'1.0WS'!K123)</f>
        <v/>
      </c>
      <c r="H125" s="94"/>
      <c r="I125" s="94"/>
    </row>
    <row r="126" spans="1:9">
      <c r="A126" s="242"/>
      <c r="B126" s="242"/>
      <c r="C126" s="242"/>
      <c r="D126" s="242"/>
      <c r="E126" s="258" t="s">
        <v>293</v>
      </c>
      <c r="F126" s="258"/>
      <c r="G126" s="92"/>
      <c r="H126" s="93">
        <f t="shared" ref="H126:I126" si="8">SUM(H122:H125)</f>
        <v>0</v>
      </c>
      <c r="I126" s="93">
        <f t="shared" si="8"/>
        <v>0</v>
      </c>
    </row>
    <row r="127" spans="1:9">
      <c r="A127" s="242"/>
      <c r="B127" s="242"/>
      <c r="C127" s="252" t="s">
        <v>294</v>
      </c>
      <c r="D127" s="252"/>
      <c r="E127" s="252"/>
      <c r="F127" s="252"/>
      <c r="G127" s="95"/>
      <c r="H127" s="98">
        <f t="shared" ref="H127:I127" si="9">SUM(H110,H121,H126)</f>
        <v>0</v>
      </c>
      <c r="I127" s="98">
        <f t="shared" si="9"/>
        <v>0</v>
      </c>
    </row>
    <row r="128" spans="1:9">
      <c r="A128" s="242"/>
      <c r="B128" s="259" t="s">
        <v>326</v>
      </c>
      <c r="C128" s="259"/>
      <c r="D128" s="259"/>
      <c r="E128" s="259"/>
      <c r="F128" s="259"/>
      <c r="G128" s="99"/>
      <c r="H128" s="100">
        <f>SUM(H29,H45,H81,H98,H127)</f>
        <v>0</v>
      </c>
      <c r="I128" s="100">
        <f>SUM(I29,I45,I81,I98,I127)</f>
        <v>0</v>
      </c>
    </row>
    <row r="129" spans="1:9">
      <c r="A129" s="260"/>
      <c r="B129" s="260"/>
      <c r="C129" s="260"/>
      <c r="D129" s="260"/>
      <c r="E129" s="260"/>
      <c r="F129" s="260"/>
      <c r="G129" s="260"/>
      <c r="H129" s="260"/>
      <c r="I129" s="260"/>
    </row>
    <row r="130" spans="1:9">
      <c r="A130" s="242" t="s">
        <v>327</v>
      </c>
      <c r="B130" s="242" t="s">
        <v>43</v>
      </c>
      <c r="C130" s="242" t="s">
        <v>299</v>
      </c>
      <c r="D130" s="251" t="s">
        <v>328</v>
      </c>
      <c r="E130" s="89">
        <f>IF('1.0WS'!D128="","",'1.0WS'!D128)</f>
        <v>1</v>
      </c>
      <c r="F130" s="90" t="str">
        <f>'1.0WS'!E128</f>
        <v>Vav</v>
      </c>
      <c r="G130" s="91">
        <f>IF('1.0WS'!K128="","",'1.0WS'!K128)</f>
        <v>2</v>
      </c>
      <c r="H130" s="89"/>
      <c r="I130" s="89"/>
    </row>
    <row r="131" spans="1:9">
      <c r="A131" s="242"/>
      <c r="B131" s="242"/>
      <c r="C131" s="242"/>
      <c r="D131" s="242"/>
      <c r="E131" s="89">
        <f>IF('1.0WS'!D129="","",'1.0WS'!D129)</f>
        <v>2</v>
      </c>
      <c r="F131" s="90" t="str">
        <f>'1.0WS'!E129</f>
        <v>Tharad</v>
      </c>
      <c r="G131" s="91">
        <f>IF('1.0WS'!K129="","",'1.0WS'!K129)</f>
        <v>5</v>
      </c>
      <c r="H131" s="89"/>
      <c r="I131" s="89"/>
    </row>
    <row r="132" spans="1:9">
      <c r="A132" s="242"/>
      <c r="B132" s="242"/>
      <c r="C132" s="242"/>
      <c r="D132" s="242"/>
      <c r="E132" s="89">
        <f>IF('1.0WS'!D130="","",'1.0WS'!D130)</f>
        <v>3</v>
      </c>
      <c r="F132" s="90" t="str">
        <f>'1.0WS'!E130</f>
        <v>Dhanera</v>
      </c>
      <c r="G132" s="91">
        <f>IF('1.0WS'!K130="","",'1.0WS'!K130)</f>
        <v>3</v>
      </c>
      <c r="H132" s="89"/>
      <c r="I132" s="89"/>
    </row>
    <row r="133" spans="1:9">
      <c r="A133" s="242"/>
      <c r="B133" s="242"/>
      <c r="C133" s="242"/>
      <c r="D133" s="242"/>
      <c r="E133" s="89">
        <f>IF('1.0WS'!D131="","",'1.0WS'!D131)</f>
        <v>4</v>
      </c>
      <c r="F133" s="90" t="str">
        <f>'1.0WS'!E131</f>
        <v>Deesa</v>
      </c>
      <c r="G133" s="91">
        <f>IF('1.0WS'!K131="","",'1.0WS'!K131)</f>
        <v>5</v>
      </c>
      <c r="H133" s="89"/>
      <c r="I133" s="89"/>
    </row>
    <row r="134" spans="1:9">
      <c r="A134" s="242"/>
      <c r="B134" s="242"/>
      <c r="C134" s="242"/>
      <c r="D134" s="242"/>
      <c r="E134" s="89">
        <f>IF('1.0WS'!D132="","",'1.0WS'!D132)</f>
        <v>5</v>
      </c>
      <c r="F134" s="90" t="str">
        <f>'1.0WS'!E132</f>
        <v>Dantiwada</v>
      </c>
      <c r="G134" s="91">
        <f>IF('1.0WS'!K132="","",'1.0WS'!K132)</f>
        <v>2</v>
      </c>
      <c r="H134" s="89"/>
      <c r="I134" s="89"/>
    </row>
    <row r="135" spans="1:9">
      <c r="A135" s="242"/>
      <c r="B135" s="242"/>
      <c r="C135" s="242"/>
      <c r="D135" s="242"/>
      <c r="E135" s="89">
        <f>IF('1.0WS'!D133="","",'1.0WS'!D133)</f>
        <v>6</v>
      </c>
      <c r="F135" s="90" t="str">
        <f>'1.0WS'!E133</f>
        <v>Palanpur</v>
      </c>
      <c r="G135" s="91">
        <f>IF('1.0WS'!K133="","",'1.0WS'!K133)</f>
        <v>3</v>
      </c>
      <c r="H135" s="94"/>
      <c r="I135" s="94"/>
    </row>
    <row r="136" spans="1:9">
      <c r="A136" s="242"/>
      <c r="B136" s="242"/>
      <c r="C136" s="242"/>
      <c r="D136" s="242"/>
      <c r="E136" s="89" t="str">
        <f>IF('1.0WS'!D134="","",'1.0WS'!D134)</f>
        <v/>
      </c>
      <c r="F136" s="90" t="str">
        <f>'1.0WS'!E134</f>
        <v>Danta</v>
      </c>
      <c r="G136" s="91">
        <f>IF('1.0WS'!K134="","",'1.0WS'!K134)</f>
        <v>2</v>
      </c>
      <c r="H136" s="94"/>
      <c r="I136" s="94"/>
    </row>
    <row r="137" spans="1:9">
      <c r="A137" s="242"/>
      <c r="B137" s="242"/>
      <c r="C137" s="242"/>
      <c r="D137" s="242"/>
      <c r="E137" s="89">
        <f>IF('1.0WS'!D135="","",'1.0WS'!D135)</f>
        <v>7</v>
      </c>
      <c r="F137" s="90" t="str">
        <f>'1.0WS'!E135</f>
        <v>Vadgam</v>
      </c>
      <c r="G137" s="91">
        <f>IF('1.0WS'!K135="","",'1.0WS'!K135)</f>
        <v>2</v>
      </c>
      <c r="H137" s="94"/>
      <c r="I137" s="94"/>
    </row>
    <row r="138" spans="1:9">
      <c r="A138" s="242"/>
      <c r="B138" s="242"/>
      <c r="C138" s="242"/>
      <c r="D138" s="242"/>
      <c r="E138" s="89" t="str">
        <f>IF('1.0WS'!D136="","",'1.0WS'!D136)</f>
        <v/>
      </c>
      <c r="F138" s="90" t="str">
        <f>'1.0WS'!E136</f>
        <v>Amirgadh</v>
      </c>
      <c r="G138" s="91" t="str">
        <f>IF('1.0WS'!K136="","",'1.0WS'!K136)</f>
        <v/>
      </c>
      <c r="H138" s="94"/>
      <c r="I138" s="94"/>
    </row>
    <row r="139" spans="1:9">
      <c r="A139" s="242"/>
      <c r="B139" s="242"/>
      <c r="C139" s="242"/>
      <c r="D139" s="242"/>
      <c r="E139" s="89">
        <f>IF('1.0WS'!D137="","",'1.0WS'!D137)</f>
        <v>8</v>
      </c>
      <c r="F139" s="90" t="str">
        <f>'1.0WS'!E137</f>
        <v>Deodar</v>
      </c>
      <c r="G139" s="91">
        <f>IF('1.0WS'!K137="","",'1.0WS'!K137)</f>
        <v>2</v>
      </c>
      <c r="H139" s="89"/>
      <c r="I139" s="89"/>
    </row>
    <row r="140" spans="1:9">
      <c r="A140" s="242"/>
      <c r="B140" s="242"/>
      <c r="C140" s="242"/>
      <c r="D140" s="242"/>
      <c r="E140" s="89">
        <f>IF('1.0WS'!D138="","",'1.0WS'!D138)</f>
        <v>9</v>
      </c>
      <c r="F140" s="90" t="str">
        <f>'1.0WS'!E138</f>
        <v>Bhabhar</v>
      </c>
      <c r="G140" s="91">
        <f>IF('1.0WS'!K138="","",'1.0WS'!K138)</f>
        <v>2</v>
      </c>
      <c r="H140" s="89"/>
      <c r="I140" s="89"/>
    </row>
    <row r="141" spans="1:9">
      <c r="A141" s="242"/>
      <c r="B141" s="242"/>
      <c r="C141" s="242"/>
      <c r="D141" s="242"/>
      <c r="E141" s="89">
        <f>IF('1.0WS'!D139="","",'1.0WS'!D139)</f>
        <v>10</v>
      </c>
      <c r="F141" s="90" t="str">
        <f>'1.0WS'!E139</f>
        <v>Kankrej</v>
      </c>
      <c r="G141" s="91">
        <f>IF('1.0WS'!K139="","",'1.0WS'!K139)</f>
        <v>3</v>
      </c>
      <c r="H141" s="89"/>
      <c r="I141" s="89"/>
    </row>
    <row r="142" spans="1:9">
      <c r="A142" s="242"/>
      <c r="B142" s="242"/>
      <c r="C142" s="242"/>
      <c r="D142" s="242"/>
      <c r="E142" s="89">
        <f>IF('1.0WS'!D140="","",'1.0WS'!D140)</f>
        <v>11</v>
      </c>
      <c r="F142" s="90" t="str">
        <f>'1.0WS'!E140</f>
        <v>Lakhani</v>
      </c>
      <c r="G142" s="91">
        <f>IF('1.0WS'!K140="","",'1.0WS'!K140)</f>
        <v>2</v>
      </c>
      <c r="H142" s="94"/>
      <c r="I142" s="94"/>
    </row>
    <row r="143" spans="1:9">
      <c r="A143" s="242"/>
      <c r="B143" s="242"/>
      <c r="C143" s="242"/>
      <c r="D143" s="242"/>
      <c r="E143" s="89" t="str">
        <f>IF('1.0WS'!D141="","",'1.0WS'!D141)</f>
        <v/>
      </c>
      <c r="F143" s="90" t="str">
        <f>'1.0WS'!E141</f>
        <v>Suigam</v>
      </c>
      <c r="G143" s="91" t="str">
        <f>IF('1.0WS'!K141="","",'1.0WS'!K141)</f>
        <v/>
      </c>
      <c r="H143" s="94"/>
      <c r="I143" s="94"/>
    </row>
    <row r="144" spans="1:9">
      <c r="A144" s="242"/>
      <c r="B144" s="242"/>
      <c r="C144" s="242"/>
      <c r="D144" s="242"/>
      <c r="E144" s="258" t="s">
        <v>293</v>
      </c>
      <c r="F144" s="258"/>
      <c r="G144" s="92"/>
      <c r="H144" s="93">
        <f t="shared" ref="H144:I144" si="10">SUM(H130:H143)</f>
        <v>0</v>
      </c>
      <c r="I144" s="93">
        <f t="shared" si="10"/>
        <v>0</v>
      </c>
    </row>
    <row r="145" spans="1:9">
      <c r="A145" s="242"/>
      <c r="B145" s="242"/>
      <c r="C145" s="242" t="s">
        <v>34</v>
      </c>
      <c r="D145" s="251" t="s">
        <v>329</v>
      </c>
      <c r="E145" s="89">
        <f>IF('1.0WS'!D143="","",'1.0WS'!D143)</f>
        <v>1</v>
      </c>
      <c r="F145" s="90" t="str">
        <f>'1.0WS'!E143</f>
        <v>Santalpur</v>
      </c>
      <c r="G145" s="91">
        <f>IF('1.0WS'!K143="","",'1.0WS'!K143)</f>
        <v>2</v>
      </c>
      <c r="H145" s="89"/>
      <c r="I145" s="89"/>
    </row>
    <row r="146" spans="1:9">
      <c r="A146" s="242"/>
      <c r="B146" s="242"/>
      <c r="C146" s="242"/>
      <c r="D146" s="242"/>
      <c r="E146" s="89">
        <f>IF('1.0WS'!D144="","",'1.0WS'!D144)</f>
        <v>2</v>
      </c>
      <c r="F146" s="90" t="str">
        <f>'1.0WS'!E144</f>
        <v>Radhanpur</v>
      </c>
      <c r="G146" s="91">
        <f>IF('1.0WS'!K144="","",'1.0WS'!K144)</f>
        <v>2</v>
      </c>
      <c r="H146" s="89"/>
      <c r="I146" s="89"/>
    </row>
    <row r="147" spans="1:9">
      <c r="A147" s="242"/>
      <c r="B147" s="242"/>
      <c r="C147" s="242"/>
      <c r="D147" s="242"/>
      <c r="E147" s="89">
        <f>IF('1.0WS'!D145="","",'1.0WS'!D145)</f>
        <v>3</v>
      </c>
      <c r="F147" s="90" t="str">
        <f>'1.0WS'!E145</f>
        <v>Sidhpur</v>
      </c>
      <c r="G147" s="91">
        <f>IF('1.0WS'!K145="","",'1.0WS'!K145)</f>
        <v>2</v>
      </c>
      <c r="H147" s="89"/>
      <c r="I147" s="89"/>
    </row>
    <row r="148" spans="1:9">
      <c r="A148" s="242"/>
      <c r="B148" s="242"/>
      <c r="C148" s="242"/>
      <c r="D148" s="242"/>
      <c r="E148" s="89">
        <f>IF('1.0WS'!D146="","",'1.0WS'!D146)</f>
        <v>4</v>
      </c>
      <c r="F148" s="90" t="str">
        <f>'1.0WS'!E146</f>
        <v>Harij</v>
      </c>
      <c r="G148" s="91">
        <f>IF('1.0WS'!K146="","",'1.0WS'!K146)</f>
        <v>2</v>
      </c>
      <c r="H148" s="89"/>
      <c r="I148" s="89"/>
    </row>
    <row r="149" spans="1:9">
      <c r="A149" s="242"/>
      <c r="B149" s="242"/>
      <c r="C149" s="242"/>
      <c r="D149" s="242"/>
      <c r="E149" s="89">
        <f>IF('1.0WS'!D147="","",'1.0WS'!D147)</f>
        <v>5</v>
      </c>
      <c r="F149" s="90" t="str">
        <f>'1.0WS'!E147</f>
        <v>Patan</v>
      </c>
      <c r="G149" s="91">
        <f>IF('1.0WS'!K147="","",'1.0WS'!K147)</f>
        <v>2</v>
      </c>
      <c r="H149" s="89"/>
      <c r="I149" s="89"/>
    </row>
    <row r="150" spans="1:9">
      <c r="A150" s="242"/>
      <c r="B150" s="242"/>
      <c r="C150" s="242"/>
      <c r="D150" s="242"/>
      <c r="E150" s="89">
        <f>IF('1.0WS'!D148="","",'1.0WS'!D148)</f>
        <v>6</v>
      </c>
      <c r="F150" s="90" t="str">
        <f>'1.0WS'!E148</f>
        <v>Chanasma</v>
      </c>
      <c r="G150" s="91">
        <f>IF('1.0WS'!K148="","",'1.0WS'!K148)</f>
        <v>2</v>
      </c>
      <c r="H150" s="89"/>
      <c r="I150" s="89"/>
    </row>
    <row r="151" spans="1:9">
      <c r="A151" s="242"/>
      <c r="B151" s="242"/>
      <c r="C151" s="242"/>
      <c r="D151" s="242"/>
      <c r="E151" s="89">
        <f>IF('1.0WS'!D149="","",'1.0WS'!D149)</f>
        <v>7</v>
      </c>
      <c r="F151" s="90" t="str">
        <f>'1.0WS'!E149</f>
        <v>Sami</v>
      </c>
      <c r="G151" s="91">
        <f>IF('1.0WS'!K149="","",'1.0WS'!K149)</f>
        <v>2</v>
      </c>
      <c r="H151" s="89"/>
      <c r="I151" s="89"/>
    </row>
    <row r="152" spans="1:9">
      <c r="A152" s="242"/>
      <c r="B152" s="242"/>
      <c r="C152" s="242"/>
      <c r="D152" s="242"/>
      <c r="E152" s="89">
        <f>IF('1.0WS'!D150="","",'1.0WS'!D150)</f>
        <v>8</v>
      </c>
      <c r="F152" s="90" t="str">
        <f>'1.0WS'!E150</f>
        <v>Shankheshwar</v>
      </c>
      <c r="G152" s="91">
        <f>IF('1.0WS'!K150="","",'1.0WS'!K150)</f>
        <v>2</v>
      </c>
      <c r="H152" s="89"/>
      <c r="I152" s="89"/>
    </row>
    <row r="153" spans="1:9">
      <c r="A153" s="242"/>
      <c r="B153" s="242"/>
      <c r="C153" s="242"/>
      <c r="D153" s="242"/>
      <c r="E153" s="89">
        <f>IF('1.0WS'!D151="","",'1.0WS'!D151)</f>
        <v>9</v>
      </c>
      <c r="F153" s="90" t="str">
        <f>'1.0WS'!E151</f>
        <v>Saraswati</v>
      </c>
      <c r="G153" s="91">
        <f>IF('1.0WS'!K151="","",'1.0WS'!K151)</f>
        <v>2</v>
      </c>
      <c r="H153" s="89"/>
      <c r="I153" s="89"/>
    </row>
    <row r="154" spans="1:9">
      <c r="A154" s="242"/>
      <c r="B154" s="242"/>
      <c r="C154" s="242"/>
      <c r="D154" s="242"/>
      <c r="E154" s="258" t="s">
        <v>293</v>
      </c>
      <c r="F154" s="258"/>
      <c r="G154" s="92"/>
      <c r="H154" s="93">
        <f t="shared" ref="H154:I154" si="11">SUM(H145:H153)</f>
        <v>0</v>
      </c>
      <c r="I154" s="93">
        <f t="shared" si="11"/>
        <v>0</v>
      </c>
    </row>
    <row r="155" spans="1:9">
      <c r="A155" s="242"/>
      <c r="B155" s="242"/>
      <c r="C155" s="242" t="s">
        <v>43</v>
      </c>
      <c r="D155" s="251" t="s">
        <v>330</v>
      </c>
      <c r="E155" s="89">
        <f>IF('1.0WS'!D153="","",'1.0WS'!D153)</f>
        <v>1</v>
      </c>
      <c r="F155" s="90" t="str">
        <f>'1.0WS'!E153</f>
        <v>Satlasana</v>
      </c>
      <c r="G155" s="91" t="str">
        <f>IF('1.0WS'!K153="","",'1.0WS'!K153)</f>
        <v/>
      </c>
      <c r="H155" s="89"/>
      <c r="I155" s="89"/>
    </row>
    <row r="156" spans="1:9">
      <c r="A156" s="242"/>
      <c r="B156" s="242"/>
      <c r="C156" s="242"/>
      <c r="D156" s="242"/>
      <c r="E156" s="89" t="str">
        <f>IF('1.0WS'!D154="","",'1.0WS'!D154)</f>
        <v/>
      </c>
      <c r="F156" s="90" t="str">
        <f>'1.0WS'!E154</f>
        <v>Kheralu</v>
      </c>
      <c r="G156" s="91">
        <f>IF('1.0WS'!K154="","",'1.0WS'!K154)</f>
        <v>2</v>
      </c>
      <c r="H156" s="89"/>
      <c r="I156" s="89"/>
    </row>
    <row r="157" spans="1:9">
      <c r="A157" s="242"/>
      <c r="B157" s="242"/>
      <c r="C157" s="242"/>
      <c r="D157" s="242"/>
      <c r="E157" s="89">
        <f>IF('1.0WS'!D155="","",'1.0WS'!D155)</f>
        <v>2</v>
      </c>
      <c r="F157" s="90" t="str">
        <f>'1.0WS'!E155</f>
        <v>Unjha</v>
      </c>
      <c r="G157" s="91" t="str">
        <f>IF('1.0WS'!K155="","",'1.0WS'!K155)</f>
        <v/>
      </c>
      <c r="H157" s="89"/>
      <c r="I157" s="89"/>
    </row>
    <row r="158" spans="1:9">
      <c r="A158" s="242"/>
      <c r="B158" s="242"/>
      <c r="C158" s="242"/>
      <c r="D158" s="242"/>
      <c r="E158" s="89" t="str">
        <f>IF('1.0WS'!D156="","",'1.0WS'!D156)</f>
        <v/>
      </c>
      <c r="F158" s="90" t="str">
        <f>'1.0WS'!E156</f>
        <v>Vadnagar</v>
      </c>
      <c r="G158" s="91">
        <f>IF('1.0WS'!K156="","",'1.0WS'!K156)</f>
        <v>2</v>
      </c>
      <c r="H158" s="89"/>
      <c r="I158" s="89"/>
    </row>
    <row r="159" spans="1:9">
      <c r="A159" s="242"/>
      <c r="B159" s="242"/>
      <c r="C159" s="242"/>
      <c r="D159" s="242"/>
      <c r="E159" s="89">
        <f>IF('1.0WS'!D157="","",'1.0WS'!D157)</f>
        <v>3</v>
      </c>
      <c r="F159" s="90" t="str">
        <f>'1.0WS'!E157</f>
        <v>Vijapur</v>
      </c>
      <c r="G159" s="91">
        <f>IF('1.0WS'!K157="","",'1.0WS'!K157)</f>
        <v>2</v>
      </c>
      <c r="H159" s="89"/>
      <c r="I159" s="89"/>
    </row>
    <row r="160" spans="1:9">
      <c r="A160" s="242"/>
      <c r="B160" s="242"/>
      <c r="C160" s="242"/>
      <c r="D160" s="242"/>
      <c r="E160" s="89">
        <f>IF('1.0WS'!D158="","",'1.0WS'!D158)</f>
        <v>4</v>
      </c>
      <c r="F160" s="90" t="str">
        <f>'1.0WS'!E158</f>
        <v>Visnagar</v>
      </c>
      <c r="G160" s="91">
        <f>IF('1.0WS'!K158="","",'1.0WS'!K158)</f>
        <v>2</v>
      </c>
      <c r="H160" s="89"/>
      <c r="I160" s="89"/>
    </row>
    <row r="161" spans="1:9">
      <c r="A161" s="242"/>
      <c r="B161" s="242"/>
      <c r="C161" s="242"/>
      <c r="D161" s="242"/>
      <c r="E161" s="89">
        <f>IF('1.0WS'!D159="","",'1.0WS'!D159)</f>
        <v>5</v>
      </c>
      <c r="F161" s="90" t="str">
        <f>'1.0WS'!E159</f>
        <v>Mahesana</v>
      </c>
      <c r="G161" s="91">
        <f>IF('1.0WS'!K159="","",'1.0WS'!K159)</f>
        <v>2</v>
      </c>
      <c r="H161" s="89"/>
      <c r="I161" s="89"/>
    </row>
    <row r="162" spans="1:9">
      <c r="A162" s="242"/>
      <c r="B162" s="242"/>
      <c r="C162" s="242"/>
      <c r="D162" s="242"/>
      <c r="E162" s="89">
        <f>IF('1.0WS'!D160="","",'1.0WS'!D160)</f>
        <v>6</v>
      </c>
      <c r="F162" s="90" t="str">
        <f>'1.0WS'!E160</f>
        <v>Becharaji</v>
      </c>
      <c r="G162" s="91">
        <f>IF('1.0WS'!K160="","",'1.0WS'!K160)</f>
        <v>2</v>
      </c>
      <c r="H162" s="89"/>
      <c r="I162" s="89"/>
    </row>
    <row r="163" spans="1:9">
      <c r="A163" s="242"/>
      <c r="B163" s="242"/>
      <c r="C163" s="242"/>
      <c r="D163" s="242"/>
      <c r="E163" s="89">
        <f>IF('1.0WS'!D161="","",'1.0WS'!D161)</f>
        <v>7</v>
      </c>
      <c r="F163" s="90" t="str">
        <f>'1.0WS'!E161</f>
        <v>Kadi</v>
      </c>
      <c r="G163" s="91">
        <f>IF('1.0WS'!K161="","",'1.0WS'!K161)</f>
        <v>2</v>
      </c>
      <c r="H163" s="89"/>
      <c r="I163" s="89"/>
    </row>
    <row r="164" spans="1:9">
      <c r="A164" s="242"/>
      <c r="B164" s="242"/>
      <c r="C164" s="242"/>
      <c r="D164" s="242"/>
      <c r="E164" s="89" t="str">
        <f>IF('1.0WS'!D162="","",'1.0WS'!D162)</f>
        <v/>
      </c>
      <c r="F164" s="90" t="str">
        <f>'1.0WS'!E162</f>
        <v>Jotana</v>
      </c>
      <c r="G164" s="91" t="str">
        <f>IF('1.0WS'!K162="","",'1.0WS'!K162)</f>
        <v/>
      </c>
      <c r="H164" s="89"/>
      <c r="I164" s="89"/>
    </row>
    <row r="165" spans="1:9">
      <c r="A165" s="242"/>
      <c r="B165" s="242"/>
      <c r="C165" s="242"/>
      <c r="D165" s="242"/>
      <c r="E165" s="258" t="s">
        <v>293</v>
      </c>
      <c r="F165" s="258"/>
      <c r="G165" s="92"/>
      <c r="H165" s="93">
        <f t="shared" ref="H165:I165" si="12">SUM(H155:H164)</f>
        <v>0</v>
      </c>
      <c r="I165" s="93">
        <f t="shared" si="12"/>
        <v>0</v>
      </c>
    </row>
    <row r="166" spans="1:9">
      <c r="A166" s="242"/>
      <c r="B166" s="242"/>
      <c r="C166" s="252" t="s">
        <v>294</v>
      </c>
      <c r="D166" s="252"/>
      <c r="E166" s="252"/>
      <c r="F166" s="252"/>
      <c r="G166" s="95"/>
      <c r="H166" s="96">
        <f t="shared" ref="H166:I166" si="13">SUM(H144,H154,H165)</f>
        <v>0</v>
      </c>
      <c r="I166" s="96">
        <f t="shared" si="13"/>
        <v>0</v>
      </c>
    </row>
    <row r="167" spans="1:9">
      <c r="A167" s="242"/>
      <c r="B167" s="242" t="s">
        <v>181</v>
      </c>
      <c r="C167" s="242" t="s">
        <v>54</v>
      </c>
      <c r="D167" s="251" t="s">
        <v>331</v>
      </c>
      <c r="E167" s="89">
        <f>IF('1.0WS'!D165="","",'1.0WS'!D165)</f>
        <v>1</v>
      </c>
      <c r="F167" s="90" t="str">
        <f>'1.0WS'!E165</f>
        <v>Khedbrahma</v>
      </c>
      <c r="G167" s="91">
        <f>IF('1.0WS'!K165="","",'1.0WS'!K165)</f>
        <v>2</v>
      </c>
      <c r="H167" s="94"/>
      <c r="I167" s="94"/>
    </row>
    <row r="168" spans="1:9">
      <c r="A168" s="242"/>
      <c r="B168" s="242"/>
      <c r="C168" s="242"/>
      <c r="D168" s="242"/>
      <c r="E168" s="89" t="str">
        <f>IF('1.0WS'!D166="","",'1.0WS'!D166)</f>
        <v/>
      </c>
      <c r="F168" s="90" t="str">
        <f>'1.0WS'!E166</f>
        <v>Vijaynagar</v>
      </c>
      <c r="G168" s="91" t="str">
        <f>IF('1.0WS'!K166="","",'1.0WS'!K166)</f>
        <v/>
      </c>
      <c r="H168" s="94"/>
      <c r="I168" s="94"/>
    </row>
    <row r="169" spans="1:9">
      <c r="A169" s="242"/>
      <c r="B169" s="242"/>
      <c r="C169" s="242"/>
      <c r="D169" s="242"/>
      <c r="E169" s="89">
        <f>IF('1.0WS'!D167="","",'1.0WS'!D167)</f>
        <v>2</v>
      </c>
      <c r="F169" s="90" t="str">
        <f>'1.0WS'!E167</f>
        <v>Vadali</v>
      </c>
      <c r="G169" s="91" t="str">
        <f>IF('1.0WS'!K167="","",'1.0WS'!K167)</f>
        <v/>
      </c>
      <c r="H169" s="94"/>
      <c r="I169" s="94"/>
    </row>
    <row r="170" spans="1:9">
      <c r="A170" s="242"/>
      <c r="B170" s="242"/>
      <c r="C170" s="242"/>
      <c r="D170" s="242"/>
      <c r="E170" s="89" t="str">
        <f>IF('1.0WS'!D168="","",'1.0WS'!D168)</f>
        <v/>
      </c>
      <c r="F170" s="90" t="str">
        <f>'1.0WS'!E168</f>
        <v>Idar</v>
      </c>
      <c r="G170" s="91">
        <f>IF('1.0WS'!K168="","",'1.0WS'!K168)</f>
        <v>2</v>
      </c>
      <c r="H170" s="94"/>
      <c r="I170" s="94"/>
    </row>
    <row r="171" spans="1:9">
      <c r="A171" s="242"/>
      <c r="B171" s="242"/>
      <c r="C171" s="242"/>
      <c r="D171" s="242"/>
      <c r="E171" s="89">
        <f>IF('1.0WS'!D169="","",'1.0WS'!D169)</f>
        <v>3</v>
      </c>
      <c r="F171" s="90" t="str">
        <f>'1.0WS'!E169</f>
        <v>Himatnagar</v>
      </c>
      <c r="G171" s="91">
        <f>IF('1.0WS'!K169="","",'1.0WS'!K169)</f>
        <v>2</v>
      </c>
      <c r="H171" s="89"/>
      <c r="I171" s="89"/>
    </row>
    <row r="172" spans="1:9">
      <c r="A172" s="242"/>
      <c r="B172" s="242"/>
      <c r="C172" s="242"/>
      <c r="D172" s="242"/>
      <c r="E172" s="89">
        <f>IF('1.0WS'!D170="","",'1.0WS'!D170)</f>
        <v>4</v>
      </c>
      <c r="F172" s="90" t="str">
        <f>'1.0WS'!E170</f>
        <v>Prantij</v>
      </c>
      <c r="G172" s="91">
        <f>IF('1.0WS'!K170="","",'1.0WS'!K170)</f>
        <v>2</v>
      </c>
      <c r="H172" s="89"/>
      <c r="I172" s="89"/>
    </row>
    <row r="173" spans="1:9">
      <c r="A173" s="242"/>
      <c r="B173" s="242"/>
      <c r="C173" s="242"/>
      <c r="D173" s="242"/>
      <c r="E173" s="89">
        <f>IF('1.0WS'!D171="","",'1.0WS'!D171)</f>
        <v>5</v>
      </c>
      <c r="F173" s="90" t="str">
        <f>'1.0WS'!E171</f>
        <v>Talod</v>
      </c>
      <c r="G173" s="91">
        <f>IF('1.0WS'!K171="","",'1.0WS'!K171)</f>
        <v>2</v>
      </c>
      <c r="H173" s="94"/>
      <c r="I173" s="94"/>
    </row>
    <row r="174" spans="1:9">
      <c r="A174" s="242"/>
      <c r="B174" s="242"/>
      <c r="C174" s="242"/>
      <c r="D174" s="242"/>
      <c r="E174" s="89" t="str">
        <f>IF('1.0WS'!D172="","",'1.0WS'!D172)</f>
        <v/>
      </c>
      <c r="F174" s="90" t="str">
        <f>'1.0WS'!E172</f>
        <v>Poshina</v>
      </c>
      <c r="G174" s="91" t="str">
        <f>IF('1.0WS'!K172="","",'1.0WS'!K172)</f>
        <v/>
      </c>
      <c r="H174" s="94"/>
      <c r="I174" s="94"/>
    </row>
    <row r="175" spans="1:9">
      <c r="A175" s="242"/>
      <c r="B175" s="242"/>
      <c r="C175" s="242"/>
      <c r="D175" s="242"/>
      <c r="E175" s="258" t="s">
        <v>293</v>
      </c>
      <c r="F175" s="258"/>
      <c r="G175" s="92"/>
      <c r="H175" s="93">
        <f>SUM(H167:H174)</f>
        <v>0</v>
      </c>
      <c r="I175" s="93">
        <f>SUM(I167:I174)</f>
        <v>0</v>
      </c>
    </row>
    <row r="176" spans="1:9">
      <c r="A176" s="242"/>
      <c r="B176" s="242"/>
      <c r="C176" s="242" t="s">
        <v>63</v>
      </c>
      <c r="D176" s="251" t="s">
        <v>332</v>
      </c>
      <c r="E176" s="89">
        <f>IF('1.0WS'!D174="","",'1.0WS'!D174)</f>
        <v>1</v>
      </c>
      <c r="F176" s="90" t="str">
        <f>'1.0WS'!E174</f>
        <v>Bhiloda</v>
      </c>
      <c r="G176" s="91">
        <f>IF('1.0WS'!K174="","",'1.0WS'!K174)</f>
        <v>2</v>
      </c>
      <c r="H176" s="94"/>
      <c r="I176" s="94"/>
    </row>
    <row r="177" spans="1:11">
      <c r="A177" s="242"/>
      <c r="B177" s="242"/>
      <c r="C177" s="242"/>
      <c r="D177" s="242"/>
      <c r="E177" s="89" t="str">
        <f>IF('1.0WS'!D175="","",'1.0WS'!D175)</f>
        <v/>
      </c>
      <c r="F177" s="90" t="str">
        <f>'1.0WS'!E175</f>
        <v>Malpur</v>
      </c>
      <c r="G177" s="91" t="str">
        <f>IF('1.0WS'!K175="","",'1.0WS'!K175)</f>
        <v/>
      </c>
      <c r="H177" s="94"/>
      <c r="I177" s="94"/>
    </row>
    <row r="178" spans="1:11">
      <c r="A178" s="242"/>
      <c r="B178" s="242"/>
      <c r="C178" s="242"/>
      <c r="D178" s="242"/>
      <c r="E178" s="89">
        <f>IF('1.0WS'!D176="","",'1.0WS'!D176)</f>
        <v>2</v>
      </c>
      <c r="F178" s="90" t="str">
        <f>'1.0WS'!E176</f>
        <v>Meghraj</v>
      </c>
      <c r="G178" s="91">
        <f>IF('1.0WS'!K176="","",'1.0WS'!K176)</f>
        <v>2</v>
      </c>
      <c r="H178" s="89"/>
      <c r="I178" s="89"/>
    </row>
    <row r="179" spans="1:11">
      <c r="A179" s="242"/>
      <c r="B179" s="242"/>
      <c r="C179" s="242"/>
      <c r="D179" s="242"/>
      <c r="E179" s="89">
        <f>IF('1.0WS'!D177="","",'1.0WS'!D177)</f>
        <v>3</v>
      </c>
      <c r="F179" s="90" t="str">
        <f>'1.0WS'!E177</f>
        <v>Modasa</v>
      </c>
      <c r="G179" s="91">
        <f>IF('1.0WS'!K177="","",'1.0WS'!K177)</f>
        <v>2</v>
      </c>
      <c r="H179" s="89"/>
      <c r="I179" s="89"/>
    </row>
    <row r="180" spans="1:11">
      <c r="A180" s="242"/>
      <c r="B180" s="242"/>
      <c r="C180" s="242"/>
      <c r="D180" s="242"/>
      <c r="E180" s="89">
        <f>IF('1.0WS'!D178="","",'1.0WS'!D178)</f>
        <v>4</v>
      </c>
      <c r="F180" s="90" t="str">
        <f>'1.0WS'!E178</f>
        <v>Bayad</v>
      </c>
      <c r="G180" s="91">
        <f>IF('1.0WS'!K178="","",'1.0WS'!K178)</f>
        <v>2</v>
      </c>
      <c r="H180" s="94"/>
      <c r="I180" s="94"/>
      <c r="K180" s="72"/>
    </row>
    <row r="181" spans="1:11">
      <c r="A181" s="242"/>
      <c r="B181" s="242"/>
      <c r="C181" s="242"/>
      <c r="D181" s="242"/>
      <c r="E181" s="89" t="str">
        <f>IF('1.0WS'!D179="","",'1.0WS'!D179)</f>
        <v/>
      </c>
      <c r="F181" s="90" t="str">
        <f>'1.0WS'!E179</f>
        <v>Dhansura</v>
      </c>
      <c r="G181" s="91" t="str">
        <f>IF('1.0WS'!K179="","",'1.0WS'!K179)</f>
        <v/>
      </c>
      <c r="H181" s="94"/>
      <c r="I181" s="94"/>
    </row>
    <row r="182" spans="1:11">
      <c r="A182" s="242"/>
      <c r="B182" s="242"/>
      <c r="C182" s="242"/>
      <c r="D182" s="242"/>
      <c r="E182" s="258" t="s">
        <v>293</v>
      </c>
      <c r="F182" s="258"/>
      <c r="G182" s="92"/>
      <c r="H182" s="93">
        <f>SUM(H176:H181)</f>
        <v>0</v>
      </c>
      <c r="I182" s="93">
        <f>SUM(I176:I181)</f>
        <v>0</v>
      </c>
    </row>
    <row r="183" spans="1:11">
      <c r="A183" s="242"/>
      <c r="B183" s="242"/>
      <c r="C183" s="242" t="s">
        <v>168</v>
      </c>
      <c r="D183" s="251" t="s">
        <v>333</v>
      </c>
      <c r="E183" s="89">
        <f>IF('1.0WS'!D181="","",'1.0WS'!D181)</f>
        <v>1</v>
      </c>
      <c r="F183" s="90" t="str">
        <f>'1.0WS'!E181</f>
        <v>Tarapur</v>
      </c>
      <c r="G183" s="91">
        <f>IF('1.0WS'!K181="","",'1.0WS'!K181)</f>
        <v>2</v>
      </c>
      <c r="H183" s="89"/>
      <c r="I183" s="89"/>
    </row>
    <row r="184" spans="1:11">
      <c r="A184" s="242"/>
      <c r="B184" s="242"/>
      <c r="C184" s="242"/>
      <c r="D184" s="242"/>
      <c r="E184" s="89">
        <f>IF('1.0WS'!D182="","",'1.0WS'!D182)</f>
        <v>2</v>
      </c>
      <c r="F184" s="90" t="str">
        <f>'1.0WS'!E182</f>
        <v>Sojitra</v>
      </c>
      <c r="G184" s="91" t="str">
        <f>IF('1.0WS'!K182="","",'1.0WS'!K182)</f>
        <v/>
      </c>
      <c r="H184" s="94"/>
      <c r="I184" s="94"/>
    </row>
    <row r="185" spans="1:11">
      <c r="A185" s="242"/>
      <c r="B185" s="242"/>
      <c r="C185" s="242"/>
      <c r="D185" s="242"/>
      <c r="E185" s="89" t="str">
        <f>IF('1.0WS'!D183="","",'1.0WS'!D183)</f>
        <v/>
      </c>
      <c r="F185" s="90" t="str">
        <f>'1.0WS'!E183</f>
        <v>Umreth</v>
      </c>
      <c r="G185" s="91">
        <f>IF('1.0WS'!K183="","",'1.0WS'!K183)</f>
        <v>2</v>
      </c>
      <c r="H185" s="94"/>
      <c r="I185" s="94"/>
    </row>
    <row r="186" spans="1:11">
      <c r="A186" s="242"/>
      <c r="B186" s="242"/>
      <c r="C186" s="242"/>
      <c r="D186" s="242"/>
      <c r="E186" s="89">
        <f>IF('1.0WS'!D184="","",'1.0WS'!D184)</f>
        <v>3</v>
      </c>
      <c r="F186" s="90" t="str">
        <f>'1.0WS'!E184</f>
        <v>Anand</v>
      </c>
      <c r="G186" s="91">
        <f>IF('1.0WS'!K184="","",'1.0WS'!K184)</f>
        <v>2</v>
      </c>
      <c r="H186" s="89"/>
      <c r="I186" s="89"/>
    </row>
    <row r="187" spans="1:11">
      <c r="A187" s="242"/>
      <c r="B187" s="242"/>
      <c r="C187" s="242"/>
      <c r="D187" s="242"/>
      <c r="E187" s="89">
        <f>IF('1.0WS'!D185="","",'1.0WS'!D185)</f>
        <v>4</v>
      </c>
      <c r="F187" s="90" t="str">
        <f>'1.0WS'!E185</f>
        <v>Petlad</v>
      </c>
      <c r="G187" s="91">
        <f>IF('1.0WS'!K185="","",'1.0WS'!K185)</f>
        <v>2</v>
      </c>
      <c r="H187" s="89"/>
      <c r="I187" s="89"/>
    </row>
    <row r="188" spans="1:11">
      <c r="A188" s="242"/>
      <c r="B188" s="242"/>
      <c r="C188" s="242"/>
      <c r="D188" s="242"/>
      <c r="E188" s="89">
        <f>IF('1.0WS'!D186="","",'1.0WS'!D186)</f>
        <v>5</v>
      </c>
      <c r="F188" s="90" t="str">
        <f>'1.0WS'!E186</f>
        <v>Khambhat</v>
      </c>
      <c r="G188" s="91">
        <f>IF('1.0WS'!K186="","",'1.0WS'!K186)</f>
        <v>2</v>
      </c>
      <c r="H188" s="89"/>
      <c r="I188" s="89"/>
    </row>
    <row r="189" spans="1:11">
      <c r="A189" s="242"/>
      <c r="B189" s="242"/>
      <c r="C189" s="242"/>
      <c r="D189" s="242"/>
      <c r="E189" s="89">
        <f>IF('1.0WS'!D187="","",'1.0WS'!D187)</f>
        <v>6</v>
      </c>
      <c r="F189" s="90" t="str">
        <f>'1.0WS'!E187</f>
        <v>Borsad</v>
      </c>
      <c r="G189" s="91">
        <f>IF('1.0WS'!K187="","",'1.0WS'!K187)</f>
        <v>2</v>
      </c>
      <c r="H189" s="94"/>
      <c r="I189" s="94"/>
    </row>
    <row r="190" spans="1:11">
      <c r="A190" s="242"/>
      <c r="B190" s="242"/>
      <c r="C190" s="242"/>
      <c r="D190" s="242"/>
      <c r="E190" s="89" t="str">
        <f>IF('1.0WS'!D188="","",'1.0WS'!D188)</f>
        <v/>
      </c>
      <c r="F190" s="90" t="str">
        <f>'1.0WS'!E188</f>
        <v>Anklav</v>
      </c>
      <c r="G190" s="91" t="str">
        <f>IF('1.0WS'!K188="","",'1.0WS'!K188)</f>
        <v/>
      </c>
      <c r="H190" s="94"/>
      <c r="I190" s="94"/>
    </row>
    <row r="191" spans="1:11">
      <c r="A191" s="242"/>
      <c r="B191" s="242"/>
      <c r="C191" s="242"/>
      <c r="D191" s="242"/>
      <c r="E191" s="258" t="s">
        <v>293</v>
      </c>
      <c r="F191" s="258"/>
      <c r="G191" s="92"/>
      <c r="H191" s="93">
        <f>SUM(H183:H189)</f>
        <v>0</v>
      </c>
      <c r="I191" s="93">
        <f>SUM(I183:I189)</f>
        <v>0</v>
      </c>
    </row>
    <row r="192" spans="1:11">
      <c r="A192" s="242" t="s">
        <v>327</v>
      </c>
      <c r="B192" s="242" t="s">
        <v>181</v>
      </c>
      <c r="C192" s="242" t="s">
        <v>176</v>
      </c>
      <c r="D192" s="251" t="s">
        <v>334</v>
      </c>
      <c r="E192" s="89">
        <f>IF('1.0WS'!D190="","",'1.0WS'!D190)</f>
        <v>1</v>
      </c>
      <c r="F192" s="90" t="str">
        <f>'1.0WS'!E190</f>
        <v>Kapadvanj</v>
      </c>
      <c r="G192" s="91">
        <f>IF('1.0WS'!K190="","",'1.0WS'!K190)</f>
        <v>2</v>
      </c>
      <c r="H192" s="94"/>
      <c r="I192" s="94"/>
    </row>
    <row r="193" spans="1:9">
      <c r="A193" s="242"/>
      <c r="B193" s="242"/>
      <c r="C193" s="242"/>
      <c r="D193" s="242"/>
      <c r="E193" s="89" t="str">
        <f>IF('1.0WS'!D191="","",'1.0WS'!D191)</f>
        <v/>
      </c>
      <c r="F193" s="90" t="str">
        <f>'1.0WS'!E191</f>
        <v>Kathlal</v>
      </c>
      <c r="G193" s="91" t="str">
        <f>IF('1.0WS'!K191="","",'1.0WS'!K191)</f>
        <v/>
      </c>
      <c r="H193" s="94"/>
      <c r="I193" s="94"/>
    </row>
    <row r="194" spans="1:9">
      <c r="A194" s="242"/>
      <c r="B194" s="242"/>
      <c r="C194" s="242"/>
      <c r="D194" s="242"/>
      <c r="E194" s="89">
        <f>IF('1.0WS'!D192="","",'1.0WS'!D192)</f>
        <v>2</v>
      </c>
      <c r="F194" s="90" t="str">
        <f>'1.0WS'!E192</f>
        <v>Mehmadabad</v>
      </c>
      <c r="G194" s="91">
        <f>IF('1.0WS'!K192="","",'1.0WS'!K192)</f>
        <v>2</v>
      </c>
      <c r="H194" s="89"/>
      <c r="I194" s="89"/>
    </row>
    <row r="195" spans="1:9">
      <c r="A195" s="242"/>
      <c r="B195" s="242"/>
      <c r="C195" s="242"/>
      <c r="D195" s="242"/>
      <c r="E195" s="89">
        <f>IF('1.0WS'!D193="","",'1.0WS'!D193)</f>
        <v>3</v>
      </c>
      <c r="F195" s="90" t="str">
        <f>'1.0WS'!E193</f>
        <v>Kheda</v>
      </c>
      <c r="G195" s="91">
        <f>IF('1.0WS'!K193="","",'1.0WS'!K193)</f>
        <v>2</v>
      </c>
      <c r="H195" s="89"/>
      <c r="I195" s="89"/>
    </row>
    <row r="196" spans="1:9">
      <c r="A196" s="242"/>
      <c r="B196" s="242"/>
      <c r="C196" s="242"/>
      <c r="D196" s="242"/>
      <c r="E196" s="89">
        <f>IF('1.0WS'!D194="","",'1.0WS'!D194)</f>
        <v>4</v>
      </c>
      <c r="F196" s="90" t="str">
        <f>'1.0WS'!E194</f>
        <v>Matar</v>
      </c>
      <c r="G196" s="91">
        <f>IF('1.0WS'!K194="","",'1.0WS'!K194)</f>
        <v>2</v>
      </c>
      <c r="H196" s="89"/>
      <c r="I196" s="89"/>
    </row>
    <row r="197" spans="1:9">
      <c r="A197" s="242"/>
      <c r="B197" s="242"/>
      <c r="C197" s="242"/>
      <c r="D197" s="242"/>
      <c r="E197" s="89">
        <f>IF('1.0WS'!D195="","",'1.0WS'!D195)</f>
        <v>5</v>
      </c>
      <c r="F197" s="90" t="str">
        <f>'1.0WS'!E195</f>
        <v>Nadiad</v>
      </c>
      <c r="G197" s="91">
        <f>IF('1.0WS'!K195="","",'1.0WS'!K195)</f>
        <v>2</v>
      </c>
      <c r="H197" s="94"/>
      <c r="I197" s="94"/>
    </row>
    <row r="198" spans="1:9">
      <c r="A198" s="242"/>
      <c r="B198" s="242"/>
      <c r="C198" s="242"/>
      <c r="D198" s="242"/>
      <c r="E198" s="89" t="str">
        <f>IF('1.0WS'!D196="","",'1.0WS'!D196)</f>
        <v/>
      </c>
      <c r="F198" s="90" t="str">
        <f>'1.0WS'!E196</f>
        <v>Mahudha</v>
      </c>
      <c r="G198" s="91" t="str">
        <f>IF('1.0WS'!K196="","",'1.0WS'!K196)</f>
        <v/>
      </c>
      <c r="H198" s="94"/>
      <c r="I198" s="94"/>
    </row>
    <row r="199" spans="1:9">
      <c r="A199" s="242"/>
      <c r="B199" s="242"/>
      <c r="C199" s="242"/>
      <c r="D199" s="242"/>
      <c r="E199" s="89">
        <f>IF('1.0WS'!D197="","",'1.0WS'!D197)</f>
        <v>6</v>
      </c>
      <c r="F199" s="90" t="str">
        <f>'1.0WS'!E197</f>
        <v>Thasra</v>
      </c>
      <c r="G199" s="91">
        <f>IF('1.0WS'!K197="","",'1.0WS'!K197)</f>
        <v>2</v>
      </c>
      <c r="H199" s="94"/>
      <c r="I199" s="94"/>
    </row>
    <row r="200" spans="1:9">
      <c r="A200" s="242"/>
      <c r="B200" s="242"/>
      <c r="C200" s="242"/>
      <c r="D200" s="242"/>
      <c r="E200" s="89" t="str">
        <f>IF('1.0WS'!D198="","",'1.0WS'!D198)</f>
        <v/>
      </c>
      <c r="F200" s="90" t="str">
        <f>'1.0WS'!E198</f>
        <v>Galteshwar</v>
      </c>
      <c r="G200" s="91" t="str">
        <f>IF('1.0WS'!K198="","",'1.0WS'!K198)</f>
        <v/>
      </c>
      <c r="H200" s="94"/>
      <c r="I200" s="94"/>
    </row>
    <row r="201" spans="1:9">
      <c r="A201" s="242"/>
      <c r="B201" s="242"/>
      <c r="C201" s="242"/>
      <c r="D201" s="242"/>
      <c r="E201" s="89" t="str">
        <f>IF('1.0WS'!D199="","",'1.0WS'!D199)</f>
        <v/>
      </c>
      <c r="F201" s="90" t="str">
        <f>'1.0WS'!E199</f>
        <v>Vaso</v>
      </c>
      <c r="G201" s="91" t="str">
        <f>IF('1.0WS'!K199="","",'1.0WS'!K199)</f>
        <v/>
      </c>
      <c r="H201" s="94"/>
      <c r="I201" s="94"/>
    </row>
    <row r="202" spans="1:9">
      <c r="A202" s="242"/>
      <c r="B202" s="242"/>
      <c r="C202" s="242"/>
      <c r="D202" s="242"/>
      <c r="E202" s="258" t="s">
        <v>293</v>
      </c>
      <c r="F202" s="258"/>
      <c r="G202" s="92"/>
      <c r="H202" s="93">
        <f>SUM(H192:H201)</f>
        <v>0</v>
      </c>
      <c r="I202" s="93">
        <f>SUM(I192:I201)</f>
        <v>0</v>
      </c>
    </row>
    <row r="203" spans="1:9">
      <c r="A203" s="242"/>
      <c r="B203" s="242"/>
      <c r="C203" s="252" t="s">
        <v>294</v>
      </c>
      <c r="D203" s="252"/>
      <c r="E203" s="252"/>
      <c r="F203" s="252"/>
      <c r="G203" s="95"/>
      <c r="H203" s="96">
        <f>SUM(H175,H182,H191,H202)</f>
        <v>0</v>
      </c>
      <c r="I203" s="96">
        <f>SUM(I175,I182,I191,I202)</f>
        <v>0</v>
      </c>
    </row>
    <row r="204" spans="1:9">
      <c r="A204" s="242"/>
      <c r="B204" s="242" t="s">
        <v>210</v>
      </c>
      <c r="C204" s="242" t="s">
        <v>186</v>
      </c>
      <c r="D204" s="251" t="s">
        <v>335</v>
      </c>
      <c r="E204" s="89">
        <f>IF('1.0WS'!D202="","",'1.0WS'!D202)</f>
        <v>1</v>
      </c>
      <c r="F204" s="90" t="str">
        <f>'1.0WS'!E202</f>
        <v>Godhra</v>
      </c>
      <c r="G204" s="91">
        <f>IF('1.0WS'!K202="","",'1.0WS'!K202)</f>
        <v>2</v>
      </c>
      <c r="H204" s="94"/>
      <c r="I204" s="94"/>
    </row>
    <row r="205" spans="1:9">
      <c r="A205" s="242"/>
      <c r="B205" s="242"/>
      <c r="C205" s="242"/>
      <c r="D205" s="242"/>
      <c r="E205" s="89" t="str">
        <f>IF('1.0WS'!D203="","",'1.0WS'!D203)</f>
        <v/>
      </c>
      <c r="F205" s="90" t="str">
        <f>'1.0WS'!E203</f>
        <v>Morva Hadaf</v>
      </c>
      <c r="G205" s="91" t="str">
        <f>IF('1.0WS'!K203="","",'1.0WS'!K203)</f>
        <v/>
      </c>
      <c r="H205" s="94"/>
      <c r="I205" s="94"/>
    </row>
    <row r="206" spans="1:9">
      <c r="A206" s="242"/>
      <c r="B206" s="242"/>
      <c r="C206" s="242"/>
      <c r="D206" s="242"/>
      <c r="E206" s="89">
        <f>IF('1.0WS'!D204="","",'1.0WS'!D204)</f>
        <v>2</v>
      </c>
      <c r="F206" s="90" t="str">
        <f>'1.0WS'!E204</f>
        <v>Shehera</v>
      </c>
      <c r="G206" s="91">
        <f>IF('1.0WS'!K204="","",'1.0WS'!K204)</f>
        <v>2</v>
      </c>
      <c r="H206" s="94"/>
      <c r="I206" s="94"/>
    </row>
    <row r="207" spans="1:9">
      <c r="A207" s="242"/>
      <c r="B207" s="242"/>
      <c r="C207" s="242"/>
      <c r="D207" s="242"/>
      <c r="E207" s="89" t="str">
        <f>IF('1.0WS'!D205="","",'1.0WS'!D205)</f>
        <v/>
      </c>
      <c r="F207" s="90" t="str">
        <f>'1.0WS'!E205</f>
        <v>Kalol.</v>
      </c>
      <c r="G207" s="91" t="str">
        <f>IF('1.0WS'!K205="","",'1.0WS'!K205)</f>
        <v/>
      </c>
      <c r="H207" s="94"/>
      <c r="I207" s="94"/>
    </row>
    <row r="208" spans="1:9">
      <c r="A208" s="242"/>
      <c r="B208" s="242"/>
      <c r="C208" s="242"/>
      <c r="D208" s="242"/>
      <c r="E208" s="89">
        <f>IF('1.0WS'!D206="","",'1.0WS'!D206)</f>
        <v>3</v>
      </c>
      <c r="F208" s="90" t="str">
        <f>'1.0WS'!E206</f>
        <v>Ghoghamba</v>
      </c>
      <c r="G208" s="91">
        <f>IF('1.0WS'!K206="","",'1.0WS'!K206)</f>
        <v>2</v>
      </c>
      <c r="H208" s="94"/>
      <c r="I208" s="94"/>
    </row>
    <row r="209" spans="1:9">
      <c r="A209" s="242"/>
      <c r="B209" s="242"/>
      <c r="C209" s="242"/>
      <c r="D209" s="242"/>
      <c r="E209" s="89" t="str">
        <f>IF('1.0WS'!D207="","",'1.0WS'!D207)</f>
        <v/>
      </c>
      <c r="F209" s="90" t="str">
        <f>'1.0WS'!E207</f>
        <v>Halol</v>
      </c>
      <c r="G209" s="91" t="str">
        <f>IF('1.0WS'!K207="","",'1.0WS'!K207)</f>
        <v/>
      </c>
      <c r="H209" s="94"/>
      <c r="I209" s="94"/>
    </row>
    <row r="210" spans="1:9">
      <c r="A210" s="242"/>
      <c r="B210" s="242"/>
      <c r="C210" s="242"/>
      <c r="D210" s="242"/>
      <c r="E210" s="89" t="str">
        <f>IF('1.0WS'!D208="","",'1.0WS'!D208)</f>
        <v/>
      </c>
      <c r="F210" s="90" t="str">
        <f>'1.0WS'!E208</f>
        <v>Jambughoda</v>
      </c>
      <c r="G210" s="91" t="str">
        <f>IF('1.0WS'!K208="","",'1.0WS'!K208)</f>
        <v/>
      </c>
      <c r="H210" s="94"/>
      <c r="I210" s="94"/>
    </row>
    <row r="211" spans="1:9">
      <c r="A211" s="242"/>
      <c r="B211" s="242"/>
      <c r="C211" s="242"/>
      <c r="D211" s="242"/>
      <c r="E211" s="258" t="s">
        <v>293</v>
      </c>
      <c r="F211" s="258"/>
      <c r="G211" s="92"/>
      <c r="H211" s="93">
        <f>SUM(H204:H210)</f>
        <v>0</v>
      </c>
      <c r="I211" s="93">
        <f>SUM(I204:I210)</f>
        <v>0</v>
      </c>
    </row>
    <row r="212" spans="1:9">
      <c r="A212" s="242"/>
      <c r="B212" s="242"/>
      <c r="C212" s="242" t="s">
        <v>194</v>
      </c>
      <c r="D212" s="251" t="s">
        <v>336</v>
      </c>
      <c r="E212" s="89">
        <f>IF('1.0WS'!D210="","",'1.0WS'!D210)</f>
        <v>1</v>
      </c>
      <c r="F212" s="90" t="str">
        <f>'1.0WS'!E210</f>
        <v>Khanpur</v>
      </c>
      <c r="G212" s="91" t="str">
        <f>IF('1.0WS'!K210="","",'1.0WS'!K210)</f>
        <v/>
      </c>
      <c r="H212" s="94"/>
      <c r="I212" s="94"/>
    </row>
    <row r="213" spans="1:9">
      <c r="A213" s="242"/>
      <c r="B213" s="242"/>
      <c r="C213" s="242"/>
      <c r="D213" s="242"/>
      <c r="E213" s="89" t="str">
        <f>IF('1.0WS'!D211="","",'1.0WS'!D211)</f>
        <v/>
      </c>
      <c r="F213" s="90" t="str">
        <f>'1.0WS'!E211</f>
        <v>Kadana</v>
      </c>
      <c r="G213" s="91" t="str">
        <f>IF('1.0WS'!K211="","",'1.0WS'!K211)</f>
        <v/>
      </c>
      <c r="H213" s="94"/>
      <c r="I213" s="94"/>
    </row>
    <row r="214" spans="1:9">
      <c r="A214" s="242"/>
      <c r="B214" s="242"/>
      <c r="C214" s="242"/>
      <c r="D214" s="242"/>
      <c r="E214" s="89" t="str">
        <f>IF('1.0WS'!D212="","",'1.0WS'!D212)</f>
        <v/>
      </c>
      <c r="F214" s="90" t="str">
        <f>'1.0WS'!E212</f>
        <v>Santrampur</v>
      </c>
      <c r="G214" s="91">
        <f>IF('1.0WS'!K212="","",'1.0WS'!K212)</f>
        <v>2</v>
      </c>
      <c r="H214" s="94"/>
      <c r="I214" s="94"/>
    </row>
    <row r="215" spans="1:9">
      <c r="A215" s="242"/>
      <c r="B215" s="242"/>
      <c r="C215" s="242"/>
      <c r="D215" s="242"/>
      <c r="E215" s="89">
        <f>IF('1.0WS'!D213="","",'1.0WS'!D213)</f>
        <v>2</v>
      </c>
      <c r="F215" s="90" t="str">
        <f>'1.0WS'!E213</f>
        <v>Lunavada</v>
      </c>
      <c r="G215" s="91">
        <f>IF('1.0WS'!K213="","",'1.0WS'!K213)</f>
        <v>2</v>
      </c>
      <c r="H215" s="94"/>
      <c r="I215" s="94"/>
    </row>
    <row r="216" spans="1:9">
      <c r="A216" s="242"/>
      <c r="B216" s="242"/>
      <c r="C216" s="242"/>
      <c r="D216" s="242"/>
      <c r="E216" s="89" t="str">
        <f>IF('1.0WS'!D214="","",'1.0WS'!D214)</f>
        <v/>
      </c>
      <c r="F216" s="90" t="str">
        <f>'1.0WS'!E214</f>
        <v>Balasinor</v>
      </c>
      <c r="G216" s="91" t="str">
        <f>IF('1.0WS'!K214="","",'1.0WS'!K214)</f>
        <v/>
      </c>
      <c r="H216" s="94"/>
      <c r="I216" s="94"/>
    </row>
    <row r="217" spans="1:9">
      <c r="A217" s="242"/>
      <c r="B217" s="242"/>
      <c r="C217" s="242"/>
      <c r="D217" s="242"/>
      <c r="E217" s="89" t="str">
        <f>IF('1.0WS'!D215="","",'1.0WS'!D215)</f>
        <v/>
      </c>
      <c r="F217" s="90" t="str">
        <f>'1.0WS'!E215</f>
        <v>Virpur</v>
      </c>
      <c r="G217" s="91" t="str">
        <f>IF('1.0WS'!K215="","",'1.0WS'!K215)</f>
        <v/>
      </c>
      <c r="H217" s="94"/>
      <c r="I217" s="94"/>
    </row>
    <row r="218" spans="1:9">
      <c r="A218" s="242"/>
      <c r="B218" s="242"/>
      <c r="C218" s="242"/>
      <c r="D218" s="242"/>
      <c r="E218" s="258" t="s">
        <v>293</v>
      </c>
      <c r="F218" s="258"/>
      <c r="G218" s="92"/>
      <c r="H218" s="93">
        <f>SUM(H212:H217)</f>
        <v>0</v>
      </c>
      <c r="I218" s="93">
        <f>SUM(I212:I217)</f>
        <v>0</v>
      </c>
    </row>
    <row r="219" spans="1:9">
      <c r="A219" s="242"/>
      <c r="B219" s="242"/>
      <c r="C219" s="242" t="s">
        <v>201</v>
      </c>
      <c r="D219" s="251" t="s">
        <v>337</v>
      </c>
      <c r="E219" s="89">
        <f>IF('1.0WS'!D217="","",'1.0WS'!D217)</f>
        <v>1</v>
      </c>
      <c r="F219" s="90" t="str">
        <f>'1.0WS'!E217</f>
        <v>Fatepura</v>
      </c>
      <c r="G219" s="91" t="str">
        <f>IF('1.0WS'!K217="","",'1.0WS'!K217)</f>
        <v/>
      </c>
      <c r="H219" s="94"/>
      <c r="I219" s="94"/>
    </row>
    <row r="220" spans="1:9">
      <c r="A220" s="242"/>
      <c r="B220" s="242"/>
      <c r="C220" s="242"/>
      <c r="D220" s="242"/>
      <c r="E220" s="89" t="str">
        <f>IF('1.0WS'!D218="","",'1.0WS'!D218)</f>
        <v/>
      </c>
      <c r="F220" s="90" t="str">
        <f>'1.0WS'!E218</f>
        <v>Jhalod</v>
      </c>
      <c r="G220" s="91">
        <f>IF('1.0WS'!K218="","",'1.0WS'!K218)</f>
        <v>2</v>
      </c>
      <c r="H220" s="94"/>
      <c r="I220" s="94"/>
    </row>
    <row r="221" spans="1:9">
      <c r="A221" s="242"/>
      <c r="B221" s="242"/>
      <c r="C221" s="242"/>
      <c r="D221" s="242"/>
      <c r="E221" s="89">
        <f>IF('1.0WS'!D219="","",'1.0WS'!D219)</f>
        <v>2</v>
      </c>
      <c r="F221" s="90" t="str">
        <f>'1.0WS'!E219</f>
        <v>Limkheda</v>
      </c>
      <c r="G221" s="91">
        <f>IF('1.0WS'!K219="","",'1.0WS'!K219)</f>
        <v>2</v>
      </c>
      <c r="H221" s="89"/>
      <c r="I221" s="89"/>
    </row>
    <row r="222" spans="1:9">
      <c r="A222" s="242"/>
      <c r="B222" s="242"/>
      <c r="C222" s="242"/>
      <c r="D222" s="242"/>
      <c r="E222" s="89">
        <f>IF('1.0WS'!D220="","",'1.0WS'!D220)</f>
        <v>3</v>
      </c>
      <c r="F222" s="90" t="str">
        <f>'1.0WS'!E220</f>
        <v>Dohad</v>
      </c>
      <c r="G222" s="91">
        <f>IF('1.0WS'!K220="","",'1.0WS'!K220)</f>
        <v>2</v>
      </c>
      <c r="H222" s="89"/>
      <c r="I222" s="89"/>
    </row>
    <row r="223" spans="1:9">
      <c r="A223" s="242"/>
      <c r="B223" s="242"/>
      <c r="C223" s="242"/>
      <c r="D223" s="242"/>
      <c r="E223" s="89">
        <f>IF('1.0WS'!D221="","",'1.0WS'!D221)</f>
        <v>4</v>
      </c>
      <c r="F223" s="90" t="str">
        <f>'1.0WS'!E221</f>
        <v>Garbada</v>
      </c>
      <c r="G223" s="91">
        <f>IF('1.0WS'!K221="","",'1.0WS'!K221)</f>
        <v>2</v>
      </c>
      <c r="H223" s="89"/>
      <c r="I223" s="89"/>
    </row>
    <row r="224" spans="1:9">
      <c r="A224" s="242"/>
      <c r="B224" s="242"/>
      <c r="C224" s="242"/>
      <c r="D224" s="242"/>
      <c r="E224" s="89">
        <f>IF('1.0WS'!D222="","",'1.0WS'!D222)</f>
        <v>5</v>
      </c>
      <c r="F224" s="90" t="str">
        <f>'1.0WS'!E222</f>
        <v>Devgadh Baria</v>
      </c>
      <c r="G224" s="91">
        <f>IF('1.0WS'!K222="","",'1.0WS'!K222)</f>
        <v>2</v>
      </c>
      <c r="H224" s="89"/>
      <c r="I224" s="89"/>
    </row>
    <row r="225" spans="1:9">
      <c r="A225" s="242"/>
      <c r="B225" s="242"/>
      <c r="C225" s="242"/>
      <c r="D225" s="242"/>
      <c r="E225" s="89">
        <f>IF('1.0WS'!D223="","",'1.0WS'!D223)</f>
        <v>6</v>
      </c>
      <c r="F225" s="90" t="str">
        <f>'1.0WS'!E223</f>
        <v>Dhanpur</v>
      </c>
      <c r="G225" s="91">
        <f>IF('1.0WS'!K223="","",'1.0WS'!K223)</f>
        <v>2</v>
      </c>
      <c r="H225" s="94"/>
      <c r="I225" s="94"/>
    </row>
    <row r="226" spans="1:9">
      <c r="A226" s="242"/>
      <c r="B226" s="242"/>
      <c r="C226" s="242"/>
      <c r="D226" s="242"/>
      <c r="E226" s="89" t="str">
        <f>IF('1.0WS'!D224="","",'1.0WS'!D224)</f>
        <v/>
      </c>
      <c r="F226" s="90" t="str">
        <f>'1.0WS'!E224</f>
        <v>Sanjeli</v>
      </c>
      <c r="G226" s="91" t="str">
        <f>IF('1.0WS'!K224="","",'1.0WS'!K224)</f>
        <v/>
      </c>
      <c r="H226" s="94"/>
      <c r="I226" s="94"/>
    </row>
    <row r="227" spans="1:9">
      <c r="A227" s="242"/>
      <c r="B227" s="242"/>
      <c r="C227" s="242"/>
      <c r="D227" s="242"/>
      <c r="E227" s="258" t="s">
        <v>293</v>
      </c>
      <c r="F227" s="258"/>
      <c r="G227" s="92"/>
      <c r="H227" s="93">
        <f>SUM(H219:H225)</f>
        <v>0</v>
      </c>
      <c r="I227" s="93">
        <f>SUM(I219:I225)</f>
        <v>0</v>
      </c>
    </row>
    <row r="228" spans="1:9">
      <c r="A228" s="242"/>
      <c r="B228" s="242"/>
      <c r="C228" s="242" t="s">
        <v>210</v>
      </c>
      <c r="D228" s="251" t="s">
        <v>338</v>
      </c>
      <c r="E228" s="89">
        <f>IF('1.0WS'!D226="","",'1.0WS'!D226)</f>
        <v>1</v>
      </c>
      <c r="F228" s="90" t="str">
        <f>'1.0WS'!E226</f>
        <v>Savli</v>
      </c>
      <c r="G228" s="91">
        <f>IF('1.0WS'!K226="","",'1.0WS'!K226)</f>
        <v>2</v>
      </c>
      <c r="H228" s="89"/>
      <c r="I228" s="89"/>
    </row>
    <row r="229" spans="1:9">
      <c r="A229" s="242"/>
      <c r="B229" s="242"/>
      <c r="C229" s="242"/>
      <c r="D229" s="242"/>
      <c r="E229" s="89">
        <f>IF('1.0WS'!D227="","",'1.0WS'!D227)</f>
        <v>2</v>
      </c>
      <c r="F229" s="90" t="str">
        <f>'1.0WS'!E227</f>
        <v>Vadodara</v>
      </c>
      <c r="G229" s="91">
        <f>IF('1.0WS'!K227="","",'1.0WS'!K227)</f>
        <v>2</v>
      </c>
      <c r="H229" s="89"/>
      <c r="I229" s="89"/>
    </row>
    <row r="230" spans="1:9">
      <c r="A230" s="242"/>
      <c r="B230" s="242"/>
      <c r="C230" s="242"/>
      <c r="D230" s="242"/>
      <c r="E230" s="89">
        <f>IF('1.0WS'!D228="","",'1.0WS'!D228)</f>
        <v>3</v>
      </c>
      <c r="F230" s="90" t="str">
        <f>'1.0WS'!E228</f>
        <v>Vaghodia</v>
      </c>
      <c r="G230" s="91" t="str">
        <f>IF('1.0WS'!K228="","",'1.0WS'!K228)</f>
        <v/>
      </c>
      <c r="H230" s="94"/>
      <c r="I230" s="94"/>
    </row>
    <row r="231" spans="1:9">
      <c r="A231" s="242"/>
      <c r="B231" s="242"/>
      <c r="C231" s="242"/>
      <c r="D231" s="242"/>
      <c r="E231" s="89" t="str">
        <f>IF('1.0WS'!D229="","",'1.0WS'!D229)</f>
        <v/>
      </c>
      <c r="F231" s="90" t="str">
        <f>'1.0WS'!E229</f>
        <v>Dabhoi</v>
      </c>
      <c r="G231" s="91">
        <f>IF('1.0WS'!K229="","",'1.0WS'!K229)</f>
        <v>2</v>
      </c>
      <c r="H231" s="94"/>
      <c r="I231" s="94"/>
    </row>
    <row r="232" spans="1:9">
      <c r="A232" s="242"/>
      <c r="B232" s="242"/>
      <c r="C232" s="242"/>
      <c r="D232" s="242"/>
      <c r="E232" s="89">
        <f>IF('1.0WS'!D230="","",'1.0WS'!D230)</f>
        <v>4</v>
      </c>
      <c r="F232" s="90" t="str">
        <f>'1.0WS'!E230</f>
        <v>Padra</v>
      </c>
      <c r="G232" s="91">
        <f>IF('1.0WS'!K230="","",'1.0WS'!K230)</f>
        <v>2</v>
      </c>
      <c r="H232" s="89"/>
      <c r="I232" s="89"/>
    </row>
    <row r="233" spans="1:9">
      <c r="A233" s="242"/>
      <c r="B233" s="242"/>
      <c r="C233" s="242"/>
      <c r="D233" s="242"/>
      <c r="E233" s="89">
        <f>IF('1.0WS'!D231="","",'1.0WS'!D231)</f>
        <v>5</v>
      </c>
      <c r="F233" s="90" t="str">
        <f>'1.0WS'!E231</f>
        <v>Karjan</v>
      </c>
      <c r="G233" s="91">
        <f>IF('1.0WS'!K231="","",'1.0WS'!K231)</f>
        <v>2</v>
      </c>
      <c r="H233" s="94"/>
      <c r="I233" s="94"/>
    </row>
    <row r="234" spans="1:9">
      <c r="A234" s="242"/>
      <c r="B234" s="242"/>
      <c r="C234" s="242"/>
      <c r="D234" s="242"/>
      <c r="E234" s="89" t="str">
        <f>IF('1.0WS'!D232="","",'1.0WS'!D232)</f>
        <v/>
      </c>
      <c r="F234" s="90" t="str">
        <f>'1.0WS'!E232</f>
        <v>Sinor</v>
      </c>
      <c r="G234" s="91" t="str">
        <f>IF('1.0WS'!K232="","",'1.0WS'!K232)</f>
        <v/>
      </c>
      <c r="H234" s="94"/>
      <c r="I234" s="94"/>
    </row>
    <row r="235" spans="1:9">
      <c r="A235" s="242"/>
      <c r="B235" s="242"/>
      <c r="C235" s="242"/>
      <c r="D235" s="242"/>
      <c r="E235" s="89" t="str">
        <f>IF('1.0WS'!D233="","",'1.0WS'!D233)</f>
        <v/>
      </c>
      <c r="F235" s="90" t="str">
        <f>'1.0WS'!E233</f>
        <v>Desar</v>
      </c>
      <c r="G235" s="91" t="str">
        <f>IF('1.0WS'!K233="","",'1.0WS'!K233)</f>
        <v/>
      </c>
      <c r="H235" s="94"/>
      <c r="I235" s="94"/>
    </row>
    <row r="236" spans="1:9">
      <c r="A236" s="242"/>
      <c r="B236" s="242"/>
      <c r="C236" s="242"/>
      <c r="D236" s="242"/>
      <c r="E236" s="258" t="s">
        <v>293</v>
      </c>
      <c r="F236" s="258"/>
      <c r="G236" s="92"/>
      <c r="H236" s="93">
        <f>SUM(H228:H235)</f>
        <v>0</v>
      </c>
      <c r="I236" s="93">
        <f>SUM(I228:I235)</f>
        <v>0</v>
      </c>
    </row>
    <row r="237" spans="1:9">
      <c r="A237" s="242"/>
      <c r="B237" s="242"/>
      <c r="C237" s="242" t="s">
        <v>218</v>
      </c>
      <c r="D237" s="251" t="s">
        <v>339</v>
      </c>
      <c r="E237" s="89">
        <f>IF('1.0WS'!D235="","",'1.0WS'!D235)</f>
        <v>1</v>
      </c>
      <c r="F237" s="90" t="str">
        <f>'1.0WS'!E235</f>
        <v>Chhota Udepur</v>
      </c>
      <c r="G237" s="91">
        <f>IF('1.0WS'!K235="","",'1.0WS'!K235)</f>
        <v>2</v>
      </c>
      <c r="H237" s="89"/>
      <c r="I237" s="89"/>
    </row>
    <row r="238" spans="1:9">
      <c r="A238" s="242"/>
      <c r="B238" s="242"/>
      <c r="C238" s="242"/>
      <c r="D238" s="242"/>
      <c r="E238" s="89">
        <f>IF('1.0WS'!D236="","",'1.0WS'!D236)</f>
        <v>2</v>
      </c>
      <c r="F238" s="90" t="str">
        <f>'1.0WS'!E236</f>
        <v>Jetpur-pavi</v>
      </c>
      <c r="G238" s="91">
        <f>IF('1.0WS'!K236="","",'1.0WS'!K236)</f>
        <v>2</v>
      </c>
      <c r="H238" s="89"/>
      <c r="I238" s="89"/>
    </row>
    <row r="239" spans="1:9">
      <c r="A239" s="242"/>
      <c r="B239" s="242"/>
      <c r="C239" s="242"/>
      <c r="D239" s="242"/>
      <c r="E239" s="89">
        <f>IF('1.0WS'!D237="","",'1.0WS'!D237)</f>
        <v>3</v>
      </c>
      <c r="F239" s="90" t="str">
        <f>'1.0WS'!E237</f>
        <v>Kavant</v>
      </c>
      <c r="G239" s="91" t="str">
        <f>IF('1.0WS'!K237="","",'1.0WS'!K237)</f>
        <v/>
      </c>
      <c r="H239" s="94"/>
      <c r="I239" s="94"/>
    </row>
    <row r="240" spans="1:9">
      <c r="A240" s="242"/>
      <c r="B240" s="242"/>
      <c r="C240" s="242"/>
      <c r="D240" s="242"/>
      <c r="E240" s="89" t="str">
        <f>IF('1.0WS'!D238="","",'1.0WS'!D238)</f>
        <v/>
      </c>
      <c r="F240" s="90" t="str">
        <f>'1.0WS'!E238</f>
        <v>Nasvadi</v>
      </c>
      <c r="G240" s="91" t="str">
        <f>IF('1.0WS'!K238="","",'1.0WS'!K238)</f>
        <v/>
      </c>
      <c r="H240" s="94"/>
      <c r="I240" s="94"/>
    </row>
    <row r="241" spans="1:9">
      <c r="A241" s="242"/>
      <c r="B241" s="242"/>
      <c r="C241" s="242"/>
      <c r="D241" s="242"/>
      <c r="E241" s="89">
        <f>IF('1.0WS'!D239="","",'1.0WS'!D239)</f>
        <v>4</v>
      </c>
      <c r="F241" s="90" t="str">
        <f>'1.0WS'!E239</f>
        <v>Sankheda</v>
      </c>
      <c r="G241" s="91">
        <f>IF('1.0WS'!K239="","",'1.0WS'!K239)</f>
        <v>2</v>
      </c>
      <c r="H241" s="94"/>
      <c r="I241" s="94"/>
    </row>
    <row r="242" spans="1:9">
      <c r="A242" s="242"/>
      <c r="B242" s="242"/>
      <c r="C242" s="242"/>
      <c r="D242" s="242"/>
      <c r="E242" s="89" t="str">
        <f>IF('1.0WS'!D240="","",'1.0WS'!D240)</f>
        <v/>
      </c>
      <c r="F242" s="90" t="str">
        <f>'1.0WS'!E240</f>
        <v>Bodeli</v>
      </c>
      <c r="G242" s="91">
        <f>IF('1.0WS'!K240="","",'1.0WS'!K240)</f>
        <v>2</v>
      </c>
      <c r="H242" s="94"/>
      <c r="I242" s="94"/>
    </row>
    <row r="243" spans="1:9">
      <c r="A243" s="242"/>
      <c r="B243" s="242"/>
      <c r="C243" s="242"/>
      <c r="D243" s="242"/>
      <c r="E243" s="258" t="s">
        <v>293</v>
      </c>
      <c r="F243" s="258"/>
      <c r="G243" s="92"/>
      <c r="H243" s="93">
        <f>SUM(H237:H242)</f>
        <v>0</v>
      </c>
      <c r="I243" s="93">
        <f>SUM(I237:I242)</f>
        <v>0</v>
      </c>
    </row>
    <row r="244" spans="1:9">
      <c r="A244" s="242"/>
      <c r="B244" s="242"/>
      <c r="C244" s="242" t="s">
        <v>225</v>
      </c>
      <c r="D244" s="251" t="s">
        <v>340</v>
      </c>
      <c r="E244" s="89">
        <f>IF('1.0WS'!D242="","",'1.0WS'!D242)</f>
        <v>1</v>
      </c>
      <c r="F244" s="90" t="str">
        <f>'1.0WS'!E242</f>
        <v>Tilakwada</v>
      </c>
      <c r="G244" s="91" t="str">
        <f>IF('1.0WS'!K242="","",'1.0WS'!K242)</f>
        <v/>
      </c>
      <c r="H244" s="94"/>
      <c r="I244" s="94"/>
    </row>
    <row r="245" spans="1:9">
      <c r="A245" s="242"/>
      <c r="B245" s="242"/>
      <c r="C245" s="242"/>
      <c r="D245" s="242"/>
      <c r="E245" s="89" t="str">
        <f>IF('1.0WS'!D243="","",'1.0WS'!D243)</f>
        <v/>
      </c>
      <c r="F245" s="90" t="str">
        <f>'1.0WS'!E243</f>
        <v>Nandod</v>
      </c>
      <c r="G245" s="91">
        <f>IF('1.0WS'!K243="","",'1.0WS'!K243)</f>
        <v>2</v>
      </c>
      <c r="H245" s="94"/>
      <c r="I245" s="94"/>
    </row>
    <row r="246" spans="1:9">
      <c r="A246" s="242"/>
      <c r="B246" s="242"/>
      <c r="C246" s="242"/>
      <c r="D246" s="242"/>
      <c r="E246" s="89">
        <f>IF('1.0WS'!D244="","",'1.0WS'!D244)</f>
        <v>2</v>
      </c>
      <c r="F246" s="90" t="str">
        <f>'1.0WS'!E244</f>
        <v>Dediapada</v>
      </c>
      <c r="G246" s="91">
        <f>IF('1.0WS'!K244="","",'1.0WS'!K244)</f>
        <v>2</v>
      </c>
      <c r="H246" s="94"/>
      <c r="I246" s="94"/>
    </row>
    <row r="247" spans="1:9">
      <c r="A247" s="242"/>
      <c r="B247" s="242"/>
      <c r="C247" s="242"/>
      <c r="D247" s="242"/>
      <c r="E247" s="89" t="str">
        <f>IF('1.0WS'!D245="","",'1.0WS'!D245)</f>
        <v/>
      </c>
      <c r="F247" s="90" t="str">
        <f>'1.0WS'!E245</f>
        <v>Sagbara</v>
      </c>
      <c r="G247" s="91" t="str">
        <f>IF('1.0WS'!K245="","",'1.0WS'!K245)</f>
        <v/>
      </c>
      <c r="H247" s="94"/>
      <c r="I247" s="94"/>
    </row>
    <row r="248" spans="1:9">
      <c r="A248" s="242"/>
      <c r="B248" s="242"/>
      <c r="C248" s="242"/>
      <c r="D248" s="242"/>
      <c r="E248" s="89" t="str">
        <f>IF('1.0WS'!D246="","",'1.0WS'!D246)</f>
        <v/>
      </c>
      <c r="F248" s="90" t="str">
        <f>'1.0WS'!E246</f>
        <v>Garudeswar</v>
      </c>
      <c r="G248" s="91" t="str">
        <f>IF('1.0WS'!K246="","",'1.0WS'!K246)</f>
        <v/>
      </c>
      <c r="H248" s="94"/>
      <c r="I248" s="94"/>
    </row>
    <row r="249" spans="1:9">
      <c r="A249" s="242"/>
      <c r="B249" s="242"/>
      <c r="C249" s="242"/>
      <c r="D249" s="242"/>
      <c r="E249" s="258" t="s">
        <v>293</v>
      </c>
      <c r="F249" s="258"/>
      <c r="G249" s="92"/>
      <c r="H249" s="93">
        <f>SUM(H244:H248)</f>
        <v>0</v>
      </c>
      <c r="I249" s="93">
        <f>SUM(I244:I248)</f>
        <v>0</v>
      </c>
    </row>
    <row r="250" spans="1:9">
      <c r="A250" s="242"/>
      <c r="B250" s="242"/>
      <c r="C250" s="242" t="s">
        <v>231</v>
      </c>
      <c r="D250" s="251" t="s">
        <v>341</v>
      </c>
      <c r="E250" s="89">
        <f>IF('1.0WS'!D248="","",'1.0WS'!D248)</f>
        <v>1</v>
      </c>
      <c r="F250" s="90" t="str">
        <f>'1.0WS'!E248</f>
        <v>Jambusar</v>
      </c>
      <c r="G250" s="91">
        <f>IF('1.0WS'!K248="","",'1.0WS'!K248)</f>
        <v>2</v>
      </c>
      <c r="H250" s="89"/>
      <c r="I250" s="89"/>
    </row>
    <row r="251" spans="1:9">
      <c r="A251" s="242"/>
      <c r="B251" s="242"/>
      <c r="C251" s="242"/>
      <c r="D251" s="242"/>
      <c r="E251" s="89">
        <f>IF('1.0WS'!D249="","",'1.0WS'!D249)</f>
        <v>2</v>
      </c>
      <c r="F251" s="90" t="str">
        <f>'1.0WS'!E249</f>
        <v>Amod</v>
      </c>
      <c r="G251" s="91" t="str">
        <f>IF('1.0WS'!K249="","",'1.0WS'!K249)</f>
        <v/>
      </c>
      <c r="H251" s="94"/>
      <c r="I251" s="94"/>
    </row>
    <row r="252" spans="1:9">
      <c r="A252" s="242"/>
      <c r="B252" s="242"/>
      <c r="C252" s="242"/>
      <c r="D252" s="242"/>
      <c r="E252" s="89" t="str">
        <f>IF('1.0WS'!D250="","",'1.0WS'!D250)</f>
        <v/>
      </c>
      <c r="F252" s="90" t="str">
        <f>'1.0WS'!E250</f>
        <v>Vagra</v>
      </c>
      <c r="G252" s="91">
        <f>IF('1.0WS'!K250="","",'1.0WS'!K250)</f>
        <v>2</v>
      </c>
      <c r="H252" s="94"/>
      <c r="I252" s="94"/>
    </row>
    <row r="253" spans="1:9">
      <c r="A253" s="242"/>
      <c r="B253" s="242"/>
      <c r="C253" s="242"/>
      <c r="D253" s="242"/>
      <c r="E253" s="89">
        <f>IF('1.0WS'!D251="","",'1.0WS'!D251)</f>
        <v>3</v>
      </c>
      <c r="F253" s="90" t="str">
        <f>'1.0WS'!E251</f>
        <v>Bharuch</v>
      </c>
      <c r="G253" s="91">
        <f>IF('1.0WS'!K251="","",'1.0WS'!K251)</f>
        <v>2</v>
      </c>
      <c r="H253" s="94"/>
      <c r="I253" s="94"/>
    </row>
    <row r="254" spans="1:9">
      <c r="A254" s="242"/>
      <c r="B254" s="242"/>
      <c r="C254" s="242"/>
      <c r="D254" s="242"/>
      <c r="E254" s="89" t="str">
        <f>IF('1.0WS'!D252="","",'1.0WS'!D252)</f>
        <v/>
      </c>
      <c r="F254" s="90" t="str">
        <f>'1.0WS'!E252</f>
        <v>Jhagadia</v>
      </c>
      <c r="G254" s="91" t="str">
        <f>IF('1.0WS'!K252="","",'1.0WS'!K252)</f>
        <v/>
      </c>
      <c r="H254" s="94"/>
      <c r="I254" s="94"/>
    </row>
    <row r="255" spans="1:9">
      <c r="A255" s="242"/>
      <c r="B255" s="242"/>
      <c r="C255" s="242"/>
      <c r="D255" s="242"/>
      <c r="E255" s="89" t="str">
        <f>IF('1.0WS'!D253="","",'1.0WS'!D253)</f>
        <v/>
      </c>
      <c r="F255" s="90" t="str">
        <f>'1.0WS'!E253</f>
        <v>Ankleshwar</v>
      </c>
      <c r="G255" s="91" t="str">
        <f>IF('1.0WS'!K253="","",'1.0WS'!K253)</f>
        <v/>
      </c>
      <c r="H255" s="94"/>
      <c r="I255" s="94"/>
    </row>
    <row r="256" spans="1:9">
      <c r="A256" s="242"/>
      <c r="B256" s="242"/>
      <c r="C256" s="242"/>
      <c r="D256" s="242"/>
      <c r="E256" s="89">
        <f>IF('1.0WS'!D254="","",'1.0WS'!D254)</f>
        <v>4</v>
      </c>
      <c r="F256" s="90" t="str">
        <f>'1.0WS'!E254</f>
        <v>Hansot</v>
      </c>
      <c r="G256" s="91" t="str">
        <f>IF('1.0WS'!K254="","",'1.0WS'!K254)</f>
        <v/>
      </c>
      <c r="H256" s="94"/>
      <c r="I256" s="94"/>
    </row>
    <row r="257" spans="1:9">
      <c r="A257" s="242"/>
      <c r="B257" s="242"/>
      <c r="C257" s="242"/>
      <c r="D257" s="242"/>
      <c r="E257" s="89" t="str">
        <f>IF('1.0WS'!D255="","",'1.0WS'!D255)</f>
        <v/>
      </c>
      <c r="F257" s="90" t="str">
        <f>'1.0WS'!E255</f>
        <v>Valia</v>
      </c>
      <c r="G257" s="91">
        <f>IF('1.0WS'!K255="","",'1.0WS'!K255)</f>
        <v>2</v>
      </c>
      <c r="H257" s="94"/>
      <c r="I257" s="94"/>
    </row>
    <row r="258" spans="1:9">
      <c r="A258" s="242"/>
      <c r="B258" s="242"/>
      <c r="C258" s="242"/>
      <c r="D258" s="242"/>
      <c r="E258" s="89" t="str">
        <f>IF('1.0WS'!D256="","",'1.0WS'!D256)</f>
        <v/>
      </c>
      <c r="F258" s="90" t="str">
        <f>'1.0WS'!E256</f>
        <v>Netrang</v>
      </c>
      <c r="G258" s="91" t="str">
        <f>IF('1.0WS'!K256="","",'1.0WS'!K256)</f>
        <v/>
      </c>
      <c r="H258" s="94"/>
      <c r="I258" s="94"/>
    </row>
    <row r="259" spans="1:9">
      <c r="A259" s="242"/>
      <c r="B259" s="242"/>
      <c r="C259" s="242"/>
      <c r="D259" s="242"/>
      <c r="E259" s="258" t="s">
        <v>293</v>
      </c>
      <c r="F259" s="258"/>
      <c r="G259" s="92"/>
      <c r="H259" s="93">
        <f>SUM(H250:H258)</f>
        <v>0</v>
      </c>
      <c r="I259" s="93">
        <f>SUM(I250:I258)</f>
        <v>0</v>
      </c>
    </row>
    <row r="260" spans="1:9">
      <c r="A260" s="242"/>
      <c r="B260" s="242"/>
      <c r="C260" s="252" t="s">
        <v>294</v>
      </c>
      <c r="D260" s="252"/>
      <c r="E260" s="252"/>
      <c r="F260" s="252"/>
      <c r="G260" s="95"/>
      <c r="H260" s="98">
        <f>SUM(H211,H218,H227,H236,H243,H249,H259)</f>
        <v>0</v>
      </c>
      <c r="I260" s="98">
        <f>SUM(I211,I218,I227,I236,I243,I249,I259)</f>
        <v>0</v>
      </c>
    </row>
    <row r="261" spans="1:9">
      <c r="A261" s="242" t="s">
        <v>327</v>
      </c>
      <c r="B261" s="242" t="s">
        <v>240</v>
      </c>
      <c r="C261" s="242" t="s">
        <v>240</v>
      </c>
      <c r="D261" s="251" t="s">
        <v>342</v>
      </c>
      <c r="E261" s="89">
        <f>IF('1.0WS'!D259="","",'1.0WS'!D259)</f>
        <v>1</v>
      </c>
      <c r="F261" s="90" t="str">
        <f>'1.0WS'!E259</f>
        <v>Olpad</v>
      </c>
      <c r="G261" s="91">
        <f>IF('1.0WS'!K259="","",'1.0WS'!K259)</f>
        <v>2</v>
      </c>
      <c r="H261" s="94"/>
      <c r="I261" s="94"/>
    </row>
    <row r="262" spans="1:9">
      <c r="A262" s="242"/>
      <c r="B262" s="242"/>
      <c r="C262" s="242"/>
      <c r="D262" s="242"/>
      <c r="E262" s="89" t="str">
        <f>IF('1.0WS'!D260="","",'1.0WS'!D260)</f>
        <v/>
      </c>
      <c r="F262" s="90" t="str">
        <f>'1.0WS'!E260</f>
        <v>Mangrol.</v>
      </c>
      <c r="G262" s="91" t="str">
        <f>IF('1.0WS'!K260="","",'1.0WS'!K260)</f>
        <v/>
      </c>
      <c r="H262" s="94"/>
      <c r="I262" s="94"/>
    </row>
    <row r="263" spans="1:9">
      <c r="A263" s="242"/>
      <c r="B263" s="242"/>
      <c r="C263" s="242"/>
      <c r="D263" s="242"/>
      <c r="E263" s="89">
        <f>IF('1.0WS'!D261="","",'1.0WS'!D261)</f>
        <v>2</v>
      </c>
      <c r="F263" s="90" t="str">
        <f>'1.0WS'!E261</f>
        <v>Umarpada</v>
      </c>
      <c r="G263" s="91" t="str">
        <f>IF('1.0WS'!K261="","",'1.0WS'!K261)</f>
        <v/>
      </c>
      <c r="H263" s="94"/>
      <c r="I263" s="94"/>
    </row>
    <row r="264" spans="1:9">
      <c r="A264" s="242"/>
      <c r="B264" s="242"/>
      <c r="C264" s="242"/>
      <c r="D264" s="242"/>
      <c r="E264" s="89" t="str">
        <f>IF('1.0WS'!D262="","",'1.0WS'!D262)</f>
        <v/>
      </c>
      <c r="F264" s="90" t="str">
        <f>'1.0WS'!E262</f>
        <v>Mandvi.</v>
      </c>
      <c r="G264" s="91">
        <f>IF('1.0WS'!K262="","",'1.0WS'!K262)</f>
        <v>2</v>
      </c>
      <c r="H264" s="94"/>
      <c r="I264" s="94"/>
    </row>
    <row r="265" spans="1:9">
      <c r="A265" s="242"/>
      <c r="B265" s="242"/>
      <c r="C265" s="242"/>
      <c r="D265" s="242"/>
      <c r="E265" s="89" t="str">
        <f>IF('1.0WS'!D263="","",'1.0WS'!D263)</f>
        <v/>
      </c>
      <c r="F265" s="90" t="str">
        <f>'1.0WS'!E263</f>
        <v>Kamrej</v>
      </c>
      <c r="G265" s="91" t="str">
        <f>IF('1.0WS'!K263="","",'1.0WS'!K263)</f>
        <v/>
      </c>
      <c r="H265" s="94"/>
      <c r="I265" s="94"/>
    </row>
    <row r="266" spans="1:9">
      <c r="A266" s="242"/>
      <c r="B266" s="242"/>
      <c r="C266" s="242"/>
      <c r="D266" s="242"/>
      <c r="E266" s="89" t="str">
        <f>IF('1.0WS'!D264="","",'1.0WS'!D264)</f>
        <v/>
      </c>
      <c r="F266" s="90" t="str">
        <f>'1.0WS'!E264</f>
        <v>Surat City</v>
      </c>
      <c r="G266" s="91" t="str">
        <f>IF('1.0WS'!K264="","",'1.0WS'!K264)</f>
        <v/>
      </c>
      <c r="H266" s="94"/>
      <c r="I266" s="94"/>
    </row>
    <row r="267" spans="1:9">
      <c r="A267" s="242"/>
      <c r="B267" s="242"/>
      <c r="C267" s="242"/>
      <c r="D267" s="242"/>
      <c r="E267" s="89">
        <f>IF('1.0WS'!D265="","",'1.0WS'!D265)</f>
        <v>3</v>
      </c>
      <c r="F267" s="90" t="str">
        <f>'1.0WS'!E265</f>
        <v>Choryasi</v>
      </c>
      <c r="G267" s="91" t="str">
        <f>IF('1.0WS'!K265="","",'1.0WS'!K265)</f>
        <v/>
      </c>
      <c r="H267" s="94"/>
      <c r="I267" s="94"/>
    </row>
    <row r="268" spans="1:9">
      <c r="A268" s="242"/>
      <c r="B268" s="242"/>
      <c r="C268" s="242"/>
      <c r="D268" s="242"/>
      <c r="E268" s="89" t="str">
        <f>IF('1.0WS'!D266="","",'1.0WS'!D266)</f>
        <v/>
      </c>
      <c r="F268" s="90" t="str">
        <f>'1.0WS'!E266</f>
        <v>Palsana</v>
      </c>
      <c r="G268" s="91" t="str">
        <f>IF('1.0WS'!K266="","",'1.0WS'!K266)</f>
        <v/>
      </c>
      <c r="H268" s="94"/>
      <c r="I268" s="94"/>
    </row>
    <row r="269" spans="1:9">
      <c r="A269" s="242"/>
      <c r="B269" s="242"/>
      <c r="C269" s="242"/>
      <c r="D269" s="242"/>
      <c r="E269" s="89" t="str">
        <f>IF('1.0WS'!D267="","",'1.0WS'!D267)</f>
        <v/>
      </c>
      <c r="F269" s="90" t="str">
        <f>'1.0WS'!E267</f>
        <v>Bardoli</v>
      </c>
      <c r="G269" s="91">
        <f>IF('1.0WS'!K267="","",'1.0WS'!K267)</f>
        <v>2</v>
      </c>
      <c r="H269" s="94"/>
      <c r="I269" s="94"/>
    </row>
    <row r="270" spans="1:9">
      <c r="A270" s="242"/>
      <c r="B270" s="242"/>
      <c r="C270" s="242"/>
      <c r="D270" s="242"/>
      <c r="E270" s="89" t="str">
        <f>IF('1.0WS'!D268="","",'1.0WS'!D268)</f>
        <v/>
      </c>
      <c r="F270" s="90" t="str">
        <f>'1.0WS'!E268</f>
        <v>Mahuva.</v>
      </c>
      <c r="G270" s="91" t="str">
        <f>IF('1.0WS'!K268="","",'1.0WS'!K268)</f>
        <v/>
      </c>
      <c r="H270" s="94"/>
      <c r="I270" s="94"/>
    </row>
    <row r="271" spans="1:9">
      <c r="A271" s="242"/>
      <c r="B271" s="242"/>
      <c r="C271" s="242"/>
      <c r="D271" s="242"/>
      <c r="E271" s="258" t="s">
        <v>293</v>
      </c>
      <c r="F271" s="258"/>
      <c r="G271" s="92"/>
      <c r="H271" s="93">
        <f>SUM(H261:H270)</f>
        <v>0</v>
      </c>
      <c r="I271" s="93">
        <f>SUM(I261:I270)</f>
        <v>0</v>
      </c>
    </row>
    <row r="272" spans="1:9">
      <c r="A272" s="242"/>
      <c r="B272" s="242"/>
      <c r="C272" s="242" t="s">
        <v>267</v>
      </c>
      <c r="D272" s="251" t="s">
        <v>343</v>
      </c>
      <c r="E272" s="89">
        <f>IF('1.0WS'!D270="","",'1.0WS'!D270)</f>
        <v>1</v>
      </c>
      <c r="F272" s="90" t="str">
        <f>'1.0WS'!E270</f>
        <v>Nizar</v>
      </c>
      <c r="G272" s="91" t="str">
        <f>IF('1.0WS'!K270="","",'1.0WS'!K270)</f>
        <v/>
      </c>
      <c r="H272" s="94"/>
      <c r="I272" s="94"/>
    </row>
    <row r="273" spans="1:9">
      <c r="A273" s="242"/>
      <c r="B273" s="242"/>
      <c r="C273" s="242"/>
      <c r="D273" s="242"/>
      <c r="E273" s="89" t="str">
        <f>IF('1.0WS'!D271="","",'1.0WS'!D271)</f>
        <v/>
      </c>
      <c r="F273" s="90" t="str">
        <f>'1.0WS'!E271</f>
        <v>Uchchhal</v>
      </c>
      <c r="G273" s="91" t="str">
        <f>IF('1.0WS'!K271="","",'1.0WS'!K271)</f>
        <v/>
      </c>
      <c r="H273" s="94"/>
      <c r="I273" s="94"/>
    </row>
    <row r="274" spans="1:9">
      <c r="A274" s="242"/>
      <c r="B274" s="242"/>
      <c r="C274" s="242"/>
      <c r="D274" s="242"/>
      <c r="E274" s="89" t="str">
        <f>IF('1.0WS'!D272="","",'1.0WS'!D272)</f>
        <v/>
      </c>
      <c r="F274" s="90" t="str">
        <f>'1.0WS'!E272</f>
        <v>Songadh</v>
      </c>
      <c r="G274" s="91">
        <f>IF('1.0WS'!K272="","",'1.0WS'!K272)</f>
        <v>2</v>
      </c>
      <c r="H274" s="94"/>
      <c r="I274" s="94"/>
    </row>
    <row r="275" spans="1:9">
      <c r="A275" s="242"/>
      <c r="B275" s="242"/>
      <c r="C275" s="242"/>
      <c r="D275" s="242"/>
      <c r="E275" s="89">
        <f>IF('1.0WS'!D273="","",'1.0WS'!D273)</f>
        <v>2</v>
      </c>
      <c r="F275" s="90" t="str">
        <f>'1.0WS'!E273</f>
        <v>Vyara</v>
      </c>
      <c r="G275" s="91">
        <f>IF('1.0WS'!K273="","",'1.0WS'!K273)</f>
        <v>2</v>
      </c>
      <c r="H275" s="94"/>
      <c r="I275" s="94"/>
    </row>
    <row r="276" spans="1:9">
      <c r="A276" s="242"/>
      <c r="B276" s="242"/>
      <c r="C276" s="242"/>
      <c r="D276" s="242"/>
      <c r="E276" s="89" t="str">
        <f>IF('1.0WS'!D274="","",'1.0WS'!D274)</f>
        <v/>
      </c>
      <c r="F276" s="90" t="str">
        <f>'1.0WS'!E274</f>
        <v>Valod</v>
      </c>
      <c r="G276" s="91" t="str">
        <f>IF('1.0WS'!K274="","",'1.0WS'!K274)</f>
        <v/>
      </c>
      <c r="H276" s="94"/>
      <c r="I276" s="94"/>
    </row>
    <row r="277" spans="1:9">
      <c r="A277" s="242"/>
      <c r="B277" s="242"/>
      <c r="C277" s="242"/>
      <c r="D277" s="242"/>
      <c r="E277" s="89" t="str">
        <f>IF('1.0WS'!D275="","",'1.0WS'!D275)</f>
        <v/>
      </c>
      <c r="F277" s="90" t="str">
        <f>'1.0WS'!E275</f>
        <v>Dolvan</v>
      </c>
      <c r="G277" s="91" t="str">
        <f>IF('1.0WS'!K275="","",'1.0WS'!K275)</f>
        <v/>
      </c>
      <c r="H277" s="94"/>
      <c r="I277" s="94"/>
    </row>
    <row r="278" spans="1:9">
      <c r="A278" s="242"/>
      <c r="B278" s="242"/>
      <c r="C278" s="242"/>
      <c r="D278" s="242"/>
      <c r="E278" s="89" t="str">
        <f>IF('1.0WS'!D276="","",'1.0WS'!D276)</f>
        <v/>
      </c>
      <c r="F278" s="90" t="str">
        <f>'1.0WS'!E276</f>
        <v>kukarmunda</v>
      </c>
      <c r="G278" s="91" t="str">
        <f>IF('1.0WS'!K276="","",'1.0WS'!K276)</f>
        <v/>
      </c>
      <c r="H278" s="94"/>
      <c r="I278" s="94"/>
    </row>
    <row r="279" spans="1:9">
      <c r="A279" s="242"/>
      <c r="B279" s="242"/>
      <c r="C279" s="242"/>
      <c r="D279" s="242"/>
      <c r="E279" s="258" t="s">
        <v>293</v>
      </c>
      <c r="F279" s="258"/>
      <c r="G279" s="92"/>
      <c r="H279" s="93">
        <f t="shared" ref="H279:I279" si="14">SUM(H272:H278)</f>
        <v>0</v>
      </c>
      <c r="I279" s="93">
        <f t="shared" si="14"/>
        <v>0</v>
      </c>
    </row>
    <row r="280" spans="1:9">
      <c r="A280" s="242"/>
      <c r="B280" s="242"/>
      <c r="C280" s="242" t="s">
        <v>251</v>
      </c>
      <c r="D280" s="251" t="s">
        <v>344</v>
      </c>
      <c r="E280" s="89">
        <f>IF('1.0WS'!D278="","",'1.0WS'!D278)</f>
        <v>1</v>
      </c>
      <c r="F280" s="90" t="str">
        <f>'1.0WS'!E278</f>
        <v>Ahwa</v>
      </c>
      <c r="G280" s="91">
        <f>IF('1.0WS'!K278="","",'1.0WS'!K278)</f>
        <v>2</v>
      </c>
      <c r="H280" s="89"/>
      <c r="I280" s="89"/>
    </row>
    <row r="281" spans="1:9">
      <c r="A281" s="242"/>
      <c r="B281" s="242"/>
      <c r="C281" s="242"/>
      <c r="D281" s="242"/>
      <c r="E281" s="89" t="str">
        <f>IF('1.0WS'!D279="","",'1.0WS'!D279)</f>
        <v/>
      </c>
      <c r="F281" s="90" t="str">
        <f>'1.0WS'!E279</f>
        <v>Vaghai</v>
      </c>
      <c r="G281" s="91" t="str">
        <f>IF('1.0WS'!K279="","",'1.0WS'!K279)</f>
        <v/>
      </c>
      <c r="H281" s="89"/>
      <c r="I281" s="89"/>
    </row>
    <row r="282" spans="1:9">
      <c r="A282" s="242"/>
      <c r="B282" s="242"/>
      <c r="C282" s="242"/>
      <c r="D282" s="242"/>
      <c r="E282" s="89" t="str">
        <f>IF('1.0WS'!D280="","",'1.0WS'!D280)</f>
        <v/>
      </c>
      <c r="F282" s="90" t="str">
        <f>'1.0WS'!E280</f>
        <v>Subir</v>
      </c>
      <c r="G282" s="91" t="str">
        <f>IF('1.0WS'!K280="","",'1.0WS'!K280)</f>
        <v/>
      </c>
      <c r="H282" s="89"/>
      <c r="I282" s="89"/>
    </row>
    <row r="283" spans="1:9">
      <c r="A283" s="242"/>
      <c r="B283" s="242"/>
      <c r="C283" s="242"/>
      <c r="D283" s="242"/>
      <c r="E283" s="258" t="s">
        <v>293</v>
      </c>
      <c r="F283" s="258"/>
      <c r="G283" s="92"/>
      <c r="H283" s="93">
        <f>SUM(H280)</f>
        <v>0</v>
      </c>
      <c r="I283" s="93">
        <f>SUM(I280)</f>
        <v>0</v>
      </c>
    </row>
    <row r="284" spans="1:9">
      <c r="A284" s="242"/>
      <c r="B284" s="242"/>
      <c r="C284" s="252" t="s">
        <v>294</v>
      </c>
      <c r="D284" s="252"/>
      <c r="E284" s="252"/>
      <c r="F284" s="252"/>
      <c r="G284" s="95"/>
      <c r="H284" s="96">
        <f>H271+H279+H283</f>
        <v>0</v>
      </c>
      <c r="I284" s="96">
        <f>I271+I279+I283</f>
        <v>0</v>
      </c>
    </row>
    <row r="285" spans="1:9">
      <c r="A285" s="242"/>
      <c r="B285" s="242" t="s">
        <v>261</v>
      </c>
      <c r="C285" s="242" t="s">
        <v>255</v>
      </c>
      <c r="D285" s="251" t="s">
        <v>345</v>
      </c>
      <c r="E285" s="89">
        <f>IF('1.0WS'!D283="","",'1.0WS'!D283)</f>
        <v>1</v>
      </c>
      <c r="F285" s="90" t="str">
        <f>'1.0WS'!E283</f>
        <v>Navsari</v>
      </c>
      <c r="G285" s="91">
        <f>IF('1.0WS'!K283="","",'1.0WS'!K283)</f>
        <v>2</v>
      </c>
      <c r="H285" s="89"/>
      <c r="I285" s="89"/>
    </row>
    <row r="286" spans="1:9">
      <c r="A286" s="242"/>
      <c r="B286" s="242"/>
      <c r="C286" s="242"/>
      <c r="D286" s="242"/>
      <c r="E286" s="89" t="str">
        <f>IF('1.0WS'!D284="","",'1.0WS'!D284)</f>
        <v/>
      </c>
      <c r="F286" s="90" t="str">
        <f>'1.0WS'!E284</f>
        <v>Jalalpor</v>
      </c>
      <c r="G286" s="91" t="str">
        <f>IF('1.0WS'!K284="","",'1.0WS'!K284)</f>
        <v/>
      </c>
      <c r="H286" s="89"/>
      <c r="I286" s="89"/>
    </row>
    <row r="287" spans="1:9">
      <c r="A287" s="242"/>
      <c r="B287" s="242"/>
      <c r="C287" s="242"/>
      <c r="D287" s="242"/>
      <c r="E287" s="89" t="str">
        <f>IF('1.0WS'!D285="","",'1.0WS'!D285)</f>
        <v/>
      </c>
      <c r="F287" s="90" t="str">
        <f>'1.0WS'!E285</f>
        <v>Gandevi</v>
      </c>
      <c r="G287" s="91" t="str">
        <f>IF('1.0WS'!K285="","",'1.0WS'!K285)</f>
        <v/>
      </c>
      <c r="H287" s="89"/>
      <c r="I287" s="89"/>
    </row>
    <row r="288" spans="1:9">
      <c r="A288" s="242"/>
      <c r="B288" s="242"/>
      <c r="C288" s="242"/>
      <c r="D288" s="242"/>
      <c r="E288" s="89" t="str">
        <f>IF('1.0WS'!D286="","",'1.0WS'!D286)</f>
        <v/>
      </c>
      <c r="F288" s="90" t="str">
        <f>'1.0WS'!E286</f>
        <v>Chikhli</v>
      </c>
      <c r="G288" s="91" t="str">
        <f>IF('1.0WS'!K286="","",'1.0WS'!K286)</f>
        <v/>
      </c>
      <c r="H288" s="89"/>
      <c r="I288" s="89"/>
    </row>
    <row r="289" spans="1:9">
      <c r="A289" s="242"/>
      <c r="B289" s="242"/>
      <c r="C289" s="242"/>
      <c r="D289" s="242"/>
      <c r="E289" s="89" t="str">
        <f>IF('1.0WS'!D287="","",'1.0WS'!D287)</f>
        <v/>
      </c>
      <c r="F289" s="90" t="str">
        <f>'1.0WS'!E287</f>
        <v>Vansda</v>
      </c>
      <c r="G289" s="91" t="str">
        <f>IF('1.0WS'!K287="","",'1.0WS'!K287)</f>
        <v/>
      </c>
      <c r="H289" s="89"/>
      <c r="I289" s="89"/>
    </row>
    <row r="290" spans="1:9">
      <c r="A290" s="242"/>
      <c r="B290" s="242"/>
      <c r="C290" s="242"/>
      <c r="D290" s="242"/>
      <c r="E290" s="89" t="str">
        <f>IF('1.0WS'!D288="","",'1.0WS'!D288)</f>
        <v/>
      </c>
      <c r="F290" s="90" t="str">
        <f>'1.0WS'!E288</f>
        <v>Khergam</v>
      </c>
      <c r="G290" s="91" t="str">
        <f>IF('1.0WS'!K288="","",'1.0WS'!K288)</f>
        <v/>
      </c>
      <c r="H290" s="89"/>
      <c r="I290" s="89"/>
    </row>
    <row r="291" spans="1:9">
      <c r="A291" s="242"/>
      <c r="B291" s="242"/>
      <c r="C291" s="242"/>
      <c r="D291" s="242"/>
      <c r="E291" s="258" t="s">
        <v>293</v>
      </c>
      <c r="F291" s="258"/>
      <c r="G291" s="92"/>
      <c r="H291" s="93">
        <f t="shared" ref="H291:I291" si="15">SUM(H285:H290)</f>
        <v>0</v>
      </c>
      <c r="I291" s="93">
        <f t="shared" si="15"/>
        <v>0</v>
      </c>
    </row>
    <row r="292" spans="1:9">
      <c r="A292" s="242"/>
      <c r="B292" s="242"/>
      <c r="C292" s="242" t="s">
        <v>261</v>
      </c>
      <c r="D292" s="251" t="s">
        <v>346</v>
      </c>
      <c r="E292" s="89">
        <f>IF('1.0WS'!D290="","",'1.0WS'!D290)</f>
        <v>1</v>
      </c>
      <c r="F292" s="90" t="str">
        <f>'1.0WS'!E290</f>
        <v>Valsad</v>
      </c>
      <c r="G292" s="91">
        <f>IF('1.0WS'!K290="","",'1.0WS'!K290)</f>
        <v>2</v>
      </c>
      <c r="H292" s="89"/>
      <c r="I292" s="89"/>
    </row>
    <row r="293" spans="1:9">
      <c r="A293" s="242"/>
      <c r="B293" s="242"/>
      <c r="C293" s="242"/>
      <c r="D293" s="242"/>
      <c r="E293" s="89" t="str">
        <f>IF('1.0WS'!D291="","",'1.0WS'!D291)</f>
        <v/>
      </c>
      <c r="F293" s="90" t="str">
        <f>'1.0WS'!E291</f>
        <v>Dharampur</v>
      </c>
      <c r="G293" s="91" t="str">
        <f>IF('1.0WS'!K291="","",'1.0WS'!K291)</f>
        <v/>
      </c>
      <c r="H293" s="89"/>
      <c r="I293" s="89"/>
    </row>
    <row r="294" spans="1:9">
      <c r="A294" s="242"/>
      <c r="B294" s="242"/>
      <c r="C294" s="242"/>
      <c r="D294" s="242"/>
      <c r="E294" s="89" t="str">
        <f>IF('1.0WS'!D292="","",'1.0WS'!D292)</f>
        <v/>
      </c>
      <c r="F294" s="90" t="str">
        <f>'1.0WS'!E292</f>
        <v>Pardi</v>
      </c>
      <c r="G294" s="91" t="str">
        <f>IF('1.0WS'!K292="","",'1.0WS'!K292)</f>
        <v/>
      </c>
      <c r="H294" s="89"/>
      <c r="I294" s="89"/>
    </row>
    <row r="295" spans="1:9">
      <c r="A295" s="242"/>
      <c r="B295" s="242"/>
      <c r="C295" s="242"/>
      <c r="D295" s="242"/>
      <c r="E295" s="89">
        <f>IF('1.0WS'!D293="","",'1.0WS'!D293)</f>
        <v>2</v>
      </c>
      <c r="F295" s="90" t="str">
        <f>'1.0WS'!E293</f>
        <v>Kaprada</v>
      </c>
      <c r="G295" s="91">
        <f>IF('1.0WS'!K293="","",'1.0WS'!K293)</f>
        <v>2</v>
      </c>
      <c r="H295" s="89"/>
      <c r="I295" s="89"/>
    </row>
    <row r="296" spans="1:9">
      <c r="A296" s="242"/>
      <c r="B296" s="242"/>
      <c r="C296" s="242"/>
      <c r="D296" s="242"/>
      <c r="E296" s="89" t="str">
        <f>IF('1.0WS'!D294="","",'1.0WS'!D294)</f>
        <v/>
      </c>
      <c r="F296" s="90" t="str">
        <f>'1.0WS'!E294</f>
        <v>Umargam</v>
      </c>
      <c r="G296" s="91" t="str">
        <f>IF('1.0WS'!K294="","",'1.0WS'!K294)</f>
        <v/>
      </c>
      <c r="H296" s="89"/>
      <c r="I296" s="89"/>
    </row>
    <row r="297" spans="1:9">
      <c r="A297" s="242"/>
      <c r="B297" s="242"/>
      <c r="C297" s="242"/>
      <c r="D297" s="242"/>
      <c r="E297" s="89" t="str">
        <f>IF('1.0WS'!D295="","",'1.0WS'!D295)</f>
        <v/>
      </c>
      <c r="F297" s="90" t="str">
        <f>'1.0WS'!E295</f>
        <v>Vapi</v>
      </c>
      <c r="G297" s="91" t="str">
        <f>IF('1.0WS'!K295="","",'1.0WS'!K295)</f>
        <v/>
      </c>
      <c r="H297" s="89"/>
      <c r="I297" s="89"/>
    </row>
    <row r="298" spans="1:9">
      <c r="A298" s="242"/>
      <c r="B298" s="242"/>
      <c r="C298" s="242"/>
      <c r="D298" s="242"/>
      <c r="E298" s="258" t="s">
        <v>293</v>
      </c>
      <c r="F298" s="258"/>
      <c r="G298" s="92"/>
      <c r="H298" s="93">
        <f t="shared" ref="H298:I298" si="16">SUM(H292:H297)</f>
        <v>0</v>
      </c>
      <c r="I298" s="93">
        <f t="shared" si="16"/>
        <v>0</v>
      </c>
    </row>
    <row r="299" spans="1:9">
      <c r="A299" s="242"/>
      <c r="B299" s="242"/>
      <c r="C299" s="252" t="s">
        <v>294</v>
      </c>
      <c r="D299" s="252"/>
      <c r="E299" s="252"/>
      <c r="F299" s="252"/>
      <c r="G299" s="95"/>
      <c r="H299" s="96">
        <f t="shared" ref="H299:I299" si="17">SUM(H291,H298)</f>
        <v>0</v>
      </c>
      <c r="I299" s="96">
        <f t="shared" si="17"/>
        <v>0</v>
      </c>
    </row>
    <row r="300" spans="1:9">
      <c r="A300" s="242"/>
      <c r="B300" s="259" t="s">
        <v>347</v>
      </c>
      <c r="C300" s="259"/>
      <c r="D300" s="259"/>
      <c r="E300" s="259"/>
      <c r="F300" s="259"/>
      <c r="G300" s="99"/>
      <c r="H300" s="101">
        <f>SUM(H166,H203,H260,H284,H299)</f>
        <v>0</v>
      </c>
      <c r="I300" s="101">
        <f>SUM(I166,I203,I260,I284,I299)</f>
        <v>0</v>
      </c>
    </row>
    <row r="301" spans="1:9">
      <c r="A301" s="261" t="s">
        <v>348</v>
      </c>
      <c r="B301" s="261"/>
      <c r="C301" s="261"/>
      <c r="D301" s="261"/>
      <c r="E301" s="261"/>
      <c r="F301" s="261"/>
      <c r="G301" s="102"/>
      <c r="H301" s="103">
        <f>SUM(H128,H300)</f>
        <v>0</v>
      </c>
      <c r="I301" s="103">
        <f>SUM(I128,I300)</f>
        <v>0</v>
      </c>
    </row>
    <row r="303" spans="1:9">
      <c r="A303" s="70" t="s">
        <v>349</v>
      </c>
    </row>
  </sheetData>
  <mergeCells count="142">
    <mergeCell ref="A3:B3"/>
    <mergeCell ref="D3:F3"/>
    <mergeCell ref="G3:I3"/>
    <mergeCell ref="H5:I5"/>
    <mergeCell ref="E17:F17"/>
    <mergeCell ref="E28:F28"/>
    <mergeCell ref="C29:F29"/>
    <mergeCell ref="E34:F34"/>
    <mergeCell ref="E44:F44"/>
    <mergeCell ref="E144:F144"/>
    <mergeCell ref="E154:F154"/>
    <mergeCell ref="C145:C154"/>
    <mergeCell ref="D130:D144"/>
    <mergeCell ref="D145:D154"/>
    <mergeCell ref="D122:D126"/>
    <mergeCell ref="C45:F45"/>
    <mergeCell ref="E57:F57"/>
    <mergeCell ref="E63:F63"/>
    <mergeCell ref="E73:F73"/>
    <mergeCell ref="E80:F80"/>
    <mergeCell ref="C81:F81"/>
    <mergeCell ref="E88:F88"/>
    <mergeCell ref="E93:F93"/>
    <mergeCell ref="E97:F97"/>
    <mergeCell ref="E165:F165"/>
    <mergeCell ref="C166:F166"/>
    <mergeCell ref="E175:F175"/>
    <mergeCell ref="E182:F182"/>
    <mergeCell ref="E191:F191"/>
    <mergeCell ref="E202:F202"/>
    <mergeCell ref="C203:F203"/>
    <mergeCell ref="E211:F211"/>
    <mergeCell ref="E218:F218"/>
    <mergeCell ref="C212:C218"/>
    <mergeCell ref="D204:D211"/>
    <mergeCell ref="D212:D218"/>
    <mergeCell ref="C155:C165"/>
    <mergeCell ref="C167:C175"/>
    <mergeCell ref="C176:C182"/>
    <mergeCell ref="C183:C191"/>
    <mergeCell ref="C192:C202"/>
    <mergeCell ref="D176:D182"/>
    <mergeCell ref="D183:D191"/>
    <mergeCell ref="D192:D202"/>
    <mergeCell ref="D155:D165"/>
    <mergeCell ref="D167:D175"/>
    <mergeCell ref="E298:F298"/>
    <mergeCell ref="C299:F299"/>
    <mergeCell ref="B300:F300"/>
    <mergeCell ref="A301:F301"/>
    <mergeCell ref="A5:A6"/>
    <mergeCell ref="A7:A63"/>
    <mergeCell ref="A64:A128"/>
    <mergeCell ref="A130:A191"/>
    <mergeCell ref="A192:A260"/>
    <mergeCell ref="A261:A300"/>
    <mergeCell ref="B5:B6"/>
    <mergeCell ref="B7:B29"/>
    <mergeCell ref="B30:B45"/>
    <mergeCell ref="B46:B63"/>
    <mergeCell ref="B64:B81"/>
    <mergeCell ref="B82:B98"/>
    <mergeCell ref="B99:B127"/>
    <mergeCell ref="B130:B166"/>
    <mergeCell ref="B167:B191"/>
    <mergeCell ref="B192:B203"/>
    <mergeCell ref="B204:B260"/>
    <mergeCell ref="B261:B284"/>
    <mergeCell ref="E227:F227"/>
    <mergeCell ref="E236:F236"/>
    <mergeCell ref="E291:F291"/>
    <mergeCell ref="E243:F243"/>
    <mergeCell ref="E249:F249"/>
    <mergeCell ref="E259:F259"/>
    <mergeCell ref="C260:F260"/>
    <mergeCell ref="E271:F271"/>
    <mergeCell ref="E279:F279"/>
    <mergeCell ref="E283:F283"/>
    <mergeCell ref="C219:C227"/>
    <mergeCell ref="C228:C236"/>
    <mergeCell ref="C237:C243"/>
    <mergeCell ref="C244:C249"/>
    <mergeCell ref="C250:C259"/>
    <mergeCell ref="C261:C271"/>
    <mergeCell ref="C272:C279"/>
    <mergeCell ref="C280:C283"/>
    <mergeCell ref="D219:D227"/>
    <mergeCell ref="D228:D236"/>
    <mergeCell ref="D237:D243"/>
    <mergeCell ref="D244:D249"/>
    <mergeCell ref="D250:D259"/>
    <mergeCell ref="D261:D271"/>
    <mergeCell ref="D272:D279"/>
    <mergeCell ref="D280:D283"/>
    <mergeCell ref="B285:B299"/>
    <mergeCell ref="C5:C6"/>
    <mergeCell ref="C7:C17"/>
    <mergeCell ref="C18:C28"/>
    <mergeCell ref="C30:C34"/>
    <mergeCell ref="C35:C44"/>
    <mergeCell ref="C46:C57"/>
    <mergeCell ref="C58:C63"/>
    <mergeCell ref="C64:C73"/>
    <mergeCell ref="C74:C80"/>
    <mergeCell ref="C82:C88"/>
    <mergeCell ref="C89:C93"/>
    <mergeCell ref="C94:C97"/>
    <mergeCell ref="C99:C110"/>
    <mergeCell ref="C111:C121"/>
    <mergeCell ref="C122:C126"/>
    <mergeCell ref="C130:C144"/>
    <mergeCell ref="C98:F98"/>
    <mergeCell ref="E110:F110"/>
    <mergeCell ref="E121:F121"/>
    <mergeCell ref="E126:F126"/>
    <mergeCell ref="C127:F127"/>
    <mergeCell ref="B128:F128"/>
    <mergeCell ref="A129:I129"/>
    <mergeCell ref="D285:D291"/>
    <mergeCell ref="C204:C211"/>
    <mergeCell ref="C284:F284"/>
    <mergeCell ref="D292:D298"/>
    <mergeCell ref="E5:E6"/>
    <mergeCell ref="F5:F6"/>
    <mergeCell ref="G5:G6"/>
    <mergeCell ref="A1:I2"/>
    <mergeCell ref="C285:C291"/>
    <mergeCell ref="C292:C298"/>
    <mergeCell ref="D5:D6"/>
    <mergeCell ref="D7:D17"/>
    <mergeCell ref="D18:D28"/>
    <mergeCell ref="D30:D34"/>
    <mergeCell ref="D35:D44"/>
    <mergeCell ref="D46:D57"/>
    <mergeCell ref="D58:D63"/>
    <mergeCell ref="D64:D73"/>
    <mergeCell ref="D74:D80"/>
    <mergeCell ref="D82:D88"/>
    <mergeCell ref="D89:D93"/>
    <mergeCell ref="D94:D97"/>
    <mergeCell ref="D99:D110"/>
    <mergeCell ref="D111:D121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K304"/>
  <sheetViews>
    <sheetView view="pageBreakPreview" zoomScale="60" zoomScaleNormal="100" workbookViewId="0">
      <selection activeCell="I11" sqref="I11"/>
    </sheetView>
  </sheetViews>
  <sheetFormatPr defaultColWidth="8.88671875" defaultRowHeight="13.8"/>
  <cols>
    <col min="1" max="1" width="11" style="70" customWidth="1"/>
    <col min="2" max="2" width="10.33203125" style="70" customWidth="1"/>
    <col min="3" max="3" width="12.33203125" style="71" customWidth="1"/>
    <col min="4" max="4" width="8.44140625" style="71" customWidth="1"/>
    <col min="5" max="5" width="8" style="72" customWidth="1"/>
    <col min="6" max="6" width="30.44140625" style="70" customWidth="1"/>
    <col min="7" max="7" width="5.33203125" style="72" hidden="1" customWidth="1"/>
    <col min="8" max="9" width="8.33203125" style="72" customWidth="1"/>
    <col min="10" max="16384" width="8.88671875" style="70"/>
  </cols>
  <sheetData>
    <row r="1" spans="1:9" ht="24.6" customHeight="1">
      <c r="A1" s="255" t="s">
        <v>302</v>
      </c>
      <c r="B1" s="255"/>
      <c r="C1" s="255"/>
      <c r="D1" s="255"/>
      <c r="E1" s="255"/>
      <c r="F1" s="255"/>
      <c r="G1" s="255"/>
      <c r="H1" s="255"/>
      <c r="I1" s="255"/>
    </row>
    <row r="2" spans="1:9" ht="22.95" customHeight="1">
      <c r="A2" s="255"/>
      <c r="B2" s="255"/>
      <c r="C2" s="255"/>
      <c r="D2" s="255"/>
      <c r="E2" s="255"/>
      <c r="F2" s="255"/>
      <c r="G2" s="255"/>
      <c r="H2" s="255"/>
      <c r="I2" s="255"/>
    </row>
    <row r="3" spans="1:9" ht="22.95" customHeight="1">
      <c r="A3" s="73"/>
      <c r="B3" s="73"/>
      <c r="C3" s="73"/>
      <c r="D3" s="73"/>
      <c r="E3" s="73"/>
      <c r="F3" s="73"/>
      <c r="G3" s="73"/>
      <c r="H3" s="73"/>
      <c r="I3" s="73"/>
    </row>
    <row r="4" spans="1:9" ht="16.8">
      <c r="A4" s="278" t="s">
        <v>277</v>
      </c>
      <c r="B4" s="278"/>
      <c r="C4" s="74"/>
      <c r="D4" s="75" t="s">
        <v>303</v>
      </c>
      <c r="E4" s="75"/>
      <c r="F4" s="75"/>
      <c r="G4" s="279" t="s">
        <v>350</v>
      </c>
      <c r="H4" s="279"/>
      <c r="I4" s="279"/>
    </row>
    <row r="5" spans="1:9">
      <c r="C5" s="72"/>
      <c r="D5" s="72"/>
      <c r="F5" s="72"/>
      <c r="I5" s="70"/>
    </row>
    <row r="6" spans="1:9" ht="43.2" customHeight="1">
      <c r="A6" s="270" t="s">
        <v>304</v>
      </c>
      <c r="B6" s="270" t="s">
        <v>279</v>
      </c>
      <c r="C6" s="270" t="s">
        <v>305</v>
      </c>
      <c r="D6" s="271" t="s">
        <v>306</v>
      </c>
      <c r="E6" s="270" t="s">
        <v>281</v>
      </c>
      <c r="F6" s="270" t="s">
        <v>307</v>
      </c>
      <c r="G6" s="271" t="s">
        <v>308</v>
      </c>
      <c r="H6" s="271" t="s">
        <v>309</v>
      </c>
      <c r="I6" s="271"/>
    </row>
    <row r="7" spans="1:9" ht="15.6">
      <c r="A7" s="270"/>
      <c r="B7" s="270"/>
      <c r="C7" s="270"/>
      <c r="D7" s="271"/>
      <c r="E7" s="270"/>
      <c r="F7" s="270"/>
      <c r="G7" s="271"/>
      <c r="H7" s="76" t="s">
        <v>310</v>
      </c>
      <c r="I7" s="76" t="s">
        <v>311</v>
      </c>
    </row>
    <row r="8" spans="1:9" ht="15.6">
      <c r="A8" s="269" t="s">
        <v>74</v>
      </c>
      <c r="B8" s="269" t="s">
        <v>291</v>
      </c>
      <c r="C8" s="269" t="s">
        <v>292</v>
      </c>
      <c r="D8" s="268" t="s">
        <v>312</v>
      </c>
      <c r="E8" s="77">
        <v>1</v>
      </c>
      <c r="F8" s="78" t="s">
        <v>14</v>
      </c>
      <c r="G8" s="79">
        <v>2</v>
      </c>
      <c r="H8" s="79">
        <f>G8</f>
        <v>2</v>
      </c>
      <c r="I8" s="79">
        <f>H8</f>
        <v>2</v>
      </c>
    </row>
    <row r="9" spans="1:9" ht="15.6">
      <c r="A9" s="269"/>
      <c r="B9" s="269"/>
      <c r="C9" s="269"/>
      <c r="D9" s="269"/>
      <c r="E9" s="264">
        <v>2</v>
      </c>
      <c r="F9" s="78" t="s">
        <v>8</v>
      </c>
      <c r="G9" s="79" t="s">
        <v>351</v>
      </c>
      <c r="H9" s="264">
        <f>SUM(G9:G10)</f>
        <v>2</v>
      </c>
      <c r="I9" s="264">
        <f>H9</f>
        <v>2</v>
      </c>
    </row>
    <row r="10" spans="1:9" ht="15.6">
      <c r="A10" s="269"/>
      <c r="B10" s="269"/>
      <c r="C10" s="269"/>
      <c r="D10" s="269"/>
      <c r="E10" s="266"/>
      <c r="F10" s="78" t="s">
        <v>13</v>
      </c>
      <c r="G10" s="79">
        <v>2</v>
      </c>
      <c r="H10" s="266"/>
      <c r="I10" s="266"/>
    </row>
    <row r="11" spans="1:9" ht="15.6">
      <c r="A11" s="269"/>
      <c r="B11" s="269"/>
      <c r="C11" s="269"/>
      <c r="D11" s="269"/>
      <c r="E11" s="77">
        <v>3</v>
      </c>
      <c r="F11" s="78" t="s">
        <v>12</v>
      </c>
      <c r="G11" s="79">
        <v>2</v>
      </c>
      <c r="H11" s="79">
        <f>G11</f>
        <v>2</v>
      </c>
      <c r="I11" s="79">
        <f>H11</f>
        <v>2</v>
      </c>
    </row>
    <row r="12" spans="1:9" ht="15.6">
      <c r="A12" s="269"/>
      <c r="B12" s="269"/>
      <c r="C12" s="269"/>
      <c r="D12" s="269"/>
      <c r="E12" s="264">
        <v>4</v>
      </c>
      <c r="F12" s="78" t="s">
        <v>16</v>
      </c>
      <c r="G12" s="79" t="s">
        <v>351</v>
      </c>
      <c r="H12" s="264">
        <f>SUM(G12:G13)</f>
        <v>2</v>
      </c>
      <c r="I12" s="264">
        <f>H12</f>
        <v>2</v>
      </c>
    </row>
    <row r="13" spans="1:9" ht="15.6">
      <c r="A13" s="269"/>
      <c r="B13" s="269"/>
      <c r="C13" s="269"/>
      <c r="D13" s="269"/>
      <c r="E13" s="266"/>
      <c r="F13" s="78" t="s">
        <v>15</v>
      </c>
      <c r="G13" s="79">
        <v>2</v>
      </c>
      <c r="H13" s="266"/>
      <c r="I13" s="266"/>
    </row>
    <row r="14" spans="1:9" ht="15.6">
      <c r="A14" s="269"/>
      <c r="B14" s="269"/>
      <c r="C14" s="269"/>
      <c r="D14" s="269"/>
      <c r="E14" s="77">
        <v>5</v>
      </c>
      <c r="F14" s="78" t="s">
        <v>11</v>
      </c>
      <c r="G14" s="79">
        <v>2</v>
      </c>
      <c r="H14" s="79">
        <f>G14</f>
        <v>2</v>
      </c>
      <c r="I14" s="79">
        <f>H14</f>
        <v>2</v>
      </c>
    </row>
    <row r="15" spans="1:9" ht="15.6">
      <c r="A15" s="269"/>
      <c r="B15" s="269"/>
      <c r="C15" s="269"/>
      <c r="D15" s="269"/>
      <c r="E15" s="264">
        <v>6</v>
      </c>
      <c r="F15" s="78" t="s">
        <v>17</v>
      </c>
      <c r="G15" s="79" t="s">
        <v>351</v>
      </c>
      <c r="H15" s="264">
        <f>SUM(G15:G16)</f>
        <v>3</v>
      </c>
      <c r="I15" s="264">
        <f>H15</f>
        <v>3</v>
      </c>
    </row>
    <row r="16" spans="1:9" ht="15.6">
      <c r="A16" s="269"/>
      <c r="B16" s="269"/>
      <c r="C16" s="269"/>
      <c r="D16" s="269"/>
      <c r="E16" s="266"/>
      <c r="F16" s="78" t="s">
        <v>10</v>
      </c>
      <c r="G16" s="79">
        <v>3</v>
      </c>
      <c r="H16" s="266"/>
      <c r="I16" s="266"/>
    </row>
    <row r="17" spans="1:9" ht="15.6">
      <c r="A17" s="269"/>
      <c r="B17" s="269"/>
      <c r="C17" s="269"/>
      <c r="D17" s="269"/>
      <c r="E17" s="77">
        <v>7</v>
      </c>
      <c r="F17" s="78" t="s">
        <v>9</v>
      </c>
      <c r="G17" s="79">
        <v>4</v>
      </c>
      <c r="H17" s="79">
        <f>G17</f>
        <v>4</v>
      </c>
      <c r="I17" s="79">
        <f>H17</f>
        <v>4</v>
      </c>
    </row>
    <row r="18" spans="1:9" ht="15.6">
      <c r="A18" s="269"/>
      <c r="B18" s="269"/>
      <c r="C18" s="269"/>
      <c r="D18" s="269"/>
      <c r="E18" s="267" t="s">
        <v>293</v>
      </c>
      <c r="F18" s="267"/>
      <c r="G18" s="80">
        <f>SUM(G8:G17)</f>
        <v>17</v>
      </c>
      <c r="H18" s="80">
        <f t="shared" ref="H18:I18" si="0">SUM(H8:H17)</f>
        <v>17</v>
      </c>
      <c r="I18" s="80">
        <f t="shared" si="0"/>
        <v>17</v>
      </c>
    </row>
    <row r="19" spans="1:9" ht="15.6">
      <c r="A19" s="269"/>
      <c r="B19" s="269"/>
      <c r="C19" s="269" t="s">
        <v>291</v>
      </c>
      <c r="D19" s="268" t="s">
        <v>313</v>
      </c>
      <c r="E19" s="77">
        <v>1</v>
      </c>
      <c r="F19" s="78" t="s">
        <v>86</v>
      </c>
      <c r="G19" s="79">
        <v>3</v>
      </c>
      <c r="H19" s="79">
        <f t="shared" ref="H19:I19" si="1">G19</f>
        <v>3</v>
      </c>
      <c r="I19" s="79">
        <f t="shared" si="1"/>
        <v>3</v>
      </c>
    </row>
    <row r="20" spans="1:9" ht="15.6">
      <c r="A20" s="269"/>
      <c r="B20" s="269"/>
      <c r="C20" s="269"/>
      <c r="D20" s="269"/>
      <c r="E20" s="77">
        <v>2</v>
      </c>
      <c r="F20" s="78" t="s">
        <v>87</v>
      </c>
      <c r="G20" s="79">
        <v>3</v>
      </c>
      <c r="H20" s="79">
        <f t="shared" ref="H20:I20" si="2">G20</f>
        <v>3</v>
      </c>
      <c r="I20" s="79">
        <f t="shared" si="2"/>
        <v>3</v>
      </c>
    </row>
    <row r="21" spans="1:9" ht="15.6">
      <c r="A21" s="269"/>
      <c r="B21" s="269"/>
      <c r="C21" s="269"/>
      <c r="D21" s="269"/>
      <c r="E21" s="77">
        <v>3</v>
      </c>
      <c r="F21" s="78" t="s">
        <v>88</v>
      </c>
      <c r="G21" s="79">
        <v>2</v>
      </c>
      <c r="H21" s="79">
        <f t="shared" ref="H21:I21" si="3">G21</f>
        <v>2</v>
      </c>
      <c r="I21" s="79">
        <f t="shared" si="3"/>
        <v>2</v>
      </c>
    </row>
    <row r="22" spans="1:9" ht="15.6">
      <c r="A22" s="269"/>
      <c r="B22" s="269"/>
      <c r="C22" s="269"/>
      <c r="D22" s="269"/>
      <c r="E22" s="77">
        <v>4</v>
      </c>
      <c r="F22" s="78" t="s">
        <v>89</v>
      </c>
      <c r="G22" s="79">
        <v>2</v>
      </c>
      <c r="H22" s="79">
        <f t="shared" ref="H22:I22" si="4">G22</f>
        <v>2</v>
      </c>
      <c r="I22" s="79">
        <f t="shared" si="4"/>
        <v>2</v>
      </c>
    </row>
    <row r="23" spans="1:9" ht="15.6">
      <c r="A23" s="269"/>
      <c r="B23" s="269"/>
      <c r="C23" s="269"/>
      <c r="D23" s="269"/>
      <c r="E23" s="77">
        <v>5</v>
      </c>
      <c r="F23" s="78" t="s">
        <v>94</v>
      </c>
      <c r="G23" s="79">
        <v>2</v>
      </c>
      <c r="H23" s="79">
        <f t="shared" ref="H23:I23" si="5">G23</f>
        <v>2</v>
      </c>
      <c r="I23" s="79">
        <f t="shared" si="5"/>
        <v>2</v>
      </c>
    </row>
    <row r="24" spans="1:9" ht="15.6">
      <c r="A24" s="269"/>
      <c r="B24" s="269"/>
      <c r="C24" s="269"/>
      <c r="D24" s="269"/>
      <c r="E24" s="77">
        <v>6</v>
      </c>
      <c r="F24" s="78" t="s">
        <v>90</v>
      </c>
      <c r="G24" s="79">
        <v>2</v>
      </c>
      <c r="H24" s="79">
        <f t="shared" ref="H24:I24" si="6">G24</f>
        <v>2</v>
      </c>
      <c r="I24" s="79">
        <f t="shared" si="6"/>
        <v>2</v>
      </c>
    </row>
    <row r="25" spans="1:9" ht="15.6">
      <c r="A25" s="269"/>
      <c r="B25" s="269"/>
      <c r="C25" s="269"/>
      <c r="D25" s="269"/>
      <c r="E25" s="77">
        <v>7</v>
      </c>
      <c r="F25" s="78" t="s">
        <v>92</v>
      </c>
      <c r="G25" s="79">
        <v>2</v>
      </c>
      <c r="H25" s="79">
        <f t="shared" ref="H25:I25" si="7">G25</f>
        <v>2</v>
      </c>
      <c r="I25" s="79">
        <f t="shared" si="7"/>
        <v>2</v>
      </c>
    </row>
    <row r="26" spans="1:9" ht="15.6">
      <c r="A26" s="269"/>
      <c r="B26" s="269"/>
      <c r="C26" s="269"/>
      <c r="D26" s="269"/>
      <c r="E26" s="77">
        <v>8</v>
      </c>
      <c r="F26" s="78" t="s">
        <v>91</v>
      </c>
      <c r="G26" s="79">
        <v>2</v>
      </c>
      <c r="H26" s="79">
        <f t="shared" ref="H26:I26" si="8">G26</f>
        <v>2</v>
      </c>
      <c r="I26" s="79">
        <f t="shared" si="8"/>
        <v>2</v>
      </c>
    </row>
    <row r="27" spans="1:9" ht="15.6">
      <c r="A27" s="269"/>
      <c r="B27" s="269"/>
      <c r="C27" s="269"/>
      <c r="D27" s="269"/>
      <c r="E27" s="264">
        <v>9</v>
      </c>
      <c r="F27" s="78" t="s">
        <v>93</v>
      </c>
      <c r="G27" s="79">
        <v>2</v>
      </c>
      <c r="H27" s="264">
        <f>SUM(G27:G28)</f>
        <v>2</v>
      </c>
      <c r="I27" s="264">
        <f>H27</f>
        <v>2</v>
      </c>
    </row>
    <row r="28" spans="1:9" ht="15.6">
      <c r="A28" s="269"/>
      <c r="B28" s="269"/>
      <c r="C28" s="269"/>
      <c r="D28" s="269"/>
      <c r="E28" s="266"/>
      <c r="F28" s="78" t="s">
        <v>95</v>
      </c>
      <c r="G28" s="79" t="s">
        <v>351</v>
      </c>
      <c r="H28" s="266"/>
      <c r="I28" s="266"/>
    </row>
    <row r="29" spans="1:9" ht="15.6">
      <c r="A29" s="269"/>
      <c r="B29" s="269"/>
      <c r="C29" s="269"/>
      <c r="D29" s="269"/>
      <c r="E29" s="267" t="s">
        <v>293</v>
      </c>
      <c r="F29" s="267"/>
      <c r="G29" s="80">
        <f>SUM(G19:G28)</f>
        <v>20</v>
      </c>
      <c r="H29" s="80">
        <f t="shared" ref="H29:I29" si="9">SUM(H19:H28)</f>
        <v>20</v>
      </c>
      <c r="I29" s="80">
        <f t="shared" si="9"/>
        <v>20</v>
      </c>
    </row>
    <row r="30" spans="1:9" ht="15.6">
      <c r="A30" s="269"/>
      <c r="B30" s="269"/>
      <c r="C30" s="274" t="s">
        <v>294</v>
      </c>
      <c r="D30" s="274"/>
      <c r="E30" s="274"/>
      <c r="F30" s="274"/>
      <c r="G30" s="81">
        <f>SUM(G18,G29)</f>
        <v>37</v>
      </c>
      <c r="H30" s="81">
        <f t="shared" ref="H30:I30" si="10">SUM(H18,H29)</f>
        <v>37</v>
      </c>
      <c r="I30" s="81">
        <f t="shared" si="10"/>
        <v>37</v>
      </c>
    </row>
    <row r="31" spans="1:9" ht="15.6">
      <c r="A31" s="269"/>
      <c r="B31" s="269" t="s">
        <v>74</v>
      </c>
      <c r="C31" s="269" t="s">
        <v>70</v>
      </c>
      <c r="D31" s="268" t="s">
        <v>314</v>
      </c>
      <c r="E31" s="77">
        <v>1</v>
      </c>
      <c r="F31" s="78" t="s">
        <v>72</v>
      </c>
      <c r="G31" s="79">
        <v>2</v>
      </c>
      <c r="H31" s="79">
        <f t="shared" ref="H31:I31" si="11">G31</f>
        <v>2</v>
      </c>
      <c r="I31" s="79">
        <f t="shared" si="11"/>
        <v>2</v>
      </c>
    </row>
    <row r="32" spans="1:9" ht="15.6">
      <c r="A32" s="269"/>
      <c r="B32" s="269"/>
      <c r="C32" s="269"/>
      <c r="D32" s="269"/>
      <c r="E32" s="77">
        <v>2</v>
      </c>
      <c r="F32" s="78" t="s">
        <v>70</v>
      </c>
      <c r="G32" s="79">
        <v>2</v>
      </c>
      <c r="H32" s="79">
        <f t="shared" ref="H32:I32" si="12">G32</f>
        <v>2</v>
      </c>
      <c r="I32" s="79">
        <f t="shared" si="12"/>
        <v>2</v>
      </c>
    </row>
    <row r="33" spans="1:9" ht="15.6">
      <c r="A33" s="269"/>
      <c r="B33" s="269"/>
      <c r="C33" s="269"/>
      <c r="D33" s="269"/>
      <c r="E33" s="77">
        <v>3</v>
      </c>
      <c r="F33" s="78" t="s">
        <v>73</v>
      </c>
      <c r="G33" s="79">
        <v>2</v>
      </c>
      <c r="H33" s="79">
        <f t="shared" ref="H33:I33" si="13">G33</f>
        <v>2</v>
      </c>
      <c r="I33" s="79">
        <f t="shared" si="13"/>
        <v>2</v>
      </c>
    </row>
    <row r="34" spans="1:9" ht="15.6">
      <c r="A34" s="269"/>
      <c r="B34" s="269"/>
      <c r="C34" s="269"/>
      <c r="D34" s="269"/>
      <c r="E34" s="77">
        <v>4</v>
      </c>
      <c r="F34" s="78" t="s">
        <v>71</v>
      </c>
      <c r="G34" s="79">
        <v>2</v>
      </c>
      <c r="H34" s="79">
        <f t="shared" ref="H34:I34" si="14">G34</f>
        <v>2</v>
      </c>
      <c r="I34" s="79">
        <f t="shared" si="14"/>
        <v>2</v>
      </c>
    </row>
    <row r="35" spans="1:9" ht="15.6">
      <c r="A35" s="269"/>
      <c r="B35" s="269"/>
      <c r="C35" s="269"/>
      <c r="D35" s="269"/>
      <c r="E35" s="267" t="s">
        <v>293</v>
      </c>
      <c r="F35" s="267"/>
      <c r="G35" s="80">
        <f>SUM(G31:G34)</f>
        <v>8</v>
      </c>
      <c r="H35" s="80">
        <f t="shared" ref="H35:I35" si="15">SUM(H31:H34)</f>
        <v>8</v>
      </c>
      <c r="I35" s="80">
        <f t="shared" si="15"/>
        <v>8</v>
      </c>
    </row>
    <row r="36" spans="1:9" ht="15.6">
      <c r="A36" s="269"/>
      <c r="B36" s="269"/>
      <c r="C36" s="269" t="s">
        <v>74</v>
      </c>
      <c r="D36" s="268" t="s">
        <v>315</v>
      </c>
      <c r="E36" s="264">
        <v>1</v>
      </c>
      <c r="F36" s="78" t="s">
        <v>75</v>
      </c>
      <c r="G36" s="79">
        <v>2</v>
      </c>
      <c r="H36" s="264">
        <f>SUM(G36:G37)</f>
        <v>2</v>
      </c>
      <c r="I36" s="264">
        <f>H36</f>
        <v>2</v>
      </c>
    </row>
    <row r="37" spans="1:9" ht="15.6">
      <c r="A37" s="269"/>
      <c r="B37" s="269"/>
      <c r="C37" s="269"/>
      <c r="D37" s="269"/>
      <c r="E37" s="266"/>
      <c r="F37" s="78" t="s">
        <v>76</v>
      </c>
      <c r="G37" s="79" t="s">
        <v>351</v>
      </c>
      <c r="H37" s="266"/>
      <c r="I37" s="266"/>
    </row>
    <row r="38" spans="1:9" ht="15.6">
      <c r="A38" s="269"/>
      <c r="B38" s="269"/>
      <c r="C38" s="269"/>
      <c r="D38" s="269"/>
      <c r="E38" s="77">
        <v>2</v>
      </c>
      <c r="F38" s="78" t="s">
        <v>77</v>
      </c>
      <c r="G38" s="79">
        <v>2</v>
      </c>
      <c r="H38" s="79">
        <f t="shared" ref="H38:I38" si="16">G38</f>
        <v>2</v>
      </c>
      <c r="I38" s="79">
        <f t="shared" si="16"/>
        <v>2</v>
      </c>
    </row>
    <row r="39" spans="1:9" ht="15.6">
      <c r="A39" s="269"/>
      <c r="B39" s="269"/>
      <c r="C39" s="269"/>
      <c r="D39" s="269"/>
      <c r="E39" s="77">
        <v>3</v>
      </c>
      <c r="F39" s="78" t="s">
        <v>78</v>
      </c>
      <c r="G39" s="79">
        <v>2</v>
      </c>
      <c r="H39" s="79">
        <f t="shared" ref="H39:I39" si="17">G39</f>
        <v>2</v>
      </c>
      <c r="I39" s="79">
        <f t="shared" si="17"/>
        <v>2</v>
      </c>
    </row>
    <row r="40" spans="1:9" ht="15.6">
      <c r="A40" s="269"/>
      <c r="B40" s="269"/>
      <c r="C40" s="269"/>
      <c r="D40" s="269"/>
      <c r="E40" s="77">
        <v>4</v>
      </c>
      <c r="F40" s="78" t="s">
        <v>82</v>
      </c>
      <c r="G40" s="79">
        <v>2</v>
      </c>
      <c r="H40" s="79">
        <f t="shared" ref="H40:I40" si="18">G40</f>
        <v>2</v>
      </c>
      <c r="I40" s="79">
        <f t="shared" si="18"/>
        <v>2</v>
      </c>
    </row>
    <row r="41" spans="1:9" ht="15.6">
      <c r="A41" s="269"/>
      <c r="B41" s="269"/>
      <c r="C41" s="269"/>
      <c r="D41" s="269"/>
      <c r="E41" s="77">
        <v>5</v>
      </c>
      <c r="F41" s="78" t="s">
        <v>80</v>
      </c>
      <c r="G41" s="79">
        <v>2</v>
      </c>
      <c r="H41" s="79">
        <f t="shared" ref="H41:I41" si="19">G41</f>
        <v>2</v>
      </c>
      <c r="I41" s="79">
        <f t="shared" si="19"/>
        <v>2</v>
      </c>
    </row>
    <row r="42" spans="1:9" ht="15.6">
      <c r="A42" s="269"/>
      <c r="B42" s="269"/>
      <c r="C42" s="269"/>
      <c r="D42" s="269"/>
      <c r="E42" s="77">
        <v>6</v>
      </c>
      <c r="F42" s="78" t="s">
        <v>81</v>
      </c>
      <c r="G42" s="79">
        <v>2</v>
      </c>
      <c r="H42" s="79">
        <f t="shared" ref="H42:I42" si="20">G42</f>
        <v>2</v>
      </c>
      <c r="I42" s="79">
        <f t="shared" si="20"/>
        <v>2</v>
      </c>
    </row>
    <row r="43" spans="1:9" ht="15.6">
      <c r="A43" s="269"/>
      <c r="B43" s="269"/>
      <c r="C43" s="269"/>
      <c r="D43" s="269"/>
      <c r="E43" s="77">
        <v>7</v>
      </c>
      <c r="F43" s="78" t="s">
        <v>83</v>
      </c>
      <c r="G43" s="79">
        <v>2</v>
      </c>
      <c r="H43" s="79">
        <f t="shared" ref="H43:I43" si="21">G43</f>
        <v>2</v>
      </c>
      <c r="I43" s="79">
        <f t="shared" si="21"/>
        <v>2</v>
      </c>
    </row>
    <row r="44" spans="1:9" ht="15.6">
      <c r="A44" s="269"/>
      <c r="B44" s="269"/>
      <c r="C44" s="269"/>
      <c r="D44" s="269"/>
      <c r="E44" s="77">
        <v>8</v>
      </c>
      <c r="F44" s="78" t="s">
        <v>84</v>
      </c>
      <c r="G44" s="79">
        <v>2</v>
      </c>
      <c r="H44" s="79">
        <f t="shared" ref="H44:I44" si="22">G44</f>
        <v>2</v>
      </c>
      <c r="I44" s="79">
        <f t="shared" si="22"/>
        <v>2</v>
      </c>
    </row>
    <row r="45" spans="1:9" ht="15.6">
      <c r="A45" s="269"/>
      <c r="B45" s="269"/>
      <c r="C45" s="269"/>
      <c r="D45" s="269"/>
      <c r="E45" s="267" t="s">
        <v>293</v>
      </c>
      <c r="F45" s="267"/>
      <c r="G45" s="80">
        <f>SUM(G36:G44)</f>
        <v>16</v>
      </c>
      <c r="H45" s="80">
        <f t="shared" ref="H45:I45" si="23">SUM(H36:H44)</f>
        <v>16</v>
      </c>
      <c r="I45" s="80">
        <f t="shared" si="23"/>
        <v>16</v>
      </c>
    </row>
    <row r="46" spans="1:9" ht="15.6">
      <c r="A46" s="269"/>
      <c r="B46" s="269"/>
      <c r="C46" s="274" t="s">
        <v>294</v>
      </c>
      <c r="D46" s="274"/>
      <c r="E46" s="274"/>
      <c r="F46" s="274"/>
      <c r="G46" s="81">
        <f>SUM(G35,G45)</f>
        <v>24</v>
      </c>
      <c r="H46" s="81">
        <f t="shared" ref="H46:I46" si="24">SUM(H35,H45)</f>
        <v>24</v>
      </c>
      <c r="I46" s="81">
        <f t="shared" si="24"/>
        <v>24</v>
      </c>
    </row>
    <row r="47" spans="1:9" ht="15.6">
      <c r="A47" s="269"/>
      <c r="B47" s="269" t="s">
        <v>101</v>
      </c>
      <c r="C47" s="269" t="s">
        <v>101</v>
      </c>
      <c r="D47" s="268" t="s">
        <v>316</v>
      </c>
      <c r="E47" s="77">
        <v>1</v>
      </c>
      <c r="F47" s="78" t="s">
        <v>101</v>
      </c>
      <c r="G47" s="79">
        <v>2</v>
      </c>
      <c r="H47" s="79">
        <f>G47</f>
        <v>2</v>
      </c>
      <c r="I47" s="79">
        <f>H47</f>
        <v>2</v>
      </c>
    </row>
    <row r="48" spans="1:9" ht="15.6">
      <c r="A48" s="269"/>
      <c r="B48" s="269"/>
      <c r="C48" s="269"/>
      <c r="D48" s="269"/>
      <c r="E48" s="264">
        <v>2</v>
      </c>
      <c r="F48" s="78" t="s">
        <v>102</v>
      </c>
      <c r="G48" s="79">
        <v>2</v>
      </c>
      <c r="H48" s="264">
        <f>SUM(G48:G49)</f>
        <v>2</v>
      </c>
      <c r="I48" s="264">
        <f>H48</f>
        <v>2</v>
      </c>
    </row>
    <row r="49" spans="1:9" ht="15.6">
      <c r="A49" s="269"/>
      <c r="B49" s="269"/>
      <c r="C49" s="269"/>
      <c r="D49" s="269"/>
      <c r="E49" s="266"/>
      <c r="F49" s="78" t="s">
        <v>103</v>
      </c>
      <c r="G49" s="79" t="s">
        <v>351</v>
      </c>
      <c r="H49" s="266"/>
      <c r="I49" s="266"/>
    </row>
    <row r="50" spans="1:9" ht="15.6">
      <c r="A50" s="269"/>
      <c r="B50" s="269"/>
      <c r="C50" s="269"/>
      <c r="D50" s="269"/>
      <c r="E50" s="264">
        <v>3</v>
      </c>
      <c r="F50" s="78" t="s">
        <v>104</v>
      </c>
      <c r="G50" s="79" t="s">
        <v>351</v>
      </c>
      <c r="H50" s="264">
        <f>SUM(G50:G51)</f>
        <v>2</v>
      </c>
      <c r="I50" s="264">
        <f>H50</f>
        <v>2</v>
      </c>
    </row>
    <row r="51" spans="1:9" ht="15.6">
      <c r="A51" s="269"/>
      <c r="B51" s="269"/>
      <c r="C51" s="269"/>
      <c r="D51" s="269"/>
      <c r="E51" s="266"/>
      <c r="F51" s="78" t="s">
        <v>105</v>
      </c>
      <c r="G51" s="79">
        <v>2</v>
      </c>
      <c r="H51" s="266"/>
      <c r="I51" s="266"/>
    </row>
    <row r="52" spans="1:9" ht="15.6">
      <c r="A52" s="269"/>
      <c r="B52" s="269"/>
      <c r="C52" s="269"/>
      <c r="D52" s="269"/>
      <c r="E52" s="77">
        <v>4</v>
      </c>
      <c r="F52" s="78" t="s">
        <v>106</v>
      </c>
      <c r="G52" s="79">
        <v>2</v>
      </c>
      <c r="H52" s="79">
        <f t="shared" ref="H52:I52" si="25">G52</f>
        <v>2</v>
      </c>
      <c r="I52" s="79">
        <f t="shared" si="25"/>
        <v>2</v>
      </c>
    </row>
    <row r="53" spans="1:9" ht="15.6">
      <c r="A53" s="269"/>
      <c r="B53" s="269"/>
      <c r="C53" s="269"/>
      <c r="D53" s="269"/>
      <c r="E53" s="77">
        <v>5</v>
      </c>
      <c r="F53" s="78" t="s">
        <v>110</v>
      </c>
      <c r="G53" s="79">
        <v>2</v>
      </c>
      <c r="H53" s="79">
        <f t="shared" ref="H53:I53" si="26">G53</f>
        <v>2</v>
      </c>
      <c r="I53" s="79">
        <f t="shared" si="26"/>
        <v>2</v>
      </c>
    </row>
    <row r="54" spans="1:9" ht="15.6">
      <c r="A54" s="269"/>
      <c r="B54" s="269"/>
      <c r="C54" s="269"/>
      <c r="D54" s="269"/>
      <c r="E54" s="77">
        <v>6</v>
      </c>
      <c r="F54" s="78" t="s">
        <v>109</v>
      </c>
      <c r="G54" s="79">
        <v>2</v>
      </c>
      <c r="H54" s="79">
        <f t="shared" ref="H54:I54" si="27">G54</f>
        <v>2</v>
      </c>
      <c r="I54" s="79">
        <f t="shared" si="27"/>
        <v>2</v>
      </c>
    </row>
    <row r="55" spans="1:9" ht="15.6">
      <c r="A55" s="269"/>
      <c r="B55" s="269"/>
      <c r="C55" s="269"/>
      <c r="D55" s="269"/>
      <c r="E55" s="264">
        <v>7</v>
      </c>
      <c r="F55" s="78" t="s">
        <v>107</v>
      </c>
      <c r="G55" s="79">
        <v>2</v>
      </c>
      <c r="H55" s="264">
        <f>SUM(G55:G56)</f>
        <v>2</v>
      </c>
      <c r="I55" s="264">
        <f>H55</f>
        <v>2</v>
      </c>
    </row>
    <row r="56" spans="1:9" ht="15.6">
      <c r="A56" s="269"/>
      <c r="B56" s="269"/>
      <c r="C56" s="269"/>
      <c r="D56" s="269"/>
      <c r="E56" s="266"/>
      <c r="F56" s="78" t="s">
        <v>111</v>
      </c>
      <c r="G56" s="79" t="s">
        <v>351</v>
      </c>
      <c r="H56" s="266"/>
      <c r="I56" s="266"/>
    </row>
    <row r="57" spans="1:9" ht="15.6">
      <c r="A57" s="269"/>
      <c r="B57" s="269"/>
      <c r="C57" s="269"/>
      <c r="D57" s="269"/>
      <c r="E57" s="77">
        <v>8</v>
      </c>
      <c r="F57" s="78" t="s">
        <v>108</v>
      </c>
      <c r="G57" s="79">
        <v>2</v>
      </c>
      <c r="H57" s="79">
        <f>G57</f>
        <v>2</v>
      </c>
      <c r="I57" s="79">
        <f>H57</f>
        <v>2</v>
      </c>
    </row>
    <row r="58" spans="1:9" ht="15.6">
      <c r="A58" s="269"/>
      <c r="B58" s="269"/>
      <c r="C58" s="269"/>
      <c r="D58" s="269"/>
      <c r="E58" s="267" t="s">
        <v>293</v>
      </c>
      <c r="F58" s="267"/>
      <c r="G58" s="80">
        <f>SUM(G47:G57)</f>
        <v>16</v>
      </c>
      <c r="H58" s="80">
        <f t="shared" ref="H58:I58" si="28">SUM(H47:H57)</f>
        <v>16</v>
      </c>
      <c r="I58" s="80">
        <f t="shared" si="28"/>
        <v>16</v>
      </c>
    </row>
    <row r="59" spans="1:9" ht="15.6">
      <c r="A59" s="269"/>
      <c r="B59" s="269"/>
      <c r="C59" s="269" t="s">
        <v>295</v>
      </c>
      <c r="D59" s="268" t="s">
        <v>317</v>
      </c>
      <c r="E59" s="77">
        <v>1</v>
      </c>
      <c r="F59" s="78" t="s">
        <v>96</v>
      </c>
      <c r="G59" s="79">
        <v>2</v>
      </c>
      <c r="H59" s="79">
        <f t="shared" ref="H59:I59" si="29">G59</f>
        <v>2</v>
      </c>
      <c r="I59" s="79">
        <f t="shared" si="29"/>
        <v>2</v>
      </c>
    </row>
    <row r="60" spans="1:9" ht="15.6">
      <c r="A60" s="269"/>
      <c r="B60" s="269"/>
      <c r="C60" s="269"/>
      <c r="D60" s="269"/>
      <c r="E60" s="77">
        <v>2</v>
      </c>
      <c r="F60" s="78" t="s">
        <v>97</v>
      </c>
      <c r="G60" s="79">
        <v>2</v>
      </c>
      <c r="H60" s="79">
        <f t="shared" ref="H60:I60" si="30">G60</f>
        <v>2</v>
      </c>
      <c r="I60" s="79">
        <f t="shared" si="30"/>
        <v>2</v>
      </c>
    </row>
    <row r="61" spans="1:9" ht="15.6">
      <c r="A61" s="269"/>
      <c r="B61" s="269"/>
      <c r="C61" s="269"/>
      <c r="D61" s="269"/>
      <c r="E61" s="77">
        <v>3</v>
      </c>
      <c r="F61" s="78" t="s">
        <v>98</v>
      </c>
      <c r="G61" s="79">
        <v>2</v>
      </c>
      <c r="H61" s="79">
        <f t="shared" ref="H61:I61" si="31">G61</f>
        <v>2</v>
      </c>
      <c r="I61" s="79">
        <f t="shared" si="31"/>
        <v>2</v>
      </c>
    </row>
    <row r="62" spans="1:9" ht="15.6">
      <c r="A62" s="269"/>
      <c r="B62" s="269"/>
      <c r="C62" s="269"/>
      <c r="D62" s="269"/>
      <c r="E62" s="77">
        <v>4</v>
      </c>
      <c r="F62" s="78" t="s">
        <v>99</v>
      </c>
      <c r="G62" s="79">
        <v>2</v>
      </c>
      <c r="H62" s="79">
        <f t="shared" ref="H62:I62" si="32">G62</f>
        <v>2</v>
      </c>
      <c r="I62" s="79">
        <f t="shared" si="32"/>
        <v>2</v>
      </c>
    </row>
    <row r="63" spans="1:9" ht="15.6">
      <c r="A63" s="269"/>
      <c r="B63" s="269"/>
      <c r="C63" s="269"/>
      <c r="D63" s="269"/>
      <c r="E63" s="77">
        <v>5</v>
      </c>
      <c r="F63" s="78" t="s">
        <v>100</v>
      </c>
      <c r="G63" s="79">
        <v>3</v>
      </c>
      <c r="H63" s="79">
        <f t="shared" ref="H63:I63" si="33">G63</f>
        <v>3</v>
      </c>
      <c r="I63" s="79">
        <f t="shared" si="33"/>
        <v>3</v>
      </c>
    </row>
    <row r="64" spans="1:9" ht="15.6">
      <c r="A64" s="269"/>
      <c r="B64" s="269"/>
      <c r="C64" s="269"/>
      <c r="D64" s="269"/>
      <c r="E64" s="267" t="s">
        <v>293</v>
      </c>
      <c r="F64" s="267"/>
      <c r="G64" s="80">
        <f>SUM(G59:G63)</f>
        <v>11</v>
      </c>
      <c r="H64" s="80">
        <f t="shared" ref="H64:I64" si="34">SUM(H59:H63)</f>
        <v>11</v>
      </c>
      <c r="I64" s="80">
        <f t="shared" si="34"/>
        <v>11</v>
      </c>
    </row>
    <row r="65" spans="1:9" ht="15.6">
      <c r="A65" s="269" t="s">
        <v>74</v>
      </c>
      <c r="B65" s="269" t="s">
        <v>101</v>
      </c>
      <c r="C65" s="269" t="s">
        <v>126</v>
      </c>
      <c r="D65" s="268" t="s">
        <v>318</v>
      </c>
      <c r="E65" s="77">
        <v>1</v>
      </c>
      <c r="F65" s="78" t="s">
        <v>127</v>
      </c>
      <c r="G65" s="79">
        <v>2</v>
      </c>
      <c r="H65" s="79">
        <f>G65</f>
        <v>2</v>
      </c>
      <c r="I65" s="79">
        <f>H65</f>
        <v>2</v>
      </c>
    </row>
    <row r="66" spans="1:9" ht="15.6">
      <c r="A66" s="269"/>
      <c r="B66" s="269"/>
      <c r="C66" s="269"/>
      <c r="D66" s="269"/>
      <c r="E66" s="264">
        <v>2</v>
      </c>
      <c r="F66" s="78" t="s">
        <v>128</v>
      </c>
      <c r="G66" s="79" t="s">
        <v>351</v>
      </c>
      <c r="H66" s="264">
        <f>SUM(G66:G67)</f>
        <v>2</v>
      </c>
      <c r="I66" s="264">
        <f>H66</f>
        <v>2</v>
      </c>
    </row>
    <row r="67" spans="1:9" ht="15.6">
      <c r="A67" s="269"/>
      <c r="B67" s="269"/>
      <c r="C67" s="269"/>
      <c r="D67" s="269"/>
      <c r="E67" s="266"/>
      <c r="F67" s="78" t="s">
        <v>129</v>
      </c>
      <c r="G67" s="79">
        <v>2</v>
      </c>
      <c r="H67" s="266"/>
      <c r="I67" s="266"/>
    </row>
    <row r="68" spans="1:9" ht="15.6">
      <c r="A68" s="269"/>
      <c r="B68" s="269"/>
      <c r="C68" s="269"/>
      <c r="D68" s="269"/>
      <c r="E68" s="264">
        <v>3</v>
      </c>
      <c r="F68" s="78" t="s">
        <v>130</v>
      </c>
      <c r="G68" s="79" t="s">
        <v>351</v>
      </c>
      <c r="H68" s="264">
        <f>SUM(G68:G69)</f>
        <v>2</v>
      </c>
      <c r="I68" s="264">
        <f>H68</f>
        <v>2</v>
      </c>
    </row>
    <row r="69" spans="1:9" ht="15.6">
      <c r="A69" s="269"/>
      <c r="B69" s="269"/>
      <c r="C69" s="269"/>
      <c r="D69" s="269"/>
      <c r="E69" s="266"/>
      <c r="F69" s="78" t="s">
        <v>131</v>
      </c>
      <c r="G69" s="79">
        <v>2</v>
      </c>
      <c r="H69" s="266"/>
      <c r="I69" s="266"/>
    </row>
    <row r="70" spans="1:9" ht="15.6">
      <c r="A70" s="269"/>
      <c r="B70" s="269"/>
      <c r="C70" s="269"/>
      <c r="D70" s="269"/>
      <c r="E70" s="77">
        <v>4</v>
      </c>
      <c r="F70" s="78" t="s">
        <v>132</v>
      </c>
      <c r="G70" s="79">
        <v>2</v>
      </c>
      <c r="H70" s="79">
        <f t="shared" ref="H70:I70" si="35">G70</f>
        <v>2</v>
      </c>
      <c r="I70" s="79">
        <f t="shared" si="35"/>
        <v>2</v>
      </c>
    </row>
    <row r="71" spans="1:9" ht="15.6">
      <c r="A71" s="269"/>
      <c r="B71" s="269"/>
      <c r="C71" s="269"/>
      <c r="D71" s="269"/>
      <c r="E71" s="77">
        <v>5</v>
      </c>
      <c r="F71" s="78" t="s">
        <v>133</v>
      </c>
      <c r="G71" s="79">
        <v>2</v>
      </c>
      <c r="H71" s="79">
        <f t="shared" ref="H71:I71" si="36">G71</f>
        <v>2</v>
      </c>
      <c r="I71" s="79">
        <f t="shared" si="36"/>
        <v>2</v>
      </c>
    </row>
    <row r="72" spans="1:9" ht="15.6">
      <c r="A72" s="269"/>
      <c r="B72" s="269"/>
      <c r="C72" s="269"/>
      <c r="D72" s="269"/>
      <c r="E72" s="77">
        <v>6</v>
      </c>
      <c r="F72" s="78" t="s">
        <v>134</v>
      </c>
      <c r="G72" s="79">
        <v>2</v>
      </c>
      <c r="H72" s="79">
        <f t="shared" ref="H72:I72" si="37">G72</f>
        <v>2</v>
      </c>
      <c r="I72" s="79">
        <f t="shared" si="37"/>
        <v>2</v>
      </c>
    </row>
    <row r="73" spans="1:9" ht="15.6">
      <c r="A73" s="269"/>
      <c r="B73" s="269"/>
      <c r="C73" s="269"/>
      <c r="D73" s="269"/>
      <c r="E73" s="77">
        <v>7</v>
      </c>
      <c r="F73" s="78" t="s">
        <v>135</v>
      </c>
      <c r="G73" s="79">
        <v>2</v>
      </c>
      <c r="H73" s="79">
        <f t="shared" ref="H73:I73" si="38">G73</f>
        <v>2</v>
      </c>
      <c r="I73" s="79">
        <f t="shared" si="38"/>
        <v>2</v>
      </c>
    </row>
    <row r="74" spans="1:9" ht="15.6">
      <c r="A74" s="269"/>
      <c r="B74" s="269"/>
      <c r="C74" s="269"/>
      <c r="D74" s="269"/>
      <c r="E74" s="267" t="s">
        <v>293</v>
      </c>
      <c r="F74" s="267"/>
      <c r="G74" s="80">
        <f>SUM(G65:G73)</f>
        <v>14</v>
      </c>
      <c r="H74" s="80">
        <f t="shared" ref="H74:I74" si="39">SUM(H65:H73)</f>
        <v>14</v>
      </c>
      <c r="I74" s="80">
        <f t="shared" si="39"/>
        <v>14</v>
      </c>
    </row>
    <row r="75" spans="1:9" ht="15.6">
      <c r="A75" s="269"/>
      <c r="B75" s="269"/>
      <c r="C75" s="269" t="s">
        <v>136</v>
      </c>
      <c r="D75" s="268" t="s">
        <v>319</v>
      </c>
      <c r="E75" s="264">
        <v>1</v>
      </c>
      <c r="F75" s="78" t="s">
        <v>137</v>
      </c>
      <c r="G75" s="79" t="s">
        <v>351</v>
      </c>
      <c r="H75" s="264">
        <f>SUM(G75:G77)</f>
        <v>2</v>
      </c>
      <c r="I75" s="264">
        <f>H75</f>
        <v>2</v>
      </c>
    </row>
    <row r="76" spans="1:9" ht="15.6">
      <c r="A76" s="269"/>
      <c r="B76" s="269"/>
      <c r="C76" s="269"/>
      <c r="D76" s="269"/>
      <c r="E76" s="265"/>
      <c r="F76" s="78" t="s">
        <v>138</v>
      </c>
      <c r="G76" s="79">
        <v>2</v>
      </c>
      <c r="H76" s="265"/>
      <c r="I76" s="265"/>
    </row>
    <row r="77" spans="1:9" ht="15.6">
      <c r="A77" s="269"/>
      <c r="B77" s="269"/>
      <c r="C77" s="269"/>
      <c r="D77" s="269"/>
      <c r="E77" s="266"/>
      <c r="F77" s="78" t="s">
        <v>139</v>
      </c>
      <c r="G77" s="79" t="s">
        <v>351</v>
      </c>
      <c r="H77" s="266"/>
      <c r="I77" s="266"/>
    </row>
    <row r="78" spans="1:9" ht="15.6">
      <c r="A78" s="269"/>
      <c r="B78" s="269"/>
      <c r="C78" s="269"/>
      <c r="D78" s="269"/>
      <c r="E78" s="77">
        <v>2</v>
      </c>
      <c r="F78" s="78" t="s">
        <v>140</v>
      </c>
      <c r="G78" s="79">
        <v>2</v>
      </c>
      <c r="H78" s="79">
        <f t="shared" ref="H78:I78" si="40">G78</f>
        <v>2</v>
      </c>
      <c r="I78" s="79">
        <f t="shared" si="40"/>
        <v>2</v>
      </c>
    </row>
    <row r="79" spans="1:9" ht="15.6">
      <c r="A79" s="269"/>
      <c r="B79" s="269"/>
      <c r="C79" s="269"/>
      <c r="D79" s="269"/>
      <c r="E79" s="77">
        <v>3</v>
      </c>
      <c r="F79" s="78" t="s">
        <v>141</v>
      </c>
      <c r="G79" s="79">
        <v>2</v>
      </c>
      <c r="H79" s="79">
        <f t="shared" ref="H79:I79" si="41">G79</f>
        <v>2</v>
      </c>
      <c r="I79" s="79">
        <f t="shared" si="41"/>
        <v>2</v>
      </c>
    </row>
    <row r="80" spans="1:9" ht="15.6">
      <c r="A80" s="269"/>
      <c r="B80" s="269"/>
      <c r="C80" s="269"/>
      <c r="D80" s="269"/>
      <c r="E80" s="77">
        <v>4</v>
      </c>
      <c r="F80" s="78" t="s">
        <v>142</v>
      </c>
      <c r="G80" s="79">
        <v>2</v>
      </c>
      <c r="H80" s="79">
        <f t="shared" ref="H80:I80" si="42">G80</f>
        <v>2</v>
      </c>
      <c r="I80" s="79">
        <f t="shared" si="42"/>
        <v>2</v>
      </c>
    </row>
    <row r="81" spans="1:9" ht="15.6">
      <c r="A81" s="269"/>
      <c r="B81" s="269"/>
      <c r="C81" s="269"/>
      <c r="D81" s="269"/>
      <c r="E81" s="267" t="s">
        <v>293</v>
      </c>
      <c r="F81" s="267"/>
      <c r="G81" s="80">
        <f>SUM(G75:G80)</f>
        <v>8</v>
      </c>
      <c r="H81" s="80">
        <f t="shared" ref="H81:I81" si="43">SUM(H75:H80)</f>
        <v>8</v>
      </c>
      <c r="I81" s="80">
        <f t="shared" si="43"/>
        <v>8</v>
      </c>
    </row>
    <row r="82" spans="1:9" ht="15.6">
      <c r="A82" s="269"/>
      <c r="B82" s="269"/>
      <c r="C82" s="274" t="s">
        <v>294</v>
      </c>
      <c r="D82" s="274"/>
      <c r="E82" s="274"/>
      <c r="F82" s="274"/>
      <c r="G82" s="81">
        <f>SUM(G58,G64,G74,G81)</f>
        <v>49</v>
      </c>
      <c r="H82" s="81">
        <f t="shared" ref="H82:I82" si="44">SUM(H58,H64,H74,H81)</f>
        <v>49</v>
      </c>
      <c r="I82" s="81">
        <f t="shared" si="44"/>
        <v>49</v>
      </c>
    </row>
    <row r="83" spans="1:9" ht="15.6">
      <c r="A83" s="269"/>
      <c r="B83" s="269" t="s">
        <v>112</v>
      </c>
      <c r="C83" s="269" t="s">
        <v>112</v>
      </c>
      <c r="D83" s="268" t="s">
        <v>320</v>
      </c>
      <c r="E83" s="264">
        <v>1</v>
      </c>
      <c r="F83" s="78" t="s">
        <v>113</v>
      </c>
      <c r="G83" s="79">
        <v>2</v>
      </c>
      <c r="H83" s="264">
        <f>SUM(G83:G84)</f>
        <v>2</v>
      </c>
      <c r="I83" s="264">
        <f>H83</f>
        <v>2</v>
      </c>
    </row>
    <row r="84" spans="1:9" ht="15.6">
      <c r="A84" s="269"/>
      <c r="B84" s="269"/>
      <c r="C84" s="269"/>
      <c r="D84" s="269"/>
      <c r="E84" s="266"/>
      <c r="F84" s="78" t="s">
        <v>114</v>
      </c>
      <c r="G84" s="79" t="s">
        <v>351</v>
      </c>
      <c r="H84" s="266"/>
      <c r="I84" s="266"/>
    </row>
    <row r="85" spans="1:9" ht="15.6">
      <c r="A85" s="269"/>
      <c r="B85" s="269"/>
      <c r="C85" s="269"/>
      <c r="D85" s="269"/>
      <c r="E85" s="77">
        <v>2</v>
      </c>
      <c r="F85" s="78" t="s">
        <v>112</v>
      </c>
      <c r="G85" s="79">
        <v>2</v>
      </c>
      <c r="H85" s="79">
        <f t="shared" ref="H85:I85" si="45">G85</f>
        <v>2</v>
      </c>
      <c r="I85" s="79">
        <f t="shared" si="45"/>
        <v>2</v>
      </c>
    </row>
    <row r="86" spans="1:9" ht="15.6">
      <c r="A86" s="269"/>
      <c r="B86" s="269"/>
      <c r="C86" s="269"/>
      <c r="D86" s="269"/>
      <c r="E86" s="77">
        <v>3</v>
      </c>
      <c r="F86" s="78" t="s">
        <v>115</v>
      </c>
      <c r="G86" s="79">
        <v>2</v>
      </c>
      <c r="H86" s="79">
        <f t="shared" ref="H86:I86" si="46">G86</f>
        <v>2</v>
      </c>
      <c r="I86" s="79">
        <f t="shared" si="46"/>
        <v>2</v>
      </c>
    </row>
    <row r="87" spans="1:9" ht="15.6">
      <c r="A87" s="269"/>
      <c r="B87" s="269"/>
      <c r="C87" s="269"/>
      <c r="D87" s="269"/>
      <c r="E87" s="77">
        <v>4</v>
      </c>
      <c r="F87" s="78" t="s">
        <v>117</v>
      </c>
      <c r="G87" s="79">
        <v>2</v>
      </c>
      <c r="H87" s="79">
        <f t="shared" ref="H87:I87" si="47">G87</f>
        <v>2</v>
      </c>
      <c r="I87" s="79">
        <f t="shared" si="47"/>
        <v>2</v>
      </c>
    </row>
    <row r="88" spans="1:9" ht="15.6">
      <c r="A88" s="269"/>
      <c r="B88" s="269"/>
      <c r="C88" s="269"/>
      <c r="D88" s="269"/>
      <c r="E88" s="77">
        <v>5</v>
      </c>
      <c r="F88" s="78" t="s">
        <v>116</v>
      </c>
      <c r="G88" s="79">
        <v>2</v>
      </c>
      <c r="H88" s="79">
        <f t="shared" ref="H88:I88" si="48">G88</f>
        <v>2</v>
      </c>
      <c r="I88" s="79">
        <f t="shared" si="48"/>
        <v>2</v>
      </c>
    </row>
    <row r="89" spans="1:9" ht="15.6">
      <c r="A89" s="269"/>
      <c r="B89" s="269"/>
      <c r="C89" s="269"/>
      <c r="D89" s="269"/>
      <c r="E89" s="267" t="s">
        <v>293</v>
      </c>
      <c r="F89" s="267"/>
      <c r="G89" s="80">
        <f>SUM(G83:G88)</f>
        <v>10</v>
      </c>
      <c r="H89" s="80">
        <f t="shared" ref="H89:I89" si="49">SUM(H83:H88)</f>
        <v>10</v>
      </c>
      <c r="I89" s="80">
        <f t="shared" si="49"/>
        <v>10</v>
      </c>
    </row>
    <row r="90" spans="1:9" ht="13.95" customHeight="1">
      <c r="A90" s="269"/>
      <c r="B90" s="269"/>
      <c r="C90" s="273" t="s">
        <v>296</v>
      </c>
      <c r="D90" s="272" t="s">
        <v>321</v>
      </c>
      <c r="E90" s="264">
        <v>1</v>
      </c>
      <c r="F90" s="78" t="s">
        <v>119</v>
      </c>
      <c r="G90" s="79" t="s">
        <v>351</v>
      </c>
      <c r="H90" s="264">
        <f>SUM(G90:G91)</f>
        <v>2</v>
      </c>
      <c r="I90" s="264">
        <f>H90</f>
        <v>2</v>
      </c>
    </row>
    <row r="91" spans="1:9" ht="15.6">
      <c r="A91" s="269"/>
      <c r="B91" s="269"/>
      <c r="C91" s="273"/>
      <c r="D91" s="273"/>
      <c r="E91" s="266"/>
      <c r="F91" s="78" t="s">
        <v>120</v>
      </c>
      <c r="G91" s="79">
        <v>2</v>
      </c>
      <c r="H91" s="266"/>
      <c r="I91" s="266"/>
    </row>
    <row r="92" spans="1:9" ht="15.6">
      <c r="A92" s="269"/>
      <c r="B92" s="269"/>
      <c r="C92" s="273"/>
      <c r="D92" s="273"/>
      <c r="E92" s="77">
        <v>2</v>
      </c>
      <c r="F92" s="78" t="s">
        <v>121</v>
      </c>
      <c r="G92" s="79">
        <v>3</v>
      </c>
      <c r="H92" s="79">
        <f t="shared" ref="H92:I92" si="50">G92</f>
        <v>3</v>
      </c>
      <c r="I92" s="79">
        <f t="shared" si="50"/>
        <v>3</v>
      </c>
    </row>
    <row r="93" spans="1:9" ht="15.6">
      <c r="A93" s="269"/>
      <c r="B93" s="269"/>
      <c r="C93" s="273"/>
      <c r="D93" s="273"/>
      <c r="E93" s="77">
        <v>3</v>
      </c>
      <c r="F93" s="78" t="s">
        <v>122</v>
      </c>
      <c r="G93" s="79">
        <v>2</v>
      </c>
      <c r="H93" s="79">
        <f t="shared" ref="H93:I93" si="51">G93</f>
        <v>2</v>
      </c>
      <c r="I93" s="79">
        <f t="shared" si="51"/>
        <v>2</v>
      </c>
    </row>
    <row r="94" spans="1:9" ht="15.6">
      <c r="A94" s="269"/>
      <c r="B94" s="269"/>
      <c r="C94" s="273"/>
      <c r="D94" s="273"/>
      <c r="E94" s="267" t="s">
        <v>293</v>
      </c>
      <c r="F94" s="267"/>
      <c r="G94" s="80">
        <f>SUM(G90:G93)</f>
        <v>7</v>
      </c>
      <c r="H94" s="80">
        <f t="shared" ref="H94:I94" si="52">SUM(H90:H93)</f>
        <v>7</v>
      </c>
      <c r="I94" s="80">
        <f t="shared" si="52"/>
        <v>7</v>
      </c>
    </row>
    <row r="95" spans="1:9" ht="15.6">
      <c r="A95" s="269"/>
      <c r="B95" s="269"/>
      <c r="C95" s="269" t="s">
        <v>123</v>
      </c>
      <c r="D95" s="268" t="s">
        <v>322</v>
      </c>
      <c r="E95" s="264">
        <v>1</v>
      </c>
      <c r="F95" s="78" t="s">
        <v>124</v>
      </c>
      <c r="G95" s="79" t="s">
        <v>351</v>
      </c>
      <c r="H95" s="264">
        <f>SUM(G95:G96)</f>
        <v>2</v>
      </c>
      <c r="I95" s="264">
        <f>H95</f>
        <v>2</v>
      </c>
    </row>
    <row r="96" spans="1:9" ht="15.6">
      <c r="A96" s="269"/>
      <c r="B96" s="269"/>
      <c r="C96" s="269"/>
      <c r="D96" s="269"/>
      <c r="E96" s="266"/>
      <c r="F96" s="78" t="s">
        <v>125</v>
      </c>
      <c r="G96" s="79">
        <v>2</v>
      </c>
      <c r="H96" s="266"/>
      <c r="I96" s="266"/>
    </row>
    <row r="97" spans="1:9" ht="15.6">
      <c r="A97" s="269"/>
      <c r="B97" s="269"/>
      <c r="C97" s="269"/>
      <c r="D97" s="269"/>
      <c r="E97" s="77">
        <v>2</v>
      </c>
      <c r="F97" s="78" t="s">
        <v>123</v>
      </c>
      <c r="G97" s="79">
        <v>3</v>
      </c>
      <c r="H97" s="79">
        <f>G97</f>
        <v>3</v>
      </c>
      <c r="I97" s="79">
        <f>H97</f>
        <v>3</v>
      </c>
    </row>
    <row r="98" spans="1:9" ht="15.6">
      <c r="A98" s="269"/>
      <c r="B98" s="269"/>
      <c r="C98" s="269"/>
      <c r="D98" s="269"/>
      <c r="E98" s="267" t="s">
        <v>293</v>
      </c>
      <c r="F98" s="267"/>
      <c r="G98" s="80">
        <f>SUM(G95:G97)</f>
        <v>5</v>
      </c>
      <c r="H98" s="80">
        <f t="shared" ref="H98:I98" si="53">SUM(H95:H97)</f>
        <v>5</v>
      </c>
      <c r="I98" s="80">
        <f t="shared" si="53"/>
        <v>5</v>
      </c>
    </row>
    <row r="99" spans="1:9" ht="15.6">
      <c r="A99" s="269"/>
      <c r="B99" s="269"/>
      <c r="C99" s="274" t="s">
        <v>294</v>
      </c>
      <c r="D99" s="274"/>
      <c r="E99" s="274"/>
      <c r="F99" s="274"/>
      <c r="G99" s="81">
        <f>SUM(G89,G94,G98)</f>
        <v>22</v>
      </c>
      <c r="H99" s="81">
        <f t="shared" ref="H99:I99" si="54">SUM(H89,H94,H98)</f>
        <v>22</v>
      </c>
      <c r="I99" s="81">
        <f t="shared" si="54"/>
        <v>22</v>
      </c>
    </row>
    <row r="100" spans="1:9" ht="15.6">
      <c r="A100" s="269"/>
      <c r="B100" s="269" t="s">
        <v>154</v>
      </c>
      <c r="C100" s="269" t="s">
        <v>143</v>
      </c>
      <c r="D100" s="268" t="s">
        <v>323</v>
      </c>
      <c r="E100" s="77">
        <v>1</v>
      </c>
      <c r="F100" s="78" t="s">
        <v>144</v>
      </c>
      <c r="G100" s="79">
        <v>2</v>
      </c>
      <c r="H100" s="79">
        <f t="shared" ref="H100:I100" si="55">G100</f>
        <v>2</v>
      </c>
      <c r="I100" s="79">
        <f t="shared" si="55"/>
        <v>2</v>
      </c>
    </row>
    <row r="101" spans="1:9" ht="15.6">
      <c r="A101" s="269"/>
      <c r="B101" s="269"/>
      <c r="C101" s="269"/>
      <c r="D101" s="269"/>
      <c r="E101" s="77">
        <v>2</v>
      </c>
      <c r="F101" s="78" t="s">
        <v>145</v>
      </c>
      <c r="G101" s="79">
        <v>2</v>
      </c>
      <c r="H101" s="79">
        <f t="shared" ref="H101:I101" si="56">G101</f>
        <v>2</v>
      </c>
      <c r="I101" s="79">
        <f t="shared" si="56"/>
        <v>2</v>
      </c>
    </row>
    <row r="102" spans="1:9" ht="15.6">
      <c r="A102" s="269"/>
      <c r="B102" s="269"/>
      <c r="C102" s="269"/>
      <c r="D102" s="269"/>
      <c r="E102" s="264">
        <v>3</v>
      </c>
      <c r="F102" s="78" t="s">
        <v>146</v>
      </c>
      <c r="G102" s="79">
        <v>2</v>
      </c>
      <c r="H102" s="264">
        <f>SUM(G102:G103)</f>
        <v>2</v>
      </c>
      <c r="I102" s="264">
        <f>H102</f>
        <v>2</v>
      </c>
    </row>
    <row r="103" spans="1:9" ht="15.6">
      <c r="A103" s="269"/>
      <c r="B103" s="269"/>
      <c r="C103" s="269"/>
      <c r="D103" s="269"/>
      <c r="E103" s="266"/>
      <c r="F103" s="78" t="s">
        <v>147</v>
      </c>
      <c r="G103" s="79" t="s">
        <v>351</v>
      </c>
      <c r="H103" s="266"/>
      <c r="I103" s="266"/>
    </row>
    <row r="104" spans="1:9" ht="15.6">
      <c r="A104" s="269"/>
      <c r="B104" s="269"/>
      <c r="C104" s="269"/>
      <c r="D104" s="269"/>
      <c r="E104" s="77">
        <v>4</v>
      </c>
      <c r="F104" s="78" t="s">
        <v>143</v>
      </c>
      <c r="G104" s="79">
        <v>2</v>
      </c>
      <c r="H104" s="79">
        <f>G104</f>
        <v>2</v>
      </c>
      <c r="I104" s="79">
        <f>H104</f>
        <v>2</v>
      </c>
    </row>
    <row r="105" spans="1:9" ht="15.6">
      <c r="A105" s="269"/>
      <c r="B105" s="269"/>
      <c r="C105" s="269"/>
      <c r="D105" s="269"/>
      <c r="E105" s="264">
        <v>5</v>
      </c>
      <c r="F105" s="78" t="s">
        <v>148</v>
      </c>
      <c r="G105" s="79" t="s">
        <v>351</v>
      </c>
      <c r="H105" s="264">
        <f>SUM(G105:G106)</f>
        <v>2</v>
      </c>
      <c r="I105" s="264">
        <f>H105</f>
        <v>2</v>
      </c>
    </row>
    <row r="106" spans="1:9" ht="15.6">
      <c r="A106" s="269"/>
      <c r="B106" s="269"/>
      <c r="C106" s="269"/>
      <c r="D106" s="269"/>
      <c r="E106" s="266"/>
      <c r="F106" s="78" t="s">
        <v>149</v>
      </c>
      <c r="G106" s="79">
        <v>2</v>
      </c>
      <c r="H106" s="266"/>
      <c r="I106" s="266"/>
    </row>
    <row r="107" spans="1:9" ht="15.6">
      <c r="A107" s="269"/>
      <c r="B107" s="269"/>
      <c r="C107" s="269"/>
      <c r="D107" s="269"/>
      <c r="E107" s="77">
        <v>6</v>
      </c>
      <c r="F107" s="78" t="s">
        <v>150</v>
      </c>
      <c r="G107" s="79">
        <v>2</v>
      </c>
      <c r="H107" s="79">
        <f>G107</f>
        <v>2</v>
      </c>
      <c r="I107" s="79">
        <f>H107</f>
        <v>2</v>
      </c>
    </row>
    <row r="108" spans="1:9" ht="15.6">
      <c r="A108" s="269"/>
      <c r="B108" s="269"/>
      <c r="C108" s="269"/>
      <c r="D108" s="269"/>
      <c r="E108" s="264">
        <v>7</v>
      </c>
      <c r="F108" s="78" t="s">
        <v>151</v>
      </c>
      <c r="G108" s="79" t="s">
        <v>351</v>
      </c>
      <c r="H108" s="264">
        <f>SUM(G108:G110)</f>
        <v>2</v>
      </c>
      <c r="I108" s="264">
        <f>H108</f>
        <v>2</v>
      </c>
    </row>
    <row r="109" spans="1:9" ht="15.6">
      <c r="A109" s="269"/>
      <c r="B109" s="269"/>
      <c r="C109" s="269"/>
      <c r="D109" s="269"/>
      <c r="E109" s="265"/>
      <c r="F109" s="78" t="s">
        <v>152</v>
      </c>
      <c r="G109" s="79" t="s">
        <v>351</v>
      </c>
      <c r="H109" s="265"/>
      <c r="I109" s="265"/>
    </row>
    <row r="110" spans="1:9" ht="15.6">
      <c r="A110" s="269"/>
      <c r="B110" s="269"/>
      <c r="C110" s="269"/>
      <c r="D110" s="269"/>
      <c r="E110" s="266"/>
      <c r="F110" s="78" t="s">
        <v>153</v>
      </c>
      <c r="G110" s="79">
        <v>2</v>
      </c>
      <c r="H110" s="266"/>
      <c r="I110" s="266"/>
    </row>
    <row r="111" spans="1:9" ht="15.6">
      <c r="A111" s="269"/>
      <c r="B111" s="269"/>
      <c r="C111" s="269"/>
      <c r="D111" s="269"/>
      <c r="E111" s="267" t="s">
        <v>293</v>
      </c>
      <c r="F111" s="267"/>
      <c r="G111" s="80">
        <f>SUM(G100:G110)</f>
        <v>14</v>
      </c>
      <c r="H111" s="80">
        <f t="shared" ref="H111:I111" si="57">SUM(H100:H110)</f>
        <v>14</v>
      </c>
      <c r="I111" s="80">
        <f t="shared" si="57"/>
        <v>14</v>
      </c>
    </row>
    <row r="112" spans="1:9" ht="15.6">
      <c r="A112" s="269"/>
      <c r="B112" s="269"/>
      <c r="C112" s="269" t="s">
        <v>154</v>
      </c>
      <c r="D112" s="268" t="s">
        <v>324</v>
      </c>
      <c r="E112" s="264">
        <v>1</v>
      </c>
      <c r="F112" s="78" t="s">
        <v>154</v>
      </c>
      <c r="G112" s="79" t="s">
        <v>351</v>
      </c>
      <c r="H112" s="264">
        <f>SUM(G112:G114)</f>
        <v>2</v>
      </c>
      <c r="I112" s="264">
        <f>H112</f>
        <v>2</v>
      </c>
    </row>
    <row r="113" spans="1:9" ht="15.6">
      <c r="A113" s="269"/>
      <c r="B113" s="269"/>
      <c r="C113" s="269"/>
      <c r="D113" s="269"/>
      <c r="E113" s="265"/>
      <c r="F113" s="78" t="s">
        <v>155</v>
      </c>
      <c r="G113" s="79">
        <v>2</v>
      </c>
      <c r="H113" s="265"/>
      <c r="I113" s="265"/>
    </row>
    <row r="114" spans="1:9" ht="15.6">
      <c r="A114" s="269"/>
      <c r="B114" s="269"/>
      <c r="C114" s="269"/>
      <c r="D114" s="269"/>
      <c r="E114" s="266"/>
      <c r="F114" s="78" t="s">
        <v>156</v>
      </c>
      <c r="G114" s="79" t="s">
        <v>351</v>
      </c>
      <c r="H114" s="266"/>
      <c r="I114" s="266"/>
    </row>
    <row r="115" spans="1:9" ht="15.6">
      <c r="A115" s="269"/>
      <c r="B115" s="269"/>
      <c r="C115" s="269"/>
      <c r="D115" s="269"/>
      <c r="E115" s="264">
        <v>2</v>
      </c>
      <c r="F115" s="78" t="s">
        <v>157</v>
      </c>
      <c r="G115" s="79" t="s">
        <v>351</v>
      </c>
      <c r="H115" s="264">
        <f>SUM(G115:G116)</f>
        <v>2</v>
      </c>
      <c r="I115" s="264">
        <f>H115</f>
        <v>2</v>
      </c>
    </row>
    <row r="116" spans="1:9" ht="15.6">
      <c r="A116" s="269"/>
      <c r="B116" s="269"/>
      <c r="C116" s="269"/>
      <c r="D116" s="269"/>
      <c r="E116" s="266"/>
      <c r="F116" s="78" t="s">
        <v>158</v>
      </c>
      <c r="G116" s="79">
        <v>2</v>
      </c>
      <c r="H116" s="266"/>
      <c r="I116" s="266"/>
    </row>
    <row r="117" spans="1:9" ht="15.6">
      <c r="A117" s="269"/>
      <c r="B117" s="269"/>
      <c r="C117" s="269"/>
      <c r="D117" s="269"/>
      <c r="E117" s="264">
        <v>3</v>
      </c>
      <c r="F117" s="78" t="s">
        <v>159</v>
      </c>
      <c r="G117" s="79" t="s">
        <v>351</v>
      </c>
      <c r="H117" s="264">
        <f>SUM(G117:G118)</f>
        <v>2</v>
      </c>
      <c r="I117" s="264">
        <f>H117</f>
        <v>2</v>
      </c>
    </row>
    <row r="118" spans="1:9" ht="15.6">
      <c r="A118" s="269"/>
      <c r="B118" s="269"/>
      <c r="C118" s="269"/>
      <c r="D118" s="269"/>
      <c r="E118" s="266"/>
      <c r="F118" s="78" t="s">
        <v>160</v>
      </c>
      <c r="G118" s="79">
        <v>2</v>
      </c>
      <c r="H118" s="266"/>
      <c r="I118" s="266"/>
    </row>
    <row r="119" spans="1:9" ht="15.6">
      <c r="A119" s="269"/>
      <c r="B119" s="269"/>
      <c r="C119" s="269"/>
      <c r="D119" s="269"/>
      <c r="E119" s="77">
        <v>4</v>
      </c>
      <c r="F119" s="78" t="s">
        <v>161</v>
      </c>
      <c r="G119" s="79">
        <v>2</v>
      </c>
      <c r="H119" s="79">
        <f>G119</f>
        <v>2</v>
      </c>
      <c r="I119" s="79">
        <f>H119</f>
        <v>2</v>
      </c>
    </row>
    <row r="120" spans="1:9" ht="15.6">
      <c r="A120" s="269"/>
      <c r="B120" s="269"/>
      <c r="C120" s="269"/>
      <c r="D120" s="269"/>
      <c r="E120" s="264">
        <v>5</v>
      </c>
      <c r="F120" s="78" t="s">
        <v>162</v>
      </c>
      <c r="G120" s="79">
        <v>3</v>
      </c>
      <c r="H120" s="264">
        <f>SUM(G120:G121)</f>
        <v>3</v>
      </c>
      <c r="I120" s="264">
        <f>H120</f>
        <v>3</v>
      </c>
    </row>
    <row r="121" spans="1:9" ht="15.6">
      <c r="A121" s="269"/>
      <c r="B121" s="269"/>
      <c r="C121" s="269"/>
      <c r="D121" s="269"/>
      <c r="E121" s="266"/>
      <c r="F121" s="78" t="s">
        <v>163</v>
      </c>
      <c r="G121" s="79" t="s">
        <v>351</v>
      </c>
      <c r="H121" s="266"/>
      <c r="I121" s="266"/>
    </row>
    <row r="122" spans="1:9" ht="15.6">
      <c r="A122" s="269"/>
      <c r="B122" s="269"/>
      <c r="C122" s="269"/>
      <c r="D122" s="269"/>
      <c r="E122" s="267" t="s">
        <v>293</v>
      </c>
      <c r="F122" s="267"/>
      <c r="G122" s="80">
        <f>SUM(G112:G121)</f>
        <v>11</v>
      </c>
      <c r="H122" s="80">
        <f t="shared" ref="H122:I122" si="58">SUM(H112:H121)</f>
        <v>11</v>
      </c>
      <c r="I122" s="80">
        <f t="shared" si="58"/>
        <v>11</v>
      </c>
    </row>
    <row r="123" spans="1:9" ht="15.6">
      <c r="A123" s="269"/>
      <c r="B123" s="269"/>
      <c r="C123" s="269" t="s">
        <v>164</v>
      </c>
      <c r="D123" s="268" t="s">
        <v>325</v>
      </c>
      <c r="E123" s="77">
        <v>1</v>
      </c>
      <c r="F123" s="78" t="s">
        <v>164</v>
      </c>
      <c r="G123" s="79">
        <v>2</v>
      </c>
      <c r="H123" s="79">
        <f>G123</f>
        <v>2</v>
      </c>
      <c r="I123" s="79">
        <f>H123</f>
        <v>2</v>
      </c>
    </row>
    <row r="124" spans="1:9" ht="15.6">
      <c r="A124" s="269"/>
      <c r="B124" s="269"/>
      <c r="C124" s="269"/>
      <c r="D124" s="269"/>
      <c r="E124" s="77">
        <v>2</v>
      </c>
      <c r="F124" s="78" t="s">
        <v>165</v>
      </c>
      <c r="G124" s="79">
        <v>2</v>
      </c>
      <c r="H124" s="79">
        <f>G124</f>
        <v>2</v>
      </c>
      <c r="I124" s="79">
        <f>H124</f>
        <v>2</v>
      </c>
    </row>
    <row r="125" spans="1:9" ht="15.6">
      <c r="A125" s="269"/>
      <c r="B125" s="269"/>
      <c r="C125" s="269"/>
      <c r="D125" s="269"/>
      <c r="E125" s="264">
        <v>3</v>
      </c>
      <c r="F125" s="78" t="s">
        <v>166</v>
      </c>
      <c r="G125" s="79">
        <v>2</v>
      </c>
      <c r="H125" s="264">
        <f>SUM(G125:G126)</f>
        <v>2</v>
      </c>
      <c r="I125" s="264">
        <f>H125</f>
        <v>2</v>
      </c>
    </row>
    <row r="126" spans="1:9" ht="15.6">
      <c r="A126" s="269"/>
      <c r="B126" s="269"/>
      <c r="C126" s="269"/>
      <c r="D126" s="269"/>
      <c r="E126" s="266"/>
      <c r="F126" s="78" t="s">
        <v>167</v>
      </c>
      <c r="G126" s="79" t="s">
        <v>351</v>
      </c>
      <c r="H126" s="266"/>
      <c r="I126" s="266"/>
    </row>
    <row r="127" spans="1:9" ht="15.6">
      <c r="A127" s="269"/>
      <c r="B127" s="269"/>
      <c r="C127" s="269"/>
      <c r="D127" s="269"/>
      <c r="E127" s="267" t="s">
        <v>293</v>
      </c>
      <c r="F127" s="267"/>
      <c r="G127" s="80">
        <f>SUM(G123:G126)</f>
        <v>6</v>
      </c>
      <c r="H127" s="80">
        <f t="shared" ref="H127:I127" si="59">SUM(H123:H126)</f>
        <v>6</v>
      </c>
      <c r="I127" s="80">
        <f t="shared" si="59"/>
        <v>6</v>
      </c>
    </row>
    <row r="128" spans="1:9" ht="15.6">
      <c r="A128" s="269"/>
      <c r="B128" s="269"/>
      <c r="C128" s="274" t="s">
        <v>294</v>
      </c>
      <c r="D128" s="274"/>
      <c r="E128" s="274"/>
      <c r="F128" s="274"/>
      <c r="G128" s="81">
        <f>SUM(G111,G122,G127)</f>
        <v>31</v>
      </c>
      <c r="H128" s="81">
        <f t="shared" ref="H128:I128" si="60">SUM(H111,H122,H127)</f>
        <v>31</v>
      </c>
      <c r="I128" s="81">
        <f t="shared" si="60"/>
        <v>31</v>
      </c>
    </row>
    <row r="129" spans="1:9" ht="15.6">
      <c r="A129" s="269"/>
      <c r="B129" s="275" t="s">
        <v>326</v>
      </c>
      <c r="C129" s="275"/>
      <c r="D129" s="275"/>
      <c r="E129" s="275"/>
      <c r="F129" s="275"/>
      <c r="G129" s="82">
        <f>SUM(G30,G46,G82,G99,G128)</f>
        <v>163</v>
      </c>
      <c r="H129" s="82">
        <f t="shared" ref="H129:I129" si="61">SUM(H30,H46,H82,H99,H128)</f>
        <v>163</v>
      </c>
      <c r="I129" s="82">
        <f t="shared" si="61"/>
        <v>163</v>
      </c>
    </row>
    <row r="130" spans="1:9" ht="15.6">
      <c r="A130" s="277"/>
      <c r="B130" s="277"/>
      <c r="C130" s="277"/>
      <c r="D130" s="277"/>
      <c r="E130" s="277"/>
      <c r="F130" s="277"/>
      <c r="G130" s="277"/>
      <c r="H130" s="277"/>
      <c r="I130" s="277"/>
    </row>
    <row r="131" spans="1:9" ht="15.6">
      <c r="A131" s="269" t="s">
        <v>327</v>
      </c>
      <c r="B131" s="269" t="s">
        <v>43</v>
      </c>
      <c r="C131" s="269" t="s">
        <v>299</v>
      </c>
      <c r="D131" s="268" t="s">
        <v>328</v>
      </c>
      <c r="E131" s="77">
        <v>1</v>
      </c>
      <c r="F131" s="78" t="s">
        <v>20</v>
      </c>
      <c r="G131" s="79">
        <v>2</v>
      </c>
      <c r="H131" s="79">
        <f t="shared" ref="H131:I131" si="62">G131</f>
        <v>2</v>
      </c>
      <c r="I131" s="79">
        <f t="shared" si="62"/>
        <v>2</v>
      </c>
    </row>
    <row r="132" spans="1:9" ht="15.6">
      <c r="A132" s="269"/>
      <c r="B132" s="269"/>
      <c r="C132" s="269"/>
      <c r="D132" s="269"/>
      <c r="E132" s="77">
        <v>2</v>
      </c>
      <c r="F132" s="78" t="s">
        <v>21</v>
      </c>
      <c r="G132" s="79">
        <v>5</v>
      </c>
      <c r="H132" s="79">
        <f t="shared" ref="H132:I132" si="63">G132</f>
        <v>5</v>
      </c>
      <c r="I132" s="79">
        <f t="shared" si="63"/>
        <v>5</v>
      </c>
    </row>
    <row r="133" spans="1:9" ht="15.6">
      <c r="A133" s="269"/>
      <c r="B133" s="269"/>
      <c r="C133" s="269"/>
      <c r="D133" s="269"/>
      <c r="E133" s="77">
        <v>3</v>
      </c>
      <c r="F133" s="78" t="s">
        <v>22</v>
      </c>
      <c r="G133" s="79">
        <v>3</v>
      </c>
      <c r="H133" s="79">
        <f t="shared" ref="H133:I133" si="64">G133</f>
        <v>3</v>
      </c>
      <c r="I133" s="79">
        <f t="shared" si="64"/>
        <v>3</v>
      </c>
    </row>
    <row r="134" spans="1:9" ht="15.6">
      <c r="A134" s="269"/>
      <c r="B134" s="269"/>
      <c r="C134" s="269"/>
      <c r="D134" s="269"/>
      <c r="E134" s="77">
        <v>4</v>
      </c>
      <c r="F134" s="78" t="s">
        <v>28</v>
      </c>
      <c r="G134" s="79">
        <v>5</v>
      </c>
      <c r="H134" s="79">
        <f t="shared" ref="H134:I134" si="65">G134</f>
        <v>5</v>
      </c>
      <c r="I134" s="79">
        <f t="shared" si="65"/>
        <v>5</v>
      </c>
    </row>
    <row r="135" spans="1:9" ht="15.6">
      <c r="A135" s="269"/>
      <c r="B135" s="269"/>
      <c r="C135" s="269"/>
      <c r="D135" s="269"/>
      <c r="E135" s="77">
        <v>5</v>
      </c>
      <c r="F135" s="78" t="s">
        <v>23</v>
      </c>
      <c r="G135" s="79">
        <v>2</v>
      </c>
      <c r="H135" s="79">
        <f t="shared" ref="H135:I135" si="66">G135</f>
        <v>2</v>
      </c>
      <c r="I135" s="79">
        <f t="shared" si="66"/>
        <v>2</v>
      </c>
    </row>
    <row r="136" spans="1:9" ht="15.6">
      <c r="A136" s="269"/>
      <c r="B136" s="269"/>
      <c r="C136" s="269"/>
      <c r="D136" s="269"/>
      <c r="E136" s="264">
        <v>6</v>
      </c>
      <c r="F136" s="78" t="s">
        <v>27</v>
      </c>
      <c r="G136" s="79">
        <v>3</v>
      </c>
      <c r="H136" s="264">
        <f>SUM(G136:G137)</f>
        <v>5</v>
      </c>
      <c r="I136" s="264">
        <f>H136</f>
        <v>5</v>
      </c>
    </row>
    <row r="137" spans="1:9" ht="15.6">
      <c r="A137" s="269"/>
      <c r="B137" s="269"/>
      <c r="C137" s="269"/>
      <c r="D137" s="269"/>
      <c r="E137" s="266"/>
      <c r="F137" s="78" t="s">
        <v>25</v>
      </c>
      <c r="G137" s="79">
        <v>2</v>
      </c>
      <c r="H137" s="266"/>
      <c r="I137" s="266"/>
    </row>
    <row r="138" spans="1:9" ht="15.6">
      <c r="A138" s="269"/>
      <c r="B138" s="269"/>
      <c r="C138" s="269"/>
      <c r="D138" s="269"/>
      <c r="E138" s="264">
        <v>7</v>
      </c>
      <c r="F138" s="78" t="s">
        <v>26</v>
      </c>
      <c r="G138" s="79">
        <v>2</v>
      </c>
      <c r="H138" s="264">
        <f>SUM(G138:G139)</f>
        <v>2</v>
      </c>
      <c r="I138" s="264">
        <f>H138</f>
        <v>2</v>
      </c>
    </row>
    <row r="139" spans="1:9" ht="15.6">
      <c r="A139" s="269"/>
      <c r="B139" s="269"/>
      <c r="C139" s="269"/>
      <c r="D139" s="269"/>
      <c r="E139" s="266"/>
      <c r="F139" s="78" t="s">
        <v>24</v>
      </c>
      <c r="G139" s="79" t="s">
        <v>351</v>
      </c>
      <c r="H139" s="266"/>
      <c r="I139" s="266"/>
    </row>
    <row r="140" spans="1:9" ht="15.6">
      <c r="A140" s="269"/>
      <c r="B140" s="269"/>
      <c r="C140" s="269"/>
      <c r="D140" s="269"/>
      <c r="E140" s="77">
        <v>8</v>
      </c>
      <c r="F140" s="78" t="s">
        <v>29</v>
      </c>
      <c r="G140" s="79">
        <v>2</v>
      </c>
      <c r="H140" s="79">
        <f t="shared" ref="H140:I140" si="67">G140</f>
        <v>2</v>
      </c>
      <c r="I140" s="79">
        <f t="shared" si="67"/>
        <v>2</v>
      </c>
    </row>
    <row r="141" spans="1:9" ht="15.6">
      <c r="A141" s="269"/>
      <c r="B141" s="269"/>
      <c r="C141" s="269"/>
      <c r="D141" s="269"/>
      <c r="E141" s="77">
        <v>9</v>
      </c>
      <c r="F141" s="78" t="s">
        <v>30</v>
      </c>
      <c r="G141" s="79">
        <v>2</v>
      </c>
      <c r="H141" s="79">
        <f t="shared" ref="H141:I141" si="68">G141</f>
        <v>2</v>
      </c>
      <c r="I141" s="79">
        <f t="shared" si="68"/>
        <v>2</v>
      </c>
    </row>
    <row r="142" spans="1:9" ht="15.6">
      <c r="A142" s="269"/>
      <c r="B142" s="269"/>
      <c r="C142" s="269"/>
      <c r="D142" s="269"/>
      <c r="E142" s="77">
        <v>10</v>
      </c>
      <c r="F142" s="78" t="s">
        <v>31</v>
      </c>
      <c r="G142" s="79">
        <v>3</v>
      </c>
      <c r="H142" s="79">
        <f t="shared" ref="H142:I142" si="69">G142</f>
        <v>3</v>
      </c>
      <c r="I142" s="79">
        <f t="shared" si="69"/>
        <v>3</v>
      </c>
    </row>
    <row r="143" spans="1:9" ht="15.6">
      <c r="A143" s="269"/>
      <c r="B143" s="269"/>
      <c r="C143" s="269"/>
      <c r="D143" s="269"/>
      <c r="E143" s="264">
        <v>11</v>
      </c>
      <c r="F143" s="78" t="s">
        <v>32</v>
      </c>
      <c r="G143" s="79">
        <v>2</v>
      </c>
      <c r="H143" s="264">
        <f>SUM(G143:G144)</f>
        <v>2</v>
      </c>
      <c r="I143" s="264">
        <f>H143</f>
        <v>2</v>
      </c>
    </row>
    <row r="144" spans="1:9" ht="15.6">
      <c r="A144" s="269"/>
      <c r="B144" s="269"/>
      <c r="C144" s="269"/>
      <c r="D144" s="269"/>
      <c r="E144" s="266"/>
      <c r="F144" s="78" t="s">
        <v>33</v>
      </c>
      <c r="G144" s="79" t="s">
        <v>351</v>
      </c>
      <c r="H144" s="266"/>
      <c r="I144" s="266"/>
    </row>
    <row r="145" spans="1:9" ht="15.6">
      <c r="A145" s="269"/>
      <c r="B145" s="269"/>
      <c r="C145" s="269"/>
      <c r="D145" s="269"/>
      <c r="E145" s="267" t="s">
        <v>293</v>
      </c>
      <c r="F145" s="267"/>
      <c r="G145" s="80">
        <f>SUM(G131:G144)</f>
        <v>33</v>
      </c>
      <c r="H145" s="80">
        <f t="shared" ref="H145:I145" si="70">SUM(H131:H144)</f>
        <v>33</v>
      </c>
      <c r="I145" s="80">
        <f t="shared" si="70"/>
        <v>33</v>
      </c>
    </row>
    <row r="146" spans="1:9" ht="15.6">
      <c r="A146" s="269"/>
      <c r="B146" s="269"/>
      <c r="C146" s="269" t="s">
        <v>34</v>
      </c>
      <c r="D146" s="268" t="s">
        <v>329</v>
      </c>
      <c r="E146" s="77">
        <v>1</v>
      </c>
      <c r="F146" s="78" t="s">
        <v>35</v>
      </c>
      <c r="G146" s="79">
        <v>2</v>
      </c>
      <c r="H146" s="79">
        <f t="shared" ref="H146:I146" si="71">G146</f>
        <v>2</v>
      </c>
      <c r="I146" s="79">
        <f t="shared" si="71"/>
        <v>2</v>
      </c>
    </row>
    <row r="147" spans="1:9" ht="15.6">
      <c r="A147" s="269"/>
      <c r="B147" s="269"/>
      <c r="C147" s="269"/>
      <c r="D147" s="269"/>
      <c r="E147" s="77">
        <v>2</v>
      </c>
      <c r="F147" s="78" t="s">
        <v>36</v>
      </c>
      <c r="G147" s="79">
        <v>2</v>
      </c>
      <c r="H147" s="79">
        <f t="shared" ref="H147:I147" si="72">G147</f>
        <v>2</v>
      </c>
      <c r="I147" s="79">
        <f t="shared" si="72"/>
        <v>2</v>
      </c>
    </row>
    <row r="148" spans="1:9" ht="15.6">
      <c r="A148" s="269"/>
      <c r="B148" s="269"/>
      <c r="C148" s="269"/>
      <c r="D148" s="269"/>
      <c r="E148" s="77">
        <v>3</v>
      </c>
      <c r="F148" s="78" t="s">
        <v>37</v>
      </c>
      <c r="G148" s="79">
        <v>2</v>
      </c>
      <c r="H148" s="79">
        <f t="shared" ref="H148:I148" si="73">G148</f>
        <v>2</v>
      </c>
      <c r="I148" s="79">
        <f t="shared" si="73"/>
        <v>2</v>
      </c>
    </row>
    <row r="149" spans="1:9" ht="15.6">
      <c r="A149" s="269"/>
      <c r="B149" s="269"/>
      <c r="C149" s="269"/>
      <c r="D149" s="269"/>
      <c r="E149" s="77">
        <v>4</v>
      </c>
      <c r="F149" s="78" t="s">
        <v>38</v>
      </c>
      <c r="G149" s="79">
        <v>2</v>
      </c>
      <c r="H149" s="79">
        <f t="shared" ref="H149:I149" si="74">G149</f>
        <v>2</v>
      </c>
      <c r="I149" s="79">
        <f t="shared" si="74"/>
        <v>2</v>
      </c>
    </row>
    <row r="150" spans="1:9" ht="15.6">
      <c r="A150" s="269"/>
      <c r="B150" s="269"/>
      <c r="C150" s="269"/>
      <c r="D150" s="269"/>
      <c r="E150" s="77">
        <v>5</v>
      </c>
      <c r="F150" s="78" t="s">
        <v>34</v>
      </c>
      <c r="G150" s="79">
        <v>2</v>
      </c>
      <c r="H150" s="79">
        <f t="shared" ref="H150:I150" si="75">G150</f>
        <v>2</v>
      </c>
      <c r="I150" s="79">
        <f t="shared" si="75"/>
        <v>2</v>
      </c>
    </row>
    <row r="151" spans="1:9" ht="15.6">
      <c r="A151" s="269"/>
      <c r="B151" s="269"/>
      <c r="C151" s="269"/>
      <c r="D151" s="269"/>
      <c r="E151" s="77">
        <v>6</v>
      </c>
      <c r="F151" s="78" t="s">
        <v>40</v>
      </c>
      <c r="G151" s="79">
        <v>2</v>
      </c>
      <c r="H151" s="79">
        <f t="shared" ref="H151:I151" si="76">G151</f>
        <v>2</v>
      </c>
      <c r="I151" s="79">
        <f t="shared" si="76"/>
        <v>2</v>
      </c>
    </row>
    <row r="152" spans="1:9" ht="15.6">
      <c r="A152" s="269"/>
      <c r="B152" s="269"/>
      <c r="C152" s="269"/>
      <c r="D152" s="269"/>
      <c r="E152" s="77">
        <v>7</v>
      </c>
      <c r="F152" s="78" t="s">
        <v>39</v>
      </c>
      <c r="G152" s="79">
        <v>2</v>
      </c>
      <c r="H152" s="79">
        <f t="shared" ref="H152:I152" si="77">G152</f>
        <v>2</v>
      </c>
      <c r="I152" s="79">
        <f t="shared" si="77"/>
        <v>2</v>
      </c>
    </row>
    <row r="153" spans="1:9" ht="15.6">
      <c r="A153" s="269"/>
      <c r="B153" s="269"/>
      <c r="C153" s="269"/>
      <c r="D153" s="269"/>
      <c r="E153" s="77">
        <v>8</v>
      </c>
      <c r="F153" s="78" t="s">
        <v>41</v>
      </c>
      <c r="G153" s="79">
        <v>2</v>
      </c>
      <c r="H153" s="79">
        <f t="shared" ref="H153:I153" si="78">G153</f>
        <v>2</v>
      </c>
      <c r="I153" s="79">
        <f t="shared" si="78"/>
        <v>2</v>
      </c>
    </row>
    <row r="154" spans="1:9" ht="15.6">
      <c r="A154" s="269"/>
      <c r="B154" s="269"/>
      <c r="C154" s="269"/>
      <c r="D154" s="269"/>
      <c r="E154" s="77">
        <v>9</v>
      </c>
      <c r="F154" s="78" t="s">
        <v>42</v>
      </c>
      <c r="G154" s="79">
        <v>2</v>
      </c>
      <c r="H154" s="79">
        <f t="shared" ref="H154:I154" si="79">G154</f>
        <v>2</v>
      </c>
      <c r="I154" s="79">
        <f t="shared" si="79"/>
        <v>2</v>
      </c>
    </row>
    <row r="155" spans="1:9" ht="15.6">
      <c r="A155" s="269"/>
      <c r="B155" s="269"/>
      <c r="C155" s="269"/>
      <c r="D155" s="269"/>
      <c r="E155" s="267" t="s">
        <v>293</v>
      </c>
      <c r="F155" s="267"/>
      <c r="G155" s="80">
        <f>SUM(G146:G154)</f>
        <v>18</v>
      </c>
      <c r="H155" s="80">
        <f t="shared" ref="H155:I155" si="80">SUM(H146:H154)</f>
        <v>18</v>
      </c>
      <c r="I155" s="80">
        <f t="shared" si="80"/>
        <v>18</v>
      </c>
    </row>
    <row r="156" spans="1:9" ht="15.6">
      <c r="A156" s="269"/>
      <c r="B156" s="269"/>
      <c r="C156" s="269" t="s">
        <v>43</v>
      </c>
      <c r="D156" s="268" t="s">
        <v>330</v>
      </c>
      <c r="E156" s="264">
        <v>1</v>
      </c>
      <c r="F156" s="78" t="s">
        <v>44</v>
      </c>
      <c r="G156" s="79" t="s">
        <v>351</v>
      </c>
      <c r="H156" s="264">
        <f>SUM(G156:G157)</f>
        <v>2</v>
      </c>
      <c r="I156" s="264">
        <f>H156</f>
        <v>2</v>
      </c>
    </row>
    <row r="157" spans="1:9" ht="15.6">
      <c r="A157" s="269"/>
      <c r="B157" s="269"/>
      <c r="C157" s="269"/>
      <c r="D157" s="269"/>
      <c r="E157" s="266"/>
      <c r="F157" s="78" t="s">
        <v>45</v>
      </c>
      <c r="G157" s="79">
        <v>2</v>
      </c>
      <c r="H157" s="266"/>
      <c r="I157" s="266"/>
    </row>
    <row r="158" spans="1:9" ht="15.6">
      <c r="A158" s="269"/>
      <c r="B158" s="269"/>
      <c r="C158" s="269"/>
      <c r="D158" s="269"/>
      <c r="E158" s="264">
        <v>2</v>
      </c>
      <c r="F158" s="78" t="s">
        <v>46</v>
      </c>
      <c r="G158" s="79" t="s">
        <v>351</v>
      </c>
      <c r="H158" s="264">
        <f>SUM(G158:G159)</f>
        <v>2</v>
      </c>
      <c r="I158" s="264">
        <f>H158</f>
        <v>2</v>
      </c>
    </row>
    <row r="159" spans="1:9" ht="15.6">
      <c r="A159" s="269"/>
      <c r="B159" s="269"/>
      <c r="C159" s="269"/>
      <c r="D159" s="269"/>
      <c r="E159" s="266"/>
      <c r="F159" s="78" t="s">
        <v>48</v>
      </c>
      <c r="G159" s="79">
        <v>2</v>
      </c>
      <c r="H159" s="266"/>
      <c r="I159" s="266"/>
    </row>
    <row r="160" spans="1:9" ht="15.6">
      <c r="A160" s="269"/>
      <c r="B160" s="269"/>
      <c r="C160" s="269"/>
      <c r="D160" s="269"/>
      <c r="E160" s="77">
        <v>3</v>
      </c>
      <c r="F160" s="78" t="s">
        <v>49</v>
      </c>
      <c r="G160" s="79">
        <v>2</v>
      </c>
      <c r="H160" s="79">
        <f t="shared" ref="H160:I160" si="81">G160</f>
        <v>2</v>
      </c>
      <c r="I160" s="79">
        <f t="shared" si="81"/>
        <v>2</v>
      </c>
    </row>
    <row r="161" spans="1:9" ht="15.6">
      <c r="A161" s="269"/>
      <c r="B161" s="269"/>
      <c r="C161" s="269"/>
      <c r="D161" s="269"/>
      <c r="E161" s="77">
        <v>4</v>
      </c>
      <c r="F161" s="78" t="s">
        <v>47</v>
      </c>
      <c r="G161" s="79">
        <v>2</v>
      </c>
      <c r="H161" s="79">
        <f t="shared" ref="H161:I161" si="82">G161</f>
        <v>2</v>
      </c>
      <c r="I161" s="79">
        <f t="shared" si="82"/>
        <v>2</v>
      </c>
    </row>
    <row r="162" spans="1:9" ht="15.6">
      <c r="A162" s="269"/>
      <c r="B162" s="269"/>
      <c r="C162" s="269"/>
      <c r="D162" s="269"/>
      <c r="E162" s="77">
        <v>5</v>
      </c>
      <c r="F162" s="78" t="s">
        <v>50</v>
      </c>
      <c r="G162" s="79">
        <v>2</v>
      </c>
      <c r="H162" s="79">
        <f t="shared" ref="H162:I162" si="83">G162</f>
        <v>2</v>
      </c>
      <c r="I162" s="79">
        <f t="shared" si="83"/>
        <v>2</v>
      </c>
    </row>
    <row r="163" spans="1:9" ht="15.6">
      <c r="A163" s="269"/>
      <c r="B163" s="269"/>
      <c r="C163" s="269"/>
      <c r="D163" s="269"/>
      <c r="E163" s="77">
        <v>6</v>
      </c>
      <c r="F163" s="78" t="s">
        <v>51</v>
      </c>
      <c r="G163" s="79">
        <v>2</v>
      </c>
      <c r="H163" s="79">
        <f t="shared" ref="H163:I163" si="84">G163</f>
        <v>2</v>
      </c>
      <c r="I163" s="79">
        <f t="shared" si="84"/>
        <v>2</v>
      </c>
    </row>
    <row r="164" spans="1:9" ht="15.6">
      <c r="A164" s="269"/>
      <c r="B164" s="269"/>
      <c r="C164" s="269"/>
      <c r="D164" s="269"/>
      <c r="E164" s="264">
        <v>7</v>
      </c>
      <c r="F164" s="78" t="s">
        <v>52</v>
      </c>
      <c r="G164" s="79">
        <v>2</v>
      </c>
      <c r="H164" s="264">
        <f>SUM(G164:G165)</f>
        <v>2</v>
      </c>
      <c r="I164" s="264">
        <f>H164</f>
        <v>2</v>
      </c>
    </row>
    <row r="165" spans="1:9" ht="15.6">
      <c r="A165" s="269"/>
      <c r="B165" s="269"/>
      <c r="C165" s="269"/>
      <c r="D165" s="269"/>
      <c r="E165" s="266"/>
      <c r="F165" s="78" t="s">
        <v>53</v>
      </c>
      <c r="G165" s="79" t="s">
        <v>351</v>
      </c>
      <c r="H165" s="266"/>
      <c r="I165" s="266"/>
    </row>
    <row r="166" spans="1:9" ht="15.6">
      <c r="A166" s="269"/>
      <c r="B166" s="269"/>
      <c r="C166" s="269"/>
      <c r="D166" s="269"/>
      <c r="E166" s="267" t="s">
        <v>293</v>
      </c>
      <c r="F166" s="267"/>
      <c r="G166" s="80">
        <f>SUM(G156:G165)</f>
        <v>14</v>
      </c>
      <c r="H166" s="80">
        <f t="shared" ref="H166:I166" si="85">SUM(H156:H165)</f>
        <v>14</v>
      </c>
      <c r="I166" s="80">
        <f t="shared" si="85"/>
        <v>14</v>
      </c>
    </row>
    <row r="167" spans="1:9" ht="15.6">
      <c r="A167" s="269"/>
      <c r="B167" s="269"/>
      <c r="C167" s="274" t="s">
        <v>294</v>
      </c>
      <c r="D167" s="274"/>
      <c r="E167" s="274"/>
      <c r="F167" s="274"/>
      <c r="G167" s="81">
        <f>SUM(G145,G155,G166)</f>
        <v>65</v>
      </c>
      <c r="H167" s="81">
        <f t="shared" ref="H167:I167" si="86">SUM(H145,H155,H166)</f>
        <v>65</v>
      </c>
      <c r="I167" s="81">
        <f t="shared" si="86"/>
        <v>65</v>
      </c>
    </row>
    <row r="168" spans="1:9" ht="15.6">
      <c r="A168" s="269"/>
      <c r="B168" s="269" t="s">
        <v>181</v>
      </c>
      <c r="C168" s="269" t="s">
        <v>54</v>
      </c>
      <c r="D168" s="268" t="s">
        <v>331</v>
      </c>
      <c r="E168" s="264">
        <v>1</v>
      </c>
      <c r="F168" s="78" t="s">
        <v>55</v>
      </c>
      <c r="G168" s="79">
        <v>2</v>
      </c>
      <c r="H168" s="264">
        <f>SUM(G168:G169)</f>
        <v>2</v>
      </c>
      <c r="I168" s="264">
        <f>H168</f>
        <v>2</v>
      </c>
    </row>
    <row r="169" spans="1:9" ht="15.6">
      <c r="A169" s="269"/>
      <c r="B169" s="269"/>
      <c r="C169" s="269"/>
      <c r="D169" s="269"/>
      <c r="E169" s="266"/>
      <c r="F169" s="78" t="s">
        <v>56</v>
      </c>
      <c r="G169" s="79" t="s">
        <v>351</v>
      </c>
      <c r="H169" s="266"/>
      <c r="I169" s="266"/>
    </row>
    <row r="170" spans="1:9" ht="15.6">
      <c r="A170" s="269"/>
      <c r="B170" s="269"/>
      <c r="C170" s="269"/>
      <c r="D170" s="269"/>
      <c r="E170" s="264">
        <v>2</v>
      </c>
      <c r="F170" s="78" t="s">
        <v>57</v>
      </c>
      <c r="G170" s="79" t="s">
        <v>351</v>
      </c>
      <c r="H170" s="264">
        <f>SUM(G170:G171)</f>
        <v>2</v>
      </c>
      <c r="I170" s="264">
        <f>H170</f>
        <v>2</v>
      </c>
    </row>
    <row r="171" spans="1:9" ht="15.6">
      <c r="A171" s="269"/>
      <c r="B171" s="269"/>
      <c r="C171" s="269"/>
      <c r="D171" s="269"/>
      <c r="E171" s="266"/>
      <c r="F171" s="78" t="s">
        <v>58</v>
      </c>
      <c r="G171" s="79">
        <v>2</v>
      </c>
      <c r="H171" s="266"/>
      <c r="I171" s="266"/>
    </row>
    <row r="172" spans="1:9" ht="15.6">
      <c r="A172" s="269"/>
      <c r="B172" s="269"/>
      <c r="C172" s="269"/>
      <c r="D172" s="269"/>
      <c r="E172" s="77">
        <v>3</v>
      </c>
      <c r="F172" s="78" t="s">
        <v>59</v>
      </c>
      <c r="G172" s="79">
        <v>2</v>
      </c>
      <c r="H172" s="79">
        <f t="shared" ref="H172:I172" si="87">G172</f>
        <v>2</v>
      </c>
      <c r="I172" s="79">
        <f t="shared" si="87"/>
        <v>2</v>
      </c>
    </row>
    <row r="173" spans="1:9" ht="15.6">
      <c r="A173" s="269"/>
      <c r="B173" s="269"/>
      <c r="C173" s="269"/>
      <c r="D173" s="269"/>
      <c r="E173" s="77">
        <v>4</v>
      </c>
      <c r="F173" s="78" t="s">
        <v>60</v>
      </c>
      <c r="G173" s="79">
        <v>2</v>
      </c>
      <c r="H173" s="79">
        <f t="shared" ref="H173:I173" si="88">G173</f>
        <v>2</v>
      </c>
      <c r="I173" s="79">
        <f t="shared" si="88"/>
        <v>2</v>
      </c>
    </row>
    <row r="174" spans="1:9" ht="15.6">
      <c r="A174" s="269"/>
      <c r="B174" s="269"/>
      <c r="C174" s="269"/>
      <c r="D174" s="269"/>
      <c r="E174" s="264">
        <v>5</v>
      </c>
      <c r="F174" s="78" t="s">
        <v>61</v>
      </c>
      <c r="G174" s="79">
        <v>2</v>
      </c>
      <c r="H174" s="264">
        <f>SUM(G174:G175)</f>
        <v>2</v>
      </c>
      <c r="I174" s="264">
        <f>H174</f>
        <v>2</v>
      </c>
    </row>
    <row r="175" spans="1:9" ht="15.6">
      <c r="A175" s="269"/>
      <c r="B175" s="269"/>
      <c r="C175" s="269"/>
      <c r="D175" s="269"/>
      <c r="E175" s="266"/>
      <c r="F175" s="78" t="s">
        <v>62</v>
      </c>
      <c r="G175" s="79" t="s">
        <v>351</v>
      </c>
      <c r="H175" s="266"/>
      <c r="I175" s="266"/>
    </row>
    <row r="176" spans="1:9" ht="15.6">
      <c r="A176" s="269"/>
      <c r="B176" s="269"/>
      <c r="C176" s="269"/>
      <c r="D176" s="269"/>
      <c r="E176" s="267" t="s">
        <v>293</v>
      </c>
      <c r="F176" s="267"/>
      <c r="G176" s="80">
        <f>SUM(G168:G175)</f>
        <v>10</v>
      </c>
      <c r="H176" s="80">
        <f t="shared" ref="H176:I176" si="89">SUM(H168:H175)</f>
        <v>10</v>
      </c>
      <c r="I176" s="80">
        <f t="shared" si="89"/>
        <v>10</v>
      </c>
    </row>
    <row r="177" spans="1:11" ht="15.6">
      <c r="A177" s="269"/>
      <c r="B177" s="269"/>
      <c r="C177" s="269" t="s">
        <v>63</v>
      </c>
      <c r="D177" s="268" t="s">
        <v>332</v>
      </c>
      <c r="E177" s="264">
        <v>1</v>
      </c>
      <c r="F177" s="78" t="s">
        <v>64</v>
      </c>
      <c r="G177" s="79">
        <v>2</v>
      </c>
      <c r="H177" s="264">
        <f>SUM(G177:G178)</f>
        <v>2</v>
      </c>
      <c r="I177" s="264">
        <f>H177</f>
        <v>2</v>
      </c>
    </row>
    <row r="178" spans="1:11" ht="15.6">
      <c r="A178" s="269"/>
      <c r="B178" s="269"/>
      <c r="C178" s="269"/>
      <c r="D178" s="269"/>
      <c r="E178" s="266"/>
      <c r="F178" s="78" t="s">
        <v>68</v>
      </c>
      <c r="G178" s="79" t="s">
        <v>351</v>
      </c>
      <c r="H178" s="266"/>
      <c r="I178" s="266"/>
    </row>
    <row r="179" spans="1:11" ht="15.6">
      <c r="A179" s="269"/>
      <c r="B179" s="269"/>
      <c r="C179" s="269"/>
      <c r="D179" s="269"/>
      <c r="E179" s="77">
        <v>2</v>
      </c>
      <c r="F179" s="78" t="s">
        <v>65</v>
      </c>
      <c r="G179" s="79">
        <v>2</v>
      </c>
      <c r="H179" s="79">
        <f t="shared" ref="H179:I179" si="90">G179</f>
        <v>2</v>
      </c>
      <c r="I179" s="79">
        <f t="shared" si="90"/>
        <v>2</v>
      </c>
    </row>
    <row r="180" spans="1:11" ht="15.6">
      <c r="A180" s="269"/>
      <c r="B180" s="269"/>
      <c r="C180" s="269"/>
      <c r="D180" s="269"/>
      <c r="E180" s="77">
        <v>3</v>
      </c>
      <c r="F180" s="78" t="s">
        <v>66</v>
      </c>
      <c r="G180" s="79">
        <v>2</v>
      </c>
      <c r="H180" s="79">
        <f t="shared" ref="H180:I180" si="91">G180</f>
        <v>2</v>
      </c>
      <c r="I180" s="79">
        <f t="shared" si="91"/>
        <v>2</v>
      </c>
    </row>
    <row r="181" spans="1:11" ht="15.6">
      <c r="A181" s="269"/>
      <c r="B181" s="269"/>
      <c r="C181" s="269"/>
      <c r="D181" s="269"/>
      <c r="E181" s="264">
        <v>4</v>
      </c>
      <c r="F181" s="78" t="s">
        <v>69</v>
      </c>
      <c r="G181" s="79">
        <v>2</v>
      </c>
      <c r="H181" s="264">
        <f>SUM(G181:G182)</f>
        <v>2</v>
      </c>
      <c r="I181" s="264">
        <f>H181</f>
        <v>2</v>
      </c>
      <c r="K181" s="72"/>
    </row>
    <row r="182" spans="1:11" ht="15.6">
      <c r="A182" s="269"/>
      <c r="B182" s="269"/>
      <c r="C182" s="269"/>
      <c r="D182" s="269"/>
      <c r="E182" s="266"/>
      <c r="F182" s="78" t="s">
        <v>67</v>
      </c>
      <c r="G182" s="79" t="s">
        <v>351</v>
      </c>
      <c r="H182" s="266"/>
      <c r="I182" s="266"/>
    </row>
    <row r="183" spans="1:11" ht="15.6">
      <c r="A183" s="269"/>
      <c r="B183" s="269"/>
      <c r="C183" s="269"/>
      <c r="D183" s="269"/>
      <c r="E183" s="267" t="s">
        <v>293</v>
      </c>
      <c r="F183" s="267"/>
      <c r="G183" s="80">
        <f>SUM(G177:G182)</f>
        <v>8</v>
      </c>
      <c r="H183" s="80">
        <f t="shared" ref="H183:I183" si="92">SUM(H177:H182)</f>
        <v>8</v>
      </c>
      <c r="I183" s="80">
        <f t="shared" si="92"/>
        <v>8</v>
      </c>
    </row>
    <row r="184" spans="1:11" ht="15.6">
      <c r="A184" s="269"/>
      <c r="B184" s="269"/>
      <c r="C184" s="269" t="s">
        <v>168</v>
      </c>
      <c r="D184" s="268" t="s">
        <v>333</v>
      </c>
      <c r="E184" s="77">
        <v>1</v>
      </c>
      <c r="F184" s="78" t="s">
        <v>169</v>
      </c>
      <c r="G184" s="79">
        <v>2</v>
      </c>
      <c r="H184" s="79">
        <f>G184</f>
        <v>2</v>
      </c>
      <c r="I184" s="79">
        <f>H184</f>
        <v>2</v>
      </c>
    </row>
    <row r="185" spans="1:11" ht="15.6">
      <c r="A185" s="269"/>
      <c r="B185" s="269"/>
      <c r="C185" s="269"/>
      <c r="D185" s="269"/>
      <c r="E185" s="264">
        <v>2</v>
      </c>
      <c r="F185" s="78" t="s">
        <v>170</v>
      </c>
      <c r="G185" s="79" t="s">
        <v>351</v>
      </c>
      <c r="H185" s="264">
        <f>SUM(G185:G186)</f>
        <v>2</v>
      </c>
      <c r="I185" s="264">
        <f>H185</f>
        <v>2</v>
      </c>
    </row>
    <row r="186" spans="1:11" ht="15.6">
      <c r="A186" s="269"/>
      <c r="B186" s="269"/>
      <c r="C186" s="269"/>
      <c r="D186" s="269"/>
      <c r="E186" s="266"/>
      <c r="F186" s="78" t="s">
        <v>171</v>
      </c>
      <c r="G186" s="79">
        <v>2</v>
      </c>
      <c r="H186" s="266"/>
      <c r="I186" s="266"/>
    </row>
    <row r="187" spans="1:11" ht="15.6">
      <c r="A187" s="269"/>
      <c r="B187" s="269"/>
      <c r="C187" s="269"/>
      <c r="D187" s="269"/>
      <c r="E187" s="77">
        <v>3</v>
      </c>
      <c r="F187" s="78" t="s">
        <v>168</v>
      </c>
      <c r="G187" s="79">
        <v>2</v>
      </c>
      <c r="H187" s="79">
        <f t="shared" ref="H187:I187" si="93">G187</f>
        <v>2</v>
      </c>
      <c r="I187" s="79">
        <f t="shared" si="93"/>
        <v>2</v>
      </c>
    </row>
    <row r="188" spans="1:11" ht="15.6">
      <c r="A188" s="269"/>
      <c r="B188" s="269"/>
      <c r="C188" s="269"/>
      <c r="D188" s="269"/>
      <c r="E188" s="77">
        <v>4</v>
      </c>
      <c r="F188" s="78" t="s">
        <v>172</v>
      </c>
      <c r="G188" s="79">
        <v>2</v>
      </c>
      <c r="H188" s="79">
        <f t="shared" ref="H188:I188" si="94">G188</f>
        <v>2</v>
      </c>
      <c r="I188" s="79">
        <f t="shared" si="94"/>
        <v>2</v>
      </c>
    </row>
    <row r="189" spans="1:11" ht="15.6">
      <c r="A189" s="269"/>
      <c r="B189" s="269"/>
      <c r="C189" s="269"/>
      <c r="D189" s="269"/>
      <c r="E189" s="77">
        <v>5</v>
      </c>
      <c r="F189" s="78" t="s">
        <v>173</v>
      </c>
      <c r="G189" s="79">
        <v>2</v>
      </c>
      <c r="H189" s="79">
        <f t="shared" ref="H189:I189" si="95">G189</f>
        <v>2</v>
      </c>
      <c r="I189" s="79">
        <f t="shared" si="95"/>
        <v>2</v>
      </c>
    </row>
    <row r="190" spans="1:11" ht="15.6">
      <c r="A190" s="269"/>
      <c r="B190" s="269"/>
      <c r="C190" s="269"/>
      <c r="D190" s="269"/>
      <c r="E190" s="264">
        <v>6</v>
      </c>
      <c r="F190" s="78" t="s">
        <v>174</v>
      </c>
      <c r="G190" s="79">
        <v>2</v>
      </c>
      <c r="H190" s="264">
        <f>SUM(G190:G191)</f>
        <v>2</v>
      </c>
      <c r="I190" s="264">
        <f>H190</f>
        <v>2</v>
      </c>
    </row>
    <row r="191" spans="1:11" ht="15.6">
      <c r="A191" s="269"/>
      <c r="B191" s="269"/>
      <c r="C191" s="269"/>
      <c r="D191" s="269"/>
      <c r="E191" s="266"/>
      <c r="F191" s="78" t="s">
        <v>175</v>
      </c>
      <c r="G191" s="79" t="s">
        <v>351</v>
      </c>
      <c r="H191" s="266"/>
      <c r="I191" s="266"/>
    </row>
    <row r="192" spans="1:11" ht="15.6">
      <c r="A192" s="269"/>
      <c r="B192" s="269"/>
      <c r="C192" s="269"/>
      <c r="D192" s="269"/>
      <c r="E192" s="267" t="s">
        <v>293</v>
      </c>
      <c r="F192" s="267"/>
      <c r="G192" s="80">
        <f>SUM(G184:G191)</f>
        <v>12</v>
      </c>
      <c r="H192" s="80">
        <f t="shared" ref="H192:I192" si="96">SUM(H184:H191)</f>
        <v>12</v>
      </c>
      <c r="I192" s="80">
        <f t="shared" si="96"/>
        <v>12</v>
      </c>
    </row>
    <row r="193" spans="1:9" ht="15.6">
      <c r="A193" s="269" t="s">
        <v>327</v>
      </c>
      <c r="B193" s="269" t="s">
        <v>181</v>
      </c>
      <c r="C193" s="269" t="s">
        <v>176</v>
      </c>
      <c r="D193" s="268" t="s">
        <v>334</v>
      </c>
      <c r="E193" s="264">
        <v>1</v>
      </c>
      <c r="F193" s="78" t="s">
        <v>177</v>
      </c>
      <c r="G193" s="79">
        <v>2</v>
      </c>
      <c r="H193" s="264">
        <f>SUM(G193:G194)</f>
        <v>2</v>
      </c>
      <c r="I193" s="264">
        <f>H193</f>
        <v>2</v>
      </c>
    </row>
    <row r="194" spans="1:9" ht="15.6">
      <c r="A194" s="269"/>
      <c r="B194" s="269"/>
      <c r="C194" s="269"/>
      <c r="D194" s="269"/>
      <c r="E194" s="266"/>
      <c r="F194" s="78" t="s">
        <v>178</v>
      </c>
      <c r="G194" s="79" t="s">
        <v>351</v>
      </c>
      <c r="H194" s="266"/>
      <c r="I194" s="266"/>
    </row>
    <row r="195" spans="1:9" ht="15.6">
      <c r="A195" s="269"/>
      <c r="B195" s="269"/>
      <c r="C195" s="269"/>
      <c r="D195" s="269"/>
      <c r="E195" s="77">
        <v>2</v>
      </c>
      <c r="F195" s="78" t="s">
        <v>179</v>
      </c>
      <c r="G195" s="79">
        <v>2</v>
      </c>
      <c r="H195" s="79">
        <f t="shared" ref="H195:I195" si="97">G195</f>
        <v>2</v>
      </c>
      <c r="I195" s="79">
        <f t="shared" si="97"/>
        <v>2</v>
      </c>
    </row>
    <row r="196" spans="1:9" ht="15.6">
      <c r="A196" s="269"/>
      <c r="B196" s="269"/>
      <c r="C196" s="269"/>
      <c r="D196" s="269"/>
      <c r="E196" s="77">
        <v>3</v>
      </c>
      <c r="F196" s="78" t="s">
        <v>176</v>
      </c>
      <c r="G196" s="79">
        <v>2</v>
      </c>
      <c r="H196" s="79">
        <f t="shared" ref="H196:I196" si="98">G196</f>
        <v>2</v>
      </c>
      <c r="I196" s="79">
        <f t="shared" si="98"/>
        <v>2</v>
      </c>
    </row>
    <row r="197" spans="1:9" ht="15.6">
      <c r="A197" s="269"/>
      <c r="B197" s="269"/>
      <c r="C197" s="269"/>
      <c r="D197" s="269"/>
      <c r="E197" s="77">
        <v>4</v>
      </c>
      <c r="F197" s="78" t="s">
        <v>180</v>
      </c>
      <c r="G197" s="79">
        <v>2</v>
      </c>
      <c r="H197" s="79">
        <f t="shared" ref="H197:I197" si="99">G197</f>
        <v>2</v>
      </c>
      <c r="I197" s="79">
        <f t="shared" si="99"/>
        <v>2</v>
      </c>
    </row>
    <row r="198" spans="1:9" ht="15.6">
      <c r="A198" s="269"/>
      <c r="B198" s="269"/>
      <c r="C198" s="269"/>
      <c r="D198" s="269"/>
      <c r="E198" s="264">
        <v>5</v>
      </c>
      <c r="F198" s="78" t="s">
        <v>181</v>
      </c>
      <c r="G198" s="79">
        <v>2</v>
      </c>
      <c r="H198" s="264">
        <f>SUM(G198:G199)</f>
        <v>2</v>
      </c>
      <c r="I198" s="264">
        <f>H198</f>
        <v>2</v>
      </c>
    </row>
    <row r="199" spans="1:9" ht="15.6">
      <c r="A199" s="269"/>
      <c r="B199" s="269"/>
      <c r="C199" s="269"/>
      <c r="D199" s="269"/>
      <c r="E199" s="266"/>
      <c r="F199" s="78" t="s">
        <v>182</v>
      </c>
      <c r="G199" s="79" t="s">
        <v>351</v>
      </c>
      <c r="H199" s="266"/>
      <c r="I199" s="266"/>
    </row>
    <row r="200" spans="1:9" ht="15.6">
      <c r="A200" s="269"/>
      <c r="B200" s="269"/>
      <c r="C200" s="269"/>
      <c r="D200" s="269"/>
      <c r="E200" s="264">
        <v>6</v>
      </c>
      <c r="F200" s="78" t="s">
        <v>183</v>
      </c>
      <c r="G200" s="79">
        <v>2</v>
      </c>
      <c r="H200" s="264">
        <f>SUM(G200:G202)</f>
        <v>2</v>
      </c>
      <c r="I200" s="264">
        <f>H200</f>
        <v>2</v>
      </c>
    </row>
    <row r="201" spans="1:9" ht="15.6">
      <c r="A201" s="269"/>
      <c r="B201" s="269"/>
      <c r="C201" s="269"/>
      <c r="D201" s="269"/>
      <c r="E201" s="265"/>
      <c r="F201" s="78" t="s">
        <v>184</v>
      </c>
      <c r="G201" s="79" t="s">
        <v>351</v>
      </c>
      <c r="H201" s="265"/>
      <c r="I201" s="265"/>
    </row>
    <row r="202" spans="1:9" ht="15.6">
      <c r="A202" s="269"/>
      <c r="B202" s="269"/>
      <c r="C202" s="269"/>
      <c r="D202" s="269"/>
      <c r="E202" s="266"/>
      <c r="F202" s="78" t="s">
        <v>185</v>
      </c>
      <c r="G202" s="79" t="s">
        <v>351</v>
      </c>
      <c r="H202" s="266"/>
      <c r="I202" s="266"/>
    </row>
    <row r="203" spans="1:9" ht="15.6">
      <c r="A203" s="269"/>
      <c r="B203" s="269"/>
      <c r="C203" s="269"/>
      <c r="D203" s="269"/>
      <c r="E203" s="267" t="s">
        <v>293</v>
      </c>
      <c r="F203" s="267"/>
      <c r="G203" s="80">
        <f>SUM(G193:G202)</f>
        <v>12</v>
      </c>
      <c r="H203" s="80">
        <f t="shared" ref="H203:I203" si="100">SUM(H193:H202)</f>
        <v>12</v>
      </c>
      <c r="I203" s="80">
        <f t="shared" si="100"/>
        <v>12</v>
      </c>
    </row>
    <row r="204" spans="1:9" ht="15.6">
      <c r="A204" s="269"/>
      <c r="B204" s="269"/>
      <c r="C204" s="274" t="s">
        <v>294</v>
      </c>
      <c r="D204" s="274"/>
      <c r="E204" s="274"/>
      <c r="F204" s="274"/>
      <c r="G204" s="81">
        <f>SUM(G176,G183,G192,G203)</f>
        <v>42</v>
      </c>
      <c r="H204" s="81">
        <f t="shared" ref="H204:I204" si="101">SUM(H176,H183,H192,H203)</f>
        <v>42</v>
      </c>
      <c r="I204" s="81">
        <f t="shared" si="101"/>
        <v>42</v>
      </c>
    </row>
    <row r="205" spans="1:9" ht="15.6">
      <c r="A205" s="269"/>
      <c r="B205" s="269" t="s">
        <v>210</v>
      </c>
      <c r="C205" s="269" t="s">
        <v>186</v>
      </c>
      <c r="D205" s="268" t="s">
        <v>335</v>
      </c>
      <c r="E205" s="264">
        <v>1</v>
      </c>
      <c r="F205" s="78" t="s">
        <v>187</v>
      </c>
      <c r="G205" s="79">
        <v>2</v>
      </c>
      <c r="H205" s="264">
        <f>SUM(G205:G206)</f>
        <v>2</v>
      </c>
      <c r="I205" s="264">
        <f>H205</f>
        <v>2</v>
      </c>
    </row>
    <row r="206" spans="1:9" ht="15.6">
      <c r="A206" s="269"/>
      <c r="B206" s="269"/>
      <c r="C206" s="269"/>
      <c r="D206" s="269"/>
      <c r="E206" s="266"/>
      <c r="F206" s="78" t="s">
        <v>188</v>
      </c>
      <c r="G206" s="79" t="s">
        <v>351</v>
      </c>
      <c r="H206" s="266"/>
      <c r="I206" s="266"/>
    </row>
    <row r="207" spans="1:9" ht="15.6">
      <c r="A207" s="269"/>
      <c r="B207" s="269"/>
      <c r="C207" s="269"/>
      <c r="D207" s="269"/>
      <c r="E207" s="264">
        <v>2</v>
      </c>
      <c r="F207" s="78" t="s">
        <v>189</v>
      </c>
      <c r="G207" s="79">
        <v>2</v>
      </c>
      <c r="H207" s="264">
        <f>SUM(G207:G208)</f>
        <v>2</v>
      </c>
      <c r="I207" s="264">
        <f>H207</f>
        <v>2</v>
      </c>
    </row>
    <row r="208" spans="1:9" ht="15.6">
      <c r="A208" s="269"/>
      <c r="B208" s="269"/>
      <c r="C208" s="269"/>
      <c r="D208" s="269"/>
      <c r="E208" s="266"/>
      <c r="F208" s="78" t="s">
        <v>190</v>
      </c>
      <c r="G208" s="79" t="s">
        <v>351</v>
      </c>
      <c r="H208" s="266"/>
      <c r="I208" s="266"/>
    </row>
    <row r="209" spans="1:9" ht="15.6">
      <c r="A209" s="269"/>
      <c r="B209" s="269"/>
      <c r="C209" s="269"/>
      <c r="D209" s="269"/>
      <c r="E209" s="264">
        <v>3</v>
      </c>
      <c r="F209" s="78" t="s">
        <v>191</v>
      </c>
      <c r="G209" s="79">
        <v>2</v>
      </c>
      <c r="H209" s="264">
        <f>SUM(G209:G211)</f>
        <v>2</v>
      </c>
      <c r="I209" s="264">
        <f>H209</f>
        <v>2</v>
      </c>
    </row>
    <row r="210" spans="1:9" ht="15.6">
      <c r="A210" s="269"/>
      <c r="B210" s="269"/>
      <c r="C210" s="269"/>
      <c r="D210" s="269"/>
      <c r="E210" s="265"/>
      <c r="F210" s="78" t="s">
        <v>192</v>
      </c>
      <c r="G210" s="79" t="s">
        <v>351</v>
      </c>
      <c r="H210" s="265"/>
      <c r="I210" s="265"/>
    </row>
    <row r="211" spans="1:9" ht="15.6">
      <c r="A211" s="269"/>
      <c r="B211" s="269"/>
      <c r="C211" s="269"/>
      <c r="D211" s="269"/>
      <c r="E211" s="266"/>
      <c r="F211" s="78" t="s">
        <v>193</v>
      </c>
      <c r="G211" s="79" t="s">
        <v>351</v>
      </c>
      <c r="H211" s="266"/>
      <c r="I211" s="266"/>
    </row>
    <row r="212" spans="1:9" ht="15.6">
      <c r="A212" s="269"/>
      <c r="B212" s="269"/>
      <c r="C212" s="269"/>
      <c r="D212" s="269"/>
      <c r="E212" s="267" t="s">
        <v>293</v>
      </c>
      <c r="F212" s="267"/>
      <c r="G212" s="80">
        <f>SUM(G205:G211)</f>
        <v>6</v>
      </c>
      <c r="H212" s="80">
        <f t="shared" ref="H212:I212" si="102">SUM(H205:H211)</f>
        <v>6</v>
      </c>
      <c r="I212" s="80">
        <f t="shared" si="102"/>
        <v>6</v>
      </c>
    </row>
    <row r="213" spans="1:9" ht="15.6">
      <c r="A213" s="269"/>
      <c r="B213" s="269"/>
      <c r="C213" s="269" t="s">
        <v>194</v>
      </c>
      <c r="D213" s="268" t="s">
        <v>336</v>
      </c>
      <c r="E213" s="264">
        <v>1</v>
      </c>
      <c r="F213" s="78" t="s">
        <v>195</v>
      </c>
      <c r="G213" s="79" t="s">
        <v>351</v>
      </c>
      <c r="H213" s="264">
        <f>SUM(G213:G215)</f>
        <v>2</v>
      </c>
      <c r="I213" s="264">
        <f>H213</f>
        <v>2</v>
      </c>
    </row>
    <row r="214" spans="1:9" ht="15.6">
      <c r="A214" s="269"/>
      <c r="B214" s="269"/>
      <c r="C214" s="269"/>
      <c r="D214" s="269"/>
      <c r="E214" s="265"/>
      <c r="F214" s="78" t="s">
        <v>196</v>
      </c>
      <c r="G214" s="79" t="s">
        <v>351</v>
      </c>
      <c r="H214" s="265"/>
      <c r="I214" s="265"/>
    </row>
    <row r="215" spans="1:9" ht="15.6">
      <c r="A215" s="269"/>
      <c r="B215" s="269"/>
      <c r="C215" s="269"/>
      <c r="D215" s="269"/>
      <c r="E215" s="266"/>
      <c r="F215" s="78" t="s">
        <v>197</v>
      </c>
      <c r="G215" s="79">
        <v>2</v>
      </c>
      <c r="H215" s="266"/>
      <c r="I215" s="266"/>
    </row>
    <row r="216" spans="1:9" ht="15.6">
      <c r="A216" s="269"/>
      <c r="B216" s="269"/>
      <c r="C216" s="269"/>
      <c r="D216" s="269"/>
      <c r="E216" s="264">
        <v>2</v>
      </c>
      <c r="F216" s="78" t="s">
        <v>198</v>
      </c>
      <c r="G216" s="79">
        <v>2</v>
      </c>
      <c r="H216" s="264">
        <f>SUM(G216:G218)</f>
        <v>2</v>
      </c>
      <c r="I216" s="264">
        <f>H216</f>
        <v>2</v>
      </c>
    </row>
    <row r="217" spans="1:9" ht="15.6">
      <c r="A217" s="269"/>
      <c r="B217" s="269"/>
      <c r="C217" s="269"/>
      <c r="D217" s="269"/>
      <c r="E217" s="265"/>
      <c r="F217" s="78" t="s">
        <v>199</v>
      </c>
      <c r="G217" s="79" t="s">
        <v>351</v>
      </c>
      <c r="H217" s="265"/>
      <c r="I217" s="265"/>
    </row>
    <row r="218" spans="1:9" ht="15.6">
      <c r="A218" s="269"/>
      <c r="B218" s="269"/>
      <c r="C218" s="269"/>
      <c r="D218" s="269"/>
      <c r="E218" s="266"/>
      <c r="F218" s="78" t="s">
        <v>200</v>
      </c>
      <c r="G218" s="79" t="s">
        <v>351</v>
      </c>
      <c r="H218" s="266"/>
      <c r="I218" s="266"/>
    </row>
    <row r="219" spans="1:9" ht="15.6">
      <c r="A219" s="269"/>
      <c r="B219" s="269"/>
      <c r="C219" s="269"/>
      <c r="D219" s="269"/>
      <c r="E219" s="267" t="s">
        <v>293</v>
      </c>
      <c r="F219" s="267"/>
      <c r="G219" s="80">
        <f>SUM(G213:G218)</f>
        <v>4</v>
      </c>
      <c r="H219" s="80">
        <f t="shared" ref="H219:I219" si="103">SUM(H213:H218)</f>
        <v>4</v>
      </c>
      <c r="I219" s="80">
        <f t="shared" si="103"/>
        <v>4</v>
      </c>
    </row>
    <row r="220" spans="1:9" ht="15.6">
      <c r="A220" s="269"/>
      <c r="B220" s="269"/>
      <c r="C220" s="269" t="s">
        <v>201</v>
      </c>
      <c r="D220" s="268" t="s">
        <v>337</v>
      </c>
      <c r="E220" s="264">
        <v>1</v>
      </c>
      <c r="F220" s="78" t="s">
        <v>202</v>
      </c>
      <c r="G220" s="79" t="s">
        <v>351</v>
      </c>
      <c r="H220" s="264">
        <f>SUM(G220:G221)</f>
        <v>2</v>
      </c>
      <c r="I220" s="264">
        <f>H220</f>
        <v>2</v>
      </c>
    </row>
    <row r="221" spans="1:9" ht="15.6">
      <c r="A221" s="269"/>
      <c r="B221" s="269"/>
      <c r="C221" s="269"/>
      <c r="D221" s="269"/>
      <c r="E221" s="266"/>
      <c r="F221" s="78" t="s">
        <v>203</v>
      </c>
      <c r="G221" s="79">
        <v>2</v>
      </c>
      <c r="H221" s="266"/>
      <c r="I221" s="266"/>
    </row>
    <row r="222" spans="1:9" ht="15.6">
      <c r="A222" s="269"/>
      <c r="B222" s="269"/>
      <c r="C222" s="269"/>
      <c r="D222" s="269"/>
      <c r="E222" s="77">
        <v>2</v>
      </c>
      <c r="F222" s="78" t="s">
        <v>204</v>
      </c>
      <c r="G222" s="79">
        <v>2</v>
      </c>
      <c r="H222" s="79">
        <f t="shared" ref="H222:I222" si="104">G222</f>
        <v>2</v>
      </c>
      <c r="I222" s="79">
        <f t="shared" si="104"/>
        <v>2</v>
      </c>
    </row>
    <row r="223" spans="1:9" ht="15.6">
      <c r="A223" s="269"/>
      <c r="B223" s="269"/>
      <c r="C223" s="269"/>
      <c r="D223" s="269"/>
      <c r="E223" s="77">
        <v>3</v>
      </c>
      <c r="F223" s="78" t="s">
        <v>205</v>
      </c>
      <c r="G223" s="79">
        <v>2</v>
      </c>
      <c r="H223" s="79">
        <f t="shared" ref="H223:I223" si="105">G223</f>
        <v>2</v>
      </c>
      <c r="I223" s="79">
        <f t="shared" si="105"/>
        <v>2</v>
      </c>
    </row>
    <row r="224" spans="1:9" ht="15.6">
      <c r="A224" s="269"/>
      <c r="B224" s="269"/>
      <c r="C224" s="269"/>
      <c r="D224" s="269"/>
      <c r="E224" s="77">
        <v>4</v>
      </c>
      <c r="F224" s="78" t="s">
        <v>206</v>
      </c>
      <c r="G224" s="79">
        <v>2</v>
      </c>
      <c r="H224" s="79">
        <f t="shared" ref="H224:I224" si="106">G224</f>
        <v>2</v>
      </c>
      <c r="I224" s="79">
        <f t="shared" si="106"/>
        <v>2</v>
      </c>
    </row>
    <row r="225" spans="1:9" ht="15.6">
      <c r="A225" s="269"/>
      <c r="B225" s="269"/>
      <c r="C225" s="269"/>
      <c r="D225" s="269"/>
      <c r="E225" s="77">
        <v>5</v>
      </c>
      <c r="F225" s="78" t="s">
        <v>207</v>
      </c>
      <c r="G225" s="79">
        <v>2</v>
      </c>
      <c r="H225" s="79">
        <f t="shared" ref="H225:I225" si="107">G225</f>
        <v>2</v>
      </c>
      <c r="I225" s="79">
        <f t="shared" si="107"/>
        <v>2</v>
      </c>
    </row>
    <row r="226" spans="1:9" ht="15.6">
      <c r="A226" s="269"/>
      <c r="B226" s="269"/>
      <c r="C226" s="269"/>
      <c r="D226" s="269"/>
      <c r="E226" s="264">
        <v>6</v>
      </c>
      <c r="F226" s="78" t="s">
        <v>208</v>
      </c>
      <c r="G226" s="79">
        <v>2</v>
      </c>
      <c r="H226" s="264">
        <f>SUM(G226:G227)</f>
        <v>2</v>
      </c>
      <c r="I226" s="264">
        <f>H226</f>
        <v>2</v>
      </c>
    </row>
    <row r="227" spans="1:9" ht="15.6">
      <c r="A227" s="269"/>
      <c r="B227" s="269"/>
      <c r="C227" s="269"/>
      <c r="D227" s="269"/>
      <c r="E227" s="266"/>
      <c r="F227" s="78" t="s">
        <v>209</v>
      </c>
      <c r="G227" s="79" t="s">
        <v>351</v>
      </c>
      <c r="H227" s="266"/>
      <c r="I227" s="266"/>
    </row>
    <row r="228" spans="1:9" ht="15.6">
      <c r="A228" s="269"/>
      <c r="B228" s="269"/>
      <c r="C228" s="269"/>
      <c r="D228" s="269"/>
      <c r="E228" s="267" t="s">
        <v>293</v>
      </c>
      <c r="F228" s="267"/>
      <c r="G228" s="80">
        <f>SUM(G220:G227)</f>
        <v>12</v>
      </c>
      <c r="H228" s="80">
        <f t="shared" ref="H228:I228" si="108">SUM(H220:H227)</f>
        <v>12</v>
      </c>
      <c r="I228" s="80">
        <f t="shared" si="108"/>
        <v>12</v>
      </c>
    </row>
    <row r="229" spans="1:9" ht="15.6">
      <c r="A229" s="269"/>
      <c r="B229" s="269"/>
      <c r="C229" s="269" t="s">
        <v>210</v>
      </c>
      <c r="D229" s="268" t="s">
        <v>338</v>
      </c>
      <c r="E229" s="77">
        <v>1</v>
      </c>
      <c r="F229" s="78" t="s">
        <v>211</v>
      </c>
      <c r="G229" s="79">
        <v>2</v>
      </c>
      <c r="H229" s="79">
        <f>G229</f>
        <v>2</v>
      </c>
      <c r="I229" s="79">
        <f>H229</f>
        <v>2</v>
      </c>
    </row>
    <row r="230" spans="1:9" ht="15.6">
      <c r="A230" s="269"/>
      <c r="B230" s="269"/>
      <c r="C230" s="269"/>
      <c r="D230" s="269"/>
      <c r="E230" s="77">
        <v>2</v>
      </c>
      <c r="F230" s="78" t="s">
        <v>210</v>
      </c>
      <c r="G230" s="79">
        <v>2</v>
      </c>
      <c r="H230" s="79">
        <f>G230</f>
        <v>2</v>
      </c>
      <c r="I230" s="79">
        <f>H230</f>
        <v>2</v>
      </c>
    </row>
    <row r="231" spans="1:9" ht="15.6">
      <c r="A231" s="269"/>
      <c r="B231" s="269"/>
      <c r="C231" s="269"/>
      <c r="D231" s="269"/>
      <c r="E231" s="264">
        <v>3</v>
      </c>
      <c r="F231" s="78" t="s">
        <v>212</v>
      </c>
      <c r="G231" s="79" t="s">
        <v>351</v>
      </c>
      <c r="H231" s="264">
        <f>SUM(G231:G232)</f>
        <v>2</v>
      </c>
      <c r="I231" s="264">
        <f>H231</f>
        <v>2</v>
      </c>
    </row>
    <row r="232" spans="1:9" ht="15.6">
      <c r="A232" s="269"/>
      <c r="B232" s="269"/>
      <c r="C232" s="269"/>
      <c r="D232" s="269"/>
      <c r="E232" s="266"/>
      <c r="F232" s="78" t="s">
        <v>213</v>
      </c>
      <c r="G232" s="79">
        <v>2</v>
      </c>
      <c r="H232" s="266"/>
      <c r="I232" s="266"/>
    </row>
    <row r="233" spans="1:9" ht="15.6">
      <c r="A233" s="269"/>
      <c r="B233" s="269"/>
      <c r="C233" s="269"/>
      <c r="D233" s="269"/>
      <c r="E233" s="77">
        <v>4</v>
      </c>
      <c r="F233" s="78" t="s">
        <v>214</v>
      </c>
      <c r="G233" s="79">
        <v>2</v>
      </c>
      <c r="H233" s="79">
        <f>G233</f>
        <v>2</v>
      </c>
      <c r="I233" s="79">
        <f>H233</f>
        <v>2</v>
      </c>
    </row>
    <row r="234" spans="1:9" ht="15.6">
      <c r="A234" s="269"/>
      <c r="B234" s="269"/>
      <c r="C234" s="269"/>
      <c r="D234" s="269"/>
      <c r="E234" s="264">
        <v>5</v>
      </c>
      <c r="F234" s="78" t="s">
        <v>215</v>
      </c>
      <c r="G234" s="79">
        <v>2</v>
      </c>
      <c r="H234" s="264">
        <f>SUM(G234:G236)</f>
        <v>2</v>
      </c>
      <c r="I234" s="264">
        <f>H234</f>
        <v>2</v>
      </c>
    </row>
    <row r="235" spans="1:9" ht="15.6">
      <c r="A235" s="269"/>
      <c r="B235" s="269"/>
      <c r="C235" s="269"/>
      <c r="D235" s="269"/>
      <c r="E235" s="265"/>
      <c r="F235" s="78" t="s">
        <v>216</v>
      </c>
      <c r="G235" s="79" t="s">
        <v>351</v>
      </c>
      <c r="H235" s="265"/>
      <c r="I235" s="265"/>
    </row>
    <row r="236" spans="1:9" ht="15.6">
      <c r="A236" s="269"/>
      <c r="B236" s="269"/>
      <c r="C236" s="269"/>
      <c r="D236" s="269"/>
      <c r="E236" s="266"/>
      <c r="F236" s="78" t="s">
        <v>217</v>
      </c>
      <c r="G236" s="79" t="s">
        <v>351</v>
      </c>
      <c r="H236" s="266"/>
      <c r="I236" s="266"/>
    </row>
    <row r="237" spans="1:9" ht="15.6">
      <c r="A237" s="269"/>
      <c r="B237" s="269"/>
      <c r="C237" s="269"/>
      <c r="D237" s="269"/>
      <c r="E237" s="267" t="s">
        <v>293</v>
      </c>
      <c r="F237" s="267"/>
      <c r="G237" s="80">
        <f>SUM(G229:G236)</f>
        <v>10</v>
      </c>
      <c r="H237" s="80">
        <f t="shared" ref="H237:I237" si="109">SUM(H229:H236)</f>
        <v>10</v>
      </c>
      <c r="I237" s="80">
        <f t="shared" si="109"/>
        <v>10</v>
      </c>
    </row>
    <row r="238" spans="1:9" ht="15.6">
      <c r="A238" s="269"/>
      <c r="B238" s="269"/>
      <c r="C238" s="269" t="s">
        <v>218</v>
      </c>
      <c r="D238" s="268" t="s">
        <v>339</v>
      </c>
      <c r="E238" s="77">
        <v>1</v>
      </c>
      <c r="F238" s="78" t="s">
        <v>219</v>
      </c>
      <c r="G238" s="79">
        <v>2</v>
      </c>
      <c r="H238" s="79">
        <f>G238</f>
        <v>2</v>
      </c>
      <c r="I238" s="79">
        <f>H238</f>
        <v>2</v>
      </c>
    </row>
    <row r="239" spans="1:9" ht="15.6">
      <c r="A239" s="269"/>
      <c r="B239" s="269"/>
      <c r="C239" s="269"/>
      <c r="D239" s="269"/>
      <c r="E239" s="77">
        <v>2</v>
      </c>
      <c r="F239" s="78" t="s">
        <v>220</v>
      </c>
      <c r="G239" s="79">
        <v>2</v>
      </c>
      <c r="H239" s="79">
        <f>G239</f>
        <v>2</v>
      </c>
      <c r="I239" s="79">
        <f>H239</f>
        <v>2</v>
      </c>
    </row>
    <row r="240" spans="1:9" ht="15.6">
      <c r="A240" s="269"/>
      <c r="B240" s="269"/>
      <c r="C240" s="269"/>
      <c r="D240" s="269"/>
      <c r="E240" s="264">
        <v>3</v>
      </c>
      <c r="F240" s="78" t="s">
        <v>221</v>
      </c>
      <c r="G240" s="79" t="s">
        <v>351</v>
      </c>
      <c r="H240" s="264">
        <f>SUM(G240:G241)</f>
        <v>2</v>
      </c>
      <c r="I240" s="264">
        <f>H240</f>
        <v>2</v>
      </c>
    </row>
    <row r="241" spans="1:9" ht="15.6">
      <c r="A241" s="269"/>
      <c r="B241" s="269"/>
      <c r="C241" s="269"/>
      <c r="D241" s="269"/>
      <c r="E241" s="266"/>
      <c r="F241" s="78" t="s">
        <v>222</v>
      </c>
      <c r="G241" s="79">
        <v>2</v>
      </c>
      <c r="H241" s="266"/>
      <c r="I241" s="266"/>
    </row>
    <row r="242" spans="1:9" ht="15.6">
      <c r="A242" s="269"/>
      <c r="B242" s="269"/>
      <c r="C242" s="269"/>
      <c r="D242" s="269"/>
      <c r="E242" s="264">
        <v>4</v>
      </c>
      <c r="F242" s="78" t="s">
        <v>223</v>
      </c>
      <c r="G242" s="79"/>
      <c r="H242" s="264">
        <f>SUM(G242:G243)</f>
        <v>2</v>
      </c>
      <c r="I242" s="264">
        <f>H242</f>
        <v>2</v>
      </c>
    </row>
    <row r="243" spans="1:9" ht="15.6">
      <c r="A243" s="269"/>
      <c r="B243" s="269"/>
      <c r="C243" s="269"/>
      <c r="D243" s="269"/>
      <c r="E243" s="266"/>
      <c r="F243" s="78" t="s">
        <v>224</v>
      </c>
      <c r="G243" s="79">
        <v>2</v>
      </c>
      <c r="H243" s="266"/>
      <c r="I243" s="266"/>
    </row>
    <row r="244" spans="1:9" ht="15.6">
      <c r="A244" s="269"/>
      <c r="B244" s="269"/>
      <c r="C244" s="269"/>
      <c r="D244" s="269"/>
      <c r="E244" s="267" t="s">
        <v>293</v>
      </c>
      <c r="F244" s="267"/>
      <c r="G244" s="80">
        <f>SUM(G238:G243)</f>
        <v>8</v>
      </c>
      <c r="H244" s="80">
        <f t="shared" ref="H244:I244" si="110">SUM(H238:H243)</f>
        <v>8</v>
      </c>
      <c r="I244" s="80">
        <f t="shared" si="110"/>
        <v>8</v>
      </c>
    </row>
    <row r="245" spans="1:9" ht="15.6">
      <c r="A245" s="269"/>
      <c r="B245" s="269"/>
      <c r="C245" s="269" t="s">
        <v>225</v>
      </c>
      <c r="D245" s="268" t="s">
        <v>340</v>
      </c>
      <c r="E245" s="264">
        <v>1</v>
      </c>
      <c r="F245" s="78" t="s">
        <v>226</v>
      </c>
      <c r="G245" s="79" t="s">
        <v>351</v>
      </c>
      <c r="H245" s="264">
        <f>SUM(G245:G246)</f>
        <v>2</v>
      </c>
      <c r="I245" s="264">
        <f>H245</f>
        <v>2</v>
      </c>
    </row>
    <row r="246" spans="1:9" ht="15.6">
      <c r="A246" s="269"/>
      <c r="B246" s="269"/>
      <c r="C246" s="269"/>
      <c r="D246" s="269"/>
      <c r="E246" s="266"/>
      <c r="F246" s="78" t="s">
        <v>227</v>
      </c>
      <c r="G246" s="79">
        <v>2</v>
      </c>
      <c r="H246" s="266"/>
      <c r="I246" s="266"/>
    </row>
    <row r="247" spans="1:9" ht="15.6">
      <c r="A247" s="269"/>
      <c r="B247" s="269"/>
      <c r="C247" s="269"/>
      <c r="D247" s="269"/>
      <c r="E247" s="264">
        <v>2</v>
      </c>
      <c r="F247" s="78" t="s">
        <v>228</v>
      </c>
      <c r="G247" s="79">
        <v>2</v>
      </c>
      <c r="H247" s="264">
        <f>SUM(G247:G249)</f>
        <v>2</v>
      </c>
      <c r="I247" s="264">
        <f>H247</f>
        <v>2</v>
      </c>
    </row>
    <row r="248" spans="1:9" ht="15.6">
      <c r="A248" s="269"/>
      <c r="B248" s="269"/>
      <c r="C248" s="269"/>
      <c r="D248" s="269"/>
      <c r="E248" s="265"/>
      <c r="F248" s="78" t="s">
        <v>229</v>
      </c>
      <c r="G248" s="79" t="s">
        <v>351</v>
      </c>
      <c r="H248" s="265"/>
      <c r="I248" s="265"/>
    </row>
    <row r="249" spans="1:9" ht="15.6">
      <c r="A249" s="269"/>
      <c r="B249" s="269"/>
      <c r="C249" s="269"/>
      <c r="D249" s="269"/>
      <c r="E249" s="266"/>
      <c r="F249" s="78" t="s">
        <v>230</v>
      </c>
      <c r="G249" s="79" t="s">
        <v>351</v>
      </c>
      <c r="H249" s="266"/>
      <c r="I249" s="266"/>
    </row>
    <row r="250" spans="1:9" ht="15.6">
      <c r="A250" s="269"/>
      <c r="B250" s="269"/>
      <c r="C250" s="269"/>
      <c r="D250" s="269"/>
      <c r="E250" s="267" t="s">
        <v>293</v>
      </c>
      <c r="F250" s="267"/>
      <c r="G250" s="80">
        <f>SUM(G245:G249)</f>
        <v>4</v>
      </c>
      <c r="H250" s="80">
        <f t="shared" ref="H250:I250" si="111">SUM(H245:H249)</f>
        <v>4</v>
      </c>
      <c r="I250" s="80">
        <f t="shared" si="111"/>
        <v>4</v>
      </c>
    </row>
    <row r="251" spans="1:9" ht="15.6">
      <c r="A251" s="269"/>
      <c r="B251" s="269"/>
      <c r="C251" s="269" t="s">
        <v>231</v>
      </c>
      <c r="D251" s="268" t="s">
        <v>341</v>
      </c>
      <c r="E251" s="77">
        <v>1</v>
      </c>
      <c r="F251" s="78" t="s">
        <v>232</v>
      </c>
      <c r="G251" s="79">
        <v>2</v>
      </c>
      <c r="H251" s="79">
        <f>G251</f>
        <v>2</v>
      </c>
      <c r="I251" s="79">
        <f>H251</f>
        <v>2</v>
      </c>
    </row>
    <row r="252" spans="1:9" ht="15.6">
      <c r="A252" s="269"/>
      <c r="B252" s="269"/>
      <c r="C252" s="269"/>
      <c r="D252" s="269"/>
      <c r="E252" s="264">
        <v>2</v>
      </c>
      <c r="F252" s="78" t="s">
        <v>233</v>
      </c>
      <c r="G252" s="79" t="s">
        <v>351</v>
      </c>
      <c r="H252" s="264">
        <f>SUM(G252:G253)</f>
        <v>2</v>
      </c>
      <c r="I252" s="264">
        <f>H252</f>
        <v>2</v>
      </c>
    </row>
    <row r="253" spans="1:9" ht="15.6">
      <c r="A253" s="269"/>
      <c r="B253" s="269"/>
      <c r="C253" s="269"/>
      <c r="D253" s="269"/>
      <c r="E253" s="266"/>
      <c r="F253" s="78" t="s">
        <v>234</v>
      </c>
      <c r="G253" s="79">
        <v>2</v>
      </c>
      <c r="H253" s="266"/>
      <c r="I253" s="266"/>
    </row>
    <row r="254" spans="1:9" ht="15.6">
      <c r="A254" s="269"/>
      <c r="B254" s="269"/>
      <c r="C254" s="269"/>
      <c r="D254" s="269"/>
      <c r="E254" s="264">
        <v>3</v>
      </c>
      <c r="F254" s="78" t="s">
        <v>231</v>
      </c>
      <c r="G254" s="79">
        <v>2</v>
      </c>
      <c r="H254" s="264">
        <f>SUM(G254:G256)</f>
        <v>2</v>
      </c>
      <c r="I254" s="264">
        <f>H254</f>
        <v>2</v>
      </c>
    </row>
    <row r="255" spans="1:9" ht="15.6">
      <c r="A255" s="269"/>
      <c r="B255" s="269"/>
      <c r="C255" s="269"/>
      <c r="D255" s="269"/>
      <c r="E255" s="265"/>
      <c r="F255" s="78" t="s">
        <v>235</v>
      </c>
      <c r="G255" s="79" t="s">
        <v>351</v>
      </c>
      <c r="H255" s="265"/>
      <c r="I255" s="265"/>
    </row>
    <row r="256" spans="1:9" ht="15.6">
      <c r="A256" s="269"/>
      <c r="B256" s="269"/>
      <c r="C256" s="269"/>
      <c r="D256" s="269"/>
      <c r="E256" s="266"/>
      <c r="F256" s="78" t="s">
        <v>236</v>
      </c>
      <c r="G256" s="79" t="s">
        <v>351</v>
      </c>
      <c r="H256" s="266"/>
      <c r="I256" s="266"/>
    </row>
    <row r="257" spans="1:9" ht="15.6">
      <c r="A257" s="269"/>
      <c r="B257" s="269"/>
      <c r="C257" s="269"/>
      <c r="D257" s="269"/>
      <c r="E257" s="264">
        <v>4</v>
      </c>
      <c r="F257" s="78" t="s">
        <v>237</v>
      </c>
      <c r="G257" s="79" t="s">
        <v>351</v>
      </c>
      <c r="H257" s="264">
        <f>SUM(G257:G259)</f>
        <v>2</v>
      </c>
      <c r="I257" s="264">
        <f>H257</f>
        <v>2</v>
      </c>
    </row>
    <row r="258" spans="1:9" ht="15.6">
      <c r="A258" s="269"/>
      <c r="B258" s="269"/>
      <c r="C258" s="269"/>
      <c r="D258" s="269"/>
      <c r="E258" s="265"/>
      <c r="F258" s="78" t="s">
        <v>238</v>
      </c>
      <c r="G258" s="79">
        <v>2</v>
      </c>
      <c r="H258" s="265"/>
      <c r="I258" s="265"/>
    </row>
    <row r="259" spans="1:9" ht="15.6">
      <c r="A259" s="269"/>
      <c r="B259" s="269"/>
      <c r="C259" s="269"/>
      <c r="D259" s="269"/>
      <c r="E259" s="266"/>
      <c r="F259" s="78" t="s">
        <v>239</v>
      </c>
      <c r="G259" s="79" t="s">
        <v>351</v>
      </c>
      <c r="H259" s="266"/>
      <c r="I259" s="266"/>
    </row>
    <row r="260" spans="1:9" ht="15.6">
      <c r="A260" s="269"/>
      <c r="B260" s="269"/>
      <c r="C260" s="269"/>
      <c r="D260" s="269"/>
      <c r="E260" s="267" t="s">
        <v>293</v>
      </c>
      <c r="F260" s="267"/>
      <c r="G260" s="80">
        <f>SUM(G251:G259)</f>
        <v>8</v>
      </c>
      <c r="H260" s="80">
        <f t="shared" ref="H260:I260" si="112">SUM(H251:H259)</f>
        <v>8</v>
      </c>
      <c r="I260" s="80">
        <f t="shared" si="112"/>
        <v>8</v>
      </c>
    </row>
    <row r="261" spans="1:9" ht="15.6">
      <c r="A261" s="269"/>
      <c r="B261" s="269"/>
      <c r="C261" s="274" t="s">
        <v>294</v>
      </c>
      <c r="D261" s="274"/>
      <c r="E261" s="274"/>
      <c r="F261" s="274"/>
      <c r="G261" s="81">
        <f>SUM(G212,G219,G228,G237,G244,G250,G260)</f>
        <v>52</v>
      </c>
      <c r="H261" s="81">
        <f t="shared" ref="H261:I261" si="113">SUM(H212,H219,H228,H237,H244,H250,H260)</f>
        <v>52</v>
      </c>
      <c r="I261" s="81">
        <f t="shared" si="113"/>
        <v>52</v>
      </c>
    </row>
    <row r="262" spans="1:9" ht="15.6">
      <c r="A262" s="269" t="s">
        <v>327</v>
      </c>
      <c r="B262" s="269" t="s">
        <v>240</v>
      </c>
      <c r="C262" s="269" t="s">
        <v>240</v>
      </c>
      <c r="D262" s="268" t="s">
        <v>342</v>
      </c>
      <c r="E262" s="264">
        <v>1</v>
      </c>
      <c r="F262" s="78" t="s">
        <v>241</v>
      </c>
      <c r="G262" s="79">
        <v>2</v>
      </c>
      <c r="H262" s="264">
        <f>SUM(G262:G263)</f>
        <v>2</v>
      </c>
      <c r="I262" s="264">
        <f>H262</f>
        <v>2</v>
      </c>
    </row>
    <row r="263" spans="1:9" ht="15.6">
      <c r="A263" s="269"/>
      <c r="B263" s="269"/>
      <c r="C263" s="269"/>
      <c r="D263" s="269"/>
      <c r="E263" s="266"/>
      <c r="F263" s="78" t="s">
        <v>242</v>
      </c>
      <c r="G263" s="79" t="s">
        <v>351</v>
      </c>
      <c r="H263" s="266"/>
      <c r="I263" s="266"/>
    </row>
    <row r="264" spans="1:9" ht="15.6">
      <c r="A264" s="269"/>
      <c r="B264" s="269"/>
      <c r="C264" s="269"/>
      <c r="D264" s="269"/>
      <c r="E264" s="264">
        <v>2</v>
      </c>
      <c r="F264" s="78" t="s">
        <v>243</v>
      </c>
      <c r="G264" s="79" t="s">
        <v>351</v>
      </c>
      <c r="H264" s="264">
        <f>SUM(G264:G267)</f>
        <v>2</v>
      </c>
      <c r="I264" s="264">
        <f>H264</f>
        <v>2</v>
      </c>
    </row>
    <row r="265" spans="1:9" ht="15.6">
      <c r="A265" s="269"/>
      <c r="B265" s="269"/>
      <c r="C265" s="269"/>
      <c r="D265" s="269"/>
      <c r="E265" s="265"/>
      <c r="F265" s="78" t="s">
        <v>244</v>
      </c>
      <c r="G265" s="79">
        <v>2</v>
      </c>
      <c r="H265" s="265"/>
      <c r="I265" s="265"/>
    </row>
    <row r="266" spans="1:9" ht="15.6">
      <c r="A266" s="269"/>
      <c r="B266" s="269"/>
      <c r="C266" s="269"/>
      <c r="D266" s="269"/>
      <c r="E266" s="265"/>
      <c r="F266" s="78" t="s">
        <v>245</v>
      </c>
      <c r="G266" s="79" t="s">
        <v>351</v>
      </c>
      <c r="H266" s="265"/>
      <c r="I266" s="265"/>
    </row>
    <row r="267" spans="1:9" ht="15.6">
      <c r="A267" s="269"/>
      <c r="B267" s="269"/>
      <c r="C267" s="269"/>
      <c r="D267" s="269"/>
      <c r="E267" s="266"/>
      <c r="F267" s="78" t="s">
        <v>246</v>
      </c>
      <c r="G267" s="79" t="s">
        <v>351</v>
      </c>
      <c r="H267" s="266"/>
      <c r="I267" s="266"/>
    </row>
    <row r="268" spans="1:9" ht="15.6">
      <c r="A268" s="269"/>
      <c r="B268" s="269"/>
      <c r="C268" s="269"/>
      <c r="D268" s="269"/>
      <c r="E268" s="264">
        <v>3</v>
      </c>
      <c r="F268" s="78" t="s">
        <v>247</v>
      </c>
      <c r="G268" s="79" t="s">
        <v>351</v>
      </c>
      <c r="H268" s="264">
        <f>SUM(G268:G271)</f>
        <v>2</v>
      </c>
      <c r="I268" s="264">
        <f>H268</f>
        <v>2</v>
      </c>
    </row>
    <row r="269" spans="1:9" ht="15.6">
      <c r="A269" s="269"/>
      <c r="B269" s="269"/>
      <c r="C269" s="269"/>
      <c r="D269" s="269"/>
      <c r="E269" s="265"/>
      <c r="F269" s="78" t="s">
        <v>248</v>
      </c>
      <c r="G269" s="79" t="s">
        <v>351</v>
      </c>
      <c r="H269" s="265"/>
      <c r="I269" s="265"/>
    </row>
    <row r="270" spans="1:9" ht="15.6">
      <c r="A270" s="269"/>
      <c r="B270" s="269"/>
      <c r="C270" s="269"/>
      <c r="D270" s="269"/>
      <c r="E270" s="265"/>
      <c r="F270" s="78" t="s">
        <v>249</v>
      </c>
      <c r="G270" s="79">
        <v>2</v>
      </c>
      <c r="H270" s="265"/>
      <c r="I270" s="265"/>
    </row>
    <row r="271" spans="1:9" ht="15.6">
      <c r="A271" s="269"/>
      <c r="B271" s="269"/>
      <c r="C271" s="269"/>
      <c r="D271" s="269"/>
      <c r="E271" s="266"/>
      <c r="F271" s="78" t="s">
        <v>250</v>
      </c>
      <c r="G271" s="79" t="s">
        <v>351</v>
      </c>
      <c r="H271" s="266"/>
      <c r="I271" s="266"/>
    </row>
    <row r="272" spans="1:9" ht="15.6">
      <c r="A272" s="269"/>
      <c r="B272" s="269"/>
      <c r="C272" s="269"/>
      <c r="D272" s="269"/>
      <c r="E272" s="267" t="s">
        <v>293</v>
      </c>
      <c r="F272" s="267"/>
      <c r="G272" s="80">
        <f>SUM(G262:G271)</f>
        <v>6</v>
      </c>
      <c r="H272" s="80">
        <f t="shared" ref="H272:I272" si="114">SUM(H262:H271)</f>
        <v>6</v>
      </c>
      <c r="I272" s="80">
        <f t="shared" si="114"/>
        <v>6</v>
      </c>
    </row>
    <row r="273" spans="1:9" ht="15.6">
      <c r="A273" s="269"/>
      <c r="B273" s="269"/>
      <c r="C273" s="269" t="s">
        <v>267</v>
      </c>
      <c r="D273" s="268" t="s">
        <v>343</v>
      </c>
      <c r="E273" s="264">
        <v>1</v>
      </c>
      <c r="F273" s="78" t="s">
        <v>268</v>
      </c>
      <c r="G273" s="79" t="s">
        <v>351</v>
      </c>
      <c r="H273" s="264">
        <f>SUM(G273:G275)</f>
        <v>2</v>
      </c>
      <c r="I273" s="264">
        <f>H273</f>
        <v>2</v>
      </c>
    </row>
    <row r="274" spans="1:9" ht="15.6">
      <c r="A274" s="269"/>
      <c r="B274" s="269"/>
      <c r="C274" s="269"/>
      <c r="D274" s="269"/>
      <c r="E274" s="265"/>
      <c r="F274" s="78" t="s">
        <v>269</v>
      </c>
      <c r="G274" s="79" t="s">
        <v>351</v>
      </c>
      <c r="H274" s="265"/>
      <c r="I274" s="265"/>
    </row>
    <row r="275" spans="1:9" ht="15.6">
      <c r="A275" s="269"/>
      <c r="B275" s="269"/>
      <c r="C275" s="269"/>
      <c r="D275" s="269"/>
      <c r="E275" s="266"/>
      <c r="F275" s="78" t="s">
        <v>270</v>
      </c>
      <c r="G275" s="79">
        <v>2</v>
      </c>
      <c r="H275" s="266"/>
      <c r="I275" s="266"/>
    </row>
    <row r="276" spans="1:9" ht="15.6">
      <c r="A276" s="269"/>
      <c r="B276" s="269"/>
      <c r="C276" s="269"/>
      <c r="D276" s="269"/>
      <c r="E276" s="264">
        <v>2</v>
      </c>
      <c r="F276" s="78" t="s">
        <v>271</v>
      </c>
      <c r="G276" s="79">
        <v>2</v>
      </c>
      <c r="H276" s="264">
        <f>SUM(G276:G279)</f>
        <v>2</v>
      </c>
      <c r="I276" s="264">
        <f>H276</f>
        <v>2</v>
      </c>
    </row>
    <row r="277" spans="1:9" ht="15.6">
      <c r="A277" s="269"/>
      <c r="B277" s="269"/>
      <c r="C277" s="269"/>
      <c r="D277" s="269"/>
      <c r="E277" s="265"/>
      <c r="F277" s="78" t="s">
        <v>272</v>
      </c>
      <c r="G277" s="79" t="s">
        <v>351</v>
      </c>
      <c r="H277" s="265"/>
      <c r="I277" s="265"/>
    </row>
    <row r="278" spans="1:9" ht="15.6">
      <c r="A278" s="269"/>
      <c r="B278" s="269"/>
      <c r="C278" s="269"/>
      <c r="D278" s="269"/>
      <c r="E278" s="265"/>
      <c r="F278" s="78" t="s">
        <v>273</v>
      </c>
      <c r="G278" s="79" t="s">
        <v>351</v>
      </c>
      <c r="H278" s="265"/>
      <c r="I278" s="265"/>
    </row>
    <row r="279" spans="1:9" ht="15.6">
      <c r="A279" s="269"/>
      <c r="B279" s="269"/>
      <c r="C279" s="269"/>
      <c r="D279" s="269"/>
      <c r="E279" s="266"/>
      <c r="F279" s="78" t="s">
        <v>300</v>
      </c>
      <c r="G279" s="79" t="s">
        <v>351</v>
      </c>
      <c r="H279" s="266"/>
      <c r="I279" s="266"/>
    </row>
    <row r="280" spans="1:9" ht="15.6">
      <c r="A280" s="269"/>
      <c r="B280" s="269"/>
      <c r="C280" s="269"/>
      <c r="D280" s="269"/>
      <c r="E280" s="267" t="s">
        <v>293</v>
      </c>
      <c r="F280" s="267"/>
      <c r="G280" s="80">
        <f>SUM(G273:G279)</f>
        <v>4</v>
      </c>
      <c r="H280" s="80">
        <f t="shared" ref="H280:I280" si="115">SUM(H273:H279)</f>
        <v>4</v>
      </c>
      <c r="I280" s="80">
        <f t="shared" si="115"/>
        <v>4</v>
      </c>
    </row>
    <row r="281" spans="1:9" ht="15.6">
      <c r="A281" s="269"/>
      <c r="B281" s="269"/>
      <c r="C281" s="269" t="s">
        <v>251</v>
      </c>
      <c r="D281" s="268" t="s">
        <v>344</v>
      </c>
      <c r="E281" s="264">
        <v>1</v>
      </c>
      <c r="F281" s="78" t="s">
        <v>252</v>
      </c>
      <c r="G281" s="79">
        <v>2</v>
      </c>
      <c r="H281" s="264">
        <f>SUM(G281:G283)</f>
        <v>2</v>
      </c>
      <c r="I281" s="264">
        <f>H281</f>
        <v>2</v>
      </c>
    </row>
    <row r="282" spans="1:9" ht="15.6">
      <c r="A282" s="269"/>
      <c r="B282" s="269"/>
      <c r="C282" s="269"/>
      <c r="D282" s="269"/>
      <c r="E282" s="265"/>
      <c r="F282" s="78" t="s">
        <v>253</v>
      </c>
      <c r="G282" s="79" t="s">
        <v>351</v>
      </c>
      <c r="H282" s="265"/>
      <c r="I282" s="265"/>
    </row>
    <row r="283" spans="1:9" ht="15.6">
      <c r="A283" s="269"/>
      <c r="B283" s="269"/>
      <c r="C283" s="269"/>
      <c r="D283" s="269"/>
      <c r="E283" s="266"/>
      <c r="F283" s="78" t="s">
        <v>254</v>
      </c>
      <c r="G283" s="79" t="s">
        <v>351</v>
      </c>
      <c r="H283" s="266"/>
      <c r="I283" s="266"/>
    </row>
    <row r="284" spans="1:9" ht="15.6">
      <c r="A284" s="269"/>
      <c r="B284" s="269"/>
      <c r="C284" s="269"/>
      <c r="D284" s="269"/>
      <c r="E284" s="267" t="s">
        <v>293</v>
      </c>
      <c r="F284" s="267"/>
      <c r="G284" s="80">
        <f>SUM(G281:G283)</f>
        <v>2</v>
      </c>
      <c r="H284" s="80">
        <f t="shared" ref="H284:I284" si="116">SUM(H281:H283)</f>
        <v>2</v>
      </c>
      <c r="I284" s="80">
        <f t="shared" si="116"/>
        <v>2</v>
      </c>
    </row>
    <row r="285" spans="1:9" ht="15.6">
      <c r="A285" s="269"/>
      <c r="B285" s="269"/>
      <c r="C285" s="274" t="s">
        <v>294</v>
      </c>
      <c r="D285" s="274"/>
      <c r="E285" s="274"/>
      <c r="F285" s="274"/>
      <c r="G285" s="81">
        <f>SUM(G272,G280,G284)</f>
        <v>12</v>
      </c>
      <c r="H285" s="81">
        <f t="shared" ref="H285:I285" si="117">SUM(H272,H280,H284)</f>
        <v>12</v>
      </c>
      <c r="I285" s="81">
        <f t="shared" si="117"/>
        <v>12</v>
      </c>
    </row>
    <row r="286" spans="1:9" ht="15.6">
      <c r="A286" s="269"/>
      <c r="B286" s="269" t="s">
        <v>261</v>
      </c>
      <c r="C286" s="269" t="s">
        <v>255</v>
      </c>
      <c r="D286" s="268" t="s">
        <v>345</v>
      </c>
      <c r="E286" s="264">
        <v>1</v>
      </c>
      <c r="F286" s="78" t="s">
        <v>255</v>
      </c>
      <c r="G286" s="79">
        <v>2</v>
      </c>
      <c r="H286" s="264">
        <f>SUM(G286:G291)</f>
        <v>2</v>
      </c>
      <c r="I286" s="264">
        <f>H286</f>
        <v>2</v>
      </c>
    </row>
    <row r="287" spans="1:9" ht="15.6">
      <c r="A287" s="269"/>
      <c r="B287" s="269"/>
      <c r="C287" s="269"/>
      <c r="D287" s="269"/>
      <c r="E287" s="265"/>
      <c r="F287" s="78" t="s">
        <v>256</v>
      </c>
      <c r="G287" s="79" t="s">
        <v>351</v>
      </c>
      <c r="H287" s="265"/>
      <c r="I287" s="265"/>
    </row>
    <row r="288" spans="1:9" ht="15.6">
      <c r="A288" s="269"/>
      <c r="B288" s="269"/>
      <c r="C288" s="269"/>
      <c r="D288" s="269"/>
      <c r="E288" s="265"/>
      <c r="F288" s="78" t="s">
        <v>257</v>
      </c>
      <c r="G288" s="79" t="s">
        <v>351</v>
      </c>
      <c r="H288" s="265"/>
      <c r="I288" s="265"/>
    </row>
    <row r="289" spans="1:9" ht="15.6">
      <c r="A289" s="269"/>
      <c r="B289" s="269"/>
      <c r="C289" s="269"/>
      <c r="D289" s="269"/>
      <c r="E289" s="265"/>
      <c r="F289" s="78" t="s">
        <v>258</v>
      </c>
      <c r="G289" s="79" t="s">
        <v>351</v>
      </c>
      <c r="H289" s="265"/>
      <c r="I289" s="265"/>
    </row>
    <row r="290" spans="1:9" ht="15.6">
      <c r="A290" s="269"/>
      <c r="B290" s="269"/>
      <c r="C290" s="269"/>
      <c r="D290" s="269"/>
      <c r="E290" s="265"/>
      <c r="F290" s="78" t="s">
        <v>259</v>
      </c>
      <c r="G290" s="79" t="s">
        <v>351</v>
      </c>
      <c r="H290" s="265"/>
      <c r="I290" s="265"/>
    </row>
    <row r="291" spans="1:9" ht="15.6">
      <c r="A291" s="269"/>
      <c r="B291" s="269"/>
      <c r="C291" s="269"/>
      <c r="D291" s="269"/>
      <c r="E291" s="266"/>
      <c r="F291" s="78" t="s">
        <v>260</v>
      </c>
      <c r="G291" s="79" t="s">
        <v>351</v>
      </c>
      <c r="H291" s="266"/>
      <c r="I291" s="266"/>
    </row>
    <row r="292" spans="1:9" ht="15.6">
      <c r="A292" s="269"/>
      <c r="B292" s="269"/>
      <c r="C292" s="269"/>
      <c r="D292" s="269"/>
      <c r="E292" s="267" t="s">
        <v>293</v>
      </c>
      <c r="F292" s="267"/>
      <c r="G292" s="80">
        <f>SUM(G286:G291)</f>
        <v>2</v>
      </c>
      <c r="H292" s="80">
        <f t="shared" ref="H292:I292" si="118">SUM(H286:H291)</f>
        <v>2</v>
      </c>
      <c r="I292" s="80">
        <f t="shared" si="118"/>
        <v>2</v>
      </c>
    </row>
    <row r="293" spans="1:9" ht="15.6">
      <c r="A293" s="269"/>
      <c r="B293" s="269"/>
      <c r="C293" s="269" t="s">
        <v>261</v>
      </c>
      <c r="D293" s="268" t="s">
        <v>346</v>
      </c>
      <c r="E293" s="264">
        <v>1</v>
      </c>
      <c r="F293" s="78" t="s">
        <v>261</v>
      </c>
      <c r="G293" s="79">
        <v>2</v>
      </c>
      <c r="H293" s="264">
        <f>SUM(G293:G295)</f>
        <v>2</v>
      </c>
      <c r="I293" s="264">
        <f>H293</f>
        <v>2</v>
      </c>
    </row>
    <row r="294" spans="1:9" ht="15.6">
      <c r="A294" s="269"/>
      <c r="B294" s="269"/>
      <c r="C294" s="269"/>
      <c r="D294" s="269"/>
      <c r="E294" s="265"/>
      <c r="F294" s="78" t="s">
        <v>262</v>
      </c>
      <c r="G294" s="79" t="s">
        <v>351</v>
      </c>
      <c r="H294" s="265"/>
      <c r="I294" s="265"/>
    </row>
    <row r="295" spans="1:9" ht="15.6">
      <c r="A295" s="269"/>
      <c r="B295" s="269"/>
      <c r="C295" s="269"/>
      <c r="D295" s="269"/>
      <c r="E295" s="266"/>
      <c r="F295" s="78" t="s">
        <v>263</v>
      </c>
      <c r="G295" s="79" t="s">
        <v>351</v>
      </c>
      <c r="H295" s="266"/>
      <c r="I295" s="266"/>
    </row>
    <row r="296" spans="1:9" ht="15.6">
      <c r="A296" s="269"/>
      <c r="B296" s="269"/>
      <c r="C296" s="269"/>
      <c r="D296" s="269"/>
      <c r="E296" s="264">
        <v>2</v>
      </c>
      <c r="F296" s="78" t="s">
        <v>264</v>
      </c>
      <c r="G296" s="79">
        <v>2</v>
      </c>
      <c r="H296" s="264">
        <f>SUM(G296:G298)</f>
        <v>2</v>
      </c>
      <c r="I296" s="264">
        <f>H296</f>
        <v>2</v>
      </c>
    </row>
    <row r="297" spans="1:9" ht="15.6">
      <c r="A297" s="269"/>
      <c r="B297" s="269"/>
      <c r="C297" s="269"/>
      <c r="D297" s="269"/>
      <c r="E297" s="265"/>
      <c r="F297" s="78" t="s">
        <v>265</v>
      </c>
      <c r="G297" s="79" t="s">
        <v>351</v>
      </c>
      <c r="H297" s="265"/>
      <c r="I297" s="265"/>
    </row>
    <row r="298" spans="1:9" ht="15.6">
      <c r="A298" s="269"/>
      <c r="B298" s="269"/>
      <c r="C298" s="269"/>
      <c r="D298" s="269"/>
      <c r="E298" s="266"/>
      <c r="F298" s="78" t="s">
        <v>266</v>
      </c>
      <c r="G298" s="79" t="s">
        <v>351</v>
      </c>
      <c r="H298" s="266"/>
      <c r="I298" s="266"/>
    </row>
    <row r="299" spans="1:9" ht="15.6">
      <c r="A299" s="269"/>
      <c r="B299" s="269"/>
      <c r="C299" s="269"/>
      <c r="D299" s="269"/>
      <c r="E299" s="267" t="s">
        <v>293</v>
      </c>
      <c r="F299" s="267"/>
      <c r="G299" s="80">
        <f>SUM(G293:G298)</f>
        <v>4</v>
      </c>
      <c r="H299" s="80">
        <f t="shared" ref="H299:I299" si="119">SUM(H293:H298)</f>
        <v>4</v>
      </c>
      <c r="I299" s="80">
        <f t="shared" si="119"/>
        <v>4</v>
      </c>
    </row>
    <row r="300" spans="1:9" ht="15.6">
      <c r="A300" s="269"/>
      <c r="B300" s="269"/>
      <c r="C300" s="274" t="s">
        <v>294</v>
      </c>
      <c r="D300" s="274"/>
      <c r="E300" s="274"/>
      <c r="F300" s="274"/>
      <c r="G300" s="81">
        <f>SUM(G292,G299)</f>
        <v>6</v>
      </c>
      <c r="H300" s="81">
        <f t="shared" ref="H300:I300" si="120">SUM(H292,H299)</f>
        <v>6</v>
      </c>
      <c r="I300" s="81">
        <f t="shared" si="120"/>
        <v>6</v>
      </c>
    </row>
    <row r="301" spans="1:9" ht="15.6">
      <c r="A301" s="269"/>
      <c r="B301" s="275" t="s">
        <v>347</v>
      </c>
      <c r="C301" s="275"/>
      <c r="D301" s="275"/>
      <c r="E301" s="275"/>
      <c r="F301" s="275"/>
      <c r="G301" s="82">
        <f>SUM(G167,G204,G261,G285,G300)</f>
        <v>177</v>
      </c>
      <c r="H301" s="82">
        <f t="shared" ref="H301:I301" si="121">SUM(H167,H204,H261,H285,H300)</f>
        <v>177</v>
      </c>
      <c r="I301" s="82">
        <f t="shared" si="121"/>
        <v>177</v>
      </c>
    </row>
    <row r="302" spans="1:9" ht="15.6">
      <c r="A302" s="276" t="s">
        <v>348</v>
      </c>
      <c r="B302" s="276"/>
      <c r="C302" s="276"/>
      <c r="D302" s="276"/>
      <c r="E302" s="276"/>
      <c r="F302" s="276"/>
      <c r="G302" s="83">
        <f>SUM(G129,G301)</f>
        <v>340</v>
      </c>
      <c r="H302" s="83">
        <f t="shared" ref="H302:I302" si="122">SUM(H129,H301)</f>
        <v>340</v>
      </c>
      <c r="I302" s="83">
        <f t="shared" si="122"/>
        <v>340</v>
      </c>
    </row>
    <row r="303" spans="1:9" ht="15.6">
      <c r="A303" s="84"/>
      <c r="B303" s="84"/>
      <c r="C303" s="85"/>
      <c r="D303" s="85"/>
      <c r="E303" s="86"/>
      <c r="F303" s="84"/>
      <c r="G303" s="86"/>
      <c r="H303" s="86"/>
      <c r="I303" s="86"/>
    </row>
    <row r="304" spans="1:9" ht="15.6">
      <c r="A304" s="84" t="s">
        <v>349</v>
      </c>
      <c r="B304" s="84"/>
      <c r="C304" s="85"/>
      <c r="D304" s="85"/>
      <c r="E304" s="86"/>
      <c r="F304" s="84"/>
      <c r="G304" s="86"/>
      <c r="H304" s="86"/>
      <c r="I304" s="86"/>
    </row>
  </sheetData>
  <mergeCells count="330">
    <mergeCell ref="A4:B4"/>
    <mergeCell ref="G4:I4"/>
    <mergeCell ref="H6:I6"/>
    <mergeCell ref="E18:F18"/>
    <mergeCell ref="E29:F29"/>
    <mergeCell ref="C30:F30"/>
    <mergeCell ref="E35:F35"/>
    <mergeCell ref="E45:F45"/>
    <mergeCell ref="C46:F46"/>
    <mergeCell ref="C6:C7"/>
    <mergeCell ref="C8:C18"/>
    <mergeCell ref="C19:C29"/>
    <mergeCell ref="C31:C35"/>
    <mergeCell ref="C36:C45"/>
    <mergeCell ref="F6:F7"/>
    <mergeCell ref="G6:G7"/>
    <mergeCell ref="H9:H10"/>
    <mergeCell ref="H12:H13"/>
    <mergeCell ref="H15:H16"/>
    <mergeCell ref="H27:H28"/>
    <mergeCell ref="H36:H37"/>
    <mergeCell ref="E58:F58"/>
    <mergeCell ref="E64:F64"/>
    <mergeCell ref="E74:F74"/>
    <mergeCell ref="E81:F81"/>
    <mergeCell ref="C82:F82"/>
    <mergeCell ref="E89:F89"/>
    <mergeCell ref="E94:F94"/>
    <mergeCell ref="E98:F98"/>
    <mergeCell ref="C99:F99"/>
    <mergeCell ref="C47:C58"/>
    <mergeCell ref="C59:C64"/>
    <mergeCell ref="C65:C74"/>
    <mergeCell ref="C75:C81"/>
    <mergeCell ref="C83:C89"/>
    <mergeCell ref="C90:C94"/>
    <mergeCell ref="C95:C98"/>
    <mergeCell ref="E111:F111"/>
    <mergeCell ref="E122:F122"/>
    <mergeCell ref="E127:F127"/>
    <mergeCell ref="C128:F128"/>
    <mergeCell ref="B129:F129"/>
    <mergeCell ref="A130:I130"/>
    <mergeCell ref="E145:F145"/>
    <mergeCell ref="E155:F155"/>
    <mergeCell ref="E166:F166"/>
    <mergeCell ref="C100:C111"/>
    <mergeCell ref="C112:C122"/>
    <mergeCell ref="C123:C127"/>
    <mergeCell ref="C131:C145"/>
    <mergeCell ref="C146:C155"/>
    <mergeCell ref="C156:C166"/>
    <mergeCell ref="E125:E126"/>
    <mergeCell ref="E136:E137"/>
    <mergeCell ref="E138:E139"/>
    <mergeCell ref="E143:E144"/>
    <mergeCell ref="E156:E157"/>
    <mergeCell ref="E158:E159"/>
    <mergeCell ref="E164:E165"/>
    <mergeCell ref="H120:H121"/>
    <mergeCell ref="H125:H126"/>
    <mergeCell ref="C167:F167"/>
    <mergeCell ref="E176:F176"/>
    <mergeCell ref="E183:F183"/>
    <mergeCell ref="E192:F192"/>
    <mergeCell ref="E203:F203"/>
    <mergeCell ref="C204:F204"/>
    <mergeCell ref="E212:F212"/>
    <mergeCell ref="E219:F219"/>
    <mergeCell ref="E228:F228"/>
    <mergeCell ref="C168:C176"/>
    <mergeCell ref="C177:C183"/>
    <mergeCell ref="C184:C192"/>
    <mergeCell ref="C193:C203"/>
    <mergeCell ref="C205:C212"/>
    <mergeCell ref="C213:C219"/>
    <mergeCell ref="C220:C228"/>
    <mergeCell ref="D205:D212"/>
    <mergeCell ref="D213:D219"/>
    <mergeCell ref="D220:D228"/>
    <mergeCell ref="E168:E169"/>
    <mergeCell ref="E170:E171"/>
    <mergeCell ref="E174:E175"/>
    <mergeCell ref="E177:E178"/>
    <mergeCell ref="E181:E182"/>
    <mergeCell ref="E260:F260"/>
    <mergeCell ref="C261:F261"/>
    <mergeCell ref="E272:F272"/>
    <mergeCell ref="E280:F280"/>
    <mergeCell ref="E284:F284"/>
    <mergeCell ref="C285:F285"/>
    <mergeCell ref="C229:C237"/>
    <mergeCell ref="C238:C244"/>
    <mergeCell ref="C245:C250"/>
    <mergeCell ref="C251:C260"/>
    <mergeCell ref="C262:C272"/>
    <mergeCell ref="C273:C280"/>
    <mergeCell ref="C281:C284"/>
    <mergeCell ref="D229:D237"/>
    <mergeCell ref="D238:D244"/>
    <mergeCell ref="D245:D250"/>
    <mergeCell ref="D251:D260"/>
    <mergeCell ref="D262:D272"/>
    <mergeCell ref="D273:D280"/>
    <mergeCell ref="D281:D284"/>
    <mergeCell ref="E252:E253"/>
    <mergeCell ref="E254:E256"/>
    <mergeCell ref="E257:E259"/>
    <mergeCell ref="E262:E263"/>
    <mergeCell ref="E299:F299"/>
    <mergeCell ref="C300:F300"/>
    <mergeCell ref="B301:F301"/>
    <mergeCell ref="A302:F302"/>
    <mergeCell ref="A6:A7"/>
    <mergeCell ref="A8:A64"/>
    <mergeCell ref="A65:A129"/>
    <mergeCell ref="A131:A192"/>
    <mergeCell ref="A193:A261"/>
    <mergeCell ref="A262:A301"/>
    <mergeCell ref="B6:B7"/>
    <mergeCell ref="B8:B30"/>
    <mergeCell ref="B31:B46"/>
    <mergeCell ref="B47:B64"/>
    <mergeCell ref="B65:B82"/>
    <mergeCell ref="B83:B99"/>
    <mergeCell ref="B100:B128"/>
    <mergeCell ref="B131:B167"/>
    <mergeCell ref="B168:B192"/>
    <mergeCell ref="B193:B204"/>
    <mergeCell ref="B205:B261"/>
    <mergeCell ref="B262:B285"/>
    <mergeCell ref="B286:B300"/>
    <mergeCell ref="E250:F250"/>
    <mergeCell ref="C286:C292"/>
    <mergeCell ref="C293:C299"/>
    <mergeCell ref="D6:D7"/>
    <mergeCell ref="D8:D18"/>
    <mergeCell ref="D19:D29"/>
    <mergeCell ref="D31:D35"/>
    <mergeCell ref="D36:D45"/>
    <mergeCell ref="D47:D58"/>
    <mergeCell ref="D59:D64"/>
    <mergeCell ref="D65:D74"/>
    <mergeCell ref="D75:D81"/>
    <mergeCell ref="D83:D89"/>
    <mergeCell ref="D90:D94"/>
    <mergeCell ref="D95:D98"/>
    <mergeCell ref="D100:D111"/>
    <mergeCell ref="D112:D122"/>
    <mergeCell ref="D123:D127"/>
    <mergeCell ref="D131:D145"/>
    <mergeCell ref="D146:D155"/>
    <mergeCell ref="D156:D166"/>
    <mergeCell ref="D168:D176"/>
    <mergeCell ref="D177:D183"/>
    <mergeCell ref="D184:D192"/>
    <mergeCell ref="D193:D203"/>
    <mergeCell ref="D286:D292"/>
    <mergeCell ref="D293:D299"/>
    <mergeCell ref="E6:E7"/>
    <mergeCell ref="E9:E10"/>
    <mergeCell ref="E12:E13"/>
    <mergeCell ref="E15:E16"/>
    <mergeCell ref="E27:E28"/>
    <mergeCell ref="E36:E37"/>
    <mergeCell ref="E48:E49"/>
    <mergeCell ref="E50:E51"/>
    <mergeCell ref="E55:E56"/>
    <mergeCell ref="E66:E67"/>
    <mergeCell ref="E68:E69"/>
    <mergeCell ref="E75:E77"/>
    <mergeCell ref="E83:E84"/>
    <mergeCell ref="E90:E91"/>
    <mergeCell ref="E95:E96"/>
    <mergeCell ref="E102:E103"/>
    <mergeCell ref="E105:E106"/>
    <mergeCell ref="E108:E110"/>
    <mergeCell ref="E112:E114"/>
    <mergeCell ref="E115:E116"/>
    <mergeCell ref="E117:E118"/>
    <mergeCell ref="E120:E121"/>
    <mergeCell ref="E185:E186"/>
    <mergeCell ref="E190:E191"/>
    <mergeCell ref="E193:E194"/>
    <mergeCell ref="E198:E199"/>
    <mergeCell ref="E200:E202"/>
    <mergeCell ref="E205:E206"/>
    <mergeCell ref="E207:E208"/>
    <mergeCell ref="E209:E211"/>
    <mergeCell ref="E213:E215"/>
    <mergeCell ref="E216:E218"/>
    <mergeCell ref="E220:E221"/>
    <mergeCell ref="E226:E227"/>
    <mergeCell ref="E231:E232"/>
    <mergeCell ref="E234:E236"/>
    <mergeCell ref="E240:E241"/>
    <mergeCell ref="E242:E243"/>
    <mergeCell ref="E245:E246"/>
    <mergeCell ref="E247:E249"/>
    <mergeCell ref="E237:F237"/>
    <mergeCell ref="E244:F244"/>
    <mergeCell ref="E264:E267"/>
    <mergeCell ref="E268:E271"/>
    <mergeCell ref="E273:E275"/>
    <mergeCell ref="E276:E279"/>
    <mergeCell ref="E281:E283"/>
    <mergeCell ref="E286:E291"/>
    <mergeCell ref="E293:E295"/>
    <mergeCell ref="E296:E298"/>
    <mergeCell ref="E292:F292"/>
    <mergeCell ref="H48:H49"/>
    <mergeCell ref="H50:H51"/>
    <mergeCell ref="H55:H56"/>
    <mergeCell ref="H66:H67"/>
    <mergeCell ref="H68:H69"/>
    <mergeCell ref="H75:H77"/>
    <mergeCell ref="H83:H84"/>
    <mergeCell ref="H90:H91"/>
    <mergeCell ref="H95:H96"/>
    <mergeCell ref="H102:H103"/>
    <mergeCell ref="H105:H106"/>
    <mergeCell ref="H108:H110"/>
    <mergeCell ref="H112:H114"/>
    <mergeCell ref="H115:H116"/>
    <mergeCell ref="H117:H118"/>
    <mergeCell ref="H136:H137"/>
    <mergeCell ref="H138:H139"/>
    <mergeCell ref="H143:H144"/>
    <mergeCell ref="H156:H157"/>
    <mergeCell ref="H158:H159"/>
    <mergeCell ref="H164:H165"/>
    <mergeCell ref="H168:H169"/>
    <mergeCell ref="H170:H171"/>
    <mergeCell ref="H174:H175"/>
    <mergeCell ref="H177:H178"/>
    <mergeCell ref="H181:H182"/>
    <mergeCell ref="H185:H186"/>
    <mergeCell ref="H190:H191"/>
    <mergeCell ref="H193:H194"/>
    <mergeCell ref="H198:H199"/>
    <mergeCell ref="H200:H202"/>
    <mergeCell ref="H205:H206"/>
    <mergeCell ref="H207:H208"/>
    <mergeCell ref="H209:H211"/>
    <mergeCell ref="H213:H215"/>
    <mergeCell ref="H216:H218"/>
    <mergeCell ref="H220:H221"/>
    <mergeCell ref="H226:H227"/>
    <mergeCell ref="H231:H232"/>
    <mergeCell ref="H234:H236"/>
    <mergeCell ref="H240:H241"/>
    <mergeCell ref="H242:H243"/>
    <mergeCell ref="H245:H246"/>
    <mergeCell ref="H247:H249"/>
    <mergeCell ref="H252:H253"/>
    <mergeCell ref="H254:H256"/>
    <mergeCell ref="H257:H259"/>
    <mergeCell ref="H262:H263"/>
    <mergeCell ref="H264:H267"/>
    <mergeCell ref="H268:H271"/>
    <mergeCell ref="H273:H275"/>
    <mergeCell ref="H276:H279"/>
    <mergeCell ref="H281:H283"/>
    <mergeCell ref="H286:H291"/>
    <mergeCell ref="H293:H295"/>
    <mergeCell ref="H296:H298"/>
    <mergeCell ref="I9:I10"/>
    <mergeCell ref="I12:I13"/>
    <mergeCell ref="I15:I16"/>
    <mergeCell ref="I27:I28"/>
    <mergeCell ref="I36:I37"/>
    <mergeCell ref="I48:I49"/>
    <mergeCell ref="I50:I51"/>
    <mergeCell ref="I55:I56"/>
    <mergeCell ref="I66:I67"/>
    <mergeCell ref="I68:I69"/>
    <mergeCell ref="I75:I77"/>
    <mergeCell ref="I83:I84"/>
    <mergeCell ref="I90:I91"/>
    <mergeCell ref="I95:I96"/>
    <mergeCell ref="I102:I103"/>
    <mergeCell ref="I105:I106"/>
    <mergeCell ref="I108:I110"/>
    <mergeCell ref="I112:I114"/>
    <mergeCell ref="I115:I116"/>
    <mergeCell ref="I117:I118"/>
    <mergeCell ref="I120:I121"/>
    <mergeCell ref="I125:I126"/>
    <mergeCell ref="I136:I137"/>
    <mergeCell ref="I138:I139"/>
    <mergeCell ref="I143:I144"/>
    <mergeCell ref="I156:I157"/>
    <mergeCell ref="I158:I159"/>
    <mergeCell ref="I164:I165"/>
    <mergeCell ref="I220:I221"/>
    <mergeCell ref="I226:I227"/>
    <mergeCell ref="I231:I232"/>
    <mergeCell ref="I168:I169"/>
    <mergeCell ref="I170:I171"/>
    <mergeCell ref="I174:I175"/>
    <mergeCell ref="I177:I178"/>
    <mergeCell ref="I181:I182"/>
    <mergeCell ref="I185:I186"/>
    <mergeCell ref="I190:I191"/>
    <mergeCell ref="I193:I194"/>
    <mergeCell ref="I198:I199"/>
    <mergeCell ref="I264:I267"/>
    <mergeCell ref="I268:I271"/>
    <mergeCell ref="I273:I275"/>
    <mergeCell ref="I276:I279"/>
    <mergeCell ref="I281:I283"/>
    <mergeCell ref="I286:I291"/>
    <mergeCell ref="I293:I295"/>
    <mergeCell ref="I296:I298"/>
    <mergeCell ref="A1:I2"/>
    <mergeCell ref="I234:I236"/>
    <mergeCell ref="I240:I241"/>
    <mergeCell ref="I242:I243"/>
    <mergeCell ref="I245:I246"/>
    <mergeCell ref="I247:I249"/>
    <mergeCell ref="I252:I253"/>
    <mergeCell ref="I254:I256"/>
    <mergeCell ref="I257:I259"/>
    <mergeCell ref="I262:I263"/>
    <mergeCell ref="I200:I202"/>
    <mergeCell ref="I205:I206"/>
    <mergeCell ref="I207:I208"/>
    <mergeCell ref="I209:I211"/>
    <mergeCell ref="I213:I215"/>
    <mergeCell ref="I216:I218"/>
  </mergeCells>
  <printOptions horizontalCentered="1"/>
  <pageMargins left="0.5" right="0.5" top="0.5" bottom="0.5" header="0.3" footer="0.3"/>
  <pageSetup paperSize="9" scale="78" orientation="portrait" r:id="rId1"/>
  <rowBreaks count="4" manualBreakCount="4">
    <brk id="58" max="16383" man="1"/>
    <brk id="122" max="16383" man="1"/>
    <brk id="183" max="16383" man="1"/>
    <brk id="25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5117038483843"/>
  </sheetPr>
  <dimension ref="A1:AG35"/>
  <sheetViews>
    <sheetView tabSelected="1" zoomScale="80" zoomScaleNormal="80" workbookViewId="0">
      <pane xSplit="1" ySplit="1" topLeftCell="B2" activePane="bottomRight" state="frozen"/>
      <selection pane="topRight"/>
      <selection pane="bottomLeft"/>
      <selection pane="bottomRight" activeCell="E8" sqref="E8"/>
    </sheetView>
  </sheetViews>
  <sheetFormatPr defaultColWidth="9" defaultRowHeight="13.2"/>
  <cols>
    <col min="1" max="1" width="16.33203125" bestFit="1" customWidth="1"/>
    <col min="2" max="2" width="9.33203125" bestFit="1" customWidth="1"/>
    <col min="3" max="3" width="5.77734375" bestFit="1" customWidth="1"/>
    <col min="4" max="4" width="6.21875" bestFit="1" customWidth="1"/>
    <col min="5" max="5" width="6.77734375" bestFit="1" customWidth="1"/>
    <col min="6" max="6" width="6.33203125" bestFit="1" customWidth="1"/>
    <col min="8" max="8" width="3.6640625" bestFit="1" customWidth="1"/>
    <col min="9" max="10" width="6.21875" bestFit="1" customWidth="1"/>
    <col min="11" max="11" width="6.77734375" bestFit="1" customWidth="1"/>
    <col min="12" max="12" width="8.88671875" bestFit="1" customWidth="1"/>
    <col min="13" max="13" width="4.6640625" bestFit="1" customWidth="1"/>
    <col min="15" max="15" width="8" bestFit="1" customWidth="1"/>
    <col min="16" max="16" width="8" style="193" customWidth="1"/>
    <col min="17" max="17" width="7.44140625" bestFit="1" customWidth="1"/>
    <col min="18" max="18" width="8.6640625" bestFit="1" customWidth="1"/>
    <col min="19" max="19" width="5.88671875" bestFit="1" customWidth="1"/>
    <col min="20" max="20" width="5.77734375" bestFit="1" customWidth="1"/>
    <col min="21" max="21" width="6" bestFit="1" customWidth="1"/>
    <col min="22" max="22" width="9.88671875" bestFit="1" customWidth="1"/>
    <col min="23" max="23" width="8.88671875" bestFit="1" customWidth="1"/>
    <col min="24" max="24" width="7.33203125" bestFit="1" customWidth="1"/>
    <col min="25" max="25" width="6.21875" bestFit="1" customWidth="1"/>
    <col min="26" max="26" width="7" bestFit="1" customWidth="1"/>
    <col min="27" max="27" width="8" bestFit="1" customWidth="1"/>
    <col min="28" max="28" width="6.21875" bestFit="1" customWidth="1"/>
    <col min="29" max="29" width="9.33203125" bestFit="1" customWidth="1"/>
    <col min="30" max="31" width="7.77734375" bestFit="1" customWidth="1"/>
    <col min="32" max="32" width="9.109375" bestFit="1" customWidth="1"/>
    <col min="33" max="33" width="9" style="193"/>
  </cols>
  <sheetData>
    <row r="1" spans="1:33" s="69" customFormat="1" ht="39.6">
      <c r="A1" s="187" t="s">
        <v>305</v>
      </c>
      <c r="B1" s="188" t="s">
        <v>470</v>
      </c>
      <c r="C1" s="188" t="s">
        <v>352</v>
      </c>
      <c r="D1" s="188" t="s">
        <v>353</v>
      </c>
      <c r="E1" s="188" t="s">
        <v>354</v>
      </c>
      <c r="F1" s="188" t="s">
        <v>355</v>
      </c>
      <c r="G1" s="188" t="s">
        <v>356</v>
      </c>
      <c r="H1" s="188" t="s">
        <v>357</v>
      </c>
      <c r="I1" s="188" t="s">
        <v>471</v>
      </c>
      <c r="J1" s="188" t="s">
        <v>358</v>
      </c>
      <c r="K1" s="188" t="s">
        <v>359</v>
      </c>
      <c r="L1" s="188" t="s">
        <v>472</v>
      </c>
      <c r="M1" s="188" t="s">
        <v>360</v>
      </c>
      <c r="N1" s="188" t="s">
        <v>361</v>
      </c>
      <c r="O1" s="188" t="s">
        <v>473</v>
      </c>
      <c r="P1" s="191"/>
      <c r="Q1" s="188" t="s">
        <v>474</v>
      </c>
      <c r="R1" s="188" t="s">
        <v>475</v>
      </c>
      <c r="S1" s="188" t="s">
        <v>363</v>
      </c>
      <c r="T1" s="188" t="s">
        <v>364</v>
      </c>
      <c r="U1" s="188" t="s">
        <v>365</v>
      </c>
      <c r="V1" s="188" t="s">
        <v>366</v>
      </c>
      <c r="W1" s="188" t="s">
        <v>476</v>
      </c>
      <c r="X1" s="188" t="s">
        <v>367</v>
      </c>
      <c r="Y1" s="188" t="s">
        <v>368</v>
      </c>
      <c r="Z1" s="188" t="s">
        <v>477</v>
      </c>
      <c r="AA1" s="188" t="s">
        <v>369</v>
      </c>
      <c r="AB1" s="188" t="s">
        <v>370</v>
      </c>
      <c r="AC1" s="188" t="s">
        <v>478</v>
      </c>
      <c r="AD1" s="188" t="s">
        <v>479</v>
      </c>
      <c r="AE1" s="188" t="s">
        <v>480</v>
      </c>
      <c r="AF1" s="188" t="s">
        <v>481</v>
      </c>
      <c r="AG1" s="191"/>
    </row>
    <row r="2" spans="1:33">
      <c r="A2" s="189" t="s">
        <v>7</v>
      </c>
      <c r="B2" s="190">
        <v>90</v>
      </c>
      <c r="C2" s="190">
        <v>0</v>
      </c>
      <c r="D2" s="190">
        <v>90</v>
      </c>
      <c r="E2" s="190">
        <v>20</v>
      </c>
      <c r="F2" s="190">
        <v>90</v>
      </c>
      <c r="G2" s="190">
        <v>90</v>
      </c>
      <c r="H2" s="190">
        <v>0</v>
      </c>
      <c r="I2" s="190">
        <v>30</v>
      </c>
      <c r="J2" s="190">
        <v>0</v>
      </c>
      <c r="K2" s="190">
        <v>0</v>
      </c>
      <c r="L2" s="190">
        <v>0</v>
      </c>
      <c r="M2" s="190">
        <v>0</v>
      </c>
      <c r="N2" s="190">
        <v>0</v>
      </c>
      <c r="O2" s="190">
        <v>0</v>
      </c>
      <c r="P2" s="192"/>
      <c r="Q2" s="190">
        <v>90</v>
      </c>
      <c r="R2" s="190">
        <v>0</v>
      </c>
      <c r="S2" s="190">
        <v>0</v>
      </c>
      <c r="T2" s="190">
        <v>0</v>
      </c>
      <c r="U2" s="190">
        <v>0</v>
      </c>
      <c r="V2" s="190">
        <v>90</v>
      </c>
      <c r="W2" s="190">
        <v>0</v>
      </c>
      <c r="X2" s="190">
        <v>50</v>
      </c>
      <c r="Y2" s="190">
        <v>30</v>
      </c>
      <c r="Z2" s="190">
        <v>30</v>
      </c>
      <c r="AA2" s="190">
        <v>0</v>
      </c>
      <c r="AB2" s="190">
        <v>0</v>
      </c>
      <c r="AC2" s="190">
        <v>20</v>
      </c>
      <c r="AD2" s="190">
        <v>40</v>
      </c>
      <c r="AE2" s="190">
        <v>0</v>
      </c>
      <c r="AF2" s="190">
        <v>10</v>
      </c>
      <c r="AG2" s="192"/>
    </row>
    <row r="3" spans="1:33">
      <c r="A3" s="189" t="s">
        <v>19</v>
      </c>
      <c r="B3" s="190">
        <v>120</v>
      </c>
      <c r="C3" s="190">
        <v>30</v>
      </c>
      <c r="D3" s="190">
        <v>60</v>
      </c>
      <c r="E3" s="190">
        <v>0</v>
      </c>
      <c r="F3" s="190">
        <v>140</v>
      </c>
      <c r="G3" s="190">
        <v>0</v>
      </c>
      <c r="H3" s="190">
        <v>0</v>
      </c>
      <c r="I3" s="190">
        <v>80</v>
      </c>
      <c r="J3" s="190">
        <v>0</v>
      </c>
      <c r="K3" s="190">
        <v>0</v>
      </c>
      <c r="L3" s="190">
        <v>10</v>
      </c>
      <c r="M3" s="190">
        <v>0</v>
      </c>
      <c r="N3" s="190">
        <v>0</v>
      </c>
      <c r="O3" s="190">
        <v>0</v>
      </c>
      <c r="P3" s="192"/>
      <c r="Q3" s="190">
        <v>140</v>
      </c>
      <c r="R3" s="190">
        <v>0</v>
      </c>
      <c r="S3" s="190">
        <v>0</v>
      </c>
      <c r="T3" s="190">
        <v>0</v>
      </c>
      <c r="U3" s="190">
        <v>0</v>
      </c>
      <c r="V3" s="190">
        <v>120</v>
      </c>
      <c r="W3" s="190">
        <v>0</v>
      </c>
      <c r="X3" s="190">
        <v>30</v>
      </c>
      <c r="Y3" s="190">
        <v>60</v>
      </c>
      <c r="Z3" s="190">
        <v>20</v>
      </c>
      <c r="AA3" s="190">
        <v>40</v>
      </c>
      <c r="AB3" s="190">
        <v>90</v>
      </c>
      <c r="AC3" s="190">
        <v>60</v>
      </c>
      <c r="AD3" s="190">
        <v>140</v>
      </c>
      <c r="AE3" s="190">
        <v>0</v>
      </c>
      <c r="AF3" s="190">
        <v>0</v>
      </c>
      <c r="AG3" s="192"/>
    </row>
    <row r="4" spans="1:33">
      <c r="A4" s="189" t="s">
        <v>34</v>
      </c>
      <c r="B4" s="190">
        <v>10</v>
      </c>
      <c r="C4" s="190">
        <v>0</v>
      </c>
      <c r="D4" s="190">
        <v>70</v>
      </c>
      <c r="E4" s="190">
        <v>20</v>
      </c>
      <c r="F4" s="190">
        <v>90</v>
      </c>
      <c r="G4" s="190">
        <v>10</v>
      </c>
      <c r="H4" s="190">
        <v>0</v>
      </c>
      <c r="I4" s="190">
        <v>40</v>
      </c>
      <c r="J4" s="190">
        <v>0</v>
      </c>
      <c r="K4" s="190">
        <v>0</v>
      </c>
      <c r="L4" s="190">
        <v>0</v>
      </c>
      <c r="M4" s="190">
        <v>0</v>
      </c>
      <c r="N4" s="190">
        <v>0</v>
      </c>
      <c r="O4" s="190">
        <v>0</v>
      </c>
      <c r="P4" s="192"/>
      <c r="Q4" s="190">
        <v>90</v>
      </c>
      <c r="R4" s="190">
        <v>0</v>
      </c>
      <c r="S4" s="190">
        <v>0</v>
      </c>
      <c r="T4" s="190">
        <v>0</v>
      </c>
      <c r="U4" s="190">
        <v>50</v>
      </c>
      <c r="V4" s="190">
        <v>80</v>
      </c>
      <c r="W4" s="190">
        <v>0</v>
      </c>
      <c r="X4" s="190">
        <v>30</v>
      </c>
      <c r="Y4" s="190">
        <v>40</v>
      </c>
      <c r="Z4" s="190">
        <v>30</v>
      </c>
      <c r="AA4" s="190">
        <v>40</v>
      </c>
      <c r="AB4" s="190">
        <v>10</v>
      </c>
      <c r="AC4" s="190">
        <v>0</v>
      </c>
      <c r="AD4" s="190">
        <v>40</v>
      </c>
      <c r="AE4" s="190">
        <v>0</v>
      </c>
      <c r="AF4" s="190">
        <v>0</v>
      </c>
      <c r="AG4" s="192"/>
    </row>
    <row r="5" spans="1:33">
      <c r="A5" s="189" t="s">
        <v>50</v>
      </c>
      <c r="B5" s="190">
        <v>40</v>
      </c>
      <c r="C5" s="190">
        <v>0</v>
      </c>
      <c r="D5" s="190">
        <v>100</v>
      </c>
      <c r="E5" s="190">
        <v>0</v>
      </c>
      <c r="F5" s="190">
        <v>100</v>
      </c>
      <c r="G5" s="190">
        <v>10</v>
      </c>
      <c r="H5" s="190">
        <v>0</v>
      </c>
      <c r="I5" s="190">
        <v>20</v>
      </c>
      <c r="J5" s="190">
        <v>10</v>
      </c>
      <c r="K5" s="190">
        <v>0</v>
      </c>
      <c r="L5" s="190">
        <v>0</v>
      </c>
      <c r="M5" s="190">
        <v>0</v>
      </c>
      <c r="N5" s="190">
        <v>0</v>
      </c>
      <c r="O5" s="190">
        <v>0</v>
      </c>
      <c r="P5" s="192"/>
      <c r="Q5" s="190">
        <v>100</v>
      </c>
      <c r="R5" s="190">
        <v>0</v>
      </c>
      <c r="S5" s="190">
        <v>0</v>
      </c>
      <c r="T5" s="190">
        <v>0</v>
      </c>
      <c r="U5" s="190">
        <v>10</v>
      </c>
      <c r="V5" s="190">
        <v>90</v>
      </c>
      <c r="W5" s="190">
        <v>0</v>
      </c>
      <c r="X5" s="190">
        <v>0</v>
      </c>
      <c r="Y5" s="190">
        <v>0</v>
      </c>
      <c r="Z5" s="190">
        <v>20</v>
      </c>
      <c r="AA5" s="190">
        <v>60</v>
      </c>
      <c r="AB5" s="190">
        <v>10</v>
      </c>
      <c r="AC5" s="190">
        <v>10</v>
      </c>
      <c r="AD5" s="190">
        <v>70</v>
      </c>
      <c r="AE5" s="190">
        <v>0</v>
      </c>
      <c r="AF5" s="190">
        <v>0</v>
      </c>
      <c r="AG5" s="192"/>
    </row>
    <row r="6" spans="1:33">
      <c r="A6" s="189" t="s">
        <v>54</v>
      </c>
      <c r="B6" s="190">
        <v>60</v>
      </c>
      <c r="C6" s="190">
        <v>40</v>
      </c>
      <c r="D6" s="190">
        <v>70</v>
      </c>
      <c r="E6" s="190">
        <v>0</v>
      </c>
      <c r="F6" s="190">
        <v>60</v>
      </c>
      <c r="G6" s="190">
        <v>0</v>
      </c>
      <c r="H6" s="190">
        <v>40</v>
      </c>
      <c r="I6" s="190">
        <v>0</v>
      </c>
      <c r="J6" s="190">
        <v>10</v>
      </c>
      <c r="K6" s="190">
        <v>10</v>
      </c>
      <c r="L6" s="190">
        <v>0</v>
      </c>
      <c r="M6" s="190">
        <v>0</v>
      </c>
      <c r="N6" s="190">
        <v>50</v>
      </c>
      <c r="O6" s="190">
        <v>0</v>
      </c>
      <c r="P6" s="192"/>
      <c r="Q6" s="190">
        <v>80</v>
      </c>
      <c r="R6" s="190">
        <v>0</v>
      </c>
      <c r="S6" s="190">
        <v>0</v>
      </c>
      <c r="T6" s="190">
        <v>10</v>
      </c>
      <c r="U6" s="190">
        <v>50</v>
      </c>
      <c r="V6" s="190">
        <v>20</v>
      </c>
      <c r="W6" s="190">
        <v>0</v>
      </c>
      <c r="X6" s="190">
        <v>0</v>
      </c>
      <c r="Y6" s="190">
        <v>0</v>
      </c>
      <c r="Z6" s="190">
        <v>20</v>
      </c>
      <c r="AA6" s="190">
        <v>30</v>
      </c>
      <c r="AB6" s="190">
        <v>60</v>
      </c>
      <c r="AC6" s="190">
        <v>10</v>
      </c>
      <c r="AD6" s="190">
        <v>20</v>
      </c>
      <c r="AE6" s="190">
        <v>0</v>
      </c>
      <c r="AF6" s="190">
        <v>0</v>
      </c>
      <c r="AG6" s="192"/>
    </row>
    <row r="7" spans="1:33">
      <c r="A7" s="189" t="s">
        <v>63</v>
      </c>
      <c r="B7" s="190">
        <v>60</v>
      </c>
      <c r="C7" s="190">
        <v>60</v>
      </c>
      <c r="D7" s="190">
        <v>50</v>
      </c>
      <c r="E7" s="190">
        <v>0</v>
      </c>
      <c r="F7" s="190">
        <v>50</v>
      </c>
      <c r="G7" s="190">
        <v>0</v>
      </c>
      <c r="H7" s="190">
        <v>30</v>
      </c>
      <c r="I7" s="190">
        <v>10</v>
      </c>
      <c r="J7" s="190">
        <v>10</v>
      </c>
      <c r="K7" s="190">
        <v>0</v>
      </c>
      <c r="L7" s="190">
        <v>0</v>
      </c>
      <c r="M7" s="190">
        <v>0</v>
      </c>
      <c r="N7" s="190">
        <v>60</v>
      </c>
      <c r="O7" s="190">
        <v>0</v>
      </c>
      <c r="P7" s="192"/>
      <c r="Q7" s="190">
        <v>60</v>
      </c>
      <c r="R7" s="190">
        <v>0</v>
      </c>
      <c r="S7" s="190">
        <v>0</v>
      </c>
      <c r="T7" s="190">
        <v>50</v>
      </c>
      <c r="U7" s="190">
        <v>60</v>
      </c>
      <c r="V7" s="190">
        <v>20</v>
      </c>
      <c r="W7" s="190">
        <v>0</v>
      </c>
      <c r="X7" s="190">
        <v>0</v>
      </c>
      <c r="Y7" s="190">
        <v>0</v>
      </c>
      <c r="Z7" s="190">
        <v>10</v>
      </c>
      <c r="AA7" s="190">
        <v>10</v>
      </c>
      <c r="AB7" s="190">
        <v>30</v>
      </c>
      <c r="AC7" s="190">
        <v>0</v>
      </c>
      <c r="AD7" s="190">
        <v>20</v>
      </c>
      <c r="AE7" s="190">
        <v>0</v>
      </c>
      <c r="AF7" s="190">
        <v>0</v>
      </c>
      <c r="AG7" s="192"/>
    </row>
    <row r="8" spans="1:33">
      <c r="A8" s="189" t="s">
        <v>70</v>
      </c>
      <c r="B8" s="190">
        <v>30</v>
      </c>
      <c r="C8" s="190">
        <v>0</v>
      </c>
      <c r="D8" s="190">
        <v>40</v>
      </c>
      <c r="E8" s="190">
        <v>0</v>
      </c>
      <c r="F8" s="190">
        <v>40</v>
      </c>
      <c r="G8" s="190">
        <v>0</v>
      </c>
      <c r="H8" s="190">
        <v>0</v>
      </c>
      <c r="I8" s="190">
        <v>10</v>
      </c>
      <c r="J8" s="190">
        <v>30</v>
      </c>
      <c r="K8" s="190">
        <v>0</v>
      </c>
      <c r="L8" s="190">
        <v>0</v>
      </c>
      <c r="M8" s="190">
        <v>0</v>
      </c>
      <c r="N8" s="190">
        <v>0</v>
      </c>
      <c r="O8" s="190">
        <v>0</v>
      </c>
      <c r="P8" s="192"/>
      <c r="Q8" s="190">
        <v>40</v>
      </c>
      <c r="R8" s="190">
        <v>0</v>
      </c>
      <c r="S8" s="190">
        <v>0</v>
      </c>
      <c r="T8" s="190">
        <v>0</v>
      </c>
      <c r="U8" s="190">
        <v>10</v>
      </c>
      <c r="V8" s="190">
        <v>30</v>
      </c>
      <c r="W8" s="190">
        <v>0</v>
      </c>
      <c r="X8" s="190">
        <v>0</v>
      </c>
      <c r="Y8" s="190">
        <v>0</v>
      </c>
      <c r="Z8" s="190">
        <v>10</v>
      </c>
      <c r="AA8" s="190">
        <v>10</v>
      </c>
      <c r="AB8" s="190">
        <v>30</v>
      </c>
      <c r="AC8" s="190">
        <v>0</v>
      </c>
      <c r="AD8" s="190">
        <v>30</v>
      </c>
      <c r="AE8" s="190">
        <v>0</v>
      </c>
      <c r="AF8" s="190">
        <v>0</v>
      </c>
      <c r="AG8" s="192"/>
    </row>
    <row r="9" spans="1:33">
      <c r="A9" s="189" t="s">
        <v>74</v>
      </c>
      <c r="B9" s="190">
        <v>0</v>
      </c>
      <c r="C9" s="190">
        <v>0</v>
      </c>
      <c r="D9" s="190">
        <v>40</v>
      </c>
      <c r="E9" s="190">
        <v>60</v>
      </c>
      <c r="F9" s="190">
        <v>60</v>
      </c>
      <c r="G9" s="190">
        <v>0</v>
      </c>
      <c r="H9" s="190">
        <v>20</v>
      </c>
      <c r="I9" s="190">
        <v>0</v>
      </c>
      <c r="J9" s="190">
        <v>52</v>
      </c>
      <c r="K9" s="190">
        <v>0</v>
      </c>
      <c r="L9" s="190">
        <v>0</v>
      </c>
      <c r="M9" s="190">
        <v>0</v>
      </c>
      <c r="N9" s="190">
        <v>0</v>
      </c>
      <c r="O9" s="190">
        <v>0</v>
      </c>
      <c r="P9" s="192"/>
      <c r="Q9" s="190">
        <v>90</v>
      </c>
      <c r="R9" s="190">
        <v>35</v>
      </c>
      <c r="S9" s="190">
        <v>0</v>
      </c>
      <c r="T9" s="190">
        <v>0</v>
      </c>
      <c r="U9" s="190">
        <v>60</v>
      </c>
      <c r="V9" s="190">
        <v>40</v>
      </c>
      <c r="W9" s="190">
        <v>0</v>
      </c>
      <c r="X9" s="190">
        <v>10</v>
      </c>
      <c r="Y9" s="190">
        <v>50</v>
      </c>
      <c r="Z9" s="190">
        <v>0</v>
      </c>
      <c r="AA9" s="190">
        <v>0</v>
      </c>
      <c r="AB9" s="190">
        <v>0</v>
      </c>
      <c r="AC9" s="190">
        <v>0</v>
      </c>
      <c r="AD9" s="190">
        <v>10</v>
      </c>
      <c r="AE9" s="190">
        <v>40</v>
      </c>
      <c r="AF9" s="190">
        <v>10</v>
      </c>
      <c r="AG9" s="192"/>
    </row>
    <row r="10" spans="1:33">
      <c r="A10" s="189" t="s">
        <v>85</v>
      </c>
      <c r="B10" s="190">
        <v>60</v>
      </c>
      <c r="C10" s="190">
        <v>0</v>
      </c>
      <c r="D10" s="190">
        <v>100</v>
      </c>
      <c r="E10" s="190">
        <v>60</v>
      </c>
      <c r="F10" s="190">
        <v>70</v>
      </c>
      <c r="G10" s="190">
        <v>60</v>
      </c>
      <c r="H10" s="190">
        <v>10</v>
      </c>
      <c r="I10" s="190">
        <v>10</v>
      </c>
      <c r="J10" s="190">
        <v>10</v>
      </c>
      <c r="K10" s="190">
        <v>10</v>
      </c>
      <c r="L10" s="190">
        <v>0</v>
      </c>
      <c r="M10" s="190">
        <v>0</v>
      </c>
      <c r="N10" s="190">
        <v>0</v>
      </c>
      <c r="O10" s="190">
        <v>0</v>
      </c>
      <c r="P10" s="192"/>
      <c r="Q10" s="190">
        <v>100</v>
      </c>
      <c r="R10" s="190">
        <v>10</v>
      </c>
      <c r="S10" s="190">
        <v>0</v>
      </c>
      <c r="T10" s="190">
        <v>0</v>
      </c>
      <c r="U10" s="190">
        <v>90</v>
      </c>
      <c r="V10" s="190">
        <v>40</v>
      </c>
      <c r="W10" s="190">
        <v>0</v>
      </c>
      <c r="X10" s="190">
        <v>10</v>
      </c>
      <c r="Y10" s="190">
        <v>100</v>
      </c>
      <c r="Z10" s="190">
        <v>60</v>
      </c>
      <c r="AA10" s="190">
        <v>0</v>
      </c>
      <c r="AB10" s="190">
        <v>0</v>
      </c>
      <c r="AC10" s="190">
        <v>0</v>
      </c>
      <c r="AD10" s="190">
        <v>0</v>
      </c>
      <c r="AE10" s="190">
        <v>0</v>
      </c>
      <c r="AF10" s="190">
        <v>60</v>
      </c>
      <c r="AG10" s="192"/>
    </row>
    <row r="11" spans="1:33">
      <c r="A11" s="189" t="s">
        <v>96</v>
      </c>
      <c r="B11" s="190">
        <v>50</v>
      </c>
      <c r="C11" s="190">
        <v>0</v>
      </c>
      <c r="D11" s="190">
        <v>50</v>
      </c>
      <c r="E11" s="190">
        <v>30</v>
      </c>
      <c r="F11" s="190">
        <v>30</v>
      </c>
      <c r="G11" s="190">
        <v>30</v>
      </c>
      <c r="H11" s="190">
        <v>10</v>
      </c>
      <c r="I11" s="190">
        <v>0</v>
      </c>
      <c r="J11" s="190">
        <v>0</v>
      </c>
      <c r="K11" s="190">
        <v>0</v>
      </c>
      <c r="L11" s="190">
        <v>0</v>
      </c>
      <c r="M11" s="190">
        <v>0</v>
      </c>
      <c r="N11" s="190">
        <v>10</v>
      </c>
      <c r="O11" s="190">
        <v>0</v>
      </c>
      <c r="P11" s="192"/>
      <c r="Q11" s="190">
        <v>50</v>
      </c>
      <c r="R11" s="190">
        <v>0</v>
      </c>
      <c r="S11" s="190">
        <v>0</v>
      </c>
      <c r="T11" s="190">
        <v>0</v>
      </c>
      <c r="U11" s="190">
        <v>50</v>
      </c>
      <c r="V11" s="190">
        <v>20</v>
      </c>
      <c r="W11" s="190">
        <v>0</v>
      </c>
      <c r="X11" s="190">
        <v>0</v>
      </c>
      <c r="Y11" s="190">
        <v>50</v>
      </c>
      <c r="Z11" s="190">
        <v>30</v>
      </c>
      <c r="AA11" s="190">
        <v>0</v>
      </c>
      <c r="AB11" s="190">
        <v>0</v>
      </c>
      <c r="AC11" s="190">
        <v>10</v>
      </c>
      <c r="AD11" s="190">
        <v>10</v>
      </c>
      <c r="AE11" s="190">
        <v>0</v>
      </c>
      <c r="AF11" s="190">
        <v>30</v>
      </c>
      <c r="AG11" s="192"/>
    </row>
    <row r="12" spans="1:33">
      <c r="A12" s="189" t="s">
        <v>101</v>
      </c>
      <c r="B12" s="190">
        <v>110</v>
      </c>
      <c r="C12" s="190">
        <v>0</v>
      </c>
      <c r="D12" s="190">
        <v>110</v>
      </c>
      <c r="E12" s="190">
        <v>0</v>
      </c>
      <c r="F12" s="190">
        <v>20</v>
      </c>
      <c r="G12" s="190">
        <v>0</v>
      </c>
      <c r="H12" s="190">
        <v>20</v>
      </c>
      <c r="I12" s="190">
        <v>0</v>
      </c>
      <c r="J12" s="190">
        <v>0</v>
      </c>
      <c r="K12" s="190">
        <v>0</v>
      </c>
      <c r="L12" s="190">
        <v>0</v>
      </c>
      <c r="M12" s="190">
        <v>0</v>
      </c>
      <c r="N12" s="190">
        <v>50</v>
      </c>
      <c r="O12" s="190">
        <v>0</v>
      </c>
      <c r="P12" s="192"/>
      <c r="Q12" s="190">
        <v>110</v>
      </c>
      <c r="R12" s="190">
        <v>0</v>
      </c>
      <c r="S12" s="190">
        <v>0</v>
      </c>
      <c r="T12" s="190">
        <v>0</v>
      </c>
      <c r="U12" s="190">
        <v>110</v>
      </c>
      <c r="V12" s="190">
        <v>0</v>
      </c>
      <c r="W12" s="190">
        <v>0</v>
      </c>
      <c r="X12" s="190">
        <v>0</v>
      </c>
      <c r="Y12" s="190">
        <v>90</v>
      </c>
      <c r="Z12" s="190">
        <v>0</v>
      </c>
      <c r="AA12" s="190">
        <v>0</v>
      </c>
      <c r="AB12" s="190">
        <v>0</v>
      </c>
      <c r="AC12" s="190">
        <v>0</v>
      </c>
      <c r="AD12" s="190">
        <v>0</v>
      </c>
      <c r="AE12" s="190">
        <v>0</v>
      </c>
      <c r="AF12" s="190">
        <v>50</v>
      </c>
      <c r="AG12" s="192"/>
    </row>
    <row r="13" spans="1:33">
      <c r="A13" s="189" t="s">
        <v>112</v>
      </c>
      <c r="B13" s="190">
        <v>60</v>
      </c>
      <c r="C13" s="190">
        <v>0</v>
      </c>
      <c r="D13" s="190">
        <v>60</v>
      </c>
      <c r="E13" s="190">
        <v>0</v>
      </c>
      <c r="F13" s="190">
        <v>30</v>
      </c>
      <c r="G13" s="190">
        <v>10</v>
      </c>
      <c r="H13" s="190">
        <v>20</v>
      </c>
      <c r="I13" s="190">
        <v>0</v>
      </c>
      <c r="J13" s="190">
        <v>0</v>
      </c>
      <c r="K13" s="190">
        <v>0</v>
      </c>
      <c r="L13" s="190">
        <v>0</v>
      </c>
      <c r="M13" s="190">
        <v>0</v>
      </c>
      <c r="N13" s="190">
        <v>10</v>
      </c>
      <c r="O13" s="190">
        <v>0</v>
      </c>
      <c r="P13" s="192"/>
      <c r="Q13" s="190">
        <v>60</v>
      </c>
      <c r="R13" s="190">
        <v>0</v>
      </c>
      <c r="S13" s="190">
        <v>0</v>
      </c>
      <c r="T13" s="190">
        <v>0</v>
      </c>
      <c r="U13" s="190">
        <v>60</v>
      </c>
      <c r="V13" s="190">
        <v>30</v>
      </c>
      <c r="W13" s="190">
        <v>0</v>
      </c>
      <c r="X13" s="190">
        <v>0</v>
      </c>
      <c r="Y13" s="190">
        <v>60</v>
      </c>
      <c r="Z13" s="190">
        <v>0</v>
      </c>
      <c r="AA13" s="190">
        <v>0</v>
      </c>
      <c r="AB13" s="190">
        <v>0</v>
      </c>
      <c r="AC13" s="190">
        <v>10</v>
      </c>
      <c r="AD13" s="190">
        <v>0</v>
      </c>
      <c r="AE13" s="190">
        <v>0</v>
      </c>
      <c r="AF13" s="190">
        <v>50</v>
      </c>
      <c r="AG13" s="192"/>
    </row>
    <row r="14" spans="1:33">
      <c r="A14" s="189" t="s">
        <v>118</v>
      </c>
      <c r="B14" s="190">
        <v>50</v>
      </c>
      <c r="C14" s="190">
        <v>0</v>
      </c>
      <c r="D14" s="190">
        <v>30</v>
      </c>
      <c r="E14" s="190">
        <v>0</v>
      </c>
      <c r="F14" s="190">
        <v>0</v>
      </c>
      <c r="G14" s="190">
        <v>10</v>
      </c>
      <c r="H14" s="190">
        <v>0</v>
      </c>
      <c r="I14" s="190">
        <v>0</v>
      </c>
      <c r="J14" s="190">
        <v>0</v>
      </c>
      <c r="K14" s="190">
        <v>0</v>
      </c>
      <c r="L14" s="190">
        <v>0</v>
      </c>
      <c r="M14" s="190">
        <v>0</v>
      </c>
      <c r="N14" s="190">
        <v>0</v>
      </c>
      <c r="O14" s="190">
        <v>0</v>
      </c>
      <c r="P14" s="192"/>
      <c r="Q14" s="190">
        <v>30</v>
      </c>
      <c r="R14" s="190">
        <v>0</v>
      </c>
      <c r="S14" s="190">
        <v>0</v>
      </c>
      <c r="T14" s="190">
        <v>0</v>
      </c>
      <c r="U14" s="190">
        <v>40</v>
      </c>
      <c r="V14" s="190">
        <v>10</v>
      </c>
      <c r="W14" s="190">
        <v>0</v>
      </c>
      <c r="X14" s="190">
        <v>0</v>
      </c>
      <c r="Y14" s="190">
        <v>40</v>
      </c>
      <c r="Z14" s="190">
        <v>0</v>
      </c>
      <c r="AA14" s="190">
        <v>0</v>
      </c>
      <c r="AB14" s="190">
        <v>0</v>
      </c>
      <c r="AC14" s="190">
        <v>0</v>
      </c>
      <c r="AD14" s="190">
        <v>0</v>
      </c>
      <c r="AE14" s="190">
        <v>0</v>
      </c>
      <c r="AF14" s="190">
        <v>10</v>
      </c>
      <c r="AG14" s="192"/>
    </row>
    <row r="15" spans="1:33">
      <c r="A15" s="189" t="s">
        <v>123</v>
      </c>
      <c r="B15" s="190">
        <v>30</v>
      </c>
      <c r="C15" s="190">
        <v>0</v>
      </c>
      <c r="D15" s="190">
        <v>10</v>
      </c>
      <c r="E15" s="190">
        <v>10</v>
      </c>
      <c r="F15" s="190">
        <v>0</v>
      </c>
      <c r="G15" s="190">
        <v>0</v>
      </c>
      <c r="H15" s="190">
        <v>0</v>
      </c>
      <c r="I15" s="190">
        <v>0</v>
      </c>
      <c r="J15" s="190">
        <v>0</v>
      </c>
      <c r="K15" s="190">
        <v>0</v>
      </c>
      <c r="L15" s="190">
        <v>10</v>
      </c>
      <c r="M15" s="190">
        <v>0</v>
      </c>
      <c r="N15" s="190">
        <v>10</v>
      </c>
      <c r="O15" s="190">
        <v>0</v>
      </c>
      <c r="P15" s="192"/>
      <c r="Q15" s="190">
        <v>30</v>
      </c>
      <c r="R15" s="190">
        <v>0</v>
      </c>
      <c r="S15" s="190">
        <v>20</v>
      </c>
      <c r="T15" s="190">
        <v>0</v>
      </c>
      <c r="U15" s="190">
        <v>30</v>
      </c>
      <c r="V15" s="190">
        <v>0</v>
      </c>
      <c r="W15" s="190">
        <v>0</v>
      </c>
      <c r="X15" s="190">
        <v>0</v>
      </c>
      <c r="Y15" s="190">
        <v>30</v>
      </c>
      <c r="Z15" s="190">
        <v>0</v>
      </c>
      <c r="AA15" s="190">
        <v>0</v>
      </c>
      <c r="AB15" s="190">
        <v>0</v>
      </c>
      <c r="AC15" s="190">
        <v>0</v>
      </c>
      <c r="AD15" s="190">
        <v>0</v>
      </c>
      <c r="AE15" s="190">
        <v>0</v>
      </c>
      <c r="AF15" s="190">
        <v>20</v>
      </c>
      <c r="AG15" s="192"/>
    </row>
    <row r="16" spans="1:33">
      <c r="A16" s="189" t="s">
        <v>126</v>
      </c>
      <c r="B16" s="190">
        <v>90</v>
      </c>
      <c r="C16" s="190">
        <v>0</v>
      </c>
      <c r="D16" s="190">
        <v>50</v>
      </c>
      <c r="E16" s="190">
        <v>0</v>
      </c>
      <c r="F16" s="190">
        <v>0</v>
      </c>
      <c r="G16" s="190">
        <v>0</v>
      </c>
      <c r="H16" s="190">
        <v>60</v>
      </c>
      <c r="I16" s="190">
        <v>0</v>
      </c>
      <c r="J16" s="190">
        <v>0</v>
      </c>
      <c r="K16" s="190">
        <v>0</v>
      </c>
      <c r="L16" s="190">
        <v>0</v>
      </c>
      <c r="M16" s="190">
        <v>0</v>
      </c>
      <c r="N16" s="190">
        <v>80</v>
      </c>
      <c r="O16" s="190">
        <v>0</v>
      </c>
      <c r="P16" s="192"/>
      <c r="Q16" s="190">
        <v>90</v>
      </c>
      <c r="R16" s="190">
        <v>0</v>
      </c>
      <c r="S16" s="190">
        <v>0</v>
      </c>
      <c r="T16" s="190">
        <v>0</v>
      </c>
      <c r="U16" s="190">
        <v>90</v>
      </c>
      <c r="V16" s="190">
        <v>0</v>
      </c>
      <c r="W16" s="190">
        <v>0</v>
      </c>
      <c r="X16" s="190">
        <v>0</v>
      </c>
      <c r="Y16" s="190">
        <v>30</v>
      </c>
      <c r="Z16" s="190">
        <v>0</v>
      </c>
      <c r="AA16" s="190">
        <v>0</v>
      </c>
      <c r="AB16" s="190">
        <v>0</v>
      </c>
      <c r="AC16" s="190">
        <v>10</v>
      </c>
      <c r="AD16" s="190">
        <v>10</v>
      </c>
      <c r="AE16" s="190">
        <v>0</v>
      </c>
      <c r="AF16" s="190">
        <v>80</v>
      </c>
      <c r="AG16" s="192"/>
    </row>
    <row r="17" spans="1:33">
      <c r="A17" s="189" t="s">
        <v>136</v>
      </c>
      <c r="B17" s="190">
        <v>60</v>
      </c>
      <c r="C17" s="190">
        <v>0</v>
      </c>
      <c r="D17" s="190">
        <v>30</v>
      </c>
      <c r="E17" s="190">
        <v>0</v>
      </c>
      <c r="F17" s="190">
        <v>0</v>
      </c>
      <c r="G17" s="190">
        <v>0</v>
      </c>
      <c r="H17" s="190">
        <v>10</v>
      </c>
      <c r="I17" s="190">
        <v>20</v>
      </c>
      <c r="J17" s="190">
        <v>0</v>
      </c>
      <c r="K17" s="190">
        <v>0</v>
      </c>
      <c r="L17" s="190">
        <v>0</v>
      </c>
      <c r="M17" s="190">
        <v>0</v>
      </c>
      <c r="N17" s="190">
        <v>60</v>
      </c>
      <c r="O17" s="190">
        <v>0</v>
      </c>
      <c r="P17" s="192"/>
      <c r="Q17" s="190">
        <v>60</v>
      </c>
      <c r="R17" s="190">
        <v>0</v>
      </c>
      <c r="S17" s="190">
        <v>10</v>
      </c>
      <c r="T17" s="190">
        <v>0</v>
      </c>
      <c r="U17" s="190">
        <v>60</v>
      </c>
      <c r="V17" s="190">
        <v>0</v>
      </c>
      <c r="W17" s="190">
        <v>20</v>
      </c>
      <c r="X17" s="190">
        <v>0</v>
      </c>
      <c r="Y17" s="190">
        <v>0</v>
      </c>
      <c r="Z17" s="190">
        <v>0</v>
      </c>
      <c r="AA17" s="190">
        <v>0</v>
      </c>
      <c r="AB17" s="190">
        <v>0</v>
      </c>
      <c r="AC17" s="190">
        <v>10</v>
      </c>
      <c r="AD17" s="190">
        <v>50</v>
      </c>
      <c r="AE17" s="190">
        <v>0</v>
      </c>
      <c r="AF17" s="190">
        <v>60</v>
      </c>
      <c r="AG17" s="192"/>
    </row>
    <row r="18" spans="1:33">
      <c r="A18" s="189" t="s">
        <v>143</v>
      </c>
      <c r="B18" s="190">
        <v>110</v>
      </c>
      <c r="C18" s="190">
        <v>0</v>
      </c>
      <c r="D18" s="190">
        <v>110</v>
      </c>
      <c r="E18" s="190">
        <v>110</v>
      </c>
      <c r="F18" s="190">
        <v>0</v>
      </c>
      <c r="G18" s="190">
        <v>30</v>
      </c>
      <c r="H18" s="190">
        <v>10</v>
      </c>
      <c r="I18" s="190">
        <v>10</v>
      </c>
      <c r="J18" s="190">
        <v>0</v>
      </c>
      <c r="K18" s="190">
        <v>0</v>
      </c>
      <c r="L18" s="190">
        <v>0</v>
      </c>
      <c r="M18" s="190">
        <v>0</v>
      </c>
      <c r="N18" s="190">
        <v>40</v>
      </c>
      <c r="O18" s="190">
        <v>0</v>
      </c>
      <c r="P18" s="192"/>
      <c r="Q18" s="190">
        <v>110</v>
      </c>
      <c r="R18" s="190">
        <v>0</v>
      </c>
      <c r="S18" s="190">
        <v>0</v>
      </c>
      <c r="T18" s="190">
        <v>0</v>
      </c>
      <c r="U18" s="190">
        <v>110</v>
      </c>
      <c r="V18" s="190">
        <v>0</v>
      </c>
      <c r="W18" s="190">
        <v>0</v>
      </c>
      <c r="X18" s="190">
        <v>0</v>
      </c>
      <c r="Y18" s="190">
        <v>10</v>
      </c>
      <c r="Z18" s="190">
        <v>0</v>
      </c>
      <c r="AA18" s="190">
        <v>0</v>
      </c>
      <c r="AB18" s="190">
        <v>0</v>
      </c>
      <c r="AC18" s="190">
        <v>10</v>
      </c>
      <c r="AD18" s="190">
        <v>40</v>
      </c>
      <c r="AE18" s="190">
        <v>0</v>
      </c>
      <c r="AF18" s="190">
        <v>80</v>
      </c>
      <c r="AG18" s="192"/>
    </row>
    <row r="19" spans="1:33">
      <c r="A19" s="189" t="s">
        <v>154</v>
      </c>
      <c r="B19" s="190">
        <v>80</v>
      </c>
      <c r="C19" s="190">
        <v>0</v>
      </c>
      <c r="D19" s="190">
        <v>100</v>
      </c>
      <c r="E19" s="190">
        <v>80</v>
      </c>
      <c r="F19" s="190">
        <v>0</v>
      </c>
      <c r="G19" s="190">
        <v>20</v>
      </c>
      <c r="H19" s="190">
        <v>0</v>
      </c>
      <c r="I19" s="190">
        <v>70</v>
      </c>
      <c r="J19" s="190">
        <v>0</v>
      </c>
      <c r="K19" s="190">
        <v>0</v>
      </c>
      <c r="L19" s="190">
        <v>0</v>
      </c>
      <c r="M19" s="190">
        <v>0</v>
      </c>
      <c r="N19" s="190">
        <v>0</v>
      </c>
      <c r="O19" s="190">
        <v>0</v>
      </c>
      <c r="P19" s="192"/>
      <c r="Q19" s="190">
        <v>100</v>
      </c>
      <c r="R19" s="190">
        <v>0</v>
      </c>
      <c r="S19" s="190">
        <v>0</v>
      </c>
      <c r="T19" s="190">
        <v>0</v>
      </c>
      <c r="U19" s="190">
        <v>100</v>
      </c>
      <c r="V19" s="190">
        <v>0</v>
      </c>
      <c r="W19" s="190">
        <v>0</v>
      </c>
      <c r="X19" s="190">
        <v>0</v>
      </c>
      <c r="Y19" s="190">
        <v>0</v>
      </c>
      <c r="Z19" s="190">
        <v>0</v>
      </c>
      <c r="AA19" s="190">
        <v>0</v>
      </c>
      <c r="AB19" s="190">
        <v>0</v>
      </c>
      <c r="AC19" s="190">
        <v>20</v>
      </c>
      <c r="AD19" s="190">
        <v>30</v>
      </c>
      <c r="AE19" s="190">
        <v>0</v>
      </c>
      <c r="AF19" s="190">
        <v>30</v>
      </c>
      <c r="AG19" s="192"/>
    </row>
    <row r="20" spans="1:33">
      <c r="A20" s="189" t="s">
        <v>164</v>
      </c>
      <c r="B20" s="190">
        <v>30</v>
      </c>
      <c r="C20" s="190">
        <v>0</v>
      </c>
      <c r="D20" s="190">
        <v>40</v>
      </c>
      <c r="E20" s="190">
        <v>10</v>
      </c>
      <c r="F20" s="190">
        <v>0</v>
      </c>
      <c r="G20" s="190">
        <v>30</v>
      </c>
      <c r="H20" s="190">
        <v>0</v>
      </c>
      <c r="I20" s="190">
        <v>0</v>
      </c>
      <c r="J20" s="190">
        <v>0</v>
      </c>
      <c r="K20" s="190">
        <v>0</v>
      </c>
      <c r="L20" s="190">
        <v>0</v>
      </c>
      <c r="M20" s="190">
        <v>0</v>
      </c>
      <c r="N20" s="190">
        <v>0</v>
      </c>
      <c r="O20" s="190">
        <v>0</v>
      </c>
      <c r="P20" s="192"/>
      <c r="Q20" s="190">
        <v>40</v>
      </c>
      <c r="R20" s="190">
        <v>0</v>
      </c>
      <c r="S20" s="190">
        <v>0</v>
      </c>
      <c r="T20" s="190">
        <v>0</v>
      </c>
      <c r="U20" s="190">
        <v>40</v>
      </c>
      <c r="V20" s="190">
        <v>0</v>
      </c>
      <c r="W20" s="190">
        <v>0</v>
      </c>
      <c r="X20" s="190">
        <v>0</v>
      </c>
      <c r="Y20" s="190">
        <v>40</v>
      </c>
      <c r="Z20" s="190">
        <v>20</v>
      </c>
      <c r="AA20" s="190">
        <v>0</v>
      </c>
      <c r="AB20" s="190">
        <v>0</v>
      </c>
      <c r="AC20" s="190">
        <v>0</v>
      </c>
      <c r="AD20" s="190">
        <v>0</v>
      </c>
      <c r="AE20" s="190">
        <v>0</v>
      </c>
      <c r="AF20" s="190">
        <v>20</v>
      </c>
      <c r="AG20" s="192"/>
    </row>
    <row r="21" spans="1:33">
      <c r="A21" s="189" t="s">
        <v>168</v>
      </c>
      <c r="B21" s="190">
        <v>0</v>
      </c>
      <c r="C21" s="190">
        <v>0</v>
      </c>
      <c r="D21" s="190">
        <v>10</v>
      </c>
      <c r="E21" s="190">
        <v>0</v>
      </c>
      <c r="F21" s="190">
        <v>0</v>
      </c>
      <c r="G21" s="190">
        <v>0</v>
      </c>
      <c r="H21" s="190">
        <v>0</v>
      </c>
      <c r="I21" s="190">
        <v>30</v>
      </c>
      <c r="J21" s="190">
        <v>80</v>
      </c>
      <c r="K21" s="190">
        <v>0</v>
      </c>
      <c r="L21" s="190">
        <v>0</v>
      </c>
      <c r="M21" s="190">
        <v>0</v>
      </c>
      <c r="N21" s="190">
        <v>0</v>
      </c>
      <c r="O21" s="190">
        <v>50</v>
      </c>
      <c r="P21" s="192"/>
      <c r="Q21" s="190">
        <v>70</v>
      </c>
      <c r="R21" s="190">
        <v>0</v>
      </c>
      <c r="S21" s="190">
        <v>0</v>
      </c>
      <c r="T21" s="190">
        <v>0</v>
      </c>
      <c r="U21" s="190">
        <v>20</v>
      </c>
      <c r="V21" s="190">
        <v>0</v>
      </c>
      <c r="W21" s="190">
        <v>0</v>
      </c>
      <c r="X21" s="190">
        <v>0</v>
      </c>
      <c r="Y21" s="190">
        <v>0</v>
      </c>
      <c r="Z21" s="190">
        <v>0</v>
      </c>
      <c r="AA21" s="190">
        <v>70</v>
      </c>
      <c r="AB21" s="190">
        <v>10</v>
      </c>
      <c r="AC21" s="190">
        <v>0</v>
      </c>
      <c r="AD21" s="190">
        <v>70</v>
      </c>
      <c r="AE21" s="190">
        <v>30</v>
      </c>
      <c r="AF21" s="190">
        <v>0</v>
      </c>
      <c r="AG21" s="192"/>
    </row>
    <row r="22" spans="1:33">
      <c r="A22" s="189" t="s">
        <v>176</v>
      </c>
      <c r="B22" s="190">
        <v>10</v>
      </c>
      <c r="C22" s="190">
        <v>0</v>
      </c>
      <c r="D22" s="190">
        <v>30</v>
      </c>
      <c r="E22" s="190">
        <v>0</v>
      </c>
      <c r="F22" s="190">
        <v>40</v>
      </c>
      <c r="G22" s="190">
        <v>0</v>
      </c>
      <c r="H22" s="190">
        <v>0</v>
      </c>
      <c r="I22" s="190">
        <v>20</v>
      </c>
      <c r="J22" s="190">
        <v>100</v>
      </c>
      <c r="K22" s="190">
        <v>0</v>
      </c>
      <c r="L22" s="190">
        <v>0</v>
      </c>
      <c r="M22" s="190">
        <v>0</v>
      </c>
      <c r="N22" s="190">
        <v>10</v>
      </c>
      <c r="O22" s="190">
        <v>70</v>
      </c>
      <c r="P22" s="192"/>
      <c r="Q22" s="190">
        <v>100</v>
      </c>
      <c r="R22" s="190">
        <v>0</v>
      </c>
      <c r="S22" s="190">
        <v>0</v>
      </c>
      <c r="T22" s="190">
        <v>0</v>
      </c>
      <c r="U22" s="190">
        <v>10</v>
      </c>
      <c r="V22" s="190">
        <v>10</v>
      </c>
      <c r="W22" s="190">
        <v>0</v>
      </c>
      <c r="X22" s="190">
        <v>0</v>
      </c>
      <c r="Y22" s="190">
        <v>0</v>
      </c>
      <c r="Z22" s="190">
        <v>10</v>
      </c>
      <c r="AA22" s="190">
        <v>90</v>
      </c>
      <c r="AB22" s="190">
        <v>20</v>
      </c>
      <c r="AC22" s="190">
        <v>0</v>
      </c>
      <c r="AD22" s="190">
        <v>90</v>
      </c>
      <c r="AE22" s="190">
        <v>60</v>
      </c>
      <c r="AF22" s="190">
        <v>0</v>
      </c>
      <c r="AG22" s="192"/>
    </row>
    <row r="23" spans="1:33">
      <c r="A23" s="189" t="s">
        <v>186</v>
      </c>
      <c r="B23" s="190">
        <v>0</v>
      </c>
      <c r="C23" s="190">
        <v>60</v>
      </c>
      <c r="D23" s="190">
        <v>50</v>
      </c>
      <c r="E23" s="190">
        <v>10</v>
      </c>
      <c r="F23" s="190">
        <v>30</v>
      </c>
      <c r="G23" s="190">
        <v>0</v>
      </c>
      <c r="H23" s="190">
        <v>60</v>
      </c>
      <c r="I23" s="190">
        <v>0</v>
      </c>
      <c r="J23" s="190">
        <v>60</v>
      </c>
      <c r="K23" s="190">
        <v>60</v>
      </c>
      <c r="L23" s="190">
        <v>0</v>
      </c>
      <c r="M23" s="190">
        <v>0</v>
      </c>
      <c r="N23" s="190">
        <v>10</v>
      </c>
      <c r="O23" s="190">
        <v>10</v>
      </c>
      <c r="P23" s="192"/>
      <c r="Q23" s="190">
        <v>60</v>
      </c>
      <c r="R23" s="190">
        <v>0</v>
      </c>
      <c r="S23" s="190">
        <v>0</v>
      </c>
      <c r="T23" s="190">
        <v>70</v>
      </c>
      <c r="U23" s="190">
        <v>0</v>
      </c>
      <c r="V23" s="190">
        <v>0</v>
      </c>
      <c r="W23" s="190">
        <v>0</v>
      </c>
      <c r="X23" s="190">
        <v>0</v>
      </c>
      <c r="Y23" s="190">
        <v>0</v>
      </c>
      <c r="Z23" s="190">
        <v>0</v>
      </c>
      <c r="AA23" s="190">
        <v>0</v>
      </c>
      <c r="AB23" s="190">
        <v>0</v>
      </c>
      <c r="AC23" s="190">
        <v>0</v>
      </c>
      <c r="AD23" s="190">
        <v>20</v>
      </c>
      <c r="AE23" s="190">
        <v>10</v>
      </c>
      <c r="AF23" s="190">
        <v>0</v>
      </c>
      <c r="AG23" s="192"/>
    </row>
    <row r="24" spans="1:33">
      <c r="A24" s="189" t="s">
        <v>194</v>
      </c>
      <c r="B24" s="190">
        <v>10</v>
      </c>
      <c r="C24" s="190">
        <v>60</v>
      </c>
      <c r="D24" s="190">
        <v>30</v>
      </c>
      <c r="E24" s="190">
        <v>0</v>
      </c>
      <c r="F24" s="190">
        <v>30</v>
      </c>
      <c r="G24" s="190">
        <v>0</v>
      </c>
      <c r="H24" s="190">
        <v>30</v>
      </c>
      <c r="I24" s="190">
        <v>0</v>
      </c>
      <c r="J24" s="190">
        <v>60</v>
      </c>
      <c r="K24" s="190">
        <v>30</v>
      </c>
      <c r="L24" s="190">
        <v>0</v>
      </c>
      <c r="M24" s="190">
        <v>0</v>
      </c>
      <c r="N24" s="190">
        <v>0</v>
      </c>
      <c r="O24" s="190">
        <v>0</v>
      </c>
      <c r="P24" s="192"/>
      <c r="Q24" s="190">
        <v>60</v>
      </c>
      <c r="R24" s="190">
        <v>0</v>
      </c>
      <c r="S24" s="190">
        <v>0</v>
      </c>
      <c r="T24" s="190">
        <v>50</v>
      </c>
      <c r="U24" s="190">
        <v>40</v>
      </c>
      <c r="V24" s="190">
        <v>0</v>
      </c>
      <c r="W24" s="190">
        <v>0</v>
      </c>
      <c r="X24" s="190">
        <v>0</v>
      </c>
      <c r="Y24" s="190">
        <v>0</v>
      </c>
      <c r="Z24" s="190">
        <v>0</v>
      </c>
      <c r="AA24" s="190">
        <v>10</v>
      </c>
      <c r="AB24" s="190">
        <v>0</v>
      </c>
      <c r="AC24" s="190">
        <v>20</v>
      </c>
      <c r="AD24" s="190">
        <v>30</v>
      </c>
      <c r="AE24" s="190">
        <v>0</v>
      </c>
      <c r="AF24" s="190">
        <v>0</v>
      </c>
      <c r="AG24" s="192"/>
    </row>
    <row r="25" spans="1:33">
      <c r="A25" s="189" t="s">
        <v>201</v>
      </c>
      <c r="B25" s="190">
        <v>0</v>
      </c>
      <c r="C25" s="190">
        <v>93</v>
      </c>
      <c r="D25" s="190">
        <v>0</v>
      </c>
      <c r="E25" s="190">
        <v>0</v>
      </c>
      <c r="F25" s="190">
        <v>0</v>
      </c>
      <c r="G25" s="190">
        <v>0</v>
      </c>
      <c r="H25" s="190">
        <v>40</v>
      </c>
      <c r="I25" s="190">
        <v>0</v>
      </c>
      <c r="J25" s="190">
        <v>80</v>
      </c>
      <c r="K25" s="190">
        <v>90</v>
      </c>
      <c r="L25" s="190">
        <v>0</v>
      </c>
      <c r="M25" s="190">
        <v>0</v>
      </c>
      <c r="N25" s="190">
        <v>70</v>
      </c>
      <c r="O25" s="190">
        <v>0</v>
      </c>
      <c r="P25" s="192"/>
      <c r="Q25" s="190">
        <v>90</v>
      </c>
      <c r="R25" s="190">
        <v>0</v>
      </c>
      <c r="S25" s="190">
        <v>0</v>
      </c>
      <c r="T25" s="190">
        <v>80</v>
      </c>
      <c r="U25" s="190">
        <v>90</v>
      </c>
      <c r="V25" s="190">
        <v>0</v>
      </c>
      <c r="W25" s="190">
        <v>0</v>
      </c>
      <c r="X25" s="190">
        <v>0</v>
      </c>
      <c r="Y25" s="190">
        <v>0</v>
      </c>
      <c r="Z25" s="190">
        <v>0</v>
      </c>
      <c r="AA25" s="190">
        <v>0</v>
      </c>
      <c r="AB25" s="190">
        <v>0</v>
      </c>
      <c r="AC25" s="190">
        <v>0</v>
      </c>
      <c r="AD25" s="190">
        <v>0</v>
      </c>
      <c r="AE25" s="190">
        <v>0</v>
      </c>
      <c r="AF25" s="190">
        <v>0</v>
      </c>
      <c r="AG25" s="192"/>
    </row>
    <row r="26" spans="1:33">
      <c r="A26" s="189" t="s">
        <v>210</v>
      </c>
      <c r="B26" s="190">
        <v>0</v>
      </c>
      <c r="C26" s="190">
        <v>0</v>
      </c>
      <c r="D26" s="190">
        <v>80</v>
      </c>
      <c r="E26" s="190">
        <v>0</v>
      </c>
      <c r="F26" s="190">
        <v>80</v>
      </c>
      <c r="G26" s="190">
        <v>0</v>
      </c>
      <c r="H26" s="190">
        <v>80</v>
      </c>
      <c r="I26" s="190">
        <v>0</v>
      </c>
      <c r="J26" s="190">
        <v>60</v>
      </c>
      <c r="K26" s="190">
        <v>0</v>
      </c>
      <c r="L26" s="190">
        <v>0</v>
      </c>
      <c r="M26" s="190">
        <v>0</v>
      </c>
      <c r="N26" s="190">
        <v>30</v>
      </c>
      <c r="O26" s="190">
        <v>20</v>
      </c>
      <c r="P26" s="192"/>
      <c r="Q26" s="190">
        <v>70</v>
      </c>
      <c r="R26" s="190">
        <v>0</v>
      </c>
      <c r="S26" s="190">
        <v>10</v>
      </c>
      <c r="T26" s="190">
        <v>20</v>
      </c>
      <c r="U26" s="190">
        <v>0</v>
      </c>
      <c r="V26" s="190">
        <v>0</v>
      </c>
      <c r="W26" s="190">
        <v>10</v>
      </c>
      <c r="X26" s="190">
        <v>0</v>
      </c>
      <c r="Y26" s="190">
        <v>0</v>
      </c>
      <c r="Z26" s="190">
        <v>0</v>
      </c>
      <c r="AA26" s="190">
        <v>20</v>
      </c>
      <c r="AB26" s="190">
        <v>0</v>
      </c>
      <c r="AC26" s="190">
        <v>0</v>
      </c>
      <c r="AD26" s="190">
        <v>50</v>
      </c>
      <c r="AE26" s="190">
        <v>20</v>
      </c>
      <c r="AF26" s="190">
        <v>0</v>
      </c>
      <c r="AG26" s="192"/>
    </row>
    <row r="27" spans="1:33">
      <c r="A27" s="189" t="s">
        <v>218</v>
      </c>
      <c r="B27" s="190">
        <v>0</v>
      </c>
      <c r="C27" s="190">
        <v>40</v>
      </c>
      <c r="D27" s="190">
        <v>60</v>
      </c>
      <c r="E27" s="190">
        <v>60</v>
      </c>
      <c r="F27" s="190">
        <v>20</v>
      </c>
      <c r="G27" s="190">
        <v>0</v>
      </c>
      <c r="H27" s="190">
        <v>60</v>
      </c>
      <c r="I27" s="190">
        <v>0</v>
      </c>
      <c r="J27" s="190">
        <v>40</v>
      </c>
      <c r="K27" s="190">
        <v>40</v>
      </c>
      <c r="L27" s="190">
        <v>0</v>
      </c>
      <c r="M27" s="190">
        <v>0</v>
      </c>
      <c r="N27" s="190">
        <v>60</v>
      </c>
      <c r="O27" s="190">
        <v>0</v>
      </c>
      <c r="P27" s="192"/>
      <c r="Q27" s="190">
        <v>0</v>
      </c>
      <c r="R27" s="190">
        <v>0</v>
      </c>
      <c r="S27" s="190">
        <v>0</v>
      </c>
      <c r="T27" s="190">
        <v>60</v>
      </c>
      <c r="U27" s="190">
        <v>10</v>
      </c>
      <c r="V27" s="190">
        <v>0</v>
      </c>
      <c r="W27" s="190">
        <v>0</v>
      </c>
      <c r="X27" s="190">
        <v>0</v>
      </c>
      <c r="Y27" s="190">
        <v>0</v>
      </c>
      <c r="Z27" s="190">
        <v>0</v>
      </c>
      <c r="AA27" s="190">
        <v>0</v>
      </c>
      <c r="AB27" s="190">
        <v>0</v>
      </c>
      <c r="AC27" s="190">
        <v>0</v>
      </c>
      <c r="AD27" s="190">
        <v>0</v>
      </c>
      <c r="AE27" s="190">
        <v>0</v>
      </c>
      <c r="AF27" s="190">
        <v>0</v>
      </c>
      <c r="AG27" s="192"/>
    </row>
    <row r="28" spans="1:33">
      <c r="A28" s="189" t="s">
        <v>225</v>
      </c>
      <c r="B28" s="190">
        <v>0</v>
      </c>
      <c r="C28" s="190">
        <v>30</v>
      </c>
      <c r="D28" s="190">
        <v>50</v>
      </c>
      <c r="E28" s="190">
        <v>50</v>
      </c>
      <c r="F28" s="190">
        <v>0</v>
      </c>
      <c r="G28" s="190">
        <v>0</v>
      </c>
      <c r="H28" s="190">
        <v>50</v>
      </c>
      <c r="I28" s="190">
        <v>0</v>
      </c>
      <c r="J28" s="190">
        <v>0</v>
      </c>
      <c r="K28" s="190">
        <v>20</v>
      </c>
      <c r="L28" s="190">
        <v>30</v>
      </c>
      <c r="M28" s="190">
        <v>0</v>
      </c>
      <c r="N28" s="190">
        <v>20</v>
      </c>
      <c r="O28" s="190">
        <v>0</v>
      </c>
      <c r="P28" s="192"/>
      <c r="Q28" s="190">
        <v>10</v>
      </c>
      <c r="R28" s="190">
        <v>0</v>
      </c>
      <c r="S28" s="190">
        <v>0</v>
      </c>
      <c r="T28" s="190">
        <v>10</v>
      </c>
      <c r="U28" s="190">
        <v>10</v>
      </c>
      <c r="V28" s="190">
        <v>0</v>
      </c>
      <c r="W28" s="190">
        <v>10</v>
      </c>
      <c r="X28" s="190">
        <v>0</v>
      </c>
      <c r="Y28" s="190">
        <v>0</v>
      </c>
      <c r="Z28" s="190">
        <v>0</v>
      </c>
      <c r="AA28" s="190">
        <v>0</v>
      </c>
      <c r="AB28" s="190">
        <v>0</v>
      </c>
      <c r="AC28" s="190">
        <v>0</v>
      </c>
      <c r="AD28" s="190">
        <v>0</v>
      </c>
      <c r="AE28" s="190">
        <v>0</v>
      </c>
      <c r="AF28" s="190">
        <v>0</v>
      </c>
      <c r="AG28" s="192"/>
    </row>
    <row r="29" spans="1:33">
      <c r="A29" s="189" t="s">
        <v>231</v>
      </c>
      <c r="B29" s="190">
        <v>0</v>
      </c>
      <c r="C29" s="190">
        <v>0</v>
      </c>
      <c r="D29" s="190">
        <v>90</v>
      </c>
      <c r="E29" s="190">
        <v>70</v>
      </c>
      <c r="F29" s="190">
        <v>20</v>
      </c>
      <c r="G29" s="190">
        <v>0</v>
      </c>
      <c r="H29" s="190">
        <v>80</v>
      </c>
      <c r="I29" s="190">
        <v>0</v>
      </c>
      <c r="J29" s="190">
        <v>30</v>
      </c>
      <c r="K29" s="190">
        <v>10</v>
      </c>
      <c r="L29" s="190">
        <v>0</v>
      </c>
      <c r="M29" s="190">
        <v>0</v>
      </c>
      <c r="N29" s="190">
        <v>20</v>
      </c>
      <c r="O29" s="190">
        <v>0</v>
      </c>
      <c r="P29" s="192"/>
      <c r="Q29" s="190">
        <v>90</v>
      </c>
      <c r="R29" s="190">
        <v>20</v>
      </c>
      <c r="S29" s="190">
        <v>30</v>
      </c>
      <c r="T29" s="190">
        <v>0</v>
      </c>
      <c r="U29" s="190">
        <v>20</v>
      </c>
      <c r="V29" s="190">
        <v>0</v>
      </c>
      <c r="W29" s="190">
        <v>60</v>
      </c>
      <c r="X29" s="190">
        <v>0</v>
      </c>
      <c r="Y29" s="190">
        <v>0</v>
      </c>
      <c r="Z29" s="190">
        <v>0</v>
      </c>
      <c r="AA29" s="190">
        <v>0</v>
      </c>
      <c r="AB29" s="190">
        <v>0</v>
      </c>
      <c r="AC29" s="190">
        <v>0</v>
      </c>
      <c r="AD29" s="190">
        <v>0</v>
      </c>
      <c r="AE29" s="190">
        <v>20</v>
      </c>
      <c r="AF29" s="190">
        <v>0</v>
      </c>
      <c r="AG29" s="192"/>
    </row>
    <row r="30" spans="1:33">
      <c r="A30" s="189" t="s">
        <v>240</v>
      </c>
      <c r="B30" s="190">
        <v>0</v>
      </c>
      <c r="C30" s="190">
        <v>10</v>
      </c>
      <c r="D30" s="190">
        <v>20</v>
      </c>
      <c r="E30" s="190">
        <v>10</v>
      </c>
      <c r="F30" s="190">
        <v>0</v>
      </c>
      <c r="G30" s="190">
        <v>0</v>
      </c>
      <c r="H30" s="190">
        <v>40</v>
      </c>
      <c r="I30" s="190">
        <v>0</v>
      </c>
      <c r="J30" s="190">
        <v>70</v>
      </c>
      <c r="K30" s="190">
        <v>20</v>
      </c>
      <c r="L30" s="190">
        <v>30</v>
      </c>
      <c r="M30" s="190">
        <v>0</v>
      </c>
      <c r="N30" s="190">
        <v>30</v>
      </c>
      <c r="O30" s="190">
        <v>0</v>
      </c>
      <c r="P30" s="192"/>
      <c r="Q30" s="190">
        <v>30</v>
      </c>
      <c r="R30" s="190">
        <v>0</v>
      </c>
      <c r="S30" s="190">
        <v>20</v>
      </c>
      <c r="T30" s="190">
        <v>0</v>
      </c>
      <c r="U30" s="190">
        <v>0</v>
      </c>
      <c r="V30" s="190">
        <v>0</v>
      </c>
      <c r="W30" s="190">
        <v>90</v>
      </c>
      <c r="X30" s="190">
        <v>0</v>
      </c>
      <c r="Y30" s="190">
        <v>0</v>
      </c>
      <c r="Z30" s="190">
        <v>0</v>
      </c>
      <c r="AA30" s="190">
        <v>0</v>
      </c>
      <c r="AB30" s="190">
        <v>0</v>
      </c>
      <c r="AC30" s="190">
        <v>0</v>
      </c>
      <c r="AD30" s="190">
        <v>0</v>
      </c>
      <c r="AE30" s="190">
        <v>30</v>
      </c>
      <c r="AF30" s="190">
        <v>20</v>
      </c>
      <c r="AG30" s="192"/>
    </row>
    <row r="31" spans="1:33">
      <c r="A31" s="189" t="s">
        <v>251</v>
      </c>
      <c r="B31" s="190">
        <v>30</v>
      </c>
      <c r="C31" s="190">
        <v>0</v>
      </c>
      <c r="D31" s="190">
        <v>0</v>
      </c>
      <c r="E31" s="190">
        <v>0</v>
      </c>
      <c r="F31" s="190">
        <v>0</v>
      </c>
      <c r="G31" s="190">
        <v>0</v>
      </c>
      <c r="H31" s="190">
        <v>30</v>
      </c>
      <c r="I31" s="190">
        <v>0</v>
      </c>
      <c r="J31" s="190">
        <v>0</v>
      </c>
      <c r="K31" s="190">
        <v>30</v>
      </c>
      <c r="L31" s="190">
        <v>0</v>
      </c>
      <c r="M31" s="190">
        <v>30</v>
      </c>
      <c r="N31" s="190">
        <v>10</v>
      </c>
      <c r="O31" s="190">
        <v>0</v>
      </c>
      <c r="P31" s="192"/>
      <c r="Q31" s="190">
        <v>0</v>
      </c>
      <c r="R31" s="190">
        <v>0</v>
      </c>
      <c r="S31" s="190">
        <v>0</v>
      </c>
      <c r="T31" s="190">
        <v>0</v>
      </c>
      <c r="U31" s="190">
        <v>30</v>
      </c>
      <c r="V31" s="190">
        <v>0</v>
      </c>
      <c r="W31" s="190">
        <v>0</v>
      </c>
      <c r="X31" s="190">
        <v>0</v>
      </c>
      <c r="Y31" s="190">
        <v>0</v>
      </c>
      <c r="Z31" s="190">
        <v>0</v>
      </c>
      <c r="AA31" s="190">
        <v>0</v>
      </c>
      <c r="AB31" s="190">
        <v>0</v>
      </c>
      <c r="AC31" s="190">
        <v>0</v>
      </c>
      <c r="AD31" s="190">
        <v>0</v>
      </c>
      <c r="AE31" s="190">
        <v>0</v>
      </c>
      <c r="AF31" s="190">
        <v>0</v>
      </c>
      <c r="AG31" s="192"/>
    </row>
    <row r="32" spans="1:33">
      <c r="A32" s="189" t="s">
        <v>255</v>
      </c>
      <c r="B32" s="190">
        <v>0</v>
      </c>
      <c r="C32" s="190">
        <v>0</v>
      </c>
      <c r="D32" s="190">
        <v>0</v>
      </c>
      <c r="E32" s="190">
        <v>0</v>
      </c>
      <c r="F32" s="190">
        <v>0</v>
      </c>
      <c r="G32" s="190">
        <v>0</v>
      </c>
      <c r="H32" s="190">
        <v>0</v>
      </c>
      <c r="I32" s="190">
        <v>0</v>
      </c>
      <c r="J32" s="190">
        <v>60</v>
      </c>
      <c r="K32" s="190">
        <v>30</v>
      </c>
      <c r="L32" s="190">
        <v>0</v>
      </c>
      <c r="M32" s="190">
        <v>0</v>
      </c>
      <c r="N32" s="190">
        <v>0</v>
      </c>
      <c r="O32" s="190">
        <v>0</v>
      </c>
      <c r="P32" s="192"/>
      <c r="Q32" s="190">
        <v>0</v>
      </c>
      <c r="R32" s="190">
        <v>0</v>
      </c>
      <c r="S32" s="190">
        <v>0</v>
      </c>
      <c r="T32" s="190">
        <v>0</v>
      </c>
      <c r="U32" s="190">
        <v>10</v>
      </c>
      <c r="V32" s="190">
        <v>0</v>
      </c>
      <c r="W32" s="190">
        <v>50</v>
      </c>
      <c r="X32" s="190">
        <v>0</v>
      </c>
      <c r="Y32" s="190">
        <v>0</v>
      </c>
      <c r="Z32" s="190">
        <v>0</v>
      </c>
      <c r="AA32" s="190">
        <v>0</v>
      </c>
      <c r="AB32" s="190">
        <v>0</v>
      </c>
      <c r="AC32" s="190">
        <v>0</v>
      </c>
      <c r="AD32" s="190">
        <v>0</v>
      </c>
      <c r="AE32" s="190">
        <v>20</v>
      </c>
      <c r="AF32" s="190">
        <v>0</v>
      </c>
      <c r="AG32" s="192"/>
    </row>
    <row r="33" spans="1:33">
      <c r="A33" s="189" t="s">
        <v>261</v>
      </c>
      <c r="B33" s="190">
        <v>0</v>
      </c>
      <c r="C33" s="190">
        <v>0</v>
      </c>
      <c r="D33" s="190">
        <v>0</v>
      </c>
      <c r="E33" s="190">
        <v>0</v>
      </c>
      <c r="F33" s="190">
        <v>0</v>
      </c>
      <c r="G33" s="190">
        <v>0</v>
      </c>
      <c r="H33" s="190">
        <v>50</v>
      </c>
      <c r="I33" s="190">
        <v>0</v>
      </c>
      <c r="J33" s="190">
        <v>60</v>
      </c>
      <c r="K33" s="190">
        <v>0</v>
      </c>
      <c r="L33" s="190">
        <v>0</v>
      </c>
      <c r="M33" s="190">
        <v>20</v>
      </c>
      <c r="N33" s="190">
        <v>0</v>
      </c>
      <c r="O33" s="190">
        <v>0</v>
      </c>
      <c r="P33" s="192"/>
      <c r="Q33" s="190">
        <v>0</v>
      </c>
      <c r="R33" s="190">
        <v>0</v>
      </c>
      <c r="S33" s="190">
        <v>0</v>
      </c>
      <c r="T33" s="190">
        <v>0</v>
      </c>
      <c r="U33" s="190">
        <v>30</v>
      </c>
      <c r="V33" s="190">
        <v>0</v>
      </c>
      <c r="W33" s="190">
        <v>40</v>
      </c>
      <c r="X33" s="190">
        <v>0</v>
      </c>
      <c r="Y33" s="190">
        <v>0</v>
      </c>
      <c r="Z33" s="190">
        <v>0</v>
      </c>
      <c r="AA33" s="190">
        <v>0</v>
      </c>
      <c r="AB33" s="190">
        <v>0</v>
      </c>
      <c r="AC33" s="190">
        <v>0</v>
      </c>
      <c r="AD33" s="190">
        <v>0</v>
      </c>
      <c r="AE33" s="190">
        <v>0</v>
      </c>
      <c r="AF33" s="190">
        <v>0</v>
      </c>
      <c r="AG33" s="192"/>
    </row>
    <row r="34" spans="1:33">
      <c r="A34" s="189" t="s">
        <v>267</v>
      </c>
      <c r="B34" s="190">
        <v>10</v>
      </c>
      <c r="C34" s="190">
        <v>10</v>
      </c>
      <c r="D34" s="190">
        <v>20</v>
      </c>
      <c r="E34" s="190">
        <v>20</v>
      </c>
      <c r="F34" s="190">
        <v>0</v>
      </c>
      <c r="G34" s="190">
        <v>0</v>
      </c>
      <c r="H34" s="190">
        <v>50</v>
      </c>
      <c r="I34" s="190">
        <v>0</v>
      </c>
      <c r="J34" s="190">
        <v>50</v>
      </c>
      <c r="K34" s="190">
        <v>40</v>
      </c>
      <c r="L34" s="190">
        <v>30</v>
      </c>
      <c r="M34" s="190">
        <v>0</v>
      </c>
      <c r="N34" s="190">
        <v>40</v>
      </c>
      <c r="O34" s="190">
        <v>0</v>
      </c>
      <c r="P34" s="192"/>
      <c r="Q34" s="190">
        <v>20</v>
      </c>
      <c r="R34" s="190">
        <v>0</v>
      </c>
      <c r="S34" s="190">
        <v>10</v>
      </c>
      <c r="T34" s="190">
        <v>0</v>
      </c>
      <c r="U34" s="190">
        <v>40</v>
      </c>
      <c r="V34" s="190">
        <v>0</v>
      </c>
      <c r="W34" s="190">
        <v>70</v>
      </c>
      <c r="X34" s="190">
        <v>0</v>
      </c>
      <c r="Y34" s="190">
        <v>0</v>
      </c>
      <c r="Z34" s="190">
        <v>0</v>
      </c>
      <c r="AA34" s="190">
        <v>0</v>
      </c>
      <c r="AB34" s="190">
        <v>0</v>
      </c>
      <c r="AC34" s="190">
        <v>20</v>
      </c>
      <c r="AD34" s="190">
        <v>0</v>
      </c>
      <c r="AE34" s="190">
        <v>10</v>
      </c>
      <c r="AF34" s="190">
        <v>0</v>
      </c>
      <c r="AG34" s="192"/>
    </row>
    <row r="35" spans="1:33" s="66" customFormat="1" ht="13.8" thickBot="1">
      <c r="A35" s="186" t="s">
        <v>371</v>
      </c>
      <c r="P35" s="193"/>
      <c r="AG35" s="19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Y159"/>
  <sheetViews>
    <sheetView zoomScale="90" zoomScaleNormal="90" zoomScaleSheetLayoutView="80" workbookViewId="0">
      <pane xSplit="1" ySplit="4" topLeftCell="B5" activePane="bottomRight" state="frozen"/>
      <selection pane="topRight"/>
      <selection pane="bottomLeft"/>
      <selection pane="bottomRight" activeCell="X19" sqref="X19"/>
    </sheetView>
  </sheetViews>
  <sheetFormatPr defaultColWidth="9.109375" defaultRowHeight="13.2"/>
  <cols>
    <col min="1" max="1" width="24.109375" style="60" customWidth="1"/>
    <col min="2" max="2" width="5" style="61" bestFit="1" customWidth="1"/>
    <col min="3" max="3" width="6" style="62" bestFit="1" customWidth="1"/>
    <col min="4" max="4" width="5.109375" style="63" customWidth="1"/>
    <col min="5" max="5" width="5.5546875" style="62" bestFit="1" customWidth="1"/>
    <col min="6" max="6" width="6" style="62" bestFit="1" customWidth="1"/>
    <col min="7" max="7" width="5.109375" style="62" customWidth="1"/>
    <col min="8" max="8" width="5" style="62" customWidth="1"/>
    <col min="9" max="9" width="6" style="62" bestFit="1" customWidth="1"/>
    <col min="10" max="10" width="5.109375" style="62" bestFit="1" customWidth="1"/>
    <col min="11" max="11" width="5" style="62" bestFit="1" customWidth="1"/>
    <col min="12" max="12" width="6" style="62" bestFit="1" customWidth="1"/>
    <col min="13" max="13" width="5.109375" style="62" customWidth="1"/>
    <col min="14" max="14" width="5" style="64" bestFit="1" customWidth="1"/>
    <col min="15" max="15" width="7.109375" style="62" bestFit="1" customWidth="1"/>
    <col min="16" max="16" width="5.109375" style="62" customWidth="1"/>
    <col min="17" max="17" width="5" style="62" bestFit="1" customWidth="1"/>
    <col min="18" max="18" width="6" style="62" bestFit="1" customWidth="1"/>
    <col min="19" max="19" width="5.109375" style="62" customWidth="1"/>
    <col min="20" max="20" width="5.5546875" style="62" bestFit="1" customWidth="1"/>
    <col min="21" max="21" width="6" style="62" bestFit="1" customWidth="1"/>
    <col min="22" max="22" width="5.109375" style="62" customWidth="1"/>
    <col min="23" max="23" width="5" style="62" customWidth="1"/>
    <col min="24" max="24" width="6" style="62" bestFit="1" customWidth="1"/>
    <col min="25" max="25" width="5.109375" style="62" customWidth="1"/>
    <col min="26" max="26" width="5.5546875" style="62" bestFit="1" customWidth="1"/>
    <col min="27" max="27" width="6" style="62" bestFit="1" customWidth="1"/>
    <col min="28" max="28" width="5.109375" style="62" customWidth="1"/>
    <col min="29" max="29" width="5" style="62" customWidth="1"/>
    <col min="30" max="30" width="6" style="62" bestFit="1" customWidth="1"/>
    <col min="31" max="31" width="5.109375" style="62" customWidth="1"/>
    <col min="32" max="32" width="5" style="62" bestFit="1" customWidth="1"/>
    <col min="33" max="33" width="6" style="62" bestFit="1" customWidth="1"/>
    <col min="34" max="34" width="5.109375" style="62" customWidth="1"/>
    <col min="35" max="35" width="5.5546875" style="62" bestFit="1" customWidth="1"/>
    <col min="36" max="36" width="6" style="62" bestFit="1" customWidth="1"/>
    <col min="37" max="37" width="5.109375" style="62" customWidth="1"/>
    <col min="38" max="38" width="5.5546875" style="62" bestFit="1" customWidth="1"/>
    <col min="39" max="39" width="6" style="62" bestFit="1" customWidth="1"/>
    <col min="40" max="40" width="5.109375" style="62" customWidth="1"/>
    <col min="41" max="41" width="5" style="62" bestFit="1" customWidth="1"/>
    <col min="42" max="42" width="6" style="62" bestFit="1" customWidth="1"/>
    <col min="43" max="43" width="5.109375" style="62" customWidth="1"/>
    <col min="44" max="44" width="16.5546875" style="62" customWidth="1"/>
    <col min="45" max="45" width="21.6640625" style="62" customWidth="1"/>
    <col min="46" max="46" width="9.6640625" style="62" customWidth="1"/>
    <col min="47" max="47" width="22.5546875" style="62" customWidth="1"/>
    <col min="48" max="48" width="14.88671875" style="62" customWidth="1"/>
    <col min="49" max="49" width="4.6640625" style="62" customWidth="1"/>
    <col min="50" max="50" width="5.5546875" style="62" customWidth="1"/>
    <col min="51" max="51" width="4.6640625" style="62" customWidth="1"/>
    <col min="52" max="16384" width="9.109375" style="62"/>
  </cols>
  <sheetData>
    <row r="1" spans="1:51">
      <c r="A1" s="284" t="str">
        <f>"WORKING SHEET FOR A1SCHEDULE 2.0 OF  GUJARAT BASED ON CES DATA 2024-25"</f>
        <v>WORKING SHEET FOR A1SCHEDULE 2.0 OF  GUJARAT BASED ON CES DATA 2024-25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4"/>
      <c r="AH1" s="284"/>
      <c r="AI1" s="284"/>
      <c r="AJ1" s="284"/>
      <c r="AK1" s="284"/>
      <c r="AL1" s="284"/>
      <c r="AM1" s="284"/>
      <c r="AN1" s="284"/>
      <c r="AO1" s="284"/>
      <c r="AP1" s="284"/>
      <c r="AQ1" s="284"/>
    </row>
    <row r="2" spans="1:51" ht="17.25" customHeight="1">
      <c r="A2" s="38"/>
      <c r="B2" s="285" t="s">
        <v>372</v>
      </c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  <c r="Z2" s="285"/>
      <c r="AA2" s="285"/>
      <c r="AB2" s="285"/>
      <c r="AC2" s="285"/>
      <c r="AD2" s="285"/>
      <c r="AE2" s="285"/>
      <c r="AF2" s="285" t="s">
        <v>373</v>
      </c>
      <c r="AG2" s="285"/>
      <c r="AH2" s="285"/>
      <c r="AI2" s="285"/>
      <c r="AJ2" s="285"/>
      <c r="AK2" s="285"/>
      <c r="AL2" s="285"/>
      <c r="AM2" s="285"/>
      <c r="AN2" s="285"/>
      <c r="AO2" s="285" t="s">
        <v>374</v>
      </c>
      <c r="AP2" s="285"/>
      <c r="AQ2" s="285"/>
      <c r="AR2" s="66"/>
      <c r="AS2" s="66"/>
      <c r="AT2" s="66"/>
      <c r="AU2" s="66"/>
      <c r="AV2" s="66"/>
      <c r="AW2" s="66"/>
      <c r="AX2" s="66"/>
      <c r="AY2" s="66"/>
    </row>
    <row r="3" spans="1:51" s="56" customFormat="1" ht="17.25" customHeight="1">
      <c r="A3" s="194"/>
      <c r="B3" s="281" t="s">
        <v>375</v>
      </c>
      <c r="C3" s="281"/>
      <c r="D3" s="281"/>
      <c r="E3" s="281" t="s">
        <v>376</v>
      </c>
      <c r="F3" s="281"/>
      <c r="G3" s="281"/>
      <c r="H3" s="281" t="s">
        <v>377</v>
      </c>
      <c r="I3" s="281"/>
      <c r="J3" s="281"/>
      <c r="K3" s="281" t="s">
        <v>378</v>
      </c>
      <c r="L3" s="281"/>
      <c r="M3" s="281"/>
      <c r="N3" s="281" t="s">
        <v>379</v>
      </c>
      <c r="O3" s="281"/>
      <c r="P3" s="281"/>
      <c r="Q3" s="281" t="s">
        <v>380</v>
      </c>
      <c r="R3" s="281"/>
      <c r="S3" s="281"/>
      <c r="T3" s="281" t="s">
        <v>381</v>
      </c>
      <c r="U3" s="281"/>
      <c r="V3" s="281"/>
      <c r="W3" s="281" t="s">
        <v>382</v>
      </c>
      <c r="X3" s="281"/>
      <c r="Y3" s="281"/>
      <c r="Z3" s="281" t="s">
        <v>383</v>
      </c>
      <c r="AA3" s="281"/>
      <c r="AB3" s="281"/>
      <c r="AC3" s="281" t="s">
        <v>384</v>
      </c>
      <c r="AD3" s="281"/>
      <c r="AE3" s="281"/>
      <c r="AF3" s="281" t="s">
        <v>385</v>
      </c>
      <c r="AG3" s="281"/>
      <c r="AH3" s="281"/>
      <c r="AI3" s="281" t="s">
        <v>386</v>
      </c>
      <c r="AJ3" s="281"/>
      <c r="AK3" s="281"/>
      <c r="AL3" s="281" t="s">
        <v>387</v>
      </c>
      <c r="AM3" s="281"/>
      <c r="AN3" s="281"/>
      <c r="AO3" s="281" t="s">
        <v>380</v>
      </c>
      <c r="AP3" s="281"/>
      <c r="AQ3" s="281"/>
    </row>
    <row r="4" spans="1:51" ht="17.25" customHeight="1">
      <c r="A4" s="195" t="s">
        <v>305</v>
      </c>
      <c r="B4" s="196" t="s">
        <v>388</v>
      </c>
      <c r="C4" s="196" t="s">
        <v>389</v>
      </c>
      <c r="D4" s="196" t="s">
        <v>390</v>
      </c>
      <c r="E4" s="196" t="s">
        <v>388</v>
      </c>
      <c r="F4" s="196" t="s">
        <v>389</v>
      </c>
      <c r="G4" s="196" t="s">
        <v>390</v>
      </c>
      <c r="H4" s="196" t="s">
        <v>388</v>
      </c>
      <c r="I4" s="196" t="s">
        <v>389</v>
      </c>
      <c r="J4" s="196" t="s">
        <v>390</v>
      </c>
      <c r="K4" s="196" t="s">
        <v>388</v>
      </c>
      <c r="L4" s="196" t="s">
        <v>389</v>
      </c>
      <c r="M4" s="196" t="s">
        <v>390</v>
      </c>
      <c r="N4" s="197" t="s">
        <v>388</v>
      </c>
      <c r="O4" s="196" t="s">
        <v>389</v>
      </c>
      <c r="P4" s="196" t="s">
        <v>390</v>
      </c>
      <c r="Q4" s="196" t="s">
        <v>388</v>
      </c>
      <c r="R4" s="196" t="s">
        <v>389</v>
      </c>
      <c r="S4" s="196" t="s">
        <v>390</v>
      </c>
      <c r="T4" s="196" t="s">
        <v>388</v>
      </c>
      <c r="U4" s="196" t="s">
        <v>389</v>
      </c>
      <c r="V4" s="196" t="s">
        <v>390</v>
      </c>
      <c r="W4" s="196" t="s">
        <v>388</v>
      </c>
      <c r="X4" s="196" t="s">
        <v>389</v>
      </c>
      <c r="Y4" s="196" t="s">
        <v>390</v>
      </c>
      <c r="Z4" s="196" t="s">
        <v>388</v>
      </c>
      <c r="AA4" s="196" t="s">
        <v>389</v>
      </c>
      <c r="AB4" s="196" t="s">
        <v>390</v>
      </c>
      <c r="AC4" s="196" t="s">
        <v>388</v>
      </c>
      <c r="AD4" s="196" t="s">
        <v>389</v>
      </c>
      <c r="AE4" s="196" t="s">
        <v>390</v>
      </c>
      <c r="AF4" s="196" t="s">
        <v>388</v>
      </c>
      <c r="AG4" s="196" t="s">
        <v>389</v>
      </c>
      <c r="AH4" s="196" t="s">
        <v>390</v>
      </c>
      <c r="AI4" s="196" t="s">
        <v>388</v>
      </c>
      <c r="AJ4" s="196" t="s">
        <v>389</v>
      </c>
      <c r="AK4" s="196" t="s">
        <v>390</v>
      </c>
      <c r="AL4" s="196" t="s">
        <v>388</v>
      </c>
      <c r="AM4" s="196" t="s">
        <v>389</v>
      </c>
      <c r="AN4" s="196" t="s">
        <v>390</v>
      </c>
      <c r="AO4" s="196" t="s">
        <v>388</v>
      </c>
      <c r="AP4" s="196" t="s">
        <v>389</v>
      </c>
      <c r="AQ4" s="196" t="s">
        <v>390</v>
      </c>
    </row>
    <row r="5" spans="1:51" s="57" customFormat="1" ht="17.25" customHeight="1">
      <c r="A5" s="198" t="s">
        <v>7</v>
      </c>
      <c r="B5" s="199">
        <f>_xlfn.XLOOKUP(A5,'2.0SASA'!$A:$A,'2.0SASA'!$C:$C,"",0)</f>
        <v>0</v>
      </c>
      <c r="C5" s="200">
        <f>B5*C$50/B$50</f>
        <v>0</v>
      </c>
      <c r="D5" s="201">
        <f>IF(C5&gt;4,ROUND(C5/2,0)*2,IF(C5&gt;2.2,4,0))</f>
        <v>0</v>
      </c>
      <c r="E5" s="199">
        <f>_xlfn.XLOOKUP(A5,'2.0SASA'!$A:$A,'2.0SASA'!$B:$B,"",0)</f>
        <v>90</v>
      </c>
      <c r="F5" s="200">
        <f>E5*F$50/E$50</f>
        <v>9</v>
      </c>
      <c r="G5" s="201">
        <f>IF(F5&gt;4,ROUND(F5/2,0)*2,IF(F5&gt;2.2,4,0))</f>
        <v>10</v>
      </c>
      <c r="H5" s="199">
        <f>_xlfn.XLOOKUP(A5,'2.0SASA'!$A:$A,'2.0SASA'!$J:$J,"",0)</f>
        <v>0</v>
      </c>
      <c r="I5" s="200">
        <f>H5*I$50/H$50</f>
        <v>0</v>
      </c>
      <c r="J5" s="201">
        <f>IF(I5&gt;4,ROUND(I5/2,0)*2,IF(I5&gt;2,4,0))</f>
        <v>0</v>
      </c>
      <c r="K5" s="199">
        <f>_xlfn.XLOOKUP(A5,'2.0SASA'!$A:$A,'2.0SASA'!$K:$K,"",0)</f>
        <v>0</v>
      </c>
      <c r="L5" s="200">
        <f>K5*L$50/K$50</f>
        <v>0</v>
      </c>
      <c r="M5" s="201">
        <f>IF(L5&gt;4,ROUND(L5/2,0)*2,IF(L5&gt;2.2,4,0))</f>
        <v>0</v>
      </c>
      <c r="N5" s="199">
        <f>_xlfn.XLOOKUP(A5,'2.0SASA'!$A:$A,'2.0SASA'!$G:$G,"",0)</f>
        <v>90</v>
      </c>
      <c r="O5" s="200">
        <f>N5*O$50/N$50</f>
        <v>12</v>
      </c>
      <c r="P5" s="209">
        <v>14</v>
      </c>
      <c r="Q5" s="199">
        <f>_xlfn.XLOOKUP(A5,'2.0SASA'!$A:$A,'2.0SASA'!$I:$I,"",0)</f>
        <v>30</v>
      </c>
      <c r="R5" s="200">
        <f>Q5*R$50/Q$50</f>
        <v>3.4285714285714284</v>
      </c>
      <c r="S5" s="201">
        <f>IF(R5&gt;4,ROUND(R5/2,0)*2,IF(R5&gt;2.2,4,0))</f>
        <v>4</v>
      </c>
      <c r="T5" s="199">
        <f>_xlfn.XLOOKUP(A5,'2.0SASA'!$A:$A,'2.0SASA'!$F:$F,"",0)</f>
        <v>90</v>
      </c>
      <c r="U5" s="200">
        <f>T5*U$50/T$50</f>
        <v>9</v>
      </c>
      <c r="V5" s="209">
        <v>8</v>
      </c>
      <c r="W5" s="199">
        <f>_xlfn.XLOOKUP(A5,'2.0SASA'!$A:$A,'2.0SASA'!$H:$H,"",0)</f>
        <v>0</v>
      </c>
      <c r="X5" s="200">
        <f>W5*X$50/W$50</f>
        <v>0</v>
      </c>
      <c r="Y5" s="201">
        <f>IF(X5&gt;4,ROUND(X5/2,0)*2,IF(X5&gt;2.2,4,0))</f>
        <v>0</v>
      </c>
      <c r="Z5" s="199">
        <f>_xlfn.XLOOKUP(A5,'2.0SASA'!$A:$A,'2.0SASA'!$D:$D,"",0)</f>
        <v>90</v>
      </c>
      <c r="AA5" s="200">
        <f>Z5*AA$50/Z$50</f>
        <v>8.7272727272727266</v>
      </c>
      <c r="AB5" s="201">
        <f>IF(AA5&gt;4,ROUND(AA5/2,0)*2,IF(AA5&gt;2.2,4,0))</f>
        <v>8</v>
      </c>
      <c r="AC5" s="199">
        <f>_xlfn.XLOOKUP(A5,'2.0SASA'!$A:$A,'2.0SASA'!$E:$E,"",0)</f>
        <v>20</v>
      </c>
      <c r="AD5" s="200">
        <f>AC5*AD$50/AC$50</f>
        <v>1.935483870967742</v>
      </c>
      <c r="AE5" s="201">
        <f>IF(AD5&gt;4,ROUND(AD5/2,0)*2,IF(AD5&gt;2.2,4,0))</f>
        <v>0</v>
      </c>
      <c r="AF5" s="199">
        <f>_xlfn.XLOOKUP(A5,'2.0SASA'!$A:$A,'2.0SASA'!$V:$V,"",0)</f>
        <v>90</v>
      </c>
      <c r="AG5" s="200">
        <f>AF5*AG$50/AF$50</f>
        <v>6</v>
      </c>
      <c r="AH5" s="209">
        <v>6</v>
      </c>
      <c r="AI5" s="199">
        <f>_xlfn.XLOOKUP(A5,'2.0SASA'!$A:$A,'2.0SASA'!$U:$U,"",0)</f>
        <v>0</v>
      </c>
      <c r="AJ5" s="200">
        <f>AI5*AJ$50/AI$50</f>
        <v>0</v>
      </c>
      <c r="AK5" s="201">
        <f>IF(AJ5&gt;4,ROUND(AJ5/2,0)*2,IF(AJ5&gt;2,4,0))</f>
        <v>0</v>
      </c>
      <c r="AL5" s="199">
        <f>_xlfn.XLOOKUP(A5,'2.0SASA'!$A:$A,'2.0SASA'!$Q:$Q,"",0)</f>
        <v>90</v>
      </c>
      <c r="AM5" s="200">
        <f>AL5*AM$50/AL$50</f>
        <v>4.3478260869565215</v>
      </c>
      <c r="AN5" s="201">
        <f>IF(AM5&gt;4,ROUND(AM5/2,0)*2,IF(AM5&gt;2.2,4,0))</f>
        <v>4</v>
      </c>
      <c r="AO5" s="199">
        <f>_xlfn.XLOOKUP(A5,'2.0SASA'!$A:$A,'2.0SASA'!$AD:$AD,"",0)</f>
        <v>40</v>
      </c>
      <c r="AP5" s="200">
        <f>AO5*AP$50/AO$50</f>
        <v>2.0779220779220777</v>
      </c>
      <c r="AQ5" s="209">
        <v>4</v>
      </c>
      <c r="AR5" s="62"/>
      <c r="AS5" s="62"/>
      <c r="AU5" s="62"/>
    </row>
    <row r="6" spans="1:51" s="57" customFormat="1" ht="17.25" customHeight="1">
      <c r="A6" s="198" t="s">
        <v>85</v>
      </c>
      <c r="B6" s="199">
        <f>_xlfn.XLOOKUP(A6,'2.0SASA'!$A:$A,'2.0SASA'!$C:$C,"",0)</f>
        <v>0</v>
      </c>
      <c r="C6" s="200">
        <f>B6*C$50/B$50</f>
        <v>0</v>
      </c>
      <c r="D6" s="201">
        <f>IF(C6&gt;4,ROUND(C6/2,0)*2,IF(C6&gt;2.2,4,0))</f>
        <v>0</v>
      </c>
      <c r="E6" s="199">
        <f>_xlfn.XLOOKUP(A6,'2.0SASA'!$A:$A,'2.0SASA'!$B:$B,"",0)</f>
        <v>60</v>
      </c>
      <c r="F6" s="200">
        <f>E6*F$50/E$50</f>
        <v>6</v>
      </c>
      <c r="G6" s="201">
        <f>IF(F6&gt;4,ROUND(F6/2,0)*2,IF(F6&gt;2.2,4,0))</f>
        <v>6</v>
      </c>
      <c r="H6" s="199">
        <f>_xlfn.XLOOKUP(A6,'2.0SASA'!$A:$A,'2.0SASA'!$J:$J,"",0)</f>
        <v>10</v>
      </c>
      <c r="I6" s="200">
        <f>H6*I$50/H$50</f>
        <v>0.91743119266055051</v>
      </c>
      <c r="J6" s="201">
        <f>IF(I6&gt;4,ROUND(I6/2,0)*2,IF(I6&gt;2,4,0))</f>
        <v>0</v>
      </c>
      <c r="K6" s="199">
        <f>_xlfn.XLOOKUP(A6,'2.0SASA'!$A:$A,'2.0SASA'!$K:$K,"",0)</f>
        <v>10</v>
      </c>
      <c r="L6" s="200">
        <f>K6*L$50/K$50</f>
        <v>1.0256410256410255</v>
      </c>
      <c r="M6" s="201">
        <f>IF(L6&gt;4,ROUND(L6/2,0)*2,IF(L6&gt;2.2,4,0))</f>
        <v>0</v>
      </c>
      <c r="N6" s="199">
        <f>_xlfn.XLOOKUP(A6,'2.0SASA'!$A:$A,'2.0SASA'!$G:$G,"",0)</f>
        <v>60</v>
      </c>
      <c r="O6" s="200">
        <f>N6*O$50/N$50</f>
        <v>8</v>
      </c>
      <c r="P6" s="209">
        <v>10</v>
      </c>
      <c r="Q6" s="199">
        <f>_xlfn.XLOOKUP(A6,'2.0SASA'!$A:$A,'2.0SASA'!$I:$I,"",0)</f>
        <v>10</v>
      </c>
      <c r="R6" s="200">
        <f>Q6*R$50/Q$50</f>
        <v>1.1428571428571428</v>
      </c>
      <c r="S6" s="201">
        <f>IF(R6&gt;4,ROUND(R6/2,0)*2,IF(R6&gt;2.2,4,0))</f>
        <v>0</v>
      </c>
      <c r="T6" s="199">
        <f>_xlfn.XLOOKUP(A6,'2.0SASA'!$A:$A,'2.0SASA'!$F:$F,"",0)</f>
        <v>70</v>
      </c>
      <c r="U6" s="200">
        <f>T6*U$50/T$50</f>
        <v>7</v>
      </c>
      <c r="V6" s="201">
        <f>IF(U6&gt;4,ROUND(U6/2,0)*2,IF(U6&gt;2.2,4,0))</f>
        <v>8</v>
      </c>
      <c r="W6" s="199">
        <f>_xlfn.XLOOKUP(A6,'2.0SASA'!$A:$A,'2.0SASA'!$H:$H,"",0)</f>
        <v>10</v>
      </c>
      <c r="X6" s="200">
        <f>W6*X$50/W$50</f>
        <v>0.875</v>
      </c>
      <c r="Y6" s="201">
        <f>IF(X6&gt;4,ROUND(X6/2,0)*2,IF(X6&gt;2.2,4,0))</f>
        <v>0</v>
      </c>
      <c r="Z6" s="199">
        <f>_xlfn.XLOOKUP(A6,'2.0SASA'!$A:$A,'2.0SASA'!$D:$D,"",0)</f>
        <v>100</v>
      </c>
      <c r="AA6" s="200">
        <f>Z6*AA$50/Z$50</f>
        <v>9.6969696969696972</v>
      </c>
      <c r="AB6" s="201">
        <f>IF(AA6&gt;4,ROUND(AA6/2,0)*2,IF(AA6&gt;2.2,4,0))</f>
        <v>10</v>
      </c>
      <c r="AC6" s="199">
        <f>_xlfn.XLOOKUP(A6,'2.0SASA'!$A:$A,'2.0SASA'!$E:$E,"",0)</f>
        <v>60</v>
      </c>
      <c r="AD6" s="200">
        <f>AC6*AD$50/AC$50</f>
        <v>5.806451612903226</v>
      </c>
      <c r="AE6" s="201">
        <f>IF(AD6&gt;4,ROUND(AD6/2,0)*2,IF(AD6&gt;2.2,4,0))</f>
        <v>6</v>
      </c>
      <c r="AF6" s="199">
        <f>_xlfn.XLOOKUP(A6,'2.0SASA'!$A:$A,'2.0SASA'!$V:$V,"",0)</f>
        <v>40</v>
      </c>
      <c r="AG6" s="200">
        <f>AF6*AG$50/AF$50</f>
        <v>2.6666666666666665</v>
      </c>
      <c r="AH6" s="201">
        <f>IF(AG6&gt;4,ROUND(AG6/2,0)*2,IF(AG6&gt;2.2,4,0))</f>
        <v>4</v>
      </c>
      <c r="AI6" s="199">
        <f>_xlfn.XLOOKUP(A6,'2.0SASA'!$A:$A,'2.0SASA'!$U:$U,"",0)</f>
        <v>90</v>
      </c>
      <c r="AJ6" s="200">
        <f>AI6*AJ$50/AI$50</f>
        <v>4.0601503759398501</v>
      </c>
      <c r="AK6" s="201">
        <f>IF(AJ6&gt;4,ROUND(AJ6/2,0)*2,IF(AJ6&gt;2,4,0))</f>
        <v>4</v>
      </c>
      <c r="AL6" s="199">
        <f>_xlfn.XLOOKUP(A6,'2.0SASA'!$A:$A,'2.0SASA'!$Q:$Q,"",0)</f>
        <v>100</v>
      </c>
      <c r="AM6" s="200">
        <f>AL6*AM$50/AL$50</f>
        <v>4.8309178743961354</v>
      </c>
      <c r="AN6" s="209">
        <v>6</v>
      </c>
      <c r="AO6" s="199">
        <f>_xlfn.XLOOKUP(A6,'2.0SASA'!$A:$A,'2.0SASA'!$AD:$AD,"",0)</f>
        <v>0</v>
      </c>
      <c r="AP6" s="200">
        <f>AO6*AP$50/AO$50</f>
        <v>0</v>
      </c>
      <c r="AQ6" s="201">
        <f>IF(AP6&gt;4,ROUND(AP6/2,0)*2,IF(AP6&gt;2.2,4,0))</f>
        <v>0</v>
      </c>
      <c r="AR6" s="62"/>
      <c r="AS6" s="62"/>
      <c r="AU6" s="62"/>
    </row>
    <row r="7" spans="1:51" s="58" customFormat="1" ht="17.25" customHeight="1">
      <c r="A7" s="202" t="s">
        <v>391</v>
      </c>
      <c r="B7" s="203">
        <f>SUM(B5:B6)</f>
        <v>0</v>
      </c>
      <c r="C7" s="203">
        <f t="shared" ref="C7:AQ7" si="0">SUM(C5:C6)</f>
        <v>0</v>
      </c>
      <c r="D7" s="203">
        <f t="shared" si="0"/>
        <v>0</v>
      </c>
      <c r="E7" s="203">
        <f t="shared" si="0"/>
        <v>150</v>
      </c>
      <c r="F7" s="203">
        <f t="shared" si="0"/>
        <v>15</v>
      </c>
      <c r="G7" s="203">
        <f t="shared" si="0"/>
        <v>16</v>
      </c>
      <c r="H7" s="203">
        <f t="shared" si="0"/>
        <v>10</v>
      </c>
      <c r="I7" s="203">
        <f t="shared" si="0"/>
        <v>0.91743119266055051</v>
      </c>
      <c r="J7" s="203">
        <f t="shared" si="0"/>
        <v>0</v>
      </c>
      <c r="K7" s="203">
        <f t="shared" si="0"/>
        <v>10</v>
      </c>
      <c r="L7" s="203">
        <f t="shared" si="0"/>
        <v>1.0256410256410255</v>
      </c>
      <c r="M7" s="203">
        <f t="shared" si="0"/>
        <v>0</v>
      </c>
      <c r="N7" s="203">
        <f t="shared" si="0"/>
        <v>150</v>
      </c>
      <c r="O7" s="203">
        <f t="shared" si="0"/>
        <v>20</v>
      </c>
      <c r="P7" s="203">
        <f t="shared" si="0"/>
        <v>24</v>
      </c>
      <c r="Q7" s="203">
        <f t="shared" si="0"/>
        <v>40</v>
      </c>
      <c r="R7" s="203">
        <f t="shared" si="0"/>
        <v>4.5714285714285712</v>
      </c>
      <c r="S7" s="203">
        <f t="shared" si="0"/>
        <v>4</v>
      </c>
      <c r="T7" s="203">
        <f t="shared" si="0"/>
        <v>160</v>
      </c>
      <c r="U7" s="203">
        <f t="shared" si="0"/>
        <v>16</v>
      </c>
      <c r="V7" s="203">
        <f t="shared" si="0"/>
        <v>16</v>
      </c>
      <c r="W7" s="203">
        <f t="shared" si="0"/>
        <v>10</v>
      </c>
      <c r="X7" s="203">
        <f t="shared" si="0"/>
        <v>0.875</v>
      </c>
      <c r="Y7" s="203">
        <f t="shared" si="0"/>
        <v>0</v>
      </c>
      <c r="Z7" s="203">
        <f t="shared" si="0"/>
        <v>190</v>
      </c>
      <c r="AA7" s="203">
        <f t="shared" si="0"/>
        <v>18.424242424242422</v>
      </c>
      <c r="AB7" s="203">
        <f t="shared" si="0"/>
        <v>18</v>
      </c>
      <c r="AC7" s="203">
        <f t="shared" si="0"/>
        <v>80</v>
      </c>
      <c r="AD7" s="203">
        <f t="shared" si="0"/>
        <v>7.741935483870968</v>
      </c>
      <c r="AE7" s="203">
        <f t="shared" si="0"/>
        <v>6</v>
      </c>
      <c r="AF7" s="203">
        <f t="shared" si="0"/>
        <v>130</v>
      </c>
      <c r="AG7" s="203">
        <f t="shared" si="0"/>
        <v>8.6666666666666661</v>
      </c>
      <c r="AH7" s="203">
        <f t="shared" si="0"/>
        <v>10</v>
      </c>
      <c r="AI7" s="203">
        <f t="shared" si="0"/>
        <v>90</v>
      </c>
      <c r="AJ7" s="203">
        <f t="shared" si="0"/>
        <v>4.0601503759398501</v>
      </c>
      <c r="AK7" s="203">
        <f t="shared" si="0"/>
        <v>4</v>
      </c>
      <c r="AL7" s="203">
        <f t="shared" si="0"/>
        <v>190</v>
      </c>
      <c r="AM7" s="203">
        <f t="shared" si="0"/>
        <v>9.1787439613526569</v>
      </c>
      <c r="AN7" s="203">
        <f t="shared" si="0"/>
        <v>10</v>
      </c>
      <c r="AO7" s="203">
        <f t="shared" si="0"/>
        <v>40</v>
      </c>
      <c r="AP7" s="203">
        <f t="shared" si="0"/>
        <v>2.0779220779220777</v>
      </c>
      <c r="AQ7" s="203">
        <f t="shared" si="0"/>
        <v>4</v>
      </c>
    </row>
    <row r="8" spans="1:51" s="57" customFormat="1" ht="17.25" customHeight="1">
      <c r="A8" s="198" t="s">
        <v>70</v>
      </c>
      <c r="B8" s="199">
        <f>_xlfn.XLOOKUP(A8,'2.0SASA'!$A:$A,'2.0SASA'!$C:$C,"",0)</f>
        <v>0</v>
      </c>
      <c r="C8" s="200">
        <f t="shared" ref="C8:C9" si="1">B8*C$50/B$50</f>
        <v>0</v>
      </c>
      <c r="D8" s="201">
        <f t="shared" ref="D8:D9" si="2">IF(C8&gt;4,ROUND(C8/2,0)*2,IF(C8&gt;2.2,4,0))</f>
        <v>0</v>
      </c>
      <c r="E8" s="199">
        <f>_xlfn.XLOOKUP(A8,'2.0SASA'!$A:$A,'2.0SASA'!$B:$B,"",0)</f>
        <v>30</v>
      </c>
      <c r="F8" s="200">
        <f t="shared" ref="F8:F9" si="3">E8*F$50/E$50</f>
        <v>3</v>
      </c>
      <c r="G8" s="201">
        <f t="shared" ref="G8:G9" si="4">IF(F8&gt;4,ROUND(F8/2,0)*2,IF(F8&gt;2.2,4,0))</f>
        <v>4</v>
      </c>
      <c r="H8" s="199">
        <f>_xlfn.XLOOKUP(A8,'2.0SASA'!$A:$A,'2.0SASA'!$J:$J,"",0)</f>
        <v>30</v>
      </c>
      <c r="I8" s="200">
        <f t="shared" ref="I8:I9" si="5">H8*I$50/H$50</f>
        <v>2.7522935779816513</v>
      </c>
      <c r="J8" s="201">
        <f t="shared" ref="J8:J9" si="6">IF(I8&gt;4,ROUND(I8/2,0)*2,IF(I8&gt;2,4,0))</f>
        <v>4</v>
      </c>
      <c r="K8" s="199">
        <f>_xlfn.XLOOKUP(A8,'2.0SASA'!$A:$A,'2.0SASA'!$K:$K,"",0)</f>
        <v>0</v>
      </c>
      <c r="L8" s="200">
        <f t="shared" ref="L8:L9" si="7">K8*L$50/K$50</f>
        <v>0</v>
      </c>
      <c r="M8" s="201">
        <f t="shared" ref="M8:M9" si="8">IF(L8&gt;4,ROUND(L8/2,0)*2,IF(L8&gt;2.2,4,0))</f>
        <v>0</v>
      </c>
      <c r="N8" s="199">
        <f>_xlfn.XLOOKUP(A8,'2.0SASA'!$A:$A,'2.0SASA'!$G:$G,"",0)</f>
        <v>0</v>
      </c>
      <c r="O8" s="200">
        <f t="shared" ref="O8:O9" si="9">N8*O$50/N$50</f>
        <v>0</v>
      </c>
      <c r="P8" s="201">
        <f t="shared" ref="P8:P9" si="10">IF(O8&gt;4,ROUND(O8/2,0)*2,IF(O8&gt;2.2,4,0))</f>
        <v>0</v>
      </c>
      <c r="Q8" s="199">
        <f>_xlfn.XLOOKUP(A8,'2.0SASA'!$A:$A,'2.0SASA'!$I:$I,"",0)</f>
        <v>10</v>
      </c>
      <c r="R8" s="200">
        <f t="shared" ref="R8:R9" si="11">Q8*R$50/Q$50</f>
        <v>1.1428571428571428</v>
      </c>
      <c r="S8" s="201">
        <f t="shared" ref="S8:S9" si="12">IF(R8&gt;4,ROUND(R8/2,0)*2,IF(R8&gt;2.2,4,0))</f>
        <v>0</v>
      </c>
      <c r="T8" s="199">
        <f>_xlfn.XLOOKUP(A8,'2.0SASA'!$A:$A,'2.0SASA'!$F:$F,"",0)</f>
        <v>40</v>
      </c>
      <c r="U8" s="200">
        <f t="shared" ref="U8:U9" si="13">T8*U$50/T$50</f>
        <v>4</v>
      </c>
      <c r="V8" s="201">
        <f t="shared" ref="V8:V9" si="14">IF(U8&gt;4,ROUND(U8/2,0)*2,IF(U8&gt;2.2,4,0))</f>
        <v>4</v>
      </c>
      <c r="W8" s="199">
        <f>_xlfn.XLOOKUP(A8,'2.0SASA'!$A:$A,'2.0SASA'!$H:$H,"",0)</f>
        <v>0</v>
      </c>
      <c r="X8" s="200">
        <f t="shared" ref="X8:X9" si="15">W8*X$50/W$50</f>
        <v>0</v>
      </c>
      <c r="Y8" s="201">
        <f t="shared" ref="Y8:Y9" si="16">IF(X8&gt;4,ROUND(X8/2,0)*2,IF(X8&gt;2.2,4,0))</f>
        <v>0</v>
      </c>
      <c r="Z8" s="199">
        <f>_xlfn.XLOOKUP(A8,'2.0SASA'!$A:$A,'2.0SASA'!$D:$D,"",0)</f>
        <v>40</v>
      </c>
      <c r="AA8" s="200">
        <f t="shared" ref="AA8:AA9" si="17">Z8*AA$50/Z$50</f>
        <v>3.8787878787878789</v>
      </c>
      <c r="AB8" s="201">
        <f t="shared" ref="AB8:AB9" si="18">IF(AA8&gt;4,ROUND(AA8/2,0)*2,IF(AA8&gt;2.2,4,0))</f>
        <v>4</v>
      </c>
      <c r="AC8" s="199">
        <f>_xlfn.XLOOKUP(A8,'2.0SASA'!$A:$A,'2.0SASA'!$E:$E,"",0)</f>
        <v>0</v>
      </c>
      <c r="AD8" s="200">
        <f t="shared" ref="AD8:AD9" si="19">AC8*AD$50/AC$50</f>
        <v>0</v>
      </c>
      <c r="AE8" s="201">
        <f t="shared" ref="AE8:AE9" si="20">IF(AD8&gt;4,ROUND(AD8/2,0)*2,IF(AD8&gt;2.2,4,0))</f>
        <v>0</v>
      </c>
      <c r="AF8" s="199">
        <f>_xlfn.XLOOKUP(A8,'2.0SASA'!$A:$A,'2.0SASA'!$V:$V,"",0)</f>
        <v>30</v>
      </c>
      <c r="AG8" s="200">
        <f t="shared" ref="AG8:AG9" si="21">AF8*AG$50/AF$50</f>
        <v>2</v>
      </c>
      <c r="AH8" s="209">
        <v>4</v>
      </c>
      <c r="AI8" s="199">
        <f>_xlfn.XLOOKUP(A8,'2.0SASA'!$A:$A,'2.0SASA'!$U:$U,"",0)</f>
        <v>10</v>
      </c>
      <c r="AJ8" s="200">
        <f t="shared" ref="AJ8:AJ9" si="22">AI8*AJ$50/AI$50</f>
        <v>0.45112781954887216</v>
      </c>
      <c r="AK8" s="201">
        <f t="shared" ref="AK8:AK9" si="23">IF(AJ8&gt;4,ROUND(AJ8/2,0)*2,IF(AJ8&gt;2,4,0))</f>
        <v>0</v>
      </c>
      <c r="AL8" s="199">
        <f>_xlfn.XLOOKUP(A8,'2.0SASA'!$A:$A,'2.0SASA'!$Q:$Q,"",0)</f>
        <v>40</v>
      </c>
      <c r="AM8" s="200">
        <f t="shared" ref="AM8:AM9" si="24">AL8*AM$50/AL$50</f>
        <v>1.932367149758454</v>
      </c>
      <c r="AN8" s="201">
        <f t="shared" ref="AN8:AN9" si="25">IF(AM8&gt;4,ROUND(AM8/2,0)*2,IF(AM8&gt;2.2,4,0))</f>
        <v>0</v>
      </c>
      <c r="AO8" s="199">
        <f>_xlfn.XLOOKUP(A8,'2.0SASA'!$A:$A,'2.0SASA'!$AD:$AD,"",0)</f>
        <v>30</v>
      </c>
      <c r="AP8" s="200">
        <f t="shared" ref="AP8:AP9" si="26">AO8*AP$50/AO$50</f>
        <v>1.5584415584415585</v>
      </c>
      <c r="AQ8" s="201">
        <f t="shared" ref="AQ8:AQ9" si="27">IF(AP8&gt;4,ROUND(AP8/2,0)*2,IF(AP8&gt;2.2,4,0))</f>
        <v>0</v>
      </c>
      <c r="AR8" s="67"/>
      <c r="AS8" s="67"/>
      <c r="AU8" s="62"/>
    </row>
    <row r="9" spans="1:51" s="57" customFormat="1" ht="17.25" customHeight="1">
      <c r="A9" s="198" t="s">
        <v>74</v>
      </c>
      <c r="B9" s="199">
        <f>_xlfn.XLOOKUP(A9,'2.0SASA'!$A:$A,'2.0SASA'!$C:$C,"",0)</f>
        <v>0</v>
      </c>
      <c r="C9" s="200">
        <f t="shared" si="1"/>
        <v>0</v>
      </c>
      <c r="D9" s="201">
        <f t="shared" si="2"/>
        <v>0</v>
      </c>
      <c r="E9" s="199">
        <f>_xlfn.XLOOKUP(A9,'2.0SASA'!$A:$A,'2.0SASA'!$B:$B,"",0)</f>
        <v>0</v>
      </c>
      <c r="F9" s="200">
        <f t="shared" si="3"/>
        <v>0</v>
      </c>
      <c r="G9" s="201">
        <f t="shared" si="4"/>
        <v>0</v>
      </c>
      <c r="H9" s="199">
        <f>_xlfn.XLOOKUP(A9,'2.0SASA'!$A:$A,'2.0SASA'!$J:$J,"",0)</f>
        <v>52</v>
      </c>
      <c r="I9" s="200">
        <f t="shared" si="5"/>
        <v>4.7706422018348622</v>
      </c>
      <c r="J9" s="201">
        <f t="shared" si="6"/>
        <v>4</v>
      </c>
      <c r="K9" s="199">
        <f>_xlfn.XLOOKUP(A9,'2.0SASA'!$A:$A,'2.0SASA'!$K:$K,"",0)</f>
        <v>0</v>
      </c>
      <c r="L9" s="200">
        <f t="shared" si="7"/>
        <v>0</v>
      </c>
      <c r="M9" s="201">
        <f t="shared" si="8"/>
        <v>0</v>
      </c>
      <c r="N9" s="199">
        <f>_xlfn.XLOOKUP(A9,'2.0SASA'!$A:$A,'2.0SASA'!$G:$G,"",0)</f>
        <v>0</v>
      </c>
      <c r="O9" s="200">
        <f t="shared" si="9"/>
        <v>0</v>
      </c>
      <c r="P9" s="201">
        <f t="shared" si="10"/>
        <v>0</v>
      </c>
      <c r="Q9" s="199">
        <f>_xlfn.XLOOKUP(A9,'2.0SASA'!$A:$A,'2.0SASA'!$I:$I,"",0)</f>
        <v>0</v>
      </c>
      <c r="R9" s="200">
        <f t="shared" si="11"/>
        <v>0</v>
      </c>
      <c r="S9" s="201">
        <f t="shared" si="12"/>
        <v>0</v>
      </c>
      <c r="T9" s="199">
        <f>_xlfn.XLOOKUP(A9,'2.0SASA'!$A:$A,'2.0SASA'!$F:$F,"",0)</f>
        <v>60</v>
      </c>
      <c r="U9" s="200">
        <f t="shared" si="13"/>
        <v>6</v>
      </c>
      <c r="V9" s="201">
        <f t="shared" si="14"/>
        <v>6</v>
      </c>
      <c r="W9" s="199">
        <f>_xlfn.XLOOKUP(A9,'2.0SASA'!$A:$A,'2.0SASA'!$H:$H,"",0)</f>
        <v>20</v>
      </c>
      <c r="X9" s="200">
        <f t="shared" si="15"/>
        <v>1.75</v>
      </c>
      <c r="Y9" s="201">
        <f t="shared" si="16"/>
        <v>0</v>
      </c>
      <c r="Z9" s="199">
        <f>_xlfn.XLOOKUP(A9,'2.0SASA'!$A:$A,'2.0SASA'!$D:$D,"",0)</f>
        <v>40</v>
      </c>
      <c r="AA9" s="200">
        <f t="shared" si="17"/>
        <v>3.8787878787878789</v>
      </c>
      <c r="AB9" s="201">
        <f t="shared" si="18"/>
        <v>4</v>
      </c>
      <c r="AC9" s="199">
        <f>_xlfn.XLOOKUP(A9,'2.0SASA'!$A:$A,'2.0SASA'!$E:$E,"",0)</f>
        <v>60</v>
      </c>
      <c r="AD9" s="200">
        <f t="shared" si="19"/>
        <v>5.806451612903226</v>
      </c>
      <c r="AE9" s="201">
        <f t="shared" si="20"/>
        <v>6</v>
      </c>
      <c r="AF9" s="199">
        <f>_xlfn.XLOOKUP(A9,'2.0SASA'!$A:$A,'2.0SASA'!$V:$V,"",0)</f>
        <v>40</v>
      </c>
      <c r="AG9" s="200">
        <f t="shared" si="21"/>
        <v>2.6666666666666665</v>
      </c>
      <c r="AH9" s="201">
        <f t="shared" ref="AH9" si="28">IF(AG9&gt;4,ROUND(AG9/2,0)*2,IF(AG9&gt;2.2,4,0))</f>
        <v>4</v>
      </c>
      <c r="AI9" s="199">
        <f>_xlfn.XLOOKUP(A9,'2.0SASA'!$A:$A,'2.0SASA'!$U:$U,"",0)</f>
        <v>60</v>
      </c>
      <c r="AJ9" s="200">
        <f t="shared" si="22"/>
        <v>2.7067669172932329</v>
      </c>
      <c r="AK9" s="201">
        <f t="shared" si="23"/>
        <v>4</v>
      </c>
      <c r="AL9" s="199">
        <f>_xlfn.XLOOKUP(A9,'2.0SASA'!$A:$A,'2.0SASA'!$Q:$Q,"",0)</f>
        <v>90</v>
      </c>
      <c r="AM9" s="200">
        <f t="shared" si="24"/>
        <v>4.3478260869565215</v>
      </c>
      <c r="AN9" s="201">
        <f t="shared" si="25"/>
        <v>4</v>
      </c>
      <c r="AO9" s="199">
        <f>_xlfn.XLOOKUP(A9,'2.0SASA'!$A:$A,'2.0SASA'!$AD:$AD,"",0)</f>
        <v>10</v>
      </c>
      <c r="AP9" s="200">
        <f t="shared" si="26"/>
        <v>0.51948051948051943</v>
      </c>
      <c r="AQ9" s="201">
        <f t="shared" si="27"/>
        <v>0</v>
      </c>
      <c r="AR9" s="67"/>
      <c r="AS9" s="67"/>
      <c r="AU9" s="67"/>
    </row>
    <row r="10" spans="1:51" s="58" customFormat="1" ht="17.25" customHeight="1">
      <c r="A10" s="202" t="s">
        <v>392</v>
      </c>
      <c r="B10" s="203">
        <f>SUM(B8:B9)</f>
        <v>0</v>
      </c>
      <c r="C10" s="203">
        <f t="shared" ref="C10:AQ10" si="29">SUM(C8:C9)</f>
        <v>0</v>
      </c>
      <c r="D10" s="203">
        <f t="shared" si="29"/>
        <v>0</v>
      </c>
      <c r="E10" s="203">
        <f t="shared" si="29"/>
        <v>30</v>
      </c>
      <c r="F10" s="203">
        <f t="shared" si="29"/>
        <v>3</v>
      </c>
      <c r="G10" s="203">
        <f t="shared" si="29"/>
        <v>4</v>
      </c>
      <c r="H10" s="203">
        <f t="shared" si="29"/>
        <v>82</v>
      </c>
      <c r="I10" s="203">
        <f t="shared" si="29"/>
        <v>7.522935779816514</v>
      </c>
      <c r="J10" s="203">
        <f t="shared" si="29"/>
        <v>8</v>
      </c>
      <c r="K10" s="203">
        <f t="shared" si="29"/>
        <v>0</v>
      </c>
      <c r="L10" s="203">
        <f t="shared" si="29"/>
        <v>0</v>
      </c>
      <c r="M10" s="203">
        <f t="shared" si="29"/>
        <v>0</v>
      </c>
      <c r="N10" s="203">
        <f t="shared" si="29"/>
        <v>0</v>
      </c>
      <c r="O10" s="203">
        <f t="shared" si="29"/>
        <v>0</v>
      </c>
      <c r="P10" s="203">
        <f t="shared" si="29"/>
        <v>0</v>
      </c>
      <c r="Q10" s="203">
        <f t="shared" si="29"/>
        <v>10</v>
      </c>
      <c r="R10" s="203">
        <f t="shared" si="29"/>
        <v>1.1428571428571428</v>
      </c>
      <c r="S10" s="203">
        <f t="shared" si="29"/>
        <v>0</v>
      </c>
      <c r="T10" s="203">
        <f t="shared" si="29"/>
        <v>100</v>
      </c>
      <c r="U10" s="203">
        <f t="shared" si="29"/>
        <v>10</v>
      </c>
      <c r="V10" s="203">
        <f t="shared" si="29"/>
        <v>10</v>
      </c>
      <c r="W10" s="203">
        <f t="shared" si="29"/>
        <v>20</v>
      </c>
      <c r="X10" s="203">
        <f t="shared" si="29"/>
        <v>1.75</v>
      </c>
      <c r="Y10" s="203">
        <f t="shared" si="29"/>
        <v>0</v>
      </c>
      <c r="Z10" s="203">
        <f t="shared" si="29"/>
        <v>80</v>
      </c>
      <c r="AA10" s="203">
        <f t="shared" si="29"/>
        <v>7.7575757575757578</v>
      </c>
      <c r="AB10" s="203">
        <f t="shared" si="29"/>
        <v>8</v>
      </c>
      <c r="AC10" s="203">
        <f t="shared" si="29"/>
        <v>60</v>
      </c>
      <c r="AD10" s="203">
        <f t="shared" si="29"/>
        <v>5.806451612903226</v>
      </c>
      <c r="AE10" s="203">
        <f t="shared" si="29"/>
        <v>6</v>
      </c>
      <c r="AF10" s="203">
        <f t="shared" si="29"/>
        <v>70</v>
      </c>
      <c r="AG10" s="203">
        <f t="shared" si="29"/>
        <v>4.6666666666666661</v>
      </c>
      <c r="AH10" s="203">
        <f t="shared" si="29"/>
        <v>8</v>
      </c>
      <c r="AI10" s="203">
        <f t="shared" si="29"/>
        <v>70</v>
      </c>
      <c r="AJ10" s="203">
        <f t="shared" si="29"/>
        <v>3.1578947368421053</v>
      </c>
      <c r="AK10" s="203">
        <f t="shared" si="29"/>
        <v>4</v>
      </c>
      <c r="AL10" s="203">
        <f t="shared" si="29"/>
        <v>130</v>
      </c>
      <c r="AM10" s="203">
        <f t="shared" si="29"/>
        <v>6.2801932367149753</v>
      </c>
      <c r="AN10" s="203">
        <f t="shared" si="29"/>
        <v>4</v>
      </c>
      <c r="AO10" s="203">
        <f t="shared" si="29"/>
        <v>40</v>
      </c>
      <c r="AP10" s="203">
        <f t="shared" si="29"/>
        <v>2.0779220779220777</v>
      </c>
      <c r="AQ10" s="203">
        <f t="shared" si="29"/>
        <v>0</v>
      </c>
      <c r="AU10" s="68"/>
    </row>
    <row r="11" spans="1:51" s="57" customFormat="1" ht="17.25" customHeight="1">
      <c r="A11" s="198" t="s">
        <v>101</v>
      </c>
      <c r="B11" s="199">
        <f>_xlfn.XLOOKUP(A11,'2.0SASA'!$A:$A,'2.0SASA'!$C:$C,"",0)</f>
        <v>0</v>
      </c>
      <c r="C11" s="200">
        <f t="shared" ref="C11:C14" si="30">B11*C$50/B$50</f>
        <v>0</v>
      </c>
      <c r="D11" s="201">
        <f t="shared" ref="D11:D14" si="31">IF(C11&gt;4,ROUND(C11/2,0)*2,IF(C11&gt;2.2,4,0))</f>
        <v>0</v>
      </c>
      <c r="E11" s="199">
        <f>_xlfn.XLOOKUP(A11,'2.0SASA'!$A:$A,'2.0SASA'!$B:$B,"",0)</f>
        <v>110</v>
      </c>
      <c r="F11" s="200">
        <f t="shared" ref="F11:F14" si="32">E11*F$50/E$50</f>
        <v>11</v>
      </c>
      <c r="G11" s="209">
        <v>10</v>
      </c>
      <c r="H11" s="199">
        <f>_xlfn.XLOOKUP(A11,'2.0SASA'!$A:$A,'2.0SASA'!$J:$J,"",0)</f>
        <v>0</v>
      </c>
      <c r="I11" s="200">
        <f t="shared" ref="I11:I14" si="33">H11*I$50/H$50</f>
        <v>0</v>
      </c>
      <c r="J11" s="201">
        <f t="shared" ref="J11:J14" si="34">IF(I11&gt;4,ROUND(I11/2,0)*2,IF(I11&gt;2,4,0))</f>
        <v>0</v>
      </c>
      <c r="K11" s="199">
        <f>_xlfn.XLOOKUP(A11,'2.0SASA'!$A:$A,'2.0SASA'!$K:$K,"",0)</f>
        <v>0</v>
      </c>
      <c r="L11" s="200">
        <f t="shared" ref="L11:L14" si="35">K11*L$50/K$50</f>
        <v>0</v>
      </c>
      <c r="M11" s="201">
        <f t="shared" ref="M11:M14" si="36">IF(L11&gt;4,ROUND(L11/2,0)*2,IF(L11&gt;2.2,4,0))</f>
        <v>0</v>
      </c>
      <c r="N11" s="199">
        <f>_xlfn.XLOOKUP(A11,'2.0SASA'!$A:$A,'2.0SASA'!$G:$G,"",0)</f>
        <v>0</v>
      </c>
      <c r="O11" s="200">
        <f t="shared" ref="O11:O14" si="37">N11*O$50/N$50</f>
        <v>0</v>
      </c>
      <c r="P11" s="201">
        <f t="shared" ref="P11:P14" si="38">IF(O11&gt;4,ROUND(O11/2,0)*2,IF(O11&gt;2.2,4,0))</f>
        <v>0</v>
      </c>
      <c r="Q11" s="199">
        <f>_xlfn.XLOOKUP(A11,'2.0SASA'!$A:$A,'2.0SASA'!$I:$I,"",0)</f>
        <v>0</v>
      </c>
      <c r="R11" s="200">
        <f t="shared" ref="R11:R14" si="39">Q11*R$50/Q$50</f>
        <v>0</v>
      </c>
      <c r="S11" s="201">
        <f t="shared" ref="S11:S14" si="40">IF(R11&gt;4,ROUND(R11/2,0)*2,IF(R11&gt;2.2,4,0))</f>
        <v>0</v>
      </c>
      <c r="T11" s="199">
        <f>_xlfn.XLOOKUP(A11,'2.0SASA'!$A:$A,'2.0SASA'!$F:$F,"",0)</f>
        <v>20</v>
      </c>
      <c r="U11" s="200">
        <f t="shared" ref="U11:U14" si="41">T11*U$50/T$50</f>
        <v>2</v>
      </c>
      <c r="V11" s="201">
        <f t="shared" ref="V11:V14" si="42">IF(U11&gt;4,ROUND(U11/2,0)*2,IF(U11&gt;2.2,4,0))</f>
        <v>0</v>
      </c>
      <c r="W11" s="199">
        <f>_xlfn.XLOOKUP(A11,'2.0SASA'!$A:$A,'2.0SASA'!$H:$H,"",0)</f>
        <v>20</v>
      </c>
      <c r="X11" s="200">
        <f t="shared" ref="X11:X14" si="43">W11*X$50/W$50</f>
        <v>1.75</v>
      </c>
      <c r="Y11" s="201">
        <f t="shared" ref="Y11:Y14" si="44">IF(X11&gt;4,ROUND(X11/2,0)*2,IF(X11&gt;2.2,4,0))</f>
        <v>0</v>
      </c>
      <c r="Z11" s="199">
        <f>_xlfn.XLOOKUP(A11,'2.0SASA'!$A:$A,'2.0SASA'!$D:$D,"",0)</f>
        <v>110</v>
      </c>
      <c r="AA11" s="200">
        <f t="shared" ref="AA11:AA14" si="45">Z11*AA$50/Z$50</f>
        <v>10.666666666666666</v>
      </c>
      <c r="AB11" s="201">
        <f t="shared" ref="AB11:AB14" si="46">IF(AA11&gt;4,ROUND(AA11/2,0)*2,IF(AA11&gt;2.2,4,0))</f>
        <v>10</v>
      </c>
      <c r="AC11" s="199">
        <f>_xlfn.XLOOKUP(A11,'2.0SASA'!$A:$A,'2.0SASA'!$E:$E,"",0)</f>
        <v>0</v>
      </c>
      <c r="AD11" s="200">
        <f t="shared" ref="AD11:AD14" si="47">AC11*AD$50/AC$50</f>
        <v>0</v>
      </c>
      <c r="AE11" s="201">
        <f t="shared" ref="AE11:AE14" si="48">IF(AD11&gt;4,ROUND(AD11/2,0)*2,IF(AD11&gt;2.2,4,0))</f>
        <v>0</v>
      </c>
      <c r="AF11" s="199">
        <f>_xlfn.XLOOKUP(A11,'2.0SASA'!$A:$A,'2.0SASA'!$V:$V,"",0)</f>
        <v>0</v>
      </c>
      <c r="AG11" s="200">
        <f t="shared" ref="AG11:AG14" si="49">AF11*AG$50/AF$50</f>
        <v>0</v>
      </c>
      <c r="AH11" s="201">
        <f t="shared" ref="AH11:AH14" si="50">IF(AG11&gt;4,ROUND(AG11/2,0)*2,IF(AG11&gt;2.2,4,0))</f>
        <v>0</v>
      </c>
      <c r="AI11" s="199">
        <f>_xlfn.XLOOKUP(A11,'2.0SASA'!$A:$A,'2.0SASA'!$U:$U,"",0)</f>
        <v>110</v>
      </c>
      <c r="AJ11" s="200">
        <f t="shared" ref="AJ11:AJ14" si="51">AI11*AJ$50/AI$50</f>
        <v>4.9624060150375939</v>
      </c>
      <c r="AK11" s="209">
        <v>6</v>
      </c>
      <c r="AL11" s="199">
        <f>_xlfn.XLOOKUP(A11,'2.0SASA'!$A:$A,'2.0SASA'!$Q:$Q,"",0)</f>
        <v>110</v>
      </c>
      <c r="AM11" s="200">
        <f t="shared" ref="AM11:AM14" si="52">AL11*AM$50/AL$50</f>
        <v>5.3140096618357484</v>
      </c>
      <c r="AN11" s="201">
        <f t="shared" ref="AN11:AN14" si="53">IF(AM11&gt;4,ROUND(AM11/2,0)*2,IF(AM11&gt;2.2,4,0))</f>
        <v>6</v>
      </c>
      <c r="AO11" s="199">
        <f>_xlfn.XLOOKUP(A11,'2.0SASA'!$A:$A,'2.0SASA'!$AD:$AD,"",0)</f>
        <v>0</v>
      </c>
      <c r="AP11" s="200">
        <f t="shared" ref="AP11:AP14" si="54">AO11*AP$50/AO$50</f>
        <v>0</v>
      </c>
      <c r="AQ11" s="201">
        <f t="shared" ref="AQ11:AQ14" si="55">IF(AP11&gt;4,ROUND(AP11/2,0)*2,IF(AP11&gt;2.2,4,0))</f>
        <v>0</v>
      </c>
      <c r="AR11" s="62"/>
      <c r="AS11" s="62"/>
      <c r="AU11" s="62"/>
    </row>
    <row r="12" spans="1:51" s="57" customFormat="1" ht="17.25" customHeight="1">
      <c r="A12" s="198" t="s">
        <v>96</v>
      </c>
      <c r="B12" s="199">
        <f>_xlfn.XLOOKUP(A12,'2.0SASA'!$A:$A,'2.0SASA'!$C:$C,"",0)</f>
        <v>0</v>
      </c>
      <c r="C12" s="200">
        <f t="shared" si="30"/>
        <v>0</v>
      </c>
      <c r="D12" s="201">
        <f t="shared" si="31"/>
        <v>0</v>
      </c>
      <c r="E12" s="199">
        <f>_xlfn.XLOOKUP(A12,'2.0SASA'!$A:$A,'2.0SASA'!$B:$B,"",0)</f>
        <v>50</v>
      </c>
      <c r="F12" s="200">
        <f t="shared" si="32"/>
        <v>5</v>
      </c>
      <c r="G12" s="201">
        <f t="shared" ref="G12:G14" si="56">IF(F12&gt;4,ROUND(F12/2,0)*2,IF(F12&gt;2.2,4,0))</f>
        <v>6</v>
      </c>
      <c r="H12" s="199">
        <f>_xlfn.XLOOKUP(A12,'2.0SASA'!$A:$A,'2.0SASA'!$J:$J,"",0)</f>
        <v>0</v>
      </c>
      <c r="I12" s="200">
        <f t="shared" si="33"/>
        <v>0</v>
      </c>
      <c r="J12" s="201">
        <f t="shared" si="34"/>
        <v>0</v>
      </c>
      <c r="K12" s="199">
        <f>_xlfn.XLOOKUP(A12,'2.0SASA'!$A:$A,'2.0SASA'!$K:$K,"",0)</f>
        <v>0</v>
      </c>
      <c r="L12" s="200">
        <f t="shared" si="35"/>
        <v>0</v>
      </c>
      <c r="M12" s="201">
        <f t="shared" si="36"/>
        <v>0</v>
      </c>
      <c r="N12" s="199">
        <f>_xlfn.XLOOKUP(A12,'2.0SASA'!$A:$A,'2.0SASA'!$G:$G,"",0)</f>
        <v>30</v>
      </c>
      <c r="O12" s="200">
        <f t="shared" si="37"/>
        <v>4</v>
      </c>
      <c r="P12" s="201">
        <f t="shared" si="38"/>
        <v>4</v>
      </c>
      <c r="Q12" s="199">
        <f>_xlfn.XLOOKUP(A12,'2.0SASA'!$A:$A,'2.0SASA'!$I:$I,"",0)</f>
        <v>0</v>
      </c>
      <c r="R12" s="200">
        <f t="shared" si="39"/>
        <v>0</v>
      </c>
      <c r="S12" s="201">
        <f t="shared" si="40"/>
        <v>0</v>
      </c>
      <c r="T12" s="199">
        <f>_xlfn.XLOOKUP(A12,'2.0SASA'!$A:$A,'2.0SASA'!$F:$F,"",0)</f>
        <v>30</v>
      </c>
      <c r="U12" s="200">
        <f t="shared" si="41"/>
        <v>3</v>
      </c>
      <c r="V12" s="201">
        <f t="shared" si="42"/>
        <v>4</v>
      </c>
      <c r="W12" s="199">
        <f>_xlfn.XLOOKUP(A12,'2.0SASA'!$A:$A,'2.0SASA'!$H:$H,"",0)</f>
        <v>10</v>
      </c>
      <c r="X12" s="200">
        <f t="shared" si="43"/>
        <v>0.875</v>
      </c>
      <c r="Y12" s="201">
        <f t="shared" si="44"/>
        <v>0</v>
      </c>
      <c r="Z12" s="199">
        <f>_xlfn.XLOOKUP(A12,'2.0SASA'!$A:$A,'2.0SASA'!$D:$D,"",0)</f>
        <v>50</v>
      </c>
      <c r="AA12" s="200">
        <f t="shared" si="45"/>
        <v>4.8484848484848486</v>
      </c>
      <c r="AB12" s="201">
        <f t="shared" si="46"/>
        <v>4</v>
      </c>
      <c r="AC12" s="199">
        <f>_xlfn.XLOOKUP(A12,'2.0SASA'!$A:$A,'2.0SASA'!$E:$E,"",0)</f>
        <v>30</v>
      </c>
      <c r="AD12" s="200">
        <f t="shared" si="47"/>
        <v>2.903225806451613</v>
      </c>
      <c r="AE12" s="201">
        <f t="shared" si="48"/>
        <v>4</v>
      </c>
      <c r="AF12" s="199">
        <f>_xlfn.XLOOKUP(A12,'2.0SASA'!$A:$A,'2.0SASA'!$V:$V,"",0)</f>
        <v>20</v>
      </c>
      <c r="AG12" s="200">
        <f t="shared" si="49"/>
        <v>1.3333333333333333</v>
      </c>
      <c r="AH12" s="201">
        <f t="shared" si="50"/>
        <v>0</v>
      </c>
      <c r="AI12" s="199">
        <f>_xlfn.XLOOKUP(A12,'2.0SASA'!$A:$A,'2.0SASA'!$U:$U,"",0)</f>
        <v>50</v>
      </c>
      <c r="AJ12" s="200">
        <f t="shared" si="51"/>
        <v>2.255639097744361</v>
      </c>
      <c r="AK12" s="201">
        <f t="shared" ref="AK12:AK14" si="57">IF(AJ12&gt;4,ROUND(AJ12/2,0)*2,IF(AJ12&gt;2,4,0))</f>
        <v>4</v>
      </c>
      <c r="AL12" s="199">
        <f>_xlfn.XLOOKUP(A12,'2.0SASA'!$A:$A,'2.0SASA'!$Q:$Q,"",0)</f>
        <v>50</v>
      </c>
      <c r="AM12" s="200">
        <f t="shared" si="52"/>
        <v>2.4154589371980677</v>
      </c>
      <c r="AN12" s="201">
        <f t="shared" si="53"/>
        <v>4</v>
      </c>
      <c r="AO12" s="199">
        <f>_xlfn.XLOOKUP(A12,'2.0SASA'!$A:$A,'2.0SASA'!$AD:$AD,"",0)</f>
        <v>10</v>
      </c>
      <c r="AP12" s="200">
        <f t="shared" si="54"/>
        <v>0.51948051948051943</v>
      </c>
      <c r="AQ12" s="201">
        <f t="shared" si="55"/>
        <v>0</v>
      </c>
      <c r="AR12" s="62"/>
      <c r="AS12" s="62"/>
      <c r="AU12" s="62"/>
    </row>
    <row r="13" spans="1:51" s="57" customFormat="1" ht="17.25" customHeight="1">
      <c r="A13" s="198" t="s">
        <v>126</v>
      </c>
      <c r="B13" s="199">
        <f>_xlfn.XLOOKUP(A13,'2.0SASA'!$A:$A,'2.0SASA'!$C:$C,"",0)</f>
        <v>0</v>
      </c>
      <c r="C13" s="200">
        <f t="shared" si="30"/>
        <v>0</v>
      </c>
      <c r="D13" s="201">
        <f t="shared" si="31"/>
        <v>0</v>
      </c>
      <c r="E13" s="199">
        <f>_xlfn.XLOOKUP(A13,'2.0SASA'!$A:$A,'2.0SASA'!$B:$B,"",0)</f>
        <v>90</v>
      </c>
      <c r="F13" s="200">
        <f t="shared" si="32"/>
        <v>9</v>
      </c>
      <c r="G13" s="201">
        <f t="shared" si="56"/>
        <v>10</v>
      </c>
      <c r="H13" s="199">
        <f>_xlfn.XLOOKUP(A13,'2.0SASA'!$A:$A,'2.0SASA'!$J:$J,"",0)</f>
        <v>0</v>
      </c>
      <c r="I13" s="200">
        <f t="shared" si="33"/>
        <v>0</v>
      </c>
      <c r="J13" s="201">
        <f t="shared" si="34"/>
        <v>0</v>
      </c>
      <c r="K13" s="199">
        <f>_xlfn.XLOOKUP(A13,'2.0SASA'!$A:$A,'2.0SASA'!$K:$K,"",0)</f>
        <v>0</v>
      </c>
      <c r="L13" s="200">
        <f t="shared" si="35"/>
        <v>0</v>
      </c>
      <c r="M13" s="201">
        <f t="shared" si="36"/>
        <v>0</v>
      </c>
      <c r="N13" s="199">
        <f>_xlfn.XLOOKUP(A13,'2.0SASA'!$A:$A,'2.0SASA'!$G:$G,"",0)</f>
        <v>0</v>
      </c>
      <c r="O13" s="200">
        <f t="shared" si="37"/>
        <v>0</v>
      </c>
      <c r="P13" s="201">
        <f t="shared" si="38"/>
        <v>0</v>
      </c>
      <c r="Q13" s="199">
        <f>_xlfn.XLOOKUP(A13,'2.0SASA'!$A:$A,'2.0SASA'!$I:$I,"",0)</f>
        <v>0</v>
      </c>
      <c r="R13" s="200">
        <f t="shared" si="39"/>
        <v>0</v>
      </c>
      <c r="S13" s="201">
        <f t="shared" si="40"/>
        <v>0</v>
      </c>
      <c r="T13" s="199">
        <f>_xlfn.XLOOKUP(A13,'2.0SASA'!$A:$A,'2.0SASA'!$F:$F,"",0)</f>
        <v>0</v>
      </c>
      <c r="U13" s="200">
        <f t="shared" si="41"/>
        <v>0</v>
      </c>
      <c r="V13" s="201">
        <f t="shared" si="42"/>
        <v>0</v>
      </c>
      <c r="W13" s="199">
        <f>_xlfn.XLOOKUP(A13,'2.0SASA'!$A:$A,'2.0SASA'!$H:$H,"",0)</f>
        <v>60</v>
      </c>
      <c r="X13" s="200">
        <f t="shared" si="43"/>
        <v>5.25</v>
      </c>
      <c r="Y13" s="201">
        <f t="shared" si="44"/>
        <v>6</v>
      </c>
      <c r="Z13" s="199">
        <f>_xlfn.XLOOKUP(A13,'2.0SASA'!$A:$A,'2.0SASA'!$D:$D,"",0)</f>
        <v>50</v>
      </c>
      <c r="AA13" s="200">
        <f t="shared" si="45"/>
        <v>4.8484848484848486</v>
      </c>
      <c r="AB13" s="201">
        <f t="shared" si="46"/>
        <v>4</v>
      </c>
      <c r="AC13" s="199">
        <f>_xlfn.XLOOKUP(A13,'2.0SASA'!$A:$A,'2.0SASA'!$E:$E,"",0)</f>
        <v>0</v>
      </c>
      <c r="AD13" s="200">
        <f t="shared" si="47"/>
        <v>0</v>
      </c>
      <c r="AE13" s="201">
        <f t="shared" si="48"/>
        <v>0</v>
      </c>
      <c r="AF13" s="199">
        <f>_xlfn.XLOOKUP(A13,'2.0SASA'!$A:$A,'2.0SASA'!$V:$V,"",0)</f>
        <v>0</v>
      </c>
      <c r="AG13" s="200">
        <f t="shared" si="49"/>
        <v>0</v>
      </c>
      <c r="AH13" s="201">
        <f t="shared" si="50"/>
        <v>0</v>
      </c>
      <c r="AI13" s="199">
        <f>_xlfn.XLOOKUP(A13,'2.0SASA'!$A:$A,'2.0SASA'!$U:$U,"",0)</f>
        <v>90</v>
      </c>
      <c r="AJ13" s="200">
        <f t="shared" si="51"/>
        <v>4.0601503759398501</v>
      </c>
      <c r="AK13" s="201">
        <f t="shared" si="57"/>
        <v>4</v>
      </c>
      <c r="AL13" s="199">
        <f>_xlfn.XLOOKUP(A13,'2.0SASA'!$A:$A,'2.0SASA'!$Q:$Q,"",0)</f>
        <v>90</v>
      </c>
      <c r="AM13" s="200">
        <f t="shared" si="52"/>
        <v>4.3478260869565215</v>
      </c>
      <c r="AN13" s="201">
        <f t="shared" si="53"/>
        <v>4</v>
      </c>
      <c r="AO13" s="199">
        <f>_xlfn.XLOOKUP(A13,'2.0SASA'!$A:$A,'2.0SASA'!$AD:$AD,"",0)</f>
        <v>10</v>
      </c>
      <c r="AP13" s="200">
        <f t="shared" si="54"/>
        <v>0.51948051948051943</v>
      </c>
      <c r="AQ13" s="201">
        <f t="shared" si="55"/>
        <v>0</v>
      </c>
      <c r="AR13" s="67"/>
      <c r="AS13" s="67"/>
      <c r="AU13" s="62"/>
    </row>
    <row r="14" spans="1:51" s="57" customFormat="1" ht="17.25" customHeight="1">
      <c r="A14" s="198" t="s">
        <v>136</v>
      </c>
      <c r="B14" s="199">
        <f>_xlfn.XLOOKUP(A14,'2.0SASA'!$A:$A,'2.0SASA'!$C:$C,"",0)</f>
        <v>0</v>
      </c>
      <c r="C14" s="200">
        <f t="shared" si="30"/>
        <v>0</v>
      </c>
      <c r="D14" s="201">
        <f t="shared" si="31"/>
        <v>0</v>
      </c>
      <c r="E14" s="199">
        <f>_xlfn.XLOOKUP(A14,'2.0SASA'!$A:$A,'2.0SASA'!$B:$B,"",0)</f>
        <v>60</v>
      </c>
      <c r="F14" s="200">
        <f t="shared" si="32"/>
        <v>6</v>
      </c>
      <c r="G14" s="201">
        <f t="shared" si="56"/>
        <v>6</v>
      </c>
      <c r="H14" s="199">
        <f>_xlfn.XLOOKUP(A14,'2.0SASA'!$A:$A,'2.0SASA'!$J:$J,"",0)</f>
        <v>0</v>
      </c>
      <c r="I14" s="200">
        <f t="shared" si="33"/>
        <v>0</v>
      </c>
      <c r="J14" s="201">
        <f t="shared" si="34"/>
        <v>0</v>
      </c>
      <c r="K14" s="199">
        <f>_xlfn.XLOOKUP(A14,'2.0SASA'!$A:$A,'2.0SASA'!$K:$K,"",0)</f>
        <v>0</v>
      </c>
      <c r="L14" s="200">
        <f t="shared" si="35"/>
        <v>0</v>
      </c>
      <c r="M14" s="201">
        <f t="shared" si="36"/>
        <v>0</v>
      </c>
      <c r="N14" s="199">
        <f>_xlfn.XLOOKUP(A14,'2.0SASA'!$A:$A,'2.0SASA'!$G:$G,"",0)</f>
        <v>0</v>
      </c>
      <c r="O14" s="200">
        <f t="shared" si="37"/>
        <v>0</v>
      </c>
      <c r="P14" s="201">
        <f t="shared" si="38"/>
        <v>0</v>
      </c>
      <c r="Q14" s="199">
        <f>_xlfn.XLOOKUP(A14,'2.0SASA'!$A:$A,'2.0SASA'!$I:$I,"",0)</f>
        <v>20</v>
      </c>
      <c r="R14" s="200">
        <f t="shared" si="39"/>
        <v>2.2857142857142856</v>
      </c>
      <c r="S14" s="201">
        <f t="shared" si="40"/>
        <v>4</v>
      </c>
      <c r="T14" s="199">
        <f>_xlfn.XLOOKUP(A14,'2.0SASA'!$A:$A,'2.0SASA'!$F:$F,"",0)</f>
        <v>0</v>
      </c>
      <c r="U14" s="200">
        <f t="shared" si="41"/>
        <v>0</v>
      </c>
      <c r="V14" s="201">
        <f t="shared" si="42"/>
        <v>0</v>
      </c>
      <c r="W14" s="199">
        <f>_xlfn.XLOOKUP(A14,'2.0SASA'!$A:$A,'2.0SASA'!$H:$H,"",0)</f>
        <v>10</v>
      </c>
      <c r="X14" s="200">
        <f t="shared" si="43"/>
        <v>0.875</v>
      </c>
      <c r="Y14" s="201">
        <f t="shared" si="44"/>
        <v>0</v>
      </c>
      <c r="Z14" s="199">
        <f>_xlfn.XLOOKUP(A14,'2.0SASA'!$A:$A,'2.0SASA'!$D:$D,"",0)</f>
        <v>30</v>
      </c>
      <c r="AA14" s="200">
        <f t="shared" si="45"/>
        <v>2.9090909090909092</v>
      </c>
      <c r="AB14" s="201">
        <f t="shared" si="46"/>
        <v>4</v>
      </c>
      <c r="AC14" s="199">
        <f>_xlfn.XLOOKUP(A14,'2.0SASA'!$A:$A,'2.0SASA'!$E:$E,"",0)</f>
        <v>0</v>
      </c>
      <c r="AD14" s="200">
        <f t="shared" si="47"/>
        <v>0</v>
      </c>
      <c r="AE14" s="201">
        <f t="shared" si="48"/>
        <v>0</v>
      </c>
      <c r="AF14" s="199">
        <f>_xlfn.XLOOKUP(A14,'2.0SASA'!$A:$A,'2.0SASA'!$V:$V,"",0)</f>
        <v>0</v>
      </c>
      <c r="AG14" s="200">
        <f t="shared" si="49"/>
        <v>0</v>
      </c>
      <c r="AH14" s="201">
        <f t="shared" si="50"/>
        <v>0</v>
      </c>
      <c r="AI14" s="199">
        <f>_xlfn.XLOOKUP(A14,'2.0SASA'!$A:$A,'2.0SASA'!$U:$U,"",0)</f>
        <v>60</v>
      </c>
      <c r="AJ14" s="200">
        <f t="shared" si="51"/>
        <v>2.7067669172932329</v>
      </c>
      <c r="AK14" s="201">
        <f t="shared" si="57"/>
        <v>4</v>
      </c>
      <c r="AL14" s="199">
        <f>_xlfn.XLOOKUP(A14,'2.0SASA'!$A:$A,'2.0SASA'!$Q:$Q,"",0)</f>
        <v>60</v>
      </c>
      <c r="AM14" s="200">
        <f t="shared" si="52"/>
        <v>2.8985507246376812</v>
      </c>
      <c r="AN14" s="201">
        <f t="shared" si="53"/>
        <v>4</v>
      </c>
      <c r="AO14" s="199">
        <f>_xlfn.XLOOKUP(A14,'2.0SASA'!$A:$A,'2.0SASA'!$AD:$AD,"",0)</f>
        <v>50</v>
      </c>
      <c r="AP14" s="200">
        <f t="shared" si="54"/>
        <v>2.5974025974025974</v>
      </c>
      <c r="AQ14" s="201">
        <f t="shared" si="55"/>
        <v>4</v>
      </c>
      <c r="AR14" s="67"/>
      <c r="AS14" s="67"/>
      <c r="AU14" s="67"/>
    </row>
    <row r="15" spans="1:51" s="58" customFormat="1" ht="17.25" customHeight="1">
      <c r="A15" s="202" t="s">
        <v>393</v>
      </c>
      <c r="B15" s="204">
        <f>SUM(B11:B14)</f>
        <v>0</v>
      </c>
      <c r="C15" s="204">
        <f t="shared" ref="C15:AQ15" si="58">SUM(C11:C14)</f>
        <v>0</v>
      </c>
      <c r="D15" s="204">
        <f t="shared" si="58"/>
        <v>0</v>
      </c>
      <c r="E15" s="204">
        <f t="shared" si="58"/>
        <v>310</v>
      </c>
      <c r="F15" s="204">
        <f t="shared" si="58"/>
        <v>31</v>
      </c>
      <c r="G15" s="204">
        <f t="shared" si="58"/>
        <v>32</v>
      </c>
      <c r="H15" s="204">
        <f t="shared" si="58"/>
        <v>0</v>
      </c>
      <c r="I15" s="204">
        <f t="shared" si="58"/>
        <v>0</v>
      </c>
      <c r="J15" s="204">
        <f t="shared" si="58"/>
        <v>0</v>
      </c>
      <c r="K15" s="204">
        <f t="shared" si="58"/>
        <v>0</v>
      </c>
      <c r="L15" s="204">
        <f t="shared" si="58"/>
        <v>0</v>
      </c>
      <c r="M15" s="204">
        <f t="shared" si="58"/>
        <v>0</v>
      </c>
      <c r="N15" s="204">
        <f t="shared" si="58"/>
        <v>30</v>
      </c>
      <c r="O15" s="204">
        <f t="shared" si="58"/>
        <v>4</v>
      </c>
      <c r="P15" s="204">
        <f t="shared" si="58"/>
        <v>4</v>
      </c>
      <c r="Q15" s="204">
        <f t="shared" si="58"/>
        <v>20</v>
      </c>
      <c r="R15" s="204">
        <f t="shared" si="58"/>
        <v>2.2857142857142856</v>
      </c>
      <c r="S15" s="204">
        <f t="shared" si="58"/>
        <v>4</v>
      </c>
      <c r="T15" s="204">
        <f t="shared" si="58"/>
        <v>50</v>
      </c>
      <c r="U15" s="204">
        <f t="shared" si="58"/>
        <v>5</v>
      </c>
      <c r="V15" s="204">
        <f t="shared" si="58"/>
        <v>4</v>
      </c>
      <c r="W15" s="204">
        <f t="shared" si="58"/>
        <v>100</v>
      </c>
      <c r="X15" s="204">
        <f t="shared" si="58"/>
        <v>8.75</v>
      </c>
      <c r="Y15" s="204">
        <f t="shared" si="58"/>
        <v>6</v>
      </c>
      <c r="Z15" s="204">
        <f t="shared" si="58"/>
        <v>240</v>
      </c>
      <c r="AA15" s="204">
        <f t="shared" si="58"/>
        <v>23.272727272727273</v>
      </c>
      <c r="AB15" s="204">
        <f t="shared" si="58"/>
        <v>22</v>
      </c>
      <c r="AC15" s="204">
        <f t="shared" si="58"/>
        <v>30</v>
      </c>
      <c r="AD15" s="204">
        <f t="shared" si="58"/>
        <v>2.903225806451613</v>
      </c>
      <c r="AE15" s="204">
        <f t="shared" si="58"/>
        <v>4</v>
      </c>
      <c r="AF15" s="204">
        <f t="shared" si="58"/>
        <v>20</v>
      </c>
      <c r="AG15" s="204">
        <f t="shared" si="58"/>
        <v>1.3333333333333333</v>
      </c>
      <c r="AH15" s="204">
        <f t="shared" si="58"/>
        <v>0</v>
      </c>
      <c r="AI15" s="204">
        <f t="shared" si="58"/>
        <v>310</v>
      </c>
      <c r="AJ15" s="204">
        <f t="shared" si="58"/>
        <v>13.984962406015038</v>
      </c>
      <c r="AK15" s="204">
        <f t="shared" si="58"/>
        <v>18</v>
      </c>
      <c r="AL15" s="204">
        <f t="shared" si="58"/>
        <v>310</v>
      </c>
      <c r="AM15" s="204">
        <f t="shared" si="58"/>
        <v>14.97584541062802</v>
      </c>
      <c r="AN15" s="204">
        <f t="shared" si="58"/>
        <v>18</v>
      </c>
      <c r="AO15" s="204">
        <f t="shared" si="58"/>
        <v>70</v>
      </c>
      <c r="AP15" s="204">
        <f t="shared" si="58"/>
        <v>3.6363636363636362</v>
      </c>
      <c r="AQ15" s="204">
        <f t="shared" si="58"/>
        <v>4</v>
      </c>
      <c r="AU15" s="68"/>
    </row>
    <row r="16" spans="1:51" s="57" customFormat="1" ht="17.25" customHeight="1">
      <c r="A16" s="198" t="s">
        <v>112</v>
      </c>
      <c r="B16" s="199">
        <f>_xlfn.XLOOKUP(A16,'2.0SASA'!$A:$A,'2.0SASA'!$C:$C,"",0)</f>
        <v>0</v>
      </c>
      <c r="C16" s="200">
        <f t="shared" ref="C16:C18" si="59">B16*C$50/B$50</f>
        <v>0</v>
      </c>
      <c r="D16" s="201">
        <f t="shared" ref="D16:D18" si="60">IF(C16&gt;4,ROUND(C16/2,0)*2,IF(C16&gt;2.2,4,0))</f>
        <v>0</v>
      </c>
      <c r="E16" s="199">
        <f>_xlfn.XLOOKUP(A16,'2.0SASA'!$A:$A,'2.0SASA'!$B:$B,"",0)</f>
        <v>60</v>
      </c>
      <c r="F16" s="200">
        <f t="shared" ref="F16:F18" si="61">E16*F$50/E$50</f>
        <v>6</v>
      </c>
      <c r="G16" s="201">
        <f t="shared" ref="G16:G18" si="62">IF(F16&gt;4,ROUND(F16/2,0)*2,IF(F16&gt;2.2,4,0))</f>
        <v>6</v>
      </c>
      <c r="H16" s="199">
        <f>_xlfn.XLOOKUP(A16,'2.0SASA'!$A:$A,'2.0SASA'!$J:$J,"",0)</f>
        <v>0</v>
      </c>
      <c r="I16" s="200">
        <f t="shared" ref="I16:I18" si="63">H16*I$50/H$50</f>
        <v>0</v>
      </c>
      <c r="J16" s="201">
        <f t="shared" ref="J16:J18" si="64">IF(I16&gt;4,ROUND(I16/2,0)*2,IF(I16&gt;2,4,0))</f>
        <v>0</v>
      </c>
      <c r="K16" s="199">
        <f>_xlfn.XLOOKUP(A16,'2.0SASA'!$A:$A,'2.0SASA'!$K:$K,"",0)</f>
        <v>0</v>
      </c>
      <c r="L16" s="200">
        <f t="shared" ref="L16:L18" si="65">K16*L$50/K$50</f>
        <v>0</v>
      </c>
      <c r="M16" s="201">
        <f t="shared" ref="M16:M18" si="66">IF(L16&gt;4,ROUND(L16/2,0)*2,IF(L16&gt;2.2,4,0))</f>
        <v>0</v>
      </c>
      <c r="N16" s="199">
        <f>_xlfn.XLOOKUP(A16,'2.0SASA'!$A:$A,'2.0SASA'!$G:$G,"",0)</f>
        <v>10</v>
      </c>
      <c r="O16" s="200">
        <f t="shared" ref="O16:O18" si="67">N16*O$50/N$50</f>
        <v>1.3333333333333333</v>
      </c>
      <c r="P16" s="201">
        <f t="shared" ref="P16:P18" si="68">IF(O16&gt;4,ROUND(O16/2,0)*2,IF(O16&gt;2.2,4,0))</f>
        <v>0</v>
      </c>
      <c r="Q16" s="199">
        <f>_xlfn.XLOOKUP(A16,'2.0SASA'!$A:$A,'2.0SASA'!$I:$I,"",0)</f>
        <v>0</v>
      </c>
      <c r="R16" s="200">
        <f t="shared" ref="R16:R18" si="69">Q16*R$50/Q$50</f>
        <v>0</v>
      </c>
      <c r="S16" s="201">
        <f t="shared" ref="S16:S18" si="70">IF(R16&gt;4,ROUND(R16/2,0)*2,IF(R16&gt;2.2,4,0))</f>
        <v>0</v>
      </c>
      <c r="T16" s="199">
        <f>_xlfn.XLOOKUP(A16,'2.0SASA'!$A:$A,'2.0SASA'!$F:$F,"",0)</f>
        <v>30</v>
      </c>
      <c r="U16" s="200">
        <f t="shared" ref="U16:U18" si="71">T16*U$50/T$50</f>
        <v>3</v>
      </c>
      <c r="V16" s="201">
        <f t="shared" ref="V16:V18" si="72">IF(U16&gt;4,ROUND(U16/2,0)*2,IF(U16&gt;2.2,4,0))</f>
        <v>4</v>
      </c>
      <c r="W16" s="199">
        <f>_xlfn.XLOOKUP(A16,'2.0SASA'!$A:$A,'2.0SASA'!$H:$H,"",0)</f>
        <v>20</v>
      </c>
      <c r="X16" s="200">
        <f t="shared" ref="X16:X18" si="73">W16*X$50/W$50</f>
        <v>1.75</v>
      </c>
      <c r="Y16" s="201">
        <f t="shared" ref="Y16:Y18" si="74">IF(X16&gt;4,ROUND(X16/2,0)*2,IF(X16&gt;2.2,4,0))</f>
        <v>0</v>
      </c>
      <c r="Z16" s="199">
        <f>_xlfn.XLOOKUP(A16,'2.0SASA'!$A:$A,'2.0SASA'!$D:$D,"",0)</f>
        <v>60</v>
      </c>
      <c r="AA16" s="200">
        <f t="shared" ref="AA16:AA18" si="75">Z16*AA$50/Z$50</f>
        <v>5.8181818181818183</v>
      </c>
      <c r="AB16" s="201">
        <f t="shared" ref="AB16:AB18" si="76">IF(AA16&gt;4,ROUND(AA16/2,0)*2,IF(AA16&gt;2.2,4,0))</f>
        <v>6</v>
      </c>
      <c r="AC16" s="199">
        <f>_xlfn.XLOOKUP(A16,'2.0SASA'!$A:$A,'2.0SASA'!$E:$E,"",0)</f>
        <v>0</v>
      </c>
      <c r="AD16" s="200">
        <f t="shared" ref="AD16:AD18" si="77">AC16*AD$50/AC$50</f>
        <v>0</v>
      </c>
      <c r="AE16" s="201">
        <f t="shared" ref="AE16:AE18" si="78">IF(AD16&gt;4,ROUND(AD16/2,0)*2,IF(AD16&gt;2.2,4,0))</f>
        <v>0</v>
      </c>
      <c r="AF16" s="199">
        <f>_xlfn.XLOOKUP(A16,'2.0SASA'!$A:$A,'2.0SASA'!$V:$V,"",0)</f>
        <v>30</v>
      </c>
      <c r="AG16" s="200">
        <f t="shared" ref="AG16:AG18" si="79">AF16*AG$50/AF$50</f>
        <v>2</v>
      </c>
      <c r="AH16" s="201">
        <f t="shared" ref="AH16:AH18" si="80">IF(AG16&gt;4,ROUND(AG16/2,0)*2,IF(AG16&gt;2.2,4,0))</f>
        <v>0</v>
      </c>
      <c r="AI16" s="199">
        <f>_xlfn.XLOOKUP(A16,'2.0SASA'!$A:$A,'2.0SASA'!$U:$U,"",0)</f>
        <v>60</v>
      </c>
      <c r="AJ16" s="200">
        <f t="shared" ref="AJ16:AJ18" si="81">AI16*AJ$50/AI$50</f>
        <v>2.7067669172932329</v>
      </c>
      <c r="AK16" s="201">
        <f t="shared" ref="AK16:AK18" si="82">IF(AJ16&gt;4,ROUND(AJ16/2,0)*2,IF(AJ16&gt;2,4,0))</f>
        <v>4</v>
      </c>
      <c r="AL16" s="199">
        <f>_xlfn.XLOOKUP(A16,'2.0SASA'!$A:$A,'2.0SASA'!$Q:$Q,"",0)</f>
        <v>60</v>
      </c>
      <c r="AM16" s="200">
        <f t="shared" ref="AM16:AM18" si="83">AL16*AM$50/AL$50</f>
        <v>2.8985507246376812</v>
      </c>
      <c r="AN16" s="201">
        <f t="shared" ref="AN16:AN18" si="84">IF(AM16&gt;4,ROUND(AM16/2,0)*2,IF(AM16&gt;2.2,4,0))</f>
        <v>4</v>
      </c>
      <c r="AO16" s="199">
        <f>_xlfn.XLOOKUP(A16,'2.0SASA'!$A:$A,'2.0SASA'!$AD:$AD,"",0)</f>
        <v>0</v>
      </c>
      <c r="AP16" s="200">
        <f t="shared" ref="AP16:AP18" si="85">AO16*AP$50/AO$50</f>
        <v>0</v>
      </c>
      <c r="AQ16" s="201">
        <f t="shared" ref="AQ16:AQ18" si="86">IF(AP16&gt;4,ROUND(AP16/2,0)*2,IF(AP16&gt;2.2,4,0))</f>
        <v>0</v>
      </c>
      <c r="AR16" s="62"/>
      <c r="AS16" s="62"/>
      <c r="AU16" s="62"/>
    </row>
    <row r="17" spans="1:47" s="57" customFormat="1" ht="17.25" customHeight="1">
      <c r="A17" s="198" t="s">
        <v>118</v>
      </c>
      <c r="B17" s="199">
        <f>_xlfn.XLOOKUP(A17,'2.0SASA'!$A:$A,'2.0SASA'!$C:$C,"",0)</f>
        <v>0</v>
      </c>
      <c r="C17" s="200">
        <f t="shared" si="59"/>
        <v>0</v>
      </c>
      <c r="D17" s="201">
        <f t="shared" si="60"/>
        <v>0</v>
      </c>
      <c r="E17" s="199">
        <f>_xlfn.XLOOKUP(A17,'2.0SASA'!$A:$A,'2.0SASA'!$B:$B,"",0)</f>
        <v>50</v>
      </c>
      <c r="F17" s="200">
        <f t="shared" si="61"/>
        <v>5</v>
      </c>
      <c r="G17" s="209">
        <v>4</v>
      </c>
      <c r="H17" s="199">
        <f>_xlfn.XLOOKUP(A17,'2.0SASA'!$A:$A,'2.0SASA'!$J:$J,"",0)</f>
        <v>0</v>
      </c>
      <c r="I17" s="200">
        <f t="shared" si="63"/>
        <v>0</v>
      </c>
      <c r="J17" s="201">
        <f t="shared" si="64"/>
        <v>0</v>
      </c>
      <c r="K17" s="199">
        <f>_xlfn.XLOOKUP(A17,'2.0SASA'!$A:$A,'2.0SASA'!$K:$K,"",0)</f>
        <v>0</v>
      </c>
      <c r="L17" s="200">
        <f t="shared" si="65"/>
        <v>0</v>
      </c>
      <c r="M17" s="201">
        <f t="shared" si="66"/>
        <v>0</v>
      </c>
      <c r="N17" s="199">
        <f>_xlfn.XLOOKUP(A17,'2.0SASA'!$A:$A,'2.0SASA'!$G:$G,"",0)</f>
        <v>10</v>
      </c>
      <c r="O17" s="200">
        <f t="shared" si="67"/>
        <v>1.3333333333333333</v>
      </c>
      <c r="P17" s="201">
        <f t="shared" si="68"/>
        <v>0</v>
      </c>
      <c r="Q17" s="199">
        <f>_xlfn.XLOOKUP(A17,'2.0SASA'!$A:$A,'2.0SASA'!$I:$I,"",0)</f>
        <v>0</v>
      </c>
      <c r="R17" s="200">
        <f t="shared" si="69"/>
        <v>0</v>
      </c>
      <c r="S17" s="201">
        <f t="shared" si="70"/>
        <v>0</v>
      </c>
      <c r="T17" s="199">
        <f>_xlfn.XLOOKUP(A17,'2.0SASA'!$A:$A,'2.0SASA'!$F:$F,"",0)</f>
        <v>0</v>
      </c>
      <c r="U17" s="200">
        <f t="shared" si="71"/>
        <v>0</v>
      </c>
      <c r="V17" s="201">
        <f t="shared" si="72"/>
        <v>0</v>
      </c>
      <c r="W17" s="199">
        <f>_xlfn.XLOOKUP(A17,'2.0SASA'!$A:$A,'2.0SASA'!$H:$H,"",0)</f>
        <v>0</v>
      </c>
      <c r="X17" s="200">
        <f t="shared" si="73"/>
        <v>0</v>
      </c>
      <c r="Y17" s="201">
        <f t="shared" si="74"/>
        <v>0</v>
      </c>
      <c r="Z17" s="199">
        <f>_xlfn.XLOOKUP(A17,'2.0SASA'!$A:$A,'2.0SASA'!$D:$D,"",0)</f>
        <v>30</v>
      </c>
      <c r="AA17" s="200">
        <f t="shared" si="75"/>
        <v>2.9090909090909092</v>
      </c>
      <c r="AB17" s="201">
        <f t="shared" si="76"/>
        <v>4</v>
      </c>
      <c r="AC17" s="199">
        <f>_xlfn.XLOOKUP(A17,'2.0SASA'!$A:$A,'2.0SASA'!$E:$E,"",0)</f>
        <v>0</v>
      </c>
      <c r="AD17" s="200">
        <f t="shared" si="77"/>
        <v>0</v>
      </c>
      <c r="AE17" s="201">
        <f t="shared" si="78"/>
        <v>0</v>
      </c>
      <c r="AF17" s="199">
        <f>_xlfn.XLOOKUP(A17,'2.0SASA'!$A:$A,'2.0SASA'!$V:$V,"",0)</f>
        <v>10</v>
      </c>
      <c r="AG17" s="200">
        <f t="shared" si="79"/>
        <v>0.66666666666666663</v>
      </c>
      <c r="AH17" s="201">
        <f t="shared" si="80"/>
        <v>0</v>
      </c>
      <c r="AI17" s="199">
        <f>_xlfn.XLOOKUP(A17,'2.0SASA'!$A:$A,'2.0SASA'!$U:$U,"",0)</f>
        <v>40</v>
      </c>
      <c r="AJ17" s="200">
        <f t="shared" si="81"/>
        <v>1.8045112781954886</v>
      </c>
      <c r="AK17" s="209">
        <v>0</v>
      </c>
      <c r="AL17" s="199">
        <f>_xlfn.XLOOKUP(A17,'2.0SASA'!$A:$A,'2.0SASA'!$Q:$Q,"",0)</f>
        <v>30</v>
      </c>
      <c r="AM17" s="200">
        <f t="shared" si="83"/>
        <v>1.4492753623188406</v>
      </c>
      <c r="AN17" s="201">
        <f t="shared" si="84"/>
        <v>0</v>
      </c>
      <c r="AO17" s="199">
        <f>_xlfn.XLOOKUP(A17,'2.0SASA'!$A:$A,'2.0SASA'!$AD:$AD,"",0)</f>
        <v>0</v>
      </c>
      <c r="AP17" s="200">
        <f t="shared" si="85"/>
        <v>0</v>
      </c>
      <c r="AQ17" s="201">
        <f t="shared" si="86"/>
        <v>0</v>
      </c>
      <c r="AR17" s="62"/>
      <c r="AS17" s="62"/>
      <c r="AU17" s="62"/>
    </row>
    <row r="18" spans="1:47" s="57" customFormat="1" ht="17.25" customHeight="1">
      <c r="A18" s="198" t="s">
        <v>123</v>
      </c>
      <c r="B18" s="199">
        <f>_xlfn.XLOOKUP(A18,'2.0SASA'!$A:$A,'2.0SASA'!$C:$C,"",0)</f>
        <v>0</v>
      </c>
      <c r="C18" s="200">
        <f t="shared" si="59"/>
        <v>0</v>
      </c>
      <c r="D18" s="201">
        <f t="shared" si="60"/>
        <v>0</v>
      </c>
      <c r="E18" s="199">
        <f>_xlfn.XLOOKUP(A18,'2.0SASA'!$A:$A,'2.0SASA'!$B:$B,"",0)</f>
        <v>30</v>
      </c>
      <c r="F18" s="200">
        <f t="shared" si="61"/>
        <v>3</v>
      </c>
      <c r="G18" s="201">
        <f t="shared" si="62"/>
        <v>4</v>
      </c>
      <c r="H18" s="199">
        <f>_xlfn.XLOOKUP(A18,'2.0SASA'!$A:$A,'2.0SASA'!$J:$J,"",0)</f>
        <v>0</v>
      </c>
      <c r="I18" s="200">
        <f t="shared" si="63"/>
        <v>0</v>
      </c>
      <c r="J18" s="201">
        <f t="shared" si="64"/>
        <v>0</v>
      </c>
      <c r="K18" s="199">
        <f>_xlfn.XLOOKUP(A18,'2.0SASA'!$A:$A,'2.0SASA'!$K:$K,"",0)</f>
        <v>0</v>
      </c>
      <c r="L18" s="200">
        <f t="shared" si="65"/>
        <v>0</v>
      </c>
      <c r="M18" s="201">
        <f t="shared" si="66"/>
        <v>0</v>
      </c>
      <c r="N18" s="199">
        <f>_xlfn.XLOOKUP(A18,'2.0SASA'!$A:$A,'2.0SASA'!$G:$G,"",0)</f>
        <v>0</v>
      </c>
      <c r="O18" s="200">
        <f t="shared" si="67"/>
        <v>0</v>
      </c>
      <c r="P18" s="201">
        <f t="shared" si="68"/>
        <v>0</v>
      </c>
      <c r="Q18" s="199">
        <f>_xlfn.XLOOKUP(A18,'2.0SASA'!$A:$A,'2.0SASA'!$I:$I,"",0)</f>
        <v>0</v>
      </c>
      <c r="R18" s="200">
        <f t="shared" si="69"/>
        <v>0</v>
      </c>
      <c r="S18" s="201">
        <f t="shared" si="70"/>
        <v>0</v>
      </c>
      <c r="T18" s="199">
        <f>_xlfn.XLOOKUP(A18,'2.0SASA'!$A:$A,'2.0SASA'!$F:$F,"",0)</f>
        <v>0</v>
      </c>
      <c r="U18" s="200">
        <f t="shared" si="71"/>
        <v>0</v>
      </c>
      <c r="V18" s="201">
        <f t="shared" si="72"/>
        <v>0</v>
      </c>
      <c r="W18" s="199">
        <f>_xlfn.XLOOKUP(A18,'2.0SASA'!$A:$A,'2.0SASA'!$H:$H,"",0)</f>
        <v>0</v>
      </c>
      <c r="X18" s="200">
        <f t="shared" si="73"/>
        <v>0</v>
      </c>
      <c r="Y18" s="201">
        <f t="shared" si="74"/>
        <v>0</v>
      </c>
      <c r="Z18" s="199">
        <f>_xlfn.XLOOKUP(A18,'2.0SASA'!$A:$A,'2.0SASA'!$D:$D,"",0)</f>
        <v>10</v>
      </c>
      <c r="AA18" s="200">
        <f t="shared" si="75"/>
        <v>0.96969696969696972</v>
      </c>
      <c r="AB18" s="201">
        <f t="shared" si="76"/>
        <v>0</v>
      </c>
      <c r="AC18" s="199">
        <f>_xlfn.XLOOKUP(A18,'2.0SASA'!$A:$A,'2.0SASA'!$E:$E,"",0)</f>
        <v>10</v>
      </c>
      <c r="AD18" s="200">
        <f t="shared" si="77"/>
        <v>0.967741935483871</v>
      </c>
      <c r="AE18" s="201">
        <f t="shared" si="78"/>
        <v>0</v>
      </c>
      <c r="AF18" s="199">
        <f>_xlfn.XLOOKUP(A18,'2.0SASA'!$A:$A,'2.0SASA'!$V:$V,"",0)</f>
        <v>0</v>
      </c>
      <c r="AG18" s="200">
        <f t="shared" si="79"/>
        <v>0</v>
      </c>
      <c r="AH18" s="201">
        <f t="shared" si="80"/>
        <v>0</v>
      </c>
      <c r="AI18" s="199">
        <f>_xlfn.XLOOKUP(A18,'2.0SASA'!$A:$A,'2.0SASA'!$U:$U,"",0)</f>
        <v>30</v>
      </c>
      <c r="AJ18" s="200">
        <f t="shared" si="81"/>
        <v>1.3533834586466165</v>
      </c>
      <c r="AK18" s="201">
        <f t="shared" si="82"/>
        <v>0</v>
      </c>
      <c r="AL18" s="199">
        <f>_xlfn.XLOOKUP(A18,'2.0SASA'!$A:$A,'2.0SASA'!$Q:$Q,"",0)</f>
        <v>30</v>
      </c>
      <c r="AM18" s="200">
        <f t="shared" si="83"/>
        <v>1.4492753623188406</v>
      </c>
      <c r="AN18" s="201">
        <f t="shared" si="84"/>
        <v>0</v>
      </c>
      <c r="AO18" s="199">
        <f>_xlfn.XLOOKUP(A18,'2.0SASA'!$A:$A,'2.0SASA'!$AD:$AD,"",0)</f>
        <v>0</v>
      </c>
      <c r="AP18" s="200">
        <f t="shared" si="85"/>
        <v>0</v>
      </c>
      <c r="AQ18" s="201">
        <f t="shared" si="86"/>
        <v>0</v>
      </c>
      <c r="AR18" s="62"/>
      <c r="AS18" s="62"/>
      <c r="AU18" s="62"/>
    </row>
    <row r="19" spans="1:47" s="58" customFormat="1" ht="17.25" customHeight="1">
      <c r="A19" s="202" t="s">
        <v>394</v>
      </c>
      <c r="B19" s="204">
        <f>SUM(B16:B18)</f>
        <v>0</v>
      </c>
      <c r="C19" s="204">
        <f t="shared" ref="C19:AQ19" si="87">SUM(C16:C18)</f>
        <v>0</v>
      </c>
      <c r="D19" s="204">
        <f t="shared" si="87"/>
        <v>0</v>
      </c>
      <c r="E19" s="204">
        <f t="shared" si="87"/>
        <v>140</v>
      </c>
      <c r="F19" s="204">
        <f t="shared" si="87"/>
        <v>14</v>
      </c>
      <c r="G19" s="204">
        <f t="shared" si="87"/>
        <v>14</v>
      </c>
      <c r="H19" s="204">
        <f t="shared" si="87"/>
        <v>0</v>
      </c>
      <c r="I19" s="204">
        <f t="shared" si="87"/>
        <v>0</v>
      </c>
      <c r="J19" s="204">
        <f t="shared" si="87"/>
        <v>0</v>
      </c>
      <c r="K19" s="204">
        <f t="shared" si="87"/>
        <v>0</v>
      </c>
      <c r="L19" s="204">
        <f t="shared" si="87"/>
        <v>0</v>
      </c>
      <c r="M19" s="204">
        <f t="shared" si="87"/>
        <v>0</v>
      </c>
      <c r="N19" s="204">
        <f t="shared" si="87"/>
        <v>20</v>
      </c>
      <c r="O19" s="204">
        <f t="shared" si="87"/>
        <v>2.6666666666666665</v>
      </c>
      <c r="P19" s="204">
        <f t="shared" si="87"/>
        <v>0</v>
      </c>
      <c r="Q19" s="204">
        <f t="shared" si="87"/>
        <v>0</v>
      </c>
      <c r="R19" s="204">
        <f t="shared" si="87"/>
        <v>0</v>
      </c>
      <c r="S19" s="204">
        <f t="shared" si="87"/>
        <v>0</v>
      </c>
      <c r="T19" s="204">
        <f t="shared" si="87"/>
        <v>30</v>
      </c>
      <c r="U19" s="204">
        <f t="shared" si="87"/>
        <v>3</v>
      </c>
      <c r="V19" s="204">
        <f t="shared" si="87"/>
        <v>4</v>
      </c>
      <c r="W19" s="204">
        <f t="shared" si="87"/>
        <v>20</v>
      </c>
      <c r="X19" s="204">
        <f t="shared" si="87"/>
        <v>1.75</v>
      </c>
      <c r="Y19" s="204">
        <f t="shared" si="87"/>
        <v>0</v>
      </c>
      <c r="Z19" s="204">
        <f t="shared" si="87"/>
        <v>100</v>
      </c>
      <c r="AA19" s="204">
        <f t="shared" si="87"/>
        <v>9.6969696969696955</v>
      </c>
      <c r="AB19" s="204">
        <f t="shared" si="87"/>
        <v>10</v>
      </c>
      <c r="AC19" s="204">
        <f t="shared" si="87"/>
        <v>10</v>
      </c>
      <c r="AD19" s="204">
        <f t="shared" si="87"/>
        <v>0.967741935483871</v>
      </c>
      <c r="AE19" s="204">
        <f t="shared" si="87"/>
        <v>0</v>
      </c>
      <c r="AF19" s="204">
        <f t="shared" si="87"/>
        <v>40</v>
      </c>
      <c r="AG19" s="204">
        <f t="shared" si="87"/>
        <v>2.6666666666666665</v>
      </c>
      <c r="AH19" s="204">
        <f t="shared" si="87"/>
        <v>0</v>
      </c>
      <c r="AI19" s="204">
        <f t="shared" si="87"/>
        <v>130</v>
      </c>
      <c r="AJ19" s="204">
        <f t="shared" si="87"/>
        <v>5.8646616541353378</v>
      </c>
      <c r="AK19" s="204">
        <f t="shared" si="87"/>
        <v>4</v>
      </c>
      <c r="AL19" s="204">
        <f t="shared" si="87"/>
        <v>120</v>
      </c>
      <c r="AM19" s="204">
        <f t="shared" si="87"/>
        <v>5.7971014492753623</v>
      </c>
      <c r="AN19" s="204">
        <f t="shared" si="87"/>
        <v>4</v>
      </c>
      <c r="AO19" s="204">
        <f t="shared" si="87"/>
        <v>0</v>
      </c>
      <c r="AP19" s="204">
        <f t="shared" si="87"/>
        <v>0</v>
      </c>
      <c r="AQ19" s="204">
        <f t="shared" si="87"/>
        <v>0</v>
      </c>
    </row>
    <row r="20" spans="1:47" s="57" customFormat="1" ht="17.25" customHeight="1">
      <c r="A20" s="198" t="s">
        <v>143</v>
      </c>
      <c r="B20" s="199">
        <f>_xlfn.XLOOKUP(A20,'2.0SASA'!$A:$A,'2.0SASA'!$C:$C,"",0)</f>
        <v>0</v>
      </c>
      <c r="C20" s="200">
        <f t="shared" ref="C20:C22" si="88">B20*C$50/B$50</f>
        <v>0</v>
      </c>
      <c r="D20" s="201">
        <f t="shared" ref="D20:D22" si="89">IF(C20&gt;4,ROUND(C20/2,0)*2,IF(C20&gt;2.2,4,0))</f>
        <v>0</v>
      </c>
      <c r="E20" s="199">
        <f>_xlfn.XLOOKUP(A20,'2.0SASA'!$A:$A,'2.0SASA'!$B:$B,"",0)</f>
        <v>110</v>
      </c>
      <c r="F20" s="200">
        <f t="shared" ref="F20:F22" si="90">E20*F$50/E$50</f>
        <v>11</v>
      </c>
      <c r="G20" s="209">
        <v>10</v>
      </c>
      <c r="H20" s="199">
        <f>_xlfn.XLOOKUP(A20,'2.0SASA'!$A:$A,'2.0SASA'!$J:$J,"",0)</f>
        <v>0</v>
      </c>
      <c r="I20" s="200">
        <f t="shared" ref="I20:I22" si="91">H20*I$50/H$50</f>
        <v>0</v>
      </c>
      <c r="J20" s="201">
        <f t="shared" ref="J20:J22" si="92">IF(I20&gt;4,ROUND(I20/2,0)*2,IF(I20&gt;2,4,0))</f>
        <v>0</v>
      </c>
      <c r="K20" s="199">
        <f>_xlfn.XLOOKUP(A20,'2.0SASA'!$A:$A,'2.0SASA'!$K:$K,"",0)</f>
        <v>0</v>
      </c>
      <c r="L20" s="200">
        <f t="shared" ref="L20:L22" si="93">K20*L$50/K$50</f>
        <v>0</v>
      </c>
      <c r="M20" s="201">
        <f t="shared" ref="M20:M22" si="94">IF(L20&gt;4,ROUND(L20/2,0)*2,IF(L20&gt;2.2,4,0))</f>
        <v>0</v>
      </c>
      <c r="N20" s="199">
        <f>_xlfn.XLOOKUP(A20,'2.0SASA'!$A:$A,'2.0SASA'!$G:$G,"",0)</f>
        <v>30</v>
      </c>
      <c r="O20" s="200">
        <f t="shared" ref="O20:O22" si="95">N20*O$50/N$50</f>
        <v>4</v>
      </c>
      <c r="P20" s="201">
        <f t="shared" ref="P20:P22" si="96">IF(O20&gt;4,ROUND(O20/2,0)*2,IF(O20&gt;2.2,4,0))</f>
        <v>4</v>
      </c>
      <c r="Q20" s="199">
        <f>_xlfn.XLOOKUP(A20,'2.0SASA'!$A:$A,'2.0SASA'!$I:$I,"",0)</f>
        <v>10</v>
      </c>
      <c r="R20" s="200">
        <f t="shared" ref="R20:R22" si="97">Q20*R$50/Q$50</f>
        <v>1.1428571428571428</v>
      </c>
      <c r="S20" s="201">
        <f t="shared" ref="S20:S22" si="98">IF(R20&gt;4,ROUND(R20/2,0)*2,IF(R20&gt;2.2,4,0))</f>
        <v>0</v>
      </c>
      <c r="T20" s="199">
        <f>_xlfn.XLOOKUP(A20,'2.0SASA'!$A:$A,'2.0SASA'!$F:$F,"",0)</f>
        <v>0</v>
      </c>
      <c r="U20" s="200">
        <f t="shared" ref="U20:U22" si="99">T20*U$50/T$50</f>
        <v>0</v>
      </c>
      <c r="V20" s="201">
        <f t="shared" ref="V20:V22" si="100">IF(U20&gt;4,ROUND(U20/2,0)*2,IF(U20&gt;2.2,4,0))</f>
        <v>0</v>
      </c>
      <c r="W20" s="199">
        <f>_xlfn.XLOOKUP(A20,'2.0SASA'!$A:$A,'2.0SASA'!$H:$H,"",0)</f>
        <v>10</v>
      </c>
      <c r="X20" s="200">
        <f t="shared" ref="X20:X22" si="101">W20*X$50/W$50</f>
        <v>0.875</v>
      </c>
      <c r="Y20" s="201">
        <f t="shared" ref="Y20:Y22" si="102">IF(X20&gt;4,ROUND(X20/2,0)*2,IF(X20&gt;2.2,4,0))</f>
        <v>0</v>
      </c>
      <c r="Z20" s="199">
        <f>_xlfn.XLOOKUP(A20,'2.0SASA'!$A:$A,'2.0SASA'!$D:$D,"",0)</f>
        <v>110</v>
      </c>
      <c r="AA20" s="200">
        <f t="shared" ref="AA20:AA22" si="103">Z20*AA$50/Z$50</f>
        <v>10.666666666666666</v>
      </c>
      <c r="AB20" s="209">
        <v>12</v>
      </c>
      <c r="AC20" s="199">
        <f>_xlfn.XLOOKUP(A20,'2.0SASA'!$A:$A,'2.0SASA'!$E:$E,"",0)</f>
        <v>110</v>
      </c>
      <c r="AD20" s="200">
        <f t="shared" ref="AD20:AD22" si="104">AC20*AD$50/AC$50</f>
        <v>10.64516129032258</v>
      </c>
      <c r="AE20" s="209">
        <v>14</v>
      </c>
      <c r="AF20" s="199">
        <f>_xlfn.XLOOKUP(A20,'2.0SASA'!$A:$A,'2.0SASA'!$V:$V,"",0)</f>
        <v>0</v>
      </c>
      <c r="AG20" s="200">
        <f t="shared" ref="AG20:AG22" si="105">AF20*AG$50/AF$50</f>
        <v>0</v>
      </c>
      <c r="AH20" s="201">
        <f t="shared" ref="AH20:AH22" si="106">IF(AG20&gt;4,ROUND(AG20/2,0)*2,IF(AG20&gt;2.2,4,0))</f>
        <v>0</v>
      </c>
      <c r="AI20" s="199">
        <f>_xlfn.XLOOKUP(A20,'2.0SASA'!$A:$A,'2.0SASA'!$U:$U,"",0)</f>
        <v>110</v>
      </c>
      <c r="AJ20" s="200">
        <f t="shared" ref="AJ20:AJ22" si="107">AI20*AJ$50/AI$50</f>
        <v>4.9624060150375939</v>
      </c>
      <c r="AK20" s="209">
        <v>8</v>
      </c>
      <c r="AL20" s="199">
        <f>_xlfn.XLOOKUP(A20,'2.0SASA'!$A:$A,'2.0SASA'!$Q:$Q,"",0)</f>
        <v>110</v>
      </c>
      <c r="AM20" s="200">
        <f t="shared" ref="AM20:AM22" si="108">AL20*AM$50/AL$50</f>
        <v>5.3140096618357484</v>
      </c>
      <c r="AN20" s="201">
        <f t="shared" ref="AN20:AN22" si="109">IF(AM20&gt;4,ROUND(AM20/2,0)*2,IF(AM20&gt;2.2,4,0))</f>
        <v>6</v>
      </c>
      <c r="AO20" s="199">
        <f>_xlfn.XLOOKUP(A20,'2.0SASA'!$A:$A,'2.0SASA'!$AD:$AD,"",0)</f>
        <v>40</v>
      </c>
      <c r="AP20" s="200">
        <f t="shared" ref="AP20:AP22" si="110">AO20*AP$50/AO$50</f>
        <v>2.0779220779220777</v>
      </c>
      <c r="AQ20" s="209">
        <v>4</v>
      </c>
      <c r="AR20" s="62"/>
      <c r="AS20" s="62"/>
      <c r="AU20" s="62"/>
    </row>
    <row r="21" spans="1:47" s="57" customFormat="1" ht="17.25" customHeight="1">
      <c r="A21" s="198" t="s">
        <v>154</v>
      </c>
      <c r="B21" s="199">
        <f>_xlfn.XLOOKUP(A21,'2.0SASA'!$A:$A,'2.0SASA'!$C:$C,"",0)</f>
        <v>0</v>
      </c>
      <c r="C21" s="200">
        <f t="shared" si="88"/>
        <v>0</v>
      </c>
      <c r="D21" s="201">
        <f t="shared" si="89"/>
        <v>0</v>
      </c>
      <c r="E21" s="199">
        <f>_xlfn.XLOOKUP(A21,'2.0SASA'!$A:$A,'2.0SASA'!$B:$B,"",0)</f>
        <v>80</v>
      </c>
      <c r="F21" s="200">
        <f t="shared" si="90"/>
        <v>8</v>
      </c>
      <c r="G21" s="201">
        <f t="shared" ref="G21:G22" si="111">IF(F21&gt;4,ROUND(F21/2,0)*2,IF(F21&gt;2.2,4,0))</f>
        <v>8</v>
      </c>
      <c r="H21" s="199">
        <f>_xlfn.XLOOKUP(A21,'2.0SASA'!$A:$A,'2.0SASA'!$J:$J,"",0)</f>
        <v>0</v>
      </c>
      <c r="I21" s="200">
        <f t="shared" si="91"/>
        <v>0</v>
      </c>
      <c r="J21" s="201">
        <f t="shared" si="92"/>
        <v>0</v>
      </c>
      <c r="K21" s="199">
        <f>_xlfn.XLOOKUP(A21,'2.0SASA'!$A:$A,'2.0SASA'!$K:$K,"",0)</f>
        <v>0</v>
      </c>
      <c r="L21" s="200">
        <f t="shared" si="93"/>
        <v>0</v>
      </c>
      <c r="M21" s="201">
        <f t="shared" si="94"/>
        <v>0</v>
      </c>
      <c r="N21" s="199">
        <f>_xlfn.XLOOKUP(A21,'2.0SASA'!$A:$A,'2.0SASA'!$G:$G,"",0)</f>
        <v>20</v>
      </c>
      <c r="O21" s="200">
        <f t="shared" si="95"/>
        <v>2.6666666666666665</v>
      </c>
      <c r="P21" s="201">
        <f t="shared" si="96"/>
        <v>4</v>
      </c>
      <c r="Q21" s="199">
        <f>_xlfn.XLOOKUP(A21,'2.0SASA'!$A:$A,'2.0SASA'!$I:$I,"",0)</f>
        <v>70</v>
      </c>
      <c r="R21" s="200">
        <f t="shared" si="97"/>
        <v>8</v>
      </c>
      <c r="S21" s="201">
        <f t="shared" si="98"/>
        <v>8</v>
      </c>
      <c r="T21" s="199">
        <f>_xlfn.XLOOKUP(A21,'2.0SASA'!$A:$A,'2.0SASA'!$F:$F,"",0)</f>
        <v>0</v>
      </c>
      <c r="U21" s="200">
        <f t="shared" si="99"/>
        <v>0</v>
      </c>
      <c r="V21" s="201">
        <f t="shared" si="100"/>
        <v>0</v>
      </c>
      <c r="W21" s="199">
        <f>_xlfn.XLOOKUP(A21,'2.0SASA'!$A:$A,'2.0SASA'!$H:$H,"",0)</f>
        <v>0</v>
      </c>
      <c r="X21" s="200">
        <f t="shared" si="101"/>
        <v>0</v>
      </c>
      <c r="Y21" s="201">
        <f t="shared" si="102"/>
        <v>0</v>
      </c>
      <c r="Z21" s="199">
        <f>_xlfn.XLOOKUP(A21,'2.0SASA'!$A:$A,'2.0SASA'!$D:$D,"",0)</f>
        <v>100</v>
      </c>
      <c r="AA21" s="200">
        <f t="shared" si="103"/>
        <v>9.6969696969696972</v>
      </c>
      <c r="AB21" s="201">
        <f t="shared" ref="AB21:AB22" si="112">IF(AA21&gt;4,ROUND(AA21/2,0)*2,IF(AA21&gt;2.2,4,0))</f>
        <v>10</v>
      </c>
      <c r="AC21" s="199">
        <f>_xlfn.XLOOKUP(A21,'2.0SASA'!$A:$A,'2.0SASA'!$E:$E,"",0)</f>
        <v>80</v>
      </c>
      <c r="AD21" s="200">
        <f t="shared" si="104"/>
        <v>7.741935483870968</v>
      </c>
      <c r="AE21" s="209">
        <v>10</v>
      </c>
      <c r="AF21" s="199">
        <f>_xlfn.XLOOKUP(A21,'2.0SASA'!$A:$A,'2.0SASA'!$V:$V,"",0)</f>
        <v>0</v>
      </c>
      <c r="AG21" s="200">
        <f t="shared" si="105"/>
        <v>0</v>
      </c>
      <c r="AH21" s="201">
        <f t="shared" si="106"/>
        <v>0</v>
      </c>
      <c r="AI21" s="199">
        <f>_xlfn.XLOOKUP(A21,'2.0SASA'!$A:$A,'2.0SASA'!$U:$U,"",0)</f>
        <v>100</v>
      </c>
      <c r="AJ21" s="200">
        <f t="shared" si="107"/>
        <v>4.511278195488722</v>
      </c>
      <c r="AK21" s="209">
        <v>6</v>
      </c>
      <c r="AL21" s="199">
        <f>_xlfn.XLOOKUP(A21,'2.0SASA'!$A:$A,'2.0SASA'!$Q:$Q,"",0)</f>
        <v>100</v>
      </c>
      <c r="AM21" s="200">
        <f t="shared" si="108"/>
        <v>4.8309178743961354</v>
      </c>
      <c r="AN21" s="209">
        <v>6</v>
      </c>
      <c r="AO21" s="199">
        <f>_xlfn.XLOOKUP(A21,'2.0SASA'!$A:$A,'2.0SASA'!$AD:$AD,"",0)</f>
        <v>30</v>
      </c>
      <c r="AP21" s="200">
        <f t="shared" si="110"/>
        <v>1.5584415584415585</v>
      </c>
      <c r="AQ21" s="201">
        <f t="shared" ref="AQ21:AQ22" si="113">IF(AP21&gt;4,ROUND(AP21/2,0)*2,IF(AP21&gt;2.2,4,0))</f>
        <v>0</v>
      </c>
      <c r="AR21" s="62"/>
      <c r="AS21" s="62"/>
      <c r="AU21" s="62"/>
    </row>
    <row r="22" spans="1:47" s="57" customFormat="1" ht="17.25" customHeight="1">
      <c r="A22" s="198" t="s">
        <v>164</v>
      </c>
      <c r="B22" s="199">
        <f>_xlfn.XLOOKUP(A22,'2.0SASA'!$A:$A,'2.0SASA'!$C:$C,"",0)</f>
        <v>0</v>
      </c>
      <c r="C22" s="200">
        <f t="shared" si="88"/>
        <v>0</v>
      </c>
      <c r="D22" s="201">
        <f t="shared" si="89"/>
        <v>0</v>
      </c>
      <c r="E22" s="199">
        <f>_xlfn.XLOOKUP(A22,'2.0SASA'!$A:$A,'2.0SASA'!$B:$B,"",0)</f>
        <v>30</v>
      </c>
      <c r="F22" s="200">
        <f t="shared" si="90"/>
        <v>3</v>
      </c>
      <c r="G22" s="201">
        <f t="shared" si="111"/>
        <v>4</v>
      </c>
      <c r="H22" s="199">
        <f>_xlfn.XLOOKUP(A22,'2.0SASA'!$A:$A,'2.0SASA'!$J:$J,"",0)</f>
        <v>0</v>
      </c>
      <c r="I22" s="200">
        <f t="shared" si="91"/>
        <v>0</v>
      </c>
      <c r="J22" s="201">
        <f t="shared" si="92"/>
        <v>0</v>
      </c>
      <c r="K22" s="199">
        <f>_xlfn.XLOOKUP(A22,'2.0SASA'!$A:$A,'2.0SASA'!$K:$K,"",0)</f>
        <v>0</v>
      </c>
      <c r="L22" s="200">
        <f t="shared" si="93"/>
        <v>0</v>
      </c>
      <c r="M22" s="201">
        <f t="shared" si="94"/>
        <v>0</v>
      </c>
      <c r="N22" s="199">
        <f>_xlfn.XLOOKUP(A22,'2.0SASA'!$A:$A,'2.0SASA'!$G:$G,"",0)</f>
        <v>30</v>
      </c>
      <c r="O22" s="200">
        <f t="shared" si="95"/>
        <v>4</v>
      </c>
      <c r="P22" s="201">
        <f t="shared" si="96"/>
        <v>4</v>
      </c>
      <c r="Q22" s="199">
        <f>_xlfn.XLOOKUP(A22,'2.0SASA'!$A:$A,'2.0SASA'!$I:$I,"",0)</f>
        <v>0</v>
      </c>
      <c r="R22" s="200">
        <f t="shared" si="97"/>
        <v>0</v>
      </c>
      <c r="S22" s="201">
        <f t="shared" si="98"/>
        <v>0</v>
      </c>
      <c r="T22" s="199">
        <f>_xlfn.XLOOKUP(A22,'2.0SASA'!$A:$A,'2.0SASA'!$F:$F,"",0)</f>
        <v>0</v>
      </c>
      <c r="U22" s="200">
        <f t="shared" si="99"/>
        <v>0</v>
      </c>
      <c r="V22" s="201">
        <f t="shared" si="100"/>
        <v>0</v>
      </c>
      <c r="W22" s="199">
        <f>_xlfn.XLOOKUP(A22,'2.0SASA'!$A:$A,'2.0SASA'!$H:$H,"",0)</f>
        <v>0</v>
      </c>
      <c r="X22" s="200">
        <f t="shared" si="101"/>
        <v>0</v>
      </c>
      <c r="Y22" s="201">
        <f t="shared" si="102"/>
        <v>0</v>
      </c>
      <c r="Z22" s="199">
        <f>_xlfn.XLOOKUP(A22,'2.0SASA'!$A:$A,'2.0SASA'!$D:$D,"",0)</f>
        <v>40</v>
      </c>
      <c r="AA22" s="200">
        <f t="shared" si="103"/>
        <v>3.8787878787878789</v>
      </c>
      <c r="AB22" s="201">
        <f t="shared" si="112"/>
        <v>4</v>
      </c>
      <c r="AC22" s="199">
        <f>_xlfn.XLOOKUP(A22,'2.0SASA'!$A:$A,'2.0SASA'!$E:$E,"",0)</f>
        <v>10</v>
      </c>
      <c r="AD22" s="200">
        <f t="shared" si="104"/>
        <v>0.967741935483871</v>
      </c>
      <c r="AE22" s="201">
        <f t="shared" ref="AE22" si="114">IF(AD22&gt;4,ROUND(AD22/2,0)*2,IF(AD22&gt;2.2,4,0))</f>
        <v>0</v>
      </c>
      <c r="AF22" s="199">
        <f>_xlfn.XLOOKUP(A22,'2.0SASA'!$A:$A,'2.0SASA'!$V:$V,"",0)</f>
        <v>0</v>
      </c>
      <c r="AG22" s="200">
        <f t="shared" si="105"/>
        <v>0</v>
      </c>
      <c r="AH22" s="201">
        <f t="shared" si="106"/>
        <v>0</v>
      </c>
      <c r="AI22" s="199">
        <f>_xlfn.XLOOKUP(A22,'2.0SASA'!$A:$A,'2.0SASA'!$U:$U,"",0)</f>
        <v>40</v>
      </c>
      <c r="AJ22" s="200">
        <f t="shared" si="107"/>
        <v>1.8045112781954886</v>
      </c>
      <c r="AK22" s="201">
        <f t="shared" ref="AK22" si="115">IF(AJ22&gt;4,ROUND(AJ22/2,0)*2,IF(AJ22&gt;2,4,0))</f>
        <v>0</v>
      </c>
      <c r="AL22" s="199">
        <f>_xlfn.XLOOKUP(A22,'2.0SASA'!$A:$A,'2.0SASA'!$Q:$Q,"",0)</f>
        <v>40</v>
      </c>
      <c r="AM22" s="200">
        <f t="shared" si="108"/>
        <v>1.932367149758454</v>
      </c>
      <c r="AN22" s="201">
        <f t="shared" si="109"/>
        <v>0</v>
      </c>
      <c r="AO22" s="199">
        <f>_xlfn.XLOOKUP(A22,'2.0SASA'!$A:$A,'2.0SASA'!$AD:$AD,"",0)</f>
        <v>0</v>
      </c>
      <c r="AP22" s="200">
        <f t="shared" si="110"/>
        <v>0</v>
      </c>
      <c r="AQ22" s="201">
        <f t="shared" si="113"/>
        <v>0</v>
      </c>
      <c r="AR22" s="62"/>
      <c r="AS22" s="62"/>
      <c r="AU22" s="62"/>
    </row>
    <row r="23" spans="1:47" s="58" customFormat="1" ht="17.25" customHeight="1">
      <c r="A23" s="202" t="s">
        <v>395</v>
      </c>
      <c r="B23" s="204">
        <f>SUM(B20:B22)</f>
        <v>0</v>
      </c>
      <c r="C23" s="204">
        <f t="shared" ref="C23:AQ23" si="116">SUM(C20:C22)</f>
        <v>0</v>
      </c>
      <c r="D23" s="204">
        <f t="shared" si="116"/>
        <v>0</v>
      </c>
      <c r="E23" s="204">
        <f t="shared" si="116"/>
        <v>220</v>
      </c>
      <c r="F23" s="204">
        <f t="shared" si="116"/>
        <v>22</v>
      </c>
      <c r="G23" s="204">
        <f t="shared" si="116"/>
        <v>22</v>
      </c>
      <c r="H23" s="204">
        <f t="shared" si="116"/>
        <v>0</v>
      </c>
      <c r="I23" s="204">
        <f t="shared" si="116"/>
        <v>0</v>
      </c>
      <c r="J23" s="204">
        <f t="shared" si="116"/>
        <v>0</v>
      </c>
      <c r="K23" s="204">
        <f t="shared" si="116"/>
        <v>0</v>
      </c>
      <c r="L23" s="204">
        <f t="shared" si="116"/>
        <v>0</v>
      </c>
      <c r="M23" s="204">
        <f t="shared" si="116"/>
        <v>0</v>
      </c>
      <c r="N23" s="204">
        <f t="shared" si="116"/>
        <v>80</v>
      </c>
      <c r="O23" s="204">
        <f t="shared" si="116"/>
        <v>10.666666666666666</v>
      </c>
      <c r="P23" s="204">
        <f t="shared" si="116"/>
        <v>12</v>
      </c>
      <c r="Q23" s="204">
        <f t="shared" si="116"/>
        <v>80</v>
      </c>
      <c r="R23" s="204">
        <f t="shared" si="116"/>
        <v>9.1428571428571423</v>
      </c>
      <c r="S23" s="204">
        <f t="shared" si="116"/>
        <v>8</v>
      </c>
      <c r="T23" s="204">
        <f t="shared" si="116"/>
        <v>0</v>
      </c>
      <c r="U23" s="204">
        <f t="shared" si="116"/>
        <v>0</v>
      </c>
      <c r="V23" s="204">
        <f t="shared" si="116"/>
        <v>0</v>
      </c>
      <c r="W23" s="204">
        <f t="shared" si="116"/>
        <v>10</v>
      </c>
      <c r="X23" s="204">
        <f t="shared" si="116"/>
        <v>0.875</v>
      </c>
      <c r="Y23" s="204">
        <f t="shared" si="116"/>
        <v>0</v>
      </c>
      <c r="Z23" s="204">
        <f t="shared" si="116"/>
        <v>250</v>
      </c>
      <c r="AA23" s="204">
        <f t="shared" si="116"/>
        <v>24.242424242424242</v>
      </c>
      <c r="AB23" s="204">
        <f t="shared" si="116"/>
        <v>26</v>
      </c>
      <c r="AC23" s="204">
        <f t="shared" si="116"/>
        <v>200</v>
      </c>
      <c r="AD23" s="204">
        <f t="shared" si="116"/>
        <v>19.35483870967742</v>
      </c>
      <c r="AE23" s="204">
        <f t="shared" si="116"/>
        <v>24</v>
      </c>
      <c r="AF23" s="204">
        <f t="shared" si="116"/>
        <v>0</v>
      </c>
      <c r="AG23" s="204">
        <f t="shared" si="116"/>
        <v>0</v>
      </c>
      <c r="AH23" s="204">
        <f t="shared" si="116"/>
        <v>0</v>
      </c>
      <c r="AI23" s="204">
        <f t="shared" si="116"/>
        <v>250</v>
      </c>
      <c r="AJ23" s="204">
        <f t="shared" si="116"/>
        <v>11.278195488721803</v>
      </c>
      <c r="AK23" s="204">
        <f t="shared" si="116"/>
        <v>14</v>
      </c>
      <c r="AL23" s="204">
        <f t="shared" si="116"/>
        <v>250</v>
      </c>
      <c r="AM23" s="204">
        <f t="shared" si="116"/>
        <v>12.077294685990337</v>
      </c>
      <c r="AN23" s="204">
        <f t="shared" si="116"/>
        <v>12</v>
      </c>
      <c r="AO23" s="204">
        <f t="shared" si="116"/>
        <v>70</v>
      </c>
      <c r="AP23" s="204">
        <f t="shared" si="116"/>
        <v>3.6363636363636362</v>
      </c>
      <c r="AQ23" s="204">
        <f t="shared" si="116"/>
        <v>4</v>
      </c>
    </row>
    <row r="24" spans="1:47" s="217" customFormat="1" ht="17.25" customHeight="1">
      <c r="A24" s="215" t="s">
        <v>396</v>
      </c>
      <c r="B24" s="216">
        <f>SUM(B7,B10,B15,B19,B23)</f>
        <v>0</v>
      </c>
      <c r="C24" s="216">
        <f t="shared" ref="C24:AQ24" si="117">SUM(C7,C10,C15,C19,C23)</f>
        <v>0</v>
      </c>
      <c r="D24" s="216">
        <f t="shared" si="117"/>
        <v>0</v>
      </c>
      <c r="E24" s="216">
        <f t="shared" si="117"/>
        <v>850</v>
      </c>
      <c r="F24" s="216">
        <f t="shared" si="117"/>
        <v>85</v>
      </c>
      <c r="G24" s="216">
        <f t="shared" si="117"/>
        <v>88</v>
      </c>
      <c r="H24" s="216">
        <f t="shared" si="117"/>
        <v>92</v>
      </c>
      <c r="I24" s="216">
        <f t="shared" si="117"/>
        <v>8.4403669724770651</v>
      </c>
      <c r="J24" s="216">
        <f t="shared" si="117"/>
        <v>8</v>
      </c>
      <c r="K24" s="216">
        <f t="shared" si="117"/>
        <v>10</v>
      </c>
      <c r="L24" s="216">
        <f t="shared" si="117"/>
        <v>1.0256410256410255</v>
      </c>
      <c r="M24" s="216">
        <f t="shared" si="117"/>
        <v>0</v>
      </c>
      <c r="N24" s="216">
        <f t="shared" si="117"/>
        <v>280</v>
      </c>
      <c r="O24" s="216">
        <f t="shared" si="117"/>
        <v>37.333333333333336</v>
      </c>
      <c r="P24" s="216">
        <f t="shared" si="117"/>
        <v>40</v>
      </c>
      <c r="Q24" s="216">
        <f t="shared" si="117"/>
        <v>150</v>
      </c>
      <c r="R24" s="216">
        <f t="shared" si="117"/>
        <v>17.142857142857142</v>
      </c>
      <c r="S24" s="216">
        <f t="shared" si="117"/>
        <v>16</v>
      </c>
      <c r="T24" s="216">
        <f t="shared" si="117"/>
        <v>340</v>
      </c>
      <c r="U24" s="216">
        <f t="shared" si="117"/>
        <v>34</v>
      </c>
      <c r="V24" s="216">
        <f t="shared" si="117"/>
        <v>34</v>
      </c>
      <c r="W24" s="216">
        <f t="shared" si="117"/>
        <v>160</v>
      </c>
      <c r="X24" s="216">
        <f t="shared" si="117"/>
        <v>14</v>
      </c>
      <c r="Y24" s="216">
        <f t="shared" si="117"/>
        <v>6</v>
      </c>
      <c r="Z24" s="216">
        <f t="shared" si="117"/>
        <v>860</v>
      </c>
      <c r="AA24" s="216">
        <f t="shared" si="117"/>
        <v>83.393939393939391</v>
      </c>
      <c r="AB24" s="216">
        <f t="shared" si="117"/>
        <v>84</v>
      </c>
      <c r="AC24" s="216">
        <f t="shared" si="117"/>
        <v>380</v>
      </c>
      <c r="AD24" s="216">
        <f t="shared" si="117"/>
        <v>36.774193548387103</v>
      </c>
      <c r="AE24" s="216">
        <f t="shared" si="117"/>
        <v>40</v>
      </c>
      <c r="AF24" s="216">
        <f t="shared" si="117"/>
        <v>260</v>
      </c>
      <c r="AG24" s="216">
        <f t="shared" si="117"/>
        <v>17.333333333333332</v>
      </c>
      <c r="AH24" s="216">
        <f t="shared" si="117"/>
        <v>18</v>
      </c>
      <c r="AI24" s="216">
        <f t="shared" si="117"/>
        <v>850</v>
      </c>
      <c r="AJ24" s="216">
        <f t="shared" si="117"/>
        <v>38.345864661654133</v>
      </c>
      <c r="AK24" s="216">
        <f t="shared" si="117"/>
        <v>44</v>
      </c>
      <c r="AL24" s="216">
        <f t="shared" si="117"/>
        <v>1000</v>
      </c>
      <c r="AM24" s="216">
        <f t="shared" si="117"/>
        <v>48.309178743961354</v>
      </c>
      <c r="AN24" s="216">
        <f t="shared" si="117"/>
        <v>48</v>
      </c>
      <c r="AO24" s="216">
        <f t="shared" si="117"/>
        <v>220</v>
      </c>
      <c r="AP24" s="216">
        <f t="shared" si="117"/>
        <v>11.428571428571429</v>
      </c>
      <c r="AQ24" s="216">
        <f t="shared" si="117"/>
        <v>12</v>
      </c>
    </row>
    <row r="25" spans="1:47" s="57" customFormat="1" ht="17.25" customHeight="1">
      <c r="A25" s="198" t="s">
        <v>19</v>
      </c>
      <c r="B25" s="199">
        <f>_xlfn.XLOOKUP(A25,'2.0SASA'!$A:$A,'2.0SASA'!$C:$C,"",0)</f>
        <v>30</v>
      </c>
      <c r="C25" s="200">
        <f t="shared" ref="C25:C27" si="118">B25*C$50/B$50</f>
        <v>2.7713625866050808</v>
      </c>
      <c r="D25" s="201">
        <f t="shared" ref="D25:D27" si="119">IF(C25&gt;4,ROUND(C25/2,0)*2,IF(C25&gt;2.2,4,0))</f>
        <v>4</v>
      </c>
      <c r="E25" s="199">
        <f>_xlfn.XLOOKUP(A25,'2.0SASA'!$A:$A,'2.0SASA'!$B:$B,"",0)</f>
        <v>120</v>
      </c>
      <c r="F25" s="200">
        <f t="shared" ref="F25:F27" si="120">E25*F$50/E$50</f>
        <v>12</v>
      </c>
      <c r="G25" s="201">
        <f t="shared" ref="G25:G27" si="121">IF(F25&gt;4,ROUND(F25/2,0)*2,IF(F25&gt;2.2,4,0))</f>
        <v>12</v>
      </c>
      <c r="H25" s="199">
        <f>_xlfn.XLOOKUP(A25,'2.0SASA'!$A:$A,'2.0SASA'!$J:$J,"",0)</f>
        <v>0</v>
      </c>
      <c r="I25" s="200">
        <f t="shared" ref="I25:I27" si="122">H25*I$50/H$50</f>
        <v>0</v>
      </c>
      <c r="J25" s="201">
        <f t="shared" ref="J25:J27" si="123">IF(I25&gt;4,ROUND(I25/2,0)*2,IF(I25&gt;2,4,0))</f>
        <v>0</v>
      </c>
      <c r="K25" s="199">
        <f>_xlfn.XLOOKUP(A25,'2.0SASA'!$A:$A,'2.0SASA'!$K:$K,"",0)</f>
        <v>0</v>
      </c>
      <c r="L25" s="200">
        <f t="shared" ref="L25:L27" si="124">K25*L$50/K$50</f>
        <v>0</v>
      </c>
      <c r="M25" s="201">
        <f t="shared" ref="M25:M27" si="125">IF(L25&gt;4,ROUND(L25/2,0)*2,IF(L25&gt;2.2,4,0))</f>
        <v>0</v>
      </c>
      <c r="N25" s="199">
        <f>_xlfn.XLOOKUP(A25,'2.0SASA'!$A:$A,'2.0SASA'!$G:$G,"",0)</f>
        <v>0</v>
      </c>
      <c r="O25" s="200">
        <f t="shared" ref="O25:O27" si="126">N25*O$50/N$50</f>
        <v>0</v>
      </c>
      <c r="P25" s="201">
        <f t="shared" ref="P25:P27" si="127">IF(O25&gt;4,ROUND(O25/2,0)*2,IF(O25&gt;2.2,4,0))</f>
        <v>0</v>
      </c>
      <c r="Q25" s="199">
        <f>_xlfn.XLOOKUP(A25,'2.0SASA'!$A:$A,'2.0SASA'!$I:$I,"",0)</f>
        <v>80</v>
      </c>
      <c r="R25" s="200">
        <f t="shared" ref="R25:R27" si="128">Q25*R$50/Q$50</f>
        <v>9.1428571428571423</v>
      </c>
      <c r="S25" s="209">
        <v>8</v>
      </c>
      <c r="T25" s="199">
        <f>_xlfn.XLOOKUP(A25,'2.0SASA'!$A:$A,'2.0SASA'!$F:$F,"",0)</f>
        <v>140</v>
      </c>
      <c r="U25" s="200">
        <f t="shared" ref="U25:U27" si="129">T25*U$50/T$50</f>
        <v>14</v>
      </c>
      <c r="V25" s="201">
        <f t="shared" ref="V25:V27" si="130">IF(U25&gt;4,ROUND(U25/2,0)*2,IF(U25&gt;2.2,4,0))</f>
        <v>14</v>
      </c>
      <c r="W25" s="199">
        <f>_xlfn.XLOOKUP(A25,'2.0SASA'!$A:$A,'2.0SASA'!$H:$H,"",0)</f>
        <v>0</v>
      </c>
      <c r="X25" s="200">
        <f t="shared" ref="X25:X27" si="131">W25*X$50/W$50</f>
        <v>0</v>
      </c>
      <c r="Y25" s="201">
        <f t="shared" ref="Y25:Y27" si="132">IF(X25&gt;4,ROUND(X25/2,0)*2,IF(X25&gt;2.2,4,0))</f>
        <v>0</v>
      </c>
      <c r="Z25" s="199">
        <f>_xlfn.XLOOKUP(A25,'2.0SASA'!$A:$A,'2.0SASA'!$D:$D,"",0)</f>
        <v>60</v>
      </c>
      <c r="AA25" s="200">
        <f t="shared" ref="AA25:AA27" si="133">Z25*AA$50/Z$50</f>
        <v>5.8181818181818183</v>
      </c>
      <c r="AB25" s="201">
        <f t="shared" ref="AB25:AB27" si="134">IF(AA25&gt;4,ROUND(AA25/2,0)*2,IF(AA25&gt;2.2,4,0))</f>
        <v>6</v>
      </c>
      <c r="AC25" s="199">
        <f>_xlfn.XLOOKUP(A25,'2.0SASA'!$A:$A,'2.0SASA'!$E:$E,"",0)</f>
        <v>0</v>
      </c>
      <c r="AD25" s="200">
        <f t="shared" ref="AD25:AD27" si="135">AC25*AD$50/AC$50</f>
        <v>0</v>
      </c>
      <c r="AE25" s="201">
        <f t="shared" ref="AE25:AE27" si="136">IF(AD25&gt;4,ROUND(AD25/2,0)*2,IF(AD25&gt;2.2,4,0))</f>
        <v>0</v>
      </c>
      <c r="AF25" s="199">
        <f>_xlfn.XLOOKUP(A25,'2.0SASA'!$A:$A,'2.0SASA'!$V:$V,"",0)</f>
        <v>120</v>
      </c>
      <c r="AG25" s="200">
        <f t="shared" ref="AG25:AG27" si="137">AF25*AG$50/AF$50</f>
        <v>8</v>
      </c>
      <c r="AH25" s="209">
        <v>10</v>
      </c>
      <c r="AI25" s="199">
        <f>_xlfn.XLOOKUP(A25,'2.0SASA'!$A:$A,'2.0SASA'!$U:$U,"",0)</f>
        <v>0</v>
      </c>
      <c r="AJ25" s="200">
        <f t="shared" ref="AJ25:AJ27" si="138">AI25*AJ$50/AI$50</f>
        <v>0</v>
      </c>
      <c r="AK25" s="201">
        <f t="shared" ref="AK25:AK27" si="139">IF(AJ25&gt;4,ROUND(AJ25/2,0)*2,IF(AJ25&gt;2,4,0))</f>
        <v>0</v>
      </c>
      <c r="AL25" s="199">
        <f>_xlfn.XLOOKUP(A25,'2.0SASA'!$A:$A,'2.0SASA'!$Q:$Q,"",0)</f>
        <v>140</v>
      </c>
      <c r="AM25" s="200">
        <f t="shared" ref="AM25:AM27" si="140">AL25*AM$50/AL$50</f>
        <v>6.7632850241545892</v>
      </c>
      <c r="AN25" s="209">
        <v>8</v>
      </c>
      <c r="AO25" s="199">
        <f>_xlfn.XLOOKUP(A25,'2.0SASA'!$A:$A,'2.0SASA'!$AD:$AD,"",0)</f>
        <v>140</v>
      </c>
      <c r="AP25" s="200">
        <f t="shared" ref="AP25:AP27" si="141">AO25*AP$50/AO$50</f>
        <v>7.2727272727272725</v>
      </c>
      <c r="AQ25" s="209">
        <v>10</v>
      </c>
      <c r="AR25" s="62"/>
      <c r="AS25" s="62"/>
      <c r="AU25" s="62"/>
    </row>
    <row r="26" spans="1:47" s="57" customFormat="1" ht="17.25" customHeight="1">
      <c r="A26" s="198" t="s">
        <v>34</v>
      </c>
      <c r="B26" s="199">
        <f>_xlfn.XLOOKUP(A26,'2.0SASA'!$A:$A,'2.0SASA'!$C:$C,"",0)</f>
        <v>0</v>
      </c>
      <c r="C26" s="200">
        <f t="shared" si="118"/>
        <v>0</v>
      </c>
      <c r="D26" s="201">
        <f t="shared" si="119"/>
        <v>0</v>
      </c>
      <c r="E26" s="199">
        <f>_xlfn.XLOOKUP(A26,'2.0SASA'!$A:$A,'2.0SASA'!$B:$B,"",0)</f>
        <v>10</v>
      </c>
      <c r="F26" s="200">
        <f t="shared" si="120"/>
        <v>1</v>
      </c>
      <c r="G26" s="201">
        <f t="shared" si="121"/>
        <v>0</v>
      </c>
      <c r="H26" s="199">
        <f>_xlfn.XLOOKUP(A26,'2.0SASA'!$A:$A,'2.0SASA'!$J:$J,"",0)</f>
        <v>0</v>
      </c>
      <c r="I26" s="200">
        <f t="shared" si="122"/>
        <v>0</v>
      </c>
      <c r="J26" s="201">
        <f t="shared" si="123"/>
        <v>0</v>
      </c>
      <c r="K26" s="199">
        <f>_xlfn.XLOOKUP(A26,'2.0SASA'!$A:$A,'2.0SASA'!$K:$K,"",0)</f>
        <v>0</v>
      </c>
      <c r="L26" s="200">
        <f t="shared" si="124"/>
        <v>0</v>
      </c>
      <c r="M26" s="201">
        <f t="shared" si="125"/>
        <v>0</v>
      </c>
      <c r="N26" s="199">
        <f>_xlfn.XLOOKUP(A26,'2.0SASA'!$A:$A,'2.0SASA'!$G:$G,"",0)</f>
        <v>10</v>
      </c>
      <c r="O26" s="200">
        <f t="shared" si="126"/>
        <v>1.3333333333333333</v>
      </c>
      <c r="P26" s="201">
        <f t="shared" si="127"/>
        <v>0</v>
      </c>
      <c r="Q26" s="199">
        <f>_xlfn.XLOOKUP(A26,'2.0SASA'!$A:$A,'2.0SASA'!$I:$I,"",0)</f>
        <v>40</v>
      </c>
      <c r="R26" s="200">
        <f t="shared" si="128"/>
        <v>4.5714285714285712</v>
      </c>
      <c r="S26" s="201">
        <f t="shared" ref="S26:S27" si="142">IF(R26&gt;4,ROUND(R26/2,0)*2,IF(R26&gt;2.2,4,0))</f>
        <v>4</v>
      </c>
      <c r="T26" s="199">
        <f>_xlfn.XLOOKUP(A26,'2.0SASA'!$A:$A,'2.0SASA'!$F:$F,"",0)</f>
        <v>90</v>
      </c>
      <c r="U26" s="200">
        <f t="shared" si="129"/>
        <v>9</v>
      </c>
      <c r="V26" s="201">
        <f t="shared" si="130"/>
        <v>10</v>
      </c>
      <c r="W26" s="199">
        <f>_xlfn.XLOOKUP(A26,'2.0SASA'!$A:$A,'2.0SASA'!$H:$H,"",0)</f>
        <v>0</v>
      </c>
      <c r="X26" s="200">
        <f t="shared" si="131"/>
        <v>0</v>
      </c>
      <c r="Y26" s="201">
        <f t="shared" si="132"/>
        <v>0</v>
      </c>
      <c r="Z26" s="199">
        <f>_xlfn.XLOOKUP(A26,'2.0SASA'!$A:$A,'2.0SASA'!$D:$D,"",0)</f>
        <v>70</v>
      </c>
      <c r="AA26" s="200">
        <f t="shared" si="133"/>
        <v>6.7878787878787881</v>
      </c>
      <c r="AB26" s="201">
        <f t="shared" si="134"/>
        <v>6</v>
      </c>
      <c r="AC26" s="199">
        <f>_xlfn.XLOOKUP(A26,'2.0SASA'!$A:$A,'2.0SASA'!$E:$E,"",0)</f>
        <v>20</v>
      </c>
      <c r="AD26" s="200">
        <f t="shared" si="135"/>
        <v>1.935483870967742</v>
      </c>
      <c r="AE26" s="201">
        <f t="shared" si="136"/>
        <v>0</v>
      </c>
      <c r="AF26" s="199">
        <f>_xlfn.XLOOKUP(A26,'2.0SASA'!$A:$A,'2.0SASA'!$V:$V,"",0)</f>
        <v>80</v>
      </c>
      <c r="AG26" s="200">
        <f t="shared" si="137"/>
        <v>5.333333333333333</v>
      </c>
      <c r="AH26" s="201">
        <f t="shared" ref="AH26:AH27" si="143">IF(AG26&gt;4,ROUND(AG26/2,0)*2,IF(AG26&gt;2.2,4,0))</f>
        <v>6</v>
      </c>
      <c r="AI26" s="199">
        <f>_xlfn.XLOOKUP(A26,'2.0SASA'!$A:$A,'2.0SASA'!$U:$U,"",0)</f>
        <v>50</v>
      </c>
      <c r="AJ26" s="200">
        <f t="shared" si="138"/>
        <v>2.255639097744361</v>
      </c>
      <c r="AK26" s="201">
        <f t="shared" si="139"/>
        <v>4</v>
      </c>
      <c r="AL26" s="199">
        <f>_xlfn.XLOOKUP(A26,'2.0SASA'!$A:$A,'2.0SASA'!$Q:$Q,"",0)</f>
        <v>90</v>
      </c>
      <c r="AM26" s="200">
        <f t="shared" si="140"/>
        <v>4.3478260869565215</v>
      </c>
      <c r="AN26" s="201">
        <f t="shared" ref="AN26:AN27" si="144">IF(AM26&gt;4,ROUND(AM26/2,0)*2,IF(AM26&gt;2.2,4,0))</f>
        <v>4</v>
      </c>
      <c r="AO26" s="199">
        <f>_xlfn.XLOOKUP(A26,'2.0SASA'!$A:$A,'2.0SASA'!$AD:$AD,"",0)</f>
        <v>40</v>
      </c>
      <c r="AP26" s="200">
        <f t="shared" si="141"/>
        <v>2.0779220779220777</v>
      </c>
      <c r="AQ26" s="201">
        <f t="shared" ref="AQ26:AQ27" si="145">IF(AP26&gt;4,ROUND(AP26/2,0)*2,IF(AP26&gt;2.2,4,0))</f>
        <v>0</v>
      </c>
      <c r="AR26" s="62"/>
      <c r="AS26" s="62"/>
      <c r="AU26" s="62"/>
    </row>
    <row r="27" spans="1:47" s="57" customFormat="1" ht="17.25" customHeight="1">
      <c r="A27" s="198" t="s">
        <v>50</v>
      </c>
      <c r="B27" s="199">
        <f>_xlfn.XLOOKUP(A27,'2.0SASA'!$A:$A,'2.0SASA'!$C:$C,"",0)</f>
        <v>0</v>
      </c>
      <c r="C27" s="200">
        <f t="shared" si="118"/>
        <v>0</v>
      </c>
      <c r="D27" s="201">
        <f t="shared" si="119"/>
        <v>0</v>
      </c>
      <c r="E27" s="199">
        <f>_xlfn.XLOOKUP(A27,'2.0SASA'!$A:$A,'2.0SASA'!$B:$B,"",0)</f>
        <v>40</v>
      </c>
      <c r="F27" s="200">
        <f t="shared" si="120"/>
        <v>4</v>
      </c>
      <c r="G27" s="201">
        <f t="shared" si="121"/>
        <v>4</v>
      </c>
      <c r="H27" s="199">
        <f>_xlfn.XLOOKUP(A27,'2.0SASA'!$A:$A,'2.0SASA'!$J:$J,"",0)</f>
        <v>10</v>
      </c>
      <c r="I27" s="200">
        <f t="shared" si="122"/>
        <v>0.91743119266055051</v>
      </c>
      <c r="J27" s="201">
        <f t="shared" si="123"/>
        <v>0</v>
      </c>
      <c r="K27" s="199">
        <f>_xlfn.XLOOKUP(A27,'2.0SASA'!$A:$A,'2.0SASA'!$K:$K,"",0)</f>
        <v>0</v>
      </c>
      <c r="L27" s="200">
        <f t="shared" si="124"/>
        <v>0</v>
      </c>
      <c r="M27" s="201">
        <f t="shared" si="125"/>
        <v>0</v>
      </c>
      <c r="N27" s="199">
        <f>_xlfn.XLOOKUP(A27,'2.0SASA'!$A:$A,'2.0SASA'!$G:$G,"",0)</f>
        <v>10</v>
      </c>
      <c r="O27" s="200">
        <f t="shared" si="126"/>
        <v>1.3333333333333333</v>
      </c>
      <c r="P27" s="201">
        <f t="shared" si="127"/>
        <v>0</v>
      </c>
      <c r="Q27" s="199">
        <f>_xlfn.XLOOKUP(A27,'2.0SASA'!$A:$A,'2.0SASA'!$I:$I,"",0)</f>
        <v>20</v>
      </c>
      <c r="R27" s="200">
        <f t="shared" si="128"/>
        <v>2.2857142857142856</v>
      </c>
      <c r="S27" s="201">
        <f t="shared" si="142"/>
        <v>4</v>
      </c>
      <c r="T27" s="199">
        <f>_xlfn.XLOOKUP(A27,'2.0SASA'!$A:$A,'2.0SASA'!$F:$F,"",0)</f>
        <v>100</v>
      </c>
      <c r="U27" s="200">
        <f t="shared" si="129"/>
        <v>10</v>
      </c>
      <c r="V27" s="201">
        <f t="shared" si="130"/>
        <v>10</v>
      </c>
      <c r="W27" s="199">
        <f>_xlfn.XLOOKUP(A27,'2.0SASA'!$A:$A,'2.0SASA'!$H:$H,"",0)</f>
        <v>0</v>
      </c>
      <c r="X27" s="200">
        <f t="shared" si="131"/>
        <v>0</v>
      </c>
      <c r="Y27" s="201">
        <f t="shared" si="132"/>
        <v>0</v>
      </c>
      <c r="Z27" s="199">
        <f>_xlfn.XLOOKUP(A27,'2.0SASA'!$A:$A,'2.0SASA'!$D:$D,"",0)</f>
        <v>100</v>
      </c>
      <c r="AA27" s="200">
        <f t="shared" si="133"/>
        <v>9.6969696969696972</v>
      </c>
      <c r="AB27" s="201">
        <f t="shared" si="134"/>
        <v>10</v>
      </c>
      <c r="AC27" s="199">
        <f>_xlfn.XLOOKUP(A27,'2.0SASA'!$A:$A,'2.0SASA'!$E:$E,"",0)</f>
        <v>0</v>
      </c>
      <c r="AD27" s="200">
        <f t="shared" si="135"/>
        <v>0</v>
      </c>
      <c r="AE27" s="201">
        <f t="shared" si="136"/>
        <v>0</v>
      </c>
      <c r="AF27" s="199">
        <f>_xlfn.XLOOKUP(A27,'2.0SASA'!$A:$A,'2.0SASA'!$V:$V,"",0)</f>
        <v>90</v>
      </c>
      <c r="AG27" s="200">
        <f t="shared" si="137"/>
        <v>6</v>
      </c>
      <c r="AH27" s="201">
        <f t="shared" si="143"/>
        <v>6</v>
      </c>
      <c r="AI27" s="199">
        <f>_xlfn.XLOOKUP(A27,'2.0SASA'!$A:$A,'2.0SASA'!$U:$U,"",0)</f>
        <v>10</v>
      </c>
      <c r="AJ27" s="200">
        <f t="shared" si="138"/>
        <v>0.45112781954887216</v>
      </c>
      <c r="AK27" s="201">
        <f t="shared" si="139"/>
        <v>0</v>
      </c>
      <c r="AL27" s="199">
        <f>_xlfn.XLOOKUP(A27,'2.0SASA'!$A:$A,'2.0SASA'!$Q:$Q,"",0)</f>
        <v>100</v>
      </c>
      <c r="AM27" s="200">
        <f t="shared" si="140"/>
        <v>4.8309178743961354</v>
      </c>
      <c r="AN27" s="201">
        <f t="shared" si="144"/>
        <v>4</v>
      </c>
      <c r="AO27" s="199">
        <f>_xlfn.XLOOKUP(A27,'2.0SASA'!$A:$A,'2.0SASA'!$AD:$AD,"",0)</f>
        <v>70</v>
      </c>
      <c r="AP27" s="200">
        <f t="shared" si="141"/>
        <v>3.6363636363636362</v>
      </c>
      <c r="AQ27" s="201">
        <f t="shared" si="145"/>
        <v>4</v>
      </c>
      <c r="AR27" s="62"/>
      <c r="AS27" s="62"/>
      <c r="AU27" s="62"/>
    </row>
    <row r="28" spans="1:47" s="58" customFormat="1" ht="17.25" customHeight="1">
      <c r="A28" s="202" t="s">
        <v>397</v>
      </c>
      <c r="B28" s="204">
        <f>SUM(B25:B27)</f>
        <v>30</v>
      </c>
      <c r="C28" s="204">
        <f t="shared" ref="C28:AQ28" si="146">SUM(C25:C27)</f>
        <v>2.7713625866050808</v>
      </c>
      <c r="D28" s="204">
        <f t="shared" si="146"/>
        <v>4</v>
      </c>
      <c r="E28" s="204">
        <f t="shared" si="146"/>
        <v>170</v>
      </c>
      <c r="F28" s="204">
        <f t="shared" si="146"/>
        <v>17</v>
      </c>
      <c r="G28" s="204">
        <f t="shared" si="146"/>
        <v>16</v>
      </c>
      <c r="H28" s="204">
        <f t="shared" si="146"/>
        <v>10</v>
      </c>
      <c r="I28" s="204">
        <f t="shared" si="146"/>
        <v>0.91743119266055051</v>
      </c>
      <c r="J28" s="204">
        <f t="shared" si="146"/>
        <v>0</v>
      </c>
      <c r="K28" s="204">
        <f t="shared" si="146"/>
        <v>0</v>
      </c>
      <c r="L28" s="204">
        <f t="shared" si="146"/>
        <v>0</v>
      </c>
      <c r="M28" s="204">
        <f t="shared" si="146"/>
        <v>0</v>
      </c>
      <c r="N28" s="204">
        <f t="shared" si="146"/>
        <v>20</v>
      </c>
      <c r="O28" s="204">
        <f t="shared" si="146"/>
        <v>2.6666666666666665</v>
      </c>
      <c r="P28" s="204">
        <f t="shared" si="146"/>
        <v>0</v>
      </c>
      <c r="Q28" s="204">
        <f t="shared" si="146"/>
        <v>140</v>
      </c>
      <c r="R28" s="204">
        <f t="shared" si="146"/>
        <v>16</v>
      </c>
      <c r="S28" s="204">
        <f t="shared" si="146"/>
        <v>16</v>
      </c>
      <c r="T28" s="204">
        <f t="shared" si="146"/>
        <v>330</v>
      </c>
      <c r="U28" s="204">
        <f t="shared" si="146"/>
        <v>33</v>
      </c>
      <c r="V28" s="204">
        <f t="shared" si="146"/>
        <v>34</v>
      </c>
      <c r="W28" s="204">
        <f t="shared" si="146"/>
        <v>0</v>
      </c>
      <c r="X28" s="204">
        <f t="shared" si="146"/>
        <v>0</v>
      </c>
      <c r="Y28" s="204">
        <f t="shared" si="146"/>
        <v>0</v>
      </c>
      <c r="Z28" s="204">
        <f t="shared" si="146"/>
        <v>230</v>
      </c>
      <c r="AA28" s="204">
        <f t="shared" si="146"/>
        <v>22.303030303030305</v>
      </c>
      <c r="AB28" s="204">
        <f t="shared" si="146"/>
        <v>22</v>
      </c>
      <c r="AC28" s="204">
        <f t="shared" si="146"/>
        <v>20</v>
      </c>
      <c r="AD28" s="204">
        <f t="shared" si="146"/>
        <v>1.935483870967742</v>
      </c>
      <c r="AE28" s="204">
        <f t="shared" si="146"/>
        <v>0</v>
      </c>
      <c r="AF28" s="204">
        <f t="shared" si="146"/>
        <v>290</v>
      </c>
      <c r="AG28" s="204">
        <f t="shared" si="146"/>
        <v>19.333333333333332</v>
      </c>
      <c r="AH28" s="204">
        <f t="shared" si="146"/>
        <v>22</v>
      </c>
      <c r="AI28" s="204">
        <f t="shared" si="146"/>
        <v>60</v>
      </c>
      <c r="AJ28" s="204">
        <f t="shared" si="146"/>
        <v>2.7067669172932334</v>
      </c>
      <c r="AK28" s="204">
        <f t="shared" si="146"/>
        <v>4</v>
      </c>
      <c r="AL28" s="204">
        <f t="shared" si="146"/>
        <v>330</v>
      </c>
      <c r="AM28" s="204">
        <f t="shared" si="146"/>
        <v>15.942028985507246</v>
      </c>
      <c r="AN28" s="204">
        <f t="shared" si="146"/>
        <v>16</v>
      </c>
      <c r="AO28" s="204">
        <f t="shared" si="146"/>
        <v>250</v>
      </c>
      <c r="AP28" s="204">
        <f t="shared" si="146"/>
        <v>12.987012987012987</v>
      </c>
      <c r="AQ28" s="204">
        <f t="shared" si="146"/>
        <v>14</v>
      </c>
    </row>
    <row r="29" spans="1:47" s="57" customFormat="1" ht="17.25" customHeight="1">
      <c r="A29" s="198" t="s">
        <v>54</v>
      </c>
      <c r="B29" s="199">
        <f>_xlfn.XLOOKUP(A29,'2.0SASA'!$A:$A,'2.0SASA'!$C:$C,"",0)</f>
        <v>40</v>
      </c>
      <c r="C29" s="200">
        <f t="shared" ref="C29:C32" si="147">B29*C$50/B$50</f>
        <v>3.695150115473441</v>
      </c>
      <c r="D29" s="201">
        <f t="shared" ref="D29:D32" si="148">IF(C29&gt;4,ROUND(C29/2,0)*2,IF(C29&gt;2.2,4,0))</f>
        <v>4</v>
      </c>
      <c r="E29" s="199">
        <f>_xlfn.XLOOKUP(A29,'2.0SASA'!$A:$A,'2.0SASA'!$B:$B,"",0)</f>
        <v>60</v>
      </c>
      <c r="F29" s="200">
        <f t="shared" ref="F29:F32" si="149">E29*F$50/E$50</f>
        <v>6</v>
      </c>
      <c r="G29" s="201">
        <f t="shared" ref="G29:G32" si="150">IF(F29&gt;4,ROUND(F29/2,0)*2,IF(F29&gt;2.2,4,0))</f>
        <v>6</v>
      </c>
      <c r="H29" s="199">
        <f>_xlfn.XLOOKUP(A29,'2.0SASA'!$A:$A,'2.0SASA'!$J:$J,"",0)</f>
        <v>10</v>
      </c>
      <c r="I29" s="200">
        <f t="shared" ref="I29:I32" si="151">H29*I$50/H$50</f>
        <v>0.91743119266055051</v>
      </c>
      <c r="J29" s="201">
        <f t="shared" ref="J29:J32" si="152">IF(I29&gt;4,ROUND(I29/2,0)*2,IF(I29&gt;2,4,0))</f>
        <v>0</v>
      </c>
      <c r="K29" s="199">
        <f>_xlfn.XLOOKUP(A29,'2.0SASA'!$A:$A,'2.0SASA'!$K:$K,"",0)</f>
        <v>10</v>
      </c>
      <c r="L29" s="200">
        <f t="shared" ref="L29:L32" si="153">K29*L$50/K$50</f>
        <v>1.0256410256410255</v>
      </c>
      <c r="M29" s="201">
        <f t="shared" ref="M29:M32" si="154">IF(L29&gt;4,ROUND(L29/2,0)*2,IF(L29&gt;2.2,4,0))</f>
        <v>0</v>
      </c>
      <c r="N29" s="199">
        <f>_xlfn.XLOOKUP(A29,'2.0SASA'!$A:$A,'2.0SASA'!$G:$G,"",0)</f>
        <v>0</v>
      </c>
      <c r="O29" s="200">
        <f t="shared" ref="O29:O32" si="155">N29*O$50/N$50</f>
        <v>0</v>
      </c>
      <c r="P29" s="201">
        <f t="shared" ref="P29:P32" si="156">IF(O29&gt;4,ROUND(O29/2,0)*2,IF(O29&gt;2.2,4,0))</f>
        <v>0</v>
      </c>
      <c r="Q29" s="199">
        <f>_xlfn.XLOOKUP(A29,'2.0SASA'!$A:$A,'2.0SASA'!$I:$I,"",0)</f>
        <v>0</v>
      </c>
      <c r="R29" s="200">
        <f t="shared" ref="R29:R32" si="157">Q29*R$50/Q$50</f>
        <v>0</v>
      </c>
      <c r="S29" s="201">
        <f t="shared" ref="S29:S32" si="158">IF(R29&gt;4,ROUND(R29/2,0)*2,IF(R29&gt;2.2,4,0))</f>
        <v>0</v>
      </c>
      <c r="T29" s="199">
        <f>_xlfn.XLOOKUP(A29,'2.0SASA'!$A:$A,'2.0SASA'!$F:$F,"",0)</f>
        <v>60</v>
      </c>
      <c r="U29" s="200">
        <f t="shared" ref="U29:U32" si="159">T29*U$50/T$50</f>
        <v>6</v>
      </c>
      <c r="V29" s="201">
        <f t="shared" ref="V29:V32" si="160">IF(U29&gt;4,ROUND(U29/2,0)*2,IF(U29&gt;2.2,4,0))</f>
        <v>6</v>
      </c>
      <c r="W29" s="199">
        <f>_xlfn.XLOOKUP(A29,'2.0SASA'!$A:$A,'2.0SASA'!$H:$H,"",0)</f>
        <v>40</v>
      </c>
      <c r="X29" s="200">
        <f t="shared" ref="X29:X32" si="161">W29*X$50/W$50</f>
        <v>3.5</v>
      </c>
      <c r="Y29" s="201">
        <f t="shared" ref="Y29:Y32" si="162">IF(X29&gt;4,ROUND(X29/2,0)*2,IF(X29&gt;2.2,4,0))</f>
        <v>4</v>
      </c>
      <c r="Z29" s="199">
        <f>_xlfn.XLOOKUP(A29,'2.0SASA'!$A:$A,'2.0SASA'!$D:$D,"",0)</f>
        <v>70</v>
      </c>
      <c r="AA29" s="200">
        <f t="shared" ref="AA29:AA32" si="163">Z29*AA$50/Z$50</f>
        <v>6.7878787878787881</v>
      </c>
      <c r="AB29" s="209">
        <v>8</v>
      </c>
      <c r="AC29" s="199">
        <f>_xlfn.XLOOKUP(A29,'2.0SASA'!$A:$A,'2.0SASA'!$E:$E,"",0)</f>
        <v>0</v>
      </c>
      <c r="AD29" s="200">
        <f t="shared" ref="AD29:AD32" si="164">AC29*AD$50/AC$50</f>
        <v>0</v>
      </c>
      <c r="AE29" s="201">
        <f t="shared" ref="AE29:AE32" si="165">IF(AD29&gt;4,ROUND(AD29/2,0)*2,IF(AD29&gt;2.2,4,0))</f>
        <v>0</v>
      </c>
      <c r="AF29" s="199">
        <f>_xlfn.XLOOKUP(A29,'2.0SASA'!$A:$A,'2.0SASA'!$V:$V,"",0)</f>
        <v>20</v>
      </c>
      <c r="AG29" s="200">
        <f t="shared" ref="AG29:AG32" si="166">AF29*AG$50/AF$50</f>
        <v>1.3333333333333333</v>
      </c>
      <c r="AH29" s="201">
        <f t="shared" ref="AH29:AH32" si="167">IF(AG29&gt;4,ROUND(AG29/2,0)*2,IF(AG29&gt;2.2,4,0))</f>
        <v>0</v>
      </c>
      <c r="AI29" s="199">
        <f>_xlfn.XLOOKUP(A29,'2.0SASA'!$A:$A,'2.0SASA'!$U:$U,"",0)</f>
        <v>50</v>
      </c>
      <c r="AJ29" s="200">
        <f t="shared" ref="AJ29:AJ32" si="168">AI29*AJ$50/AI$50</f>
        <v>2.255639097744361</v>
      </c>
      <c r="AK29" s="201">
        <f t="shared" ref="AK29:AK32" si="169">IF(AJ29&gt;4,ROUND(AJ29/2,0)*2,IF(AJ29&gt;2,4,0))</f>
        <v>4</v>
      </c>
      <c r="AL29" s="199">
        <f>_xlfn.XLOOKUP(A29,'2.0SASA'!$A:$A,'2.0SASA'!$Q:$Q,"",0)</f>
        <v>80</v>
      </c>
      <c r="AM29" s="200">
        <f t="shared" ref="AM29:AM32" si="170">AL29*AM$50/AL$50</f>
        <v>3.8647342995169081</v>
      </c>
      <c r="AN29" s="201">
        <f t="shared" ref="AN29:AN32" si="171">IF(AM29&gt;4,ROUND(AM29/2,0)*2,IF(AM29&gt;2.2,4,0))</f>
        <v>4</v>
      </c>
      <c r="AO29" s="199">
        <f>_xlfn.XLOOKUP(A29,'2.0SASA'!$A:$A,'2.0SASA'!$AD:$AD,"",0)</f>
        <v>20</v>
      </c>
      <c r="AP29" s="200">
        <f t="shared" ref="AP29:AP32" si="172">AO29*AP$50/AO$50</f>
        <v>1.0389610389610389</v>
      </c>
      <c r="AQ29" s="201">
        <f t="shared" ref="AQ29:AQ31" si="173">IF(AP29&gt;4,ROUND(AP29/2,0)*2,IF(AP29&gt;2.2,4,0))</f>
        <v>0</v>
      </c>
      <c r="AR29" s="62"/>
      <c r="AS29" s="62"/>
      <c r="AU29" s="62"/>
    </row>
    <row r="30" spans="1:47" s="57" customFormat="1" ht="17.25" customHeight="1">
      <c r="A30" s="198" t="s">
        <v>63</v>
      </c>
      <c r="B30" s="199">
        <f>_xlfn.XLOOKUP(A30,'2.0SASA'!$A:$A,'2.0SASA'!$C:$C,"",0)</f>
        <v>60</v>
      </c>
      <c r="C30" s="200">
        <f t="shared" si="147"/>
        <v>5.5427251732101617</v>
      </c>
      <c r="D30" s="201">
        <f t="shared" si="148"/>
        <v>6</v>
      </c>
      <c r="E30" s="199">
        <f>_xlfn.XLOOKUP(A30,'2.0SASA'!$A:$A,'2.0SASA'!$B:$B,"",0)</f>
        <v>60</v>
      </c>
      <c r="F30" s="200">
        <f t="shared" si="149"/>
        <v>6</v>
      </c>
      <c r="G30" s="201">
        <f t="shared" si="150"/>
        <v>6</v>
      </c>
      <c r="H30" s="199">
        <f>_xlfn.XLOOKUP(A30,'2.0SASA'!$A:$A,'2.0SASA'!$J:$J,"",0)</f>
        <v>10</v>
      </c>
      <c r="I30" s="200">
        <f t="shared" si="151"/>
        <v>0.91743119266055051</v>
      </c>
      <c r="J30" s="201">
        <f t="shared" si="152"/>
        <v>0</v>
      </c>
      <c r="K30" s="199">
        <f>_xlfn.XLOOKUP(A30,'2.0SASA'!$A:$A,'2.0SASA'!$K:$K,"",0)</f>
        <v>0</v>
      </c>
      <c r="L30" s="200">
        <f t="shared" si="153"/>
        <v>0</v>
      </c>
      <c r="M30" s="201">
        <f t="shared" si="154"/>
        <v>0</v>
      </c>
      <c r="N30" s="199">
        <f>_xlfn.XLOOKUP(A30,'2.0SASA'!$A:$A,'2.0SASA'!$G:$G,"",0)</f>
        <v>0</v>
      </c>
      <c r="O30" s="200">
        <f t="shared" si="155"/>
        <v>0</v>
      </c>
      <c r="P30" s="201">
        <f t="shared" si="156"/>
        <v>0</v>
      </c>
      <c r="Q30" s="199">
        <f>_xlfn.XLOOKUP(A30,'2.0SASA'!$A:$A,'2.0SASA'!$I:$I,"",0)</f>
        <v>10</v>
      </c>
      <c r="R30" s="200">
        <f t="shared" si="157"/>
        <v>1.1428571428571428</v>
      </c>
      <c r="S30" s="201">
        <f t="shared" si="158"/>
        <v>0</v>
      </c>
      <c r="T30" s="199">
        <f>_xlfn.XLOOKUP(A30,'2.0SASA'!$A:$A,'2.0SASA'!$F:$F,"",0)</f>
        <v>50</v>
      </c>
      <c r="U30" s="200">
        <f t="shared" si="159"/>
        <v>5</v>
      </c>
      <c r="V30" s="201">
        <f t="shared" si="160"/>
        <v>6</v>
      </c>
      <c r="W30" s="199">
        <f>_xlfn.XLOOKUP(A30,'2.0SASA'!$A:$A,'2.0SASA'!$H:$H,"",0)</f>
        <v>30</v>
      </c>
      <c r="X30" s="200">
        <f t="shared" si="161"/>
        <v>2.625</v>
      </c>
      <c r="Y30" s="201">
        <f t="shared" si="162"/>
        <v>4</v>
      </c>
      <c r="Z30" s="199">
        <f>_xlfn.XLOOKUP(A30,'2.0SASA'!$A:$A,'2.0SASA'!$D:$D,"",0)</f>
        <v>50</v>
      </c>
      <c r="AA30" s="200">
        <f t="shared" si="163"/>
        <v>4.8484848484848486</v>
      </c>
      <c r="AB30" s="201">
        <f t="shared" ref="AB30:AB32" si="174">IF(AA30&gt;4,ROUND(AA30/2,0)*2,IF(AA30&gt;2.2,4,0))</f>
        <v>4</v>
      </c>
      <c r="AC30" s="199">
        <f>_xlfn.XLOOKUP(A30,'2.0SASA'!$A:$A,'2.0SASA'!$E:$E,"",0)</f>
        <v>0</v>
      </c>
      <c r="AD30" s="200">
        <f t="shared" si="164"/>
        <v>0</v>
      </c>
      <c r="AE30" s="201">
        <f t="shared" si="165"/>
        <v>0</v>
      </c>
      <c r="AF30" s="199">
        <f>_xlfn.XLOOKUP(A30,'2.0SASA'!$A:$A,'2.0SASA'!$V:$V,"",0)</f>
        <v>20</v>
      </c>
      <c r="AG30" s="200">
        <f t="shared" si="166"/>
        <v>1.3333333333333333</v>
      </c>
      <c r="AH30" s="201">
        <f t="shared" si="167"/>
        <v>0</v>
      </c>
      <c r="AI30" s="199">
        <f>_xlfn.XLOOKUP(A30,'2.0SASA'!$A:$A,'2.0SASA'!$U:$U,"",0)</f>
        <v>60</v>
      </c>
      <c r="AJ30" s="200">
        <f t="shared" si="168"/>
        <v>2.7067669172932329</v>
      </c>
      <c r="AK30" s="201">
        <f t="shared" si="169"/>
        <v>4</v>
      </c>
      <c r="AL30" s="199">
        <f>_xlfn.XLOOKUP(A30,'2.0SASA'!$A:$A,'2.0SASA'!$Q:$Q,"",0)</f>
        <v>60</v>
      </c>
      <c r="AM30" s="200">
        <f t="shared" si="170"/>
        <v>2.8985507246376812</v>
      </c>
      <c r="AN30" s="201">
        <f t="shared" si="171"/>
        <v>4</v>
      </c>
      <c r="AO30" s="199">
        <f>_xlfn.XLOOKUP(A30,'2.0SASA'!$A:$A,'2.0SASA'!$AD:$AD,"",0)</f>
        <v>20</v>
      </c>
      <c r="AP30" s="200">
        <f t="shared" si="172"/>
        <v>1.0389610389610389</v>
      </c>
      <c r="AQ30" s="201">
        <f t="shared" si="173"/>
        <v>0</v>
      </c>
      <c r="AR30" s="62"/>
      <c r="AS30" s="62"/>
      <c r="AU30" s="62"/>
    </row>
    <row r="31" spans="1:47" s="57" customFormat="1" ht="17.25" customHeight="1">
      <c r="A31" s="198" t="s">
        <v>168</v>
      </c>
      <c r="B31" s="199">
        <f>_xlfn.XLOOKUP(A31,'2.0SASA'!$A:$A,'2.0SASA'!$C:$C,"",0)</f>
        <v>0</v>
      </c>
      <c r="C31" s="200">
        <f t="shared" si="147"/>
        <v>0</v>
      </c>
      <c r="D31" s="201">
        <f t="shared" si="148"/>
        <v>0</v>
      </c>
      <c r="E31" s="199">
        <f>_xlfn.XLOOKUP(A31,'2.0SASA'!$A:$A,'2.0SASA'!$B:$B,"",0)</f>
        <v>0</v>
      </c>
      <c r="F31" s="200">
        <f t="shared" si="149"/>
        <v>0</v>
      </c>
      <c r="G31" s="201">
        <f t="shared" si="150"/>
        <v>0</v>
      </c>
      <c r="H31" s="199">
        <f>_xlfn.XLOOKUP(A31,'2.0SASA'!$A:$A,'2.0SASA'!$J:$J,"",0)</f>
        <v>80</v>
      </c>
      <c r="I31" s="200">
        <f t="shared" si="151"/>
        <v>7.3394495412844041</v>
      </c>
      <c r="J31" s="201">
        <f t="shared" si="152"/>
        <v>8</v>
      </c>
      <c r="K31" s="199">
        <f>_xlfn.XLOOKUP(A31,'2.0SASA'!$A:$A,'2.0SASA'!$K:$K,"",0)</f>
        <v>0</v>
      </c>
      <c r="L31" s="200">
        <f t="shared" si="153"/>
        <v>0</v>
      </c>
      <c r="M31" s="201">
        <f t="shared" si="154"/>
        <v>0</v>
      </c>
      <c r="N31" s="199">
        <f>_xlfn.XLOOKUP(A31,'2.0SASA'!$A:$A,'2.0SASA'!$G:$G,"",0)</f>
        <v>0</v>
      </c>
      <c r="O31" s="200">
        <f t="shared" si="155"/>
        <v>0</v>
      </c>
      <c r="P31" s="201">
        <f t="shared" si="156"/>
        <v>0</v>
      </c>
      <c r="Q31" s="199">
        <f>_xlfn.XLOOKUP(A31,'2.0SASA'!$A:$A,'2.0SASA'!$I:$I,"",0)</f>
        <v>30</v>
      </c>
      <c r="R31" s="200">
        <f t="shared" si="157"/>
        <v>3.4285714285714284</v>
      </c>
      <c r="S31" s="201">
        <f t="shared" si="158"/>
        <v>4</v>
      </c>
      <c r="T31" s="199">
        <f>_xlfn.XLOOKUP(A31,'2.0SASA'!$A:$A,'2.0SASA'!$F:$F,"",0)</f>
        <v>0</v>
      </c>
      <c r="U31" s="200">
        <f t="shared" si="159"/>
        <v>0</v>
      </c>
      <c r="V31" s="201">
        <f t="shared" si="160"/>
        <v>0</v>
      </c>
      <c r="W31" s="199">
        <f>_xlfn.XLOOKUP(A31,'2.0SASA'!$A:$A,'2.0SASA'!$H:$H,"",0)</f>
        <v>0</v>
      </c>
      <c r="X31" s="200">
        <f t="shared" si="161"/>
        <v>0</v>
      </c>
      <c r="Y31" s="201">
        <f t="shared" si="162"/>
        <v>0</v>
      </c>
      <c r="Z31" s="199">
        <f>_xlfn.XLOOKUP(A31,'2.0SASA'!$A:$A,'2.0SASA'!$D:$D,"",0)</f>
        <v>10</v>
      </c>
      <c r="AA31" s="200">
        <f t="shared" si="163"/>
        <v>0.96969696969696972</v>
      </c>
      <c r="AB31" s="201">
        <f t="shared" si="174"/>
        <v>0</v>
      </c>
      <c r="AC31" s="199">
        <f>_xlfn.XLOOKUP(A31,'2.0SASA'!$A:$A,'2.0SASA'!$E:$E,"",0)</f>
        <v>0</v>
      </c>
      <c r="AD31" s="200">
        <f t="shared" si="164"/>
        <v>0</v>
      </c>
      <c r="AE31" s="201">
        <f t="shared" si="165"/>
        <v>0</v>
      </c>
      <c r="AF31" s="199">
        <f>_xlfn.XLOOKUP(A31,'2.0SASA'!$A:$A,'2.0SASA'!$V:$V,"",0)</f>
        <v>0</v>
      </c>
      <c r="AG31" s="200">
        <f t="shared" si="166"/>
        <v>0</v>
      </c>
      <c r="AH31" s="201">
        <f t="shared" si="167"/>
        <v>0</v>
      </c>
      <c r="AI31" s="199">
        <f>_xlfn.XLOOKUP(A31,'2.0SASA'!$A:$A,'2.0SASA'!$U:$U,"",0)</f>
        <v>20</v>
      </c>
      <c r="AJ31" s="200">
        <f t="shared" si="168"/>
        <v>0.90225563909774431</v>
      </c>
      <c r="AK31" s="201">
        <f t="shared" si="169"/>
        <v>0</v>
      </c>
      <c r="AL31" s="199">
        <f>_xlfn.XLOOKUP(A31,'2.0SASA'!$A:$A,'2.0SASA'!$Q:$Q,"",0)</f>
        <v>70</v>
      </c>
      <c r="AM31" s="200">
        <f t="shared" si="170"/>
        <v>3.3816425120772946</v>
      </c>
      <c r="AN31" s="201">
        <f t="shared" si="171"/>
        <v>4</v>
      </c>
      <c r="AO31" s="199">
        <f>_xlfn.XLOOKUP(A31,'2.0SASA'!$A:$A,'2.0SASA'!$AD:$AD,"",0)</f>
        <v>70</v>
      </c>
      <c r="AP31" s="200">
        <f t="shared" si="172"/>
        <v>3.6363636363636362</v>
      </c>
      <c r="AQ31" s="201">
        <f t="shared" si="173"/>
        <v>4</v>
      </c>
      <c r="AR31" s="62"/>
      <c r="AS31" s="62"/>
      <c r="AU31" s="62"/>
    </row>
    <row r="32" spans="1:47" s="57" customFormat="1" ht="17.25" customHeight="1">
      <c r="A32" s="198" t="s">
        <v>176</v>
      </c>
      <c r="B32" s="199">
        <f>_xlfn.XLOOKUP(A32,'2.0SASA'!$A:$A,'2.0SASA'!$C:$C,"",0)</f>
        <v>0</v>
      </c>
      <c r="C32" s="200">
        <f t="shared" si="147"/>
        <v>0</v>
      </c>
      <c r="D32" s="201">
        <f t="shared" si="148"/>
        <v>0</v>
      </c>
      <c r="E32" s="199">
        <f>_xlfn.XLOOKUP(A32,'2.0SASA'!$A:$A,'2.0SASA'!$B:$B,"",0)</f>
        <v>10</v>
      </c>
      <c r="F32" s="200">
        <f t="shared" si="149"/>
        <v>1</v>
      </c>
      <c r="G32" s="201">
        <f t="shared" si="150"/>
        <v>0</v>
      </c>
      <c r="H32" s="199">
        <f>_xlfn.XLOOKUP(A32,'2.0SASA'!$A:$A,'2.0SASA'!$J:$J,"",0)</f>
        <v>100</v>
      </c>
      <c r="I32" s="200">
        <f t="shared" si="151"/>
        <v>9.1743119266055047</v>
      </c>
      <c r="J32" s="201">
        <f t="shared" si="152"/>
        <v>10</v>
      </c>
      <c r="K32" s="199">
        <f>_xlfn.XLOOKUP(A32,'2.0SASA'!$A:$A,'2.0SASA'!$K:$K,"",0)</f>
        <v>0</v>
      </c>
      <c r="L32" s="200">
        <f t="shared" si="153"/>
        <v>0</v>
      </c>
      <c r="M32" s="201">
        <f t="shared" si="154"/>
        <v>0</v>
      </c>
      <c r="N32" s="199">
        <f>_xlfn.XLOOKUP(A32,'2.0SASA'!$A:$A,'2.0SASA'!$G:$G,"",0)</f>
        <v>0</v>
      </c>
      <c r="O32" s="200">
        <f t="shared" si="155"/>
        <v>0</v>
      </c>
      <c r="P32" s="201">
        <f t="shared" si="156"/>
        <v>0</v>
      </c>
      <c r="Q32" s="199">
        <f>_xlfn.XLOOKUP(A32,'2.0SASA'!$A:$A,'2.0SASA'!$I:$I,"",0)</f>
        <v>20</v>
      </c>
      <c r="R32" s="200">
        <f t="shared" si="157"/>
        <v>2.2857142857142856</v>
      </c>
      <c r="S32" s="201">
        <f t="shared" si="158"/>
        <v>4</v>
      </c>
      <c r="T32" s="199">
        <f>_xlfn.XLOOKUP(A32,'2.0SASA'!$A:$A,'2.0SASA'!$F:$F,"",0)</f>
        <v>40</v>
      </c>
      <c r="U32" s="200">
        <f t="shared" si="159"/>
        <v>4</v>
      </c>
      <c r="V32" s="201">
        <f t="shared" si="160"/>
        <v>4</v>
      </c>
      <c r="W32" s="199">
        <f>_xlfn.XLOOKUP(A32,'2.0SASA'!$A:$A,'2.0SASA'!$H:$H,"",0)</f>
        <v>0</v>
      </c>
      <c r="X32" s="200">
        <f t="shared" si="161"/>
        <v>0</v>
      </c>
      <c r="Y32" s="201">
        <f t="shared" si="162"/>
        <v>0</v>
      </c>
      <c r="Z32" s="199">
        <f>_xlfn.XLOOKUP(A32,'2.0SASA'!$A:$A,'2.0SASA'!$D:$D,"",0)</f>
        <v>30</v>
      </c>
      <c r="AA32" s="200">
        <f t="shared" si="163"/>
        <v>2.9090909090909092</v>
      </c>
      <c r="AB32" s="201">
        <f t="shared" si="174"/>
        <v>4</v>
      </c>
      <c r="AC32" s="199">
        <f>_xlfn.XLOOKUP(A32,'2.0SASA'!$A:$A,'2.0SASA'!$E:$E,"",0)</f>
        <v>0</v>
      </c>
      <c r="AD32" s="200">
        <f t="shared" si="164"/>
        <v>0</v>
      </c>
      <c r="AE32" s="201">
        <f t="shared" si="165"/>
        <v>0</v>
      </c>
      <c r="AF32" s="199">
        <f>_xlfn.XLOOKUP(A32,'2.0SASA'!$A:$A,'2.0SASA'!$V:$V,"",0)</f>
        <v>10</v>
      </c>
      <c r="AG32" s="200">
        <f t="shared" si="166"/>
        <v>0.66666666666666663</v>
      </c>
      <c r="AH32" s="201">
        <f t="shared" si="167"/>
        <v>0</v>
      </c>
      <c r="AI32" s="199">
        <f>_xlfn.XLOOKUP(A32,'2.0SASA'!$A:$A,'2.0SASA'!$U:$U,"",0)</f>
        <v>10</v>
      </c>
      <c r="AJ32" s="200">
        <f t="shared" si="168"/>
        <v>0.45112781954887216</v>
      </c>
      <c r="AK32" s="201">
        <f t="shared" si="169"/>
        <v>0</v>
      </c>
      <c r="AL32" s="199">
        <f>_xlfn.XLOOKUP(A32,'2.0SASA'!$A:$A,'2.0SASA'!$Q:$Q,"",0)</f>
        <v>100</v>
      </c>
      <c r="AM32" s="200">
        <f t="shared" si="170"/>
        <v>4.8309178743961354</v>
      </c>
      <c r="AN32" s="210">
        <f t="shared" si="171"/>
        <v>4</v>
      </c>
      <c r="AO32" s="199">
        <f>_xlfn.XLOOKUP(A32,'2.0SASA'!$A:$A,'2.0SASA'!$AD:$AD,"",0)</f>
        <v>90</v>
      </c>
      <c r="AP32" s="200">
        <f t="shared" si="172"/>
        <v>4.6753246753246751</v>
      </c>
      <c r="AQ32" s="209">
        <v>6</v>
      </c>
      <c r="AR32" s="62"/>
      <c r="AS32" s="62"/>
      <c r="AU32" s="62"/>
    </row>
    <row r="33" spans="1:48" s="58" customFormat="1" ht="17.25" customHeight="1">
      <c r="A33" s="202" t="s">
        <v>398</v>
      </c>
      <c r="B33" s="204">
        <f>SUM(B29:B32)</f>
        <v>100</v>
      </c>
      <c r="C33" s="204">
        <f t="shared" ref="C33:AQ33" si="175">SUM(C29:C32)</f>
        <v>9.2378752886836022</v>
      </c>
      <c r="D33" s="204">
        <f t="shared" si="175"/>
        <v>10</v>
      </c>
      <c r="E33" s="204">
        <f t="shared" si="175"/>
        <v>130</v>
      </c>
      <c r="F33" s="204">
        <f t="shared" si="175"/>
        <v>13</v>
      </c>
      <c r="G33" s="204">
        <f t="shared" si="175"/>
        <v>12</v>
      </c>
      <c r="H33" s="204">
        <f t="shared" si="175"/>
        <v>200</v>
      </c>
      <c r="I33" s="204">
        <f t="shared" si="175"/>
        <v>18.348623853211009</v>
      </c>
      <c r="J33" s="204">
        <f t="shared" si="175"/>
        <v>18</v>
      </c>
      <c r="K33" s="204">
        <f t="shared" si="175"/>
        <v>10</v>
      </c>
      <c r="L33" s="204">
        <f t="shared" si="175"/>
        <v>1.0256410256410255</v>
      </c>
      <c r="M33" s="204">
        <f t="shared" si="175"/>
        <v>0</v>
      </c>
      <c r="N33" s="204">
        <f t="shared" si="175"/>
        <v>0</v>
      </c>
      <c r="O33" s="204">
        <f t="shared" si="175"/>
        <v>0</v>
      </c>
      <c r="P33" s="204">
        <f t="shared" si="175"/>
        <v>0</v>
      </c>
      <c r="Q33" s="204">
        <f t="shared" si="175"/>
        <v>60</v>
      </c>
      <c r="R33" s="204">
        <f t="shared" si="175"/>
        <v>6.8571428571428568</v>
      </c>
      <c r="S33" s="204">
        <f t="shared" si="175"/>
        <v>8</v>
      </c>
      <c r="T33" s="204">
        <f t="shared" si="175"/>
        <v>150</v>
      </c>
      <c r="U33" s="204">
        <f t="shared" si="175"/>
        <v>15</v>
      </c>
      <c r="V33" s="204">
        <f t="shared" si="175"/>
        <v>16</v>
      </c>
      <c r="W33" s="204">
        <f t="shared" si="175"/>
        <v>70</v>
      </c>
      <c r="X33" s="204">
        <f t="shared" si="175"/>
        <v>6.125</v>
      </c>
      <c r="Y33" s="204">
        <f t="shared" si="175"/>
        <v>8</v>
      </c>
      <c r="Z33" s="204">
        <f t="shared" si="175"/>
        <v>160</v>
      </c>
      <c r="AA33" s="204">
        <f t="shared" si="175"/>
        <v>15.515151515151516</v>
      </c>
      <c r="AB33" s="204">
        <f t="shared" si="175"/>
        <v>16</v>
      </c>
      <c r="AC33" s="204">
        <f t="shared" si="175"/>
        <v>0</v>
      </c>
      <c r="AD33" s="204">
        <f t="shared" si="175"/>
        <v>0</v>
      </c>
      <c r="AE33" s="204">
        <f t="shared" si="175"/>
        <v>0</v>
      </c>
      <c r="AF33" s="204">
        <f t="shared" si="175"/>
        <v>50</v>
      </c>
      <c r="AG33" s="204">
        <f t="shared" si="175"/>
        <v>3.333333333333333</v>
      </c>
      <c r="AH33" s="204">
        <f t="shared" si="175"/>
        <v>0</v>
      </c>
      <c r="AI33" s="204">
        <f t="shared" si="175"/>
        <v>140</v>
      </c>
      <c r="AJ33" s="204">
        <f t="shared" si="175"/>
        <v>6.3157894736842097</v>
      </c>
      <c r="AK33" s="204">
        <f t="shared" si="175"/>
        <v>8</v>
      </c>
      <c r="AL33" s="204">
        <f t="shared" si="175"/>
        <v>310</v>
      </c>
      <c r="AM33" s="204">
        <f t="shared" si="175"/>
        <v>14.975845410628018</v>
      </c>
      <c r="AN33" s="204">
        <f t="shared" si="175"/>
        <v>16</v>
      </c>
      <c r="AO33" s="204">
        <f t="shared" si="175"/>
        <v>200</v>
      </c>
      <c r="AP33" s="204">
        <f t="shared" si="175"/>
        <v>10.38961038961039</v>
      </c>
      <c r="AQ33" s="204">
        <f t="shared" si="175"/>
        <v>10</v>
      </c>
    </row>
    <row r="34" spans="1:48" s="57" customFormat="1" ht="17.25" customHeight="1">
      <c r="A34" s="198" t="s">
        <v>186</v>
      </c>
      <c r="B34" s="199">
        <f>_xlfn.XLOOKUP(A34,'2.0SASA'!$A:$A,'2.0SASA'!$C:$C,"",0)</f>
        <v>60</v>
      </c>
      <c r="C34" s="200">
        <f t="shared" ref="C34:C40" si="176">B34*C$50/B$50</f>
        <v>5.5427251732101617</v>
      </c>
      <c r="D34" s="201">
        <f t="shared" ref="D34:D40" si="177">IF(C34&gt;4,ROUND(C34/2,0)*2,IF(C34&gt;2.2,4,0))</f>
        <v>6</v>
      </c>
      <c r="E34" s="199">
        <f>_xlfn.XLOOKUP(A34,'2.0SASA'!$A:$A,'2.0SASA'!$B:$B,"",0)</f>
        <v>0</v>
      </c>
      <c r="F34" s="200">
        <f t="shared" ref="F34:F40" si="178">E34*F$50/E$50</f>
        <v>0</v>
      </c>
      <c r="G34" s="201">
        <f t="shared" ref="G34:G40" si="179">IF(F34&gt;4,ROUND(F34/2,0)*2,IF(F34&gt;2.2,4,0))</f>
        <v>0</v>
      </c>
      <c r="H34" s="199">
        <f>_xlfn.XLOOKUP(A34,'2.0SASA'!$A:$A,'2.0SASA'!$J:$J,"",0)</f>
        <v>60</v>
      </c>
      <c r="I34" s="200">
        <f t="shared" ref="I34:I40" si="180">H34*I$50/H$50</f>
        <v>5.5045871559633026</v>
      </c>
      <c r="J34" s="201">
        <f t="shared" ref="J34:J40" si="181">IF(I34&gt;4,ROUND(I34/2,0)*2,IF(I34&gt;2,4,0))</f>
        <v>6</v>
      </c>
      <c r="K34" s="199">
        <f>_xlfn.XLOOKUP(A34,'2.0SASA'!$A:$A,'2.0SASA'!$K:$K,"",0)</f>
        <v>60</v>
      </c>
      <c r="L34" s="200">
        <f t="shared" ref="L34:L40" si="182">K34*L$50/K$50</f>
        <v>6.1538461538461542</v>
      </c>
      <c r="M34" s="201">
        <f t="shared" ref="M34:M40" si="183">IF(L34&gt;4,ROUND(L34/2,0)*2,IF(L34&gt;2.2,4,0))</f>
        <v>6</v>
      </c>
      <c r="N34" s="199">
        <f>_xlfn.XLOOKUP(A34,'2.0SASA'!$A:$A,'2.0SASA'!$G:$G,"",0)</f>
        <v>0</v>
      </c>
      <c r="O34" s="200">
        <f t="shared" ref="O34:O40" si="184">N34*O$50/N$50</f>
        <v>0</v>
      </c>
      <c r="P34" s="201">
        <f t="shared" ref="P34:P40" si="185">IF(O34&gt;4,ROUND(O34/2,0)*2,IF(O34&gt;2.2,4,0))</f>
        <v>0</v>
      </c>
      <c r="Q34" s="199">
        <f>_xlfn.XLOOKUP(A34,'2.0SASA'!$A:$A,'2.0SASA'!$I:$I,"",0)</f>
        <v>0</v>
      </c>
      <c r="R34" s="200">
        <f t="shared" ref="R34:R40" si="186">Q34*R$50/Q$50</f>
        <v>0</v>
      </c>
      <c r="S34" s="201">
        <f t="shared" ref="S34:S40" si="187">IF(R34&gt;4,ROUND(R34/2,0)*2,IF(R34&gt;2.2,4,0))</f>
        <v>0</v>
      </c>
      <c r="T34" s="199">
        <f>_xlfn.XLOOKUP(A34,'2.0SASA'!$A:$A,'2.0SASA'!$F:$F,"",0)</f>
        <v>30</v>
      </c>
      <c r="U34" s="200">
        <f t="shared" ref="U34:U40" si="188">T34*U$50/T$50</f>
        <v>3</v>
      </c>
      <c r="V34" s="201">
        <f t="shared" ref="V34:V40" si="189">IF(U34&gt;4,ROUND(U34/2,0)*2,IF(U34&gt;2.2,4,0))</f>
        <v>4</v>
      </c>
      <c r="W34" s="199">
        <f>_xlfn.XLOOKUP(A34,'2.0SASA'!$A:$A,'2.0SASA'!$H:$H,"",0)</f>
        <v>60</v>
      </c>
      <c r="X34" s="200">
        <f t="shared" ref="X34:X40" si="190">W34*X$50/W$50</f>
        <v>5.25</v>
      </c>
      <c r="Y34" s="201">
        <f t="shared" ref="Y34:Y40" si="191">IF(X34&gt;4,ROUND(X34/2,0)*2,IF(X34&gt;2.2,4,0))</f>
        <v>6</v>
      </c>
      <c r="Z34" s="199">
        <f>_xlfn.XLOOKUP(A34,'2.0SASA'!$A:$A,'2.0SASA'!$D:$D,"",0)</f>
        <v>50</v>
      </c>
      <c r="AA34" s="200">
        <f t="shared" ref="AA34:AA40" si="192">Z34*AA$50/Z$50</f>
        <v>4.8484848484848486</v>
      </c>
      <c r="AB34" s="209">
        <v>6</v>
      </c>
      <c r="AC34" s="199">
        <f>_xlfn.XLOOKUP(A34,'2.0SASA'!$A:$A,'2.0SASA'!$E:$E,"",0)</f>
        <v>10</v>
      </c>
      <c r="AD34" s="200">
        <f t="shared" ref="AD34:AD40" si="193">AC34*AD$50/AC$50</f>
        <v>0.967741935483871</v>
      </c>
      <c r="AE34" s="201">
        <f t="shared" ref="AE34:AE38" si="194">IF(AD34&gt;4,ROUND(AD34/2,0)*2,IF(AD34&gt;2.2,4,0))</f>
        <v>0</v>
      </c>
      <c r="AF34" s="199">
        <f>_xlfn.XLOOKUP(A34,'2.0SASA'!$A:$A,'2.0SASA'!$V:$V,"",0)</f>
        <v>0</v>
      </c>
      <c r="AG34" s="200">
        <f t="shared" ref="AG34:AG40" si="195">AF34*AG$50/AF$50</f>
        <v>0</v>
      </c>
      <c r="AH34" s="201">
        <f t="shared" ref="AH34:AH40" si="196">IF(AG34&gt;4,ROUND(AG34/2,0)*2,IF(AG34&gt;2.2,4,0))</f>
        <v>0</v>
      </c>
      <c r="AI34" s="199">
        <f>_xlfn.XLOOKUP(A34,'2.0SASA'!$A:$A,'2.0SASA'!$U:$U,"",0)</f>
        <v>0</v>
      </c>
      <c r="AJ34" s="200">
        <f t="shared" ref="AJ34:AJ40" si="197">AI34*AJ$50/AI$50</f>
        <v>0</v>
      </c>
      <c r="AK34" s="201">
        <f t="shared" ref="AK34:AK40" si="198">IF(AJ34&gt;4,ROUND(AJ34/2,0)*2,IF(AJ34&gt;2,4,0))</f>
        <v>0</v>
      </c>
      <c r="AL34" s="199">
        <f>_xlfn.XLOOKUP(A34,'2.0SASA'!$A:$A,'2.0SASA'!$Q:$Q,"",0)</f>
        <v>60</v>
      </c>
      <c r="AM34" s="200">
        <f t="shared" ref="AM34:AM40" si="199">AL34*AM$50/AL$50</f>
        <v>2.8985507246376812</v>
      </c>
      <c r="AN34" s="201">
        <f t="shared" ref="AN34:AN40" si="200">IF(AM34&gt;4,ROUND(AM34/2,0)*2,IF(AM34&gt;2.2,4,0))</f>
        <v>4</v>
      </c>
      <c r="AO34" s="199">
        <f>_xlfn.XLOOKUP(A34,'2.0SASA'!$A:$A,'2.0SASA'!$AD:$AD,"",0)</f>
        <v>20</v>
      </c>
      <c r="AP34" s="200">
        <f t="shared" ref="AP34:AP40" si="201">AO34*AP$50/AO$50</f>
        <v>1.0389610389610389</v>
      </c>
      <c r="AQ34" s="201">
        <f t="shared" ref="AQ34:AQ40" si="202">IF(AP34&gt;4,ROUND(AP34/2,0)*2,IF(AP34&gt;2.2,4,0))</f>
        <v>0</v>
      </c>
      <c r="AR34" s="62"/>
      <c r="AS34" s="62"/>
      <c r="AU34" s="62"/>
    </row>
    <row r="35" spans="1:48" s="57" customFormat="1" ht="17.25" customHeight="1">
      <c r="A35" s="198" t="s">
        <v>194</v>
      </c>
      <c r="B35" s="199">
        <f>_xlfn.XLOOKUP(A35,'2.0SASA'!$A:$A,'2.0SASA'!$C:$C,"",0)</f>
        <v>60</v>
      </c>
      <c r="C35" s="200">
        <f t="shared" si="176"/>
        <v>5.5427251732101617</v>
      </c>
      <c r="D35" s="209">
        <v>4</v>
      </c>
      <c r="E35" s="199">
        <f>_xlfn.XLOOKUP(A35,'2.0SASA'!$A:$A,'2.0SASA'!$B:$B,"",0)</f>
        <v>10</v>
      </c>
      <c r="F35" s="200">
        <f t="shared" si="178"/>
        <v>1</v>
      </c>
      <c r="G35" s="201">
        <f t="shared" si="179"/>
        <v>0</v>
      </c>
      <c r="H35" s="199">
        <f>_xlfn.XLOOKUP(A35,'2.0SASA'!$A:$A,'2.0SASA'!$J:$J,"",0)</f>
        <v>60</v>
      </c>
      <c r="I35" s="200">
        <f t="shared" si="180"/>
        <v>5.5045871559633026</v>
      </c>
      <c r="J35" s="201">
        <f t="shared" si="181"/>
        <v>6</v>
      </c>
      <c r="K35" s="199">
        <f>_xlfn.XLOOKUP(A35,'2.0SASA'!$A:$A,'2.0SASA'!$K:$K,"",0)</f>
        <v>30</v>
      </c>
      <c r="L35" s="200">
        <f t="shared" si="182"/>
        <v>3.0769230769230771</v>
      </c>
      <c r="M35" s="201">
        <f t="shared" si="183"/>
        <v>4</v>
      </c>
      <c r="N35" s="199">
        <f>_xlfn.XLOOKUP(A35,'2.0SASA'!$A:$A,'2.0SASA'!$G:$G,"",0)</f>
        <v>0</v>
      </c>
      <c r="O35" s="200">
        <f t="shared" si="184"/>
        <v>0</v>
      </c>
      <c r="P35" s="201">
        <f t="shared" si="185"/>
        <v>0</v>
      </c>
      <c r="Q35" s="199">
        <f>_xlfn.XLOOKUP(A35,'2.0SASA'!$A:$A,'2.0SASA'!$I:$I,"",0)</f>
        <v>0</v>
      </c>
      <c r="R35" s="200">
        <f t="shared" si="186"/>
        <v>0</v>
      </c>
      <c r="S35" s="201">
        <f t="shared" si="187"/>
        <v>0</v>
      </c>
      <c r="T35" s="199">
        <f>_xlfn.XLOOKUP(A35,'2.0SASA'!$A:$A,'2.0SASA'!$F:$F,"",0)</f>
        <v>30</v>
      </c>
      <c r="U35" s="200">
        <f t="shared" si="188"/>
        <v>3</v>
      </c>
      <c r="V35" s="201">
        <f t="shared" si="189"/>
        <v>4</v>
      </c>
      <c r="W35" s="199">
        <f>_xlfn.XLOOKUP(A35,'2.0SASA'!$A:$A,'2.0SASA'!$H:$H,"",0)</f>
        <v>30</v>
      </c>
      <c r="X35" s="200">
        <f t="shared" si="190"/>
        <v>2.625</v>
      </c>
      <c r="Y35" s="201">
        <f t="shared" si="191"/>
        <v>4</v>
      </c>
      <c r="Z35" s="199">
        <f>_xlfn.XLOOKUP(A35,'2.0SASA'!$A:$A,'2.0SASA'!$D:$D,"",0)</f>
        <v>30</v>
      </c>
      <c r="AA35" s="200">
        <f t="shared" si="192"/>
        <v>2.9090909090909092</v>
      </c>
      <c r="AB35" s="201">
        <f t="shared" ref="AB35:AB38" si="203">IF(AA35&gt;4,ROUND(AA35/2,0)*2,IF(AA35&gt;2.2,4,0))</f>
        <v>4</v>
      </c>
      <c r="AC35" s="199">
        <f>_xlfn.XLOOKUP(A35,'2.0SASA'!$A:$A,'2.0SASA'!$E:$E,"",0)</f>
        <v>0</v>
      </c>
      <c r="AD35" s="200">
        <f t="shared" si="193"/>
        <v>0</v>
      </c>
      <c r="AE35" s="201">
        <f t="shared" si="194"/>
        <v>0</v>
      </c>
      <c r="AF35" s="199">
        <f>_xlfn.XLOOKUP(A35,'2.0SASA'!$A:$A,'2.0SASA'!$V:$V,"",0)</f>
        <v>0</v>
      </c>
      <c r="AG35" s="200">
        <f t="shared" si="195"/>
        <v>0</v>
      </c>
      <c r="AH35" s="201">
        <f t="shared" si="196"/>
        <v>0</v>
      </c>
      <c r="AI35" s="199">
        <f>_xlfn.XLOOKUP(A35,'2.0SASA'!$A:$A,'2.0SASA'!$U:$U,"",0)</f>
        <v>40</v>
      </c>
      <c r="AJ35" s="200">
        <f t="shared" si="197"/>
        <v>1.8045112781954886</v>
      </c>
      <c r="AK35" s="201">
        <f t="shared" si="198"/>
        <v>0</v>
      </c>
      <c r="AL35" s="199">
        <f>_xlfn.XLOOKUP(A35,'2.0SASA'!$A:$A,'2.0SASA'!$Q:$Q,"",0)</f>
        <v>60</v>
      </c>
      <c r="AM35" s="200">
        <f t="shared" si="199"/>
        <v>2.8985507246376812</v>
      </c>
      <c r="AN35" s="201">
        <f t="shared" si="200"/>
        <v>4</v>
      </c>
      <c r="AO35" s="199">
        <f>_xlfn.XLOOKUP(A35,'2.0SASA'!$A:$A,'2.0SASA'!$AD:$AD,"",0)</f>
        <v>30</v>
      </c>
      <c r="AP35" s="200">
        <f t="shared" si="201"/>
        <v>1.5584415584415585</v>
      </c>
      <c r="AQ35" s="209">
        <v>0</v>
      </c>
      <c r="AR35" s="62"/>
      <c r="AS35" s="62"/>
      <c r="AU35" s="62"/>
    </row>
    <row r="36" spans="1:48" s="57" customFormat="1" ht="17.25" customHeight="1">
      <c r="A36" s="198" t="s">
        <v>201</v>
      </c>
      <c r="B36" s="199">
        <f>_xlfn.XLOOKUP(A36,'2.0SASA'!$A:$A,'2.0SASA'!$C:$C,"",0)</f>
        <v>93</v>
      </c>
      <c r="C36" s="200">
        <f t="shared" si="176"/>
        <v>8.5912240184757511</v>
      </c>
      <c r="D36" s="201">
        <f t="shared" si="177"/>
        <v>8</v>
      </c>
      <c r="E36" s="199">
        <f>_xlfn.XLOOKUP(A36,'2.0SASA'!$A:$A,'2.0SASA'!$B:$B,"",0)</f>
        <v>0</v>
      </c>
      <c r="F36" s="200">
        <f t="shared" si="178"/>
        <v>0</v>
      </c>
      <c r="G36" s="201">
        <f t="shared" si="179"/>
        <v>0</v>
      </c>
      <c r="H36" s="199">
        <f>_xlfn.XLOOKUP(A36,'2.0SASA'!$A:$A,'2.0SASA'!$J:$J,"",0)</f>
        <v>80</v>
      </c>
      <c r="I36" s="200">
        <f t="shared" si="180"/>
        <v>7.3394495412844041</v>
      </c>
      <c r="J36" s="201">
        <f t="shared" si="181"/>
        <v>8</v>
      </c>
      <c r="K36" s="199">
        <f>_xlfn.XLOOKUP(A36,'2.0SASA'!$A:$A,'2.0SASA'!$K:$K,"",0)</f>
        <v>90</v>
      </c>
      <c r="L36" s="200">
        <f t="shared" si="182"/>
        <v>9.2307692307692299</v>
      </c>
      <c r="M36" s="201">
        <f t="shared" si="183"/>
        <v>10</v>
      </c>
      <c r="N36" s="199">
        <f>_xlfn.XLOOKUP(A36,'2.0SASA'!$A:$A,'2.0SASA'!$G:$G,"",0)</f>
        <v>0</v>
      </c>
      <c r="O36" s="200">
        <f t="shared" si="184"/>
        <v>0</v>
      </c>
      <c r="P36" s="201">
        <f t="shared" si="185"/>
        <v>0</v>
      </c>
      <c r="Q36" s="199">
        <f>_xlfn.XLOOKUP(A36,'2.0SASA'!$A:$A,'2.0SASA'!$I:$I,"",0)</f>
        <v>0</v>
      </c>
      <c r="R36" s="200">
        <f t="shared" si="186"/>
        <v>0</v>
      </c>
      <c r="S36" s="201">
        <f t="shared" si="187"/>
        <v>0</v>
      </c>
      <c r="T36" s="199">
        <f>_xlfn.XLOOKUP(A36,'2.0SASA'!$A:$A,'2.0SASA'!$F:$F,"",0)</f>
        <v>0</v>
      </c>
      <c r="U36" s="200">
        <f t="shared" si="188"/>
        <v>0</v>
      </c>
      <c r="V36" s="201">
        <f t="shared" si="189"/>
        <v>0</v>
      </c>
      <c r="W36" s="199">
        <f>_xlfn.XLOOKUP(A36,'2.0SASA'!$A:$A,'2.0SASA'!$H:$H,"",0)</f>
        <v>40</v>
      </c>
      <c r="X36" s="200">
        <f t="shared" si="190"/>
        <v>3.5</v>
      </c>
      <c r="Y36" s="201">
        <f t="shared" si="191"/>
        <v>4</v>
      </c>
      <c r="Z36" s="199">
        <f>_xlfn.XLOOKUP(A36,'2.0SASA'!$A:$A,'2.0SASA'!$D:$D,"",0)</f>
        <v>0</v>
      </c>
      <c r="AA36" s="200">
        <f t="shared" si="192"/>
        <v>0</v>
      </c>
      <c r="AB36" s="201">
        <f t="shared" si="203"/>
        <v>0</v>
      </c>
      <c r="AC36" s="199">
        <f>_xlfn.XLOOKUP(A36,'2.0SASA'!$A:$A,'2.0SASA'!$E:$E,"",0)</f>
        <v>0</v>
      </c>
      <c r="AD36" s="200">
        <f t="shared" si="193"/>
        <v>0</v>
      </c>
      <c r="AE36" s="201">
        <f t="shared" si="194"/>
        <v>0</v>
      </c>
      <c r="AF36" s="199">
        <f>_xlfn.XLOOKUP(A36,'2.0SASA'!$A:$A,'2.0SASA'!$V:$V,"",0)</f>
        <v>0</v>
      </c>
      <c r="AG36" s="200">
        <f t="shared" si="195"/>
        <v>0</v>
      </c>
      <c r="AH36" s="201">
        <f t="shared" si="196"/>
        <v>0</v>
      </c>
      <c r="AI36" s="199">
        <f>_xlfn.XLOOKUP(A36,'2.0SASA'!$A:$A,'2.0SASA'!$U:$U,"",0)</f>
        <v>90</v>
      </c>
      <c r="AJ36" s="200">
        <f t="shared" si="197"/>
        <v>4.0601503759398501</v>
      </c>
      <c r="AK36" s="201">
        <f t="shared" si="198"/>
        <v>4</v>
      </c>
      <c r="AL36" s="199">
        <f>_xlfn.XLOOKUP(A36,'2.0SASA'!$A:$A,'2.0SASA'!$Q:$Q,"",0)</f>
        <v>90</v>
      </c>
      <c r="AM36" s="200">
        <f t="shared" si="199"/>
        <v>4.3478260869565215</v>
      </c>
      <c r="AN36" s="201">
        <f t="shared" si="200"/>
        <v>4</v>
      </c>
      <c r="AO36" s="199">
        <f>_xlfn.XLOOKUP(A36,'2.0SASA'!$A:$A,'2.0SASA'!$AD:$AD,"",0)</f>
        <v>0</v>
      </c>
      <c r="AP36" s="200">
        <f t="shared" si="201"/>
        <v>0</v>
      </c>
      <c r="AQ36" s="201">
        <f t="shared" si="202"/>
        <v>0</v>
      </c>
      <c r="AR36" s="62"/>
      <c r="AS36" s="62"/>
      <c r="AU36" s="62"/>
    </row>
    <row r="37" spans="1:48" s="57" customFormat="1" ht="17.25" customHeight="1">
      <c r="A37" s="198" t="s">
        <v>210</v>
      </c>
      <c r="B37" s="199">
        <f>_xlfn.XLOOKUP(A37,'2.0SASA'!$A:$A,'2.0SASA'!$C:$C,"",0)</f>
        <v>0</v>
      </c>
      <c r="C37" s="200">
        <f t="shared" si="176"/>
        <v>0</v>
      </c>
      <c r="D37" s="201">
        <f t="shared" si="177"/>
        <v>0</v>
      </c>
      <c r="E37" s="199">
        <f>_xlfn.XLOOKUP(A37,'2.0SASA'!$A:$A,'2.0SASA'!$B:$B,"",0)</f>
        <v>0</v>
      </c>
      <c r="F37" s="200">
        <f t="shared" si="178"/>
        <v>0</v>
      </c>
      <c r="G37" s="201">
        <f t="shared" si="179"/>
        <v>0</v>
      </c>
      <c r="H37" s="199">
        <f>_xlfn.XLOOKUP(A37,'2.0SASA'!$A:$A,'2.0SASA'!$J:$J,"",0)</f>
        <v>60</v>
      </c>
      <c r="I37" s="200">
        <f t="shared" si="180"/>
        <v>5.5045871559633026</v>
      </c>
      <c r="J37" s="209">
        <v>4</v>
      </c>
      <c r="K37" s="199">
        <f>_xlfn.XLOOKUP(A37,'2.0SASA'!$A:$A,'2.0SASA'!$K:$K,"",0)</f>
        <v>0</v>
      </c>
      <c r="L37" s="200">
        <f t="shared" si="182"/>
        <v>0</v>
      </c>
      <c r="M37" s="201">
        <f t="shared" si="183"/>
        <v>0</v>
      </c>
      <c r="N37" s="199">
        <f>_xlfn.XLOOKUP(A37,'2.0SASA'!$A:$A,'2.0SASA'!$G:$G,"",0)</f>
        <v>0</v>
      </c>
      <c r="O37" s="200">
        <f t="shared" si="184"/>
        <v>0</v>
      </c>
      <c r="P37" s="201">
        <f t="shared" si="185"/>
        <v>0</v>
      </c>
      <c r="Q37" s="199">
        <f>_xlfn.XLOOKUP(A37,'2.0SASA'!$A:$A,'2.0SASA'!$I:$I,"",0)</f>
        <v>0</v>
      </c>
      <c r="R37" s="200">
        <f t="shared" si="186"/>
        <v>0</v>
      </c>
      <c r="S37" s="201">
        <f t="shared" si="187"/>
        <v>0</v>
      </c>
      <c r="T37" s="199">
        <f>_xlfn.XLOOKUP(A37,'2.0SASA'!$A:$A,'2.0SASA'!$F:$F,"",0)</f>
        <v>80</v>
      </c>
      <c r="U37" s="200">
        <f t="shared" si="188"/>
        <v>8</v>
      </c>
      <c r="V37" s="201">
        <f t="shared" si="189"/>
        <v>8</v>
      </c>
      <c r="W37" s="199">
        <f>_xlfn.XLOOKUP(A37,'2.0SASA'!$A:$A,'2.0SASA'!$H:$H,"",0)</f>
        <v>80</v>
      </c>
      <c r="X37" s="200">
        <f t="shared" si="190"/>
        <v>7</v>
      </c>
      <c r="Y37" s="201">
        <f t="shared" si="191"/>
        <v>8</v>
      </c>
      <c r="Z37" s="199">
        <f>_xlfn.XLOOKUP(A37,'2.0SASA'!$A:$A,'2.0SASA'!$D:$D,"",0)</f>
        <v>80</v>
      </c>
      <c r="AA37" s="200">
        <f t="shared" si="192"/>
        <v>7.7575757575757578</v>
      </c>
      <c r="AB37" s="201">
        <f t="shared" si="203"/>
        <v>8</v>
      </c>
      <c r="AC37" s="199">
        <f>_xlfn.XLOOKUP(A37,'2.0SASA'!$A:$A,'2.0SASA'!$E:$E,"",0)</f>
        <v>0</v>
      </c>
      <c r="AD37" s="200">
        <f t="shared" si="193"/>
        <v>0</v>
      </c>
      <c r="AE37" s="201">
        <f t="shared" si="194"/>
        <v>0</v>
      </c>
      <c r="AF37" s="199">
        <f>_xlfn.XLOOKUP(A37,'2.0SASA'!$A:$A,'2.0SASA'!$V:$V,"",0)</f>
        <v>0</v>
      </c>
      <c r="AG37" s="200">
        <f t="shared" si="195"/>
        <v>0</v>
      </c>
      <c r="AH37" s="201">
        <f t="shared" si="196"/>
        <v>0</v>
      </c>
      <c r="AI37" s="199">
        <f>_xlfn.XLOOKUP(A37,'2.0SASA'!$A:$A,'2.0SASA'!$U:$U,"",0)</f>
        <v>0</v>
      </c>
      <c r="AJ37" s="200">
        <f t="shared" si="197"/>
        <v>0</v>
      </c>
      <c r="AK37" s="201">
        <f t="shared" si="198"/>
        <v>0</v>
      </c>
      <c r="AL37" s="199">
        <f>_xlfn.XLOOKUP(A37,'2.0SASA'!$A:$A,'2.0SASA'!$Q:$Q,"",0)</f>
        <v>70</v>
      </c>
      <c r="AM37" s="200">
        <f t="shared" si="199"/>
        <v>3.3816425120772946</v>
      </c>
      <c r="AN37" s="201">
        <f t="shared" si="200"/>
        <v>4</v>
      </c>
      <c r="AO37" s="199">
        <f>_xlfn.XLOOKUP(A37,'2.0SASA'!$A:$A,'2.0SASA'!$AD:$AD,"",0)</f>
        <v>50</v>
      </c>
      <c r="AP37" s="200">
        <f t="shared" si="201"/>
        <v>2.5974025974025974</v>
      </c>
      <c r="AQ37" s="201">
        <f t="shared" si="202"/>
        <v>4</v>
      </c>
      <c r="AR37" s="280"/>
      <c r="AS37" s="280"/>
      <c r="AT37" s="66"/>
      <c r="AU37" s="62"/>
    </row>
    <row r="38" spans="1:48" s="57" customFormat="1" ht="17.25" customHeight="1">
      <c r="A38" s="198" t="s">
        <v>218</v>
      </c>
      <c r="B38" s="199">
        <f>_xlfn.XLOOKUP(A38,'2.0SASA'!$A:$A,'2.0SASA'!$C:$C,"",0)</f>
        <v>40</v>
      </c>
      <c r="C38" s="200">
        <f t="shared" si="176"/>
        <v>3.695150115473441</v>
      </c>
      <c r="D38" s="201">
        <f t="shared" si="177"/>
        <v>4</v>
      </c>
      <c r="E38" s="199">
        <f>_xlfn.XLOOKUP(A38,'2.0SASA'!$A:$A,'2.0SASA'!$B:$B,"",0)</f>
        <v>0</v>
      </c>
      <c r="F38" s="200">
        <f t="shared" si="178"/>
        <v>0</v>
      </c>
      <c r="G38" s="201">
        <f t="shared" si="179"/>
        <v>0</v>
      </c>
      <c r="H38" s="199">
        <f>_xlfn.XLOOKUP(A38,'2.0SASA'!$A:$A,'2.0SASA'!$J:$J,"",0)</f>
        <v>40</v>
      </c>
      <c r="I38" s="200">
        <f t="shared" si="180"/>
        <v>3.669724770642202</v>
      </c>
      <c r="J38" s="201">
        <f t="shared" si="181"/>
        <v>4</v>
      </c>
      <c r="K38" s="199">
        <f>_xlfn.XLOOKUP(A38,'2.0SASA'!$A:$A,'2.0SASA'!$K:$K,"",0)</f>
        <v>40</v>
      </c>
      <c r="L38" s="200">
        <f t="shared" si="182"/>
        <v>4.1025641025641022</v>
      </c>
      <c r="M38" s="201">
        <f t="shared" si="183"/>
        <v>4</v>
      </c>
      <c r="N38" s="199">
        <f>_xlfn.XLOOKUP(A38,'2.0SASA'!$A:$A,'2.0SASA'!$G:$G,"",0)</f>
        <v>0</v>
      </c>
      <c r="O38" s="200">
        <f t="shared" si="184"/>
        <v>0</v>
      </c>
      <c r="P38" s="201">
        <f t="shared" si="185"/>
        <v>0</v>
      </c>
      <c r="Q38" s="199">
        <f>_xlfn.XLOOKUP(A38,'2.0SASA'!$A:$A,'2.0SASA'!$I:$I,"",0)</f>
        <v>0</v>
      </c>
      <c r="R38" s="200">
        <f t="shared" si="186"/>
        <v>0</v>
      </c>
      <c r="S38" s="201">
        <f t="shared" si="187"/>
        <v>0</v>
      </c>
      <c r="T38" s="199">
        <f>_xlfn.XLOOKUP(A38,'2.0SASA'!$A:$A,'2.0SASA'!$F:$F,"",0)</f>
        <v>20</v>
      </c>
      <c r="U38" s="200">
        <f t="shared" si="188"/>
        <v>2</v>
      </c>
      <c r="V38" s="201">
        <f t="shared" si="189"/>
        <v>0</v>
      </c>
      <c r="W38" s="199">
        <f>_xlfn.XLOOKUP(A38,'2.0SASA'!$A:$A,'2.0SASA'!$H:$H,"",0)</f>
        <v>60</v>
      </c>
      <c r="X38" s="200">
        <f t="shared" si="190"/>
        <v>5.25</v>
      </c>
      <c r="Y38" s="201">
        <f t="shared" si="191"/>
        <v>6</v>
      </c>
      <c r="Z38" s="199">
        <f>_xlfn.XLOOKUP(A38,'2.0SASA'!$A:$A,'2.0SASA'!$D:$D,"",0)</f>
        <v>60</v>
      </c>
      <c r="AA38" s="200">
        <f t="shared" si="192"/>
        <v>5.8181818181818183</v>
      </c>
      <c r="AB38" s="201">
        <f t="shared" si="203"/>
        <v>6</v>
      </c>
      <c r="AC38" s="199">
        <f>_xlfn.XLOOKUP(A38,'2.0SASA'!$A:$A,'2.0SASA'!$E:$E,"",0)</f>
        <v>60</v>
      </c>
      <c r="AD38" s="200">
        <f t="shared" si="193"/>
        <v>5.806451612903226</v>
      </c>
      <c r="AE38" s="201">
        <f t="shared" si="194"/>
        <v>6</v>
      </c>
      <c r="AF38" s="199">
        <f>_xlfn.XLOOKUP(A38,'2.0SASA'!$A:$A,'2.0SASA'!$V:$V,"",0)</f>
        <v>0</v>
      </c>
      <c r="AG38" s="200">
        <f t="shared" si="195"/>
        <v>0</v>
      </c>
      <c r="AH38" s="201">
        <f t="shared" si="196"/>
        <v>0</v>
      </c>
      <c r="AI38" s="199">
        <f>_xlfn.XLOOKUP(A38,'2.0SASA'!$A:$A,'2.0SASA'!$U:$U,"",0)</f>
        <v>10</v>
      </c>
      <c r="AJ38" s="200">
        <f t="shared" si="197"/>
        <v>0.45112781954887216</v>
      </c>
      <c r="AK38" s="201">
        <f t="shared" si="198"/>
        <v>0</v>
      </c>
      <c r="AL38" s="199">
        <f>_xlfn.XLOOKUP(A38,'2.0SASA'!$A:$A,'2.0SASA'!$Q:$Q,"",0)</f>
        <v>0</v>
      </c>
      <c r="AM38" s="200">
        <f t="shared" si="199"/>
        <v>0</v>
      </c>
      <c r="AN38" s="201">
        <f t="shared" si="200"/>
        <v>0</v>
      </c>
      <c r="AO38" s="199">
        <f>_xlfn.XLOOKUP(A38,'2.0SASA'!$A:$A,'2.0SASA'!$AD:$AD,"",0)</f>
        <v>0</v>
      </c>
      <c r="AP38" s="200">
        <f t="shared" si="201"/>
        <v>0</v>
      </c>
      <c r="AQ38" s="201">
        <f t="shared" si="202"/>
        <v>0</v>
      </c>
      <c r="AR38" s="280"/>
      <c r="AS38" s="280"/>
      <c r="AT38" s="67"/>
      <c r="AU38" s="280"/>
      <c r="AV38" s="66"/>
    </row>
    <row r="39" spans="1:48" s="57" customFormat="1" ht="17.25" customHeight="1">
      <c r="A39" s="198" t="s">
        <v>225</v>
      </c>
      <c r="B39" s="199">
        <f>_xlfn.XLOOKUP(A39,'2.0SASA'!$A:$A,'2.0SASA'!$C:$C,"",0)</f>
        <v>30</v>
      </c>
      <c r="C39" s="200">
        <f t="shared" si="176"/>
        <v>2.7713625866050808</v>
      </c>
      <c r="D39" s="201">
        <f t="shared" si="177"/>
        <v>4</v>
      </c>
      <c r="E39" s="199">
        <f>_xlfn.XLOOKUP(A39,'2.0SASA'!$A:$A,'2.0SASA'!$B:$B,"",0)</f>
        <v>0</v>
      </c>
      <c r="F39" s="200">
        <f t="shared" si="178"/>
        <v>0</v>
      </c>
      <c r="G39" s="201">
        <f t="shared" si="179"/>
        <v>0</v>
      </c>
      <c r="H39" s="199">
        <f>_xlfn.XLOOKUP(A39,'2.0SASA'!$A:$A,'2.0SASA'!$J:$J,"",0)</f>
        <v>0</v>
      </c>
      <c r="I39" s="200">
        <f t="shared" si="180"/>
        <v>0</v>
      </c>
      <c r="J39" s="201">
        <f t="shared" si="181"/>
        <v>0</v>
      </c>
      <c r="K39" s="199">
        <f>_xlfn.XLOOKUP(A39,'2.0SASA'!$A:$A,'2.0SASA'!$K:$K,"",0)</f>
        <v>20</v>
      </c>
      <c r="L39" s="200">
        <f t="shared" si="182"/>
        <v>2.0512820512820511</v>
      </c>
      <c r="M39" s="201">
        <f t="shared" si="183"/>
        <v>0</v>
      </c>
      <c r="N39" s="199">
        <f>_xlfn.XLOOKUP(A39,'2.0SASA'!$A:$A,'2.0SASA'!$G:$G,"",0)</f>
        <v>0</v>
      </c>
      <c r="O39" s="200">
        <f t="shared" si="184"/>
        <v>0</v>
      </c>
      <c r="P39" s="201">
        <f t="shared" si="185"/>
        <v>0</v>
      </c>
      <c r="Q39" s="199">
        <f>_xlfn.XLOOKUP(A39,'2.0SASA'!$A:$A,'2.0SASA'!$I:$I,"",0)</f>
        <v>0</v>
      </c>
      <c r="R39" s="200">
        <f t="shared" si="186"/>
        <v>0</v>
      </c>
      <c r="S39" s="201">
        <f t="shared" si="187"/>
        <v>0</v>
      </c>
      <c r="T39" s="199">
        <f>_xlfn.XLOOKUP(A39,'2.0SASA'!$A:$A,'2.0SASA'!$F:$F,"",0)</f>
        <v>0</v>
      </c>
      <c r="U39" s="200">
        <f t="shared" si="188"/>
        <v>0</v>
      </c>
      <c r="V39" s="201">
        <f t="shared" si="189"/>
        <v>0</v>
      </c>
      <c r="W39" s="199">
        <f>_xlfn.XLOOKUP(A39,'2.0SASA'!$A:$A,'2.0SASA'!$H:$H,"",0)</f>
        <v>50</v>
      </c>
      <c r="X39" s="200">
        <f t="shared" si="190"/>
        <v>4.375</v>
      </c>
      <c r="Y39" s="201">
        <f t="shared" si="191"/>
        <v>4</v>
      </c>
      <c r="Z39" s="199">
        <f>_xlfn.XLOOKUP(A39,'2.0SASA'!$A:$A,'2.0SASA'!$D:$D,"",0)</f>
        <v>50</v>
      </c>
      <c r="AA39" s="200">
        <f t="shared" si="192"/>
        <v>4.8484848484848486</v>
      </c>
      <c r="AB39" s="209">
        <v>6</v>
      </c>
      <c r="AC39" s="199">
        <f>_xlfn.XLOOKUP(A39,'2.0SASA'!$A:$A,'2.0SASA'!$E:$E,"",0)</f>
        <v>50</v>
      </c>
      <c r="AD39" s="200">
        <f t="shared" si="193"/>
        <v>4.838709677419355</v>
      </c>
      <c r="AE39" s="209">
        <v>6</v>
      </c>
      <c r="AF39" s="199">
        <f>_xlfn.XLOOKUP(A39,'2.0SASA'!$A:$A,'2.0SASA'!$V:$V,"",0)</f>
        <v>0</v>
      </c>
      <c r="AG39" s="200">
        <f t="shared" si="195"/>
        <v>0</v>
      </c>
      <c r="AH39" s="201">
        <f t="shared" si="196"/>
        <v>0</v>
      </c>
      <c r="AI39" s="199">
        <f>_xlfn.XLOOKUP(A39,'2.0SASA'!$A:$A,'2.0SASA'!$U:$U,"",0)</f>
        <v>10</v>
      </c>
      <c r="AJ39" s="200">
        <f t="shared" si="197"/>
        <v>0.45112781954887216</v>
      </c>
      <c r="AK39" s="201">
        <f t="shared" si="198"/>
        <v>0</v>
      </c>
      <c r="AL39" s="199">
        <f>_xlfn.XLOOKUP(A39,'2.0SASA'!$A:$A,'2.0SASA'!$Q:$Q,"",0)</f>
        <v>10</v>
      </c>
      <c r="AM39" s="200">
        <f t="shared" si="199"/>
        <v>0.48309178743961351</v>
      </c>
      <c r="AN39" s="201">
        <f t="shared" si="200"/>
        <v>0</v>
      </c>
      <c r="AO39" s="199">
        <f>_xlfn.XLOOKUP(A39,'2.0SASA'!$A:$A,'2.0SASA'!$AD:$AD,"",0)</f>
        <v>0</v>
      </c>
      <c r="AP39" s="200">
        <f t="shared" si="201"/>
        <v>0</v>
      </c>
      <c r="AQ39" s="201">
        <f t="shared" si="202"/>
        <v>0</v>
      </c>
      <c r="AU39" s="280"/>
      <c r="AV39" s="67"/>
    </row>
    <row r="40" spans="1:48" s="57" customFormat="1" ht="17.25" customHeight="1">
      <c r="A40" s="198" t="s">
        <v>231</v>
      </c>
      <c r="B40" s="199">
        <f>_xlfn.XLOOKUP(A40,'2.0SASA'!$A:$A,'2.0SASA'!$C:$C,"",0)</f>
        <v>0</v>
      </c>
      <c r="C40" s="200">
        <f t="shared" si="176"/>
        <v>0</v>
      </c>
      <c r="D40" s="201">
        <f t="shared" si="177"/>
        <v>0</v>
      </c>
      <c r="E40" s="199">
        <f>_xlfn.XLOOKUP(A40,'2.0SASA'!$A:$A,'2.0SASA'!$B:$B,"",0)</f>
        <v>0</v>
      </c>
      <c r="F40" s="200">
        <f t="shared" si="178"/>
        <v>0</v>
      </c>
      <c r="G40" s="201">
        <f t="shared" si="179"/>
        <v>0</v>
      </c>
      <c r="H40" s="199">
        <f>_xlfn.XLOOKUP(A40,'2.0SASA'!$A:$A,'2.0SASA'!$J:$J,"",0)</f>
        <v>30</v>
      </c>
      <c r="I40" s="200">
        <f t="shared" si="180"/>
        <v>2.7522935779816513</v>
      </c>
      <c r="J40" s="201">
        <f t="shared" si="181"/>
        <v>4</v>
      </c>
      <c r="K40" s="199">
        <f>_xlfn.XLOOKUP(A40,'2.0SASA'!$A:$A,'2.0SASA'!$K:$K,"",0)</f>
        <v>10</v>
      </c>
      <c r="L40" s="200">
        <f t="shared" si="182"/>
        <v>1.0256410256410255</v>
      </c>
      <c r="M40" s="201">
        <f t="shared" si="183"/>
        <v>0</v>
      </c>
      <c r="N40" s="199">
        <f>_xlfn.XLOOKUP(A40,'2.0SASA'!$A:$A,'2.0SASA'!$G:$G,"",0)</f>
        <v>0</v>
      </c>
      <c r="O40" s="200">
        <f t="shared" si="184"/>
        <v>0</v>
      </c>
      <c r="P40" s="201">
        <f t="shared" si="185"/>
        <v>0</v>
      </c>
      <c r="Q40" s="199">
        <f>_xlfn.XLOOKUP(A40,'2.0SASA'!$A:$A,'2.0SASA'!$I:$I,"",0)</f>
        <v>0</v>
      </c>
      <c r="R40" s="200">
        <f t="shared" si="186"/>
        <v>0</v>
      </c>
      <c r="S40" s="201">
        <f t="shared" si="187"/>
        <v>0</v>
      </c>
      <c r="T40" s="199">
        <f>_xlfn.XLOOKUP(A40,'2.0SASA'!$A:$A,'2.0SASA'!$F:$F,"",0)</f>
        <v>20</v>
      </c>
      <c r="U40" s="200">
        <f t="shared" si="188"/>
        <v>2</v>
      </c>
      <c r="V40" s="201">
        <f t="shared" si="189"/>
        <v>0</v>
      </c>
      <c r="W40" s="199">
        <f>_xlfn.XLOOKUP(A40,'2.0SASA'!$A:$A,'2.0SASA'!$H:$H,"",0)</f>
        <v>80</v>
      </c>
      <c r="X40" s="200">
        <f t="shared" si="190"/>
        <v>7</v>
      </c>
      <c r="Y40" s="201">
        <f t="shared" si="191"/>
        <v>8</v>
      </c>
      <c r="Z40" s="199">
        <f>_xlfn.XLOOKUP(A40,'2.0SASA'!$A:$A,'2.0SASA'!$D:$D,"",0)</f>
        <v>90</v>
      </c>
      <c r="AA40" s="200">
        <f t="shared" si="192"/>
        <v>8.7272727272727266</v>
      </c>
      <c r="AB40" s="209">
        <v>8</v>
      </c>
      <c r="AC40" s="199">
        <f>_xlfn.XLOOKUP(A40,'2.0SASA'!$A:$A,'2.0SASA'!$E:$E,"",0)</f>
        <v>70</v>
      </c>
      <c r="AD40" s="200">
        <f t="shared" si="193"/>
        <v>6.774193548387097</v>
      </c>
      <c r="AE40" s="209">
        <v>8</v>
      </c>
      <c r="AF40" s="199">
        <f>_xlfn.XLOOKUP(A40,'2.0SASA'!$A:$A,'2.0SASA'!$V:$V,"",0)</f>
        <v>0</v>
      </c>
      <c r="AG40" s="200">
        <f t="shared" si="195"/>
        <v>0</v>
      </c>
      <c r="AH40" s="201">
        <f t="shared" si="196"/>
        <v>0</v>
      </c>
      <c r="AI40" s="199">
        <f>_xlfn.XLOOKUP(A40,'2.0SASA'!$A:$A,'2.0SASA'!$U:$U,"",0)</f>
        <v>20</v>
      </c>
      <c r="AJ40" s="200">
        <f t="shared" si="197"/>
        <v>0.90225563909774431</v>
      </c>
      <c r="AK40" s="201">
        <f t="shared" si="198"/>
        <v>0</v>
      </c>
      <c r="AL40" s="199">
        <f>_xlfn.XLOOKUP(A40,'2.0SASA'!$A:$A,'2.0SASA'!$Q:$Q,"",0)</f>
        <v>90</v>
      </c>
      <c r="AM40" s="200">
        <f t="shared" si="199"/>
        <v>4.3478260869565215</v>
      </c>
      <c r="AN40" s="201">
        <f t="shared" si="200"/>
        <v>4</v>
      </c>
      <c r="AO40" s="199">
        <f>_xlfn.XLOOKUP(A40,'2.0SASA'!$A:$A,'2.0SASA'!$AD:$AD,"",0)</f>
        <v>0</v>
      </c>
      <c r="AP40" s="200">
        <f t="shared" si="201"/>
        <v>0</v>
      </c>
      <c r="AQ40" s="201">
        <f t="shared" si="202"/>
        <v>0</v>
      </c>
    </row>
    <row r="41" spans="1:48" s="58" customFormat="1" ht="17.25" customHeight="1">
      <c r="A41" s="202" t="s">
        <v>399</v>
      </c>
      <c r="B41" s="204">
        <f>SUM(B34:B40)</f>
        <v>283</v>
      </c>
      <c r="C41" s="204">
        <f t="shared" ref="C41:AQ41" si="204">SUM(C34:C40)</f>
        <v>26.143187066974598</v>
      </c>
      <c r="D41" s="204">
        <f t="shared" si="204"/>
        <v>26</v>
      </c>
      <c r="E41" s="204">
        <f t="shared" si="204"/>
        <v>10</v>
      </c>
      <c r="F41" s="204">
        <f t="shared" si="204"/>
        <v>1</v>
      </c>
      <c r="G41" s="204">
        <f t="shared" si="204"/>
        <v>0</v>
      </c>
      <c r="H41" s="204">
        <f t="shared" si="204"/>
        <v>330</v>
      </c>
      <c r="I41" s="204">
        <f t="shared" si="204"/>
        <v>30.275229357798164</v>
      </c>
      <c r="J41" s="204">
        <f t="shared" si="204"/>
        <v>32</v>
      </c>
      <c r="K41" s="204">
        <f t="shared" si="204"/>
        <v>250</v>
      </c>
      <c r="L41" s="204">
        <f t="shared" si="204"/>
        <v>25.641025641025639</v>
      </c>
      <c r="M41" s="204">
        <f t="shared" si="204"/>
        <v>24</v>
      </c>
      <c r="N41" s="204">
        <f t="shared" si="204"/>
        <v>0</v>
      </c>
      <c r="O41" s="204">
        <f t="shared" si="204"/>
        <v>0</v>
      </c>
      <c r="P41" s="204">
        <f t="shared" si="204"/>
        <v>0</v>
      </c>
      <c r="Q41" s="204">
        <f t="shared" si="204"/>
        <v>0</v>
      </c>
      <c r="R41" s="204">
        <f t="shared" si="204"/>
        <v>0</v>
      </c>
      <c r="S41" s="204">
        <f t="shared" si="204"/>
        <v>0</v>
      </c>
      <c r="T41" s="204">
        <f t="shared" si="204"/>
        <v>180</v>
      </c>
      <c r="U41" s="204">
        <f t="shared" si="204"/>
        <v>18</v>
      </c>
      <c r="V41" s="204">
        <f t="shared" si="204"/>
        <v>16</v>
      </c>
      <c r="W41" s="204">
        <f t="shared" si="204"/>
        <v>400</v>
      </c>
      <c r="X41" s="204">
        <f t="shared" si="204"/>
        <v>35</v>
      </c>
      <c r="Y41" s="204">
        <f t="shared" si="204"/>
        <v>40</v>
      </c>
      <c r="Z41" s="204">
        <f t="shared" si="204"/>
        <v>360</v>
      </c>
      <c r="AA41" s="204">
        <f t="shared" si="204"/>
        <v>34.909090909090907</v>
      </c>
      <c r="AB41" s="204">
        <f t="shared" si="204"/>
        <v>38</v>
      </c>
      <c r="AC41" s="204">
        <f t="shared" si="204"/>
        <v>190</v>
      </c>
      <c r="AD41" s="204">
        <f t="shared" si="204"/>
        <v>18.387096774193548</v>
      </c>
      <c r="AE41" s="204">
        <f t="shared" si="204"/>
        <v>20</v>
      </c>
      <c r="AF41" s="204">
        <f t="shared" si="204"/>
        <v>0</v>
      </c>
      <c r="AG41" s="204">
        <f t="shared" si="204"/>
        <v>0</v>
      </c>
      <c r="AH41" s="204">
        <f t="shared" si="204"/>
        <v>0</v>
      </c>
      <c r="AI41" s="204">
        <f t="shared" si="204"/>
        <v>170</v>
      </c>
      <c r="AJ41" s="204">
        <f t="shared" si="204"/>
        <v>7.6691729323308273</v>
      </c>
      <c r="AK41" s="204">
        <f t="shared" si="204"/>
        <v>4</v>
      </c>
      <c r="AL41" s="204">
        <f t="shared" si="204"/>
        <v>380</v>
      </c>
      <c r="AM41" s="204">
        <f t="shared" si="204"/>
        <v>18.357487922705314</v>
      </c>
      <c r="AN41" s="204">
        <f t="shared" si="204"/>
        <v>20</v>
      </c>
      <c r="AO41" s="204">
        <f t="shared" si="204"/>
        <v>100</v>
      </c>
      <c r="AP41" s="204">
        <f t="shared" si="204"/>
        <v>5.1948051948051948</v>
      </c>
      <c r="AQ41" s="204">
        <f t="shared" si="204"/>
        <v>4</v>
      </c>
    </row>
    <row r="42" spans="1:48" s="57" customFormat="1" ht="17.25" customHeight="1">
      <c r="A42" s="198" t="s">
        <v>240</v>
      </c>
      <c r="B42" s="199">
        <f>_xlfn.XLOOKUP(A42,'2.0SASA'!$A:$A,'2.0SASA'!$C:$C,"",0)</f>
        <v>10</v>
      </c>
      <c r="C42" s="200">
        <f t="shared" ref="C42:C44" si="205">B42*C$50/B$50</f>
        <v>0.92378752886836024</v>
      </c>
      <c r="D42" s="201">
        <f t="shared" ref="D42:D44" si="206">IF(C42&gt;4,ROUND(C42/2,0)*2,IF(C42&gt;2.2,4,0))</f>
        <v>0</v>
      </c>
      <c r="E42" s="199">
        <f>_xlfn.XLOOKUP(A42,'2.0SASA'!$A:$A,'2.0SASA'!$B:$B,"",0)</f>
        <v>0</v>
      </c>
      <c r="F42" s="200">
        <f t="shared" ref="F42:F44" si="207">E42*F$50/E$50</f>
        <v>0</v>
      </c>
      <c r="G42" s="201">
        <f t="shared" ref="G42:G44" si="208">IF(F42&gt;4,ROUND(F42/2,0)*2,IF(F42&gt;2.2,4,0))</f>
        <v>0</v>
      </c>
      <c r="H42" s="199">
        <f>_xlfn.XLOOKUP(A42,'2.0SASA'!$A:$A,'2.0SASA'!$J:$J,"",0)</f>
        <v>70</v>
      </c>
      <c r="I42" s="200">
        <f t="shared" ref="I42:I44" si="209">H42*I$50/H$50</f>
        <v>6.4220183486238529</v>
      </c>
      <c r="J42" s="201">
        <f t="shared" ref="J42:J44" si="210">IF(I42&gt;4,ROUND(I42/2,0)*2,IF(I42&gt;2,4,0))</f>
        <v>6</v>
      </c>
      <c r="K42" s="199">
        <f>_xlfn.XLOOKUP(A42,'2.0SASA'!$A:$A,'2.0SASA'!$K:$K,"",0)</f>
        <v>20</v>
      </c>
      <c r="L42" s="200">
        <f t="shared" ref="L42:L44" si="211">K42*L$50/K$50</f>
        <v>2.0512820512820511</v>
      </c>
      <c r="M42" s="209">
        <v>4</v>
      </c>
      <c r="N42" s="199">
        <f>_xlfn.XLOOKUP(A42,'2.0SASA'!$A:$A,'2.0SASA'!$G:$G,"",0)</f>
        <v>0</v>
      </c>
      <c r="O42" s="200">
        <f t="shared" ref="O42:O44" si="212">N42*O$50/N$50</f>
        <v>0</v>
      </c>
      <c r="P42" s="201">
        <f t="shared" ref="P42:P44" si="213">IF(O42&gt;4,ROUND(O42/2,0)*2,IF(O42&gt;2.2,4,0))</f>
        <v>0</v>
      </c>
      <c r="Q42" s="199">
        <f>_xlfn.XLOOKUP(A42,'2.0SASA'!$A:$A,'2.0SASA'!$I:$I,"",0)</f>
        <v>0</v>
      </c>
      <c r="R42" s="200">
        <f t="shared" ref="R42:R44" si="214">Q42*R$50/Q$50</f>
        <v>0</v>
      </c>
      <c r="S42" s="201">
        <f t="shared" ref="S42:S44" si="215">IF(R42&gt;4,ROUND(R42/2,0)*2,IF(R42&gt;2.2,4,0))</f>
        <v>0</v>
      </c>
      <c r="T42" s="199">
        <f>_xlfn.XLOOKUP(A42,'2.0SASA'!$A:$A,'2.0SASA'!$F:$F,"",0)</f>
        <v>0</v>
      </c>
      <c r="U42" s="200">
        <f t="shared" ref="U42:U44" si="216">T42*U$50/T$50</f>
        <v>0</v>
      </c>
      <c r="V42" s="201">
        <f t="shared" ref="V42:V44" si="217">IF(U42&gt;4,ROUND(U42/2,0)*2,IF(U42&gt;2.2,4,0))</f>
        <v>0</v>
      </c>
      <c r="W42" s="199">
        <f>_xlfn.XLOOKUP(A42,'2.0SASA'!$A:$A,'2.0SASA'!$H:$H,"",0)</f>
        <v>40</v>
      </c>
      <c r="X42" s="200">
        <f t="shared" ref="X42:X44" si="218">W42*X$50/W$50</f>
        <v>3.5</v>
      </c>
      <c r="Y42" s="201">
        <f t="shared" ref="Y42:Y44" si="219">IF(X42&gt;4,ROUND(X42/2,0)*2,IF(X42&gt;2.2,4,0))</f>
        <v>4</v>
      </c>
      <c r="Z42" s="199">
        <f>_xlfn.XLOOKUP(A42,'2.0SASA'!$A:$A,'2.0SASA'!$D:$D,"",0)</f>
        <v>20</v>
      </c>
      <c r="AA42" s="200">
        <f t="shared" ref="AA42:AA44" si="220">Z42*AA$50/Z$50</f>
        <v>1.9393939393939394</v>
      </c>
      <c r="AB42" s="201">
        <f t="shared" ref="AB42:AB44" si="221">IF(AA42&gt;4,ROUND(AA42/2,0)*2,IF(AA42&gt;2.2,4,0))</f>
        <v>0</v>
      </c>
      <c r="AC42" s="199">
        <f>_xlfn.XLOOKUP(A42,'2.0SASA'!$A:$A,'2.0SASA'!$E:$E,"",0)</f>
        <v>10</v>
      </c>
      <c r="AD42" s="200">
        <f t="shared" ref="AD42:AD44" si="222">AC42*AD$50/AC$50</f>
        <v>0.967741935483871</v>
      </c>
      <c r="AE42" s="201">
        <f t="shared" ref="AE42:AE44" si="223">IF(AD42&gt;4,ROUND(AD42/2,0)*2,IF(AD42&gt;2.2,4,0))</f>
        <v>0</v>
      </c>
      <c r="AF42" s="199">
        <f>_xlfn.XLOOKUP(A42,'2.0SASA'!$A:$A,'2.0SASA'!$V:$V,"",0)</f>
        <v>0</v>
      </c>
      <c r="AG42" s="200">
        <f t="shared" ref="AG42:AG44" si="224">AF42*AG$50/AF$50</f>
        <v>0</v>
      </c>
      <c r="AH42" s="201">
        <f t="shared" ref="AH42:AH44" si="225">IF(AG42&gt;4,ROUND(AG42/2,0)*2,IF(AG42&gt;2.2,4,0))</f>
        <v>0</v>
      </c>
      <c r="AI42" s="199">
        <f>_xlfn.XLOOKUP(A42,'2.0SASA'!$A:$A,'2.0SASA'!$U:$U,"",0)</f>
        <v>0</v>
      </c>
      <c r="AJ42" s="200">
        <f t="shared" ref="AJ42:AJ44" si="226">AI42*AJ$50/AI$50</f>
        <v>0</v>
      </c>
      <c r="AK42" s="201">
        <f t="shared" ref="AK42:AK44" si="227">IF(AJ42&gt;4,ROUND(AJ42/2,0)*2,IF(AJ42&gt;2,4,0))</f>
        <v>0</v>
      </c>
      <c r="AL42" s="199">
        <f>_xlfn.XLOOKUP(A42,'2.0SASA'!$A:$A,'2.0SASA'!$Q:$Q,"",0)</f>
        <v>30</v>
      </c>
      <c r="AM42" s="200">
        <f t="shared" ref="AM42:AM44" si="228">AL42*AM$50/AL$50</f>
        <v>1.4492753623188406</v>
      </c>
      <c r="AN42" s="201">
        <f t="shared" ref="AN42:AN44" si="229">IF(AM42&gt;4,ROUND(AM42/2,0)*2,IF(AM42&gt;2.2,4,0))</f>
        <v>0</v>
      </c>
      <c r="AO42" s="199">
        <f>_xlfn.XLOOKUP(A42,'2.0SASA'!$A:$A,'2.0SASA'!$AD:$AD,"",0)</f>
        <v>0</v>
      </c>
      <c r="AP42" s="200">
        <f t="shared" ref="AP42:AP44" si="230">AO42*AP$50/AO$50</f>
        <v>0</v>
      </c>
      <c r="AQ42" s="201">
        <f t="shared" ref="AQ42:AQ44" si="231">IF(AP42&gt;4,ROUND(AP42/2,0)*2,IF(AP42&gt;2.2,4,0))</f>
        <v>0</v>
      </c>
    </row>
    <row r="43" spans="1:48" s="57" customFormat="1" ht="17.25" customHeight="1">
      <c r="A43" s="198" t="s">
        <v>267</v>
      </c>
      <c r="B43" s="199">
        <f>_xlfn.XLOOKUP(A43,'2.0SASA'!$A:$A,'2.0SASA'!$C:$C,"",0)</f>
        <v>10</v>
      </c>
      <c r="C43" s="200">
        <f t="shared" si="205"/>
        <v>0.92378752886836024</v>
      </c>
      <c r="D43" s="201">
        <f t="shared" si="206"/>
        <v>0</v>
      </c>
      <c r="E43" s="199">
        <f>_xlfn.XLOOKUP(A43,'2.0SASA'!$A:$A,'2.0SASA'!$B:$B,"",0)</f>
        <v>10</v>
      </c>
      <c r="F43" s="200">
        <f t="shared" si="207"/>
        <v>1</v>
      </c>
      <c r="G43" s="201">
        <f t="shared" si="208"/>
        <v>0</v>
      </c>
      <c r="H43" s="199">
        <f>_xlfn.XLOOKUP(A43,'2.0SASA'!$A:$A,'2.0SASA'!$J:$J,"",0)</f>
        <v>50</v>
      </c>
      <c r="I43" s="200">
        <f t="shared" si="209"/>
        <v>4.5871559633027523</v>
      </c>
      <c r="J43" s="201">
        <f t="shared" si="210"/>
        <v>4</v>
      </c>
      <c r="K43" s="199">
        <f>_xlfn.XLOOKUP(A43,'2.0SASA'!$A:$A,'2.0SASA'!$K:$K,"",0)</f>
        <v>40</v>
      </c>
      <c r="L43" s="200">
        <f t="shared" si="211"/>
        <v>4.1025641025641022</v>
      </c>
      <c r="M43" s="201">
        <f t="shared" ref="M43:M44" si="232">IF(L43&gt;4,ROUND(L43/2,0)*2,IF(L43&gt;2.2,4,0))</f>
        <v>4</v>
      </c>
      <c r="N43" s="199">
        <f>_xlfn.XLOOKUP(A43,'2.0SASA'!$A:$A,'2.0SASA'!$G:$G,"",0)</f>
        <v>0</v>
      </c>
      <c r="O43" s="200">
        <f t="shared" si="212"/>
        <v>0</v>
      </c>
      <c r="P43" s="201">
        <f t="shared" si="213"/>
        <v>0</v>
      </c>
      <c r="Q43" s="199">
        <f>_xlfn.XLOOKUP(A43,'2.0SASA'!$A:$A,'2.0SASA'!$I:$I,"",0)</f>
        <v>0</v>
      </c>
      <c r="R43" s="200">
        <f t="shared" si="214"/>
        <v>0</v>
      </c>
      <c r="S43" s="201">
        <f t="shared" si="215"/>
        <v>0</v>
      </c>
      <c r="T43" s="199">
        <f>_xlfn.XLOOKUP(A43,'2.0SASA'!$A:$A,'2.0SASA'!$F:$F,"",0)</f>
        <v>0</v>
      </c>
      <c r="U43" s="200">
        <f t="shared" si="216"/>
        <v>0</v>
      </c>
      <c r="V43" s="201">
        <f t="shared" si="217"/>
        <v>0</v>
      </c>
      <c r="W43" s="199">
        <f>_xlfn.XLOOKUP(A43,'2.0SASA'!$A:$A,'2.0SASA'!$H:$H,"",0)</f>
        <v>50</v>
      </c>
      <c r="X43" s="200">
        <f t="shared" si="218"/>
        <v>4.375</v>
      </c>
      <c r="Y43" s="201">
        <f t="shared" si="219"/>
        <v>4</v>
      </c>
      <c r="Z43" s="199">
        <f>_xlfn.XLOOKUP(A43,'2.0SASA'!$A:$A,'2.0SASA'!$D:$D,"",0)</f>
        <v>20</v>
      </c>
      <c r="AA43" s="200">
        <f t="shared" si="220"/>
        <v>1.9393939393939394</v>
      </c>
      <c r="AB43" s="201">
        <f t="shared" si="221"/>
        <v>0</v>
      </c>
      <c r="AC43" s="199">
        <f>_xlfn.XLOOKUP(A43,'2.0SASA'!$A:$A,'2.0SASA'!$E:$E,"",0)</f>
        <v>20</v>
      </c>
      <c r="AD43" s="200">
        <f t="shared" si="222"/>
        <v>1.935483870967742</v>
      </c>
      <c r="AE43" s="201">
        <f t="shared" si="223"/>
        <v>0</v>
      </c>
      <c r="AF43" s="199">
        <f>_xlfn.XLOOKUP(A43,'2.0SASA'!$A:$A,'2.0SASA'!$V:$V,"",0)</f>
        <v>0</v>
      </c>
      <c r="AG43" s="200">
        <f t="shared" si="224"/>
        <v>0</v>
      </c>
      <c r="AH43" s="201">
        <f t="shared" si="225"/>
        <v>0</v>
      </c>
      <c r="AI43" s="199">
        <f>_xlfn.XLOOKUP(A43,'2.0SASA'!$A:$A,'2.0SASA'!$U:$U,"",0)</f>
        <v>40</v>
      </c>
      <c r="AJ43" s="200">
        <f t="shared" si="226"/>
        <v>1.8045112781954886</v>
      </c>
      <c r="AK43" s="201">
        <f t="shared" si="227"/>
        <v>0</v>
      </c>
      <c r="AL43" s="199">
        <f>_xlfn.XLOOKUP(A43,'2.0SASA'!$A:$A,'2.0SASA'!$Q:$Q,"",0)</f>
        <v>20</v>
      </c>
      <c r="AM43" s="200">
        <f t="shared" si="228"/>
        <v>0.96618357487922701</v>
      </c>
      <c r="AN43" s="201">
        <f t="shared" si="229"/>
        <v>0</v>
      </c>
      <c r="AO43" s="199">
        <f>_xlfn.XLOOKUP(A43,'2.0SASA'!$A:$A,'2.0SASA'!$AD:$AD,"",0)</f>
        <v>0</v>
      </c>
      <c r="AP43" s="200">
        <f t="shared" si="230"/>
        <v>0</v>
      </c>
      <c r="AQ43" s="201">
        <f t="shared" si="231"/>
        <v>0</v>
      </c>
    </row>
    <row r="44" spans="1:48" s="57" customFormat="1" ht="17.25" customHeight="1">
      <c r="A44" s="198" t="s">
        <v>251</v>
      </c>
      <c r="B44" s="199">
        <f>_xlfn.XLOOKUP(A44,'2.0SASA'!$A:$A,'2.0SASA'!$C:$C,"",0)</f>
        <v>0</v>
      </c>
      <c r="C44" s="200">
        <f t="shared" si="205"/>
        <v>0</v>
      </c>
      <c r="D44" s="201">
        <f t="shared" si="206"/>
        <v>0</v>
      </c>
      <c r="E44" s="199">
        <f>_xlfn.XLOOKUP(A44,'2.0SASA'!$A:$A,'2.0SASA'!$B:$B,"",0)</f>
        <v>30</v>
      </c>
      <c r="F44" s="200">
        <f t="shared" si="207"/>
        <v>3</v>
      </c>
      <c r="G44" s="201">
        <f t="shared" si="208"/>
        <v>4</v>
      </c>
      <c r="H44" s="199">
        <f>_xlfn.XLOOKUP(A44,'2.0SASA'!$A:$A,'2.0SASA'!$J:$J,"",0)</f>
        <v>0</v>
      </c>
      <c r="I44" s="200">
        <f t="shared" si="209"/>
        <v>0</v>
      </c>
      <c r="J44" s="201">
        <f t="shared" si="210"/>
        <v>0</v>
      </c>
      <c r="K44" s="199">
        <f>_xlfn.XLOOKUP(A44,'2.0SASA'!$A:$A,'2.0SASA'!$K:$K,"",0)</f>
        <v>30</v>
      </c>
      <c r="L44" s="200">
        <f t="shared" si="211"/>
        <v>3.0769230769230771</v>
      </c>
      <c r="M44" s="201">
        <f t="shared" si="232"/>
        <v>4</v>
      </c>
      <c r="N44" s="199">
        <f>_xlfn.XLOOKUP(A44,'2.0SASA'!$A:$A,'2.0SASA'!$G:$G,"",0)</f>
        <v>0</v>
      </c>
      <c r="O44" s="200">
        <f t="shared" si="212"/>
        <v>0</v>
      </c>
      <c r="P44" s="201">
        <f t="shared" si="213"/>
        <v>0</v>
      </c>
      <c r="Q44" s="199">
        <f>_xlfn.XLOOKUP(A44,'2.0SASA'!$A:$A,'2.0SASA'!$I:$I,"",0)</f>
        <v>0</v>
      </c>
      <c r="R44" s="200">
        <f t="shared" si="214"/>
        <v>0</v>
      </c>
      <c r="S44" s="201">
        <f t="shared" si="215"/>
        <v>0</v>
      </c>
      <c r="T44" s="199">
        <f>_xlfn.XLOOKUP(A44,'2.0SASA'!$A:$A,'2.0SASA'!$F:$F,"",0)</f>
        <v>0</v>
      </c>
      <c r="U44" s="200">
        <f t="shared" si="216"/>
        <v>0</v>
      </c>
      <c r="V44" s="201">
        <f t="shared" si="217"/>
        <v>0</v>
      </c>
      <c r="W44" s="199">
        <f>_xlfn.XLOOKUP(A44,'2.0SASA'!$A:$A,'2.0SASA'!$H:$H,"",0)</f>
        <v>30</v>
      </c>
      <c r="X44" s="200">
        <f t="shared" si="218"/>
        <v>2.625</v>
      </c>
      <c r="Y44" s="201">
        <f t="shared" si="219"/>
        <v>4</v>
      </c>
      <c r="Z44" s="199">
        <f>_xlfn.XLOOKUP(A44,'2.0SASA'!$A:$A,'2.0SASA'!$D:$D,"",0)</f>
        <v>0</v>
      </c>
      <c r="AA44" s="200">
        <f t="shared" si="220"/>
        <v>0</v>
      </c>
      <c r="AB44" s="201">
        <f t="shared" si="221"/>
        <v>0</v>
      </c>
      <c r="AC44" s="199">
        <f>_xlfn.XLOOKUP(A44,'2.0SASA'!$A:$A,'2.0SASA'!$E:$E,"",0)</f>
        <v>0</v>
      </c>
      <c r="AD44" s="200">
        <f t="shared" si="222"/>
        <v>0</v>
      </c>
      <c r="AE44" s="201">
        <f t="shared" si="223"/>
        <v>0</v>
      </c>
      <c r="AF44" s="199">
        <f>_xlfn.XLOOKUP(A44,'2.0SASA'!$A:$A,'2.0SASA'!$V:$V,"",0)</f>
        <v>0</v>
      </c>
      <c r="AG44" s="200">
        <f t="shared" si="224"/>
        <v>0</v>
      </c>
      <c r="AH44" s="201">
        <f t="shared" si="225"/>
        <v>0</v>
      </c>
      <c r="AI44" s="199">
        <f>_xlfn.XLOOKUP(A44,'2.0SASA'!$A:$A,'2.0SASA'!$U:$U,"",0)</f>
        <v>30</v>
      </c>
      <c r="AJ44" s="200">
        <f t="shared" si="226"/>
        <v>1.3533834586466165</v>
      </c>
      <c r="AK44" s="201">
        <f t="shared" si="227"/>
        <v>0</v>
      </c>
      <c r="AL44" s="199">
        <f>_xlfn.XLOOKUP(A44,'2.0SASA'!$A:$A,'2.0SASA'!$Q:$Q,"",0)</f>
        <v>0</v>
      </c>
      <c r="AM44" s="200">
        <f t="shared" si="228"/>
        <v>0</v>
      </c>
      <c r="AN44" s="201">
        <f t="shared" si="229"/>
        <v>0</v>
      </c>
      <c r="AO44" s="199">
        <f>_xlfn.XLOOKUP(A44,'2.0SASA'!$A:$A,'2.0SASA'!$AD:$AD,"",0)</f>
        <v>0</v>
      </c>
      <c r="AP44" s="200">
        <f t="shared" si="230"/>
        <v>0</v>
      </c>
      <c r="AQ44" s="201">
        <f t="shared" si="231"/>
        <v>0</v>
      </c>
    </row>
    <row r="45" spans="1:48" s="58" customFormat="1" ht="17.25" customHeight="1">
      <c r="A45" s="202" t="s">
        <v>400</v>
      </c>
      <c r="B45" s="204">
        <f>SUM(B42:B44)</f>
        <v>20</v>
      </c>
      <c r="C45" s="204">
        <f t="shared" ref="C45:AQ45" si="233">SUM(C42:C44)</f>
        <v>1.8475750577367205</v>
      </c>
      <c r="D45" s="204">
        <f t="shared" si="233"/>
        <v>0</v>
      </c>
      <c r="E45" s="204">
        <f t="shared" si="233"/>
        <v>40</v>
      </c>
      <c r="F45" s="204">
        <f t="shared" si="233"/>
        <v>4</v>
      </c>
      <c r="G45" s="204">
        <f t="shared" si="233"/>
        <v>4</v>
      </c>
      <c r="H45" s="204">
        <f t="shared" si="233"/>
        <v>120</v>
      </c>
      <c r="I45" s="204">
        <f t="shared" si="233"/>
        <v>11.009174311926605</v>
      </c>
      <c r="J45" s="204">
        <f t="shared" si="233"/>
        <v>10</v>
      </c>
      <c r="K45" s="204">
        <f t="shared" si="233"/>
        <v>90</v>
      </c>
      <c r="L45" s="204">
        <f t="shared" si="233"/>
        <v>9.2307692307692299</v>
      </c>
      <c r="M45" s="204">
        <f t="shared" si="233"/>
        <v>12</v>
      </c>
      <c r="N45" s="204">
        <f t="shared" si="233"/>
        <v>0</v>
      </c>
      <c r="O45" s="204">
        <f t="shared" si="233"/>
        <v>0</v>
      </c>
      <c r="P45" s="204">
        <f t="shared" si="233"/>
        <v>0</v>
      </c>
      <c r="Q45" s="204">
        <f t="shared" si="233"/>
        <v>0</v>
      </c>
      <c r="R45" s="204">
        <f t="shared" si="233"/>
        <v>0</v>
      </c>
      <c r="S45" s="204">
        <f t="shared" si="233"/>
        <v>0</v>
      </c>
      <c r="T45" s="204">
        <f t="shared" si="233"/>
        <v>0</v>
      </c>
      <c r="U45" s="204">
        <f t="shared" si="233"/>
        <v>0</v>
      </c>
      <c r="V45" s="204">
        <f t="shared" si="233"/>
        <v>0</v>
      </c>
      <c r="W45" s="204">
        <f t="shared" si="233"/>
        <v>120</v>
      </c>
      <c r="X45" s="204">
        <f t="shared" si="233"/>
        <v>10.5</v>
      </c>
      <c r="Y45" s="204">
        <f t="shared" si="233"/>
        <v>12</v>
      </c>
      <c r="Z45" s="204">
        <f t="shared" si="233"/>
        <v>40</v>
      </c>
      <c r="AA45" s="204">
        <f t="shared" si="233"/>
        <v>3.8787878787878789</v>
      </c>
      <c r="AB45" s="204">
        <f t="shared" si="233"/>
        <v>0</v>
      </c>
      <c r="AC45" s="204">
        <f t="shared" si="233"/>
        <v>30</v>
      </c>
      <c r="AD45" s="204">
        <f t="shared" si="233"/>
        <v>2.903225806451613</v>
      </c>
      <c r="AE45" s="204">
        <f t="shared" si="233"/>
        <v>0</v>
      </c>
      <c r="AF45" s="204">
        <f t="shared" si="233"/>
        <v>0</v>
      </c>
      <c r="AG45" s="204">
        <f t="shared" si="233"/>
        <v>0</v>
      </c>
      <c r="AH45" s="204">
        <f t="shared" si="233"/>
        <v>0</v>
      </c>
      <c r="AI45" s="204">
        <f t="shared" si="233"/>
        <v>70</v>
      </c>
      <c r="AJ45" s="204">
        <f t="shared" si="233"/>
        <v>3.1578947368421053</v>
      </c>
      <c r="AK45" s="204">
        <f t="shared" si="233"/>
        <v>0</v>
      </c>
      <c r="AL45" s="204">
        <f t="shared" si="233"/>
        <v>50</v>
      </c>
      <c r="AM45" s="204">
        <f t="shared" si="233"/>
        <v>2.4154589371980677</v>
      </c>
      <c r="AN45" s="204">
        <f t="shared" si="233"/>
        <v>0</v>
      </c>
      <c r="AO45" s="204">
        <f t="shared" si="233"/>
        <v>0</v>
      </c>
      <c r="AP45" s="204">
        <f t="shared" si="233"/>
        <v>0</v>
      </c>
      <c r="AQ45" s="204">
        <f t="shared" si="233"/>
        <v>0</v>
      </c>
    </row>
    <row r="46" spans="1:48" s="57" customFormat="1" ht="17.25" customHeight="1">
      <c r="A46" s="198" t="s">
        <v>255</v>
      </c>
      <c r="B46" s="199">
        <f>_xlfn.XLOOKUP(A46,'2.0SASA'!$A:$A,'2.0SASA'!$C:$C,"",0)</f>
        <v>0</v>
      </c>
      <c r="C46" s="200">
        <f t="shared" ref="C46:C47" si="234">B46*C$50/B$50</f>
        <v>0</v>
      </c>
      <c r="D46" s="201">
        <f t="shared" ref="D46:D47" si="235">IF(C46&gt;4,ROUND(C46/2,0)*2,IF(C46&gt;2.2,4,0))</f>
        <v>0</v>
      </c>
      <c r="E46" s="199">
        <f>_xlfn.XLOOKUP(A46,'2.0SASA'!$A:$A,'2.0SASA'!$B:$B,"",0)</f>
        <v>0</v>
      </c>
      <c r="F46" s="200">
        <f t="shared" ref="F46:F47" si="236">E46*F$50/E$50</f>
        <v>0</v>
      </c>
      <c r="G46" s="201">
        <f t="shared" ref="G46:G47" si="237">IF(F46&gt;4,ROUND(F46/2,0)*2,IF(F46&gt;2.2,4,0))</f>
        <v>0</v>
      </c>
      <c r="H46" s="199">
        <f>_xlfn.XLOOKUP(A46,'2.0SASA'!$A:$A,'2.0SASA'!$J:$J,"",0)</f>
        <v>60</v>
      </c>
      <c r="I46" s="200">
        <f t="shared" ref="I46:I47" si="238">H46*I$50/H$50</f>
        <v>5.5045871559633026</v>
      </c>
      <c r="J46" s="201">
        <f t="shared" ref="J46:J47" si="239">IF(I46&gt;4,ROUND(I46/2,0)*2,IF(I46&gt;2,4,0))</f>
        <v>6</v>
      </c>
      <c r="K46" s="199">
        <f>_xlfn.XLOOKUP(A46,'2.0SASA'!$A:$A,'2.0SASA'!$K:$K,"",0)</f>
        <v>30</v>
      </c>
      <c r="L46" s="200">
        <f t="shared" ref="L46:L47" si="240">K46*L$50/K$50</f>
        <v>3.0769230769230771</v>
      </c>
      <c r="M46" s="201">
        <f t="shared" ref="M46:M47" si="241">IF(L46&gt;4,ROUND(L46/2,0)*2,IF(L46&gt;2.2,4,0))</f>
        <v>4</v>
      </c>
      <c r="N46" s="199">
        <f>_xlfn.XLOOKUP(A46,'2.0SASA'!$A:$A,'2.0SASA'!$G:$G,"",0)</f>
        <v>0</v>
      </c>
      <c r="O46" s="200">
        <f t="shared" ref="O46:O47" si="242">N46*O$50/N$50</f>
        <v>0</v>
      </c>
      <c r="P46" s="201">
        <f t="shared" ref="P46:P47" si="243">IF(O46&gt;4,ROUND(O46/2,0)*2,IF(O46&gt;2.2,4,0))</f>
        <v>0</v>
      </c>
      <c r="Q46" s="199">
        <f>_xlfn.XLOOKUP(A46,'2.0SASA'!$A:$A,'2.0SASA'!$I:$I,"",0)</f>
        <v>0</v>
      </c>
      <c r="R46" s="200">
        <f t="shared" ref="R46:R47" si="244">Q46*R$50/Q$50</f>
        <v>0</v>
      </c>
      <c r="S46" s="201">
        <f t="shared" ref="S46:S47" si="245">IF(R46&gt;4,ROUND(R46/2,0)*2,IF(R46&gt;2.2,4,0))</f>
        <v>0</v>
      </c>
      <c r="T46" s="199">
        <f>_xlfn.XLOOKUP(A46,'2.0SASA'!$A:$A,'2.0SASA'!$F:$F,"",0)</f>
        <v>0</v>
      </c>
      <c r="U46" s="200">
        <f t="shared" ref="U46:U47" si="246">T46*U$50/T$50</f>
        <v>0</v>
      </c>
      <c r="V46" s="201">
        <f t="shared" ref="V46:V47" si="247">IF(U46&gt;4,ROUND(U46/2,0)*2,IF(U46&gt;2.2,4,0))</f>
        <v>0</v>
      </c>
      <c r="W46" s="199">
        <f>_xlfn.XLOOKUP(A46,'2.0SASA'!$A:$A,'2.0SASA'!$H:$H,"",0)</f>
        <v>0</v>
      </c>
      <c r="X46" s="200">
        <f t="shared" ref="X46:X47" si="248">W46*X$50/W$50</f>
        <v>0</v>
      </c>
      <c r="Y46" s="201">
        <f t="shared" ref="Y46:Y47" si="249">IF(X46&gt;4,ROUND(X46/2,0)*2,IF(X46&gt;2.2,4,0))</f>
        <v>0</v>
      </c>
      <c r="Z46" s="199">
        <f>_xlfn.XLOOKUP(A46,'2.0SASA'!$A:$A,'2.0SASA'!$D:$D,"",0)</f>
        <v>0</v>
      </c>
      <c r="AA46" s="200">
        <f t="shared" ref="AA46:AA47" si="250">Z46*AA$50/Z$50</f>
        <v>0</v>
      </c>
      <c r="AB46" s="201">
        <f t="shared" ref="AB46:AB47" si="251">IF(AA46&gt;4,ROUND(AA46/2,0)*2,IF(AA46&gt;2.2,4,0))</f>
        <v>0</v>
      </c>
      <c r="AC46" s="199">
        <f>_xlfn.XLOOKUP(A46,'2.0SASA'!$A:$A,'2.0SASA'!$E:$E,"",0)</f>
        <v>0</v>
      </c>
      <c r="AD46" s="200">
        <f t="shared" ref="AD46:AD47" si="252">AC46*AD$50/AC$50</f>
        <v>0</v>
      </c>
      <c r="AE46" s="201">
        <f t="shared" ref="AE46:AE47" si="253">IF(AD46&gt;4,ROUND(AD46/2,0)*2,IF(AD46&gt;2.2,4,0))</f>
        <v>0</v>
      </c>
      <c r="AF46" s="199">
        <f>_xlfn.XLOOKUP(A46,'2.0SASA'!$A:$A,'2.0SASA'!$V:$V,"",0)</f>
        <v>0</v>
      </c>
      <c r="AG46" s="200">
        <f t="shared" ref="AG46:AG47" si="254">AF46*AG$50/AF$50</f>
        <v>0</v>
      </c>
      <c r="AH46" s="201">
        <f t="shared" ref="AH46:AH47" si="255">IF(AG46&gt;4,ROUND(AG46/2,0)*2,IF(AG46&gt;2.2,4,0))</f>
        <v>0</v>
      </c>
      <c r="AI46" s="199">
        <f>_xlfn.XLOOKUP(A46,'2.0SASA'!$A:$A,'2.0SASA'!$U:$U,"",0)</f>
        <v>10</v>
      </c>
      <c r="AJ46" s="200">
        <f t="shared" ref="AJ46:AJ47" si="256">AI46*AJ$50/AI$50</f>
        <v>0.45112781954887216</v>
      </c>
      <c r="AK46" s="201">
        <f t="shared" ref="AK46:AK47" si="257">IF(AJ46&gt;4,ROUND(AJ46/2,0)*2,IF(AJ46&gt;2,4,0))</f>
        <v>0</v>
      </c>
      <c r="AL46" s="199">
        <f>_xlfn.XLOOKUP(A46,'2.0SASA'!$A:$A,'2.0SASA'!$Q:$Q,"",0)</f>
        <v>0</v>
      </c>
      <c r="AM46" s="200">
        <f t="shared" ref="AM46:AM47" si="258">AL46*AM$50/AL$50</f>
        <v>0</v>
      </c>
      <c r="AN46" s="201">
        <f t="shared" ref="AN46:AN47" si="259">IF(AM46&gt;4,ROUND(AM46/2,0)*2,IF(AM46&gt;2.2,4,0))</f>
        <v>0</v>
      </c>
      <c r="AO46" s="199">
        <f>_xlfn.XLOOKUP(A46,'2.0SASA'!$A:$A,'2.0SASA'!$AD:$AD,"",0)</f>
        <v>0</v>
      </c>
      <c r="AP46" s="200">
        <f t="shared" ref="AP46:AP47" si="260">AO46*AP$50/AO$50</f>
        <v>0</v>
      </c>
      <c r="AQ46" s="201">
        <f t="shared" ref="AQ46:AQ47" si="261">IF(AP46&gt;4,ROUND(AP46/2,0)*2,IF(AP46&gt;2.2,4,0))</f>
        <v>0</v>
      </c>
    </row>
    <row r="47" spans="1:48" s="57" customFormat="1" ht="17.25" customHeight="1">
      <c r="A47" s="198" t="s">
        <v>261</v>
      </c>
      <c r="B47" s="199">
        <f>_xlfn.XLOOKUP(A47,'2.0SASA'!$A:$A,'2.0SASA'!$C:$C,"",0)</f>
        <v>0</v>
      </c>
      <c r="C47" s="200">
        <f t="shared" si="234"/>
        <v>0</v>
      </c>
      <c r="D47" s="201">
        <f t="shared" si="235"/>
        <v>0</v>
      </c>
      <c r="E47" s="199">
        <f>_xlfn.XLOOKUP(A47,'2.0SASA'!$A:$A,'2.0SASA'!$B:$B,"",0)</f>
        <v>0</v>
      </c>
      <c r="F47" s="200">
        <f t="shared" si="236"/>
        <v>0</v>
      </c>
      <c r="G47" s="201">
        <f t="shared" si="237"/>
        <v>0</v>
      </c>
      <c r="H47" s="199">
        <f>_xlfn.XLOOKUP(A47,'2.0SASA'!$A:$A,'2.0SASA'!$J:$J,"",0)</f>
        <v>60</v>
      </c>
      <c r="I47" s="200">
        <f t="shared" si="238"/>
        <v>5.5045871559633026</v>
      </c>
      <c r="J47" s="201">
        <f t="shared" si="239"/>
        <v>6</v>
      </c>
      <c r="K47" s="199">
        <f>_xlfn.XLOOKUP(A47,'2.0SASA'!$A:$A,'2.0SASA'!$K:$K,"",0)</f>
        <v>0</v>
      </c>
      <c r="L47" s="200">
        <f t="shared" si="240"/>
        <v>0</v>
      </c>
      <c r="M47" s="201">
        <f t="shared" si="241"/>
        <v>0</v>
      </c>
      <c r="N47" s="199">
        <f>_xlfn.XLOOKUP(A47,'2.0SASA'!$A:$A,'2.0SASA'!$G:$G,"",0)</f>
        <v>0</v>
      </c>
      <c r="O47" s="200">
        <f t="shared" si="242"/>
        <v>0</v>
      </c>
      <c r="P47" s="201">
        <f t="shared" si="243"/>
        <v>0</v>
      </c>
      <c r="Q47" s="199">
        <f>_xlfn.XLOOKUP(A47,'2.0SASA'!$A:$A,'2.0SASA'!$I:$I,"",0)</f>
        <v>0</v>
      </c>
      <c r="R47" s="200">
        <f t="shared" si="244"/>
        <v>0</v>
      </c>
      <c r="S47" s="201">
        <f t="shared" si="245"/>
        <v>0</v>
      </c>
      <c r="T47" s="199">
        <f>_xlfn.XLOOKUP(A47,'2.0SASA'!$A:$A,'2.0SASA'!$F:$F,"",0)</f>
        <v>0</v>
      </c>
      <c r="U47" s="200">
        <f t="shared" si="246"/>
        <v>0</v>
      </c>
      <c r="V47" s="201">
        <f t="shared" si="247"/>
        <v>0</v>
      </c>
      <c r="W47" s="199">
        <f>_xlfn.XLOOKUP(A47,'2.0SASA'!$A:$A,'2.0SASA'!$H:$H,"",0)</f>
        <v>50</v>
      </c>
      <c r="X47" s="200">
        <f t="shared" si="248"/>
        <v>4.375</v>
      </c>
      <c r="Y47" s="201">
        <f t="shared" si="249"/>
        <v>4</v>
      </c>
      <c r="Z47" s="199">
        <f>_xlfn.XLOOKUP(A47,'2.0SASA'!$A:$A,'2.0SASA'!$D:$D,"",0)</f>
        <v>0</v>
      </c>
      <c r="AA47" s="200">
        <f t="shared" si="250"/>
        <v>0</v>
      </c>
      <c r="AB47" s="201">
        <f t="shared" si="251"/>
        <v>0</v>
      </c>
      <c r="AC47" s="199">
        <f>_xlfn.XLOOKUP(A47,'2.0SASA'!$A:$A,'2.0SASA'!$E:$E,"",0)</f>
        <v>0</v>
      </c>
      <c r="AD47" s="200">
        <f t="shared" si="252"/>
        <v>0</v>
      </c>
      <c r="AE47" s="201">
        <f t="shared" si="253"/>
        <v>0</v>
      </c>
      <c r="AF47" s="199">
        <f>_xlfn.XLOOKUP(A47,'2.0SASA'!$A:$A,'2.0SASA'!$V:$V,"",0)</f>
        <v>0</v>
      </c>
      <c r="AG47" s="200">
        <f t="shared" si="254"/>
        <v>0</v>
      </c>
      <c r="AH47" s="201">
        <f t="shared" si="255"/>
        <v>0</v>
      </c>
      <c r="AI47" s="199">
        <f>_xlfn.XLOOKUP(A47,'2.0SASA'!$A:$A,'2.0SASA'!$U:$U,"",0)</f>
        <v>30</v>
      </c>
      <c r="AJ47" s="200">
        <f t="shared" si="256"/>
        <v>1.3533834586466165</v>
      </c>
      <c r="AK47" s="201">
        <f t="shared" si="257"/>
        <v>0</v>
      </c>
      <c r="AL47" s="199">
        <f>_xlfn.XLOOKUP(A47,'2.0SASA'!$A:$A,'2.0SASA'!$Q:$Q,"",0)</f>
        <v>0</v>
      </c>
      <c r="AM47" s="200">
        <f t="shared" si="258"/>
        <v>0</v>
      </c>
      <c r="AN47" s="201">
        <f t="shared" si="259"/>
        <v>0</v>
      </c>
      <c r="AO47" s="199">
        <f>_xlfn.XLOOKUP(A47,'2.0SASA'!$A:$A,'2.0SASA'!$AD:$AD,"",0)</f>
        <v>0</v>
      </c>
      <c r="AP47" s="200">
        <f t="shared" si="260"/>
        <v>0</v>
      </c>
      <c r="AQ47" s="201">
        <f t="shared" si="261"/>
        <v>0</v>
      </c>
    </row>
    <row r="48" spans="1:48" s="58" customFormat="1" ht="17.25" customHeight="1">
      <c r="A48" s="202" t="s">
        <v>401</v>
      </c>
      <c r="B48" s="204">
        <f>SUM(B46:B47)</f>
        <v>0</v>
      </c>
      <c r="C48" s="204">
        <f t="shared" ref="C48:AQ48" si="262">SUM(C46:C47)</f>
        <v>0</v>
      </c>
      <c r="D48" s="204">
        <f t="shared" si="262"/>
        <v>0</v>
      </c>
      <c r="E48" s="204">
        <f t="shared" si="262"/>
        <v>0</v>
      </c>
      <c r="F48" s="204">
        <f t="shared" si="262"/>
        <v>0</v>
      </c>
      <c r="G48" s="204">
        <f t="shared" si="262"/>
        <v>0</v>
      </c>
      <c r="H48" s="204">
        <f t="shared" si="262"/>
        <v>120</v>
      </c>
      <c r="I48" s="204">
        <f t="shared" si="262"/>
        <v>11.009174311926605</v>
      </c>
      <c r="J48" s="204">
        <f t="shared" si="262"/>
        <v>12</v>
      </c>
      <c r="K48" s="204">
        <f t="shared" si="262"/>
        <v>30</v>
      </c>
      <c r="L48" s="204">
        <f t="shared" si="262"/>
        <v>3.0769230769230771</v>
      </c>
      <c r="M48" s="204">
        <f t="shared" si="262"/>
        <v>4</v>
      </c>
      <c r="N48" s="204">
        <f t="shared" si="262"/>
        <v>0</v>
      </c>
      <c r="O48" s="204">
        <f t="shared" si="262"/>
        <v>0</v>
      </c>
      <c r="P48" s="204">
        <f t="shared" si="262"/>
        <v>0</v>
      </c>
      <c r="Q48" s="204">
        <f t="shared" si="262"/>
        <v>0</v>
      </c>
      <c r="R48" s="204">
        <f t="shared" si="262"/>
        <v>0</v>
      </c>
      <c r="S48" s="204">
        <f t="shared" si="262"/>
        <v>0</v>
      </c>
      <c r="T48" s="204">
        <f t="shared" si="262"/>
        <v>0</v>
      </c>
      <c r="U48" s="204">
        <f t="shared" si="262"/>
        <v>0</v>
      </c>
      <c r="V48" s="204">
        <f t="shared" si="262"/>
        <v>0</v>
      </c>
      <c r="W48" s="204">
        <f t="shared" si="262"/>
        <v>50</v>
      </c>
      <c r="X48" s="204">
        <f t="shared" si="262"/>
        <v>4.375</v>
      </c>
      <c r="Y48" s="204">
        <f t="shared" si="262"/>
        <v>4</v>
      </c>
      <c r="Z48" s="204">
        <f t="shared" si="262"/>
        <v>0</v>
      </c>
      <c r="AA48" s="204">
        <f t="shared" si="262"/>
        <v>0</v>
      </c>
      <c r="AB48" s="204">
        <f t="shared" si="262"/>
        <v>0</v>
      </c>
      <c r="AC48" s="204">
        <f t="shared" si="262"/>
        <v>0</v>
      </c>
      <c r="AD48" s="204">
        <f t="shared" si="262"/>
        <v>0</v>
      </c>
      <c r="AE48" s="204">
        <f t="shared" si="262"/>
        <v>0</v>
      </c>
      <c r="AF48" s="204">
        <f t="shared" si="262"/>
        <v>0</v>
      </c>
      <c r="AG48" s="204">
        <f t="shared" si="262"/>
        <v>0</v>
      </c>
      <c r="AH48" s="204">
        <f t="shared" si="262"/>
        <v>0</v>
      </c>
      <c r="AI48" s="204">
        <f t="shared" si="262"/>
        <v>40</v>
      </c>
      <c r="AJ48" s="204">
        <f t="shared" si="262"/>
        <v>1.8045112781954886</v>
      </c>
      <c r="AK48" s="204">
        <f t="shared" si="262"/>
        <v>0</v>
      </c>
      <c r="AL48" s="204">
        <f t="shared" si="262"/>
        <v>0</v>
      </c>
      <c r="AM48" s="204">
        <f t="shared" si="262"/>
        <v>0</v>
      </c>
      <c r="AN48" s="204">
        <f t="shared" si="262"/>
        <v>0</v>
      </c>
      <c r="AO48" s="204">
        <f t="shared" si="262"/>
        <v>0</v>
      </c>
      <c r="AP48" s="204">
        <f t="shared" si="262"/>
        <v>0</v>
      </c>
      <c r="AQ48" s="204">
        <f t="shared" si="262"/>
        <v>0</v>
      </c>
    </row>
    <row r="49" spans="1:43" s="217" customFormat="1" ht="17.25" customHeight="1">
      <c r="A49" s="215" t="s">
        <v>402</v>
      </c>
      <c r="B49" s="216">
        <f>SUM(B28,B33,B41,B45,B48)</f>
        <v>433</v>
      </c>
      <c r="C49" s="216">
        <f t="shared" ref="C49:AQ49" si="263">SUM(C28,C33,C41,C45,C48)</f>
        <v>40</v>
      </c>
      <c r="D49" s="216">
        <f t="shared" si="263"/>
        <v>40</v>
      </c>
      <c r="E49" s="216">
        <f t="shared" si="263"/>
        <v>350</v>
      </c>
      <c r="F49" s="216">
        <f t="shared" si="263"/>
        <v>35</v>
      </c>
      <c r="G49" s="216">
        <f t="shared" si="263"/>
        <v>32</v>
      </c>
      <c r="H49" s="216">
        <f t="shared" si="263"/>
        <v>780</v>
      </c>
      <c r="I49" s="216">
        <f t="shared" si="263"/>
        <v>71.559633027522935</v>
      </c>
      <c r="J49" s="216">
        <f t="shared" si="263"/>
        <v>72</v>
      </c>
      <c r="K49" s="216">
        <f t="shared" si="263"/>
        <v>380</v>
      </c>
      <c r="L49" s="216">
        <f t="shared" si="263"/>
        <v>38.974358974358978</v>
      </c>
      <c r="M49" s="216">
        <f t="shared" si="263"/>
        <v>40</v>
      </c>
      <c r="N49" s="216">
        <f t="shared" si="263"/>
        <v>20</v>
      </c>
      <c r="O49" s="216">
        <f t="shared" si="263"/>
        <v>2.6666666666666665</v>
      </c>
      <c r="P49" s="216">
        <f t="shared" si="263"/>
        <v>0</v>
      </c>
      <c r="Q49" s="216">
        <f t="shared" si="263"/>
        <v>200</v>
      </c>
      <c r="R49" s="216">
        <f t="shared" si="263"/>
        <v>22.857142857142858</v>
      </c>
      <c r="S49" s="216">
        <f t="shared" si="263"/>
        <v>24</v>
      </c>
      <c r="T49" s="216">
        <f t="shared" si="263"/>
        <v>660</v>
      </c>
      <c r="U49" s="216">
        <f t="shared" si="263"/>
        <v>66</v>
      </c>
      <c r="V49" s="216">
        <f t="shared" si="263"/>
        <v>66</v>
      </c>
      <c r="W49" s="216">
        <f t="shared" si="263"/>
        <v>640</v>
      </c>
      <c r="X49" s="216">
        <f t="shared" si="263"/>
        <v>56</v>
      </c>
      <c r="Y49" s="216">
        <f t="shared" si="263"/>
        <v>64</v>
      </c>
      <c r="Z49" s="216">
        <f t="shared" si="263"/>
        <v>790</v>
      </c>
      <c r="AA49" s="216">
        <f t="shared" si="263"/>
        <v>76.606060606060595</v>
      </c>
      <c r="AB49" s="216">
        <f t="shared" si="263"/>
        <v>76</v>
      </c>
      <c r="AC49" s="216">
        <f t="shared" si="263"/>
        <v>240</v>
      </c>
      <c r="AD49" s="216">
        <f t="shared" si="263"/>
        <v>23.2258064516129</v>
      </c>
      <c r="AE49" s="216">
        <f t="shared" si="263"/>
        <v>20</v>
      </c>
      <c r="AF49" s="216">
        <f t="shared" si="263"/>
        <v>340</v>
      </c>
      <c r="AG49" s="216">
        <f t="shared" si="263"/>
        <v>22.666666666666664</v>
      </c>
      <c r="AH49" s="216">
        <f t="shared" si="263"/>
        <v>22</v>
      </c>
      <c r="AI49" s="216">
        <f t="shared" si="263"/>
        <v>480</v>
      </c>
      <c r="AJ49" s="216">
        <f t="shared" si="263"/>
        <v>21.654135338345863</v>
      </c>
      <c r="AK49" s="216">
        <f t="shared" si="263"/>
        <v>16</v>
      </c>
      <c r="AL49" s="216">
        <f t="shared" si="263"/>
        <v>1070</v>
      </c>
      <c r="AM49" s="216">
        <f t="shared" si="263"/>
        <v>51.690821256038646</v>
      </c>
      <c r="AN49" s="216">
        <f t="shared" si="263"/>
        <v>52</v>
      </c>
      <c r="AO49" s="216">
        <f t="shared" si="263"/>
        <v>550</v>
      </c>
      <c r="AP49" s="216">
        <f t="shared" si="263"/>
        <v>28.571428571428573</v>
      </c>
      <c r="AQ49" s="216">
        <f t="shared" si="263"/>
        <v>28</v>
      </c>
    </row>
    <row r="50" spans="1:43" s="220" customFormat="1" ht="17.25" customHeight="1">
      <c r="A50" s="218" t="s">
        <v>301</v>
      </c>
      <c r="B50" s="219">
        <f>SUM(B24,B49)</f>
        <v>433</v>
      </c>
      <c r="C50" s="219">
        <v>40</v>
      </c>
      <c r="D50" s="219">
        <f t="shared" ref="D50:AQ50" si="264">SUM(D24,D49)</f>
        <v>40</v>
      </c>
      <c r="E50" s="219">
        <f t="shared" si="264"/>
        <v>1200</v>
      </c>
      <c r="F50" s="219">
        <v>120</v>
      </c>
      <c r="G50" s="219">
        <f t="shared" si="264"/>
        <v>120</v>
      </c>
      <c r="H50" s="219">
        <f t="shared" si="264"/>
        <v>872</v>
      </c>
      <c r="I50" s="219">
        <v>80</v>
      </c>
      <c r="J50" s="219">
        <f t="shared" si="264"/>
        <v>80</v>
      </c>
      <c r="K50" s="219">
        <f t="shared" si="264"/>
        <v>390</v>
      </c>
      <c r="L50" s="219">
        <v>40</v>
      </c>
      <c r="M50" s="219">
        <f t="shared" si="264"/>
        <v>40</v>
      </c>
      <c r="N50" s="219">
        <f t="shared" si="264"/>
        <v>300</v>
      </c>
      <c r="O50" s="219">
        <v>40</v>
      </c>
      <c r="P50" s="219">
        <f t="shared" si="264"/>
        <v>40</v>
      </c>
      <c r="Q50" s="219">
        <f t="shared" si="264"/>
        <v>350</v>
      </c>
      <c r="R50" s="219">
        <v>40</v>
      </c>
      <c r="S50" s="219">
        <f t="shared" si="264"/>
        <v>40</v>
      </c>
      <c r="T50" s="219">
        <f t="shared" si="264"/>
        <v>1000</v>
      </c>
      <c r="U50" s="219">
        <v>100</v>
      </c>
      <c r="V50" s="219">
        <f t="shared" si="264"/>
        <v>100</v>
      </c>
      <c r="W50" s="219">
        <f t="shared" si="264"/>
        <v>800</v>
      </c>
      <c r="X50" s="219">
        <v>70</v>
      </c>
      <c r="Y50" s="219">
        <f t="shared" si="264"/>
        <v>70</v>
      </c>
      <c r="Z50" s="219">
        <f t="shared" si="264"/>
        <v>1650</v>
      </c>
      <c r="AA50" s="219">
        <v>160</v>
      </c>
      <c r="AB50" s="219">
        <f t="shared" si="264"/>
        <v>160</v>
      </c>
      <c r="AC50" s="219">
        <f t="shared" si="264"/>
        <v>620</v>
      </c>
      <c r="AD50" s="219">
        <v>60</v>
      </c>
      <c r="AE50" s="219">
        <f t="shared" si="264"/>
        <v>60</v>
      </c>
      <c r="AF50" s="219">
        <f t="shared" si="264"/>
        <v>600</v>
      </c>
      <c r="AG50" s="219">
        <v>40</v>
      </c>
      <c r="AH50" s="219">
        <f t="shared" si="264"/>
        <v>40</v>
      </c>
      <c r="AI50" s="219">
        <f t="shared" si="264"/>
        <v>1330</v>
      </c>
      <c r="AJ50" s="219">
        <v>60</v>
      </c>
      <c r="AK50" s="219">
        <f t="shared" si="264"/>
        <v>60</v>
      </c>
      <c r="AL50" s="219">
        <f t="shared" si="264"/>
        <v>2070</v>
      </c>
      <c r="AM50" s="219">
        <v>100</v>
      </c>
      <c r="AN50" s="219">
        <f t="shared" si="264"/>
        <v>100</v>
      </c>
      <c r="AO50" s="219">
        <f t="shared" si="264"/>
        <v>770</v>
      </c>
      <c r="AP50" s="219">
        <v>40</v>
      </c>
      <c r="AQ50" s="219">
        <f t="shared" si="264"/>
        <v>40</v>
      </c>
    </row>
    <row r="51" spans="1:43">
      <c r="B51" s="62"/>
      <c r="D51" s="62"/>
    </row>
    <row r="52" spans="1:43">
      <c r="B52" s="62"/>
      <c r="D52" s="62"/>
      <c r="Z52" s="282" t="s">
        <v>403</v>
      </c>
      <c r="AA52" s="282"/>
      <c r="AB52" s="282"/>
      <c r="AC52" s="283">
        <f>SUM(D50,G50,J50,M50,P50,S50,V50,Y50,AB50,AE50)</f>
        <v>750</v>
      </c>
      <c r="AD52" s="283"/>
      <c r="AE52" s="283"/>
      <c r="AL52" s="282" t="s">
        <v>404</v>
      </c>
      <c r="AM52" s="282"/>
      <c r="AN52" s="282"/>
      <c r="AO52" s="283">
        <f>SUM(AH50,AK50,AN50,AQ50)</f>
        <v>240</v>
      </c>
      <c r="AP52" s="283"/>
      <c r="AQ52" s="283"/>
    </row>
    <row r="53" spans="1:43">
      <c r="B53" s="62"/>
      <c r="D53" s="62"/>
      <c r="E53" s="65"/>
    </row>
    <row r="54" spans="1:43">
      <c r="B54" s="62"/>
      <c r="D54" s="62"/>
    </row>
    <row r="55" spans="1:43">
      <c r="B55" s="62"/>
      <c r="D55" s="62"/>
    </row>
    <row r="56" spans="1:43">
      <c r="B56" s="62"/>
      <c r="D56" s="62"/>
    </row>
    <row r="57" spans="1:43">
      <c r="B57" s="62"/>
      <c r="D57" s="62"/>
    </row>
    <row r="58" spans="1:43">
      <c r="B58" s="62"/>
      <c r="D58" s="62"/>
    </row>
    <row r="59" spans="1:43">
      <c r="B59" s="62"/>
      <c r="D59" s="62"/>
    </row>
    <row r="60" spans="1:43">
      <c r="B60" s="62"/>
      <c r="D60" s="62"/>
    </row>
    <row r="61" spans="1:43">
      <c r="B61" s="62"/>
      <c r="D61" s="62"/>
    </row>
    <row r="62" spans="1:43">
      <c r="B62" s="62"/>
      <c r="D62" s="62"/>
    </row>
    <row r="63" spans="1:43">
      <c r="B63" s="62"/>
      <c r="D63" s="62"/>
    </row>
    <row r="64" spans="1:43">
      <c r="B64" s="62"/>
      <c r="D64" s="62"/>
    </row>
    <row r="65" spans="2:4">
      <c r="B65" s="62"/>
      <c r="D65" s="62"/>
    </row>
    <row r="66" spans="2:4">
      <c r="B66" s="62"/>
      <c r="D66" s="62"/>
    </row>
    <row r="67" spans="2:4">
      <c r="B67" s="62"/>
      <c r="D67" s="62"/>
    </row>
    <row r="68" spans="2:4">
      <c r="B68" s="62"/>
      <c r="D68" s="62"/>
    </row>
    <row r="69" spans="2:4">
      <c r="B69" s="62"/>
      <c r="D69" s="62"/>
    </row>
    <row r="70" spans="2:4">
      <c r="B70" s="62"/>
      <c r="D70" s="62"/>
    </row>
    <row r="71" spans="2:4">
      <c r="B71" s="62"/>
      <c r="D71" s="62"/>
    </row>
    <row r="72" spans="2:4">
      <c r="B72" s="62"/>
      <c r="D72" s="62"/>
    </row>
    <row r="73" spans="2:4">
      <c r="B73" s="62"/>
      <c r="D73" s="62"/>
    </row>
    <row r="74" spans="2:4">
      <c r="B74" s="62"/>
      <c r="D74" s="62"/>
    </row>
    <row r="75" spans="2:4">
      <c r="B75" s="62"/>
      <c r="D75" s="62"/>
    </row>
    <row r="76" spans="2:4">
      <c r="B76" s="62"/>
      <c r="D76" s="62"/>
    </row>
    <row r="77" spans="2:4">
      <c r="B77" s="62"/>
      <c r="D77" s="62"/>
    </row>
    <row r="78" spans="2:4">
      <c r="B78" s="62"/>
      <c r="D78" s="62"/>
    </row>
    <row r="79" spans="2:4">
      <c r="B79" s="62"/>
      <c r="D79" s="62"/>
    </row>
    <row r="80" spans="2:4">
      <c r="B80" s="62"/>
      <c r="D80" s="62"/>
    </row>
    <row r="81" spans="2:4">
      <c r="B81" s="62"/>
      <c r="D81" s="62"/>
    </row>
    <row r="82" spans="2:4">
      <c r="B82" s="62"/>
      <c r="D82" s="62"/>
    </row>
    <row r="83" spans="2:4">
      <c r="B83" s="62"/>
      <c r="D83" s="62"/>
    </row>
    <row r="84" spans="2:4">
      <c r="B84" s="62"/>
      <c r="D84" s="62"/>
    </row>
    <row r="85" spans="2:4">
      <c r="B85" s="62"/>
      <c r="D85" s="62"/>
    </row>
    <row r="86" spans="2:4">
      <c r="B86" s="62"/>
      <c r="D86" s="62"/>
    </row>
    <row r="87" spans="2:4">
      <c r="B87" s="62"/>
      <c r="D87" s="62"/>
    </row>
    <row r="88" spans="2:4">
      <c r="B88" s="62"/>
      <c r="D88" s="62"/>
    </row>
    <row r="89" spans="2:4">
      <c r="B89" s="62"/>
      <c r="D89" s="62"/>
    </row>
    <row r="90" spans="2:4">
      <c r="B90" s="62"/>
      <c r="D90" s="62"/>
    </row>
    <row r="91" spans="2:4">
      <c r="B91" s="62"/>
      <c r="D91" s="62"/>
    </row>
    <row r="92" spans="2:4">
      <c r="B92" s="62"/>
      <c r="D92" s="62"/>
    </row>
    <row r="93" spans="2:4">
      <c r="B93" s="62"/>
      <c r="D93" s="62"/>
    </row>
    <row r="94" spans="2:4">
      <c r="B94" s="62"/>
      <c r="D94" s="62"/>
    </row>
    <row r="95" spans="2:4">
      <c r="B95" s="62"/>
      <c r="D95" s="62"/>
    </row>
    <row r="96" spans="2:4">
      <c r="B96" s="62"/>
      <c r="D96" s="62"/>
    </row>
    <row r="97" spans="2:4">
      <c r="B97" s="62"/>
      <c r="D97" s="62"/>
    </row>
    <row r="98" spans="2:4">
      <c r="B98" s="62"/>
      <c r="D98" s="62"/>
    </row>
    <row r="99" spans="2:4">
      <c r="B99" s="62"/>
      <c r="D99" s="62"/>
    </row>
    <row r="100" spans="2:4">
      <c r="B100" s="62"/>
      <c r="D100" s="62"/>
    </row>
    <row r="101" spans="2:4">
      <c r="B101" s="62"/>
      <c r="D101" s="62"/>
    </row>
    <row r="102" spans="2:4">
      <c r="B102" s="62"/>
      <c r="D102" s="62"/>
    </row>
    <row r="103" spans="2:4">
      <c r="B103" s="62"/>
      <c r="D103" s="62"/>
    </row>
    <row r="104" spans="2:4">
      <c r="B104" s="62"/>
      <c r="D104" s="62"/>
    </row>
    <row r="105" spans="2:4">
      <c r="B105" s="62"/>
      <c r="D105" s="62"/>
    </row>
    <row r="106" spans="2:4">
      <c r="B106" s="62"/>
      <c r="D106" s="62"/>
    </row>
    <row r="107" spans="2:4">
      <c r="B107" s="62"/>
      <c r="D107" s="62"/>
    </row>
    <row r="108" spans="2:4">
      <c r="B108" s="62"/>
      <c r="D108" s="62"/>
    </row>
    <row r="109" spans="2:4">
      <c r="B109" s="62"/>
      <c r="D109" s="62"/>
    </row>
    <row r="110" spans="2:4">
      <c r="B110" s="62"/>
      <c r="D110" s="62"/>
    </row>
    <row r="111" spans="2:4">
      <c r="B111" s="62"/>
      <c r="D111" s="62"/>
    </row>
    <row r="112" spans="2:4">
      <c r="B112" s="62"/>
      <c r="D112" s="62"/>
    </row>
    <row r="113" spans="2:4">
      <c r="B113" s="62"/>
      <c r="D113" s="62"/>
    </row>
    <row r="114" spans="2:4">
      <c r="B114" s="62"/>
      <c r="D114" s="62"/>
    </row>
    <row r="115" spans="2:4">
      <c r="B115" s="62"/>
      <c r="D115" s="62"/>
    </row>
    <row r="116" spans="2:4">
      <c r="B116" s="62"/>
      <c r="D116" s="62"/>
    </row>
    <row r="117" spans="2:4">
      <c r="B117" s="62"/>
      <c r="D117" s="62"/>
    </row>
    <row r="118" spans="2:4">
      <c r="B118" s="62"/>
      <c r="D118" s="62"/>
    </row>
    <row r="119" spans="2:4">
      <c r="B119" s="62"/>
      <c r="D119" s="62"/>
    </row>
    <row r="120" spans="2:4">
      <c r="B120" s="62"/>
      <c r="D120" s="62"/>
    </row>
    <row r="121" spans="2:4">
      <c r="B121" s="62"/>
      <c r="D121" s="62"/>
    </row>
    <row r="122" spans="2:4">
      <c r="B122" s="62"/>
      <c r="D122" s="62"/>
    </row>
    <row r="123" spans="2:4">
      <c r="B123" s="62"/>
      <c r="D123" s="62"/>
    </row>
    <row r="124" spans="2:4">
      <c r="B124" s="62"/>
      <c r="D124" s="62"/>
    </row>
    <row r="125" spans="2:4">
      <c r="B125" s="62"/>
      <c r="D125" s="62"/>
    </row>
    <row r="126" spans="2:4">
      <c r="B126" s="62"/>
      <c r="D126" s="62"/>
    </row>
    <row r="127" spans="2:4">
      <c r="B127" s="62"/>
      <c r="D127" s="62"/>
    </row>
    <row r="128" spans="2:4">
      <c r="B128" s="62"/>
      <c r="D128" s="62"/>
    </row>
    <row r="129" spans="2:4">
      <c r="B129" s="62"/>
      <c r="D129" s="62"/>
    </row>
    <row r="130" spans="2:4">
      <c r="B130" s="62"/>
      <c r="D130" s="62"/>
    </row>
    <row r="131" spans="2:4">
      <c r="B131" s="62"/>
      <c r="D131" s="62"/>
    </row>
    <row r="132" spans="2:4">
      <c r="B132" s="62"/>
      <c r="D132" s="62"/>
    </row>
    <row r="133" spans="2:4">
      <c r="B133" s="62"/>
      <c r="D133" s="62"/>
    </row>
    <row r="134" spans="2:4">
      <c r="B134" s="62"/>
      <c r="D134" s="62"/>
    </row>
    <row r="135" spans="2:4">
      <c r="B135" s="62"/>
      <c r="D135" s="62"/>
    </row>
    <row r="136" spans="2:4">
      <c r="B136" s="62"/>
      <c r="D136" s="62"/>
    </row>
    <row r="137" spans="2:4">
      <c r="B137" s="62"/>
      <c r="D137" s="62"/>
    </row>
    <row r="138" spans="2:4">
      <c r="B138" s="62"/>
      <c r="D138" s="62"/>
    </row>
    <row r="139" spans="2:4">
      <c r="B139" s="62"/>
      <c r="D139" s="62"/>
    </row>
    <row r="140" spans="2:4">
      <c r="B140" s="62"/>
      <c r="D140" s="62"/>
    </row>
    <row r="141" spans="2:4">
      <c r="B141" s="62"/>
      <c r="D141" s="62"/>
    </row>
    <row r="142" spans="2:4">
      <c r="B142" s="62"/>
      <c r="D142" s="62"/>
    </row>
    <row r="143" spans="2:4">
      <c r="B143" s="62"/>
      <c r="D143" s="62"/>
    </row>
    <row r="144" spans="2:4">
      <c r="B144" s="62"/>
      <c r="D144" s="62"/>
    </row>
    <row r="145" spans="2:4">
      <c r="B145" s="62"/>
      <c r="D145" s="62"/>
    </row>
    <row r="146" spans="2:4">
      <c r="B146" s="62"/>
      <c r="D146" s="62"/>
    </row>
    <row r="147" spans="2:4">
      <c r="B147" s="62"/>
      <c r="D147" s="62"/>
    </row>
    <row r="148" spans="2:4">
      <c r="B148" s="62"/>
      <c r="D148" s="62"/>
    </row>
    <row r="149" spans="2:4">
      <c r="B149" s="62"/>
      <c r="D149" s="62"/>
    </row>
    <row r="150" spans="2:4">
      <c r="B150" s="62"/>
      <c r="D150" s="62"/>
    </row>
    <row r="151" spans="2:4">
      <c r="B151" s="62"/>
      <c r="D151" s="62"/>
    </row>
    <row r="152" spans="2:4">
      <c r="B152" s="62"/>
      <c r="D152" s="62"/>
    </row>
    <row r="153" spans="2:4">
      <c r="B153" s="62"/>
      <c r="D153" s="62"/>
    </row>
    <row r="154" spans="2:4">
      <c r="B154" s="62"/>
      <c r="D154" s="62"/>
    </row>
    <row r="155" spans="2:4">
      <c r="B155" s="62"/>
      <c r="D155" s="62"/>
    </row>
    <row r="156" spans="2:4">
      <c r="B156" s="62"/>
      <c r="D156" s="62"/>
    </row>
    <row r="157" spans="2:4">
      <c r="B157" s="62"/>
      <c r="D157" s="62"/>
    </row>
    <row r="158" spans="2:4">
      <c r="B158" s="62"/>
      <c r="D158" s="62"/>
    </row>
    <row r="159" spans="2:4">
      <c r="B159" s="62"/>
      <c r="D159" s="62"/>
    </row>
  </sheetData>
  <mergeCells count="25">
    <mergeCell ref="Z52:AB52"/>
    <mergeCell ref="AC52:AE52"/>
    <mergeCell ref="AL52:AN52"/>
    <mergeCell ref="AO52:AQ52"/>
    <mergeCell ref="A1:AQ1"/>
    <mergeCell ref="B2:AE2"/>
    <mergeCell ref="AF2:AN2"/>
    <mergeCell ref="AO2:AQ2"/>
    <mergeCell ref="B3:D3"/>
    <mergeCell ref="E3:G3"/>
    <mergeCell ref="H3:J3"/>
    <mergeCell ref="K3:M3"/>
    <mergeCell ref="N3:P3"/>
    <mergeCell ref="Q3:S3"/>
    <mergeCell ref="T3:V3"/>
    <mergeCell ref="W3:Y3"/>
    <mergeCell ref="AS37:AS38"/>
    <mergeCell ref="AU38:AU39"/>
    <mergeCell ref="AL3:AN3"/>
    <mergeCell ref="AO3:AQ3"/>
    <mergeCell ref="Z3:AB3"/>
    <mergeCell ref="AC3:AE3"/>
    <mergeCell ref="AF3:AH3"/>
    <mergeCell ref="AI3:AK3"/>
    <mergeCell ref="AR37:AR38"/>
  </mergeCells>
  <printOptions horizontalCentered="1"/>
  <pageMargins left="0.23622047244094491" right="0.23622047244094491" top="0.55118110236220474" bottom="0.55118110236220474" header="0.31496062992125984" footer="0.31496062992125984"/>
  <pageSetup paperSize="9" scale="62" orientation="landscape" r:id="rId1"/>
  <colBreaks count="3" manualBreakCount="3">
    <brk id="13" max="1048575" man="1"/>
    <brk id="25" max="1048575" man="1"/>
    <brk id="31" max="49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S54"/>
  <sheetViews>
    <sheetView workbookViewId="0">
      <pane ySplit="8" topLeftCell="A38" activePane="bottomLeft" state="frozen"/>
      <selection pane="bottomLeft" activeCell="B9" sqref="B9:S54"/>
    </sheetView>
  </sheetViews>
  <sheetFormatPr defaultColWidth="9.109375" defaultRowHeight="13.2"/>
  <cols>
    <col min="1" max="1" width="24.33203125" style="2" customWidth="1"/>
    <col min="2" max="2" width="3.33203125" style="2" customWidth="1"/>
    <col min="3" max="3" width="4" style="2" customWidth="1"/>
    <col min="4" max="4" width="3.33203125" style="2" customWidth="1"/>
    <col min="5" max="5" width="3.88671875" style="2" customWidth="1"/>
    <col min="6" max="6" width="3.33203125" style="2" customWidth="1"/>
    <col min="7" max="7" width="4" style="2" customWidth="1"/>
    <col min="8" max="8" width="4.33203125" style="2" customWidth="1"/>
    <col min="9" max="9" width="3.33203125" style="2" customWidth="1"/>
    <col min="10" max="11" width="4.33203125" style="2" customWidth="1"/>
    <col min="12" max="12" width="4.33203125" style="3" customWidth="1"/>
    <col min="13" max="14" width="4.33203125" style="2" customWidth="1"/>
    <col min="15" max="16" width="4.44140625" style="2" customWidth="1"/>
    <col min="17" max="17" width="9.33203125" style="2" customWidth="1"/>
    <col min="18" max="18" width="4.33203125" style="2" customWidth="1"/>
    <col min="19" max="19" width="5.33203125" style="2" customWidth="1"/>
    <col min="20" max="16384" width="9.109375" style="2"/>
  </cols>
  <sheetData>
    <row r="1" spans="1:19">
      <c r="A1" s="226" t="s">
        <v>405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</row>
    <row r="2" spans="1:19">
      <c r="A2" s="226" t="s">
        <v>487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</row>
    <row r="3" spans="1:19">
      <c r="A3" s="4" t="s">
        <v>277</v>
      </c>
      <c r="B3" s="5"/>
      <c r="C3" s="1"/>
      <c r="D3" s="1"/>
      <c r="E3" s="6"/>
      <c r="F3" s="1"/>
      <c r="G3" s="1"/>
      <c r="H3" s="1"/>
      <c r="I3" s="6" t="s">
        <v>485</v>
      </c>
      <c r="J3" s="1"/>
      <c r="K3" s="1"/>
      <c r="L3" s="6"/>
      <c r="M3" s="1"/>
      <c r="N3" s="1"/>
      <c r="O3" s="6"/>
      <c r="P3" s="6"/>
      <c r="Q3" s="1"/>
      <c r="R3" s="1"/>
      <c r="S3" s="19" t="str">
        <f>'1.0WS'!K2</f>
        <v>YEAR: 2026-27</v>
      </c>
    </row>
    <row r="4" spans="1:19" ht="17.100000000000001" customHeight="1">
      <c r="A4" s="7" t="s">
        <v>406</v>
      </c>
      <c r="B4" s="227" t="s">
        <v>407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</row>
    <row r="5" spans="1:19" ht="15" customHeight="1">
      <c r="A5" s="7" t="s">
        <v>408</v>
      </c>
      <c r="B5" s="228" t="s">
        <v>372</v>
      </c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9" t="s">
        <v>373</v>
      </c>
      <c r="N5" s="230"/>
      <c r="O5" s="231"/>
      <c r="P5" s="211"/>
      <c r="Q5" s="55" t="s">
        <v>374</v>
      </c>
      <c r="R5" s="232" t="s">
        <v>486</v>
      </c>
      <c r="S5" s="237" t="s">
        <v>362</v>
      </c>
    </row>
    <row r="6" spans="1:19" s="1" customFormat="1" ht="17.100000000000001" customHeight="1">
      <c r="A6" s="7" t="s">
        <v>278</v>
      </c>
      <c r="B6" s="221" t="s">
        <v>375</v>
      </c>
      <c r="C6" s="222" t="s">
        <v>409</v>
      </c>
      <c r="D6" s="235" t="s">
        <v>410</v>
      </c>
      <c r="E6" s="235"/>
      <c r="F6" s="224" t="s">
        <v>411</v>
      </c>
      <c r="G6" s="221" t="s">
        <v>380</v>
      </c>
      <c r="H6" s="222" t="s">
        <v>381</v>
      </c>
      <c r="I6" s="223" t="s">
        <v>382</v>
      </c>
      <c r="J6" s="236" t="s">
        <v>412</v>
      </c>
      <c r="K6" s="236"/>
      <c r="L6" s="238" t="s">
        <v>413</v>
      </c>
      <c r="M6" s="221" t="s">
        <v>414</v>
      </c>
      <c r="N6" s="222" t="s">
        <v>386</v>
      </c>
      <c r="O6" s="223" t="s">
        <v>387</v>
      </c>
      <c r="P6" s="225" t="s">
        <v>413</v>
      </c>
      <c r="Q6" s="224" t="s">
        <v>380</v>
      </c>
      <c r="R6" s="233"/>
      <c r="S6" s="237"/>
    </row>
    <row r="7" spans="1:19" s="1" customFormat="1" ht="39.6" customHeight="1">
      <c r="A7" s="7"/>
      <c r="B7" s="221"/>
      <c r="C7" s="222"/>
      <c r="D7" s="8" t="s">
        <v>415</v>
      </c>
      <c r="E7" s="8" t="s">
        <v>416</v>
      </c>
      <c r="F7" s="224"/>
      <c r="G7" s="221"/>
      <c r="H7" s="222"/>
      <c r="I7" s="223"/>
      <c r="J7" s="11" t="s">
        <v>415</v>
      </c>
      <c r="K7" s="11" t="s">
        <v>416</v>
      </c>
      <c r="L7" s="238"/>
      <c r="M7" s="221"/>
      <c r="N7" s="222"/>
      <c r="O7" s="223"/>
      <c r="P7" s="225"/>
      <c r="Q7" s="224"/>
      <c r="R7" s="234"/>
      <c r="S7" s="237"/>
    </row>
    <row r="8" spans="1:19" ht="17.25" customHeight="1">
      <c r="A8" s="173" t="s">
        <v>417</v>
      </c>
      <c r="B8" s="174" t="s">
        <v>418</v>
      </c>
      <c r="C8" s="175" t="s">
        <v>419</v>
      </c>
      <c r="D8" s="176" t="s">
        <v>420</v>
      </c>
      <c r="E8" s="176" t="s">
        <v>421</v>
      </c>
      <c r="F8" s="177" t="s">
        <v>422</v>
      </c>
      <c r="G8" s="174" t="s">
        <v>423</v>
      </c>
      <c r="H8" s="175" t="s">
        <v>424</v>
      </c>
      <c r="I8" s="176" t="s">
        <v>425</v>
      </c>
      <c r="J8" s="177" t="s">
        <v>426</v>
      </c>
      <c r="K8" s="177" t="s">
        <v>427</v>
      </c>
      <c r="L8" s="178" t="s">
        <v>428</v>
      </c>
      <c r="M8" s="174" t="s">
        <v>429</v>
      </c>
      <c r="N8" s="175" t="s">
        <v>430</v>
      </c>
      <c r="O8" s="176" t="s">
        <v>431</v>
      </c>
      <c r="P8" s="177" t="s">
        <v>432</v>
      </c>
      <c r="Q8" s="179" t="s">
        <v>433</v>
      </c>
      <c r="R8" s="180" t="s">
        <v>434</v>
      </c>
      <c r="S8" s="180" t="s">
        <v>484</v>
      </c>
    </row>
    <row r="9" spans="1:19" ht="15" customHeight="1">
      <c r="A9" s="12" t="str">
        <f>'2.0WS(S)'!A5</f>
        <v>Kachchh</v>
      </c>
      <c r="B9" s="9" t="str">
        <f>IF(IFERROR(VLOOKUP(A9,'2.0WS(S)'!$A$5:$AQ$47,4,FALSE),"")=0,"",IFERROR(VLOOKUP(A9,'2.0WS(S)'!$A$5:$AQ$47,4,FALSE),""))</f>
        <v/>
      </c>
      <c r="C9" s="10">
        <f>IF(IFERROR(VLOOKUP(A9,'2.0WS(S)'!$A$5:$AQ$47,7,FALSE),"")=0,"",IFERROR(VLOOKUP(A9,'2.0WS(S)'!$A$5:$AQ$47,7,FALSE),""))</f>
        <v>10</v>
      </c>
      <c r="D9" s="8" t="str">
        <f>IF(IFERROR(VLOOKUP(A9,'2.0WS(S)'!$A$5:$AQ$47,10,FALSE),"")=0,"",IFERROR(VLOOKUP(A9,'2.0WS(S)'!$A$5:$AQ$47,10,FALSE),""))</f>
        <v/>
      </c>
      <c r="E9" s="8" t="str">
        <f>IF(IFERROR(VLOOKUP(A9,'2.0WS(S)'!$A$5:$AQ$47,13,FALSE),"")=0,"",IFERROR(VLOOKUP(A9,'2.0WS(S)'!$A$5:$AQ$47,13,FALSE),""))</f>
        <v/>
      </c>
      <c r="F9" s="11">
        <f>IF(IFERROR(VLOOKUP(A9,'2.0WS(S)'!$A$5:$AQ$47,16,FALSE),"")=0,"",IFERROR(VLOOKUP(A9,'2.0WS(S)'!$A$5:$AQ$47,16,FALSE),""))</f>
        <v>14</v>
      </c>
      <c r="G9" s="9">
        <f>IF(IFERROR(VLOOKUP(A9,'2.0WS(S)'!$A$5:$AQ$47,19,FALSE),"")=0,"",IFERROR(VLOOKUP(A9,'2.0WS(S)'!$A$5:$AQ$47,19,FALSE),""))</f>
        <v>4</v>
      </c>
      <c r="H9" s="10">
        <f>IF(IFERROR(VLOOKUP(A9,'2.0WS(S)'!$A$5:$AQ$47,22,FALSE),"")=0,"",IFERROR(VLOOKUP(A9,'2.0WS(S)'!$A$5:$AQ$47,22,FALSE),""))</f>
        <v>8</v>
      </c>
      <c r="I9" s="8" t="str">
        <f>IF(IFERROR(VLOOKUP(A9,'2.0WS(S)'!$A$5:$AQ$47,25,FALSE),"")=0,"",IFERROR(VLOOKUP(A9,'2.0WS(S)'!$A$5:$AQ$47,25,FALSE),""))</f>
        <v/>
      </c>
      <c r="J9" s="11">
        <f>IF(IFERROR(VLOOKUP(A9,'2.0WS(S)'!$A$5:$AQ$47,28,FALSE),"")=0,"",IFERROR(VLOOKUP(A9,'2.0WS(S)'!$A$5:$AQ$47,28,FALSE),""))</f>
        <v>8</v>
      </c>
      <c r="K9" s="11" t="str">
        <f>IF(IFERROR(VLOOKUP(A9,'2.0WS(S)'!$A$5:$AQ$47,31,FALSE),"")=0,"",IFERROR(VLOOKUP(A9,'2.0WS(S)'!$A$5:$AQ$47,31,FALSE),""))</f>
        <v/>
      </c>
      <c r="L9" s="17">
        <f>SUM(B9:K9)</f>
        <v>44</v>
      </c>
      <c r="M9" s="9">
        <f>IF(IFERROR(VLOOKUP(A9,'2.0WS(S)'!$A$5:$AQ$47,34,FALSE),"")=0,"",IFERROR(VLOOKUP(A9,'2.0WS(S)'!$A$5:$AQ$47,34,FALSE),""))</f>
        <v>6</v>
      </c>
      <c r="N9" s="10" t="str">
        <f>IF(IFERROR(VLOOKUP(A9,'2.0WS(S)'!$A$5:$AQ$47,37,FALSE),"")=0,"",IFERROR(VLOOKUP(A9,'2.0WS(S)'!$A$5:$AQ$47,37,FALSE),""))</f>
        <v/>
      </c>
      <c r="O9" s="8">
        <f>IF(IFERROR(VLOOKUP(A9,'2.0WS(S)'!$A$5:$AQ$47,40,FALSE),"")=0,"",IFERROR(VLOOKUP(A9,'2.0WS(S)'!$A$5:$AQ$47,40,FALSE),""))</f>
        <v>4</v>
      </c>
      <c r="P9" s="8">
        <f>SUM(M9:O9)</f>
        <v>10</v>
      </c>
      <c r="Q9" s="11">
        <f>IF(IFERROR(VLOOKUP(A9,'2.0WS(S)'!$A$5:$AQ$47,43,FALSE),"")=0,"",IFERROR(VLOOKUP(A9,'2.0WS(S)'!$A$5:$AQ$47,43,FALSE),""))</f>
        <v>4</v>
      </c>
      <c r="R9" s="18">
        <f>SUM(P9:Q9)</f>
        <v>14</v>
      </c>
      <c r="S9" s="16">
        <f>SUM(L9,R9)</f>
        <v>58</v>
      </c>
    </row>
    <row r="10" spans="1:19" ht="15" customHeight="1">
      <c r="A10" s="12" t="str">
        <f>'2.0WS(S)'!A6</f>
        <v>Surendranagar</v>
      </c>
      <c r="B10" s="9" t="str">
        <f>IF(IFERROR(VLOOKUP(A10,'2.0WS(S)'!$A$5:$AQ$47,4,FALSE),"")=0,"",IFERROR(VLOOKUP(A10,'2.0WS(S)'!$A$5:$AQ$47,4,FALSE),""))</f>
        <v/>
      </c>
      <c r="C10" s="10">
        <f>IF(IFERROR(VLOOKUP(A10,'2.0WS(S)'!$A$5:$AQ$47,7,FALSE),"")=0,"",IFERROR(VLOOKUP(A10,'2.0WS(S)'!$A$5:$AQ$47,7,FALSE),""))</f>
        <v>6</v>
      </c>
      <c r="D10" s="8" t="str">
        <f>IF(IFERROR(VLOOKUP(A10,'2.0WS(S)'!$A$5:$AQ$47,10,FALSE),"")=0,"",IFERROR(VLOOKUP(A10,'2.0WS(S)'!$A$5:$AQ$47,10,FALSE),""))</f>
        <v/>
      </c>
      <c r="E10" s="8" t="str">
        <f>IF(IFERROR(VLOOKUP(A10,'2.0WS(S)'!$A$5:$AQ$47,13,FALSE),"")=0,"",IFERROR(VLOOKUP(A10,'2.0WS(S)'!$A$5:$AQ$47,13,FALSE),""))</f>
        <v/>
      </c>
      <c r="F10" s="11">
        <f>IF(IFERROR(VLOOKUP(A10,'2.0WS(S)'!$A$5:$AQ$47,16,FALSE),"")=0,"",IFERROR(VLOOKUP(A10,'2.0WS(S)'!$A$5:$AQ$47,16,FALSE),""))</f>
        <v>10</v>
      </c>
      <c r="G10" s="9" t="str">
        <f>IF(IFERROR(VLOOKUP(A10,'2.0WS(S)'!$A$5:$AQ$47,19,FALSE),"")=0,"",IFERROR(VLOOKUP(A10,'2.0WS(S)'!$A$5:$AQ$47,19,FALSE),""))</f>
        <v/>
      </c>
      <c r="H10" s="10">
        <f>IF(IFERROR(VLOOKUP(A10,'2.0WS(S)'!$A$5:$AQ$47,22,FALSE),"")=0,"",IFERROR(VLOOKUP(A10,'2.0WS(S)'!$A$5:$AQ$47,22,FALSE),""))</f>
        <v>8</v>
      </c>
      <c r="I10" s="8" t="str">
        <f>IF(IFERROR(VLOOKUP(A10,'2.0WS(S)'!$A$5:$AQ$47,25,FALSE),"")=0,"",IFERROR(VLOOKUP(A10,'2.0WS(S)'!$A$5:$AQ$47,25,FALSE),""))</f>
        <v/>
      </c>
      <c r="J10" s="11">
        <f>IF(IFERROR(VLOOKUP(A10,'2.0WS(S)'!$A$5:$AQ$47,28,FALSE),"")=0,"",IFERROR(VLOOKUP(A10,'2.0WS(S)'!$A$5:$AQ$47,28,FALSE),""))</f>
        <v>10</v>
      </c>
      <c r="K10" s="11">
        <f>IF(IFERROR(VLOOKUP(A10,'2.0WS(S)'!$A$5:$AQ$47,31,FALSE),"")=0,"",IFERROR(VLOOKUP(A10,'2.0WS(S)'!$A$5:$AQ$47,31,FALSE),""))</f>
        <v>6</v>
      </c>
      <c r="L10" s="17">
        <f t="shared" ref="L10:L51" si="0">SUM(B10:K10)</f>
        <v>40</v>
      </c>
      <c r="M10" s="9">
        <f>IF(IFERROR(VLOOKUP(A10,'2.0WS(S)'!$A$5:$AQ$47,34,FALSE),"")=0,"",IFERROR(VLOOKUP(A10,'2.0WS(S)'!$A$5:$AQ$47,34,FALSE),""))</f>
        <v>4</v>
      </c>
      <c r="N10" s="10">
        <f>IF(IFERROR(VLOOKUP(A10,'2.0WS(S)'!$A$5:$AQ$47,37,FALSE),"")=0,"",IFERROR(VLOOKUP(A10,'2.0WS(S)'!$A$5:$AQ$47,37,FALSE),""))</f>
        <v>4</v>
      </c>
      <c r="O10" s="8">
        <f>IF(IFERROR(VLOOKUP(A10,'2.0WS(S)'!$A$5:$AQ$47,40,FALSE),"")=0,"",IFERROR(VLOOKUP(A10,'2.0WS(S)'!$A$5:$AQ$47,40,FALSE),""))</f>
        <v>6</v>
      </c>
      <c r="P10" s="8">
        <f t="shared" ref="P10:P54" si="1">SUM(M10:O10)</f>
        <v>14</v>
      </c>
      <c r="Q10" s="11" t="str">
        <f>IF(IFERROR(VLOOKUP(A10,'2.0WS(S)'!$A$5:$AQ$47,43,FALSE),"")=0,"",IFERROR(VLOOKUP(A10,'2.0WS(S)'!$A$5:$AQ$47,43,FALSE),""))</f>
        <v/>
      </c>
      <c r="R10" s="18">
        <f t="shared" ref="R10:R54" si="2">SUM(P10:Q10)</f>
        <v>14</v>
      </c>
      <c r="S10" s="16">
        <f>SUM(L10,R10)</f>
        <v>54</v>
      </c>
    </row>
    <row r="11" spans="1:19" ht="15" customHeight="1">
      <c r="A11" s="13" t="str">
        <f>'2.0WS(S)'!A7</f>
        <v>SRO S.NAGAR TOTAL</v>
      </c>
      <c r="B11" s="14">
        <f t="shared" ref="B11:S11" si="3">SUM(B9:B10)</f>
        <v>0</v>
      </c>
      <c r="C11" s="14">
        <f t="shared" si="3"/>
        <v>16</v>
      </c>
      <c r="D11" s="14">
        <f t="shared" si="3"/>
        <v>0</v>
      </c>
      <c r="E11" s="14">
        <f t="shared" si="3"/>
        <v>0</v>
      </c>
      <c r="F11" s="14">
        <f t="shared" si="3"/>
        <v>24</v>
      </c>
      <c r="G11" s="14">
        <f t="shared" si="3"/>
        <v>4</v>
      </c>
      <c r="H11" s="14">
        <f t="shared" si="3"/>
        <v>16</v>
      </c>
      <c r="I11" s="14">
        <f t="shared" si="3"/>
        <v>0</v>
      </c>
      <c r="J11" s="14">
        <f t="shared" si="3"/>
        <v>18</v>
      </c>
      <c r="K11" s="14">
        <f t="shared" si="3"/>
        <v>6</v>
      </c>
      <c r="L11" s="14">
        <f t="shared" si="3"/>
        <v>84</v>
      </c>
      <c r="M11" s="14">
        <f t="shared" si="3"/>
        <v>10</v>
      </c>
      <c r="N11" s="14">
        <f t="shared" si="3"/>
        <v>4</v>
      </c>
      <c r="O11" s="14">
        <f t="shared" si="3"/>
        <v>10</v>
      </c>
      <c r="P11" s="8">
        <f t="shared" si="1"/>
        <v>24</v>
      </c>
      <c r="Q11" s="14">
        <f t="shared" si="3"/>
        <v>4</v>
      </c>
      <c r="R11" s="18">
        <f t="shared" si="2"/>
        <v>28</v>
      </c>
      <c r="S11" s="14">
        <f t="shared" si="3"/>
        <v>112</v>
      </c>
    </row>
    <row r="12" spans="1:19" ht="15" customHeight="1">
      <c r="A12" s="12" t="str">
        <f>'2.0WS(S)'!A8</f>
        <v>Gandhinagar</v>
      </c>
      <c r="B12" s="9" t="str">
        <f>IF(IFERROR(VLOOKUP(A12,'2.0WS(S)'!$A$5:$AQ$47,4,FALSE),"")=0,"",IFERROR(VLOOKUP(A12,'2.0WS(S)'!$A$5:$AQ$47,4,FALSE),""))</f>
        <v/>
      </c>
      <c r="C12" s="10">
        <f>IF(IFERROR(VLOOKUP(A12,'2.0WS(S)'!$A$5:$AQ$47,7,FALSE),"")=0,"",IFERROR(VLOOKUP(A12,'2.0WS(S)'!$A$5:$AQ$47,7,FALSE),""))</f>
        <v>4</v>
      </c>
      <c r="D12" s="8">
        <f>IF(IFERROR(VLOOKUP(A12,'2.0WS(S)'!$A$5:$AQ$47,10,FALSE),"")=0,"",IFERROR(VLOOKUP(A12,'2.0WS(S)'!$A$5:$AQ$47,10,FALSE),""))</f>
        <v>4</v>
      </c>
      <c r="E12" s="8" t="str">
        <f>IF(IFERROR(VLOOKUP(A12,'2.0WS(S)'!$A$5:$AQ$47,13,FALSE),"")=0,"",IFERROR(VLOOKUP(A12,'2.0WS(S)'!$A$5:$AQ$47,13,FALSE),""))</f>
        <v/>
      </c>
      <c r="F12" s="11" t="str">
        <f>IF(IFERROR(VLOOKUP(A12,'2.0WS(S)'!$A$5:$AQ$47,16,FALSE),"")=0,"",IFERROR(VLOOKUP(A12,'2.0WS(S)'!$A$5:$AQ$47,16,FALSE),""))</f>
        <v/>
      </c>
      <c r="G12" s="9" t="str">
        <f>IF(IFERROR(VLOOKUP(A12,'2.0WS(S)'!$A$5:$AQ$47,19,FALSE),"")=0,"",IFERROR(VLOOKUP(A12,'2.0WS(S)'!$A$5:$AQ$47,19,FALSE),""))</f>
        <v/>
      </c>
      <c r="H12" s="10">
        <f>IF(IFERROR(VLOOKUP(A12,'2.0WS(S)'!$A$5:$AQ$47,22,FALSE),"")=0,"",IFERROR(VLOOKUP(A12,'2.0WS(S)'!$A$5:$AQ$47,22,FALSE),""))</f>
        <v>4</v>
      </c>
      <c r="I12" s="8" t="str">
        <f>IF(IFERROR(VLOOKUP(A12,'2.0WS(S)'!$A$5:$AQ$47,25,FALSE),"")=0,"",IFERROR(VLOOKUP(A12,'2.0WS(S)'!$A$5:$AQ$47,25,FALSE),""))</f>
        <v/>
      </c>
      <c r="J12" s="11">
        <f>IF(IFERROR(VLOOKUP(A12,'2.0WS(S)'!$A$5:$AQ$47,28,FALSE),"")=0,"",IFERROR(VLOOKUP(A12,'2.0WS(S)'!$A$5:$AQ$47,28,FALSE),""))</f>
        <v>4</v>
      </c>
      <c r="K12" s="11" t="str">
        <f>IF(IFERROR(VLOOKUP(A12,'2.0WS(S)'!$A$5:$AQ$47,31,FALSE),"")=0,"",IFERROR(VLOOKUP(A12,'2.0WS(S)'!$A$5:$AQ$47,31,FALSE),""))</f>
        <v/>
      </c>
      <c r="L12" s="17">
        <f t="shared" si="0"/>
        <v>16</v>
      </c>
      <c r="M12" s="9">
        <f>IF(IFERROR(VLOOKUP(A12,'2.0WS(S)'!$A$5:$AQ$47,34,FALSE),"")=0,"",IFERROR(VLOOKUP(A12,'2.0WS(S)'!$A$5:$AQ$47,34,FALSE),""))</f>
        <v>4</v>
      </c>
      <c r="N12" s="10" t="str">
        <f>IF(IFERROR(VLOOKUP(A12,'2.0WS(S)'!$A$5:$AQ$47,37,FALSE),"")=0,"",IFERROR(VLOOKUP(A12,'2.0WS(S)'!$A$5:$AQ$47,37,FALSE),""))</f>
        <v/>
      </c>
      <c r="O12" s="8" t="str">
        <f>IF(IFERROR(VLOOKUP(A12,'2.0WS(S)'!$A$5:$AQ$47,40,FALSE),"")=0,"",IFERROR(VLOOKUP(A12,'2.0WS(S)'!$A$5:$AQ$47,40,FALSE),""))</f>
        <v/>
      </c>
      <c r="P12" s="8">
        <f t="shared" si="1"/>
        <v>4</v>
      </c>
      <c r="Q12" s="11" t="str">
        <f>IF(IFERROR(VLOOKUP(A12,'2.0WS(S)'!$A$5:$AQ$47,43,FALSE),"")=0,"",IFERROR(VLOOKUP(A12,'2.0WS(S)'!$A$5:$AQ$47,43,FALSE),""))</f>
        <v/>
      </c>
      <c r="R12" s="18">
        <f t="shared" si="2"/>
        <v>4</v>
      </c>
      <c r="S12" s="16">
        <f>SUM(L12,R12)</f>
        <v>20</v>
      </c>
    </row>
    <row r="13" spans="1:19" ht="15" customHeight="1">
      <c r="A13" s="12" t="str">
        <f>'2.0WS(S)'!A9</f>
        <v>Ahmedabad</v>
      </c>
      <c r="B13" s="9" t="str">
        <f>IF(IFERROR(VLOOKUP(A13,'2.0WS(S)'!$A$5:$AQ$47,4,FALSE),"")=0,"",IFERROR(VLOOKUP(A13,'2.0WS(S)'!$A$5:$AQ$47,4,FALSE),""))</f>
        <v/>
      </c>
      <c r="C13" s="10" t="str">
        <f>IF(IFERROR(VLOOKUP(A13,'2.0WS(S)'!$A$5:$AQ$47,7,FALSE),"")=0,"",IFERROR(VLOOKUP(A13,'2.0WS(S)'!$A$5:$AQ$47,7,FALSE),""))</f>
        <v/>
      </c>
      <c r="D13" s="8">
        <f>IF(IFERROR(VLOOKUP(A13,'2.0WS(S)'!$A$5:$AQ$47,10,FALSE),"")=0,"",IFERROR(VLOOKUP(A13,'2.0WS(S)'!$A$5:$AQ$47,10,FALSE),""))</f>
        <v>4</v>
      </c>
      <c r="E13" s="8" t="str">
        <f>IF(IFERROR(VLOOKUP(A13,'2.0WS(S)'!$A$5:$AQ$47,13,FALSE),"")=0,"",IFERROR(VLOOKUP(A13,'2.0WS(S)'!$A$5:$AQ$47,13,FALSE),""))</f>
        <v/>
      </c>
      <c r="F13" s="11" t="str">
        <f>IF(IFERROR(VLOOKUP(A13,'2.0WS(S)'!$A$5:$AQ$47,16,FALSE),"")=0,"",IFERROR(VLOOKUP(A13,'2.0WS(S)'!$A$5:$AQ$47,16,FALSE),""))</f>
        <v/>
      </c>
      <c r="G13" s="9" t="str">
        <f>IF(IFERROR(VLOOKUP(A13,'2.0WS(S)'!$A$5:$AQ$47,19,FALSE),"")=0,"",IFERROR(VLOOKUP(A13,'2.0WS(S)'!$A$5:$AQ$47,19,FALSE),""))</f>
        <v/>
      </c>
      <c r="H13" s="10">
        <f>IF(IFERROR(VLOOKUP(A13,'2.0WS(S)'!$A$5:$AQ$47,22,FALSE),"")=0,"",IFERROR(VLOOKUP(A13,'2.0WS(S)'!$A$5:$AQ$47,22,FALSE),""))</f>
        <v>6</v>
      </c>
      <c r="I13" s="8" t="str">
        <f>IF(IFERROR(VLOOKUP(A13,'2.0WS(S)'!$A$5:$AQ$47,25,FALSE),"")=0,"",IFERROR(VLOOKUP(A13,'2.0WS(S)'!$A$5:$AQ$47,25,FALSE),""))</f>
        <v/>
      </c>
      <c r="J13" s="11">
        <f>IF(IFERROR(VLOOKUP(A13,'2.0WS(S)'!$A$5:$AQ$47,28,FALSE),"")=0,"",IFERROR(VLOOKUP(A13,'2.0WS(S)'!$A$5:$AQ$47,28,FALSE),""))</f>
        <v>4</v>
      </c>
      <c r="K13" s="11">
        <f>IF(IFERROR(VLOOKUP(A13,'2.0WS(S)'!$A$5:$AQ$47,31,FALSE),"")=0,"",IFERROR(VLOOKUP(A13,'2.0WS(S)'!$A$5:$AQ$47,31,FALSE),""))</f>
        <v>6</v>
      </c>
      <c r="L13" s="17">
        <f t="shared" si="0"/>
        <v>20</v>
      </c>
      <c r="M13" s="9">
        <f>IF(IFERROR(VLOOKUP(A13,'2.0WS(S)'!$A$5:$AQ$47,34,FALSE),"")=0,"",IFERROR(VLOOKUP(A13,'2.0WS(S)'!$A$5:$AQ$47,34,FALSE),""))</f>
        <v>4</v>
      </c>
      <c r="N13" s="10">
        <f>IF(IFERROR(VLOOKUP(A13,'2.0WS(S)'!$A$5:$AQ$47,37,FALSE),"")=0,"",IFERROR(VLOOKUP(A13,'2.0WS(S)'!$A$5:$AQ$47,37,FALSE),""))</f>
        <v>4</v>
      </c>
      <c r="O13" s="8">
        <f>IF(IFERROR(VLOOKUP(A13,'2.0WS(S)'!$A$5:$AQ$47,40,FALSE),"")=0,"",IFERROR(VLOOKUP(A13,'2.0WS(S)'!$A$5:$AQ$47,40,FALSE),""))</f>
        <v>4</v>
      </c>
      <c r="P13" s="8">
        <f t="shared" si="1"/>
        <v>12</v>
      </c>
      <c r="Q13" s="11" t="str">
        <f>IF(IFERROR(VLOOKUP(A13,'2.0WS(S)'!$A$5:$AQ$47,43,FALSE),"")=0,"",IFERROR(VLOOKUP(A13,'2.0WS(S)'!$A$5:$AQ$47,43,FALSE),""))</f>
        <v/>
      </c>
      <c r="R13" s="18">
        <f t="shared" si="2"/>
        <v>12</v>
      </c>
      <c r="S13" s="16">
        <f>SUM(L13,R13)</f>
        <v>32</v>
      </c>
    </row>
    <row r="14" spans="1:19" ht="15" customHeight="1">
      <c r="A14" s="13" t="str">
        <f>'2.0WS(S)'!A10</f>
        <v>SRO AHEMDABAD TOTAL</v>
      </c>
      <c r="B14" s="14">
        <f t="shared" ref="B14:S14" si="4">SUM(B12:B13)</f>
        <v>0</v>
      </c>
      <c r="C14" s="14">
        <f t="shared" si="4"/>
        <v>4</v>
      </c>
      <c r="D14" s="14">
        <f t="shared" si="4"/>
        <v>8</v>
      </c>
      <c r="E14" s="14">
        <f t="shared" si="4"/>
        <v>0</v>
      </c>
      <c r="F14" s="14">
        <f t="shared" si="4"/>
        <v>0</v>
      </c>
      <c r="G14" s="14">
        <f t="shared" si="4"/>
        <v>0</v>
      </c>
      <c r="H14" s="14">
        <f t="shared" si="4"/>
        <v>10</v>
      </c>
      <c r="I14" s="14">
        <f t="shared" si="4"/>
        <v>0</v>
      </c>
      <c r="J14" s="14">
        <f t="shared" si="4"/>
        <v>8</v>
      </c>
      <c r="K14" s="14">
        <f t="shared" si="4"/>
        <v>6</v>
      </c>
      <c r="L14" s="14">
        <f t="shared" si="4"/>
        <v>36</v>
      </c>
      <c r="M14" s="14">
        <f t="shared" si="4"/>
        <v>8</v>
      </c>
      <c r="N14" s="14">
        <f t="shared" si="4"/>
        <v>4</v>
      </c>
      <c r="O14" s="14">
        <f t="shared" si="4"/>
        <v>4</v>
      </c>
      <c r="P14" s="8">
        <f t="shared" si="1"/>
        <v>16</v>
      </c>
      <c r="Q14" s="14">
        <f t="shared" si="4"/>
        <v>0</v>
      </c>
      <c r="R14" s="18">
        <f t="shared" si="2"/>
        <v>16</v>
      </c>
      <c r="S14" s="14">
        <f t="shared" si="4"/>
        <v>52</v>
      </c>
    </row>
    <row r="15" spans="1:19" ht="15" customHeight="1">
      <c r="A15" s="12" t="str">
        <f>'2.0WS(S)'!A11</f>
        <v>Rajkot</v>
      </c>
      <c r="B15" s="9" t="str">
        <f>IF(IFERROR(VLOOKUP(A15,'2.0WS(S)'!$A$5:$AQ$47,4,FALSE),"")=0,"",IFERROR(VLOOKUP(A15,'2.0WS(S)'!$A$5:$AQ$47,4,FALSE),""))</f>
        <v/>
      </c>
      <c r="C15" s="10">
        <f>IF(IFERROR(VLOOKUP(A15,'2.0WS(S)'!$A$5:$AQ$47,7,FALSE),"")=0,"",IFERROR(VLOOKUP(A15,'2.0WS(S)'!$A$5:$AQ$47,7,FALSE),""))</f>
        <v>10</v>
      </c>
      <c r="D15" s="8" t="str">
        <f>IF(IFERROR(VLOOKUP(A15,'2.0WS(S)'!$A$5:$AQ$47,10,FALSE),"")=0,"",IFERROR(VLOOKUP(A15,'2.0WS(S)'!$A$5:$AQ$47,10,FALSE),""))</f>
        <v/>
      </c>
      <c r="E15" s="8" t="str">
        <f>IF(IFERROR(VLOOKUP(A15,'2.0WS(S)'!$A$5:$AQ$47,13,FALSE),"")=0,"",IFERROR(VLOOKUP(A15,'2.0WS(S)'!$A$5:$AQ$47,13,FALSE),""))</f>
        <v/>
      </c>
      <c r="F15" s="11" t="str">
        <f>IF(IFERROR(VLOOKUP(A15,'2.0WS(S)'!$A$5:$AQ$47,16,FALSE),"")=0,"",IFERROR(VLOOKUP(A15,'2.0WS(S)'!$A$5:$AQ$47,16,FALSE),""))</f>
        <v/>
      </c>
      <c r="G15" s="9" t="str">
        <f>IF(IFERROR(VLOOKUP(A15,'2.0WS(S)'!$A$5:$AQ$47,19,FALSE),"")=0,"",IFERROR(VLOOKUP(A15,'2.0WS(S)'!$A$5:$AQ$47,19,FALSE),""))</f>
        <v/>
      </c>
      <c r="H15" s="10" t="str">
        <f>IF(IFERROR(VLOOKUP(A15,'2.0WS(S)'!$A$5:$AQ$47,22,FALSE),"")=0,"",IFERROR(VLOOKUP(A15,'2.0WS(S)'!$A$5:$AQ$47,22,FALSE),""))</f>
        <v/>
      </c>
      <c r="I15" s="8" t="str">
        <f>IF(IFERROR(VLOOKUP(A15,'2.0WS(S)'!$A$5:$AQ$47,25,FALSE),"")=0,"",IFERROR(VLOOKUP(A15,'2.0WS(S)'!$A$5:$AQ$47,25,FALSE),""))</f>
        <v/>
      </c>
      <c r="J15" s="11">
        <f>IF(IFERROR(VLOOKUP(A15,'2.0WS(S)'!$A$5:$AQ$47,28,FALSE),"")=0,"",IFERROR(VLOOKUP(A15,'2.0WS(S)'!$A$5:$AQ$47,28,FALSE),""))</f>
        <v>10</v>
      </c>
      <c r="K15" s="11" t="str">
        <f>IF(IFERROR(VLOOKUP(A15,'2.0WS(S)'!$A$5:$AQ$47,31,FALSE),"")=0,"",IFERROR(VLOOKUP(A15,'2.0WS(S)'!$A$5:$AQ$47,31,FALSE),""))</f>
        <v/>
      </c>
      <c r="L15" s="17">
        <f t="shared" si="0"/>
        <v>20</v>
      </c>
      <c r="M15" s="9" t="str">
        <f>IF(IFERROR(VLOOKUP(A15,'2.0WS(S)'!$A$5:$AQ$47,34,FALSE),"")=0,"",IFERROR(VLOOKUP(A15,'2.0WS(S)'!$A$5:$AQ$47,34,FALSE),""))</f>
        <v/>
      </c>
      <c r="N15" s="10">
        <f>IF(IFERROR(VLOOKUP(A15,'2.0WS(S)'!$A$5:$AQ$47,37,FALSE),"")=0,"",IFERROR(VLOOKUP(A15,'2.0WS(S)'!$A$5:$AQ$47,37,FALSE),""))</f>
        <v>6</v>
      </c>
      <c r="O15" s="8">
        <f>IF(IFERROR(VLOOKUP(A15,'2.0WS(S)'!$A$5:$AQ$47,40,FALSE),"")=0,"",IFERROR(VLOOKUP(A15,'2.0WS(S)'!$A$5:$AQ$47,40,FALSE),""))</f>
        <v>6</v>
      </c>
      <c r="P15" s="8">
        <f t="shared" si="1"/>
        <v>12</v>
      </c>
      <c r="Q15" s="11" t="str">
        <f>IF(IFERROR(VLOOKUP(A15,'2.0WS(S)'!$A$5:$AQ$47,43,FALSE),"")=0,"",IFERROR(VLOOKUP(A15,'2.0WS(S)'!$A$5:$AQ$47,43,FALSE),""))</f>
        <v/>
      </c>
      <c r="R15" s="18">
        <f t="shared" si="2"/>
        <v>12</v>
      </c>
      <c r="S15" s="16">
        <f>SUM(L15,R15)</f>
        <v>32</v>
      </c>
    </row>
    <row r="16" spans="1:19" ht="15" customHeight="1">
      <c r="A16" s="12" t="str">
        <f>'2.0WS(S)'!A12</f>
        <v>Morbi</v>
      </c>
      <c r="B16" s="9" t="str">
        <f>IF(IFERROR(VLOOKUP(A16,'2.0WS(S)'!$A$5:$AQ$47,4,FALSE),"")=0,"",IFERROR(VLOOKUP(A16,'2.0WS(S)'!$A$5:$AQ$47,4,FALSE),""))</f>
        <v/>
      </c>
      <c r="C16" s="10">
        <f>IF(IFERROR(VLOOKUP(A16,'2.0WS(S)'!$A$5:$AQ$47,7,FALSE),"")=0,"",IFERROR(VLOOKUP(A16,'2.0WS(S)'!$A$5:$AQ$47,7,FALSE),""))</f>
        <v>6</v>
      </c>
      <c r="D16" s="8" t="str">
        <f>IF(IFERROR(VLOOKUP(A16,'2.0WS(S)'!$A$5:$AQ$47,10,FALSE),"")=0,"",IFERROR(VLOOKUP(A16,'2.0WS(S)'!$A$5:$AQ$47,10,FALSE),""))</f>
        <v/>
      </c>
      <c r="E16" s="8" t="str">
        <f>IF(IFERROR(VLOOKUP(A16,'2.0WS(S)'!$A$5:$AQ$47,13,FALSE),"")=0,"",IFERROR(VLOOKUP(A16,'2.0WS(S)'!$A$5:$AQ$47,13,FALSE),""))</f>
        <v/>
      </c>
      <c r="F16" s="11">
        <f>IF(IFERROR(VLOOKUP(A16,'2.0WS(S)'!$A$5:$AQ$47,16,FALSE),"")=0,"",IFERROR(VLOOKUP(A16,'2.0WS(S)'!$A$5:$AQ$47,16,FALSE),""))</f>
        <v>4</v>
      </c>
      <c r="G16" s="9" t="str">
        <f>IF(IFERROR(VLOOKUP(A16,'2.0WS(S)'!$A$5:$AQ$47,19,FALSE),"")=0,"",IFERROR(VLOOKUP(A16,'2.0WS(S)'!$A$5:$AQ$47,19,FALSE),""))</f>
        <v/>
      </c>
      <c r="H16" s="10">
        <f>IF(IFERROR(VLOOKUP(A16,'2.0WS(S)'!$A$5:$AQ$47,22,FALSE),"")=0,"",IFERROR(VLOOKUP(A16,'2.0WS(S)'!$A$5:$AQ$47,22,FALSE),""))</f>
        <v>4</v>
      </c>
      <c r="I16" s="8" t="str">
        <f>IF(IFERROR(VLOOKUP(A16,'2.0WS(S)'!$A$5:$AQ$47,25,FALSE),"")=0,"",IFERROR(VLOOKUP(A16,'2.0WS(S)'!$A$5:$AQ$47,25,FALSE),""))</f>
        <v/>
      </c>
      <c r="J16" s="11">
        <f>IF(IFERROR(VLOOKUP(A16,'2.0WS(S)'!$A$5:$AQ$47,28,FALSE),"")=0,"",IFERROR(VLOOKUP(A16,'2.0WS(S)'!$A$5:$AQ$47,28,FALSE),""))</f>
        <v>4</v>
      </c>
      <c r="K16" s="11">
        <f>IF(IFERROR(VLOOKUP(A16,'2.0WS(S)'!$A$5:$AQ$47,31,FALSE),"")=0,"",IFERROR(VLOOKUP(A16,'2.0WS(S)'!$A$5:$AQ$47,31,FALSE),""))</f>
        <v>4</v>
      </c>
      <c r="L16" s="17">
        <f t="shared" si="0"/>
        <v>22</v>
      </c>
      <c r="M16" s="9" t="str">
        <f>IF(IFERROR(VLOOKUP(A16,'2.0WS(S)'!$A$5:$AQ$47,34,FALSE),"")=0,"",IFERROR(VLOOKUP(A16,'2.0WS(S)'!$A$5:$AQ$47,34,FALSE),""))</f>
        <v/>
      </c>
      <c r="N16" s="10">
        <f>IF(IFERROR(VLOOKUP(A16,'2.0WS(S)'!$A$5:$AQ$47,37,FALSE),"")=0,"",IFERROR(VLOOKUP(A16,'2.0WS(S)'!$A$5:$AQ$47,37,FALSE),""))</f>
        <v>4</v>
      </c>
      <c r="O16" s="8">
        <f>IF(IFERROR(VLOOKUP(A16,'2.0WS(S)'!$A$5:$AQ$47,40,FALSE),"")=0,"",IFERROR(VLOOKUP(A16,'2.0WS(S)'!$A$5:$AQ$47,40,FALSE),""))</f>
        <v>4</v>
      </c>
      <c r="P16" s="8">
        <f t="shared" si="1"/>
        <v>8</v>
      </c>
      <c r="Q16" s="11" t="str">
        <f>IF(IFERROR(VLOOKUP(A16,'2.0WS(S)'!$A$5:$AQ$47,43,FALSE),"")=0,"",IFERROR(VLOOKUP(A16,'2.0WS(S)'!$A$5:$AQ$47,43,FALSE),""))</f>
        <v/>
      </c>
      <c r="R16" s="18">
        <f t="shared" si="2"/>
        <v>8</v>
      </c>
      <c r="S16" s="16">
        <f>SUM(L16,R16)</f>
        <v>30</v>
      </c>
    </row>
    <row r="17" spans="1:19" ht="15" customHeight="1">
      <c r="A17" s="12" t="str">
        <f>'2.0WS(S)'!A13</f>
        <v>Junagadh</v>
      </c>
      <c r="B17" s="9" t="str">
        <f>IF(IFERROR(VLOOKUP(A17,'2.0WS(S)'!$A$5:$AQ$47,4,FALSE),"")=0,"",IFERROR(VLOOKUP(A17,'2.0WS(S)'!$A$5:$AQ$47,4,FALSE),""))</f>
        <v/>
      </c>
      <c r="C17" s="10">
        <f>IF(IFERROR(VLOOKUP(A17,'2.0WS(S)'!$A$5:$AQ$47,7,FALSE),"")=0,"",IFERROR(VLOOKUP(A17,'2.0WS(S)'!$A$5:$AQ$47,7,FALSE),""))</f>
        <v>10</v>
      </c>
      <c r="D17" s="8" t="str">
        <f>IF(IFERROR(VLOOKUP(A17,'2.0WS(S)'!$A$5:$AQ$47,10,FALSE),"")=0,"",IFERROR(VLOOKUP(A17,'2.0WS(S)'!$A$5:$AQ$47,10,FALSE),""))</f>
        <v/>
      </c>
      <c r="E17" s="8" t="str">
        <f>IF(IFERROR(VLOOKUP(A17,'2.0WS(S)'!$A$5:$AQ$47,13,FALSE),"")=0,"",IFERROR(VLOOKUP(A17,'2.0WS(S)'!$A$5:$AQ$47,13,FALSE),""))</f>
        <v/>
      </c>
      <c r="F17" s="11" t="str">
        <f>IF(IFERROR(VLOOKUP(A17,'2.0WS(S)'!$A$5:$AQ$47,16,FALSE),"")=0,"",IFERROR(VLOOKUP(A17,'2.0WS(S)'!$A$5:$AQ$47,16,FALSE),""))</f>
        <v/>
      </c>
      <c r="G17" s="9" t="str">
        <f>IF(IFERROR(VLOOKUP(A17,'2.0WS(S)'!$A$5:$AQ$47,19,FALSE),"")=0,"",IFERROR(VLOOKUP(A17,'2.0WS(S)'!$A$5:$AQ$47,19,FALSE),""))</f>
        <v/>
      </c>
      <c r="H17" s="10" t="str">
        <f>IF(IFERROR(VLOOKUP(A17,'2.0WS(S)'!$A$5:$AQ$47,22,FALSE),"")=0,"",IFERROR(VLOOKUP(A17,'2.0WS(S)'!$A$5:$AQ$47,22,FALSE),""))</f>
        <v/>
      </c>
      <c r="I17" s="8">
        <f>IF(IFERROR(VLOOKUP(A17,'2.0WS(S)'!$A$5:$AQ$47,25,FALSE),"")=0,"",IFERROR(VLOOKUP(A17,'2.0WS(S)'!$A$5:$AQ$47,25,FALSE),""))</f>
        <v>6</v>
      </c>
      <c r="J17" s="11">
        <f>IF(IFERROR(VLOOKUP(A17,'2.0WS(S)'!$A$5:$AQ$47,28,FALSE),"")=0,"",IFERROR(VLOOKUP(A17,'2.0WS(S)'!$A$5:$AQ$47,28,FALSE),""))</f>
        <v>4</v>
      </c>
      <c r="K17" s="11" t="str">
        <f>IF(IFERROR(VLOOKUP(A17,'2.0WS(S)'!$A$5:$AQ$47,31,FALSE),"")=0,"",IFERROR(VLOOKUP(A17,'2.0WS(S)'!$A$5:$AQ$47,31,FALSE),""))</f>
        <v/>
      </c>
      <c r="L17" s="17">
        <f t="shared" si="0"/>
        <v>20</v>
      </c>
      <c r="M17" s="9" t="str">
        <f>IF(IFERROR(VLOOKUP(A17,'2.0WS(S)'!$A$5:$AQ$47,34,FALSE),"")=0,"",IFERROR(VLOOKUP(A17,'2.0WS(S)'!$A$5:$AQ$47,34,FALSE),""))</f>
        <v/>
      </c>
      <c r="N17" s="10">
        <f>IF(IFERROR(VLOOKUP(A17,'2.0WS(S)'!$A$5:$AQ$47,37,FALSE),"")=0,"",IFERROR(VLOOKUP(A17,'2.0WS(S)'!$A$5:$AQ$47,37,FALSE),""))</f>
        <v>4</v>
      </c>
      <c r="O17" s="8">
        <f>IF(IFERROR(VLOOKUP(A17,'2.0WS(S)'!$A$5:$AQ$47,40,FALSE),"")=0,"",IFERROR(VLOOKUP(A17,'2.0WS(S)'!$A$5:$AQ$47,40,FALSE),""))</f>
        <v>4</v>
      </c>
      <c r="P17" s="8">
        <f t="shared" si="1"/>
        <v>8</v>
      </c>
      <c r="Q17" s="11" t="str">
        <f>IF(IFERROR(VLOOKUP(A17,'2.0WS(S)'!$A$5:$AQ$47,43,FALSE),"")=0,"",IFERROR(VLOOKUP(A17,'2.0WS(S)'!$A$5:$AQ$47,43,FALSE),""))</f>
        <v/>
      </c>
      <c r="R17" s="18">
        <f t="shared" si="2"/>
        <v>8</v>
      </c>
      <c r="S17" s="16">
        <f>SUM(L17,R17)</f>
        <v>28</v>
      </c>
    </row>
    <row r="18" spans="1:19" ht="15" customHeight="1">
      <c r="A18" s="12" t="str">
        <f>'2.0WS(S)'!A14</f>
        <v>Gir Somnath</v>
      </c>
      <c r="B18" s="9" t="str">
        <f>IF(IFERROR(VLOOKUP(A18,'2.0WS(S)'!$A$5:$AQ$47,4,FALSE),"")=0,"",IFERROR(VLOOKUP(A18,'2.0WS(S)'!$A$5:$AQ$47,4,FALSE),""))</f>
        <v/>
      </c>
      <c r="C18" s="10">
        <f>IF(IFERROR(VLOOKUP(A18,'2.0WS(S)'!$A$5:$AQ$47,7,FALSE),"")=0,"",IFERROR(VLOOKUP(A18,'2.0WS(S)'!$A$5:$AQ$47,7,FALSE),""))</f>
        <v>6</v>
      </c>
      <c r="D18" s="8" t="str">
        <f>IF(IFERROR(VLOOKUP(A18,'2.0WS(S)'!$A$5:$AQ$47,10,FALSE),"")=0,"",IFERROR(VLOOKUP(A18,'2.0WS(S)'!$A$5:$AQ$47,10,FALSE),""))</f>
        <v/>
      </c>
      <c r="E18" s="8" t="str">
        <f>IF(IFERROR(VLOOKUP(A18,'2.0WS(S)'!$A$5:$AQ$47,13,FALSE),"")=0,"",IFERROR(VLOOKUP(A18,'2.0WS(S)'!$A$5:$AQ$47,13,FALSE),""))</f>
        <v/>
      </c>
      <c r="F18" s="11" t="str">
        <f>IF(IFERROR(VLOOKUP(A18,'2.0WS(S)'!$A$5:$AQ$47,16,FALSE),"")=0,"",IFERROR(VLOOKUP(A18,'2.0WS(S)'!$A$5:$AQ$47,16,FALSE),""))</f>
        <v/>
      </c>
      <c r="G18" s="9">
        <f>IF(IFERROR(VLOOKUP(A18,'2.0WS(S)'!$A$5:$AQ$47,19,FALSE),"")=0,"",IFERROR(VLOOKUP(A18,'2.0WS(S)'!$A$5:$AQ$47,19,FALSE),""))</f>
        <v>4</v>
      </c>
      <c r="H18" s="10" t="str">
        <f>IF(IFERROR(VLOOKUP(A18,'2.0WS(S)'!$A$5:$AQ$47,22,FALSE),"")=0,"",IFERROR(VLOOKUP(A18,'2.0WS(S)'!$A$5:$AQ$47,22,FALSE),""))</f>
        <v/>
      </c>
      <c r="I18" s="8" t="str">
        <f>IF(IFERROR(VLOOKUP(A18,'2.0WS(S)'!$A$5:$AQ$47,25,FALSE),"")=0,"",IFERROR(VLOOKUP(A18,'2.0WS(S)'!$A$5:$AQ$47,25,FALSE),""))</f>
        <v/>
      </c>
      <c r="J18" s="11">
        <f>IF(IFERROR(VLOOKUP(A18,'2.0WS(S)'!$A$5:$AQ$47,28,FALSE),"")=0,"",IFERROR(VLOOKUP(A18,'2.0WS(S)'!$A$5:$AQ$47,28,FALSE),""))</f>
        <v>4</v>
      </c>
      <c r="K18" s="11" t="str">
        <f>IF(IFERROR(VLOOKUP(A18,'2.0WS(S)'!$A$5:$AQ$47,31,FALSE),"")=0,"",IFERROR(VLOOKUP(A18,'2.0WS(S)'!$A$5:$AQ$47,31,FALSE),""))</f>
        <v/>
      </c>
      <c r="L18" s="17">
        <f t="shared" si="0"/>
        <v>14</v>
      </c>
      <c r="M18" s="9" t="str">
        <f>IF(IFERROR(VLOOKUP(A18,'2.0WS(S)'!$A$5:$AQ$47,34,FALSE),"")=0,"",IFERROR(VLOOKUP(A18,'2.0WS(S)'!$A$5:$AQ$47,34,FALSE),""))</f>
        <v/>
      </c>
      <c r="N18" s="10">
        <f>IF(IFERROR(VLOOKUP(A18,'2.0WS(S)'!$A$5:$AQ$47,37,FALSE),"")=0,"",IFERROR(VLOOKUP(A18,'2.0WS(S)'!$A$5:$AQ$47,37,FALSE),""))</f>
        <v>4</v>
      </c>
      <c r="O18" s="8">
        <f>IF(IFERROR(VLOOKUP(A18,'2.0WS(S)'!$A$5:$AQ$47,40,FALSE),"")=0,"",IFERROR(VLOOKUP(A18,'2.0WS(S)'!$A$5:$AQ$47,40,FALSE),""))</f>
        <v>4</v>
      </c>
      <c r="P18" s="8">
        <f t="shared" si="1"/>
        <v>8</v>
      </c>
      <c r="Q18" s="11">
        <f>IF(IFERROR(VLOOKUP(A18,'2.0WS(S)'!$A$5:$AQ$47,43,FALSE),"")=0,"",IFERROR(VLOOKUP(A18,'2.0WS(S)'!$A$5:$AQ$47,43,FALSE),""))</f>
        <v>4</v>
      </c>
      <c r="R18" s="18">
        <f t="shared" si="2"/>
        <v>12</v>
      </c>
      <c r="S18" s="16">
        <f>SUM(L18,R18)</f>
        <v>26</v>
      </c>
    </row>
    <row r="19" spans="1:19" ht="15" customHeight="1">
      <c r="A19" s="13" t="str">
        <f>'2.0WS(S)'!A15</f>
        <v>SRO RAJKOT TOTAL</v>
      </c>
      <c r="B19" s="14">
        <f t="shared" ref="B19:S19" si="5">SUM(B15:B18)</f>
        <v>0</v>
      </c>
      <c r="C19" s="14">
        <f t="shared" si="5"/>
        <v>32</v>
      </c>
      <c r="D19" s="14">
        <f t="shared" si="5"/>
        <v>0</v>
      </c>
      <c r="E19" s="14">
        <f t="shared" si="5"/>
        <v>0</v>
      </c>
      <c r="F19" s="14">
        <f t="shared" si="5"/>
        <v>4</v>
      </c>
      <c r="G19" s="14">
        <f t="shared" si="5"/>
        <v>4</v>
      </c>
      <c r="H19" s="14">
        <f t="shared" si="5"/>
        <v>4</v>
      </c>
      <c r="I19" s="14">
        <f t="shared" si="5"/>
        <v>6</v>
      </c>
      <c r="J19" s="14">
        <f t="shared" si="5"/>
        <v>22</v>
      </c>
      <c r="K19" s="14">
        <f t="shared" si="5"/>
        <v>4</v>
      </c>
      <c r="L19" s="14">
        <f t="shared" si="5"/>
        <v>76</v>
      </c>
      <c r="M19" s="14">
        <f t="shared" si="5"/>
        <v>0</v>
      </c>
      <c r="N19" s="14">
        <f t="shared" si="5"/>
        <v>18</v>
      </c>
      <c r="O19" s="14">
        <f t="shared" si="5"/>
        <v>18</v>
      </c>
      <c r="P19" s="8">
        <f t="shared" si="1"/>
        <v>36</v>
      </c>
      <c r="Q19" s="14">
        <f t="shared" si="5"/>
        <v>4</v>
      </c>
      <c r="R19" s="18">
        <f t="shared" si="2"/>
        <v>40</v>
      </c>
      <c r="S19" s="14">
        <f t="shared" si="5"/>
        <v>116</v>
      </c>
    </row>
    <row r="20" spans="1:19" ht="15" customHeight="1">
      <c r="A20" s="12" t="str">
        <f>'2.0WS(S)'!A16</f>
        <v>Jamnagar</v>
      </c>
      <c r="B20" s="9" t="str">
        <f>IF(IFERROR(VLOOKUP(A20,'2.0WS(S)'!$A$5:$AQ$47,4,FALSE),"")=0,"",IFERROR(VLOOKUP(A20,'2.0WS(S)'!$A$5:$AQ$47,4,FALSE),""))</f>
        <v/>
      </c>
      <c r="C20" s="10">
        <f>IF(IFERROR(VLOOKUP(A20,'2.0WS(S)'!$A$5:$AQ$47,7,FALSE),"")=0,"",IFERROR(VLOOKUP(A20,'2.0WS(S)'!$A$5:$AQ$47,7,FALSE),""))</f>
        <v>6</v>
      </c>
      <c r="D20" s="8" t="str">
        <f>IF(IFERROR(VLOOKUP(A20,'2.0WS(S)'!$A$5:$AQ$47,10,FALSE),"")=0,"",IFERROR(VLOOKUP(A20,'2.0WS(S)'!$A$5:$AQ$47,10,FALSE),""))</f>
        <v/>
      </c>
      <c r="E20" s="8" t="str">
        <f>IF(IFERROR(VLOOKUP(A20,'2.0WS(S)'!$A$5:$AQ$47,13,FALSE),"")=0,"",IFERROR(VLOOKUP(A20,'2.0WS(S)'!$A$5:$AQ$47,13,FALSE),""))</f>
        <v/>
      </c>
      <c r="F20" s="11" t="str">
        <f>IF(IFERROR(VLOOKUP(A20,'2.0WS(S)'!$A$5:$AQ$47,16,FALSE),"")=0,"",IFERROR(VLOOKUP(A20,'2.0WS(S)'!$A$5:$AQ$47,16,FALSE),""))</f>
        <v/>
      </c>
      <c r="G20" s="9" t="str">
        <f>IF(IFERROR(VLOOKUP(A20,'2.0WS(S)'!$A$5:$AQ$47,19,FALSE),"")=0,"",IFERROR(VLOOKUP(A20,'2.0WS(S)'!$A$5:$AQ$47,19,FALSE),""))</f>
        <v/>
      </c>
      <c r="H20" s="10">
        <f>IF(IFERROR(VLOOKUP(A20,'2.0WS(S)'!$A$5:$AQ$47,22,FALSE),"")=0,"",IFERROR(VLOOKUP(A20,'2.0WS(S)'!$A$5:$AQ$47,22,FALSE),""))</f>
        <v>4</v>
      </c>
      <c r="I20" s="8" t="str">
        <f>IF(IFERROR(VLOOKUP(A20,'2.0WS(S)'!$A$5:$AQ$47,25,FALSE),"")=0,"",IFERROR(VLOOKUP(A20,'2.0WS(S)'!$A$5:$AQ$47,25,FALSE),""))</f>
        <v/>
      </c>
      <c r="J20" s="11">
        <f>IF(IFERROR(VLOOKUP(A20,'2.0WS(S)'!$A$5:$AQ$47,28,FALSE),"")=0,"",IFERROR(VLOOKUP(A20,'2.0WS(S)'!$A$5:$AQ$47,28,FALSE),""))</f>
        <v>6</v>
      </c>
      <c r="K20" s="11" t="str">
        <f>IF(IFERROR(VLOOKUP(A20,'2.0WS(S)'!$A$5:$AQ$47,31,FALSE),"")=0,"",IFERROR(VLOOKUP(A20,'2.0WS(S)'!$A$5:$AQ$47,31,FALSE),""))</f>
        <v/>
      </c>
      <c r="L20" s="17">
        <f t="shared" si="0"/>
        <v>16</v>
      </c>
      <c r="M20" s="9" t="str">
        <f>IF(IFERROR(VLOOKUP(A20,'2.0WS(S)'!$A$5:$AQ$47,34,FALSE),"")=0,"",IFERROR(VLOOKUP(A20,'2.0WS(S)'!$A$5:$AQ$47,34,FALSE),""))</f>
        <v/>
      </c>
      <c r="N20" s="10">
        <f>IF(IFERROR(VLOOKUP(A20,'2.0WS(S)'!$A$5:$AQ$47,37,FALSE),"")=0,"",IFERROR(VLOOKUP(A20,'2.0WS(S)'!$A$5:$AQ$47,37,FALSE),""))</f>
        <v>4</v>
      </c>
      <c r="O20" s="8">
        <f>IF(IFERROR(VLOOKUP(A20,'2.0WS(S)'!$A$5:$AQ$47,40,FALSE),"")=0,"",IFERROR(VLOOKUP(A20,'2.0WS(S)'!$A$5:$AQ$47,40,FALSE),""))</f>
        <v>4</v>
      </c>
      <c r="P20" s="8">
        <f t="shared" si="1"/>
        <v>8</v>
      </c>
      <c r="Q20" s="11" t="str">
        <f>IF(IFERROR(VLOOKUP(A20,'2.0WS(S)'!$A$5:$AQ$47,43,FALSE),"")=0,"",IFERROR(VLOOKUP(A20,'2.0WS(S)'!$A$5:$AQ$47,43,FALSE),""))</f>
        <v/>
      </c>
      <c r="R20" s="18">
        <f t="shared" si="2"/>
        <v>8</v>
      </c>
      <c r="S20" s="16">
        <f>SUM(L20,R20)</f>
        <v>24</v>
      </c>
    </row>
    <row r="21" spans="1:19" ht="15" customHeight="1">
      <c r="A21" s="12" t="str">
        <f>'2.0WS(S)'!A17</f>
        <v>Devbhumi Dwarka</v>
      </c>
      <c r="B21" s="9" t="str">
        <f>IF(IFERROR(VLOOKUP(A21,'2.0WS(S)'!$A$5:$AQ$47,4,FALSE),"")=0,"",IFERROR(VLOOKUP(A21,'2.0WS(S)'!$A$5:$AQ$47,4,FALSE),""))</f>
        <v/>
      </c>
      <c r="C21" s="10">
        <f>IF(IFERROR(VLOOKUP(A21,'2.0WS(S)'!$A$5:$AQ$47,7,FALSE),"")=0,"",IFERROR(VLOOKUP(A21,'2.0WS(S)'!$A$5:$AQ$47,7,FALSE),""))</f>
        <v>4</v>
      </c>
      <c r="D21" s="8" t="str">
        <f>IF(IFERROR(VLOOKUP(A21,'2.0WS(S)'!$A$5:$AQ$47,10,FALSE),"")=0,"",IFERROR(VLOOKUP(A21,'2.0WS(S)'!$A$5:$AQ$47,10,FALSE),""))</f>
        <v/>
      </c>
      <c r="E21" s="8" t="str">
        <f>IF(IFERROR(VLOOKUP(A21,'2.0WS(S)'!$A$5:$AQ$47,13,FALSE),"")=0,"",IFERROR(VLOOKUP(A21,'2.0WS(S)'!$A$5:$AQ$47,13,FALSE),""))</f>
        <v/>
      </c>
      <c r="F21" s="11" t="str">
        <f>IF(IFERROR(VLOOKUP(A21,'2.0WS(S)'!$A$5:$AQ$47,16,FALSE),"")=0,"",IFERROR(VLOOKUP(A21,'2.0WS(S)'!$A$5:$AQ$47,16,FALSE),""))</f>
        <v/>
      </c>
      <c r="G21" s="9" t="str">
        <f>IF(IFERROR(VLOOKUP(A21,'2.0WS(S)'!$A$5:$AQ$47,19,FALSE),"")=0,"",IFERROR(VLOOKUP(A21,'2.0WS(S)'!$A$5:$AQ$47,19,FALSE),""))</f>
        <v/>
      </c>
      <c r="H21" s="10" t="str">
        <f>IF(IFERROR(VLOOKUP(A21,'2.0WS(S)'!$A$5:$AQ$47,22,FALSE),"")=0,"",IFERROR(VLOOKUP(A21,'2.0WS(S)'!$A$5:$AQ$47,22,FALSE),""))</f>
        <v/>
      </c>
      <c r="I21" s="8" t="str">
        <f>IF(IFERROR(VLOOKUP(A21,'2.0WS(S)'!$A$5:$AQ$47,25,FALSE),"")=0,"",IFERROR(VLOOKUP(A21,'2.0WS(S)'!$A$5:$AQ$47,25,FALSE),""))</f>
        <v/>
      </c>
      <c r="J21" s="11">
        <f>IF(IFERROR(VLOOKUP(A21,'2.0WS(S)'!$A$5:$AQ$47,28,FALSE),"")=0,"",IFERROR(VLOOKUP(A21,'2.0WS(S)'!$A$5:$AQ$47,28,FALSE),""))</f>
        <v>4</v>
      </c>
      <c r="K21" s="11" t="str">
        <f>IF(IFERROR(VLOOKUP(A21,'2.0WS(S)'!$A$5:$AQ$47,31,FALSE),"")=0,"",IFERROR(VLOOKUP(A21,'2.0WS(S)'!$A$5:$AQ$47,31,FALSE),""))</f>
        <v/>
      </c>
      <c r="L21" s="17">
        <f t="shared" si="0"/>
        <v>8</v>
      </c>
      <c r="M21" s="9" t="str">
        <f>IF(IFERROR(VLOOKUP(A21,'2.0WS(S)'!$A$5:$AQ$47,34,FALSE),"")=0,"",IFERROR(VLOOKUP(A21,'2.0WS(S)'!$A$5:$AQ$47,34,FALSE),""))</f>
        <v/>
      </c>
      <c r="N21" s="10" t="str">
        <f>IF(IFERROR(VLOOKUP(A21,'2.0WS(S)'!$A$5:$AQ$47,37,FALSE),"")=0,"",IFERROR(VLOOKUP(A21,'2.0WS(S)'!$A$5:$AQ$47,37,FALSE),""))</f>
        <v/>
      </c>
      <c r="O21" s="8" t="str">
        <f>IF(IFERROR(VLOOKUP(A21,'2.0WS(S)'!$A$5:$AQ$47,40,FALSE),"")=0,"",IFERROR(VLOOKUP(A21,'2.0WS(S)'!$A$5:$AQ$47,40,FALSE),""))</f>
        <v/>
      </c>
      <c r="P21" s="8">
        <f t="shared" si="1"/>
        <v>0</v>
      </c>
      <c r="Q21" s="11" t="str">
        <f>IF(IFERROR(VLOOKUP(A21,'2.0WS(S)'!$A$5:$AQ$47,43,FALSE),"")=0,"",IFERROR(VLOOKUP(A21,'2.0WS(S)'!$A$5:$AQ$47,43,FALSE),""))</f>
        <v/>
      </c>
      <c r="R21" s="18">
        <f t="shared" si="2"/>
        <v>0</v>
      </c>
      <c r="S21" s="16">
        <f>SUM(L21,R21)</f>
        <v>8</v>
      </c>
    </row>
    <row r="22" spans="1:19" ht="15" customHeight="1">
      <c r="A22" s="12" t="str">
        <f>'2.0WS(S)'!A18</f>
        <v>Porbandar</v>
      </c>
      <c r="B22" s="9" t="str">
        <f>IF(IFERROR(VLOOKUP(A22,'2.0WS(S)'!$A$5:$AQ$47,4,FALSE),"")=0,"",IFERROR(VLOOKUP(A22,'2.0WS(S)'!$A$5:$AQ$47,4,FALSE),""))</f>
        <v/>
      </c>
      <c r="C22" s="10">
        <f>IF(IFERROR(VLOOKUP(A22,'2.0WS(S)'!$A$5:$AQ$47,7,FALSE),"")=0,"",IFERROR(VLOOKUP(A22,'2.0WS(S)'!$A$5:$AQ$47,7,FALSE),""))</f>
        <v>4</v>
      </c>
      <c r="D22" s="8" t="str">
        <f>IF(IFERROR(VLOOKUP(A22,'2.0WS(S)'!$A$5:$AQ$47,10,FALSE),"")=0,"",IFERROR(VLOOKUP(A22,'2.0WS(S)'!$A$5:$AQ$47,10,FALSE),""))</f>
        <v/>
      </c>
      <c r="E22" s="8" t="str">
        <f>IF(IFERROR(VLOOKUP(A22,'2.0WS(S)'!$A$5:$AQ$47,13,FALSE),"")=0,"",IFERROR(VLOOKUP(A22,'2.0WS(S)'!$A$5:$AQ$47,13,FALSE),""))</f>
        <v/>
      </c>
      <c r="F22" s="11" t="str">
        <f>IF(IFERROR(VLOOKUP(A22,'2.0WS(S)'!$A$5:$AQ$47,16,FALSE),"")=0,"",IFERROR(VLOOKUP(A22,'2.0WS(S)'!$A$5:$AQ$47,16,FALSE),""))</f>
        <v/>
      </c>
      <c r="G22" s="9" t="str">
        <f>IF(IFERROR(VLOOKUP(A22,'2.0WS(S)'!$A$5:$AQ$47,19,FALSE),"")=0,"",IFERROR(VLOOKUP(A22,'2.0WS(S)'!$A$5:$AQ$47,19,FALSE),""))</f>
        <v/>
      </c>
      <c r="H22" s="10" t="str">
        <f>IF(IFERROR(VLOOKUP(A22,'2.0WS(S)'!$A$5:$AQ$47,22,FALSE),"")=0,"",IFERROR(VLOOKUP(A22,'2.0WS(S)'!$A$5:$AQ$47,22,FALSE),""))</f>
        <v/>
      </c>
      <c r="I22" s="8" t="str">
        <f>IF(IFERROR(VLOOKUP(A22,'2.0WS(S)'!$A$5:$AQ$47,25,FALSE),"")=0,"",IFERROR(VLOOKUP(A22,'2.0WS(S)'!$A$5:$AQ$47,25,FALSE),""))</f>
        <v/>
      </c>
      <c r="J22" s="11" t="str">
        <f>IF(IFERROR(VLOOKUP(A22,'2.0WS(S)'!$A$5:$AQ$47,28,FALSE),"")=0,"",IFERROR(VLOOKUP(A22,'2.0WS(S)'!$A$5:$AQ$47,28,FALSE),""))</f>
        <v/>
      </c>
      <c r="K22" s="11" t="str">
        <f>IF(IFERROR(VLOOKUP(A22,'2.0WS(S)'!$A$5:$AQ$47,31,FALSE),"")=0,"",IFERROR(VLOOKUP(A22,'2.0WS(S)'!$A$5:$AQ$47,31,FALSE),""))</f>
        <v/>
      </c>
      <c r="L22" s="17">
        <f t="shared" si="0"/>
        <v>4</v>
      </c>
      <c r="M22" s="9" t="str">
        <f>IF(IFERROR(VLOOKUP(A22,'2.0WS(S)'!$A$5:$AQ$47,34,FALSE),"")=0,"",IFERROR(VLOOKUP(A22,'2.0WS(S)'!$A$5:$AQ$47,34,FALSE),""))</f>
        <v/>
      </c>
      <c r="N22" s="10" t="str">
        <f>IF(IFERROR(VLOOKUP(A22,'2.0WS(S)'!$A$5:$AQ$47,37,FALSE),"")=0,"",IFERROR(VLOOKUP(A22,'2.0WS(S)'!$A$5:$AQ$47,37,FALSE),""))</f>
        <v/>
      </c>
      <c r="O22" s="8" t="str">
        <f>IF(IFERROR(VLOOKUP(A22,'2.0WS(S)'!$A$5:$AQ$47,40,FALSE),"")=0,"",IFERROR(VLOOKUP(A22,'2.0WS(S)'!$A$5:$AQ$47,40,FALSE),""))</f>
        <v/>
      </c>
      <c r="P22" s="8">
        <f t="shared" si="1"/>
        <v>0</v>
      </c>
      <c r="Q22" s="11" t="str">
        <f>IF(IFERROR(VLOOKUP(A22,'2.0WS(S)'!$A$5:$AQ$47,43,FALSE),"")=0,"",IFERROR(VLOOKUP(A22,'2.0WS(S)'!$A$5:$AQ$47,43,FALSE),""))</f>
        <v/>
      </c>
      <c r="R22" s="18">
        <f t="shared" si="2"/>
        <v>0</v>
      </c>
      <c r="S22" s="16">
        <f>SUM(L22,R22)</f>
        <v>4</v>
      </c>
    </row>
    <row r="23" spans="1:19" ht="15" customHeight="1">
      <c r="A23" s="13" t="str">
        <f>'2.0WS(S)'!A19</f>
        <v>SRO JAMNAGAR TOTAL</v>
      </c>
      <c r="B23" s="14">
        <f t="shared" ref="B23:S23" si="6">SUM(B20:B22)</f>
        <v>0</v>
      </c>
      <c r="C23" s="14">
        <f t="shared" si="6"/>
        <v>14</v>
      </c>
      <c r="D23" s="14">
        <f t="shared" si="6"/>
        <v>0</v>
      </c>
      <c r="E23" s="14">
        <f t="shared" si="6"/>
        <v>0</v>
      </c>
      <c r="F23" s="14">
        <f t="shared" si="6"/>
        <v>0</v>
      </c>
      <c r="G23" s="14">
        <f t="shared" si="6"/>
        <v>0</v>
      </c>
      <c r="H23" s="14">
        <f t="shared" si="6"/>
        <v>4</v>
      </c>
      <c r="I23" s="14">
        <f t="shared" si="6"/>
        <v>0</v>
      </c>
      <c r="J23" s="14">
        <f t="shared" si="6"/>
        <v>10</v>
      </c>
      <c r="K23" s="14">
        <f t="shared" si="6"/>
        <v>0</v>
      </c>
      <c r="L23" s="14">
        <f t="shared" si="6"/>
        <v>28</v>
      </c>
      <c r="M23" s="14">
        <f t="shared" si="6"/>
        <v>0</v>
      </c>
      <c r="N23" s="14">
        <f t="shared" si="6"/>
        <v>4</v>
      </c>
      <c r="O23" s="14">
        <f t="shared" si="6"/>
        <v>4</v>
      </c>
      <c r="P23" s="8">
        <f t="shared" si="1"/>
        <v>8</v>
      </c>
      <c r="Q23" s="14">
        <f t="shared" si="6"/>
        <v>0</v>
      </c>
      <c r="R23" s="18">
        <f t="shared" si="2"/>
        <v>8</v>
      </c>
      <c r="S23" s="14">
        <f t="shared" si="6"/>
        <v>36</v>
      </c>
    </row>
    <row r="24" spans="1:19" ht="15" customHeight="1">
      <c r="A24" s="12" t="str">
        <f>'2.0WS(S)'!A20</f>
        <v>Amreli</v>
      </c>
      <c r="B24" s="9" t="str">
        <f>IF(IFERROR(VLOOKUP(A24,'2.0WS(S)'!$A$5:$AQ$47,4,FALSE),"")=0,"",IFERROR(VLOOKUP(A24,'2.0WS(S)'!$A$5:$AQ$47,4,FALSE),""))</f>
        <v/>
      </c>
      <c r="C24" s="10">
        <f>IF(IFERROR(VLOOKUP(A24,'2.0WS(S)'!$A$5:$AQ$47,7,FALSE),"")=0,"",IFERROR(VLOOKUP(A24,'2.0WS(S)'!$A$5:$AQ$47,7,FALSE),""))</f>
        <v>10</v>
      </c>
      <c r="D24" s="8" t="str">
        <f>IF(IFERROR(VLOOKUP(A24,'2.0WS(S)'!$A$5:$AQ$47,10,FALSE),"")=0,"",IFERROR(VLOOKUP(A24,'2.0WS(S)'!$A$5:$AQ$47,10,FALSE),""))</f>
        <v/>
      </c>
      <c r="E24" s="8" t="str">
        <f>IF(IFERROR(VLOOKUP(A24,'2.0WS(S)'!$A$5:$AQ$47,13,FALSE),"")=0,"",IFERROR(VLOOKUP(A24,'2.0WS(S)'!$A$5:$AQ$47,13,FALSE),""))</f>
        <v/>
      </c>
      <c r="F24" s="11">
        <f>IF(IFERROR(VLOOKUP(A24,'2.0WS(S)'!$A$5:$AQ$47,16,FALSE),"")=0,"",IFERROR(VLOOKUP(A24,'2.0WS(S)'!$A$5:$AQ$47,16,FALSE),""))</f>
        <v>4</v>
      </c>
      <c r="G24" s="9" t="str">
        <f>IF(IFERROR(VLOOKUP(A24,'2.0WS(S)'!$A$5:$AQ$47,19,FALSE),"")=0,"",IFERROR(VLOOKUP(A24,'2.0WS(S)'!$A$5:$AQ$47,19,FALSE),""))</f>
        <v/>
      </c>
      <c r="H24" s="10" t="str">
        <f>IF(IFERROR(VLOOKUP(A24,'2.0WS(S)'!$A$5:$AQ$47,22,FALSE),"")=0,"",IFERROR(VLOOKUP(A24,'2.0WS(S)'!$A$5:$AQ$47,22,FALSE),""))</f>
        <v/>
      </c>
      <c r="I24" s="8" t="str">
        <f>IF(IFERROR(VLOOKUP(A24,'2.0WS(S)'!$A$5:$AQ$47,25,FALSE),"")=0,"",IFERROR(VLOOKUP(A24,'2.0WS(S)'!$A$5:$AQ$47,25,FALSE),""))</f>
        <v/>
      </c>
      <c r="J24" s="11">
        <f>IF(IFERROR(VLOOKUP(A24,'2.0WS(S)'!$A$5:$AQ$47,28,FALSE),"")=0,"",IFERROR(VLOOKUP(A24,'2.0WS(S)'!$A$5:$AQ$47,28,FALSE),""))</f>
        <v>12</v>
      </c>
      <c r="K24" s="11">
        <f>IF(IFERROR(VLOOKUP(A24,'2.0WS(S)'!$A$5:$AQ$47,31,FALSE),"")=0,"",IFERROR(VLOOKUP(A24,'2.0WS(S)'!$A$5:$AQ$47,31,FALSE),""))</f>
        <v>14</v>
      </c>
      <c r="L24" s="17">
        <f t="shared" si="0"/>
        <v>40</v>
      </c>
      <c r="M24" s="9" t="str">
        <f>IF(IFERROR(VLOOKUP(A24,'2.0WS(S)'!$A$5:$AQ$47,34,FALSE),"")=0,"",IFERROR(VLOOKUP(A24,'2.0WS(S)'!$A$5:$AQ$47,34,FALSE),""))</f>
        <v/>
      </c>
      <c r="N24" s="10">
        <f>IF(IFERROR(VLOOKUP(A24,'2.0WS(S)'!$A$5:$AQ$47,37,FALSE),"")=0,"",IFERROR(VLOOKUP(A24,'2.0WS(S)'!$A$5:$AQ$47,37,FALSE),""))</f>
        <v>8</v>
      </c>
      <c r="O24" s="8">
        <f>IF(IFERROR(VLOOKUP(A24,'2.0WS(S)'!$A$5:$AQ$47,40,FALSE),"")=0,"",IFERROR(VLOOKUP(A24,'2.0WS(S)'!$A$5:$AQ$47,40,FALSE),""))</f>
        <v>6</v>
      </c>
      <c r="P24" s="8">
        <f t="shared" si="1"/>
        <v>14</v>
      </c>
      <c r="Q24" s="11">
        <f>IF(IFERROR(VLOOKUP(A24,'2.0WS(S)'!$A$5:$AQ$47,43,FALSE),"")=0,"",IFERROR(VLOOKUP(A24,'2.0WS(S)'!$A$5:$AQ$47,43,FALSE),""))</f>
        <v>4</v>
      </c>
      <c r="R24" s="18">
        <f t="shared" si="2"/>
        <v>18</v>
      </c>
      <c r="S24" s="16">
        <f>SUM(L24,R24)</f>
        <v>58</v>
      </c>
    </row>
    <row r="25" spans="1:19" ht="15" customHeight="1">
      <c r="A25" s="12" t="str">
        <f>'2.0WS(S)'!A21</f>
        <v>Bhavnagar</v>
      </c>
      <c r="B25" s="9" t="str">
        <f>IF(IFERROR(VLOOKUP(A25,'2.0WS(S)'!$A$5:$AQ$47,4,FALSE),"")=0,"",IFERROR(VLOOKUP(A25,'2.0WS(S)'!$A$5:$AQ$47,4,FALSE),""))</f>
        <v/>
      </c>
      <c r="C25" s="10">
        <f>IF(IFERROR(VLOOKUP(A25,'2.0WS(S)'!$A$5:$AQ$47,7,FALSE),"")=0,"",IFERROR(VLOOKUP(A25,'2.0WS(S)'!$A$5:$AQ$47,7,FALSE),""))</f>
        <v>8</v>
      </c>
      <c r="D25" s="8" t="str">
        <f>IF(IFERROR(VLOOKUP(A25,'2.0WS(S)'!$A$5:$AQ$47,10,FALSE),"")=0,"",IFERROR(VLOOKUP(A25,'2.0WS(S)'!$A$5:$AQ$47,10,FALSE),""))</f>
        <v/>
      </c>
      <c r="E25" s="8" t="str">
        <f>IF(IFERROR(VLOOKUP(A25,'2.0WS(S)'!$A$5:$AQ$47,13,FALSE),"")=0,"",IFERROR(VLOOKUP(A25,'2.0WS(S)'!$A$5:$AQ$47,13,FALSE),""))</f>
        <v/>
      </c>
      <c r="F25" s="11">
        <f>IF(IFERROR(VLOOKUP(A25,'2.0WS(S)'!$A$5:$AQ$47,16,FALSE),"")=0,"",IFERROR(VLOOKUP(A25,'2.0WS(S)'!$A$5:$AQ$47,16,FALSE),""))</f>
        <v>4</v>
      </c>
      <c r="G25" s="9">
        <f>IF(IFERROR(VLOOKUP(A25,'2.0WS(S)'!$A$5:$AQ$47,19,FALSE),"")=0,"",IFERROR(VLOOKUP(A25,'2.0WS(S)'!$A$5:$AQ$47,19,FALSE),""))</f>
        <v>8</v>
      </c>
      <c r="H25" s="10" t="str">
        <f>IF(IFERROR(VLOOKUP(A25,'2.0WS(S)'!$A$5:$AQ$47,22,FALSE),"")=0,"",IFERROR(VLOOKUP(A25,'2.0WS(S)'!$A$5:$AQ$47,22,FALSE),""))</f>
        <v/>
      </c>
      <c r="I25" s="8" t="str">
        <f>IF(IFERROR(VLOOKUP(A25,'2.0WS(S)'!$A$5:$AQ$47,25,FALSE),"")=0,"",IFERROR(VLOOKUP(A25,'2.0WS(S)'!$A$5:$AQ$47,25,FALSE),""))</f>
        <v/>
      </c>
      <c r="J25" s="11">
        <f>IF(IFERROR(VLOOKUP(A25,'2.0WS(S)'!$A$5:$AQ$47,28,FALSE),"")=0,"",IFERROR(VLOOKUP(A25,'2.0WS(S)'!$A$5:$AQ$47,28,FALSE),""))</f>
        <v>10</v>
      </c>
      <c r="K25" s="11">
        <f>IF(IFERROR(VLOOKUP(A25,'2.0WS(S)'!$A$5:$AQ$47,31,FALSE),"")=0,"",IFERROR(VLOOKUP(A25,'2.0WS(S)'!$A$5:$AQ$47,31,FALSE),""))</f>
        <v>10</v>
      </c>
      <c r="L25" s="17">
        <f t="shared" si="0"/>
        <v>40</v>
      </c>
      <c r="M25" s="9" t="str">
        <f>IF(IFERROR(VLOOKUP(A25,'2.0WS(S)'!$A$5:$AQ$47,34,FALSE),"")=0,"",IFERROR(VLOOKUP(A25,'2.0WS(S)'!$A$5:$AQ$47,34,FALSE),""))</f>
        <v/>
      </c>
      <c r="N25" s="10">
        <f>IF(IFERROR(VLOOKUP(A25,'2.0WS(S)'!$A$5:$AQ$47,37,FALSE),"")=0,"",IFERROR(VLOOKUP(A25,'2.0WS(S)'!$A$5:$AQ$47,37,FALSE),""))</f>
        <v>6</v>
      </c>
      <c r="O25" s="8">
        <f>IF(IFERROR(VLOOKUP(A25,'2.0WS(S)'!$A$5:$AQ$47,40,FALSE),"")=0,"",IFERROR(VLOOKUP(A25,'2.0WS(S)'!$A$5:$AQ$47,40,FALSE),""))</f>
        <v>6</v>
      </c>
      <c r="P25" s="8">
        <f t="shared" si="1"/>
        <v>12</v>
      </c>
      <c r="Q25" s="11" t="str">
        <f>IF(IFERROR(VLOOKUP(A25,'2.0WS(S)'!$A$5:$AQ$47,43,FALSE),"")=0,"",IFERROR(VLOOKUP(A25,'2.0WS(S)'!$A$5:$AQ$47,43,FALSE),""))</f>
        <v/>
      </c>
      <c r="R25" s="18">
        <f t="shared" si="2"/>
        <v>12</v>
      </c>
      <c r="S25" s="16">
        <f>SUM(L25,R25)</f>
        <v>52</v>
      </c>
    </row>
    <row r="26" spans="1:19" ht="15" customHeight="1">
      <c r="A26" s="12" t="str">
        <f>'2.0WS(S)'!A22</f>
        <v>Botad</v>
      </c>
      <c r="B26" s="9" t="str">
        <f>IF(IFERROR(VLOOKUP(A26,'2.0WS(S)'!$A$5:$AQ$47,4,FALSE),"")=0,"",IFERROR(VLOOKUP(A26,'2.0WS(S)'!$A$5:$AQ$47,4,FALSE),""))</f>
        <v/>
      </c>
      <c r="C26" s="10">
        <f>IF(IFERROR(VLOOKUP(A26,'2.0WS(S)'!$A$5:$AQ$47,7,FALSE),"")=0,"",IFERROR(VLOOKUP(A26,'2.0WS(S)'!$A$5:$AQ$47,7,FALSE),""))</f>
        <v>4</v>
      </c>
      <c r="D26" s="8" t="str">
        <f>IF(IFERROR(VLOOKUP(A26,'2.0WS(S)'!$A$5:$AQ$47,10,FALSE),"")=0,"",IFERROR(VLOOKUP(A26,'2.0WS(S)'!$A$5:$AQ$47,10,FALSE),""))</f>
        <v/>
      </c>
      <c r="E26" s="8" t="str">
        <f>IF(IFERROR(VLOOKUP(A26,'2.0WS(S)'!$A$5:$AQ$47,13,FALSE),"")=0,"",IFERROR(VLOOKUP(A26,'2.0WS(S)'!$A$5:$AQ$47,13,FALSE),""))</f>
        <v/>
      </c>
      <c r="F26" s="11">
        <f>IF(IFERROR(VLOOKUP(A26,'2.0WS(S)'!$A$5:$AQ$47,16,FALSE),"")=0,"",IFERROR(VLOOKUP(A26,'2.0WS(S)'!$A$5:$AQ$47,16,FALSE),""))</f>
        <v>4</v>
      </c>
      <c r="G26" s="9" t="str">
        <f>IF(IFERROR(VLOOKUP(A26,'2.0WS(S)'!$A$5:$AQ$47,19,FALSE),"")=0,"",IFERROR(VLOOKUP(A26,'2.0WS(S)'!$A$5:$AQ$47,19,FALSE),""))</f>
        <v/>
      </c>
      <c r="H26" s="10" t="str">
        <f>IF(IFERROR(VLOOKUP(A26,'2.0WS(S)'!$A$5:$AQ$47,22,FALSE),"")=0,"",IFERROR(VLOOKUP(A26,'2.0WS(S)'!$A$5:$AQ$47,22,FALSE),""))</f>
        <v/>
      </c>
      <c r="I26" s="8" t="str">
        <f>IF(IFERROR(VLOOKUP(A26,'2.0WS(S)'!$A$5:$AQ$47,25,FALSE),"")=0,"",IFERROR(VLOOKUP(A26,'2.0WS(S)'!$A$5:$AQ$47,25,FALSE),""))</f>
        <v/>
      </c>
      <c r="J26" s="11">
        <f>IF(IFERROR(VLOOKUP(A26,'2.0WS(S)'!$A$5:$AQ$47,28,FALSE),"")=0,"",IFERROR(VLOOKUP(A26,'2.0WS(S)'!$A$5:$AQ$47,28,FALSE),""))</f>
        <v>4</v>
      </c>
      <c r="K26" s="11" t="str">
        <f>IF(IFERROR(VLOOKUP(A26,'2.0WS(S)'!$A$5:$AQ$47,31,FALSE),"")=0,"",IFERROR(VLOOKUP(A26,'2.0WS(S)'!$A$5:$AQ$47,31,FALSE),""))</f>
        <v/>
      </c>
      <c r="L26" s="17">
        <f t="shared" si="0"/>
        <v>12</v>
      </c>
      <c r="M26" s="9" t="str">
        <f>IF(IFERROR(VLOOKUP(A26,'2.0WS(S)'!$A$5:$AQ$47,34,FALSE),"")=0,"",IFERROR(VLOOKUP(A26,'2.0WS(S)'!$A$5:$AQ$47,34,FALSE),""))</f>
        <v/>
      </c>
      <c r="N26" s="10" t="str">
        <f>IF(IFERROR(VLOOKUP(A26,'2.0WS(S)'!$A$5:$AQ$47,37,FALSE),"")=0,"",IFERROR(VLOOKUP(A26,'2.0WS(S)'!$A$5:$AQ$47,37,FALSE),""))</f>
        <v/>
      </c>
      <c r="O26" s="8" t="str">
        <f>IF(IFERROR(VLOOKUP(A26,'2.0WS(S)'!$A$5:$AQ$47,40,FALSE),"")=0,"",IFERROR(VLOOKUP(A26,'2.0WS(S)'!$A$5:$AQ$47,40,FALSE),""))</f>
        <v/>
      </c>
      <c r="P26" s="8">
        <f t="shared" si="1"/>
        <v>0</v>
      </c>
      <c r="Q26" s="11" t="str">
        <f>IF(IFERROR(VLOOKUP(A26,'2.0WS(S)'!$A$5:$AQ$47,43,FALSE),"")=0,"",IFERROR(VLOOKUP(A26,'2.0WS(S)'!$A$5:$AQ$47,43,FALSE),""))</f>
        <v/>
      </c>
      <c r="R26" s="18">
        <f t="shared" si="2"/>
        <v>0</v>
      </c>
      <c r="S26" s="16">
        <f>SUM(L26,R26)</f>
        <v>12</v>
      </c>
    </row>
    <row r="27" spans="1:19" ht="15" customHeight="1">
      <c r="A27" s="13" t="str">
        <f>'2.0WS(S)'!A23</f>
        <v>SRO BHAVNAGAR TOTAL</v>
      </c>
      <c r="B27" s="14">
        <f t="shared" ref="B27" si="7">SUM(B24:B26)</f>
        <v>0</v>
      </c>
      <c r="C27" s="14">
        <f t="shared" ref="C27:S27" si="8">SUM(C24:C26)</f>
        <v>22</v>
      </c>
      <c r="D27" s="14">
        <f t="shared" si="8"/>
        <v>0</v>
      </c>
      <c r="E27" s="14">
        <f t="shared" si="8"/>
        <v>0</v>
      </c>
      <c r="F27" s="14">
        <f t="shared" si="8"/>
        <v>12</v>
      </c>
      <c r="G27" s="14">
        <f t="shared" si="8"/>
        <v>8</v>
      </c>
      <c r="H27" s="14">
        <f t="shared" si="8"/>
        <v>0</v>
      </c>
      <c r="I27" s="14">
        <f t="shared" si="8"/>
        <v>0</v>
      </c>
      <c r="J27" s="14">
        <f t="shared" si="8"/>
        <v>26</v>
      </c>
      <c r="K27" s="14">
        <f t="shared" si="8"/>
        <v>24</v>
      </c>
      <c r="L27" s="14">
        <f t="shared" si="8"/>
        <v>92</v>
      </c>
      <c r="M27" s="14">
        <f t="shared" si="8"/>
        <v>0</v>
      </c>
      <c r="N27" s="14">
        <f t="shared" si="8"/>
        <v>14</v>
      </c>
      <c r="O27" s="14">
        <f t="shared" si="8"/>
        <v>12</v>
      </c>
      <c r="P27" s="8">
        <f t="shared" si="1"/>
        <v>26</v>
      </c>
      <c r="Q27" s="14">
        <f t="shared" si="8"/>
        <v>4</v>
      </c>
      <c r="R27" s="18">
        <f t="shared" si="2"/>
        <v>30</v>
      </c>
      <c r="S27" s="14">
        <f t="shared" si="8"/>
        <v>122</v>
      </c>
    </row>
    <row r="28" spans="1:19" ht="15" customHeight="1">
      <c r="A28" s="212" t="str">
        <f>'2.0WS(S)'!A24</f>
        <v>RO AHMEDABAD TOTAL</v>
      </c>
      <c r="B28" s="213">
        <f t="shared" ref="B28" si="9">SUM(B11,B14,B19,B23,B27)</f>
        <v>0</v>
      </c>
      <c r="C28" s="213">
        <f t="shared" ref="C28:S28" si="10">SUM(C11,C14,C19,C23,C27)</f>
        <v>88</v>
      </c>
      <c r="D28" s="213">
        <f t="shared" si="10"/>
        <v>8</v>
      </c>
      <c r="E28" s="213">
        <f t="shared" si="10"/>
        <v>0</v>
      </c>
      <c r="F28" s="213">
        <f t="shared" si="10"/>
        <v>40</v>
      </c>
      <c r="G28" s="213">
        <f t="shared" si="10"/>
        <v>16</v>
      </c>
      <c r="H28" s="213">
        <f t="shared" si="10"/>
        <v>34</v>
      </c>
      <c r="I28" s="213">
        <f t="shared" si="10"/>
        <v>6</v>
      </c>
      <c r="J28" s="213">
        <f t="shared" si="10"/>
        <v>84</v>
      </c>
      <c r="K28" s="213">
        <f t="shared" si="10"/>
        <v>40</v>
      </c>
      <c r="L28" s="213">
        <f t="shared" si="10"/>
        <v>316</v>
      </c>
      <c r="M28" s="213">
        <f t="shared" si="10"/>
        <v>18</v>
      </c>
      <c r="N28" s="213">
        <f t="shared" si="10"/>
        <v>44</v>
      </c>
      <c r="O28" s="213">
        <f t="shared" si="10"/>
        <v>48</v>
      </c>
      <c r="P28" s="214">
        <f t="shared" si="1"/>
        <v>110</v>
      </c>
      <c r="Q28" s="213">
        <f t="shared" si="10"/>
        <v>12</v>
      </c>
      <c r="R28" s="213">
        <f t="shared" si="2"/>
        <v>122</v>
      </c>
      <c r="S28" s="213">
        <f t="shared" si="10"/>
        <v>438</v>
      </c>
    </row>
    <row r="29" spans="1:19" ht="15" customHeight="1">
      <c r="A29" s="12" t="str">
        <f>'2.0WS(S)'!A25</f>
        <v>Banaskantha</v>
      </c>
      <c r="B29" s="9">
        <f>IF(IFERROR(VLOOKUP(A29,'2.0WS(S)'!$A$5:$AQ$47,4,FALSE),"")=0,"",IFERROR(VLOOKUP(A29,'2.0WS(S)'!$A$5:$AQ$47,4,FALSE),""))</f>
        <v>4</v>
      </c>
      <c r="C29" s="10">
        <f>IF(IFERROR(VLOOKUP(A29,'2.0WS(S)'!$A$5:$AQ$47,7,FALSE),"")=0,"",IFERROR(VLOOKUP(A29,'2.0WS(S)'!$A$5:$AQ$47,7,FALSE),""))</f>
        <v>12</v>
      </c>
      <c r="D29" s="8" t="str">
        <f>IF(IFERROR(VLOOKUP(A29,'2.0WS(S)'!$A$5:$AQ$47,10,FALSE),"")=0,"",IFERROR(VLOOKUP(A29,'2.0WS(S)'!$A$5:$AQ$47,10,FALSE),""))</f>
        <v/>
      </c>
      <c r="E29" s="8" t="str">
        <f>IF(IFERROR(VLOOKUP(A29,'2.0WS(S)'!$A$5:$AQ$47,13,FALSE),"")=0,"",IFERROR(VLOOKUP(A29,'2.0WS(S)'!$A$5:$AQ$47,13,FALSE),""))</f>
        <v/>
      </c>
      <c r="F29" s="11" t="str">
        <f>IF(IFERROR(VLOOKUP(A29,'2.0WS(S)'!$A$5:$AQ$47,16,FALSE),"")=0,"",IFERROR(VLOOKUP(A29,'2.0WS(S)'!$A$5:$AQ$47,16,FALSE),""))</f>
        <v/>
      </c>
      <c r="G29" s="9">
        <f>IF(IFERROR(VLOOKUP(A29,'2.0WS(S)'!$A$5:$AQ$47,19,FALSE),"")=0,"",IFERROR(VLOOKUP(A29,'2.0WS(S)'!$A$5:$AQ$47,19,FALSE),""))</f>
        <v>8</v>
      </c>
      <c r="H29" s="10">
        <f>IF(IFERROR(VLOOKUP(A29,'2.0WS(S)'!$A$5:$AQ$47,22,FALSE),"")=0,"",IFERROR(VLOOKUP(A29,'2.0WS(S)'!$A$5:$AQ$47,22,FALSE),""))</f>
        <v>14</v>
      </c>
      <c r="I29" s="8" t="str">
        <f>IF(IFERROR(VLOOKUP(A29,'2.0WS(S)'!$A$5:$AQ$47,25,FALSE),"")=0,"",IFERROR(VLOOKUP(A29,'2.0WS(S)'!$A$5:$AQ$47,25,FALSE),""))</f>
        <v/>
      </c>
      <c r="J29" s="11">
        <f>IF(IFERROR(VLOOKUP(A29,'2.0WS(S)'!$A$5:$AQ$47,28,FALSE),"")=0,"",IFERROR(VLOOKUP(A29,'2.0WS(S)'!$A$5:$AQ$47,28,FALSE),""))</f>
        <v>6</v>
      </c>
      <c r="K29" s="11" t="str">
        <f>IF(IFERROR(VLOOKUP(A29,'2.0WS(S)'!$A$5:$AQ$47,31,FALSE),"")=0,"",IFERROR(VLOOKUP(A29,'2.0WS(S)'!$A$5:$AQ$47,31,FALSE),""))</f>
        <v/>
      </c>
      <c r="L29" s="17">
        <f t="shared" si="0"/>
        <v>44</v>
      </c>
      <c r="M29" s="9">
        <f>IF(IFERROR(VLOOKUP(A29,'2.0WS(S)'!$A$5:$AQ$47,34,FALSE),"")=0,"",IFERROR(VLOOKUP(A29,'2.0WS(S)'!$A$5:$AQ$47,34,FALSE),""))</f>
        <v>10</v>
      </c>
      <c r="N29" s="10" t="str">
        <f>IF(IFERROR(VLOOKUP(A29,'2.0WS(S)'!$A$5:$AQ$47,37,FALSE),"")=0,"",IFERROR(VLOOKUP(A29,'2.0WS(S)'!$A$5:$AQ$47,37,FALSE),""))</f>
        <v/>
      </c>
      <c r="O29" s="8">
        <f>IF(IFERROR(VLOOKUP(A29,'2.0WS(S)'!$A$5:$AQ$47,40,FALSE),"")=0,"",IFERROR(VLOOKUP(A29,'2.0WS(S)'!$A$5:$AQ$47,40,FALSE),""))</f>
        <v>8</v>
      </c>
      <c r="P29" s="8">
        <f t="shared" si="1"/>
        <v>18</v>
      </c>
      <c r="Q29" s="11">
        <f>IF(IFERROR(VLOOKUP(A29,'2.0WS(S)'!$A$5:$AQ$47,43,FALSE),"")=0,"",IFERROR(VLOOKUP(A29,'2.0WS(S)'!$A$5:$AQ$47,43,FALSE),""))</f>
        <v>10</v>
      </c>
      <c r="R29" s="18">
        <f t="shared" si="2"/>
        <v>28</v>
      </c>
      <c r="S29" s="16">
        <f>SUM(L29,R29)</f>
        <v>72</v>
      </c>
    </row>
    <row r="30" spans="1:19" ht="15" customHeight="1">
      <c r="A30" s="12" t="str">
        <f>'2.0WS(S)'!A26</f>
        <v>Patan</v>
      </c>
      <c r="B30" s="9" t="str">
        <f>IF(IFERROR(VLOOKUP(A30,'2.0WS(S)'!$A$5:$AQ$47,4,FALSE),"")=0,"",IFERROR(VLOOKUP(A30,'2.0WS(S)'!$A$5:$AQ$47,4,FALSE),""))</f>
        <v/>
      </c>
      <c r="C30" s="10" t="str">
        <f>IF(IFERROR(VLOOKUP(A30,'2.0WS(S)'!$A$5:$AQ$47,7,FALSE),"")=0,"",IFERROR(VLOOKUP(A30,'2.0WS(S)'!$A$5:$AQ$47,7,FALSE),""))</f>
        <v/>
      </c>
      <c r="D30" s="8" t="str">
        <f>IF(IFERROR(VLOOKUP(A30,'2.0WS(S)'!$A$5:$AQ$47,10,FALSE),"")=0,"",IFERROR(VLOOKUP(A30,'2.0WS(S)'!$A$5:$AQ$47,10,FALSE),""))</f>
        <v/>
      </c>
      <c r="E30" s="8" t="str">
        <f>IF(IFERROR(VLOOKUP(A30,'2.0WS(S)'!$A$5:$AQ$47,13,FALSE),"")=0,"",IFERROR(VLOOKUP(A30,'2.0WS(S)'!$A$5:$AQ$47,13,FALSE),""))</f>
        <v/>
      </c>
      <c r="F30" s="11" t="str">
        <f>IF(IFERROR(VLOOKUP(A30,'2.0WS(S)'!$A$5:$AQ$47,16,FALSE),"")=0,"",IFERROR(VLOOKUP(A30,'2.0WS(S)'!$A$5:$AQ$47,16,FALSE),""))</f>
        <v/>
      </c>
      <c r="G30" s="9">
        <f>IF(IFERROR(VLOOKUP(A30,'2.0WS(S)'!$A$5:$AQ$47,19,FALSE),"")=0,"",IFERROR(VLOOKUP(A30,'2.0WS(S)'!$A$5:$AQ$47,19,FALSE),""))</f>
        <v>4</v>
      </c>
      <c r="H30" s="10">
        <f>IF(IFERROR(VLOOKUP(A30,'2.0WS(S)'!$A$5:$AQ$47,22,FALSE),"")=0,"",IFERROR(VLOOKUP(A30,'2.0WS(S)'!$A$5:$AQ$47,22,FALSE),""))</f>
        <v>10</v>
      </c>
      <c r="I30" s="8" t="str">
        <f>IF(IFERROR(VLOOKUP(A30,'2.0WS(S)'!$A$5:$AQ$47,25,FALSE),"")=0,"",IFERROR(VLOOKUP(A30,'2.0WS(S)'!$A$5:$AQ$47,25,FALSE),""))</f>
        <v/>
      </c>
      <c r="J30" s="11">
        <f>IF(IFERROR(VLOOKUP(A30,'2.0WS(S)'!$A$5:$AQ$47,28,FALSE),"")=0,"",IFERROR(VLOOKUP(A30,'2.0WS(S)'!$A$5:$AQ$47,28,FALSE),""))</f>
        <v>6</v>
      </c>
      <c r="K30" s="11" t="str">
        <f>IF(IFERROR(VLOOKUP(A30,'2.0WS(S)'!$A$5:$AQ$47,31,FALSE),"")=0,"",IFERROR(VLOOKUP(A30,'2.0WS(S)'!$A$5:$AQ$47,31,FALSE),""))</f>
        <v/>
      </c>
      <c r="L30" s="17">
        <f t="shared" si="0"/>
        <v>20</v>
      </c>
      <c r="M30" s="9">
        <f>IF(IFERROR(VLOOKUP(A30,'2.0WS(S)'!$A$5:$AQ$47,34,FALSE),"")=0,"",IFERROR(VLOOKUP(A30,'2.0WS(S)'!$A$5:$AQ$47,34,FALSE),""))</f>
        <v>6</v>
      </c>
      <c r="N30" s="10">
        <f>IF(IFERROR(VLOOKUP(A30,'2.0WS(S)'!$A$5:$AQ$47,37,FALSE),"")=0,"",IFERROR(VLOOKUP(A30,'2.0WS(S)'!$A$5:$AQ$47,37,FALSE),""))</f>
        <v>4</v>
      </c>
      <c r="O30" s="8">
        <f>IF(IFERROR(VLOOKUP(A30,'2.0WS(S)'!$A$5:$AQ$47,40,FALSE),"")=0,"",IFERROR(VLOOKUP(A30,'2.0WS(S)'!$A$5:$AQ$47,40,FALSE),""))</f>
        <v>4</v>
      </c>
      <c r="P30" s="8">
        <f t="shared" si="1"/>
        <v>14</v>
      </c>
      <c r="Q30" s="11" t="str">
        <f>IF(IFERROR(VLOOKUP(A30,'2.0WS(S)'!$A$5:$AQ$47,43,FALSE),"")=0,"",IFERROR(VLOOKUP(A30,'2.0WS(S)'!$A$5:$AQ$47,43,FALSE),""))</f>
        <v/>
      </c>
      <c r="R30" s="18">
        <f t="shared" si="2"/>
        <v>14</v>
      </c>
      <c r="S30" s="16">
        <f>SUM(L30,R30)</f>
        <v>34</v>
      </c>
    </row>
    <row r="31" spans="1:19" ht="15" customHeight="1">
      <c r="A31" s="12" t="str">
        <f>'2.0WS(S)'!A27</f>
        <v>Mahesana</v>
      </c>
      <c r="B31" s="9" t="str">
        <f>IF(IFERROR(VLOOKUP(A31,'2.0WS(S)'!$A$5:$AQ$47,4,FALSE),"")=0,"",IFERROR(VLOOKUP(A31,'2.0WS(S)'!$A$5:$AQ$47,4,FALSE),""))</f>
        <v/>
      </c>
      <c r="C31" s="10">
        <f>IF(IFERROR(VLOOKUP(A31,'2.0WS(S)'!$A$5:$AQ$47,7,FALSE),"")=0,"",IFERROR(VLOOKUP(A31,'2.0WS(S)'!$A$5:$AQ$47,7,FALSE),""))</f>
        <v>4</v>
      </c>
      <c r="D31" s="8" t="str">
        <f>IF(IFERROR(VLOOKUP(A31,'2.0WS(S)'!$A$5:$AQ$47,10,FALSE),"")=0,"",IFERROR(VLOOKUP(A31,'2.0WS(S)'!$A$5:$AQ$47,10,FALSE),""))</f>
        <v/>
      </c>
      <c r="E31" s="8" t="str">
        <f>IF(IFERROR(VLOOKUP(A31,'2.0WS(S)'!$A$5:$AQ$47,13,FALSE),"")=0,"",IFERROR(VLOOKUP(A31,'2.0WS(S)'!$A$5:$AQ$47,13,FALSE),""))</f>
        <v/>
      </c>
      <c r="F31" s="11" t="str">
        <f>IF(IFERROR(VLOOKUP(A31,'2.0WS(S)'!$A$5:$AQ$47,16,FALSE),"")=0,"",IFERROR(VLOOKUP(A31,'2.0WS(S)'!$A$5:$AQ$47,16,FALSE),""))</f>
        <v/>
      </c>
      <c r="G31" s="9">
        <f>IF(IFERROR(VLOOKUP(A31,'2.0WS(S)'!$A$5:$AQ$47,19,FALSE),"")=0,"",IFERROR(VLOOKUP(A31,'2.0WS(S)'!$A$5:$AQ$47,19,FALSE),""))</f>
        <v>4</v>
      </c>
      <c r="H31" s="10">
        <f>IF(IFERROR(VLOOKUP(A31,'2.0WS(S)'!$A$5:$AQ$47,22,FALSE),"")=0,"",IFERROR(VLOOKUP(A31,'2.0WS(S)'!$A$5:$AQ$47,22,FALSE),""))</f>
        <v>10</v>
      </c>
      <c r="I31" s="8" t="str">
        <f>IF(IFERROR(VLOOKUP(A31,'2.0WS(S)'!$A$5:$AQ$47,25,FALSE),"")=0,"",IFERROR(VLOOKUP(A31,'2.0WS(S)'!$A$5:$AQ$47,25,FALSE),""))</f>
        <v/>
      </c>
      <c r="J31" s="11">
        <f>IF(IFERROR(VLOOKUP(A31,'2.0WS(S)'!$A$5:$AQ$47,28,FALSE),"")=0,"",IFERROR(VLOOKUP(A31,'2.0WS(S)'!$A$5:$AQ$47,28,FALSE),""))</f>
        <v>10</v>
      </c>
      <c r="K31" s="11" t="str">
        <f>IF(IFERROR(VLOOKUP(A31,'2.0WS(S)'!$A$5:$AQ$47,31,FALSE),"")=0,"",IFERROR(VLOOKUP(A31,'2.0WS(S)'!$A$5:$AQ$47,31,FALSE),""))</f>
        <v/>
      </c>
      <c r="L31" s="17">
        <f t="shared" si="0"/>
        <v>28</v>
      </c>
      <c r="M31" s="9">
        <f>IF(IFERROR(VLOOKUP(A31,'2.0WS(S)'!$A$5:$AQ$47,34,FALSE),"")=0,"",IFERROR(VLOOKUP(A31,'2.0WS(S)'!$A$5:$AQ$47,34,FALSE),""))</f>
        <v>6</v>
      </c>
      <c r="N31" s="10" t="str">
        <f>IF(IFERROR(VLOOKUP(A31,'2.0WS(S)'!$A$5:$AQ$47,37,FALSE),"")=0,"",IFERROR(VLOOKUP(A31,'2.0WS(S)'!$A$5:$AQ$47,37,FALSE),""))</f>
        <v/>
      </c>
      <c r="O31" s="8">
        <f>IF(IFERROR(VLOOKUP(A31,'2.0WS(S)'!$A$5:$AQ$47,40,FALSE),"")=0,"",IFERROR(VLOOKUP(A31,'2.0WS(S)'!$A$5:$AQ$47,40,FALSE),""))</f>
        <v>4</v>
      </c>
      <c r="P31" s="8">
        <f t="shared" si="1"/>
        <v>10</v>
      </c>
      <c r="Q31" s="11">
        <f>IF(IFERROR(VLOOKUP(A31,'2.0WS(S)'!$A$5:$AQ$47,43,FALSE),"")=0,"",IFERROR(VLOOKUP(A31,'2.0WS(S)'!$A$5:$AQ$47,43,FALSE),""))</f>
        <v>4</v>
      </c>
      <c r="R31" s="18">
        <f t="shared" si="2"/>
        <v>14</v>
      </c>
      <c r="S31" s="16">
        <f>SUM(L31,R31)</f>
        <v>42</v>
      </c>
    </row>
    <row r="32" spans="1:19" ht="15" customHeight="1">
      <c r="A32" s="13" t="str">
        <f>'2.0WS(S)'!A28</f>
        <v>SRO MEHSANA TOTAL</v>
      </c>
      <c r="B32" s="14">
        <f t="shared" ref="B32:S32" si="11">SUM(B29:B31)</f>
        <v>4</v>
      </c>
      <c r="C32" s="14">
        <f t="shared" si="11"/>
        <v>16</v>
      </c>
      <c r="D32" s="14">
        <f t="shared" si="11"/>
        <v>0</v>
      </c>
      <c r="E32" s="14">
        <f t="shared" si="11"/>
        <v>0</v>
      </c>
      <c r="F32" s="14">
        <f t="shared" si="11"/>
        <v>0</v>
      </c>
      <c r="G32" s="14">
        <f t="shared" si="11"/>
        <v>16</v>
      </c>
      <c r="H32" s="14">
        <f t="shared" si="11"/>
        <v>34</v>
      </c>
      <c r="I32" s="14">
        <f t="shared" si="11"/>
        <v>0</v>
      </c>
      <c r="J32" s="14">
        <f t="shared" si="11"/>
        <v>22</v>
      </c>
      <c r="K32" s="14">
        <f t="shared" si="11"/>
        <v>0</v>
      </c>
      <c r="L32" s="14">
        <f t="shared" si="11"/>
        <v>92</v>
      </c>
      <c r="M32" s="14">
        <f t="shared" si="11"/>
        <v>22</v>
      </c>
      <c r="N32" s="14">
        <f t="shared" si="11"/>
        <v>4</v>
      </c>
      <c r="O32" s="14">
        <f t="shared" si="11"/>
        <v>16</v>
      </c>
      <c r="P32" s="8">
        <f t="shared" si="1"/>
        <v>42</v>
      </c>
      <c r="Q32" s="14">
        <f t="shared" si="11"/>
        <v>14</v>
      </c>
      <c r="R32" s="18">
        <f t="shared" si="2"/>
        <v>56</v>
      </c>
      <c r="S32" s="14">
        <f t="shared" si="11"/>
        <v>148</v>
      </c>
    </row>
    <row r="33" spans="1:19" ht="15" customHeight="1">
      <c r="A33" s="12" t="str">
        <f>'2.0WS(S)'!A29</f>
        <v>Sabarkantha</v>
      </c>
      <c r="B33" s="9">
        <f>IF(IFERROR(VLOOKUP(A33,'2.0WS(S)'!$A$5:$AQ$47,4,FALSE),"")=0,"",IFERROR(VLOOKUP(A33,'2.0WS(S)'!$A$5:$AQ$47,4,FALSE),""))</f>
        <v>4</v>
      </c>
      <c r="C33" s="10">
        <f>IF(IFERROR(VLOOKUP(A33,'2.0WS(S)'!$A$5:$AQ$47,7,FALSE),"")=0,"",IFERROR(VLOOKUP(A33,'2.0WS(S)'!$A$5:$AQ$47,7,FALSE),""))</f>
        <v>6</v>
      </c>
      <c r="D33" s="8" t="str">
        <f>IF(IFERROR(VLOOKUP(A33,'2.0WS(S)'!$A$5:$AQ$47,10,FALSE),"")=0,"",IFERROR(VLOOKUP(A33,'2.0WS(S)'!$A$5:$AQ$47,10,FALSE),""))</f>
        <v/>
      </c>
      <c r="E33" s="8" t="str">
        <f>IF(IFERROR(VLOOKUP(A33,'2.0WS(S)'!$A$5:$AQ$47,13,FALSE),"")=0,"",IFERROR(VLOOKUP(A33,'2.0WS(S)'!$A$5:$AQ$47,13,FALSE),""))</f>
        <v/>
      </c>
      <c r="F33" s="11" t="str">
        <f>IF(IFERROR(VLOOKUP(A33,'2.0WS(S)'!$A$5:$AQ$47,16,FALSE),"")=0,"",IFERROR(VLOOKUP(A33,'2.0WS(S)'!$A$5:$AQ$47,16,FALSE),""))</f>
        <v/>
      </c>
      <c r="G33" s="9" t="str">
        <f>IF(IFERROR(VLOOKUP(A33,'2.0WS(S)'!$A$5:$AQ$47,19,FALSE),"")=0,"",IFERROR(VLOOKUP(A33,'2.0WS(S)'!$A$5:$AQ$47,19,FALSE),""))</f>
        <v/>
      </c>
      <c r="H33" s="10">
        <f>IF(IFERROR(VLOOKUP(A33,'2.0WS(S)'!$A$5:$AQ$47,22,FALSE),"")=0,"",IFERROR(VLOOKUP(A33,'2.0WS(S)'!$A$5:$AQ$47,22,FALSE),""))</f>
        <v>6</v>
      </c>
      <c r="I33" s="8">
        <f>IF(IFERROR(VLOOKUP(A33,'2.0WS(S)'!$A$5:$AQ$47,25,FALSE),"")=0,"",IFERROR(VLOOKUP(A33,'2.0WS(S)'!$A$5:$AQ$47,25,FALSE),""))</f>
        <v>4</v>
      </c>
      <c r="J33" s="11">
        <f>IF(IFERROR(VLOOKUP(A33,'2.0WS(S)'!$A$5:$AQ$47,28,FALSE),"")=0,"",IFERROR(VLOOKUP(A33,'2.0WS(S)'!$A$5:$AQ$47,28,FALSE),""))</f>
        <v>8</v>
      </c>
      <c r="K33" s="11" t="str">
        <f>IF(IFERROR(VLOOKUP(A33,'2.0WS(S)'!$A$5:$AQ$47,31,FALSE),"")=0,"",IFERROR(VLOOKUP(A33,'2.0WS(S)'!$A$5:$AQ$47,31,FALSE),""))</f>
        <v/>
      </c>
      <c r="L33" s="17">
        <f t="shared" si="0"/>
        <v>28</v>
      </c>
      <c r="M33" s="9" t="str">
        <f>IF(IFERROR(VLOOKUP(A33,'2.0WS(S)'!$A$5:$AQ$47,34,FALSE),"")=0,"",IFERROR(VLOOKUP(A33,'2.0WS(S)'!$A$5:$AQ$47,34,FALSE),""))</f>
        <v/>
      </c>
      <c r="N33" s="10">
        <f>IF(IFERROR(VLOOKUP(A33,'2.0WS(S)'!$A$5:$AQ$47,37,FALSE),"")=0,"",IFERROR(VLOOKUP(A33,'2.0WS(S)'!$A$5:$AQ$47,37,FALSE),""))</f>
        <v>4</v>
      </c>
      <c r="O33" s="8">
        <f>IF(IFERROR(VLOOKUP(A33,'2.0WS(S)'!$A$5:$AQ$47,40,FALSE),"")=0,"",IFERROR(VLOOKUP(A33,'2.0WS(S)'!$A$5:$AQ$47,40,FALSE),""))</f>
        <v>4</v>
      </c>
      <c r="P33" s="8">
        <f t="shared" si="1"/>
        <v>8</v>
      </c>
      <c r="Q33" s="11" t="str">
        <f>IF(IFERROR(VLOOKUP(A33,'2.0WS(S)'!$A$5:$AQ$47,43,FALSE),"")=0,"",IFERROR(VLOOKUP(A33,'2.0WS(S)'!$A$5:$AQ$47,43,FALSE),""))</f>
        <v/>
      </c>
      <c r="R33" s="18">
        <f t="shared" si="2"/>
        <v>8</v>
      </c>
      <c r="S33" s="16">
        <f>SUM(L33,R33)</f>
        <v>36</v>
      </c>
    </row>
    <row r="34" spans="1:19" ht="15" customHeight="1">
      <c r="A34" s="12" t="str">
        <f>'2.0WS(S)'!A30</f>
        <v>Arvalli</v>
      </c>
      <c r="B34" s="9">
        <f>IF(IFERROR(VLOOKUP(A34,'2.0WS(S)'!$A$5:$AQ$47,4,FALSE),"")=0,"",IFERROR(VLOOKUP(A34,'2.0WS(S)'!$A$5:$AQ$47,4,FALSE),""))</f>
        <v>6</v>
      </c>
      <c r="C34" s="10">
        <f>IF(IFERROR(VLOOKUP(A34,'2.0WS(S)'!$A$5:$AQ$47,7,FALSE),"")=0,"",IFERROR(VLOOKUP(A34,'2.0WS(S)'!$A$5:$AQ$47,7,FALSE),""))</f>
        <v>6</v>
      </c>
      <c r="D34" s="8" t="str">
        <f>IF(IFERROR(VLOOKUP(A34,'2.0WS(S)'!$A$5:$AQ$47,10,FALSE),"")=0,"",IFERROR(VLOOKUP(A34,'2.0WS(S)'!$A$5:$AQ$47,10,FALSE),""))</f>
        <v/>
      </c>
      <c r="E34" s="8" t="str">
        <f>IF(IFERROR(VLOOKUP(A34,'2.0WS(S)'!$A$5:$AQ$47,13,FALSE),"")=0,"",IFERROR(VLOOKUP(A34,'2.0WS(S)'!$A$5:$AQ$47,13,FALSE),""))</f>
        <v/>
      </c>
      <c r="F34" s="11" t="str">
        <f>IF(IFERROR(VLOOKUP(A34,'2.0WS(S)'!$A$5:$AQ$47,16,FALSE),"")=0,"",IFERROR(VLOOKUP(A34,'2.0WS(S)'!$A$5:$AQ$47,16,FALSE),""))</f>
        <v/>
      </c>
      <c r="G34" s="9" t="str">
        <f>IF(IFERROR(VLOOKUP(A34,'2.0WS(S)'!$A$5:$AQ$47,19,FALSE),"")=0,"",IFERROR(VLOOKUP(A34,'2.0WS(S)'!$A$5:$AQ$47,19,FALSE),""))</f>
        <v/>
      </c>
      <c r="H34" s="10">
        <f>IF(IFERROR(VLOOKUP(A34,'2.0WS(S)'!$A$5:$AQ$47,22,FALSE),"")=0,"",IFERROR(VLOOKUP(A34,'2.0WS(S)'!$A$5:$AQ$47,22,FALSE),""))</f>
        <v>6</v>
      </c>
      <c r="I34" s="8">
        <f>IF(IFERROR(VLOOKUP(A34,'2.0WS(S)'!$A$5:$AQ$47,25,FALSE),"")=0,"",IFERROR(VLOOKUP(A34,'2.0WS(S)'!$A$5:$AQ$47,25,FALSE),""))</f>
        <v>4</v>
      </c>
      <c r="J34" s="11">
        <f>IF(IFERROR(VLOOKUP(A34,'2.0WS(S)'!$A$5:$AQ$47,28,FALSE),"")=0,"",IFERROR(VLOOKUP(A34,'2.0WS(S)'!$A$5:$AQ$47,28,FALSE),""))</f>
        <v>4</v>
      </c>
      <c r="K34" s="11" t="str">
        <f>IF(IFERROR(VLOOKUP(A34,'2.0WS(S)'!$A$5:$AQ$47,31,FALSE),"")=0,"",IFERROR(VLOOKUP(A34,'2.0WS(S)'!$A$5:$AQ$47,31,FALSE),""))</f>
        <v/>
      </c>
      <c r="L34" s="17">
        <f t="shared" si="0"/>
        <v>26</v>
      </c>
      <c r="M34" s="9" t="str">
        <f>IF(IFERROR(VLOOKUP(A34,'2.0WS(S)'!$A$5:$AQ$47,34,FALSE),"")=0,"",IFERROR(VLOOKUP(A34,'2.0WS(S)'!$A$5:$AQ$47,34,FALSE),""))</f>
        <v/>
      </c>
      <c r="N34" s="10">
        <f>IF(IFERROR(VLOOKUP(A34,'2.0WS(S)'!$A$5:$AQ$47,37,FALSE),"")=0,"",IFERROR(VLOOKUP(A34,'2.0WS(S)'!$A$5:$AQ$47,37,FALSE),""))</f>
        <v>4</v>
      </c>
      <c r="O34" s="8">
        <f>IF(IFERROR(VLOOKUP(A34,'2.0WS(S)'!$A$5:$AQ$47,40,FALSE),"")=0,"",IFERROR(VLOOKUP(A34,'2.0WS(S)'!$A$5:$AQ$47,40,FALSE),""))</f>
        <v>4</v>
      </c>
      <c r="P34" s="8">
        <f t="shared" si="1"/>
        <v>8</v>
      </c>
      <c r="Q34" s="11" t="str">
        <f>IF(IFERROR(VLOOKUP(A34,'2.0WS(S)'!$A$5:$AQ$47,43,FALSE),"")=0,"",IFERROR(VLOOKUP(A34,'2.0WS(S)'!$A$5:$AQ$47,43,FALSE),""))</f>
        <v/>
      </c>
      <c r="R34" s="18">
        <f t="shared" si="2"/>
        <v>8</v>
      </c>
      <c r="S34" s="16">
        <f>SUM(L34,R34)</f>
        <v>34</v>
      </c>
    </row>
    <row r="35" spans="1:19" ht="15" customHeight="1">
      <c r="A35" s="12" t="str">
        <f>'2.0WS(S)'!A31</f>
        <v>Anand</v>
      </c>
      <c r="B35" s="9" t="str">
        <f>IF(IFERROR(VLOOKUP(A35,'2.0WS(S)'!$A$5:$AQ$47,4,FALSE),"")=0,"",IFERROR(VLOOKUP(A35,'2.0WS(S)'!$A$5:$AQ$47,4,FALSE),""))</f>
        <v/>
      </c>
      <c r="C35" s="10" t="str">
        <f>IF(IFERROR(VLOOKUP(A35,'2.0WS(S)'!$A$5:$AQ$47,7,FALSE),"")=0,"",IFERROR(VLOOKUP(A35,'2.0WS(S)'!$A$5:$AQ$47,7,FALSE),""))</f>
        <v/>
      </c>
      <c r="D35" s="8">
        <f>IF(IFERROR(VLOOKUP(A35,'2.0WS(S)'!$A$5:$AQ$47,10,FALSE),"")=0,"",IFERROR(VLOOKUP(A35,'2.0WS(S)'!$A$5:$AQ$47,10,FALSE),""))</f>
        <v>8</v>
      </c>
      <c r="E35" s="8" t="str">
        <f>IF(IFERROR(VLOOKUP(A35,'2.0WS(S)'!$A$5:$AQ$47,13,FALSE),"")=0,"",IFERROR(VLOOKUP(A35,'2.0WS(S)'!$A$5:$AQ$47,13,FALSE),""))</f>
        <v/>
      </c>
      <c r="F35" s="11" t="str">
        <f>IF(IFERROR(VLOOKUP(A35,'2.0WS(S)'!$A$5:$AQ$47,16,FALSE),"")=0,"",IFERROR(VLOOKUP(A35,'2.0WS(S)'!$A$5:$AQ$47,16,FALSE),""))</f>
        <v/>
      </c>
      <c r="G35" s="9">
        <f>IF(IFERROR(VLOOKUP(A35,'2.0WS(S)'!$A$5:$AQ$47,19,FALSE),"")=0,"",IFERROR(VLOOKUP(A35,'2.0WS(S)'!$A$5:$AQ$47,19,FALSE),""))</f>
        <v>4</v>
      </c>
      <c r="H35" s="10" t="str">
        <f>IF(IFERROR(VLOOKUP(A35,'2.0WS(S)'!$A$5:$AQ$47,22,FALSE),"")=0,"",IFERROR(VLOOKUP(A35,'2.0WS(S)'!$A$5:$AQ$47,22,FALSE),""))</f>
        <v/>
      </c>
      <c r="I35" s="8" t="str">
        <f>IF(IFERROR(VLOOKUP(A35,'2.0WS(S)'!$A$5:$AQ$47,25,FALSE),"")=0,"",IFERROR(VLOOKUP(A35,'2.0WS(S)'!$A$5:$AQ$47,25,FALSE),""))</f>
        <v/>
      </c>
      <c r="J35" s="11" t="str">
        <f>IF(IFERROR(VLOOKUP(A35,'2.0WS(S)'!$A$5:$AQ$47,28,FALSE),"")=0,"",IFERROR(VLOOKUP(A35,'2.0WS(S)'!$A$5:$AQ$47,28,FALSE),""))</f>
        <v/>
      </c>
      <c r="K35" s="11" t="str">
        <f>IF(IFERROR(VLOOKUP(A35,'2.0WS(S)'!$A$5:$AQ$47,31,FALSE),"")=0,"",IFERROR(VLOOKUP(A35,'2.0WS(S)'!$A$5:$AQ$47,31,FALSE),""))</f>
        <v/>
      </c>
      <c r="L35" s="17">
        <f t="shared" si="0"/>
        <v>12</v>
      </c>
      <c r="M35" s="9" t="str">
        <f>IF(IFERROR(VLOOKUP(A35,'2.0WS(S)'!$A$5:$AQ$47,34,FALSE),"")=0,"",IFERROR(VLOOKUP(A35,'2.0WS(S)'!$A$5:$AQ$47,34,FALSE),""))</f>
        <v/>
      </c>
      <c r="N35" s="10" t="str">
        <f>IF(IFERROR(VLOOKUP(A35,'2.0WS(S)'!$A$5:$AQ$47,37,FALSE),"")=0,"",IFERROR(VLOOKUP(A35,'2.0WS(S)'!$A$5:$AQ$47,37,FALSE),""))</f>
        <v/>
      </c>
      <c r="O35" s="8">
        <f>IF(IFERROR(VLOOKUP(A35,'2.0WS(S)'!$A$5:$AQ$47,40,FALSE),"")=0,"",IFERROR(VLOOKUP(A35,'2.0WS(S)'!$A$5:$AQ$47,40,FALSE),""))</f>
        <v>4</v>
      </c>
      <c r="P35" s="8">
        <f t="shared" si="1"/>
        <v>4</v>
      </c>
      <c r="Q35" s="11">
        <f>IF(IFERROR(VLOOKUP(A35,'2.0WS(S)'!$A$5:$AQ$47,43,FALSE),"")=0,"",IFERROR(VLOOKUP(A35,'2.0WS(S)'!$A$5:$AQ$47,43,FALSE),""))</f>
        <v>4</v>
      </c>
      <c r="R35" s="18">
        <f t="shared" si="2"/>
        <v>8</v>
      </c>
      <c r="S35" s="16">
        <f>SUM(L35,R35)</f>
        <v>20</v>
      </c>
    </row>
    <row r="36" spans="1:19" ht="15" customHeight="1">
      <c r="A36" s="12" t="str">
        <f>'2.0WS(S)'!A32</f>
        <v>Kheda</v>
      </c>
      <c r="B36" s="9" t="str">
        <f>IF(IFERROR(VLOOKUP(A36,'2.0WS(S)'!$A$5:$AQ$47,4,FALSE),"")=0,"",IFERROR(VLOOKUP(A36,'2.0WS(S)'!$A$5:$AQ$47,4,FALSE),""))</f>
        <v/>
      </c>
      <c r="C36" s="10" t="str">
        <f>IF(IFERROR(VLOOKUP(A36,'2.0WS(S)'!$A$5:$AQ$47,7,FALSE),"")=0,"",IFERROR(VLOOKUP(A36,'2.0WS(S)'!$A$5:$AQ$47,7,FALSE),""))</f>
        <v/>
      </c>
      <c r="D36" s="8">
        <f>IF(IFERROR(VLOOKUP(A36,'2.0WS(S)'!$A$5:$AQ$47,10,FALSE),"")=0,"",IFERROR(VLOOKUP(A36,'2.0WS(S)'!$A$5:$AQ$47,10,FALSE),""))</f>
        <v>10</v>
      </c>
      <c r="E36" s="8" t="str">
        <f>IF(IFERROR(VLOOKUP(A36,'2.0WS(S)'!$A$5:$AQ$47,13,FALSE),"")=0,"",IFERROR(VLOOKUP(A36,'2.0WS(S)'!$A$5:$AQ$47,13,FALSE),""))</f>
        <v/>
      </c>
      <c r="F36" s="11" t="str">
        <f>IF(IFERROR(VLOOKUP(A36,'2.0WS(S)'!$A$5:$AQ$47,16,FALSE),"")=0,"",IFERROR(VLOOKUP(A36,'2.0WS(S)'!$A$5:$AQ$47,16,FALSE),""))</f>
        <v/>
      </c>
      <c r="G36" s="9">
        <f>IF(IFERROR(VLOOKUP(A36,'2.0WS(S)'!$A$5:$AQ$47,19,FALSE),"")=0,"",IFERROR(VLOOKUP(A36,'2.0WS(S)'!$A$5:$AQ$47,19,FALSE),""))</f>
        <v>4</v>
      </c>
      <c r="H36" s="10">
        <f>IF(IFERROR(VLOOKUP(A36,'2.0WS(S)'!$A$5:$AQ$47,22,FALSE),"")=0,"",IFERROR(VLOOKUP(A36,'2.0WS(S)'!$A$5:$AQ$47,22,FALSE),""))</f>
        <v>4</v>
      </c>
      <c r="I36" s="8" t="str">
        <f>IF(IFERROR(VLOOKUP(A36,'2.0WS(S)'!$A$5:$AQ$47,25,FALSE),"")=0,"",IFERROR(VLOOKUP(A36,'2.0WS(S)'!$A$5:$AQ$47,25,FALSE),""))</f>
        <v/>
      </c>
      <c r="J36" s="11">
        <f>IF(IFERROR(VLOOKUP(A36,'2.0WS(S)'!$A$5:$AQ$47,28,FALSE),"")=0,"",IFERROR(VLOOKUP(A36,'2.0WS(S)'!$A$5:$AQ$47,28,FALSE),""))</f>
        <v>4</v>
      </c>
      <c r="K36" s="11" t="str">
        <f>IF(IFERROR(VLOOKUP(A36,'2.0WS(S)'!$A$5:$AQ$47,31,FALSE),"")=0,"",IFERROR(VLOOKUP(A36,'2.0WS(S)'!$A$5:$AQ$47,31,FALSE),""))</f>
        <v/>
      </c>
      <c r="L36" s="17">
        <f t="shared" si="0"/>
        <v>22</v>
      </c>
      <c r="M36" s="9" t="str">
        <f>IF(IFERROR(VLOOKUP(A36,'2.0WS(S)'!$A$5:$AQ$47,34,FALSE),"")=0,"",IFERROR(VLOOKUP(A36,'2.0WS(S)'!$A$5:$AQ$47,34,FALSE),""))</f>
        <v/>
      </c>
      <c r="N36" s="10" t="str">
        <f>IF(IFERROR(VLOOKUP(A36,'2.0WS(S)'!$A$5:$AQ$47,37,FALSE),"")=0,"",IFERROR(VLOOKUP(A36,'2.0WS(S)'!$A$5:$AQ$47,37,FALSE),""))</f>
        <v/>
      </c>
      <c r="O36" s="8">
        <f>IF(IFERROR(VLOOKUP(A36,'2.0WS(S)'!$A$5:$AQ$47,40,FALSE),"")=0,"",IFERROR(VLOOKUP(A36,'2.0WS(S)'!$A$5:$AQ$47,40,FALSE),""))</f>
        <v>4</v>
      </c>
      <c r="P36" s="8">
        <f t="shared" si="1"/>
        <v>4</v>
      </c>
      <c r="Q36" s="11">
        <f>IF(IFERROR(VLOOKUP(A36,'2.0WS(S)'!$A$5:$AQ$47,43,FALSE),"")=0,"",IFERROR(VLOOKUP(A36,'2.0WS(S)'!$A$5:$AQ$47,43,FALSE),""))</f>
        <v>6</v>
      </c>
      <c r="R36" s="18">
        <f t="shared" si="2"/>
        <v>10</v>
      </c>
      <c r="S36" s="16">
        <f>SUM(L36,R36)</f>
        <v>32</v>
      </c>
    </row>
    <row r="37" spans="1:19" ht="15" customHeight="1">
      <c r="A37" s="13" t="str">
        <f>'2.0WS(S)'!A33</f>
        <v>SRO NADIAD TOTAL</v>
      </c>
      <c r="B37" s="14">
        <f t="shared" ref="B37:S37" si="12">SUM(B33:B36)</f>
        <v>10</v>
      </c>
      <c r="C37" s="14">
        <f t="shared" si="12"/>
        <v>12</v>
      </c>
      <c r="D37" s="14">
        <f t="shared" si="12"/>
        <v>18</v>
      </c>
      <c r="E37" s="14">
        <f t="shared" si="12"/>
        <v>0</v>
      </c>
      <c r="F37" s="14">
        <f t="shared" si="12"/>
        <v>0</v>
      </c>
      <c r="G37" s="14">
        <f t="shared" si="12"/>
        <v>8</v>
      </c>
      <c r="H37" s="14">
        <f t="shared" si="12"/>
        <v>16</v>
      </c>
      <c r="I37" s="14">
        <f t="shared" si="12"/>
        <v>8</v>
      </c>
      <c r="J37" s="14">
        <f t="shared" si="12"/>
        <v>16</v>
      </c>
      <c r="K37" s="14">
        <f t="shared" si="12"/>
        <v>0</v>
      </c>
      <c r="L37" s="14">
        <f t="shared" si="12"/>
        <v>88</v>
      </c>
      <c r="M37" s="14">
        <f t="shared" si="12"/>
        <v>0</v>
      </c>
      <c r="N37" s="14">
        <f t="shared" si="12"/>
        <v>8</v>
      </c>
      <c r="O37" s="14">
        <f t="shared" si="12"/>
        <v>16</v>
      </c>
      <c r="P37" s="8">
        <f t="shared" si="1"/>
        <v>24</v>
      </c>
      <c r="Q37" s="14">
        <f t="shared" si="12"/>
        <v>10</v>
      </c>
      <c r="R37" s="18">
        <f t="shared" si="2"/>
        <v>34</v>
      </c>
      <c r="S37" s="14">
        <f t="shared" si="12"/>
        <v>122</v>
      </c>
    </row>
    <row r="38" spans="1:19" ht="15" customHeight="1">
      <c r="A38" s="12" t="str">
        <f>'2.0WS(S)'!A34</f>
        <v>Panchmahal</v>
      </c>
      <c r="B38" s="9">
        <f>IF(IFERROR(VLOOKUP(A38,'2.0WS(S)'!$A$5:$AQ$47,4,FALSE),"")=0,"",IFERROR(VLOOKUP(A38,'2.0WS(S)'!$A$5:$AQ$47,4,FALSE),""))</f>
        <v>6</v>
      </c>
      <c r="C38" s="10" t="str">
        <f>IF(IFERROR(VLOOKUP(A38,'2.0WS(S)'!$A$5:$AQ$47,7,FALSE),"")=0,"",IFERROR(VLOOKUP(A38,'2.0WS(S)'!$A$5:$AQ$47,7,FALSE),""))</f>
        <v/>
      </c>
      <c r="D38" s="8">
        <f>IF(IFERROR(VLOOKUP(A38,'2.0WS(S)'!$A$5:$AQ$47,10,FALSE),"")=0,"",IFERROR(VLOOKUP(A38,'2.0WS(S)'!$A$5:$AQ$47,10,FALSE),""))</f>
        <v>6</v>
      </c>
      <c r="E38" s="8">
        <f>IF(IFERROR(VLOOKUP(A38,'2.0WS(S)'!$A$5:$AQ$47,13,FALSE),"")=0,"",IFERROR(VLOOKUP(A38,'2.0WS(S)'!$A$5:$AQ$47,13,FALSE),""))</f>
        <v>6</v>
      </c>
      <c r="F38" s="11" t="str">
        <f>IF(IFERROR(VLOOKUP(A38,'2.0WS(S)'!$A$5:$AQ$47,16,FALSE),"")=0,"",IFERROR(VLOOKUP(A38,'2.0WS(S)'!$A$5:$AQ$47,16,FALSE),""))</f>
        <v/>
      </c>
      <c r="G38" s="9" t="str">
        <f>IF(IFERROR(VLOOKUP(A38,'2.0WS(S)'!$A$5:$AQ$47,19,FALSE),"")=0,"",IFERROR(VLOOKUP(A38,'2.0WS(S)'!$A$5:$AQ$47,19,FALSE),""))</f>
        <v/>
      </c>
      <c r="H38" s="10">
        <f>IF(IFERROR(VLOOKUP(A38,'2.0WS(S)'!$A$5:$AQ$47,22,FALSE),"")=0,"",IFERROR(VLOOKUP(A38,'2.0WS(S)'!$A$5:$AQ$47,22,FALSE),""))</f>
        <v>4</v>
      </c>
      <c r="I38" s="8">
        <f>IF(IFERROR(VLOOKUP(A38,'2.0WS(S)'!$A$5:$AQ$47,25,FALSE),"")=0,"",IFERROR(VLOOKUP(A38,'2.0WS(S)'!$A$5:$AQ$47,25,FALSE),""))</f>
        <v>6</v>
      </c>
      <c r="J38" s="11">
        <f>IF(IFERROR(VLOOKUP(A38,'2.0WS(S)'!$A$5:$AQ$47,28,FALSE),"")=0,"",IFERROR(VLOOKUP(A38,'2.0WS(S)'!$A$5:$AQ$47,28,FALSE),""))</f>
        <v>6</v>
      </c>
      <c r="K38" s="11" t="str">
        <f>IF(IFERROR(VLOOKUP(A38,'2.0WS(S)'!$A$5:$AQ$47,31,FALSE),"")=0,"",IFERROR(VLOOKUP(A38,'2.0WS(S)'!$A$5:$AQ$47,31,FALSE),""))</f>
        <v/>
      </c>
      <c r="L38" s="17">
        <f t="shared" si="0"/>
        <v>34</v>
      </c>
      <c r="M38" s="9" t="str">
        <f>IF(IFERROR(VLOOKUP(A38,'2.0WS(S)'!$A$5:$AQ$47,34,FALSE),"")=0,"",IFERROR(VLOOKUP(A38,'2.0WS(S)'!$A$5:$AQ$47,34,FALSE),""))</f>
        <v/>
      </c>
      <c r="N38" s="10" t="str">
        <f>IF(IFERROR(VLOOKUP(A38,'2.0WS(S)'!$A$5:$AQ$47,37,FALSE),"")=0,"",IFERROR(VLOOKUP(A38,'2.0WS(S)'!$A$5:$AQ$47,37,FALSE),""))</f>
        <v/>
      </c>
      <c r="O38" s="8">
        <f>IF(IFERROR(VLOOKUP(A38,'2.0WS(S)'!$A$5:$AQ$47,40,FALSE),"")=0,"",IFERROR(VLOOKUP(A38,'2.0WS(S)'!$A$5:$AQ$47,40,FALSE),""))</f>
        <v>4</v>
      </c>
      <c r="P38" s="8">
        <f t="shared" si="1"/>
        <v>4</v>
      </c>
      <c r="Q38" s="11" t="str">
        <f>IF(IFERROR(VLOOKUP(A38,'2.0WS(S)'!$A$5:$AQ$47,43,FALSE),"")=0,"",IFERROR(VLOOKUP(A38,'2.0WS(S)'!$A$5:$AQ$47,43,FALSE),""))</f>
        <v/>
      </c>
      <c r="R38" s="18">
        <f t="shared" si="2"/>
        <v>4</v>
      </c>
      <c r="S38" s="16">
        <f t="shared" ref="S38:S44" si="13">SUM(L38,R38)</f>
        <v>38</v>
      </c>
    </row>
    <row r="39" spans="1:19" ht="15" customHeight="1">
      <c r="A39" s="12" t="str">
        <f>'2.0WS(S)'!A35</f>
        <v>Mahisagar</v>
      </c>
      <c r="B39" s="9">
        <f>IF(IFERROR(VLOOKUP(A39,'2.0WS(S)'!$A$5:$AQ$47,4,FALSE),"")=0,"",IFERROR(VLOOKUP(A39,'2.0WS(S)'!$A$5:$AQ$47,4,FALSE),""))</f>
        <v>4</v>
      </c>
      <c r="C39" s="10" t="str">
        <f>IF(IFERROR(VLOOKUP(A39,'2.0WS(S)'!$A$5:$AQ$47,7,FALSE),"")=0,"",IFERROR(VLOOKUP(A39,'2.0WS(S)'!$A$5:$AQ$47,7,FALSE),""))</f>
        <v/>
      </c>
      <c r="D39" s="8">
        <f>IF(IFERROR(VLOOKUP(A39,'2.0WS(S)'!$A$5:$AQ$47,10,FALSE),"")=0,"",IFERROR(VLOOKUP(A39,'2.0WS(S)'!$A$5:$AQ$47,10,FALSE),""))</f>
        <v>6</v>
      </c>
      <c r="E39" s="8">
        <f>IF(IFERROR(VLOOKUP(A39,'2.0WS(S)'!$A$5:$AQ$47,13,FALSE),"")=0,"",IFERROR(VLOOKUP(A39,'2.0WS(S)'!$A$5:$AQ$47,13,FALSE),""))</f>
        <v>4</v>
      </c>
      <c r="F39" s="11" t="str">
        <f>IF(IFERROR(VLOOKUP(A39,'2.0WS(S)'!$A$5:$AQ$47,16,FALSE),"")=0,"",IFERROR(VLOOKUP(A39,'2.0WS(S)'!$A$5:$AQ$47,16,FALSE),""))</f>
        <v/>
      </c>
      <c r="G39" s="9" t="str">
        <f>IF(IFERROR(VLOOKUP(A39,'2.0WS(S)'!$A$5:$AQ$47,19,FALSE),"")=0,"",IFERROR(VLOOKUP(A39,'2.0WS(S)'!$A$5:$AQ$47,19,FALSE),""))</f>
        <v/>
      </c>
      <c r="H39" s="10">
        <f>IF(IFERROR(VLOOKUP(A39,'2.0WS(S)'!$A$5:$AQ$47,22,FALSE),"")=0,"",IFERROR(VLOOKUP(A39,'2.0WS(S)'!$A$5:$AQ$47,22,FALSE),""))</f>
        <v>4</v>
      </c>
      <c r="I39" s="8">
        <f>IF(IFERROR(VLOOKUP(A39,'2.0WS(S)'!$A$5:$AQ$47,25,FALSE),"")=0,"",IFERROR(VLOOKUP(A39,'2.0WS(S)'!$A$5:$AQ$47,25,FALSE),""))</f>
        <v>4</v>
      </c>
      <c r="J39" s="11">
        <f>IF(IFERROR(VLOOKUP(A39,'2.0WS(S)'!$A$5:$AQ$47,28,FALSE),"")=0,"",IFERROR(VLOOKUP(A39,'2.0WS(S)'!$A$5:$AQ$47,28,FALSE),""))</f>
        <v>4</v>
      </c>
      <c r="K39" s="11" t="str">
        <f>IF(IFERROR(VLOOKUP(A39,'2.0WS(S)'!$A$5:$AQ$47,31,FALSE),"")=0,"",IFERROR(VLOOKUP(A39,'2.0WS(S)'!$A$5:$AQ$47,31,FALSE),""))</f>
        <v/>
      </c>
      <c r="L39" s="17">
        <f t="shared" si="0"/>
        <v>26</v>
      </c>
      <c r="M39" s="9" t="str">
        <f>IF(IFERROR(VLOOKUP(A39,'2.0WS(S)'!$A$5:$AQ$47,34,FALSE),"")=0,"",IFERROR(VLOOKUP(A39,'2.0WS(S)'!$A$5:$AQ$47,34,FALSE),""))</f>
        <v/>
      </c>
      <c r="N39" s="10" t="str">
        <f>IF(IFERROR(VLOOKUP(A39,'2.0WS(S)'!$A$5:$AQ$47,37,FALSE),"")=0,"",IFERROR(VLOOKUP(A39,'2.0WS(S)'!$A$5:$AQ$47,37,FALSE),""))</f>
        <v/>
      </c>
      <c r="O39" s="8">
        <f>IF(IFERROR(VLOOKUP(A39,'2.0WS(S)'!$A$5:$AQ$47,40,FALSE),"")=0,"",IFERROR(VLOOKUP(A39,'2.0WS(S)'!$A$5:$AQ$47,40,FALSE),""))</f>
        <v>4</v>
      </c>
      <c r="P39" s="8">
        <f t="shared" si="1"/>
        <v>4</v>
      </c>
      <c r="Q39" s="11" t="str">
        <f>IF(IFERROR(VLOOKUP(A39,'2.0WS(S)'!$A$5:$AQ$47,43,FALSE),"")=0,"",IFERROR(VLOOKUP(A39,'2.0WS(S)'!$A$5:$AQ$47,43,FALSE),""))</f>
        <v/>
      </c>
      <c r="R39" s="18">
        <f t="shared" si="2"/>
        <v>4</v>
      </c>
      <c r="S39" s="16">
        <f t="shared" si="13"/>
        <v>30</v>
      </c>
    </row>
    <row r="40" spans="1:19" ht="15" customHeight="1">
      <c r="A40" s="12" t="str">
        <f>'2.0WS(S)'!A36</f>
        <v>Dahod</v>
      </c>
      <c r="B40" s="9">
        <f>IF(IFERROR(VLOOKUP(A40,'2.0WS(S)'!$A$5:$AQ$47,4,FALSE),"")=0,"",IFERROR(VLOOKUP(A40,'2.0WS(S)'!$A$5:$AQ$47,4,FALSE),""))</f>
        <v>8</v>
      </c>
      <c r="C40" s="10" t="str">
        <f>IF(IFERROR(VLOOKUP(A40,'2.0WS(S)'!$A$5:$AQ$47,7,FALSE),"")=0,"",IFERROR(VLOOKUP(A40,'2.0WS(S)'!$A$5:$AQ$47,7,FALSE),""))</f>
        <v/>
      </c>
      <c r="D40" s="8">
        <f>IF(IFERROR(VLOOKUP(A40,'2.0WS(S)'!$A$5:$AQ$47,10,FALSE),"")=0,"",IFERROR(VLOOKUP(A40,'2.0WS(S)'!$A$5:$AQ$47,10,FALSE),""))</f>
        <v>8</v>
      </c>
      <c r="E40" s="8">
        <f>IF(IFERROR(VLOOKUP(A40,'2.0WS(S)'!$A$5:$AQ$47,13,FALSE),"")=0,"",IFERROR(VLOOKUP(A40,'2.0WS(S)'!$A$5:$AQ$47,13,FALSE),""))</f>
        <v>10</v>
      </c>
      <c r="F40" s="11" t="str">
        <f>IF(IFERROR(VLOOKUP(A40,'2.0WS(S)'!$A$5:$AQ$47,16,FALSE),"")=0,"",IFERROR(VLOOKUP(A40,'2.0WS(S)'!$A$5:$AQ$47,16,FALSE),""))</f>
        <v/>
      </c>
      <c r="G40" s="9" t="str">
        <f>IF(IFERROR(VLOOKUP(A40,'2.0WS(S)'!$A$5:$AQ$47,19,FALSE),"")=0,"",IFERROR(VLOOKUP(A40,'2.0WS(S)'!$A$5:$AQ$47,19,FALSE),""))</f>
        <v/>
      </c>
      <c r="H40" s="10" t="str">
        <f>IF(IFERROR(VLOOKUP(A40,'2.0WS(S)'!$A$5:$AQ$47,22,FALSE),"")=0,"",IFERROR(VLOOKUP(A40,'2.0WS(S)'!$A$5:$AQ$47,22,FALSE),""))</f>
        <v/>
      </c>
      <c r="I40" s="8">
        <f>IF(IFERROR(VLOOKUP(A40,'2.0WS(S)'!$A$5:$AQ$47,25,FALSE),"")=0,"",IFERROR(VLOOKUP(A40,'2.0WS(S)'!$A$5:$AQ$47,25,FALSE),""))</f>
        <v>4</v>
      </c>
      <c r="J40" s="11" t="str">
        <f>IF(IFERROR(VLOOKUP(A40,'2.0WS(S)'!$A$5:$AQ$47,28,FALSE),"")=0,"",IFERROR(VLOOKUP(A40,'2.0WS(S)'!$A$5:$AQ$47,28,FALSE),""))</f>
        <v/>
      </c>
      <c r="K40" s="11" t="str">
        <f>IF(IFERROR(VLOOKUP(A40,'2.0WS(S)'!$A$5:$AQ$47,31,FALSE),"")=0,"",IFERROR(VLOOKUP(A40,'2.0WS(S)'!$A$5:$AQ$47,31,FALSE),""))</f>
        <v/>
      </c>
      <c r="L40" s="17">
        <f t="shared" si="0"/>
        <v>30</v>
      </c>
      <c r="M40" s="9" t="str">
        <f>IF(IFERROR(VLOOKUP(A40,'2.0WS(S)'!$A$5:$AQ$47,34,FALSE),"")=0,"",IFERROR(VLOOKUP(A40,'2.0WS(S)'!$A$5:$AQ$47,34,FALSE),""))</f>
        <v/>
      </c>
      <c r="N40" s="10">
        <f>IF(IFERROR(VLOOKUP(A40,'2.0WS(S)'!$A$5:$AQ$47,37,FALSE),"")=0,"",IFERROR(VLOOKUP(A40,'2.0WS(S)'!$A$5:$AQ$47,37,FALSE),""))</f>
        <v>4</v>
      </c>
      <c r="O40" s="8">
        <f>IF(IFERROR(VLOOKUP(A40,'2.0WS(S)'!$A$5:$AQ$47,40,FALSE),"")=0,"",IFERROR(VLOOKUP(A40,'2.0WS(S)'!$A$5:$AQ$47,40,FALSE),""))</f>
        <v>4</v>
      </c>
      <c r="P40" s="8">
        <f t="shared" si="1"/>
        <v>8</v>
      </c>
      <c r="Q40" s="11" t="str">
        <f>IF(IFERROR(VLOOKUP(A40,'2.0WS(S)'!$A$5:$AQ$47,43,FALSE),"")=0,"",IFERROR(VLOOKUP(A40,'2.0WS(S)'!$A$5:$AQ$47,43,FALSE),""))</f>
        <v/>
      </c>
      <c r="R40" s="18">
        <f t="shared" si="2"/>
        <v>8</v>
      </c>
      <c r="S40" s="16">
        <f t="shared" si="13"/>
        <v>38</v>
      </c>
    </row>
    <row r="41" spans="1:19" ht="15" customHeight="1">
      <c r="A41" s="12" t="str">
        <f>'2.0WS(S)'!A37</f>
        <v>Vadodara</v>
      </c>
      <c r="B41" s="9" t="str">
        <f>IF(IFERROR(VLOOKUP(A41,'2.0WS(S)'!$A$5:$AQ$47,4,FALSE),"")=0,"",IFERROR(VLOOKUP(A41,'2.0WS(S)'!$A$5:$AQ$47,4,FALSE),""))</f>
        <v/>
      </c>
      <c r="C41" s="10" t="str">
        <f>IF(IFERROR(VLOOKUP(A41,'2.0WS(S)'!$A$5:$AQ$47,7,FALSE),"")=0,"",IFERROR(VLOOKUP(A41,'2.0WS(S)'!$A$5:$AQ$47,7,FALSE),""))</f>
        <v/>
      </c>
      <c r="D41" s="8">
        <f>IF(IFERROR(VLOOKUP(A41,'2.0WS(S)'!$A$5:$AQ$47,10,FALSE),"")=0,"",IFERROR(VLOOKUP(A41,'2.0WS(S)'!$A$5:$AQ$47,10,FALSE),""))</f>
        <v>4</v>
      </c>
      <c r="E41" s="8" t="str">
        <f>IF(IFERROR(VLOOKUP(A41,'2.0WS(S)'!$A$5:$AQ$47,13,FALSE),"")=0,"",IFERROR(VLOOKUP(A41,'2.0WS(S)'!$A$5:$AQ$47,13,FALSE),""))</f>
        <v/>
      </c>
      <c r="F41" s="11" t="str">
        <f>IF(IFERROR(VLOOKUP(A41,'2.0WS(S)'!$A$5:$AQ$47,16,FALSE),"")=0,"",IFERROR(VLOOKUP(A41,'2.0WS(S)'!$A$5:$AQ$47,16,FALSE),""))</f>
        <v/>
      </c>
      <c r="G41" s="9" t="str">
        <f>IF(IFERROR(VLOOKUP(A41,'2.0WS(S)'!$A$5:$AQ$47,19,FALSE),"")=0,"",IFERROR(VLOOKUP(A41,'2.0WS(S)'!$A$5:$AQ$47,19,FALSE),""))</f>
        <v/>
      </c>
      <c r="H41" s="10">
        <f>IF(IFERROR(VLOOKUP(A41,'2.0WS(S)'!$A$5:$AQ$47,22,FALSE),"")=0,"",IFERROR(VLOOKUP(A41,'2.0WS(S)'!$A$5:$AQ$47,22,FALSE),""))</f>
        <v>8</v>
      </c>
      <c r="I41" s="8">
        <f>IF(IFERROR(VLOOKUP(A41,'2.0WS(S)'!$A$5:$AQ$47,25,FALSE),"")=0,"",IFERROR(VLOOKUP(A41,'2.0WS(S)'!$A$5:$AQ$47,25,FALSE),""))</f>
        <v>8</v>
      </c>
      <c r="J41" s="11">
        <f>IF(IFERROR(VLOOKUP(A41,'2.0WS(S)'!$A$5:$AQ$47,28,FALSE),"")=0,"",IFERROR(VLOOKUP(A41,'2.0WS(S)'!$A$5:$AQ$47,28,FALSE),""))</f>
        <v>8</v>
      </c>
      <c r="K41" s="11" t="str">
        <f>IF(IFERROR(VLOOKUP(A41,'2.0WS(S)'!$A$5:$AQ$47,31,FALSE),"")=0,"",IFERROR(VLOOKUP(A41,'2.0WS(S)'!$A$5:$AQ$47,31,FALSE),""))</f>
        <v/>
      </c>
      <c r="L41" s="17">
        <f t="shared" si="0"/>
        <v>28</v>
      </c>
      <c r="M41" s="9" t="str">
        <f>IF(IFERROR(VLOOKUP(A41,'2.0WS(S)'!$A$5:$AQ$47,34,FALSE),"")=0,"",IFERROR(VLOOKUP(A41,'2.0WS(S)'!$A$5:$AQ$47,34,FALSE),""))</f>
        <v/>
      </c>
      <c r="N41" s="10" t="str">
        <f>IF(IFERROR(VLOOKUP(A41,'2.0WS(S)'!$A$5:$AQ$47,37,FALSE),"")=0,"",IFERROR(VLOOKUP(A41,'2.0WS(S)'!$A$5:$AQ$47,37,FALSE),""))</f>
        <v/>
      </c>
      <c r="O41" s="8">
        <f>IF(IFERROR(VLOOKUP(A41,'2.0WS(S)'!$A$5:$AQ$47,40,FALSE),"")=0,"",IFERROR(VLOOKUP(A41,'2.0WS(S)'!$A$5:$AQ$47,40,FALSE),""))</f>
        <v>4</v>
      </c>
      <c r="P41" s="8">
        <f t="shared" si="1"/>
        <v>4</v>
      </c>
      <c r="Q41" s="11">
        <f>IF(IFERROR(VLOOKUP(A41,'2.0WS(S)'!$A$5:$AQ$47,43,FALSE),"")=0,"",IFERROR(VLOOKUP(A41,'2.0WS(S)'!$A$5:$AQ$47,43,FALSE),""))</f>
        <v>4</v>
      </c>
      <c r="R41" s="18">
        <f t="shared" si="2"/>
        <v>8</v>
      </c>
      <c r="S41" s="16">
        <f t="shared" si="13"/>
        <v>36</v>
      </c>
    </row>
    <row r="42" spans="1:19" ht="15" customHeight="1">
      <c r="A42" s="12" t="str">
        <f>'2.0WS(S)'!A38</f>
        <v>Chhotaudepur</v>
      </c>
      <c r="B42" s="9">
        <f>IF(IFERROR(VLOOKUP(A42,'2.0WS(S)'!$A$5:$AQ$47,4,FALSE),"")=0,"",IFERROR(VLOOKUP(A42,'2.0WS(S)'!$A$5:$AQ$47,4,FALSE),""))</f>
        <v>4</v>
      </c>
      <c r="C42" s="10" t="str">
        <f>IF(IFERROR(VLOOKUP(A42,'2.0WS(S)'!$A$5:$AQ$47,7,FALSE),"")=0,"",IFERROR(VLOOKUP(A42,'2.0WS(S)'!$A$5:$AQ$47,7,FALSE),""))</f>
        <v/>
      </c>
      <c r="D42" s="8">
        <f>IF(IFERROR(VLOOKUP(A42,'2.0WS(S)'!$A$5:$AQ$47,10,FALSE),"")=0,"",IFERROR(VLOOKUP(A42,'2.0WS(S)'!$A$5:$AQ$47,10,FALSE),""))</f>
        <v>4</v>
      </c>
      <c r="E42" s="8">
        <f>IF(IFERROR(VLOOKUP(A42,'2.0WS(S)'!$A$5:$AQ$47,13,FALSE),"")=0,"",IFERROR(VLOOKUP(A42,'2.0WS(S)'!$A$5:$AQ$47,13,FALSE),""))</f>
        <v>4</v>
      </c>
      <c r="F42" s="11" t="str">
        <f>IF(IFERROR(VLOOKUP(A42,'2.0WS(S)'!$A$5:$AQ$47,16,FALSE),"")=0,"",IFERROR(VLOOKUP(A42,'2.0WS(S)'!$A$5:$AQ$47,16,FALSE),""))</f>
        <v/>
      </c>
      <c r="G42" s="9" t="str">
        <f>IF(IFERROR(VLOOKUP(A42,'2.0WS(S)'!$A$5:$AQ$47,19,FALSE),"")=0,"",IFERROR(VLOOKUP(A42,'2.0WS(S)'!$A$5:$AQ$47,19,FALSE),""))</f>
        <v/>
      </c>
      <c r="H42" s="10" t="str">
        <f>IF(IFERROR(VLOOKUP(A42,'2.0WS(S)'!$A$5:$AQ$47,22,FALSE),"")=0,"",IFERROR(VLOOKUP(A42,'2.0WS(S)'!$A$5:$AQ$47,22,FALSE),""))</f>
        <v/>
      </c>
      <c r="I42" s="8">
        <f>IF(IFERROR(VLOOKUP(A42,'2.0WS(S)'!$A$5:$AQ$47,25,FALSE),"")=0,"",IFERROR(VLOOKUP(A42,'2.0WS(S)'!$A$5:$AQ$47,25,FALSE),""))</f>
        <v>6</v>
      </c>
      <c r="J42" s="11">
        <f>IF(IFERROR(VLOOKUP(A42,'2.0WS(S)'!$A$5:$AQ$47,28,FALSE),"")=0,"",IFERROR(VLOOKUP(A42,'2.0WS(S)'!$A$5:$AQ$47,28,FALSE),""))</f>
        <v>6</v>
      </c>
      <c r="K42" s="11">
        <f>IF(IFERROR(VLOOKUP(A42,'2.0WS(S)'!$A$5:$AQ$47,31,FALSE),"")=0,"",IFERROR(VLOOKUP(A42,'2.0WS(S)'!$A$5:$AQ$47,31,FALSE),""))</f>
        <v>6</v>
      </c>
      <c r="L42" s="17">
        <f t="shared" si="0"/>
        <v>30</v>
      </c>
      <c r="M42" s="9" t="str">
        <f>IF(IFERROR(VLOOKUP(A42,'2.0WS(S)'!$A$5:$AQ$47,34,FALSE),"")=0,"",IFERROR(VLOOKUP(A42,'2.0WS(S)'!$A$5:$AQ$47,34,FALSE),""))</f>
        <v/>
      </c>
      <c r="N42" s="10" t="str">
        <f>IF(IFERROR(VLOOKUP(A42,'2.0WS(S)'!$A$5:$AQ$47,37,FALSE),"")=0,"",IFERROR(VLOOKUP(A42,'2.0WS(S)'!$A$5:$AQ$47,37,FALSE),""))</f>
        <v/>
      </c>
      <c r="O42" s="8" t="str">
        <f>IF(IFERROR(VLOOKUP(A42,'2.0WS(S)'!$A$5:$AQ$47,40,FALSE),"")=0,"",IFERROR(VLOOKUP(A42,'2.0WS(S)'!$A$5:$AQ$47,40,FALSE),""))</f>
        <v/>
      </c>
      <c r="P42" s="8">
        <f t="shared" si="1"/>
        <v>0</v>
      </c>
      <c r="Q42" s="11" t="str">
        <f>IF(IFERROR(VLOOKUP(A42,'2.0WS(S)'!$A$5:$AQ$47,43,FALSE),"")=0,"",IFERROR(VLOOKUP(A42,'2.0WS(S)'!$A$5:$AQ$47,43,FALSE),""))</f>
        <v/>
      </c>
      <c r="R42" s="18">
        <f t="shared" si="2"/>
        <v>0</v>
      </c>
      <c r="S42" s="16">
        <f t="shared" si="13"/>
        <v>30</v>
      </c>
    </row>
    <row r="43" spans="1:19" ht="15" customHeight="1">
      <c r="A43" s="12" t="str">
        <f>'2.0WS(S)'!A39</f>
        <v>Narmada</v>
      </c>
      <c r="B43" s="9">
        <f>IF(IFERROR(VLOOKUP(A43,'2.0WS(S)'!$A$5:$AQ$47,4,FALSE),"")=0,"",IFERROR(VLOOKUP(A43,'2.0WS(S)'!$A$5:$AQ$47,4,FALSE),""))</f>
        <v>4</v>
      </c>
      <c r="C43" s="10" t="str">
        <f>IF(IFERROR(VLOOKUP(A43,'2.0WS(S)'!$A$5:$AQ$47,7,FALSE),"")=0,"",IFERROR(VLOOKUP(A43,'2.0WS(S)'!$A$5:$AQ$47,7,FALSE),""))</f>
        <v/>
      </c>
      <c r="D43" s="8" t="str">
        <f>IF(IFERROR(VLOOKUP(A43,'2.0WS(S)'!$A$5:$AQ$47,10,FALSE),"")=0,"",IFERROR(VLOOKUP(A43,'2.0WS(S)'!$A$5:$AQ$47,10,FALSE),""))</f>
        <v/>
      </c>
      <c r="E43" s="8" t="str">
        <f>IF(IFERROR(VLOOKUP(A43,'2.0WS(S)'!$A$5:$AQ$47,13,FALSE),"")=0,"",IFERROR(VLOOKUP(A43,'2.0WS(S)'!$A$5:$AQ$47,13,FALSE),""))</f>
        <v/>
      </c>
      <c r="F43" s="11" t="str">
        <f>IF(IFERROR(VLOOKUP(A43,'2.0WS(S)'!$A$5:$AQ$47,16,FALSE),"")=0,"",IFERROR(VLOOKUP(A43,'2.0WS(S)'!$A$5:$AQ$47,16,FALSE),""))</f>
        <v/>
      </c>
      <c r="G43" s="9" t="str">
        <f>IF(IFERROR(VLOOKUP(A43,'2.0WS(S)'!$A$5:$AQ$47,19,FALSE),"")=0,"",IFERROR(VLOOKUP(A43,'2.0WS(S)'!$A$5:$AQ$47,19,FALSE),""))</f>
        <v/>
      </c>
      <c r="H43" s="10" t="str">
        <f>IF(IFERROR(VLOOKUP(A43,'2.0WS(S)'!$A$5:$AQ$47,22,FALSE),"")=0,"",IFERROR(VLOOKUP(A43,'2.0WS(S)'!$A$5:$AQ$47,22,FALSE),""))</f>
        <v/>
      </c>
      <c r="I43" s="8">
        <f>IF(IFERROR(VLOOKUP(A43,'2.0WS(S)'!$A$5:$AQ$47,25,FALSE),"")=0,"",IFERROR(VLOOKUP(A43,'2.0WS(S)'!$A$5:$AQ$47,25,FALSE),""))</f>
        <v>4</v>
      </c>
      <c r="J43" s="11">
        <f>IF(IFERROR(VLOOKUP(A43,'2.0WS(S)'!$A$5:$AQ$47,28,FALSE),"")=0,"",IFERROR(VLOOKUP(A43,'2.0WS(S)'!$A$5:$AQ$47,28,FALSE),""))</f>
        <v>6</v>
      </c>
      <c r="K43" s="11">
        <f>IF(IFERROR(VLOOKUP(A43,'2.0WS(S)'!$A$5:$AQ$47,31,FALSE),"")=0,"",IFERROR(VLOOKUP(A43,'2.0WS(S)'!$A$5:$AQ$47,31,FALSE),""))</f>
        <v>6</v>
      </c>
      <c r="L43" s="17">
        <f t="shared" si="0"/>
        <v>20</v>
      </c>
      <c r="M43" s="9" t="str">
        <f>IF(IFERROR(VLOOKUP(A43,'2.0WS(S)'!$A$5:$AQ$47,34,FALSE),"")=0,"",IFERROR(VLOOKUP(A43,'2.0WS(S)'!$A$5:$AQ$47,34,FALSE),""))</f>
        <v/>
      </c>
      <c r="N43" s="10" t="str">
        <f>IF(IFERROR(VLOOKUP(A43,'2.0WS(S)'!$A$5:$AQ$47,37,FALSE),"")=0,"",IFERROR(VLOOKUP(A43,'2.0WS(S)'!$A$5:$AQ$47,37,FALSE),""))</f>
        <v/>
      </c>
      <c r="O43" s="8" t="str">
        <f>IF(IFERROR(VLOOKUP(A43,'2.0WS(S)'!$A$5:$AQ$47,40,FALSE),"")=0,"",IFERROR(VLOOKUP(A43,'2.0WS(S)'!$A$5:$AQ$47,40,FALSE),""))</f>
        <v/>
      </c>
      <c r="P43" s="8">
        <f t="shared" si="1"/>
        <v>0</v>
      </c>
      <c r="Q43" s="11" t="str">
        <f>IF(IFERROR(VLOOKUP(A43,'2.0WS(S)'!$A$5:$AQ$47,43,FALSE),"")=0,"",IFERROR(VLOOKUP(A43,'2.0WS(S)'!$A$5:$AQ$47,43,FALSE),""))</f>
        <v/>
      </c>
      <c r="R43" s="18">
        <f t="shared" si="2"/>
        <v>0</v>
      </c>
      <c r="S43" s="16">
        <f t="shared" si="13"/>
        <v>20</v>
      </c>
    </row>
    <row r="44" spans="1:19" ht="15" customHeight="1">
      <c r="A44" s="12" t="str">
        <f>'2.0WS(S)'!A40</f>
        <v>Bharuch</v>
      </c>
      <c r="B44" s="9" t="str">
        <f>IF(IFERROR(VLOOKUP(A44,'2.0WS(S)'!$A$5:$AQ$47,4,FALSE),"")=0,"",IFERROR(VLOOKUP(A44,'2.0WS(S)'!$A$5:$AQ$47,4,FALSE),""))</f>
        <v/>
      </c>
      <c r="C44" s="10" t="str">
        <f>IF(IFERROR(VLOOKUP(A44,'2.0WS(S)'!$A$5:$AQ$47,7,FALSE),"")=0,"",IFERROR(VLOOKUP(A44,'2.0WS(S)'!$A$5:$AQ$47,7,FALSE),""))</f>
        <v/>
      </c>
      <c r="D44" s="8">
        <f>IF(IFERROR(VLOOKUP(A44,'2.0WS(S)'!$A$5:$AQ$47,10,FALSE),"")=0,"",IFERROR(VLOOKUP(A44,'2.0WS(S)'!$A$5:$AQ$47,10,FALSE),""))</f>
        <v>4</v>
      </c>
      <c r="E44" s="8" t="str">
        <f>IF(IFERROR(VLOOKUP(A44,'2.0WS(S)'!$A$5:$AQ$47,13,FALSE),"")=0,"",IFERROR(VLOOKUP(A44,'2.0WS(S)'!$A$5:$AQ$47,13,FALSE),""))</f>
        <v/>
      </c>
      <c r="F44" s="11" t="str">
        <f>IF(IFERROR(VLOOKUP(A44,'2.0WS(S)'!$A$5:$AQ$47,16,FALSE),"")=0,"",IFERROR(VLOOKUP(A44,'2.0WS(S)'!$A$5:$AQ$47,16,FALSE),""))</f>
        <v/>
      </c>
      <c r="G44" s="9" t="str">
        <f>IF(IFERROR(VLOOKUP(A44,'2.0WS(S)'!$A$5:$AQ$47,19,FALSE),"")=0,"",IFERROR(VLOOKUP(A44,'2.0WS(S)'!$A$5:$AQ$47,19,FALSE),""))</f>
        <v/>
      </c>
      <c r="H44" s="10" t="str">
        <f>IF(IFERROR(VLOOKUP(A44,'2.0WS(S)'!$A$5:$AQ$47,22,FALSE),"")=0,"",IFERROR(VLOOKUP(A44,'2.0WS(S)'!$A$5:$AQ$47,22,FALSE),""))</f>
        <v/>
      </c>
      <c r="I44" s="8">
        <f>IF(IFERROR(VLOOKUP(A44,'2.0WS(S)'!$A$5:$AQ$47,25,FALSE),"")=0,"",IFERROR(VLOOKUP(A44,'2.0WS(S)'!$A$5:$AQ$47,25,FALSE),""))</f>
        <v>8</v>
      </c>
      <c r="J44" s="11">
        <f>IF(IFERROR(VLOOKUP(A44,'2.0WS(S)'!$A$5:$AQ$47,28,FALSE),"")=0,"",IFERROR(VLOOKUP(A44,'2.0WS(S)'!$A$5:$AQ$47,28,FALSE),""))</f>
        <v>8</v>
      </c>
      <c r="K44" s="11">
        <f>IF(IFERROR(VLOOKUP(A44,'2.0WS(S)'!$A$5:$AQ$47,31,FALSE),"")=0,"",IFERROR(VLOOKUP(A44,'2.0WS(S)'!$A$5:$AQ$47,31,FALSE),""))</f>
        <v>8</v>
      </c>
      <c r="L44" s="17">
        <f t="shared" si="0"/>
        <v>28</v>
      </c>
      <c r="M44" s="9" t="str">
        <f>IF(IFERROR(VLOOKUP(A44,'2.0WS(S)'!$A$5:$AQ$47,34,FALSE),"")=0,"",IFERROR(VLOOKUP(A44,'2.0WS(S)'!$A$5:$AQ$47,34,FALSE),""))</f>
        <v/>
      </c>
      <c r="N44" s="10" t="str">
        <f>IF(IFERROR(VLOOKUP(A44,'2.0WS(S)'!$A$5:$AQ$47,37,FALSE),"")=0,"",IFERROR(VLOOKUP(A44,'2.0WS(S)'!$A$5:$AQ$47,37,FALSE),""))</f>
        <v/>
      </c>
      <c r="O44" s="8">
        <f>IF(IFERROR(VLOOKUP(A44,'2.0WS(S)'!$A$5:$AQ$47,40,FALSE),"")=0,"",IFERROR(VLOOKUP(A44,'2.0WS(S)'!$A$5:$AQ$47,40,FALSE),""))</f>
        <v>4</v>
      </c>
      <c r="P44" s="8">
        <f t="shared" si="1"/>
        <v>4</v>
      </c>
      <c r="Q44" s="11" t="str">
        <f>IF(IFERROR(VLOOKUP(A44,'2.0WS(S)'!$A$5:$AQ$47,43,FALSE),"")=0,"",IFERROR(VLOOKUP(A44,'2.0WS(S)'!$A$5:$AQ$47,43,FALSE),""))</f>
        <v/>
      </c>
      <c r="R44" s="18">
        <f t="shared" si="2"/>
        <v>4</v>
      </c>
      <c r="S44" s="16">
        <f t="shared" si="13"/>
        <v>32</v>
      </c>
    </row>
    <row r="45" spans="1:19" ht="15" customHeight="1">
      <c r="A45" s="13" t="str">
        <f>'2.0WS(S)'!A41</f>
        <v>SRO VADODARA TOTAL</v>
      </c>
      <c r="B45" s="14">
        <f t="shared" ref="B45:S45" si="14">SUM(B38:B44)</f>
        <v>26</v>
      </c>
      <c r="C45" s="14">
        <f t="shared" si="14"/>
        <v>0</v>
      </c>
      <c r="D45" s="14">
        <f t="shared" si="14"/>
        <v>32</v>
      </c>
      <c r="E45" s="14">
        <f t="shared" si="14"/>
        <v>24</v>
      </c>
      <c r="F45" s="14">
        <f t="shared" si="14"/>
        <v>0</v>
      </c>
      <c r="G45" s="14">
        <f t="shared" si="14"/>
        <v>0</v>
      </c>
      <c r="H45" s="14">
        <f t="shared" si="14"/>
        <v>16</v>
      </c>
      <c r="I45" s="14">
        <f t="shared" si="14"/>
        <v>40</v>
      </c>
      <c r="J45" s="14">
        <f t="shared" si="14"/>
        <v>38</v>
      </c>
      <c r="K45" s="14">
        <f t="shared" si="14"/>
        <v>20</v>
      </c>
      <c r="L45" s="14">
        <f t="shared" si="14"/>
        <v>196</v>
      </c>
      <c r="M45" s="14">
        <f t="shared" si="14"/>
        <v>0</v>
      </c>
      <c r="N45" s="14">
        <f t="shared" si="14"/>
        <v>4</v>
      </c>
      <c r="O45" s="14">
        <f t="shared" si="14"/>
        <v>20</v>
      </c>
      <c r="P45" s="8">
        <f t="shared" si="1"/>
        <v>24</v>
      </c>
      <c r="Q45" s="14">
        <f t="shared" si="14"/>
        <v>4</v>
      </c>
      <c r="R45" s="18">
        <f t="shared" si="2"/>
        <v>28</v>
      </c>
      <c r="S45" s="14">
        <f t="shared" si="14"/>
        <v>224</v>
      </c>
    </row>
    <row r="46" spans="1:19" ht="15" customHeight="1">
      <c r="A46" s="12" t="str">
        <f>'2.0WS(S)'!A42</f>
        <v>Surat</v>
      </c>
      <c r="B46" s="9" t="str">
        <f>IF(IFERROR(VLOOKUP(A46,'2.0WS(S)'!$A$5:$AQ$47,4,FALSE),"")=0,"",IFERROR(VLOOKUP(A46,'2.0WS(S)'!$A$5:$AQ$47,4,FALSE),""))</f>
        <v/>
      </c>
      <c r="C46" s="10" t="str">
        <f>IF(IFERROR(VLOOKUP(A46,'2.0WS(S)'!$A$5:$AQ$47,7,FALSE),"")=0,"",IFERROR(VLOOKUP(A46,'2.0WS(S)'!$A$5:$AQ$47,7,FALSE),""))</f>
        <v/>
      </c>
      <c r="D46" s="8">
        <f>IF(IFERROR(VLOOKUP(A46,'2.0WS(S)'!$A$5:$AQ$47,10,FALSE),"")=0,"",IFERROR(VLOOKUP(A46,'2.0WS(S)'!$A$5:$AQ$47,10,FALSE),""))</f>
        <v>6</v>
      </c>
      <c r="E46" s="8">
        <f>IF(IFERROR(VLOOKUP(A46,'2.0WS(S)'!$A$5:$AQ$47,13,FALSE),"")=0,"",IFERROR(VLOOKUP(A46,'2.0WS(S)'!$A$5:$AQ$47,13,FALSE),""))</f>
        <v>4</v>
      </c>
      <c r="F46" s="11" t="str">
        <f>IF(IFERROR(VLOOKUP(A46,'2.0WS(S)'!$A$5:$AQ$47,16,FALSE),"")=0,"",IFERROR(VLOOKUP(A46,'2.0WS(S)'!$A$5:$AQ$47,16,FALSE),""))</f>
        <v/>
      </c>
      <c r="G46" s="9" t="str">
        <f>IF(IFERROR(VLOOKUP(A46,'2.0WS(S)'!$A$5:$AQ$47,19,FALSE),"")=0,"",IFERROR(VLOOKUP(A46,'2.0WS(S)'!$A$5:$AQ$47,19,FALSE),""))</f>
        <v/>
      </c>
      <c r="H46" s="10" t="str">
        <f>IF(IFERROR(VLOOKUP(A46,'2.0WS(S)'!$A$5:$AQ$47,22,FALSE),"")=0,"",IFERROR(VLOOKUP(A46,'2.0WS(S)'!$A$5:$AQ$47,22,FALSE),""))</f>
        <v/>
      </c>
      <c r="I46" s="8">
        <f>IF(IFERROR(VLOOKUP(A46,'2.0WS(S)'!$A$5:$AQ$47,25,FALSE),"")=0,"",IFERROR(VLOOKUP(A46,'2.0WS(S)'!$A$5:$AQ$47,25,FALSE),""))</f>
        <v>4</v>
      </c>
      <c r="J46" s="11" t="str">
        <f>IF(IFERROR(VLOOKUP(A46,'2.0WS(S)'!$A$5:$AQ$47,28,FALSE),"")=0,"",IFERROR(VLOOKUP(A46,'2.0WS(S)'!$A$5:$AQ$47,28,FALSE),""))</f>
        <v/>
      </c>
      <c r="K46" s="11" t="str">
        <f>IF(IFERROR(VLOOKUP(A46,'2.0WS(S)'!$A$5:$AQ$47,31,FALSE),"")=0,"",IFERROR(VLOOKUP(A46,'2.0WS(S)'!$A$5:$AQ$47,31,FALSE),""))</f>
        <v/>
      </c>
      <c r="L46" s="17">
        <f t="shared" si="0"/>
        <v>14</v>
      </c>
      <c r="M46" s="9" t="str">
        <f>IF(IFERROR(VLOOKUP(A46,'2.0WS(S)'!$A$5:$AQ$47,34,FALSE),"")=0,"",IFERROR(VLOOKUP(A46,'2.0WS(S)'!$A$5:$AQ$47,34,FALSE),""))</f>
        <v/>
      </c>
      <c r="N46" s="10" t="str">
        <f>IF(IFERROR(VLOOKUP(A46,'2.0WS(S)'!$A$5:$AQ$47,37,FALSE),"")=0,"",IFERROR(VLOOKUP(A46,'2.0WS(S)'!$A$5:$AQ$47,37,FALSE),""))</f>
        <v/>
      </c>
      <c r="O46" s="8" t="str">
        <f>IF(IFERROR(VLOOKUP(A46,'2.0WS(S)'!$A$5:$AQ$47,40,FALSE),"")=0,"",IFERROR(VLOOKUP(A46,'2.0WS(S)'!$A$5:$AQ$47,40,FALSE),""))</f>
        <v/>
      </c>
      <c r="P46" s="8">
        <f t="shared" si="1"/>
        <v>0</v>
      </c>
      <c r="Q46" s="11" t="str">
        <f>IF(IFERROR(VLOOKUP(A46,'2.0WS(S)'!$A$5:$AQ$47,43,FALSE),"")=0,"",IFERROR(VLOOKUP(A46,'2.0WS(S)'!$A$5:$AQ$47,43,FALSE),""))</f>
        <v/>
      </c>
      <c r="R46" s="18">
        <f t="shared" si="2"/>
        <v>0</v>
      </c>
      <c r="S46" s="16">
        <f>SUM(L46,R46)</f>
        <v>14</v>
      </c>
    </row>
    <row r="47" spans="1:19" ht="15" customHeight="1">
      <c r="A47" s="12" t="str">
        <f>'2.0WS(S)'!A43</f>
        <v>Tapi</v>
      </c>
      <c r="B47" s="9" t="str">
        <f>IF(IFERROR(VLOOKUP(A47,'2.0WS(S)'!$A$5:$AQ$47,4,FALSE),"")=0,"",IFERROR(VLOOKUP(A47,'2.0WS(S)'!$A$5:$AQ$47,4,FALSE),""))</f>
        <v/>
      </c>
      <c r="C47" s="10" t="str">
        <f>IF(IFERROR(VLOOKUP(A47,'2.0WS(S)'!$A$5:$AQ$47,7,FALSE),"")=0,"",IFERROR(VLOOKUP(A47,'2.0WS(S)'!$A$5:$AQ$47,7,FALSE),""))</f>
        <v/>
      </c>
      <c r="D47" s="8">
        <f>IF(IFERROR(VLOOKUP(A47,'2.0WS(S)'!$A$5:$AQ$47,10,FALSE),"")=0,"",IFERROR(VLOOKUP(A47,'2.0WS(S)'!$A$5:$AQ$47,10,FALSE),""))</f>
        <v>4</v>
      </c>
      <c r="E47" s="8">
        <f>IF(IFERROR(VLOOKUP(A47,'2.0WS(S)'!$A$5:$AQ$47,13,FALSE),"")=0,"",IFERROR(VLOOKUP(A47,'2.0WS(S)'!$A$5:$AQ$47,13,FALSE),""))</f>
        <v>4</v>
      </c>
      <c r="F47" s="11" t="str">
        <f>IF(IFERROR(VLOOKUP(A47,'2.0WS(S)'!$A$5:$AQ$47,16,FALSE),"")=0,"",IFERROR(VLOOKUP(A47,'2.0WS(S)'!$A$5:$AQ$47,16,FALSE),""))</f>
        <v/>
      </c>
      <c r="G47" s="9" t="str">
        <f>IF(IFERROR(VLOOKUP(A47,'2.0WS(S)'!$A$5:$AQ$47,19,FALSE),"")=0,"",IFERROR(VLOOKUP(A47,'2.0WS(S)'!$A$5:$AQ$47,19,FALSE),""))</f>
        <v/>
      </c>
      <c r="H47" s="10" t="str">
        <f>IF(IFERROR(VLOOKUP(A47,'2.0WS(S)'!$A$5:$AQ$47,22,FALSE),"")=0,"",IFERROR(VLOOKUP(A47,'2.0WS(S)'!$A$5:$AQ$47,22,FALSE),""))</f>
        <v/>
      </c>
      <c r="I47" s="8">
        <f>IF(IFERROR(VLOOKUP(A47,'2.0WS(S)'!$A$5:$AQ$47,25,FALSE),"")=0,"",IFERROR(VLOOKUP(A47,'2.0WS(S)'!$A$5:$AQ$47,25,FALSE),""))</f>
        <v>4</v>
      </c>
      <c r="J47" s="11" t="str">
        <f>IF(IFERROR(VLOOKUP(A47,'2.0WS(S)'!$A$5:$AQ$47,28,FALSE),"")=0,"",IFERROR(VLOOKUP(A47,'2.0WS(S)'!$A$5:$AQ$47,28,FALSE),""))</f>
        <v/>
      </c>
      <c r="K47" s="11" t="str">
        <f>IF(IFERROR(VLOOKUP(A47,'2.0WS(S)'!$A$5:$AQ$47,31,FALSE),"")=0,"",IFERROR(VLOOKUP(A47,'2.0WS(S)'!$A$5:$AQ$47,31,FALSE),""))</f>
        <v/>
      </c>
      <c r="L47" s="17">
        <f t="shared" si="0"/>
        <v>12</v>
      </c>
      <c r="M47" s="9" t="str">
        <f>IF(IFERROR(VLOOKUP(A47,'2.0WS(S)'!$A$5:$AQ$47,34,FALSE),"")=0,"",IFERROR(VLOOKUP(A47,'2.0WS(S)'!$A$5:$AQ$47,34,FALSE),""))</f>
        <v/>
      </c>
      <c r="N47" s="10" t="str">
        <f>IF(IFERROR(VLOOKUP(A47,'2.0WS(S)'!$A$5:$AQ$47,37,FALSE),"")=0,"",IFERROR(VLOOKUP(A47,'2.0WS(S)'!$A$5:$AQ$47,37,FALSE),""))</f>
        <v/>
      </c>
      <c r="O47" s="8" t="str">
        <f>IF(IFERROR(VLOOKUP(A47,'2.0WS(S)'!$A$5:$AQ$47,40,FALSE),"")=0,"",IFERROR(VLOOKUP(A47,'2.0WS(S)'!$A$5:$AQ$47,40,FALSE),""))</f>
        <v/>
      </c>
      <c r="P47" s="8">
        <f t="shared" si="1"/>
        <v>0</v>
      </c>
      <c r="Q47" s="11" t="str">
        <f>IF(IFERROR(VLOOKUP(A47,'2.0WS(S)'!$A$5:$AQ$47,43,FALSE),"")=0,"",IFERROR(VLOOKUP(A47,'2.0WS(S)'!$A$5:$AQ$47,43,FALSE),""))</f>
        <v/>
      </c>
      <c r="R47" s="18">
        <f t="shared" si="2"/>
        <v>0</v>
      </c>
      <c r="S47" s="16">
        <f>SUM(L47,R47)</f>
        <v>12</v>
      </c>
    </row>
    <row r="48" spans="1:19">
      <c r="A48" s="12" t="str">
        <f>'2.0WS(S)'!A44</f>
        <v>Dangs</v>
      </c>
      <c r="B48" s="9" t="str">
        <f>IF(IFERROR(VLOOKUP(A48,'2.0WS(S)'!$A$5:$AQ$47,4,FALSE),"")=0,"",IFERROR(VLOOKUP(A48,'2.0WS(S)'!$A$5:$AQ$47,4,FALSE),""))</f>
        <v/>
      </c>
      <c r="C48" s="10">
        <f>IF(IFERROR(VLOOKUP(A48,'2.0WS(S)'!$A$5:$AQ$47,7,FALSE),"")=0,"",IFERROR(VLOOKUP(A48,'2.0WS(S)'!$A$5:$AQ$47,7,FALSE),""))</f>
        <v>4</v>
      </c>
      <c r="D48" s="8" t="str">
        <f>IF(IFERROR(VLOOKUP(A48,'2.0WS(S)'!$A$5:$AQ$47,10,FALSE),"")=0,"",IFERROR(VLOOKUP(A48,'2.0WS(S)'!$A$5:$AQ$47,10,FALSE),""))</f>
        <v/>
      </c>
      <c r="E48" s="8">
        <f>IF(IFERROR(VLOOKUP(A48,'2.0WS(S)'!$A$5:$AQ$47,13,FALSE),"")=0,"",IFERROR(VLOOKUP(A48,'2.0WS(S)'!$A$5:$AQ$47,13,FALSE),""))</f>
        <v>4</v>
      </c>
      <c r="F48" s="11" t="str">
        <f>IF(IFERROR(VLOOKUP(A48,'2.0WS(S)'!$A$5:$AQ$47,16,FALSE),"")=0,"",IFERROR(VLOOKUP(A48,'2.0WS(S)'!$A$5:$AQ$47,16,FALSE),""))</f>
        <v/>
      </c>
      <c r="G48" s="9" t="str">
        <f>IF(IFERROR(VLOOKUP(A48,'2.0WS(S)'!$A$5:$AQ$47,19,FALSE),"")=0,"",IFERROR(VLOOKUP(A48,'2.0WS(S)'!$A$5:$AQ$47,19,FALSE),""))</f>
        <v/>
      </c>
      <c r="H48" s="10" t="str">
        <f>IF(IFERROR(VLOOKUP(A48,'2.0WS(S)'!$A$5:$AQ$47,22,FALSE),"")=0,"",IFERROR(VLOOKUP(A48,'2.0WS(S)'!$A$5:$AQ$47,22,FALSE),""))</f>
        <v/>
      </c>
      <c r="I48" s="8">
        <f>IF(IFERROR(VLOOKUP(A48,'2.0WS(S)'!$A$5:$AQ$47,25,FALSE),"")=0,"",IFERROR(VLOOKUP(A48,'2.0WS(S)'!$A$5:$AQ$47,25,FALSE),""))</f>
        <v>4</v>
      </c>
      <c r="J48" s="11" t="str">
        <f>IF(IFERROR(VLOOKUP(A48,'2.0WS(S)'!$A$5:$AQ$47,28,FALSE),"")=0,"",IFERROR(VLOOKUP(A48,'2.0WS(S)'!$A$5:$AQ$47,28,FALSE),""))</f>
        <v/>
      </c>
      <c r="K48" s="11" t="str">
        <f>IF(IFERROR(VLOOKUP(A48,'2.0WS(S)'!$A$5:$AQ$47,31,FALSE),"")=0,"",IFERROR(VLOOKUP(A48,'2.0WS(S)'!$A$5:$AQ$47,31,FALSE),""))</f>
        <v/>
      </c>
      <c r="L48" s="17">
        <f t="shared" si="0"/>
        <v>12</v>
      </c>
      <c r="M48" s="9" t="str">
        <f>IF(IFERROR(VLOOKUP(A48,'2.0WS(S)'!$A$5:$AQ$47,34,FALSE),"")=0,"",IFERROR(VLOOKUP(A48,'2.0WS(S)'!$A$5:$AQ$47,34,FALSE),""))</f>
        <v/>
      </c>
      <c r="N48" s="10" t="str">
        <f>IF(IFERROR(VLOOKUP(A48,'2.0WS(S)'!$A$5:$AQ$47,37,FALSE),"")=0,"",IFERROR(VLOOKUP(A48,'2.0WS(S)'!$A$5:$AQ$47,37,FALSE),""))</f>
        <v/>
      </c>
      <c r="O48" s="8" t="str">
        <f>IF(IFERROR(VLOOKUP(A48,'2.0WS(S)'!$A$5:$AQ$47,40,FALSE),"")=0,"",IFERROR(VLOOKUP(A48,'2.0WS(S)'!$A$5:$AQ$47,40,FALSE),""))</f>
        <v/>
      </c>
      <c r="P48" s="8">
        <f t="shared" si="1"/>
        <v>0</v>
      </c>
      <c r="Q48" s="11" t="str">
        <f>IF(IFERROR(VLOOKUP(A48,'2.0WS(S)'!$A$5:$AQ$47,43,FALSE),"")=0,"",IFERROR(VLOOKUP(A48,'2.0WS(S)'!$A$5:$AQ$47,43,FALSE),""))</f>
        <v/>
      </c>
      <c r="R48" s="18">
        <f t="shared" si="2"/>
        <v>0</v>
      </c>
      <c r="S48" s="16">
        <f>SUM(L48,R48)</f>
        <v>12</v>
      </c>
    </row>
    <row r="49" spans="1:19">
      <c r="A49" s="13" t="str">
        <f>'2.0WS(S)'!A45</f>
        <v>SRO SURAT TOTAL</v>
      </c>
      <c r="B49" s="14">
        <f t="shared" ref="B49:S49" si="15">SUM(B46:B48)</f>
        <v>0</v>
      </c>
      <c r="C49" s="14">
        <f t="shared" si="15"/>
        <v>4</v>
      </c>
      <c r="D49" s="14">
        <f t="shared" si="15"/>
        <v>10</v>
      </c>
      <c r="E49" s="14">
        <f t="shared" si="15"/>
        <v>12</v>
      </c>
      <c r="F49" s="14">
        <f t="shared" si="15"/>
        <v>0</v>
      </c>
      <c r="G49" s="14">
        <f t="shared" si="15"/>
        <v>0</v>
      </c>
      <c r="H49" s="14">
        <f t="shared" si="15"/>
        <v>0</v>
      </c>
      <c r="I49" s="14">
        <f t="shared" si="15"/>
        <v>12</v>
      </c>
      <c r="J49" s="14">
        <f t="shared" si="15"/>
        <v>0</v>
      </c>
      <c r="K49" s="14">
        <f t="shared" si="15"/>
        <v>0</v>
      </c>
      <c r="L49" s="14">
        <f t="shared" si="15"/>
        <v>38</v>
      </c>
      <c r="M49" s="14">
        <f t="shared" si="15"/>
        <v>0</v>
      </c>
      <c r="N49" s="14">
        <f t="shared" si="15"/>
        <v>0</v>
      </c>
      <c r="O49" s="14">
        <f t="shared" si="15"/>
        <v>0</v>
      </c>
      <c r="P49" s="8">
        <f t="shared" si="1"/>
        <v>0</v>
      </c>
      <c r="Q49" s="14">
        <f t="shared" si="15"/>
        <v>0</v>
      </c>
      <c r="R49" s="18">
        <f t="shared" si="2"/>
        <v>0</v>
      </c>
      <c r="S49" s="14">
        <f t="shared" si="15"/>
        <v>38</v>
      </c>
    </row>
    <row r="50" spans="1:19">
      <c r="A50" s="12" t="str">
        <f>'2.0WS(S)'!A46</f>
        <v>Navsari</v>
      </c>
      <c r="B50" s="9" t="str">
        <f>IF(IFERROR(VLOOKUP(A50,'2.0WS(S)'!$A$5:$AQ$47,4,FALSE),"")=0,"",IFERROR(VLOOKUP(A50,'2.0WS(S)'!$A$5:$AQ$47,4,FALSE),""))</f>
        <v/>
      </c>
      <c r="C50" s="10" t="str">
        <f>IF(IFERROR(VLOOKUP(A50,'2.0WS(S)'!$A$5:$AQ$47,7,FALSE),"")=0,"",IFERROR(VLOOKUP(A50,'2.0WS(S)'!$A$5:$AQ$47,7,FALSE),""))</f>
        <v/>
      </c>
      <c r="D50" s="8">
        <f>IF(IFERROR(VLOOKUP(A50,'2.0WS(S)'!$A$5:$AQ$47,10,FALSE),"")=0,"",IFERROR(VLOOKUP(A50,'2.0WS(S)'!$A$5:$AQ$47,10,FALSE),""))</f>
        <v>6</v>
      </c>
      <c r="E50" s="8">
        <f>IF(IFERROR(VLOOKUP(A50,'2.0WS(S)'!$A$5:$AQ$47,13,FALSE),"")=0,"",IFERROR(VLOOKUP(A50,'2.0WS(S)'!$A$5:$AQ$47,13,FALSE),""))</f>
        <v>4</v>
      </c>
      <c r="F50" s="11" t="str">
        <f>IF(IFERROR(VLOOKUP(A50,'2.0WS(S)'!$A$5:$AQ$47,16,FALSE),"")=0,"",IFERROR(VLOOKUP(A50,'2.0WS(S)'!$A$5:$AQ$47,16,FALSE),""))</f>
        <v/>
      </c>
      <c r="G50" s="9" t="str">
        <f>IF(IFERROR(VLOOKUP(A50,'2.0WS(S)'!$A$5:$AQ$47,19,FALSE),"")=0,"",IFERROR(VLOOKUP(A50,'2.0WS(S)'!$A$5:$AQ$47,19,FALSE),""))</f>
        <v/>
      </c>
      <c r="H50" s="10" t="str">
        <f>IF(IFERROR(VLOOKUP(A50,'2.0WS(S)'!$A$5:$AQ$47,22,FALSE),"")=0,"",IFERROR(VLOOKUP(A50,'2.0WS(S)'!$A$5:$AQ$47,22,FALSE),""))</f>
        <v/>
      </c>
      <c r="I50" s="8" t="str">
        <f>IF(IFERROR(VLOOKUP(A50,'2.0WS(S)'!$A$5:$AQ$47,25,FALSE),"")=0,"",IFERROR(VLOOKUP(A50,'2.0WS(S)'!$A$5:$AQ$47,25,FALSE),""))</f>
        <v/>
      </c>
      <c r="J50" s="11" t="str">
        <f>IF(IFERROR(VLOOKUP(A50,'2.0WS(S)'!$A$5:$AQ$47,28,FALSE),"")=0,"",IFERROR(VLOOKUP(A50,'2.0WS(S)'!$A$5:$AQ$47,28,FALSE),""))</f>
        <v/>
      </c>
      <c r="K50" s="11" t="str">
        <f>IF(IFERROR(VLOOKUP(A50,'2.0WS(S)'!$A$5:$AQ$47,31,FALSE),"")=0,"",IFERROR(VLOOKUP(A50,'2.0WS(S)'!$A$5:$AQ$47,31,FALSE),""))</f>
        <v/>
      </c>
      <c r="L50" s="17">
        <f t="shared" si="0"/>
        <v>10</v>
      </c>
      <c r="M50" s="9" t="str">
        <f>IF(IFERROR(VLOOKUP(A50,'2.0WS(S)'!$A$5:$AQ$47,34,FALSE),"")=0,"",IFERROR(VLOOKUP(A50,'2.0WS(S)'!$A$5:$AQ$47,34,FALSE),""))</f>
        <v/>
      </c>
      <c r="N50" s="10" t="str">
        <f>IF(IFERROR(VLOOKUP(A50,'2.0WS(S)'!$A$5:$AQ$47,37,FALSE),"")=0,"",IFERROR(VLOOKUP(A50,'2.0WS(S)'!$A$5:$AQ$47,37,FALSE),""))</f>
        <v/>
      </c>
      <c r="O50" s="8" t="str">
        <f>IF(IFERROR(VLOOKUP(A50,'2.0WS(S)'!$A$5:$AQ$47,40,FALSE),"")=0,"",IFERROR(VLOOKUP(A50,'2.0WS(S)'!$A$5:$AQ$47,40,FALSE),""))</f>
        <v/>
      </c>
      <c r="P50" s="8">
        <f t="shared" si="1"/>
        <v>0</v>
      </c>
      <c r="Q50" s="11" t="str">
        <f>IF(IFERROR(VLOOKUP(A50,'2.0WS(S)'!$A$5:$AQ$47,43,FALSE),"")=0,"",IFERROR(VLOOKUP(A50,'2.0WS(S)'!$A$5:$AQ$47,43,FALSE),""))</f>
        <v/>
      </c>
      <c r="R50" s="18">
        <f t="shared" si="2"/>
        <v>0</v>
      </c>
      <c r="S50" s="16">
        <f>SUM(L50,R50)</f>
        <v>10</v>
      </c>
    </row>
    <row r="51" spans="1:19">
      <c r="A51" s="12" t="str">
        <f>'2.0WS(S)'!A47</f>
        <v>Valsad</v>
      </c>
      <c r="B51" s="9" t="str">
        <f>IF(IFERROR(VLOOKUP(A51,'2.0WS(S)'!$A$5:$AQ$47,4,FALSE),"")=0,"",IFERROR(VLOOKUP(A51,'2.0WS(S)'!$A$5:$AQ$47,4,FALSE),""))</f>
        <v/>
      </c>
      <c r="C51" s="10" t="str">
        <f>IF(IFERROR(VLOOKUP(A51,'2.0WS(S)'!$A$5:$AQ$47,7,FALSE),"")=0,"",IFERROR(VLOOKUP(A51,'2.0WS(S)'!$A$5:$AQ$47,7,FALSE),""))</f>
        <v/>
      </c>
      <c r="D51" s="8">
        <f>IF(IFERROR(VLOOKUP(A51,'2.0WS(S)'!$A$5:$AQ$47,10,FALSE),"")=0,"",IFERROR(VLOOKUP(A51,'2.0WS(S)'!$A$5:$AQ$47,10,FALSE),""))</f>
        <v>6</v>
      </c>
      <c r="E51" s="8" t="str">
        <f>IF(IFERROR(VLOOKUP(A51,'2.0WS(S)'!$A$5:$AQ$47,13,FALSE),"")=0,"",IFERROR(VLOOKUP(A51,'2.0WS(S)'!$A$5:$AQ$47,13,FALSE),""))</f>
        <v/>
      </c>
      <c r="F51" s="11" t="str">
        <f>IF(IFERROR(VLOOKUP(A51,'2.0WS(S)'!$A$5:$AQ$47,16,FALSE),"")=0,"",IFERROR(VLOOKUP(A51,'2.0WS(S)'!$A$5:$AQ$47,16,FALSE),""))</f>
        <v/>
      </c>
      <c r="G51" s="9" t="str">
        <f>IF(IFERROR(VLOOKUP(A51,'2.0WS(S)'!$A$5:$AQ$47,19,FALSE),"")=0,"",IFERROR(VLOOKUP(A51,'2.0WS(S)'!$A$5:$AQ$47,19,FALSE),""))</f>
        <v/>
      </c>
      <c r="H51" s="10" t="str">
        <f>IF(IFERROR(VLOOKUP(A51,'2.0WS(S)'!$A$5:$AQ$47,22,FALSE),"")=0,"",IFERROR(VLOOKUP(A51,'2.0WS(S)'!$A$5:$AQ$47,22,FALSE),""))</f>
        <v/>
      </c>
      <c r="I51" s="8">
        <f>IF(IFERROR(VLOOKUP(A51,'2.0WS(S)'!$A$5:$AQ$47,25,FALSE),"")=0,"",IFERROR(VLOOKUP(A51,'2.0WS(S)'!$A$5:$AQ$47,25,FALSE),""))</f>
        <v>4</v>
      </c>
      <c r="J51" s="11" t="str">
        <f>IF(IFERROR(VLOOKUP(A51,'2.0WS(S)'!$A$5:$AQ$47,28,FALSE),"")=0,"",IFERROR(VLOOKUP(A51,'2.0WS(S)'!$A$5:$AQ$47,28,FALSE),""))</f>
        <v/>
      </c>
      <c r="K51" s="11" t="str">
        <f>IF(IFERROR(VLOOKUP(A51,'2.0WS(S)'!$A$5:$AQ$47,31,FALSE),"")=0,"",IFERROR(VLOOKUP(A51,'2.0WS(S)'!$A$5:$AQ$47,31,FALSE),""))</f>
        <v/>
      </c>
      <c r="L51" s="17">
        <f t="shared" si="0"/>
        <v>10</v>
      </c>
      <c r="M51" s="9" t="str">
        <f>IF(IFERROR(VLOOKUP(A51,'2.0WS(S)'!$A$5:$AQ$47,34,FALSE),"")=0,"",IFERROR(VLOOKUP(A51,'2.0WS(S)'!$A$5:$AQ$47,34,FALSE),""))</f>
        <v/>
      </c>
      <c r="N51" s="10" t="str">
        <f>IF(IFERROR(VLOOKUP(A51,'2.0WS(S)'!$A$5:$AQ$47,37,FALSE),"")=0,"",IFERROR(VLOOKUP(A51,'2.0WS(S)'!$A$5:$AQ$47,37,FALSE),""))</f>
        <v/>
      </c>
      <c r="O51" s="8" t="str">
        <f>IF(IFERROR(VLOOKUP(A51,'2.0WS(S)'!$A$5:$AQ$47,40,FALSE),"")=0,"",IFERROR(VLOOKUP(A51,'2.0WS(S)'!$A$5:$AQ$47,40,FALSE),""))</f>
        <v/>
      </c>
      <c r="P51" s="8">
        <f t="shared" si="1"/>
        <v>0</v>
      </c>
      <c r="Q51" s="11" t="str">
        <f>IF(IFERROR(VLOOKUP(A51,'2.0WS(S)'!$A$5:$AQ$47,43,FALSE),"")=0,"",IFERROR(VLOOKUP(A51,'2.0WS(S)'!$A$5:$AQ$47,43,FALSE),""))</f>
        <v/>
      </c>
      <c r="R51" s="18">
        <f t="shared" si="2"/>
        <v>0</v>
      </c>
      <c r="S51" s="16">
        <f>SUM(L51,R51)</f>
        <v>10</v>
      </c>
    </row>
    <row r="52" spans="1:19">
      <c r="A52" s="13" t="str">
        <f>'2.0WS(S)'!A48</f>
        <v>SRO VALSAD TOTAL</v>
      </c>
      <c r="B52" s="14">
        <f t="shared" ref="B52" si="16">SUM(B50:B51)</f>
        <v>0</v>
      </c>
      <c r="C52" s="14">
        <f t="shared" ref="C52:S52" si="17">SUM(C50:C51)</f>
        <v>0</v>
      </c>
      <c r="D52" s="14">
        <f t="shared" si="17"/>
        <v>12</v>
      </c>
      <c r="E52" s="14">
        <f t="shared" si="17"/>
        <v>4</v>
      </c>
      <c r="F52" s="14">
        <f t="shared" si="17"/>
        <v>0</v>
      </c>
      <c r="G52" s="14">
        <f t="shared" si="17"/>
        <v>0</v>
      </c>
      <c r="H52" s="14">
        <f t="shared" si="17"/>
        <v>0</v>
      </c>
      <c r="I52" s="14">
        <f t="shared" si="17"/>
        <v>4</v>
      </c>
      <c r="J52" s="14">
        <f t="shared" si="17"/>
        <v>0</v>
      </c>
      <c r="K52" s="14">
        <f t="shared" si="17"/>
        <v>0</v>
      </c>
      <c r="L52" s="14">
        <f t="shared" si="17"/>
        <v>20</v>
      </c>
      <c r="M52" s="14">
        <f t="shared" si="17"/>
        <v>0</v>
      </c>
      <c r="N52" s="14">
        <f t="shared" si="17"/>
        <v>0</v>
      </c>
      <c r="O52" s="14">
        <f t="shared" si="17"/>
        <v>0</v>
      </c>
      <c r="P52" s="8">
        <f t="shared" si="1"/>
        <v>0</v>
      </c>
      <c r="Q52" s="14">
        <f t="shared" si="17"/>
        <v>0</v>
      </c>
      <c r="R52" s="18">
        <f t="shared" si="2"/>
        <v>0</v>
      </c>
      <c r="S52" s="14">
        <f t="shared" si="17"/>
        <v>20</v>
      </c>
    </row>
    <row r="53" spans="1:19">
      <c r="A53" s="212" t="str">
        <f>'2.0WS(S)'!A49</f>
        <v>RO BARODA TOTAL</v>
      </c>
      <c r="B53" s="213">
        <f t="shared" ref="B53" si="18">SUM(B32,B37,B45,B49,B52)</f>
        <v>40</v>
      </c>
      <c r="C53" s="213">
        <f t="shared" ref="C53:S53" si="19">SUM(C32,C37,C45,C49,C52)</f>
        <v>32</v>
      </c>
      <c r="D53" s="213">
        <f t="shared" si="19"/>
        <v>72</v>
      </c>
      <c r="E53" s="213">
        <f t="shared" si="19"/>
        <v>40</v>
      </c>
      <c r="F53" s="213">
        <f t="shared" si="19"/>
        <v>0</v>
      </c>
      <c r="G53" s="213">
        <f t="shared" si="19"/>
        <v>24</v>
      </c>
      <c r="H53" s="213">
        <f t="shared" si="19"/>
        <v>66</v>
      </c>
      <c r="I53" s="213">
        <f t="shared" si="19"/>
        <v>64</v>
      </c>
      <c r="J53" s="213">
        <f t="shared" si="19"/>
        <v>76</v>
      </c>
      <c r="K53" s="213">
        <f t="shared" si="19"/>
        <v>20</v>
      </c>
      <c r="L53" s="213">
        <f t="shared" si="19"/>
        <v>434</v>
      </c>
      <c r="M53" s="213">
        <f t="shared" si="19"/>
        <v>22</v>
      </c>
      <c r="N53" s="213">
        <f t="shared" si="19"/>
        <v>16</v>
      </c>
      <c r="O53" s="213">
        <f t="shared" si="19"/>
        <v>52</v>
      </c>
      <c r="P53" s="214">
        <f t="shared" si="1"/>
        <v>90</v>
      </c>
      <c r="Q53" s="213">
        <f t="shared" si="19"/>
        <v>28</v>
      </c>
      <c r="R53" s="213">
        <f t="shared" si="2"/>
        <v>118</v>
      </c>
      <c r="S53" s="213">
        <f t="shared" si="19"/>
        <v>552</v>
      </c>
    </row>
    <row r="54" spans="1:19">
      <c r="A54" s="15" t="str">
        <f>'2.0WS(S)'!A50</f>
        <v>STATE TOTAL</v>
      </c>
      <c r="B54" s="16">
        <f t="shared" ref="B54" si="20">SUM(B28,B53)</f>
        <v>40</v>
      </c>
      <c r="C54" s="16">
        <f t="shared" ref="C54:S54" si="21">SUM(C28,C53)</f>
        <v>120</v>
      </c>
      <c r="D54" s="16">
        <f t="shared" si="21"/>
        <v>80</v>
      </c>
      <c r="E54" s="16">
        <f t="shared" si="21"/>
        <v>40</v>
      </c>
      <c r="F54" s="16">
        <f t="shared" si="21"/>
        <v>40</v>
      </c>
      <c r="G54" s="16">
        <f t="shared" si="21"/>
        <v>40</v>
      </c>
      <c r="H54" s="16">
        <f t="shared" si="21"/>
        <v>100</v>
      </c>
      <c r="I54" s="16">
        <f t="shared" si="21"/>
        <v>70</v>
      </c>
      <c r="J54" s="16">
        <f t="shared" si="21"/>
        <v>160</v>
      </c>
      <c r="K54" s="16">
        <f t="shared" si="21"/>
        <v>60</v>
      </c>
      <c r="L54" s="16">
        <f t="shared" si="21"/>
        <v>750</v>
      </c>
      <c r="M54" s="16">
        <f t="shared" si="21"/>
        <v>40</v>
      </c>
      <c r="N54" s="16">
        <f t="shared" si="21"/>
        <v>60</v>
      </c>
      <c r="O54" s="16">
        <f t="shared" si="21"/>
        <v>100</v>
      </c>
      <c r="P54" s="8">
        <f t="shared" si="1"/>
        <v>200</v>
      </c>
      <c r="Q54" s="16">
        <f t="shared" si="21"/>
        <v>40</v>
      </c>
      <c r="R54" s="18">
        <f t="shared" si="2"/>
        <v>240</v>
      </c>
      <c r="S54" s="16">
        <f t="shared" si="21"/>
        <v>990</v>
      </c>
    </row>
  </sheetData>
  <mergeCells count="21">
    <mergeCell ref="A1:S1"/>
    <mergeCell ref="A2:S2"/>
    <mergeCell ref="B4:S4"/>
    <mergeCell ref="B5:L5"/>
    <mergeCell ref="M5:O5"/>
    <mergeCell ref="R5:R7"/>
    <mergeCell ref="D6:E6"/>
    <mergeCell ref="J6:K6"/>
    <mergeCell ref="B6:B7"/>
    <mergeCell ref="C6:C7"/>
    <mergeCell ref="F6:F7"/>
    <mergeCell ref="G6:G7"/>
    <mergeCell ref="H6:H7"/>
    <mergeCell ref="I6:I7"/>
    <mergeCell ref="S5:S7"/>
    <mergeCell ref="L6:L7"/>
    <mergeCell ref="M6:M7"/>
    <mergeCell ref="N6:N7"/>
    <mergeCell ref="O6:O7"/>
    <mergeCell ref="Q6:Q7"/>
    <mergeCell ref="P6:P7"/>
  </mergeCells>
  <printOptions horizontalCentered="1"/>
  <pageMargins left="3.937007874015748E-2" right="3.937007874015748E-2" top="3.937007874015748E-2" bottom="3.937007874015748E-2" header="0.31496062992125984" footer="0.31496062992125984"/>
  <pageSetup scale="95" fitToHeight="0" orientation="portrait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O57"/>
  <sheetViews>
    <sheetView view="pageBreakPreview" topLeftCell="A13" zoomScale="85" zoomScaleNormal="100" workbookViewId="0">
      <selection activeCell="E11" sqref="E11"/>
    </sheetView>
  </sheetViews>
  <sheetFormatPr defaultColWidth="9.109375" defaultRowHeight="13.2"/>
  <cols>
    <col min="1" max="1" width="16.88671875" style="20" customWidth="1"/>
    <col min="2" max="2" width="4.44140625" style="20" customWidth="1"/>
    <col min="3" max="3" width="5.5546875" style="20" customWidth="1"/>
    <col min="4" max="4" width="5.6640625" style="20" customWidth="1"/>
    <col min="5" max="5" width="10.77734375" style="20" customWidth="1"/>
    <col min="6" max="6" width="16.109375" style="20" customWidth="1"/>
    <col min="7" max="7" width="5.6640625" style="20" customWidth="1"/>
    <col min="8" max="8" width="7" style="20" customWidth="1"/>
    <col min="9" max="9" width="6.33203125" style="20" customWidth="1"/>
    <col min="10" max="10" width="16.88671875" style="20" customWidth="1"/>
    <col min="11" max="16384" width="9.109375" style="20"/>
  </cols>
  <sheetData>
    <row r="1" spans="1:10" ht="15.6">
      <c r="A1" s="298" t="s">
        <v>435</v>
      </c>
      <c r="B1" s="298"/>
      <c r="C1" s="298"/>
      <c r="D1" s="298"/>
      <c r="E1" s="298"/>
      <c r="F1" s="298"/>
      <c r="G1" s="298"/>
      <c r="H1" s="298"/>
      <c r="I1" s="298"/>
      <c r="J1" s="298"/>
    </row>
    <row r="2" spans="1:10" ht="15.6">
      <c r="A2" s="298" t="s">
        <v>436</v>
      </c>
      <c r="B2" s="299"/>
      <c r="C2" s="299"/>
      <c r="D2" s="299"/>
      <c r="E2" s="299"/>
      <c r="F2" s="299"/>
      <c r="G2" s="299"/>
      <c r="H2" s="299"/>
      <c r="I2" s="299"/>
      <c r="J2" s="299"/>
    </row>
    <row r="3" spans="1:10" ht="15.6">
      <c r="A3" s="21"/>
      <c r="B3" s="22"/>
      <c r="C3" s="22"/>
      <c r="D3" s="22"/>
      <c r="E3" s="22"/>
      <c r="F3" s="22"/>
      <c r="G3" s="22"/>
      <c r="H3" s="22"/>
      <c r="I3" s="22"/>
      <c r="J3" s="22"/>
    </row>
    <row r="4" spans="1:10">
      <c r="A4" s="23" t="s">
        <v>437</v>
      </c>
      <c r="B4" s="24"/>
      <c r="C4" s="24"/>
      <c r="D4" s="300"/>
      <c r="E4" s="300"/>
      <c r="F4" s="24" t="s">
        <v>438</v>
      </c>
      <c r="G4" s="24"/>
      <c r="H4" s="25"/>
      <c r="I4" s="24"/>
      <c r="J4" s="41" t="str">
        <f>'1.0WS'!K2&amp;" (Kharif)"</f>
        <v>YEAR: 2026-27 (Kharif)</v>
      </c>
    </row>
    <row r="5" spans="1:10" ht="15" customHeight="1">
      <c r="A5" s="289" t="s">
        <v>439</v>
      </c>
      <c r="B5" s="26"/>
      <c r="C5" s="301" t="s">
        <v>440</v>
      </c>
      <c r="D5" s="301"/>
      <c r="E5" s="301"/>
      <c r="F5" s="301"/>
      <c r="G5" s="301" t="s">
        <v>441</v>
      </c>
      <c r="H5" s="301"/>
      <c r="I5" s="301"/>
      <c r="J5" s="302"/>
    </row>
    <row r="6" spans="1:10" ht="15" customHeight="1">
      <c r="A6" s="290"/>
      <c r="B6" s="292" t="s">
        <v>442</v>
      </c>
      <c r="C6" s="292" t="s">
        <v>443</v>
      </c>
      <c r="D6" s="292" t="s">
        <v>444</v>
      </c>
      <c r="E6" s="292" t="s">
        <v>445</v>
      </c>
      <c r="F6" s="292" t="s">
        <v>446</v>
      </c>
      <c r="G6" s="292" t="s">
        <v>443</v>
      </c>
      <c r="H6" s="292" t="s">
        <v>444</v>
      </c>
      <c r="I6" s="292" t="s">
        <v>445</v>
      </c>
      <c r="J6" s="303" t="s">
        <v>447</v>
      </c>
    </row>
    <row r="7" spans="1:10" ht="15" customHeight="1">
      <c r="A7" s="290"/>
      <c r="B7" s="293"/>
      <c r="C7" s="293"/>
      <c r="D7" s="293"/>
      <c r="E7" s="293"/>
      <c r="F7" s="293"/>
      <c r="G7" s="293"/>
      <c r="H7" s="293"/>
      <c r="I7" s="293"/>
      <c r="J7" s="304"/>
    </row>
    <row r="8" spans="1:10" ht="15" customHeight="1">
      <c r="A8" s="291"/>
      <c r="B8" s="294"/>
      <c r="C8" s="294"/>
      <c r="D8" s="294"/>
      <c r="E8" s="294"/>
      <c r="F8" s="294"/>
      <c r="G8" s="294"/>
      <c r="H8" s="294"/>
      <c r="I8" s="294"/>
      <c r="J8" s="305"/>
    </row>
    <row r="9" spans="1:10" ht="15" customHeight="1">
      <c r="A9" s="27" t="s">
        <v>417</v>
      </c>
      <c r="B9" s="28" t="s">
        <v>418</v>
      </c>
      <c r="C9" s="28" t="s">
        <v>419</v>
      </c>
      <c r="D9" s="28" t="s">
        <v>420</v>
      </c>
      <c r="E9" s="28" t="s">
        <v>421</v>
      </c>
      <c r="F9" s="181" t="s">
        <v>422</v>
      </c>
      <c r="G9" s="28" t="s">
        <v>423</v>
      </c>
      <c r="H9" s="182" t="s">
        <v>424</v>
      </c>
      <c r="I9" s="28" t="s">
        <v>425</v>
      </c>
      <c r="J9" s="183" t="s">
        <v>426</v>
      </c>
    </row>
    <row r="10" spans="1:10">
      <c r="A10" s="295" t="s">
        <v>448</v>
      </c>
      <c r="B10" s="296"/>
      <c r="C10" s="296"/>
      <c r="D10" s="296"/>
      <c r="E10" s="296"/>
      <c r="F10" s="296"/>
      <c r="G10" s="296"/>
      <c r="H10" s="296"/>
      <c r="I10" s="296"/>
      <c r="J10" s="297"/>
    </row>
    <row r="11" spans="1:10" ht="15" customHeight="1">
      <c r="A11" s="47" t="s">
        <v>7</v>
      </c>
      <c r="B11" s="29" t="s">
        <v>312</v>
      </c>
      <c r="C11" s="32">
        <v>8</v>
      </c>
      <c r="D11" s="30">
        <f>C11/2</f>
        <v>4</v>
      </c>
      <c r="E11" s="31">
        <v>1</v>
      </c>
      <c r="F11" s="31" t="s">
        <v>482</v>
      </c>
      <c r="G11" s="32"/>
      <c r="H11" s="30"/>
      <c r="I11" s="31"/>
      <c r="J11" s="52"/>
    </row>
    <row r="12" spans="1:10" ht="15" customHeight="1">
      <c r="A12" s="47" t="s">
        <v>85</v>
      </c>
      <c r="B12" s="29" t="s">
        <v>313</v>
      </c>
      <c r="C12" s="32">
        <v>10</v>
      </c>
      <c r="D12" s="30">
        <f t="shared" ref="D12:D22" si="0">C12/2</f>
        <v>5</v>
      </c>
      <c r="E12" s="31" t="s">
        <v>458</v>
      </c>
      <c r="F12" s="31" t="s">
        <v>482</v>
      </c>
      <c r="G12" s="32"/>
      <c r="H12" s="30"/>
      <c r="I12" s="31"/>
      <c r="J12" s="52"/>
    </row>
    <row r="13" spans="1:10" ht="15" customHeight="1">
      <c r="A13" s="47" t="s">
        <v>70</v>
      </c>
      <c r="B13" s="29" t="s">
        <v>314</v>
      </c>
      <c r="C13" s="32">
        <v>4</v>
      </c>
      <c r="D13" s="30">
        <f t="shared" si="0"/>
        <v>2</v>
      </c>
      <c r="E13" s="31"/>
      <c r="F13" s="31" t="s">
        <v>449</v>
      </c>
      <c r="G13" s="32"/>
      <c r="H13" s="30"/>
      <c r="I13" s="31"/>
      <c r="J13" s="52"/>
    </row>
    <row r="14" spans="1:10" ht="15" customHeight="1">
      <c r="A14" s="47" t="s">
        <v>74</v>
      </c>
      <c r="B14" s="29" t="s">
        <v>315</v>
      </c>
      <c r="C14" s="32">
        <v>4</v>
      </c>
      <c r="D14" s="30">
        <f t="shared" si="0"/>
        <v>2</v>
      </c>
      <c r="E14" s="31"/>
      <c r="F14" s="31">
        <v>1</v>
      </c>
      <c r="G14" s="32"/>
      <c r="H14" s="30"/>
      <c r="I14" s="31"/>
      <c r="J14" s="52"/>
    </row>
    <row r="15" spans="1:10" ht="15" customHeight="1">
      <c r="A15" s="47" t="s">
        <v>101</v>
      </c>
      <c r="B15" s="29" t="s">
        <v>316</v>
      </c>
      <c r="C15" s="32">
        <v>12</v>
      </c>
      <c r="D15" s="30">
        <f t="shared" si="0"/>
        <v>6</v>
      </c>
      <c r="E15" s="31"/>
      <c r="F15" s="31"/>
      <c r="G15" s="32"/>
      <c r="H15" s="30"/>
      <c r="I15" s="31"/>
      <c r="J15" s="52"/>
    </row>
    <row r="16" spans="1:10" ht="15" customHeight="1">
      <c r="A16" s="47" t="s">
        <v>96</v>
      </c>
      <c r="B16" s="29" t="s">
        <v>317</v>
      </c>
      <c r="C16" s="32">
        <v>4</v>
      </c>
      <c r="D16" s="30">
        <f t="shared" si="0"/>
        <v>2</v>
      </c>
      <c r="E16" s="31"/>
      <c r="F16" s="31"/>
      <c r="G16" s="32"/>
      <c r="H16" s="30"/>
      <c r="I16" s="31"/>
      <c r="J16" s="52"/>
    </row>
    <row r="17" spans="1:13" ht="15" customHeight="1">
      <c r="A17" s="47" t="s">
        <v>126</v>
      </c>
      <c r="B17" s="184" t="s">
        <v>318</v>
      </c>
      <c r="C17" s="32">
        <v>4</v>
      </c>
      <c r="D17" s="30">
        <f t="shared" si="0"/>
        <v>2</v>
      </c>
      <c r="E17" s="31"/>
      <c r="F17" s="31"/>
      <c r="G17" s="32"/>
      <c r="H17" s="30"/>
      <c r="I17" s="31"/>
      <c r="J17" s="52"/>
    </row>
    <row r="18" spans="1:13" ht="15" customHeight="1">
      <c r="A18" s="47" t="s">
        <v>136</v>
      </c>
      <c r="B18" s="29"/>
      <c r="C18" s="32">
        <v>4</v>
      </c>
      <c r="D18" s="30">
        <f t="shared" si="0"/>
        <v>2</v>
      </c>
      <c r="E18" s="31"/>
      <c r="F18" s="31"/>
      <c r="G18" s="32"/>
      <c r="H18" s="30"/>
      <c r="I18" s="31"/>
      <c r="J18" s="52"/>
    </row>
    <row r="19" spans="1:13" ht="15" customHeight="1">
      <c r="A19" s="47" t="s">
        <v>112</v>
      </c>
      <c r="B19" s="29" t="s">
        <v>320</v>
      </c>
      <c r="C19" s="32">
        <v>6</v>
      </c>
      <c r="D19" s="30">
        <f t="shared" si="0"/>
        <v>3</v>
      </c>
      <c r="E19" s="33"/>
      <c r="F19" s="33"/>
      <c r="G19" s="32"/>
      <c r="H19" s="30"/>
      <c r="I19" s="33"/>
      <c r="J19" s="53"/>
    </row>
    <row r="20" spans="1:13" ht="15" customHeight="1">
      <c r="A20" s="47" t="s">
        <v>143</v>
      </c>
      <c r="B20" s="29" t="s">
        <v>323</v>
      </c>
      <c r="C20" s="32">
        <v>6</v>
      </c>
      <c r="D20" s="30">
        <f t="shared" si="0"/>
        <v>3</v>
      </c>
      <c r="E20" s="33"/>
      <c r="F20" s="33"/>
      <c r="G20" s="32"/>
      <c r="H20" s="30"/>
      <c r="I20" s="33"/>
      <c r="J20" s="53"/>
    </row>
    <row r="21" spans="1:13" ht="15" customHeight="1">
      <c r="A21" s="47" t="s">
        <v>154</v>
      </c>
      <c r="B21" s="29" t="s">
        <v>324</v>
      </c>
      <c r="C21" s="32">
        <v>6</v>
      </c>
      <c r="D21" s="30">
        <f t="shared" si="0"/>
        <v>3</v>
      </c>
      <c r="E21" s="33"/>
      <c r="F21" s="33"/>
      <c r="G21" s="32"/>
      <c r="H21" s="30"/>
      <c r="I21" s="33"/>
      <c r="J21" s="53"/>
      <c r="M21" s="43"/>
    </row>
    <row r="22" spans="1:13" ht="15" customHeight="1">
      <c r="A22" s="47" t="s">
        <v>164</v>
      </c>
      <c r="B22" s="29" t="s">
        <v>325</v>
      </c>
      <c r="C22" s="32">
        <v>4</v>
      </c>
      <c r="D22" s="30">
        <f t="shared" si="0"/>
        <v>2</v>
      </c>
      <c r="E22" s="33"/>
      <c r="F22" s="33"/>
      <c r="G22" s="32"/>
      <c r="H22" s="30"/>
      <c r="I22" s="33"/>
      <c r="J22" s="53"/>
    </row>
    <row r="23" spans="1:13">
      <c r="A23" s="286" t="s">
        <v>452</v>
      </c>
      <c r="B23" s="287"/>
      <c r="C23" s="287"/>
      <c r="D23" s="287"/>
      <c r="E23" s="287"/>
      <c r="F23" s="287"/>
      <c r="G23" s="287"/>
      <c r="H23" s="287"/>
      <c r="I23" s="287"/>
      <c r="J23" s="288"/>
    </row>
    <row r="24" spans="1:13" ht="15" customHeight="1">
      <c r="A24" s="47" t="s">
        <v>19</v>
      </c>
      <c r="B24" s="29" t="s">
        <v>328</v>
      </c>
      <c r="C24" s="32">
        <v>4</v>
      </c>
      <c r="D24" s="30">
        <f t="shared" ref="D24:D34" si="1">C24/2</f>
        <v>2</v>
      </c>
      <c r="E24" s="33"/>
      <c r="F24" s="33" t="s">
        <v>449</v>
      </c>
      <c r="G24" s="32">
        <f t="shared" ref="G24:G34" si="2">C24</f>
        <v>4</v>
      </c>
      <c r="H24" s="30">
        <f t="shared" ref="H24:H34" si="3">G24/2</f>
        <v>2</v>
      </c>
      <c r="I24" s="33"/>
      <c r="J24" s="53" t="s">
        <v>449</v>
      </c>
    </row>
    <row r="25" spans="1:13" ht="15" customHeight="1">
      <c r="A25" s="48" t="s">
        <v>34</v>
      </c>
      <c r="B25" s="29" t="s">
        <v>329</v>
      </c>
      <c r="C25" s="32">
        <v>4</v>
      </c>
      <c r="D25" s="30">
        <f t="shared" si="1"/>
        <v>2</v>
      </c>
      <c r="E25" s="33">
        <v>1</v>
      </c>
      <c r="F25" s="33">
        <v>2</v>
      </c>
      <c r="G25" s="32">
        <f t="shared" si="2"/>
        <v>4</v>
      </c>
      <c r="H25" s="30">
        <f t="shared" si="3"/>
        <v>2</v>
      </c>
      <c r="I25" s="33">
        <v>2</v>
      </c>
      <c r="J25" s="53">
        <v>1</v>
      </c>
    </row>
    <row r="26" spans="1:13" ht="15" customHeight="1">
      <c r="A26" s="48" t="s">
        <v>50</v>
      </c>
      <c r="B26" s="29" t="s">
        <v>330</v>
      </c>
      <c r="C26" s="32">
        <v>6</v>
      </c>
      <c r="D26" s="30">
        <f t="shared" si="1"/>
        <v>3</v>
      </c>
      <c r="E26" s="33">
        <v>3</v>
      </c>
      <c r="F26" s="33" t="s">
        <v>449</v>
      </c>
      <c r="G26" s="32">
        <f t="shared" si="2"/>
        <v>6</v>
      </c>
      <c r="H26" s="30">
        <f t="shared" si="3"/>
        <v>3</v>
      </c>
      <c r="I26" s="33"/>
      <c r="J26" s="53" t="s">
        <v>450</v>
      </c>
    </row>
    <row r="27" spans="1:13" ht="15" customHeight="1">
      <c r="A27" s="48" t="s">
        <v>54</v>
      </c>
      <c r="B27" s="29" t="s">
        <v>331</v>
      </c>
      <c r="C27" s="32">
        <v>4</v>
      </c>
      <c r="D27" s="30">
        <f t="shared" si="1"/>
        <v>2</v>
      </c>
      <c r="E27" s="33"/>
      <c r="F27" s="33" t="s">
        <v>449</v>
      </c>
      <c r="G27" s="32">
        <f t="shared" si="2"/>
        <v>4</v>
      </c>
      <c r="H27" s="30">
        <f t="shared" si="3"/>
        <v>2</v>
      </c>
      <c r="I27" s="33">
        <v>1</v>
      </c>
      <c r="J27" s="53">
        <v>2</v>
      </c>
    </row>
    <row r="28" spans="1:13" ht="15" customHeight="1">
      <c r="A28" s="48" t="s">
        <v>63</v>
      </c>
      <c r="B28" s="29" t="s">
        <v>332</v>
      </c>
      <c r="C28" s="32">
        <v>4</v>
      </c>
      <c r="D28" s="30">
        <f t="shared" si="1"/>
        <v>2</v>
      </c>
      <c r="E28" s="33">
        <v>2</v>
      </c>
      <c r="F28" s="33">
        <v>1</v>
      </c>
      <c r="G28" s="32">
        <f t="shared" si="2"/>
        <v>4</v>
      </c>
      <c r="H28" s="30">
        <f t="shared" si="3"/>
        <v>2</v>
      </c>
      <c r="I28" s="33"/>
      <c r="J28" s="53" t="s">
        <v>449</v>
      </c>
    </row>
    <row r="29" spans="1:13" ht="15" customHeight="1">
      <c r="A29" s="48" t="s">
        <v>176</v>
      </c>
      <c r="B29" s="29" t="s">
        <v>334</v>
      </c>
      <c r="C29" s="32">
        <v>4</v>
      </c>
      <c r="D29" s="30">
        <f t="shared" si="1"/>
        <v>2</v>
      </c>
      <c r="E29" s="33"/>
      <c r="F29" s="33" t="s">
        <v>449</v>
      </c>
      <c r="G29" s="32">
        <f t="shared" si="2"/>
        <v>4</v>
      </c>
      <c r="H29" s="30">
        <f t="shared" si="3"/>
        <v>2</v>
      </c>
      <c r="I29" s="33">
        <v>1</v>
      </c>
      <c r="J29" s="53">
        <v>2</v>
      </c>
    </row>
    <row r="30" spans="1:13" ht="15" customHeight="1">
      <c r="A30" s="48" t="s">
        <v>186</v>
      </c>
      <c r="B30" s="29" t="s">
        <v>335</v>
      </c>
      <c r="C30" s="32">
        <v>4</v>
      </c>
      <c r="D30" s="30">
        <f t="shared" si="1"/>
        <v>2</v>
      </c>
      <c r="E30" s="33">
        <v>2</v>
      </c>
      <c r="F30" s="33">
        <v>1</v>
      </c>
      <c r="G30" s="32">
        <f t="shared" si="2"/>
        <v>4</v>
      </c>
      <c r="H30" s="30">
        <f t="shared" si="3"/>
        <v>2</v>
      </c>
      <c r="I30" s="33"/>
      <c r="J30" s="53" t="s">
        <v>449</v>
      </c>
    </row>
    <row r="31" spans="1:13" ht="15" customHeight="1">
      <c r="A31" s="48" t="s">
        <v>210</v>
      </c>
      <c r="B31" s="29" t="s">
        <v>338</v>
      </c>
      <c r="C31" s="32">
        <v>4</v>
      </c>
      <c r="D31" s="30">
        <f t="shared" si="1"/>
        <v>2</v>
      </c>
      <c r="E31" s="33"/>
      <c r="F31" s="33" t="s">
        <v>449</v>
      </c>
      <c r="G31" s="32">
        <f t="shared" si="2"/>
        <v>4</v>
      </c>
      <c r="H31" s="30">
        <f t="shared" si="3"/>
        <v>2</v>
      </c>
      <c r="I31" s="33">
        <v>1</v>
      </c>
      <c r="J31" s="53">
        <v>2</v>
      </c>
    </row>
    <row r="32" spans="1:13" ht="15" customHeight="1">
      <c r="A32" s="48" t="s">
        <v>218</v>
      </c>
      <c r="B32" s="29" t="s">
        <v>339</v>
      </c>
      <c r="C32" s="32">
        <v>4</v>
      </c>
      <c r="D32" s="30">
        <f t="shared" si="1"/>
        <v>2</v>
      </c>
      <c r="E32" s="33">
        <v>2</v>
      </c>
      <c r="F32" s="33">
        <v>1</v>
      </c>
      <c r="G32" s="32">
        <f t="shared" si="2"/>
        <v>4</v>
      </c>
      <c r="H32" s="30">
        <f t="shared" si="3"/>
        <v>2</v>
      </c>
      <c r="I32" s="33"/>
      <c r="J32" s="53" t="s">
        <v>449</v>
      </c>
    </row>
    <row r="33" spans="1:15" ht="15" customHeight="1">
      <c r="A33" s="48" t="s">
        <v>225</v>
      </c>
      <c r="B33" s="29" t="s">
        <v>340</v>
      </c>
      <c r="C33" s="32">
        <v>4</v>
      </c>
      <c r="D33" s="30">
        <f t="shared" si="1"/>
        <v>2</v>
      </c>
      <c r="E33" s="33"/>
      <c r="F33" s="33" t="s">
        <v>449</v>
      </c>
      <c r="G33" s="32">
        <f t="shared" si="2"/>
        <v>4</v>
      </c>
      <c r="H33" s="30">
        <f t="shared" si="3"/>
        <v>2</v>
      </c>
      <c r="I33" s="33">
        <v>1</v>
      </c>
      <c r="J33" s="53">
        <v>2</v>
      </c>
    </row>
    <row r="34" spans="1:15" ht="15" customHeight="1">
      <c r="A34" s="49" t="s">
        <v>231</v>
      </c>
      <c r="B34" s="29" t="s">
        <v>341</v>
      </c>
      <c r="C34" s="32">
        <v>6</v>
      </c>
      <c r="D34" s="30">
        <f t="shared" si="1"/>
        <v>3</v>
      </c>
      <c r="E34" s="33">
        <v>2</v>
      </c>
      <c r="F34" s="33" t="s">
        <v>453</v>
      </c>
      <c r="G34" s="32">
        <f t="shared" si="2"/>
        <v>6</v>
      </c>
      <c r="H34" s="30">
        <f t="shared" si="3"/>
        <v>3</v>
      </c>
      <c r="I34" s="33">
        <v>3</v>
      </c>
      <c r="J34" s="53" t="s">
        <v>449</v>
      </c>
    </row>
    <row r="35" spans="1:15" ht="15" customHeight="1">
      <c r="A35" s="50" t="s">
        <v>301</v>
      </c>
      <c r="B35" s="34"/>
      <c r="C35" s="34">
        <f>SUM(C11:C34)</f>
        <v>120</v>
      </c>
      <c r="D35" s="34">
        <f>SUM(D11:D34)</f>
        <v>60</v>
      </c>
      <c r="E35" s="35"/>
      <c r="F35" s="34"/>
      <c r="G35" s="34">
        <f>SUM(G11:G34)</f>
        <v>48</v>
      </c>
      <c r="H35" s="34">
        <f>SUM(H11:H34)</f>
        <v>24</v>
      </c>
      <c r="I35" s="35"/>
      <c r="J35" s="44"/>
    </row>
    <row r="36" spans="1:15" ht="12.75" customHeight="1">
      <c r="A36" s="36"/>
      <c r="B36" s="37"/>
      <c r="C36" s="37"/>
      <c r="D36" s="37"/>
      <c r="E36" s="37"/>
      <c r="F36" s="37"/>
      <c r="G36" s="37"/>
      <c r="H36" s="37"/>
      <c r="I36" s="37"/>
      <c r="J36" s="37"/>
    </row>
    <row r="37" spans="1:15" ht="15">
      <c r="A37" s="23" t="s">
        <v>437</v>
      </c>
      <c r="B37" s="24"/>
      <c r="C37" s="24"/>
      <c r="D37" s="24"/>
      <c r="E37" s="25"/>
      <c r="F37" s="25" t="s">
        <v>454</v>
      </c>
      <c r="G37" s="24"/>
      <c r="H37" s="25"/>
      <c r="I37" s="24"/>
      <c r="J37" s="41" t="str">
        <f>J4</f>
        <v>YEAR: 2026-27 (Kharif)</v>
      </c>
      <c r="K37" s="45"/>
      <c r="L37" s="45"/>
      <c r="M37" s="45"/>
      <c r="N37" s="45"/>
      <c r="O37" s="45"/>
    </row>
    <row r="38" spans="1:15" ht="15" customHeight="1">
      <c r="A38" s="289" t="s">
        <v>439</v>
      </c>
      <c r="B38" s="26"/>
      <c r="C38" s="301" t="s">
        <v>440</v>
      </c>
      <c r="D38" s="301"/>
      <c r="E38" s="301"/>
      <c r="F38" s="301"/>
      <c r="G38" s="301" t="s">
        <v>441</v>
      </c>
      <c r="H38" s="301"/>
      <c r="I38" s="301"/>
      <c r="J38" s="302"/>
      <c r="K38" s="45"/>
      <c r="L38" s="45"/>
      <c r="M38" s="45"/>
      <c r="N38" s="45"/>
      <c r="O38" s="45"/>
    </row>
    <row r="39" spans="1:15" ht="15" customHeight="1">
      <c r="A39" s="290"/>
      <c r="B39" s="292" t="s">
        <v>442</v>
      </c>
      <c r="C39" s="292" t="s">
        <v>443</v>
      </c>
      <c r="D39" s="292" t="s">
        <v>444</v>
      </c>
      <c r="E39" s="292" t="s">
        <v>445</v>
      </c>
      <c r="F39" s="292" t="s">
        <v>446</v>
      </c>
      <c r="G39" s="292" t="s">
        <v>443</v>
      </c>
      <c r="H39" s="292" t="s">
        <v>444</v>
      </c>
      <c r="I39" s="292" t="s">
        <v>445</v>
      </c>
      <c r="J39" s="303" t="s">
        <v>447</v>
      </c>
    </row>
    <row r="40" spans="1:15" ht="15" customHeight="1">
      <c r="A40" s="290"/>
      <c r="B40" s="293"/>
      <c r="C40" s="293"/>
      <c r="D40" s="293"/>
      <c r="E40" s="293"/>
      <c r="F40" s="293"/>
      <c r="G40" s="293"/>
      <c r="H40" s="293"/>
      <c r="I40" s="293"/>
      <c r="J40" s="304"/>
    </row>
    <row r="41" spans="1:15" ht="15" customHeight="1">
      <c r="A41" s="291"/>
      <c r="B41" s="294"/>
      <c r="C41" s="294"/>
      <c r="D41" s="294"/>
      <c r="E41" s="294"/>
      <c r="F41" s="294"/>
      <c r="G41" s="294"/>
      <c r="H41" s="294"/>
      <c r="I41" s="294"/>
      <c r="J41" s="305"/>
    </row>
    <row r="42" spans="1:15" ht="15" customHeight="1">
      <c r="A42" s="27" t="s">
        <v>417</v>
      </c>
      <c r="B42" s="28" t="s">
        <v>418</v>
      </c>
      <c r="C42" s="28" t="s">
        <v>419</v>
      </c>
      <c r="D42" s="28" t="s">
        <v>420</v>
      </c>
      <c r="E42" s="28" t="s">
        <v>421</v>
      </c>
      <c r="F42" s="181" t="s">
        <v>422</v>
      </c>
      <c r="G42" s="28" t="s">
        <v>423</v>
      </c>
      <c r="H42" s="28" t="s">
        <v>424</v>
      </c>
      <c r="I42" s="182" t="s">
        <v>425</v>
      </c>
      <c r="J42" s="42" t="s">
        <v>426</v>
      </c>
    </row>
    <row r="43" spans="1:15">
      <c r="A43" s="295" t="s">
        <v>448</v>
      </c>
      <c r="B43" s="296"/>
      <c r="C43" s="296"/>
      <c r="D43" s="296"/>
      <c r="E43" s="296"/>
      <c r="F43" s="296"/>
      <c r="G43" s="296"/>
      <c r="H43" s="296"/>
      <c r="I43" s="296"/>
      <c r="J43" s="297"/>
    </row>
    <row r="44" spans="1:15" ht="15" customHeight="1">
      <c r="A44" s="47" t="s">
        <v>7</v>
      </c>
      <c r="B44" s="29" t="s">
        <v>312</v>
      </c>
      <c r="C44" s="38">
        <v>6</v>
      </c>
      <c r="D44" s="30">
        <f>C44/2</f>
        <v>3</v>
      </c>
      <c r="E44" s="31">
        <v>1</v>
      </c>
      <c r="F44" s="31" t="s">
        <v>451</v>
      </c>
      <c r="G44" s="38">
        <f>C44</f>
        <v>6</v>
      </c>
      <c r="H44" s="30">
        <f>G44/2</f>
        <v>3</v>
      </c>
      <c r="I44" s="31">
        <v>2</v>
      </c>
      <c r="J44" s="52" t="s">
        <v>453</v>
      </c>
    </row>
    <row r="45" spans="1:15" ht="15" customHeight="1">
      <c r="A45" s="47" t="s">
        <v>85</v>
      </c>
      <c r="B45" s="29" t="s">
        <v>313</v>
      </c>
      <c r="C45" s="38">
        <v>12</v>
      </c>
      <c r="D45" s="30">
        <f t="shared" ref="D45:D56" si="4">C45/2</f>
        <v>6</v>
      </c>
      <c r="E45" s="33" t="s">
        <v>455</v>
      </c>
      <c r="F45" s="33" t="s">
        <v>456</v>
      </c>
      <c r="G45" s="38">
        <f t="shared" ref="G45:G56" si="5">C45</f>
        <v>12</v>
      </c>
      <c r="H45" s="30">
        <f t="shared" ref="H45:H56" si="6">G45/2</f>
        <v>6</v>
      </c>
      <c r="I45" s="33">
        <v>3</v>
      </c>
      <c r="J45" s="53" t="s">
        <v>457</v>
      </c>
    </row>
    <row r="46" spans="1:15" ht="15" customHeight="1">
      <c r="A46" s="47" t="s">
        <v>74</v>
      </c>
      <c r="B46" s="29" t="s">
        <v>315</v>
      </c>
      <c r="C46" s="38">
        <v>12</v>
      </c>
      <c r="D46" s="30">
        <f t="shared" si="4"/>
        <v>6</v>
      </c>
      <c r="E46" s="33">
        <v>4</v>
      </c>
      <c r="F46" s="33" t="s">
        <v>450</v>
      </c>
      <c r="G46" s="38">
        <f t="shared" si="5"/>
        <v>12</v>
      </c>
      <c r="H46" s="30">
        <f t="shared" si="6"/>
        <v>6</v>
      </c>
      <c r="I46" s="33" t="s">
        <v>458</v>
      </c>
      <c r="J46" s="53" t="s">
        <v>459</v>
      </c>
    </row>
    <row r="47" spans="1:15" ht="15" customHeight="1">
      <c r="A47" s="47" t="s">
        <v>96</v>
      </c>
      <c r="B47" s="29" t="s">
        <v>317</v>
      </c>
      <c r="C47" s="38">
        <v>6</v>
      </c>
      <c r="D47" s="30">
        <f t="shared" si="4"/>
        <v>3</v>
      </c>
      <c r="E47" s="33">
        <v>2</v>
      </c>
      <c r="F47" s="33" t="s">
        <v>453</v>
      </c>
      <c r="G47" s="38">
        <f t="shared" si="5"/>
        <v>6</v>
      </c>
      <c r="H47" s="30">
        <f t="shared" si="6"/>
        <v>3</v>
      </c>
      <c r="I47" s="33">
        <v>3</v>
      </c>
      <c r="J47" s="53" t="s">
        <v>449</v>
      </c>
    </row>
    <row r="48" spans="1:15" ht="15" customHeight="1">
      <c r="A48" s="47" t="s">
        <v>143</v>
      </c>
      <c r="B48" s="29" t="s">
        <v>323</v>
      </c>
      <c r="C48" s="38">
        <v>20</v>
      </c>
      <c r="D48" s="30">
        <f t="shared" si="4"/>
        <v>10</v>
      </c>
      <c r="E48" s="33" t="s">
        <v>460</v>
      </c>
      <c r="F48" s="33" t="s">
        <v>461</v>
      </c>
      <c r="G48" s="38">
        <f t="shared" si="5"/>
        <v>20</v>
      </c>
      <c r="H48" s="30">
        <f t="shared" si="6"/>
        <v>10</v>
      </c>
      <c r="I48" s="33" t="s">
        <v>462</v>
      </c>
      <c r="J48" s="53" t="s">
        <v>463</v>
      </c>
    </row>
    <row r="49" spans="1:10" ht="15" customHeight="1">
      <c r="A49" s="47" t="s">
        <v>154</v>
      </c>
      <c r="B49" s="29" t="s">
        <v>324</v>
      </c>
      <c r="C49" s="38">
        <v>16</v>
      </c>
      <c r="D49" s="30">
        <f t="shared" si="4"/>
        <v>8</v>
      </c>
      <c r="E49" s="33" t="s">
        <v>458</v>
      </c>
      <c r="F49" s="33" t="s">
        <v>464</v>
      </c>
      <c r="G49" s="38">
        <f t="shared" si="5"/>
        <v>16</v>
      </c>
      <c r="H49" s="30">
        <f t="shared" si="6"/>
        <v>8</v>
      </c>
      <c r="I49" s="185" t="s">
        <v>455</v>
      </c>
      <c r="J49" s="53" t="s">
        <v>465</v>
      </c>
    </row>
    <row r="50" spans="1:10">
      <c r="A50" s="47" t="s">
        <v>164</v>
      </c>
      <c r="B50" s="29" t="s">
        <v>325</v>
      </c>
      <c r="C50" s="38">
        <v>4</v>
      </c>
      <c r="D50" s="30">
        <f t="shared" si="4"/>
        <v>2</v>
      </c>
      <c r="E50" s="51">
        <v>1</v>
      </c>
      <c r="F50" s="33">
        <v>2</v>
      </c>
      <c r="G50" s="38">
        <f t="shared" si="5"/>
        <v>4</v>
      </c>
      <c r="H50" s="30">
        <f t="shared" si="6"/>
        <v>2</v>
      </c>
      <c r="I50" s="51">
        <v>2</v>
      </c>
      <c r="J50" s="54">
        <v>1</v>
      </c>
    </row>
    <row r="51" spans="1:10">
      <c r="A51" s="286" t="s">
        <v>452</v>
      </c>
      <c r="B51" s="287"/>
      <c r="C51" s="287"/>
      <c r="D51" s="287"/>
      <c r="E51" s="287"/>
      <c r="F51" s="287"/>
      <c r="G51" s="287"/>
      <c r="H51" s="287"/>
      <c r="I51" s="287"/>
      <c r="J51" s="288"/>
    </row>
    <row r="52" spans="1:10" ht="15" customHeight="1">
      <c r="A52" s="48" t="s">
        <v>186</v>
      </c>
      <c r="B52" s="29" t="s">
        <v>335</v>
      </c>
      <c r="C52" s="38">
        <v>4</v>
      </c>
      <c r="D52" s="30">
        <f t="shared" si="4"/>
        <v>2</v>
      </c>
      <c r="E52" s="33"/>
      <c r="F52" s="33" t="s">
        <v>449</v>
      </c>
      <c r="G52" s="38">
        <f t="shared" si="5"/>
        <v>4</v>
      </c>
      <c r="H52" s="30">
        <f t="shared" si="6"/>
        <v>2</v>
      </c>
      <c r="I52" s="33"/>
      <c r="J52" s="53" t="s">
        <v>449</v>
      </c>
    </row>
    <row r="53" spans="1:10" ht="15" customHeight="1">
      <c r="A53" s="48" t="s">
        <v>218</v>
      </c>
      <c r="B53" s="29" t="s">
        <v>339</v>
      </c>
      <c r="C53" s="38">
        <v>12</v>
      </c>
      <c r="D53" s="30">
        <f t="shared" si="4"/>
        <v>6</v>
      </c>
      <c r="E53" s="33" t="s">
        <v>458</v>
      </c>
      <c r="F53" s="33" t="s">
        <v>459</v>
      </c>
      <c r="G53" s="38">
        <f t="shared" si="5"/>
        <v>12</v>
      </c>
      <c r="H53" s="30">
        <f t="shared" si="6"/>
        <v>6</v>
      </c>
      <c r="I53" s="185" t="s">
        <v>455</v>
      </c>
      <c r="J53" s="53" t="s">
        <v>456</v>
      </c>
    </row>
    <row r="54" spans="1:10" ht="15" customHeight="1">
      <c r="A54" s="48" t="s">
        <v>225</v>
      </c>
      <c r="B54" s="29" t="s">
        <v>340</v>
      </c>
      <c r="C54" s="38">
        <v>10</v>
      </c>
      <c r="D54" s="30">
        <f t="shared" si="4"/>
        <v>5</v>
      </c>
      <c r="E54" s="33">
        <v>3</v>
      </c>
      <c r="F54" s="33" t="s">
        <v>466</v>
      </c>
      <c r="G54" s="38">
        <f t="shared" si="5"/>
        <v>10</v>
      </c>
      <c r="H54" s="30">
        <f t="shared" si="6"/>
        <v>5</v>
      </c>
      <c r="I54" s="33">
        <v>4</v>
      </c>
      <c r="J54" s="53" t="s">
        <v>450</v>
      </c>
    </row>
    <row r="55" spans="1:10" ht="15" customHeight="1">
      <c r="A55" s="48" t="s">
        <v>231</v>
      </c>
      <c r="B55" s="29" t="s">
        <v>341</v>
      </c>
      <c r="C55" s="38">
        <v>14</v>
      </c>
      <c r="D55" s="30">
        <f t="shared" si="4"/>
        <v>7</v>
      </c>
      <c r="E55" s="33" t="s">
        <v>455</v>
      </c>
      <c r="F55" s="33" t="s">
        <v>467</v>
      </c>
      <c r="G55" s="38">
        <f t="shared" si="5"/>
        <v>14</v>
      </c>
      <c r="H55" s="30">
        <f t="shared" si="6"/>
        <v>7</v>
      </c>
      <c r="I55" s="185" t="s">
        <v>460</v>
      </c>
      <c r="J55" s="53" t="s">
        <v>468</v>
      </c>
    </row>
    <row r="56" spans="1:10" ht="15" customHeight="1">
      <c r="A56" s="49" t="s">
        <v>267</v>
      </c>
      <c r="B56" s="29" t="s">
        <v>343</v>
      </c>
      <c r="C56" s="38">
        <v>4</v>
      </c>
      <c r="D56" s="30">
        <f t="shared" si="4"/>
        <v>2</v>
      </c>
      <c r="E56" s="33"/>
      <c r="F56" s="33" t="s">
        <v>449</v>
      </c>
      <c r="G56" s="38">
        <f t="shared" si="5"/>
        <v>4</v>
      </c>
      <c r="H56" s="30">
        <f t="shared" si="6"/>
        <v>2</v>
      </c>
      <c r="I56" s="33"/>
      <c r="J56" s="53" t="s">
        <v>449</v>
      </c>
    </row>
    <row r="57" spans="1:10" ht="15" customHeight="1">
      <c r="A57" s="50" t="s">
        <v>469</v>
      </c>
      <c r="B57" s="39"/>
      <c r="C57" s="40">
        <f>SUM(C44:C56)</f>
        <v>120</v>
      </c>
      <c r="D57" s="40">
        <f>SUM(D44:D56)</f>
        <v>60</v>
      </c>
      <c r="E57" s="40"/>
      <c r="F57" s="40"/>
      <c r="G57" s="40">
        <f>SUM(G44:G56)</f>
        <v>120</v>
      </c>
      <c r="H57" s="40">
        <f>SUM(H44:H56)</f>
        <v>60</v>
      </c>
      <c r="I57" s="40"/>
      <c r="J57" s="46"/>
    </row>
  </sheetData>
  <mergeCells count="31">
    <mergeCell ref="G39:G41"/>
    <mergeCell ref="H6:H8"/>
    <mergeCell ref="A10:J10"/>
    <mergeCell ref="A23:J23"/>
    <mergeCell ref="C38:F38"/>
    <mergeCell ref="G38:J38"/>
    <mergeCell ref="I6:I8"/>
    <mergeCell ref="I39:I41"/>
    <mergeCell ref="J6:J8"/>
    <mergeCell ref="J39:J41"/>
    <mergeCell ref="A1:J1"/>
    <mergeCell ref="A2:J2"/>
    <mergeCell ref="D4:E4"/>
    <mergeCell ref="C5:F5"/>
    <mergeCell ref="G5:J5"/>
    <mergeCell ref="A51:J51"/>
    <mergeCell ref="A5:A8"/>
    <mergeCell ref="A38:A41"/>
    <mergeCell ref="B6:B8"/>
    <mergeCell ref="B39:B41"/>
    <mergeCell ref="C6:C8"/>
    <mergeCell ref="C39:C41"/>
    <mergeCell ref="D6:D8"/>
    <mergeCell ref="D39:D41"/>
    <mergeCell ref="E6:E8"/>
    <mergeCell ref="E39:E41"/>
    <mergeCell ref="F6:F8"/>
    <mergeCell ref="A43:J43"/>
    <mergeCell ref="H39:H41"/>
    <mergeCell ref="F39:F41"/>
    <mergeCell ref="G6:G8"/>
  </mergeCells>
  <printOptions horizontalCentered="1"/>
  <pageMargins left="1" right="1" top="1" bottom="1" header="0.5" footer="0.5"/>
  <pageSetup paperSize="9" scale="8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5A96-D41A-4837-9B29-451431516E06}">
  <sheetPr>
    <tabColor rgb="FF00B050"/>
  </sheetPr>
  <dimension ref="A1:AY159"/>
  <sheetViews>
    <sheetView view="pageBreakPreview" zoomScale="80" zoomScaleNormal="90" zoomScaleSheetLayoutView="80" workbookViewId="0">
      <pane xSplit="1" ySplit="4" topLeftCell="B5" activePane="bottomRight" state="frozen"/>
      <selection pane="topRight"/>
      <selection pane="bottomLeft"/>
      <selection pane="bottomRight" activeCell="M50" sqref="M50"/>
    </sheetView>
  </sheetViews>
  <sheetFormatPr defaultColWidth="9.109375" defaultRowHeight="13.2"/>
  <cols>
    <col min="1" max="1" width="24.109375" style="60" customWidth="1"/>
    <col min="2" max="2" width="5" style="61" bestFit="1" customWidth="1"/>
    <col min="3" max="3" width="6" style="62" bestFit="1" customWidth="1"/>
    <col min="4" max="4" width="5.109375" style="63" customWidth="1"/>
    <col min="5" max="5" width="5.5546875" style="62" bestFit="1" customWidth="1"/>
    <col min="6" max="6" width="6" style="62" bestFit="1" customWidth="1"/>
    <col min="7" max="7" width="5.109375" style="62" customWidth="1"/>
    <col min="8" max="8" width="5" style="62" customWidth="1"/>
    <col min="9" max="9" width="6" style="62" bestFit="1" customWidth="1"/>
    <col min="10" max="10" width="5.109375" style="62" bestFit="1" customWidth="1"/>
    <col min="11" max="11" width="5" style="62" bestFit="1" customWidth="1"/>
    <col min="12" max="12" width="6" style="62" bestFit="1" customWidth="1"/>
    <col min="13" max="13" width="5.109375" style="62" customWidth="1"/>
    <col min="14" max="14" width="5" style="64" bestFit="1" customWidth="1"/>
    <col min="15" max="15" width="7.109375" style="62" bestFit="1" customWidth="1"/>
    <col min="16" max="16" width="5.109375" style="62" customWidth="1"/>
    <col min="17" max="17" width="5" style="62" bestFit="1" customWidth="1"/>
    <col min="18" max="18" width="6" style="62" bestFit="1" customWidth="1"/>
    <col min="19" max="19" width="5.109375" style="62" customWidth="1"/>
    <col min="20" max="20" width="5.5546875" style="62" bestFit="1" customWidth="1"/>
    <col min="21" max="21" width="6" style="62" bestFit="1" customWidth="1"/>
    <col min="22" max="22" width="5.109375" style="62" customWidth="1"/>
    <col min="23" max="23" width="5" style="62" customWidth="1"/>
    <col min="24" max="24" width="6" style="62" bestFit="1" customWidth="1"/>
    <col min="25" max="25" width="5.109375" style="62" customWidth="1"/>
    <col min="26" max="26" width="5.5546875" style="62" bestFit="1" customWidth="1"/>
    <col min="27" max="27" width="6" style="62" bestFit="1" customWidth="1"/>
    <col min="28" max="28" width="5.109375" style="62" customWidth="1"/>
    <col min="29" max="29" width="5" style="62" customWidth="1"/>
    <col min="30" max="30" width="6" style="62" bestFit="1" customWidth="1"/>
    <col min="31" max="31" width="5.109375" style="62" customWidth="1"/>
    <col min="32" max="32" width="5" style="62" bestFit="1" customWidth="1"/>
    <col min="33" max="33" width="6" style="62" bestFit="1" customWidth="1"/>
    <col min="34" max="34" width="5.109375" style="62" customWidth="1"/>
    <col min="35" max="35" width="5.5546875" style="62" bestFit="1" customWidth="1"/>
    <col min="36" max="36" width="6" style="62" bestFit="1" customWidth="1"/>
    <col min="37" max="37" width="5.109375" style="62" customWidth="1"/>
    <col min="38" max="38" width="5.5546875" style="62" bestFit="1" customWidth="1"/>
    <col min="39" max="39" width="6" style="62" bestFit="1" customWidth="1"/>
    <col min="40" max="40" width="5.109375" style="62" customWidth="1"/>
    <col min="41" max="41" width="5" style="62" bestFit="1" customWidth="1"/>
    <col min="42" max="42" width="6" style="62" bestFit="1" customWidth="1"/>
    <col min="43" max="43" width="5.109375" style="62" customWidth="1"/>
    <col min="44" max="44" width="16.5546875" style="62" customWidth="1"/>
    <col min="45" max="45" width="21.6640625" style="62" customWidth="1"/>
    <col min="46" max="46" width="9.6640625" style="62" customWidth="1"/>
    <col min="47" max="47" width="22.5546875" style="62" customWidth="1"/>
    <col min="48" max="48" width="14.88671875" style="62" customWidth="1"/>
    <col min="49" max="49" width="4.6640625" style="62" customWidth="1"/>
    <col min="50" max="50" width="5.5546875" style="62" customWidth="1"/>
    <col min="51" max="51" width="4.6640625" style="62" customWidth="1"/>
    <col min="52" max="16384" width="9.109375" style="62"/>
  </cols>
  <sheetData>
    <row r="1" spans="1:51">
      <c r="A1" s="284" t="str">
        <f>"WORKING SHEET FOR A1SCHEDULE 2.0 OF  GUJARAT BASED ON CES DATA 2024-25"</f>
        <v>WORKING SHEET FOR A1SCHEDULE 2.0 OF  GUJARAT BASED ON CES DATA 2024-25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4"/>
      <c r="AH1" s="284"/>
      <c r="AI1" s="284"/>
      <c r="AJ1" s="284"/>
      <c r="AK1" s="284"/>
      <c r="AL1" s="284"/>
      <c r="AM1" s="284"/>
      <c r="AN1" s="284"/>
      <c r="AO1" s="284"/>
      <c r="AP1" s="284"/>
      <c r="AQ1" s="284"/>
    </row>
    <row r="2" spans="1:51" ht="17.25" customHeight="1">
      <c r="A2" s="38"/>
      <c r="B2" s="285" t="s">
        <v>372</v>
      </c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  <c r="Z2" s="285"/>
      <c r="AA2" s="285"/>
      <c r="AB2" s="285"/>
      <c r="AC2" s="285"/>
      <c r="AD2" s="285"/>
      <c r="AE2" s="285"/>
      <c r="AF2" s="285" t="s">
        <v>373</v>
      </c>
      <c r="AG2" s="285"/>
      <c r="AH2" s="285"/>
      <c r="AI2" s="285"/>
      <c r="AJ2" s="285"/>
      <c r="AK2" s="285"/>
      <c r="AL2" s="285"/>
      <c r="AM2" s="285"/>
      <c r="AN2" s="285"/>
      <c r="AO2" s="285" t="s">
        <v>374</v>
      </c>
      <c r="AP2" s="285"/>
      <c r="AQ2" s="285"/>
      <c r="AR2" s="66"/>
      <c r="AS2" s="66"/>
      <c r="AT2" s="66"/>
      <c r="AU2" s="66"/>
      <c r="AV2" s="66"/>
      <c r="AW2" s="66"/>
      <c r="AX2" s="66"/>
      <c r="AY2" s="66"/>
    </row>
    <row r="3" spans="1:51" s="56" customFormat="1" ht="17.25" customHeight="1">
      <c r="A3" s="194"/>
      <c r="B3" s="281" t="s">
        <v>375</v>
      </c>
      <c r="C3" s="281"/>
      <c r="D3" s="281"/>
      <c r="E3" s="281" t="s">
        <v>376</v>
      </c>
      <c r="F3" s="281"/>
      <c r="G3" s="281"/>
      <c r="H3" s="281" t="s">
        <v>377</v>
      </c>
      <c r="I3" s="281"/>
      <c r="J3" s="281"/>
      <c r="K3" s="281" t="s">
        <v>378</v>
      </c>
      <c r="L3" s="281"/>
      <c r="M3" s="281"/>
      <c r="N3" s="281" t="s">
        <v>379</v>
      </c>
      <c r="O3" s="281"/>
      <c r="P3" s="281"/>
      <c r="Q3" s="281" t="s">
        <v>380</v>
      </c>
      <c r="R3" s="281"/>
      <c r="S3" s="281"/>
      <c r="T3" s="281" t="s">
        <v>381</v>
      </c>
      <c r="U3" s="281"/>
      <c r="V3" s="281"/>
      <c r="W3" s="281" t="s">
        <v>382</v>
      </c>
      <c r="X3" s="281"/>
      <c r="Y3" s="281"/>
      <c r="Z3" s="281" t="s">
        <v>383</v>
      </c>
      <c r="AA3" s="281"/>
      <c r="AB3" s="281"/>
      <c r="AC3" s="281" t="s">
        <v>384</v>
      </c>
      <c r="AD3" s="281"/>
      <c r="AE3" s="281"/>
      <c r="AF3" s="281" t="s">
        <v>385</v>
      </c>
      <c r="AG3" s="281"/>
      <c r="AH3" s="281"/>
      <c r="AI3" s="281" t="s">
        <v>386</v>
      </c>
      <c r="AJ3" s="281"/>
      <c r="AK3" s="281"/>
      <c r="AL3" s="281" t="s">
        <v>387</v>
      </c>
      <c r="AM3" s="281"/>
      <c r="AN3" s="281"/>
      <c r="AO3" s="281" t="s">
        <v>380</v>
      </c>
      <c r="AP3" s="281"/>
      <c r="AQ3" s="281"/>
    </row>
    <row r="4" spans="1:51" ht="17.25" customHeight="1">
      <c r="A4" s="195" t="s">
        <v>305</v>
      </c>
      <c r="B4" s="196" t="s">
        <v>388</v>
      </c>
      <c r="C4" s="196" t="s">
        <v>389</v>
      </c>
      <c r="D4" s="196" t="s">
        <v>390</v>
      </c>
      <c r="E4" s="196" t="s">
        <v>388</v>
      </c>
      <c r="F4" s="196" t="s">
        <v>389</v>
      </c>
      <c r="G4" s="196" t="s">
        <v>390</v>
      </c>
      <c r="H4" s="196" t="s">
        <v>388</v>
      </c>
      <c r="I4" s="196" t="s">
        <v>389</v>
      </c>
      <c r="J4" s="196" t="s">
        <v>390</v>
      </c>
      <c r="K4" s="196" t="s">
        <v>388</v>
      </c>
      <c r="L4" s="196" t="s">
        <v>389</v>
      </c>
      <c r="M4" s="196" t="s">
        <v>390</v>
      </c>
      <c r="N4" s="197" t="s">
        <v>388</v>
      </c>
      <c r="O4" s="196" t="s">
        <v>389</v>
      </c>
      <c r="P4" s="196" t="s">
        <v>390</v>
      </c>
      <c r="Q4" s="196" t="s">
        <v>388</v>
      </c>
      <c r="R4" s="196" t="s">
        <v>389</v>
      </c>
      <c r="S4" s="196" t="s">
        <v>390</v>
      </c>
      <c r="T4" s="196" t="s">
        <v>388</v>
      </c>
      <c r="U4" s="196" t="s">
        <v>389</v>
      </c>
      <c r="V4" s="196" t="s">
        <v>390</v>
      </c>
      <c r="W4" s="196" t="s">
        <v>388</v>
      </c>
      <c r="X4" s="196" t="s">
        <v>389</v>
      </c>
      <c r="Y4" s="196" t="s">
        <v>390</v>
      </c>
      <c r="Z4" s="196" t="s">
        <v>388</v>
      </c>
      <c r="AA4" s="196" t="s">
        <v>389</v>
      </c>
      <c r="AB4" s="196" t="s">
        <v>390</v>
      </c>
      <c r="AC4" s="196" t="s">
        <v>388</v>
      </c>
      <c r="AD4" s="196" t="s">
        <v>389</v>
      </c>
      <c r="AE4" s="196" t="s">
        <v>390</v>
      </c>
      <c r="AF4" s="196" t="s">
        <v>388</v>
      </c>
      <c r="AG4" s="196" t="s">
        <v>389</v>
      </c>
      <c r="AH4" s="196" t="s">
        <v>390</v>
      </c>
      <c r="AI4" s="196" t="s">
        <v>388</v>
      </c>
      <c r="AJ4" s="196" t="s">
        <v>389</v>
      </c>
      <c r="AK4" s="196" t="s">
        <v>390</v>
      </c>
      <c r="AL4" s="196" t="s">
        <v>388</v>
      </c>
      <c r="AM4" s="196" t="s">
        <v>389</v>
      </c>
      <c r="AN4" s="196" t="s">
        <v>390</v>
      </c>
      <c r="AO4" s="196" t="s">
        <v>388</v>
      </c>
      <c r="AP4" s="196" t="s">
        <v>389</v>
      </c>
      <c r="AQ4" s="196" t="s">
        <v>390</v>
      </c>
    </row>
    <row r="5" spans="1:51" s="57" customFormat="1" ht="17.25" customHeight="1">
      <c r="A5" s="198" t="s">
        <v>7</v>
      </c>
      <c r="B5" s="199">
        <f>_xlfn.XLOOKUP(A5,'2.0SASA'!$A:$A,'2.0SASA'!$C:$C,"",0)</f>
        <v>0</v>
      </c>
      <c r="C5" s="200">
        <f>B5*C$50/B$50</f>
        <v>0</v>
      </c>
      <c r="D5" s="201">
        <f>IF(C5&gt;4,ROUND(C5/2,0)*2,IF(C5&gt;2.2,4,0))</f>
        <v>0</v>
      </c>
      <c r="E5" s="199">
        <f>_xlfn.XLOOKUP(A5,'2.0SASA'!$A:$A,'2.0SASA'!$B:$B,"",0)</f>
        <v>90</v>
      </c>
      <c r="F5" s="200">
        <f>E5*F$50/E$50</f>
        <v>9</v>
      </c>
      <c r="G5" s="201">
        <f>IF(F5&gt;4,ROUND(F5/2,0)*2,IF(F5&gt;2.2,4,0))</f>
        <v>10</v>
      </c>
      <c r="H5" s="199">
        <f>_xlfn.XLOOKUP(A5,'2.0SASA'!$A:$A,'2.0SASA'!$J:$J,"",0)</f>
        <v>0</v>
      </c>
      <c r="I5" s="200">
        <f>H5*I$50/H$50</f>
        <v>0</v>
      </c>
      <c r="J5" s="201">
        <f>IF(I5&gt;4,ROUND(I5/2,0)*2,IF(I5&gt;2,4,0))</f>
        <v>0</v>
      </c>
      <c r="K5" s="199">
        <f>_xlfn.XLOOKUP(A5,'2.0SASA'!$A:$A,'2.0SASA'!$K:$K,"",0)</f>
        <v>0</v>
      </c>
      <c r="L5" s="200">
        <f>K5*L$50/K$50</f>
        <v>0</v>
      </c>
      <c r="M5" s="201">
        <f>IF(L5&gt;4,ROUND(L5/2,0)*2,IF(L5&gt;2.2,4,0))</f>
        <v>0</v>
      </c>
      <c r="N5" s="199">
        <f>_xlfn.XLOOKUP(A5,'2.0SASA'!$A:$A,'2.0SASA'!$G:$G,"",0)</f>
        <v>90</v>
      </c>
      <c r="O5" s="200">
        <f>N5*O$50/N$50</f>
        <v>12</v>
      </c>
      <c r="P5" s="201">
        <f>IF(O5&gt;4,ROUND(O5/2,0)*2,IF(O5&gt;2.2,4,0))</f>
        <v>12</v>
      </c>
      <c r="Q5" s="199">
        <f>_xlfn.XLOOKUP(A5,'2.0SASA'!$A:$A,'2.0SASA'!$I:$I,"",0)</f>
        <v>30</v>
      </c>
      <c r="R5" s="200">
        <f>Q5*R$50/Q$50</f>
        <v>3.4285714285714284</v>
      </c>
      <c r="S5" s="201">
        <f>IF(R5&gt;4,ROUND(R5/2,0)*2,IF(R5&gt;2.2,4,0))</f>
        <v>4</v>
      </c>
      <c r="T5" s="199">
        <f>_xlfn.XLOOKUP(A5,'2.0SASA'!$A:$A,'2.0SASA'!$F:$F,"",0)</f>
        <v>90</v>
      </c>
      <c r="U5" s="200">
        <f>T5*U$50/T$50</f>
        <v>9</v>
      </c>
      <c r="V5" s="201">
        <f>IF(U5&gt;4,ROUND(U5/2,0)*2,IF(U5&gt;2.2,4,0))</f>
        <v>10</v>
      </c>
      <c r="W5" s="199">
        <f>_xlfn.XLOOKUP(A5,'2.0SASA'!$A:$A,'2.0SASA'!$H:$H,"",0)</f>
        <v>0</v>
      </c>
      <c r="X5" s="200">
        <f>W5*X$50/W$50</f>
        <v>0</v>
      </c>
      <c r="Y5" s="201">
        <f>IF(X5&gt;4,ROUND(X5/2,0)*2,IF(X5&gt;2.2,4,0))</f>
        <v>0</v>
      </c>
      <c r="Z5" s="199">
        <f>_xlfn.XLOOKUP(A5,'2.0SASA'!$A:$A,'2.0SASA'!$D:$D,"",0)</f>
        <v>90</v>
      </c>
      <c r="AA5" s="200">
        <f>Z5*AA$50/Z$50</f>
        <v>8.7272727272727266</v>
      </c>
      <c r="AB5" s="201">
        <f>IF(AA5&gt;4,ROUND(AA5/2,0)*2,IF(AA5&gt;2.2,4,0))</f>
        <v>8</v>
      </c>
      <c r="AC5" s="199">
        <f>_xlfn.XLOOKUP(A5,'2.0SASA'!$A:$A,'2.0SASA'!$E:$E,"",0)</f>
        <v>20</v>
      </c>
      <c r="AD5" s="200">
        <f>AC5*AD$50/AC$50</f>
        <v>1.935483870967742</v>
      </c>
      <c r="AE5" s="201">
        <f>IF(AD5&gt;4,ROUND(AD5/2,0)*2,IF(AD5&gt;2.2,4,0))</f>
        <v>0</v>
      </c>
      <c r="AF5" s="199">
        <f>_xlfn.XLOOKUP(A5,'2.0SASA'!$A:$A,'2.0SASA'!$V:$V,"",0)</f>
        <v>90</v>
      </c>
      <c r="AG5" s="200">
        <f>AF5*AG$50/AF$50</f>
        <v>6</v>
      </c>
      <c r="AH5" s="201">
        <f>IF(AG5&gt;4,ROUND(AG5/2,0)*2,IF(AG5&gt;2.2,4,0))</f>
        <v>6</v>
      </c>
      <c r="AI5" s="199">
        <f>_xlfn.XLOOKUP(A5,'2.0SASA'!$A:$A,'2.0SASA'!$U:$U,"",0)</f>
        <v>0</v>
      </c>
      <c r="AJ5" s="200">
        <f>AI5*AJ$50/AI$50</f>
        <v>0</v>
      </c>
      <c r="AK5" s="201">
        <f>IF(AJ5&gt;4,ROUND(AJ5/2,0)*2,IF(AJ5&gt;2,4,0))</f>
        <v>0</v>
      </c>
      <c r="AL5" s="199">
        <f>_xlfn.XLOOKUP(A5,'2.0SASA'!$A:$A,'2.0SASA'!$Q:$Q,"",0)</f>
        <v>90</v>
      </c>
      <c r="AM5" s="200">
        <f>AL5*AM$50/AL$50</f>
        <v>4.3478260869565215</v>
      </c>
      <c r="AN5" s="201">
        <f>IF(AM5&gt;4,ROUND(AM5/2,0)*2,IF(AM5&gt;2.2,4,0))</f>
        <v>4</v>
      </c>
      <c r="AO5" s="199">
        <f>_xlfn.XLOOKUP(A5,'2.0SASA'!$A:$A,'2.0SASA'!$AD:$AD,"",0)</f>
        <v>40</v>
      </c>
      <c r="AP5" s="200">
        <f>AO5*AP$50/AO$50</f>
        <v>2.0779220779220777</v>
      </c>
      <c r="AQ5" s="201">
        <f>IF(AP5&gt;4,ROUND(AP5/2,0)*2,IF(AP5&gt;2.2,4,0))</f>
        <v>0</v>
      </c>
      <c r="AR5" s="62"/>
      <c r="AS5" s="62"/>
      <c r="AU5" s="62"/>
    </row>
    <row r="6" spans="1:51" s="57" customFormat="1" ht="17.25" customHeight="1">
      <c r="A6" s="198" t="s">
        <v>85</v>
      </c>
      <c r="B6" s="199">
        <f>_xlfn.XLOOKUP(A6,'2.0SASA'!$A:$A,'2.0SASA'!$C:$C,"",0)</f>
        <v>0</v>
      </c>
      <c r="C6" s="200">
        <f>B6*C$50/B$50</f>
        <v>0</v>
      </c>
      <c r="D6" s="201">
        <f>IF(C6&gt;4,ROUND(C6/2,0)*2,IF(C6&gt;2.2,4,0))</f>
        <v>0</v>
      </c>
      <c r="E6" s="199">
        <f>_xlfn.XLOOKUP(A6,'2.0SASA'!$A:$A,'2.0SASA'!$B:$B,"",0)</f>
        <v>60</v>
      </c>
      <c r="F6" s="200">
        <f>E6*F$50/E$50</f>
        <v>6</v>
      </c>
      <c r="G6" s="201">
        <f>IF(F6&gt;4,ROUND(F6/2,0)*2,IF(F6&gt;2.2,4,0))</f>
        <v>6</v>
      </c>
      <c r="H6" s="199">
        <f>_xlfn.XLOOKUP(A6,'2.0SASA'!$A:$A,'2.0SASA'!$J:$J,"",0)</f>
        <v>10</v>
      </c>
      <c r="I6" s="200">
        <f>H6*I$50/H$50</f>
        <v>0.91743119266055051</v>
      </c>
      <c r="J6" s="201">
        <f>IF(I6&gt;4,ROUND(I6/2,0)*2,IF(I6&gt;2,4,0))</f>
        <v>0</v>
      </c>
      <c r="K6" s="199">
        <f>_xlfn.XLOOKUP(A6,'2.0SASA'!$A:$A,'2.0SASA'!$K:$K,"",0)</f>
        <v>10</v>
      </c>
      <c r="L6" s="200">
        <f>K6*L$50/K$50</f>
        <v>1.0256410256410255</v>
      </c>
      <c r="M6" s="201">
        <f>IF(L6&gt;4,ROUND(L6/2,0)*2,IF(L6&gt;2.2,4,0))</f>
        <v>0</v>
      </c>
      <c r="N6" s="199">
        <f>_xlfn.XLOOKUP(A6,'2.0SASA'!$A:$A,'2.0SASA'!$G:$G,"",0)</f>
        <v>60</v>
      </c>
      <c r="O6" s="200">
        <f>N6*O$50/N$50</f>
        <v>8</v>
      </c>
      <c r="P6" s="201">
        <f>IF(O6&gt;4,ROUND(O6/2,0)*2,IF(O6&gt;2.2,4,0))</f>
        <v>8</v>
      </c>
      <c r="Q6" s="199">
        <f>_xlfn.XLOOKUP(A6,'2.0SASA'!$A:$A,'2.0SASA'!$I:$I,"",0)</f>
        <v>10</v>
      </c>
      <c r="R6" s="200">
        <f>Q6*R$50/Q$50</f>
        <v>1.1428571428571428</v>
      </c>
      <c r="S6" s="201">
        <f>IF(R6&gt;4,ROUND(R6/2,0)*2,IF(R6&gt;2.2,4,0))</f>
        <v>0</v>
      </c>
      <c r="T6" s="199">
        <f>_xlfn.XLOOKUP(A6,'2.0SASA'!$A:$A,'2.0SASA'!$F:$F,"",0)</f>
        <v>70</v>
      </c>
      <c r="U6" s="200">
        <f>T6*U$50/T$50</f>
        <v>7</v>
      </c>
      <c r="V6" s="201">
        <f>IF(U6&gt;4,ROUND(U6/2,0)*2,IF(U6&gt;2.2,4,0))</f>
        <v>8</v>
      </c>
      <c r="W6" s="199">
        <f>_xlfn.XLOOKUP(A6,'2.0SASA'!$A:$A,'2.0SASA'!$H:$H,"",0)</f>
        <v>10</v>
      </c>
      <c r="X6" s="200">
        <f>W6*X$50/W$50</f>
        <v>0.875</v>
      </c>
      <c r="Y6" s="201">
        <f>IF(X6&gt;4,ROUND(X6/2,0)*2,IF(X6&gt;2.2,4,0))</f>
        <v>0</v>
      </c>
      <c r="Z6" s="199">
        <f>_xlfn.XLOOKUP(A6,'2.0SASA'!$A:$A,'2.0SASA'!$D:$D,"",0)</f>
        <v>100</v>
      </c>
      <c r="AA6" s="200">
        <f>Z6*AA$50/Z$50</f>
        <v>9.6969696969696972</v>
      </c>
      <c r="AB6" s="201">
        <f>IF(AA6&gt;4,ROUND(AA6/2,0)*2,IF(AA6&gt;2.2,4,0))</f>
        <v>10</v>
      </c>
      <c r="AC6" s="199">
        <f>_xlfn.XLOOKUP(A6,'2.0SASA'!$A:$A,'2.0SASA'!$E:$E,"",0)</f>
        <v>60</v>
      </c>
      <c r="AD6" s="200">
        <f>AC6*AD$50/AC$50</f>
        <v>5.806451612903226</v>
      </c>
      <c r="AE6" s="201">
        <f>IF(AD6&gt;4,ROUND(AD6/2,0)*2,IF(AD6&gt;2.2,4,0))</f>
        <v>6</v>
      </c>
      <c r="AF6" s="199">
        <f>_xlfn.XLOOKUP(A6,'2.0SASA'!$A:$A,'2.0SASA'!$V:$V,"",0)</f>
        <v>40</v>
      </c>
      <c r="AG6" s="200">
        <f>AF6*AG$50/AF$50</f>
        <v>2.6666666666666665</v>
      </c>
      <c r="AH6" s="201">
        <f>IF(AG6&gt;4,ROUND(AG6/2,0)*2,IF(AG6&gt;2.2,4,0))</f>
        <v>4</v>
      </c>
      <c r="AI6" s="199">
        <f>_xlfn.XLOOKUP(A6,'2.0SASA'!$A:$A,'2.0SASA'!$U:$U,"",0)</f>
        <v>90</v>
      </c>
      <c r="AJ6" s="200">
        <f>AI6*AJ$50/AI$50</f>
        <v>4.0601503759398501</v>
      </c>
      <c r="AK6" s="201">
        <f>IF(AJ6&gt;4,ROUND(AJ6/2,0)*2,IF(AJ6&gt;2,4,0))</f>
        <v>4</v>
      </c>
      <c r="AL6" s="199">
        <f>_xlfn.XLOOKUP(A6,'2.0SASA'!$A:$A,'2.0SASA'!$Q:$Q,"",0)</f>
        <v>100</v>
      </c>
      <c r="AM6" s="200">
        <f>AL6*AM$50/AL$50</f>
        <v>4.8309178743961354</v>
      </c>
      <c r="AN6" s="201">
        <f>IF(AM6&gt;4,ROUND(AM6/2,0)*2,IF(AM6&gt;2.2,4,0))</f>
        <v>4</v>
      </c>
      <c r="AO6" s="199">
        <f>_xlfn.XLOOKUP(A6,'2.0SASA'!$A:$A,'2.0SASA'!$AD:$AD,"",0)</f>
        <v>0</v>
      </c>
      <c r="AP6" s="200">
        <f>AO6*AP$50/AO$50</f>
        <v>0</v>
      </c>
      <c r="AQ6" s="201">
        <f>IF(AP6&gt;4,ROUND(AP6/2,0)*2,IF(AP6&gt;2.2,4,0))</f>
        <v>0</v>
      </c>
      <c r="AR6" s="62"/>
      <c r="AS6" s="62"/>
      <c r="AU6" s="62"/>
    </row>
    <row r="7" spans="1:51" s="58" customFormat="1" ht="17.25" customHeight="1">
      <c r="A7" s="202" t="s">
        <v>391</v>
      </c>
      <c r="B7" s="203">
        <f>SUM(B5:B6)</f>
        <v>0</v>
      </c>
      <c r="C7" s="203">
        <f t="shared" ref="C7:AQ7" si="0">SUM(C5:C6)</f>
        <v>0</v>
      </c>
      <c r="D7" s="203">
        <f t="shared" si="0"/>
        <v>0</v>
      </c>
      <c r="E7" s="203">
        <f t="shared" si="0"/>
        <v>150</v>
      </c>
      <c r="F7" s="203">
        <f t="shared" si="0"/>
        <v>15</v>
      </c>
      <c r="G7" s="203">
        <f t="shared" si="0"/>
        <v>16</v>
      </c>
      <c r="H7" s="203">
        <f t="shared" si="0"/>
        <v>10</v>
      </c>
      <c r="I7" s="203">
        <f t="shared" si="0"/>
        <v>0.91743119266055051</v>
      </c>
      <c r="J7" s="203">
        <f t="shared" si="0"/>
        <v>0</v>
      </c>
      <c r="K7" s="203">
        <f t="shared" si="0"/>
        <v>10</v>
      </c>
      <c r="L7" s="203">
        <f t="shared" si="0"/>
        <v>1.0256410256410255</v>
      </c>
      <c r="M7" s="203">
        <f t="shared" si="0"/>
        <v>0</v>
      </c>
      <c r="N7" s="203">
        <f t="shared" si="0"/>
        <v>150</v>
      </c>
      <c r="O7" s="203">
        <f t="shared" si="0"/>
        <v>20</v>
      </c>
      <c r="P7" s="203">
        <f t="shared" si="0"/>
        <v>20</v>
      </c>
      <c r="Q7" s="203">
        <f t="shared" si="0"/>
        <v>40</v>
      </c>
      <c r="R7" s="203">
        <f t="shared" si="0"/>
        <v>4.5714285714285712</v>
      </c>
      <c r="S7" s="203">
        <f t="shared" si="0"/>
        <v>4</v>
      </c>
      <c r="T7" s="203">
        <f t="shared" si="0"/>
        <v>160</v>
      </c>
      <c r="U7" s="203">
        <f t="shared" si="0"/>
        <v>16</v>
      </c>
      <c r="V7" s="203">
        <f t="shared" si="0"/>
        <v>18</v>
      </c>
      <c r="W7" s="203">
        <f t="shared" si="0"/>
        <v>10</v>
      </c>
      <c r="X7" s="203">
        <f t="shared" si="0"/>
        <v>0.875</v>
      </c>
      <c r="Y7" s="203">
        <f t="shared" si="0"/>
        <v>0</v>
      </c>
      <c r="Z7" s="203">
        <f t="shared" si="0"/>
        <v>190</v>
      </c>
      <c r="AA7" s="203">
        <f t="shared" si="0"/>
        <v>18.424242424242422</v>
      </c>
      <c r="AB7" s="203">
        <f t="shared" si="0"/>
        <v>18</v>
      </c>
      <c r="AC7" s="203">
        <f t="shared" si="0"/>
        <v>80</v>
      </c>
      <c r="AD7" s="203">
        <f t="shared" si="0"/>
        <v>7.741935483870968</v>
      </c>
      <c r="AE7" s="203">
        <f t="shared" si="0"/>
        <v>6</v>
      </c>
      <c r="AF7" s="203">
        <f t="shared" si="0"/>
        <v>130</v>
      </c>
      <c r="AG7" s="203">
        <f t="shared" si="0"/>
        <v>8.6666666666666661</v>
      </c>
      <c r="AH7" s="203">
        <f t="shared" si="0"/>
        <v>10</v>
      </c>
      <c r="AI7" s="203">
        <f t="shared" si="0"/>
        <v>90</v>
      </c>
      <c r="AJ7" s="203">
        <f t="shared" si="0"/>
        <v>4.0601503759398501</v>
      </c>
      <c r="AK7" s="203">
        <f t="shared" si="0"/>
        <v>4</v>
      </c>
      <c r="AL7" s="203">
        <f t="shared" si="0"/>
        <v>190</v>
      </c>
      <c r="AM7" s="203">
        <f t="shared" si="0"/>
        <v>9.1787439613526569</v>
      </c>
      <c r="AN7" s="203">
        <f t="shared" si="0"/>
        <v>8</v>
      </c>
      <c r="AO7" s="203">
        <f t="shared" si="0"/>
        <v>40</v>
      </c>
      <c r="AP7" s="203">
        <f t="shared" si="0"/>
        <v>2.0779220779220777</v>
      </c>
      <c r="AQ7" s="203">
        <f t="shared" si="0"/>
        <v>0</v>
      </c>
    </row>
    <row r="8" spans="1:51" s="57" customFormat="1" ht="17.25" customHeight="1">
      <c r="A8" s="198" t="s">
        <v>70</v>
      </c>
      <c r="B8" s="199">
        <f>_xlfn.XLOOKUP(A8,'2.0SASA'!$A:$A,'2.0SASA'!$C:$C,"",0)</f>
        <v>0</v>
      </c>
      <c r="C8" s="200">
        <f t="shared" ref="C8:C9" si="1">B8*C$50/B$50</f>
        <v>0</v>
      </c>
      <c r="D8" s="201">
        <f t="shared" ref="D8:D9" si="2">IF(C8&gt;4,ROUND(C8/2,0)*2,IF(C8&gt;2.2,4,0))</f>
        <v>0</v>
      </c>
      <c r="E8" s="199">
        <f>_xlfn.XLOOKUP(A8,'2.0SASA'!$A:$A,'2.0SASA'!$B:$B,"",0)</f>
        <v>30</v>
      </c>
      <c r="F8" s="200">
        <f t="shared" ref="F8:F9" si="3">E8*F$50/E$50</f>
        <v>3</v>
      </c>
      <c r="G8" s="201">
        <f t="shared" ref="G8:G9" si="4">IF(F8&gt;4,ROUND(F8/2,0)*2,IF(F8&gt;2.2,4,0))</f>
        <v>4</v>
      </c>
      <c r="H8" s="199">
        <f>_xlfn.XLOOKUP(A8,'2.0SASA'!$A:$A,'2.0SASA'!$J:$J,"",0)</f>
        <v>30</v>
      </c>
      <c r="I8" s="200">
        <f t="shared" ref="I8:I9" si="5">H8*I$50/H$50</f>
        <v>2.7522935779816513</v>
      </c>
      <c r="J8" s="201">
        <f t="shared" ref="J8:J9" si="6">IF(I8&gt;4,ROUND(I8/2,0)*2,IF(I8&gt;2,4,0))</f>
        <v>4</v>
      </c>
      <c r="K8" s="199">
        <f>_xlfn.XLOOKUP(A8,'2.0SASA'!$A:$A,'2.0SASA'!$K:$K,"",0)</f>
        <v>0</v>
      </c>
      <c r="L8" s="200">
        <f t="shared" ref="L8:L9" si="7">K8*L$50/K$50</f>
        <v>0</v>
      </c>
      <c r="M8" s="201">
        <f t="shared" ref="M8:M9" si="8">IF(L8&gt;4,ROUND(L8/2,0)*2,IF(L8&gt;2.2,4,0))</f>
        <v>0</v>
      </c>
      <c r="N8" s="199">
        <f>_xlfn.XLOOKUP(A8,'2.0SASA'!$A:$A,'2.0SASA'!$G:$G,"",0)</f>
        <v>0</v>
      </c>
      <c r="O8" s="200">
        <f t="shared" ref="O8:O9" si="9">N8*O$50/N$50</f>
        <v>0</v>
      </c>
      <c r="P8" s="201">
        <f t="shared" ref="P8:P9" si="10">IF(O8&gt;4,ROUND(O8/2,0)*2,IF(O8&gt;2.2,4,0))</f>
        <v>0</v>
      </c>
      <c r="Q8" s="199">
        <f>_xlfn.XLOOKUP(A8,'2.0SASA'!$A:$A,'2.0SASA'!$I:$I,"",0)</f>
        <v>10</v>
      </c>
      <c r="R8" s="200">
        <f t="shared" ref="R8:R9" si="11">Q8*R$50/Q$50</f>
        <v>1.1428571428571428</v>
      </c>
      <c r="S8" s="201">
        <f t="shared" ref="S8:S9" si="12">IF(R8&gt;4,ROUND(R8/2,0)*2,IF(R8&gt;2.2,4,0))</f>
        <v>0</v>
      </c>
      <c r="T8" s="199">
        <f>_xlfn.XLOOKUP(A8,'2.0SASA'!$A:$A,'2.0SASA'!$F:$F,"",0)</f>
        <v>40</v>
      </c>
      <c r="U8" s="200">
        <f t="shared" ref="U8:U9" si="13">T8*U$50/T$50</f>
        <v>4</v>
      </c>
      <c r="V8" s="201">
        <f t="shared" ref="V8:V9" si="14">IF(U8&gt;4,ROUND(U8/2,0)*2,IF(U8&gt;2.2,4,0))</f>
        <v>4</v>
      </c>
      <c r="W8" s="199">
        <f>_xlfn.XLOOKUP(A8,'2.0SASA'!$A:$A,'2.0SASA'!$H:$H,"",0)</f>
        <v>0</v>
      </c>
      <c r="X8" s="200">
        <f t="shared" ref="X8:X9" si="15">W8*X$50/W$50</f>
        <v>0</v>
      </c>
      <c r="Y8" s="201">
        <f t="shared" ref="Y8:Y9" si="16">IF(X8&gt;4,ROUND(X8/2,0)*2,IF(X8&gt;2.2,4,0))</f>
        <v>0</v>
      </c>
      <c r="Z8" s="199">
        <f>_xlfn.XLOOKUP(A8,'2.0SASA'!$A:$A,'2.0SASA'!$D:$D,"",0)</f>
        <v>40</v>
      </c>
      <c r="AA8" s="200">
        <f t="shared" ref="AA8:AA9" si="17">Z8*AA$50/Z$50</f>
        <v>3.8787878787878789</v>
      </c>
      <c r="AB8" s="201">
        <f t="shared" ref="AB8:AB9" si="18">IF(AA8&gt;4,ROUND(AA8/2,0)*2,IF(AA8&gt;2.2,4,0))</f>
        <v>4</v>
      </c>
      <c r="AC8" s="199">
        <f>_xlfn.XLOOKUP(A8,'2.0SASA'!$A:$A,'2.0SASA'!$E:$E,"",0)</f>
        <v>0</v>
      </c>
      <c r="AD8" s="200">
        <f t="shared" ref="AD8:AD9" si="19">AC8*AD$50/AC$50</f>
        <v>0</v>
      </c>
      <c r="AE8" s="201">
        <f t="shared" ref="AE8:AE9" si="20">IF(AD8&gt;4,ROUND(AD8/2,0)*2,IF(AD8&gt;2.2,4,0))</f>
        <v>0</v>
      </c>
      <c r="AF8" s="199">
        <f>_xlfn.XLOOKUP(A8,'2.0SASA'!$A:$A,'2.0SASA'!$V:$V,"",0)</f>
        <v>30</v>
      </c>
      <c r="AG8" s="200">
        <f t="shared" ref="AG8:AG9" si="21">AF8*AG$50/AF$50</f>
        <v>2</v>
      </c>
      <c r="AH8" s="201">
        <f t="shared" ref="AH8:AH9" si="22">IF(AG8&gt;4,ROUND(AG8/2,0)*2,IF(AG8&gt;2.2,4,0))</f>
        <v>0</v>
      </c>
      <c r="AI8" s="199">
        <f>_xlfn.XLOOKUP(A8,'2.0SASA'!$A:$A,'2.0SASA'!$U:$U,"",0)</f>
        <v>10</v>
      </c>
      <c r="AJ8" s="200">
        <f t="shared" ref="AJ8:AJ9" si="23">AI8*AJ$50/AI$50</f>
        <v>0.45112781954887216</v>
      </c>
      <c r="AK8" s="201">
        <f t="shared" ref="AK8:AK9" si="24">IF(AJ8&gt;4,ROUND(AJ8/2,0)*2,IF(AJ8&gt;2,4,0))</f>
        <v>0</v>
      </c>
      <c r="AL8" s="199">
        <f>_xlfn.XLOOKUP(A8,'2.0SASA'!$A:$A,'2.0SASA'!$Q:$Q,"",0)</f>
        <v>40</v>
      </c>
      <c r="AM8" s="200">
        <f t="shared" ref="AM8:AM9" si="25">AL8*AM$50/AL$50</f>
        <v>1.932367149758454</v>
      </c>
      <c r="AN8" s="201">
        <f t="shared" ref="AN8:AN9" si="26">IF(AM8&gt;4,ROUND(AM8/2,0)*2,IF(AM8&gt;2.2,4,0))</f>
        <v>0</v>
      </c>
      <c r="AO8" s="199">
        <f>_xlfn.XLOOKUP(A8,'2.0SASA'!$A:$A,'2.0SASA'!$AD:$AD,"",0)</f>
        <v>30</v>
      </c>
      <c r="AP8" s="200">
        <f t="shared" ref="AP8:AP9" si="27">AO8*AP$50/AO$50</f>
        <v>1.5584415584415585</v>
      </c>
      <c r="AQ8" s="201">
        <f t="shared" ref="AQ8:AQ9" si="28">IF(AP8&gt;4,ROUND(AP8/2,0)*2,IF(AP8&gt;2.2,4,0))</f>
        <v>0</v>
      </c>
      <c r="AR8" s="67"/>
      <c r="AS8" s="67"/>
      <c r="AU8" s="62"/>
    </row>
    <row r="9" spans="1:51" s="57" customFormat="1" ht="17.25" customHeight="1">
      <c r="A9" s="198" t="s">
        <v>74</v>
      </c>
      <c r="B9" s="199">
        <f>_xlfn.XLOOKUP(A9,'2.0SASA'!$A:$A,'2.0SASA'!$C:$C,"",0)</f>
        <v>0</v>
      </c>
      <c r="C9" s="200">
        <f t="shared" si="1"/>
        <v>0</v>
      </c>
      <c r="D9" s="201">
        <f t="shared" si="2"/>
        <v>0</v>
      </c>
      <c r="E9" s="199">
        <f>_xlfn.XLOOKUP(A9,'2.0SASA'!$A:$A,'2.0SASA'!$B:$B,"",0)</f>
        <v>0</v>
      </c>
      <c r="F9" s="200">
        <f t="shared" si="3"/>
        <v>0</v>
      </c>
      <c r="G9" s="201">
        <f t="shared" si="4"/>
        <v>0</v>
      </c>
      <c r="H9" s="199">
        <f>_xlfn.XLOOKUP(A9,'2.0SASA'!$A:$A,'2.0SASA'!$J:$J,"",0)</f>
        <v>52</v>
      </c>
      <c r="I9" s="200">
        <f t="shared" si="5"/>
        <v>4.7706422018348622</v>
      </c>
      <c r="J9" s="201">
        <f t="shared" si="6"/>
        <v>4</v>
      </c>
      <c r="K9" s="199">
        <f>_xlfn.XLOOKUP(A9,'2.0SASA'!$A:$A,'2.0SASA'!$K:$K,"",0)</f>
        <v>0</v>
      </c>
      <c r="L9" s="200">
        <f t="shared" si="7"/>
        <v>0</v>
      </c>
      <c r="M9" s="201">
        <f t="shared" si="8"/>
        <v>0</v>
      </c>
      <c r="N9" s="199">
        <f>_xlfn.XLOOKUP(A9,'2.0SASA'!$A:$A,'2.0SASA'!$G:$G,"",0)</f>
        <v>0</v>
      </c>
      <c r="O9" s="200">
        <f t="shared" si="9"/>
        <v>0</v>
      </c>
      <c r="P9" s="201">
        <f t="shared" si="10"/>
        <v>0</v>
      </c>
      <c r="Q9" s="199">
        <f>_xlfn.XLOOKUP(A9,'2.0SASA'!$A:$A,'2.0SASA'!$I:$I,"",0)</f>
        <v>0</v>
      </c>
      <c r="R9" s="200">
        <f t="shared" si="11"/>
        <v>0</v>
      </c>
      <c r="S9" s="201">
        <f t="shared" si="12"/>
        <v>0</v>
      </c>
      <c r="T9" s="199">
        <f>_xlfn.XLOOKUP(A9,'2.0SASA'!$A:$A,'2.0SASA'!$F:$F,"",0)</f>
        <v>60</v>
      </c>
      <c r="U9" s="200">
        <f t="shared" si="13"/>
        <v>6</v>
      </c>
      <c r="V9" s="201">
        <f t="shared" si="14"/>
        <v>6</v>
      </c>
      <c r="W9" s="199">
        <f>_xlfn.XLOOKUP(A9,'2.0SASA'!$A:$A,'2.0SASA'!$H:$H,"",0)</f>
        <v>20</v>
      </c>
      <c r="X9" s="200">
        <f t="shared" si="15"/>
        <v>1.75</v>
      </c>
      <c r="Y9" s="201">
        <f t="shared" si="16"/>
        <v>0</v>
      </c>
      <c r="Z9" s="199">
        <f>_xlfn.XLOOKUP(A9,'2.0SASA'!$A:$A,'2.0SASA'!$D:$D,"",0)</f>
        <v>40</v>
      </c>
      <c r="AA9" s="200">
        <f t="shared" si="17"/>
        <v>3.8787878787878789</v>
      </c>
      <c r="AB9" s="201">
        <f t="shared" si="18"/>
        <v>4</v>
      </c>
      <c r="AC9" s="199">
        <f>_xlfn.XLOOKUP(A9,'2.0SASA'!$A:$A,'2.0SASA'!$E:$E,"",0)</f>
        <v>60</v>
      </c>
      <c r="AD9" s="200">
        <f t="shared" si="19"/>
        <v>5.806451612903226</v>
      </c>
      <c r="AE9" s="201">
        <f t="shared" si="20"/>
        <v>6</v>
      </c>
      <c r="AF9" s="199">
        <f>_xlfn.XLOOKUP(A9,'2.0SASA'!$A:$A,'2.0SASA'!$V:$V,"",0)</f>
        <v>40</v>
      </c>
      <c r="AG9" s="200">
        <f t="shared" si="21"/>
        <v>2.6666666666666665</v>
      </c>
      <c r="AH9" s="201">
        <f t="shared" si="22"/>
        <v>4</v>
      </c>
      <c r="AI9" s="199">
        <f>_xlfn.XLOOKUP(A9,'2.0SASA'!$A:$A,'2.0SASA'!$U:$U,"",0)</f>
        <v>60</v>
      </c>
      <c r="AJ9" s="200">
        <f t="shared" si="23"/>
        <v>2.7067669172932329</v>
      </c>
      <c r="AK9" s="201">
        <f t="shared" si="24"/>
        <v>4</v>
      </c>
      <c r="AL9" s="199">
        <f>_xlfn.XLOOKUP(A9,'2.0SASA'!$A:$A,'2.0SASA'!$Q:$Q,"",0)</f>
        <v>90</v>
      </c>
      <c r="AM9" s="200">
        <f t="shared" si="25"/>
        <v>4.3478260869565215</v>
      </c>
      <c r="AN9" s="201">
        <f t="shared" si="26"/>
        <v>4</v>
      </c>
      <c r="AO9" s="199">
        <f>_xlfn.XLOOKUP(A9,'2.0SASA'!$A:$A,'2.0SASA'!$AD:$AD,"",0)</f>
        <v>10</v>
      </c>
      <c r="AP9" s="200">
        <f t="shared" si="27"/>
        <v>0.51948051948051943</v>
      </c>
      <c r="AQ9" s="201">
        <f t="shared" si="28"/>
        <v>0</v>
      </c>
      <c r="AR9" s="67"/>
      <c r="AS9" s="67"/>
      <c r="AU9" s="67"/>
    </row>
    <row r="10" spans="1:51" s="58" customFormat="1" ht="17.25" customHeight="1">
      <c r="A10" s="202" t="s">
        <v>392</v>
      </c>
      <c r="B10" s="203">
        <f>SUM(B8:B9)</f>
        <v>0</v>
      </c>
      <c r="C10" s="203">
        <f t="shared" ref="C10:AQ10" si="29">SUM(C8:C9)</f>
        <v>0</v>
      </c>
      <c r="D10" s="203">
        <f t="shared" si="29"/>
        <v>0</v>
      </c>
      <c r="E10" s="203">
        <f t="shared" si="29"/>
        <v>30</v>
      </c>
      <c r="F10" s="203">
        <f t="shared" si="29"/>
        <v>3</v>
      </c>
      <c r="G10" s="203">
        <f t="shared" si="29"/>
        <v>4</v>
      </c>
      <c r="H10" s="203">
        <f t="shared" si="29"/>
        <v>82</v>
      </c>
      <c r="I10" s="203">
        <f t="shared" si="29"/>
        <v>7.522935779816514</v>
      </c>
      <c r="J10" s="203">
        <f t="shared" si="29"/>
        <v>8</v>
      </c>
      <c r="K10" s="203">
        <f t="shared" si="29"/>
        <v>0</v>
      </c>
      <c r="L10" s="203">
        <f t="shared" si="29"/>
        <v>0</v>
      </c>
      <c r="M10" s="203">
        <f t="shared" si="29"/>
        <v>0</v>
      </c>
      <c r="N10" s="203">
        <f t="shared" si="29"/>
        <v>0</v>
      </c>
      <c r="O10" s="203">
        <f t="shared" si="29"/>
        <v>0</v>
      </c>
      <c r="P10" s="203">
        <f t="shared" si="29"/>
        <v>0</v>
      </c>
      <c r="Q10" s="203">
        <f t="shared" si="29"/>
        <v>10</v>
      </c>
      <c r="R10" s="203">
        <f t="shared" si="29"/>
        <v>1.1428571428571428</v>
      </c>
      <c r="S10" s="203">
        <f t="shared" si="29"/>
        <v>0</v>
      </c>
      <c r="T10" s="203">
        <f t="shared" si="29"/>
        <v>100</v>
      </c>
      <c r="U10" s="203">
        <f t="shared" si="29"/>
        <v>10</v>
      </c>
      <c r="V10" s="203">
        <f t="shared" si="29"/>
        <v>10</v>
      </c>
      <c r="W10" s="203">
        <f t="shared" si="29"/>
        <v>20</v>
      </c>
      <c r="X10" s="203">
        <f t="shared" si="29"/>
        <v>1.75</v>
      </c>
      <c r="Y10" s="203">
        <f t="shared" si="29"/>
        <v>0</v>
      </c>
      <c r="Z10" s="203">
        <f t="shared" si="29"/>
        <v>80</v>
      </c>
      <c r="AA10" s="203">
        <f t="shared" si="29"/>
        <v>7.7575757575757578</v>
      </c>
      <c r="AB10" s="203">
        <f t="shared" si="29"/>
        <v>8</v>
      </c>
      <c r="AC10" s="203">
        <f t="shared" si="29"/>
        <v>60</v>
      </c>
      <c r="AD10" s="203">
        <f t="shared" si="29"/>
        <v>5.806451612903226</v>
      </c>
      <c r="AE10" s="203">
        <f t="shared" si="29"/>
        <v>6</v>
      </c>
      <c r="AF10" s="203">
        <f t="shared" si="29"/>
        <v>70</v>
      </c>
      <c r="AG10" s="203">
        <f t="shared" si="29"/>
        <v>4.6666666666666661</v>
      </c>
      <c r="AH10" s="203">
        <f t="shared" si="29"/>
        <v>4</v>
      </c>
      <c r="AI10" s="203">
        <f t="shared" si="29"/>
        <v>70</v>
      </c>
      <c r="AJ10" s="203">
        <f t="shared" si="29"/>
        <v>3.1578947368421053</v>
      </c>
      <c r="AK10" s="203">
        <f t="shared" si="29"/>
        <v>4</v>
      </c>
      <c r="AL10" s="203">
        <f t="shared" si="29"/>
        <v>130</v>
      </c>
      <c r="AM10" s="203">
        <f t="shared" si="29"/>
        <v>6.2801932367149753</v>
      </c>
      <c r="AN10" s="203">
        <f t="shared" si="29"/>
        <v>4</v>
      </c>
      <c r="AO10" s="203">
        <f t="shared" si="29"/>
        <v>40</v>
      </c>
      <c r="AP10" s="203">
        <f t="shared" si="29"/>
        <v>2.0779220779220777</v>
      </c>
      <c r="AQ10" s="203">
        <f t="shared" si="29"/>
        <v>0</v>
      </c>
      <c r="AU10" s="68"/>
    </row>
    <row r="11" spans="1:51" s="57" customFormat="1" ht="17.25" customHeight="1">
      <c r="A11" s="198" t="s">
        <v>101</v>
      </c>
      <c r="B11" s="199">
        <f>_xlfn.XLOOKUP(A11,'2.0SASA'!$A:$A,'2.0SASA'!$C:$C,"",0)</f>
        <v>0</v>
      </c>
      <c r="C11" s="200">
        <f t="shared" ref="C11:C14" si="30">B11*C$50/B$50</f>
        <v>0</v>
      </c>
      <c r="D11" s="201">
        <f t="shared" ref="D11:D14" si="31">IF(C11&gt;4,ROUND(C11/2,0)*2,IF(C11&gt;2.2,4,0))</f>
        <v>0</v>
      </c>
      <c r="E11" s="199">
        <f>_xlfn.XLOOKUP(A11,'2.0SASA'!$A:$A,'2.0SASA'!$B:$B,"",0)</f>
        <v>110</v>
      </c>
      <c r="F11" s="200">
        <f t="shared" ref="F11:F14" si="32">E11*F$50/E$50</f>
        <v>11</v>
      </c>
      <c r="G11" s="209">
        <v>10</v>
      </c>
      <c r="H11" s="199">
        <f>_xlfn.XLOOKUP(A11,'2.0SASA'!$A:$A,'2.0SASA'!$J:$J,"",0)</f>
        <v>0</v>
      </c>
      <c r="I11" s="200">
        <f t="shared" ref="I11:I14" si="33">H11*I$50/H$50</f>
        <v>0</v>
      </c>
      <c r="J11" s="201">
        <f t="shared" ref="J11:J14" si="34">IF(I11&gt;4,ROUND(I11/2,0)*2,IF(I11&gt;2,4,0))</f>
        <v>0</v>
      </c>
      <c r="K11" s="199">
        <f>_xlfn.XLOOKUP(A11,'2.0SASA'!$A:$A,'2.0SASA'!$K:$K,"",0)</f>
        <v>0</v>
      </c>
      <c r="L11" s="200">
        <f t="shared" ref="L11:L14" si="35">K11*L$50/K$50</f>
        <v>0</v>
      </c>
      <c r="M11" s="201">
        <f t="shared" ref="M11:M14" si="36">IF(L11&gt;4,ROUND(L11/2,0)*2,IF(L11&gt;2.2,4,0))</f>
        <v>0</v>
      </c>
      <c r="N11" s="199">
        <f>_xlfn.XLOOKUP(A11,'2.0SASA'!$A:$A,'2.0SASA'!$G:$G,"",0)</f>
        <v>0</v>
      </c>
      <c r="O11" s="200">
        <f t="shared" ref="O11:O14" si="37">N11*O$50/N$50</f>
        <v>0</v>
      </c>
      <c r="P11" s="201">
        <f t="shared" ref="P11:P14" si="38">IF(O11&gt;4,ROUND(O11/2,0)*2,IF(O11&gt;2.2,4,0))</f>
        <v>0</v>
      </c>
      <c r="Q11" s="199">
        <f>_xlfn.XLOOKUP(A11,'2.0SASA'!$A:$A,'2.0SASA'!$I:$I,"",0)</f>
        <v>0</v>
      </c>
      <c r="R11" s="200">
        <f t="shared" ref="R11:R14" si="39">Q11*R$50/Q$50</f>
        <v>0</v>
      </c>
      <c r="S11" s="201">
        <f t="shared" ref="S11:S14" si="40">IF(R11&gt;4,ROUND(R11/2,0)*2,IF(R11&gt;2.2,4,0))</f>
        <v>0</v>
      </c>
      <c r="T11" s="199">
        <f>_xlfn.XLOOKUP(A11,'2.0SASA'!$A:$A,'2.0SASA'!$F:$F,"",0)</f>
        <v>20</v>
      </c>
      <c r="U11" s="200">
        <f t="shared" ref="U11:U14" si="41">T11*U$50/T$50</f>
        <v>2</v>
      </c>
      <c r="V11" s="201">
        <f t="shared" ref="V11:V14" si="42">IF(U11&gt;4,ROUND(U11/2,0)*2,IF(U11&gt;2.2,4,0))</f>
        <v>0</v>
      </c>
      <c r="W11" s="199">
        <f>_xlfn.XLOOKUP(A11,'2.0SASA'!$A:$A,'2.0SASA'!$H:$H,"",0)</f>
        <v>20</v>
      </c>
      <c r="X11" s="200">
        <f t="shared" ref="X11:X14" si="43">W11*X$50/W$50</f>
        <v>1.75</v>
      </c>
      <c r="Y11" s="201">
        <f t="shared" ref="Y11:Y14" si="44">IF(X11&gt;4,ROUND(X11/2,0)*2,IF(X11&gt;2.2,4,0))</f>
        <v>0</v>
      </c>
      <c r="Z11" s="199">
        <f>_xlfn.XLOOKUP(A11,'2.0SASA'!$A:$A,'2.0SASA'!$D:$D,"",0)</f>
        <v>110</v>
      </c>
      <c r="AA11" s="200">
        <f t="shared" ref="AA11:AA14" si="45">Z11*AA$50/Z$50</f>
        <v>10.666666666666666</v>
      </c>
      <c r="AB11" s="201">
        <f t="shared" ref="AB11:AB14" si="46">IF(AA11&gt;4,ROUND(AA11/2,0)*2,IF(AA11&gt;2.2,4,0))</f>
        <v>10</v>
      </c>
      <c r="AC11" s="199">
        <f>_xlfn.XLOOKUP(A11,'2.0SASA'!$A:$A,'2.0SASA'!$E:$E,"",0)</f>
        <v>0</v>
      </c>
      <c r="AD11" s="200">
        <f t="shared" ref="AD11:AD14" si="47">AC11*AD$50/AC$50</f>
        <v>0</v>
      </c>
      <c r="AE11" s="201">
        <f t="shared" ref="AE11:AE14" si="48">IF(AD11&gt;4,ROUND(AD11/2,0)*2,IF(AD11&gt;2.2,4,0))</f>
        <v>0</v>
      </c>
      <c r="AF11" s="199">
        <f>_xlfn.XLOOKUP(A11,'2.0SASA'!$A:$A,'2.0SASA'!$V:$V,"",0)</f>
        <v>0</v>
      </c>
      <c r="AG11" s="200">
        <f t="shared" ref="AG11:AG14" si="49">AF11*AG$50/AF$50</f>
        <v>0</v>
      </c>
      <c r="AH11" s="201">
        <f t="shared" ref="AH11:AH14" si="50">IF(AG11&gt;4,ROUND(AG11/2,0)*2,IF(AG11&gt;2.2,4,0))</f>
        <v>0</v>
      </c>
      <c r="AI11" s="199">
        <f>_xlfn.XLOOKUP(A11,'2.0SASA'!$A:$A,'2.0SASA'!$U:$U,"",0)</f>
        <v>110</v>
      </c>
      <c r="AJ11" s="200">
        <f t="shared" ref="AJ11:AJ14" si="51">AI11*AJ$50/AI$50</f>
        <v>4.9624060150375939</v>
      </c>
      <c r="AK11" s="201">
        <f t="shared" ref="AK11:AK14" si="52">IF(AJ11&gt;4,ROUND(AJ11/2,0)*2,IF(AJ11&gt;2,4,0))</f>
        <v>4</v>
      </c>
      <c r="AL11" s="199">
        <f>_xlfn.XLOOKUP(A11,'2.0SASA'!$A:$A,'2.0SASA'!$Q:$Q,"",0)</f>
        <v>110</v>
      </c>
      <c r="AM11" s="200">
        <f t="shared" ref="AM11:AM14" si="53">AL11*AM$50/AL$50</f>
        <v>5.3140096618357484</v>
      </c>
      <c r="AN11" s="201">
        <f t="shared" ref="AN11:AN14" si="54">IF(AM11&gt;4,ROUND(AM11/2,0)*2,IF(AM11&gt;2.2,4,0))</f>
        <v>6</v>
      </c>
      <c r="AO11" s="199">
        <f>_xlfn.XLOOKUP(A11,'2.0SASA'!$A:$A,'2.0SASA'!$AD:$AD,"",0)</f>
        <v>0</v>
      </c>
      <c r="AP11" s="200">
        <f t="shared" ref="AP11:AP14" si="55">AO11*AP$50/AO$50</f>
        <v>0</v>
      </c>
      <c r="AQ11" s="201">
        <f t="shared" ref="AQ11:AQ14" si="56">IF(AP11&gt;4,ROUND(AP11/2,0)*2,IF(AP11&gt;2.2,4,0))</f>
        <v>0</v>
      </c>
      <c r="AR11" s="62"/>
      <c r="AS11" s="62"/>
      <c r="AU11" s="62"/>
    </row>
    <row r="12" spans="1:51" s="57" customFormat="1" ht="17.25" customHeight="1">
      <c r="A12" s="198" t="s">
        <v>96</v>
      </c>
      <c r="B12" s="199">
        <f>_xlfn.XLOOKUP(A12,'2.0SASA'!$A:$A,'2.0SASA'!$C:$C,"",0)</f>
        <v>0</v>
      </c>
      <c r="C12" s="200">
        <f t="shared" si="30"/>
        <v>0</v>
      </c>
      <c r="D12" s="201">
        <f t="shared" si="31"/>
        <v>0</v>
      </c>
      <c r="E12" s="199">
        <f>_xlfn.XLOOKUP(A12,'2.0SASA'!$A:$A,'2.0SASA'!$B:$B,"",0)</f>
        <v>50</v>
      </c>
      <c r="F12" s="200">
        <f t="shared" si="32"/>
        <v>5</v>
      </c>
      <c r="G12" s="201">
        <f t="shared" ref="G12:G14" si="57">IF(F12&gt;4,ROUND(F12/2,0)*2,IF(F12&gt;2.2,4,0))</f>
        <v>6</v>
      </c>
      <c r="H12" s="199">
        <f>_xlfn.XLOOKUP(A12,'2.0SASA'!$A:$A,'2.0SASA'!$J:$J,"",0)</f>
        <v>0</v>
      </c>
      <c r="I12" s="200">
        <f t="shared" si="33"/>
        <v>0</v>
      </c>
      <c r="J12" s="201">
        <f t="shared" si="34"/>
        <v>0</v>
      </c>
      <c r="K12" s="199">
        <f>_xlfn.XLOOKUP(A12,'2.0SASA'!$A:$A,'2.0SASA'!$K:$K,"",0)</f>
        <v>0</v>
      </c>
      <c r="L12" s="200">
        <f t="shared" si="35"/>
        <v>0</v>
      </c>
      <c r="M12" s="201">
        <f t="shared" si="36"/>
        <v>0</v>
      </c>
      <c r="N12" s="199">
        <f>_xlfn.XLOOKUP(A12,'2.0SASA'!$A:$A,'2.0SASA'!$G:$G,"",0)</f>
        <v>30</v>
      </c>
      <c r="O12" s="200">
        <f t="shared" si="37"/>
        <v>4</v>
      </c>
      <c r="P12" s="201">
        <f t="shared" si="38"/>
        <v>4</v>
      </c>
      <c r="Q12" s="199">
        <f>_xlfn.XLOOKUP(A12,'2.0SASA'!$A:$A,'2.0SASA'!$I:$I,"",0)</f>
        <v>0</v>
      </c>
      <c r="R12" s="200">
        <f t="shared" si="39"/>
        <v>0</v>
      </c>
      <c r="S12" s="201">
        <f t="shared" si="40"/>
        <v>0</v>
      </c>
      <c r="T12" s="199">
        <f>_xlfn.XLOOKUP(A12,'2.0SASA'!$A:$A,'2.0SASA'!$F:$F,"",0)</f>
        <v>30</v>
      </c>
      <c r="U12" s="200">
        <f t="shared" si="41"/>
        <v>3</v>
      </c>
      <c r="V12" s="201">
        <f t="shared" si="42"/>
        <v>4</v>
      </c>
      <c r="W12" s="199">
        <f>_xlfn.XLOOKUP(A12,'2.0SASA'!$A:$A,'2.0SASA'!$H:$H,"",0)</f>
        <v>10</v>
      </c>
      <c r="X12" s="200">
        <f t="shared" si="43"/>
        <v>0.875</v>
      </c>
      <c r="Y12" s="201">
        <f t="shared" si="44"/>
        <v>0</v>
      </c>
      <c r="Z12" s="199">
        <f>_xlfn.XLOOKUP(A12,'2.0SASA'!$A:$A,'2.0SASA'!$D:$D,"",0)</f>
        <v>50</v>
      </c>
      <c r="AA12" s="200">
        <f t="shared" si="45"/>
        <v>4.8484848484848486</v>
      </c>
      <c r="AB12" s="201">
        <f t="shared" si="46"/>
        <v>4</v>
      </c>
      <c r="AC12" s="199">
        <f>_xlfn.XLOOKUP(A12,'2.0SASA'!$A:$A,'2.0SASA'!$E:$E,"",0)</f>
        <v>30</v>
      </c>
      <c r="AD12" s="200">
        <f t="shared" si="47"/>
        <v>2.903225806451613</v>
      </c>
      <c r="AE12" s="201">
        <f t="shared" si="48"/>
        <v>4</v>
      </c>
      <c r="AF12" s="199">
        <f>_xlfn.XLOOKUP(A12,'2.0SASA'!$A:$A,'2.0SASA'!$V:$V,"",0)</f>
        <v>20</v>
      </c>
      <c r="AG12" s="200">
        <f t="shared" si="49"/>
        <v>1.3333333333333333</v>
      </c>
      <c r="AH12" s="201">
        <f t="shared" si="50"/>
        <v>0</v>
      </c>
      <c r="AI12" s="199">
        <f>_xlfn.XLOOKUP(A12,'2.0SASA'!$A:$A,'2.0SASA'!$U:$U,"",0)</f>
        <v>50</v>
      </c>
      <c r="AJ12" s="200">
        <f t="shared" si="51"/>
        <v>2.255639097744361</v>
      </c>
      <c r="AK12" s="201">
        <f t="shared" si="52"/>
        <v>4</v>
      </c>
      <c r="AL12" s="199">
        <f>_xlfn.XLOOKUP(A12,'2.0SASA'!$A:$A,'2.0SASA'!$Q:$Q,"",0)</f>
        <v>50</v>
      </c>
      <c r="AM12" s="200">
        <f t="shared" si="53"/>
        <v>2.4154589371980677</v>
      </c>
      <c r="AN12" s="201">
        <f t="shared" si="54"/>
        <v>4</v>
      </c>
      <c r="AO12" s="199">
        <f>_xlfn.XLOOKUP(A12,'2.0SASA'!$A:$A,'2.0SASA'!$AD:$AD,"",0)</f>
        <v>10</v>
      </c>
      <c r="AP12" s="200">
        <f t="shared" si="55"/>
        <v>0.51948051948051943</v>
      </c>
      <c r="AQ12" s="201">
        <f t="shared" si="56"/>
        <v>0</v>
      </c>
      <c r="AR12" s="62"/>
      <c r="AS12" s="62"/>
      <c r="AU12" s="62"/>
    </row>
    <row r="13" spans="1:51" s="57" customFormat="1" ht="17.25" customHeight="1">
      <c r="A13" s="198" t="s">
        <v>126</v>
      </c>
      <c r="B13" s="199">
        <f>_xlfn.XLOOKUP(A13,'2.0SASA'!$A:$A,'2.0SASA'!$C:$C,"",0)</f>
        <v>0</v>
      </c>
      <c r="C13" s="200">
        <f t="shared" si="30"/>
        <v>0</v>
      </c>
      <c r="D13" s="201">
        <f t="shared" si="31"/>
        <v>0</v>
      </c>
      <c r="E13" s="199">
        <f>_xlfn.XLOOKUP(A13,'2.0SASA'!$A:$A,'2.0SASA'!$B:$B,"",0)</f>
        <v>90</v>
      </c>
      <c r="F13" s="200">
        <f t="shared" si="32"/>
        <v>9</v>
      </c>
      <c r="G13" s="201">
        <f t="shared" si="57"/>
        <v>10</v>
      </c>
      <c r="H13" s="199">
        <f>_xlfn.XLOOKUP(A13,'2.0SASA'!$A:$A,'2.0SASA'!$J:$J,"",0)</f>
        <v>0</v>
      </c>
      <c r="I13" s="200">
        <f t="shared" si="33"/>
        <v>0</v>
      </c>
      <c r="J13" s="201">
        <f t="shared" si="34"/>
        <v>0</v>
      </c>
      <c r="K13" s="199">
        <f>_xlfn.XLOOKUP(A13,'2.0SASA'!$A:$A,'2.0SASA'!$K:$K,"",0)</f>
        <v>0</v>
      </c>
      <c r="L13" s="200">
        <f t="shared" si="35"/>
        <v>0</v>
      </c>
      <c r="M13" s="201">
        <f t="shared" si="36"/>
        <v>0</v>
      </c>
      <c r="N13" s="199">
        <f>_xlfn.XLOOKUP(A13,'2.0SASA'!$A:$A,'2.0SASA'!$G:$G,"",0)</f>
        <v>0</v>
      </c>
      <c r="O13" s="200">
        <f t="shared" si="37"/>
        <v>0</v>
      </c>
      <c r="P13" s="201">
        <f t="shared" si="38"/>
        <v>0</v>
      </c>
      <c r="Q13" s="199">
        <f>_xlfn.XLOOKUP(A13,'2.0SASA'!$A:$A,'2.0SASA'!$I:$I,"",0)</f>
        <v>0</v>
      </c>
      <c r="R13" s="200">
        <f t="shared" si="39"/>
        <v>0</v>
      </c>
      <c r="S13" s="201">
        <f t="shared" si="40"/>
        <v>0</v>
      </c>
      <c r="T13" s="199">
        <f>_xlfn.XLOOKUP(A13,'2.0SASA'!$A:$A,'2.0SASA'!$F:$F,"",0)</f>
        <v>0</v>
      </c>
      <c r="U13" s="200">
        <f t="shared" si="41"/>
        <v>0</v>
      </c>
      <c r="V13" s="201">
        <f t="shared" si="42"/>
        <v>0</v>
      </c>
      <c r="W13" s="199">
        <f>_xlfn.XLOOKUP(A13,'2.0SASA'!$A:$A,'2.0SASA'!$H:$H,"",0)</f>
        <v>60</v>
      </c>
      <c r="X13" s="200">
        <f t="shared" si="43"/>
        <v>5.25</v>
      </c>
      <c r="Y13" s="201">
        <f t="shared" si="44"/>
        <v>6</v>
      </c>
      <c r="Z13" s="199">
        <f>_xlfn.XLOOKUP(A13,'2.0SASA'!$A:$A,'2.0SASA'!$D:$D,"",0)</f>
        <v>50</v>
      </c>
      <c r="AA13" s="200">
        <f t="shared" si="45"/>
        <v>4.8484848484848486</v>
      </c>
      <c r="AB13" s="201">
        <f t="shared" si="46"/>
        <v>4</v>
      </c>
      <c r="AC13" s="199">
        <f>_xlfn.XLOOKUP(A13,'2.0SASA'!$A:$A,'2.0SASA'!$E:$E,"",0)</f>
        <v>0</v>
      </c>
      <c r="AD13" s="200">
        <f t="shared" si="47"/>
        <v>0</v>
      </c>
      <c r="AE13" s="201">
        <f t="shared" si="48"/>
        <v>0</v>
      </c>
      <c r="AF13" s="199">
        <f>_xlfn.XLOOKUP(A13,'2.0SASA'!$A:$A,'2.0SASA'!$V:$V,"",0)</f>
        <v>0</v>
      </c>
      <c r="AG13" s="200">
        <f t="shared" si="49"/>
        <v>0</v>
      </c>
      <c r="AH13" s="201">
        <f t="shared" si="50"/>
        <v>0</v>
      </c>
      <c r="AI13" s="199">
        <f>_xlfn.XLOOKUP(A13,'2.0SASA'!$A:$A,'2.0SASA'!$U:$U,"",0)</f>
        <v>90</v>
      </c>
      <c r="AJ13" s="200">
        <f t="shared" si="51"/>
        <v>4.0601503759398501</v>
      </c>
      <c r="AK13" s="201">
        <f t="shared" si="52"/>
        <v>4</v>
      </c>
      <c r="AL13" s="199">
        <f>_xlfn.XLOOKUP(A13,'2.0SASA'!$A:$A,'2.0SASA'!$Q:$Q,"",0)</f>
        <v>90</v>
      </c>
      <c r="AM13" s="200">
        <f t="shared" si="53"/>
        <v>4.3478260869565215</v>
      </c>
      <c r="AN13" s="201">
        <f t="shared" si="54"/>
        <v>4</v>
      </c>
      <c r="AO13" s="199">
        <f>_xlfn.XLOOKUP(A13,'2.0SASA'!$A:$A,'2.0SASA'!$AD:$AD,"",0)</f>
        <v>10</v>
      </c>
      <c r="AP13" s="200">
        <f t="shared" si="55"/>
        <v>0.51948051948051943</v>
      </c>
      <c r="AQ13" s="201">
        <f t="shared" si="56"/>
        <v>0</v>
      </c>
      <c r="AR13" s="67"/>
      <c r="AS13" s="67"/>
      <c r="AU13" s="62"/>
    </row>
    <row r="14" spans="1:51" s="57" customFormat="1" ht="17.25" customHeight="1">
      <c r="A14" s="198" t="s">
        <v>136</v>
      </c>
      <c r="B14" s="199">
        <f>_xlfn.XLOOKUP(A14,'2.0SASA'!$A:$A,'2.0SASA'!$C:$C,"",0)</f>
        <v>0</v>
      </c>
      <c r="C14" s="200">
        <f t="shared" si="30"/>
        <v>0</v>
      </c>
      <c r="D14" s="201">
        <f t="shared" si="31"/>
        <v>0</v>
      </c>
      <c r="E14" s="199">
        <f>_xlfn.XLOOKUP(A14,'2.0SASA'!$A:$A,'2.0SASA'!$B:$B,"",0)</f>
        <v>60</v>
      </c>
      <c r="F14" s="200">
        <f t="shared" si="32"/>
        <v>6</v>
      </c>
      <c r="G14" s="201">
        <f t="shared" si="57"/>
        <v>6</v>
      </c>
      <c r="H14" s="199">
        <f>_xlfn.XLOOKUP(A14,'2.0SASA'!$A:$A,'2.0SASA'!$J:$J,"",0)</f>
        <v>0</v>
      </c>
      <c r="I14" s="200">
        <f t="shared" si="33"/>
        <v>0</v>
      </c>
      <c r="J14" s="201">
        <f t="shared" si="34"/>
        <v>0</v>
      </c>
      <c r="K14" s="199">
        <f>_xlfn.XLOOKUP(A14,'2.0SASA'!$A:$A,'2.0SASA'!$K:$K,"",0)</f>
        <v>0</v>
      </c>
      <c r="L14" s="200">
        <f t="shared" si="35"/>
        <v>0</v>
      </c>
      <c r="M14" s="201">
        <f t="shared" si="36"/>
        <v>0</v>
      </c>
      <c r="N14" s="199">
        <f>_xlfn.XLOOKUP(A14,'2.0SASA'!$A:$A,'2.0SASA'!$G:$G,"",0)</f>
        <v>0</v>
      </c>
      <c r="O14" s="200">
        <f t="shared" si="37"/>
        <v>0</v>
      </c>
      <c r="P14" s="201">
        <f t="shared" si="38"/>
        <v>0</v>
      </c>
      <c r="Q14" s="199">
        <f>_xlfn.XLOOKUP(A14,'2.0SASA'!$A:$A,'2.0SASA'!$I:$I,"",0)</f>
        <v>20</v>
      </c>
      <c r="R14" s="200">
        <f t="shared" si="39"/>
        <v>2.2857142857142856</v>
      </c>
      <c r="S14" s="201">
        <f t="shared" si="40"/>
        <v>4</v>
      </c>
      <c r="T14" s="199">
        <f>_xlfn.XLOOKUP(A14,'2.0SASA'!$A:$A,'2.0SASA'!$F:$F,"",0)</f>
        <v>0</v>
      </c>
      <c r="U14" s="200">
        <f t="shared" si="41"/>
        <v>0</v>
      </c>
      <c r="V14" s="201">
        <f t="shared" si="42"/>
        <v>0</v>
      </c>
      <c r="W14" s="199">
        <f>_xlfn.XLOOKUP(A14,'2.0SASA'!$A:$A,'2.0SASA'!$H:$H,"",0)</f>
        <v>10</v>
      </c>
      <c r="X14" s="200">
        <f t="shared" si="43"/>
        <v>0.875</v>
      </c>
      <c r="Y14" s="201">
        <f t="shared" si="44"/>
        <v>0</v>
      </c>
      <c r="Z14" s="199">
        <f>_xlfn.XLOOKUP(A14,'2.0SASA'!$A:$A,'2.0SASA'!$D:$D,"",0)</f>
        <v>30</v>
      </c>
      <c r="AA14" s="200">
        <f t="shared" si="45"/>
        <v>2.9090909090909092</v>
      </c>
      <c r="AB14" s="201">
        <f t="shared" si="46"/>
        <v>4</v>
      </c>
      <c r="AC14" s="199">
        <f>_xlfn.XLOOKUP(A14,'2.0SASA'!$A:$A,'2.0SASA'!$E:$E,"",0)</f>
        <v>0</v>
      </c>
      <c r="AD14" s="200">
        <f t="shared" si="47"/>
        <v>0</v>
      </c>
      <c r="AE14" s="201">
        <f t="shared" si="48"/>
        <v>0</v>
      </c>
      <c r="AF14" s="199">
        <f>_xlfn.XLOOKUP(A14,'2.0SASA'!$A:$A,'2.0SASA'!$V:$V,"",0)</f>
        <v>0</v>
      </c>
      <c r="AG14" s="200">
        <f t="shared" si="49"/>
        <v>0</v>
      </c>
      <c r="AH14" s="201">
        <f t="shared" si="50"/>
        <v>0</v>
      </c>
      <c r="AI14" s="199">
        <f>_xlfn.XLOOKUP(A14,'2.0SASA'!$A:$A,'2.0SASA'!$U:$U,"",0)</f>
        <v>60</v>
      </c>
      <c r="AJ14" s="200">
        <f t="shared" si="51"/>
        <v>2.7067669172932329</v>
      </c>
      <c r="AK14" s="201">
        <f t="shared" si="52"/>
        <v>4</v>
      </c>
      <c r="AL14" s="199">
        <f>_xlfn.XLOOKUP(A14,'2.0SASA'!$A:$A,'2.0SASA'!$Q:$Q,"",0)</f>
        <v>60</v>
      </c>
      <c r="AM14" s="200">
        <f t="shared" si="53"/>
        <v>2.8985507246376812</v>
      </c>
      <c r="AN14" s="201">
        <f t="shared" si="54"/>
        <v>4</v>
      </c>
      <c r="AO14" s="199">
        <f>_xlfn.XLOOKUP(A14,'2.0SASA'!$A:$A,'2.0SASA'!$AD:$AD,"",0)</f>
        <v>50</v>
      </c>
      <c r="AP14" s="200">
        <f t="shared" si="55"/>
        <v>2.5974025974025974</v>
      </c>
      <c r="AQ14" s="201">
        <f t="shared" si="56"/>
        <v>4</v>
      </c>
      <c r="AR14" s="67"/>
      <c r="AS14" s="67"/>
      <c r="AU14" s="67"/>
    </row>
    <row r="15" spans="1:51" s="58" customFormat="1" ht="17.25" customHeight="1">
      <c r="A15" s="202" t="s">
        <v>393</v>
      </c>
      <c r="B15" s="204">
        <f>SUM(B11:B14)</f>
        <v>0</v>
      </c>
      <c r="C15" s="204">
        <f t="shared" ref="C15:AQ15" si="58">SUM(C11:C14)</f>
        <v>0</v>
      </c>
      <c r="D15" s="204">
        <f t="shared" si="58"/>
        <v>0</v>
      </c>
      <c r="E15" s="204">
        <f t="shared" si="58"/>
        <v>310</v>
      </c>
      <c r="F15" s="204">
        <f t="shared" si="58"/>
        <v>31</v>
      </c>
      <c r="G15" s="204">
        <f t="shared" si="58"/>
        <v>32</v>
      </c>
      <c r="H15" s="204">
        <f t="shared" si="58"/>
        <v>0</v>
      </c>
      <c r="I15" s="204">
        <f t="shared" si="58"/>
        <v>0</v>
      </c>
      <c r="J15" s="204">
        <f t="shared" si="58"/>
        <v>0</v>
      </c>
      <c r="K15" s="204">
        <f t="shared" si="58"/>
        <v>0</v>
      </c>
      <c r="L15" s="204">
        <f t="shared" si="58"/>
        <v>0</v>
      </c>
      <c r="M15" s="204">
        <f t="shared" si="58"/>
        <v>0</v>
      </c>
      <c r="N15" s="204">
        <f t="shared" si="58"/>
        <v>30</v>
      </c>
      <c r="O15" s="204">
        <f t="shared" si="58"/>
        <v>4</v>
      </c>
      <c r="P15" s="204">
        <f t="shared" si="58"/>
        <v>4</v>
      </c>
      <c r="Q15" s="204">
        <f t="shared" si="58"/>
        <v>20</v>
      </c>
      <c r="R15" s="204">
        <f t="shared" si="58"/>
        <v>2.2857142857142856</v>
      </c>
      <c r="S15" s="204">
        <f t="shared" si="58"/>
        <v>4</v>
      </c>
      <c r="T15" s="204">
        <f t="shared" si="58"/>
        <v>50</v>
      </c>
      <c r="U15" s="204">
        <f t="shared" si="58"/>
        <v>5</v>
      </c>
      <c r="V15" s="204">
        <f t="shared" si="58"/>
        <v>4</v>
      </c>
      <c r="W15" s="204">
        <f t="shared" si="58"/>
        <v>100</v>
      </c>
      <c r="X15" s="204">
        <f t="shared" si="58"/>
        <v>8.75</v>
      </c>
      <c r="Y15" s="204">
        <f t="shared" si="58"/>
        <v>6</v>
      </c>
      <c r="Z15" s="204">
        <f t="shared" si="58"/>
        <v>240</v>
      </c>
      <c r="AA15" s="204">
        <f t="shared" si="58"/>
        <v>23.272727272727273</v>
      </c>
      <c r="AB15" s="204">
        <f t="shared" si="58"/>
        <v>22</v>
      </c>
      <c r="AC15" s="204">
        <f t="shared" si="58"/>
        <v>30</v>
      </c>
      <c r="AD15" s="204">
        <f t="shared" si="58"/>
        <v>2.903225806451613</v>
      </c>
      <c r="AE15" s="204">
        <f t="shared" si="58"/>
        <v>4</v>
      </c>
      <c r="AF15" s="204">
        <f t="shared" si="58"/>
        <v>20</v>
      </c>
      <c r="AG15" s="204">
        <f t="shared" si="58"/>
        <v>1.3333333333333333</v>
      </c>
      <c r="AH15" s="204">
        <f t="shared" si="58"/>
        <v>0</v>
      </c>
      <c r="AI15" s="204">
        <f t="shared" si="58"/>
        <v>310</v>
      </c>
      <c r="AJ15" s="204">
        <f t="shared" si="58"/>
        <v>13.984962406015038</v>
      </c>
      <c r="AK15" s="204">
        <f t="shared" si="58"/>
        <v>16</v>
      </c>
      <c r="AL15" s="204">
        <f t="shared" si="58"/>
        <v>310</v>
      </c>
      <c r="AM15" s="204">
        <f t="shared" si="58"/>
        <v>14.97584541062802</v>
      </c>
      <c r="AN15" s="204">
        <f t="shared" si="58"/>
        <v>18</v>
      </c>
      <c r="AO15" s="204">
        <f t="shared" si="58"/>
        <v>70</v>
      </c>
      <c r="AP15" s="204">
        <f t="shared" si="58"/>
        <v>3.6363636363636362</v>
      </c>
      <c r="AQ15" s="204">
        <f t="shared" si="58"/>
        <v>4</v>
      </c>
      <c r="AU15" s="68"/>
    </row>
    <row r="16" spans="1:51" s="57" customFormat="1" ht="17.25" customHeight="1">
      <c r="A16" s="198" t="s">
        <v>112</v>
      </c>
      <c r="B16" s="199">
        <f>_xlfn.XLOOKUP(A16,'2.0SASA'!$A:$A,'2.0SASA'!$C:$C,"",0)</f>
        <v>0</v>
      </c>
      <c r="C16" s="200">
        <f t="shared" ref="C16:C18" si="59">B16*C$50/B$50</f>
        <v>0</v>
      </c>
      <c r="D16" s="201">
        <f t="shared" ref="D16:D18" si="60">IF(C16&gt;4,ROUND(C16/2,0)*2,IF(C16&gt;2.2,4,0))</f>
        <v>0</v>
      </c>
      <c r="E16" s="199">
        <f>_xlfn.XLOOKUP(A16,'2.0SASA'!$A:$A,'2.0SASA'!$B:$B,"",0)</f>
        <v>60</v>
      </c>
      <c r="F16" s="200">
        <f t="shared" ref="F16:F18" si="61">E16*F$50/E$50</f>
        <v>6</v>
      </c>
      <c r="G16" s="201">
        <f t="shared" ref="G16:G18" si="62">IF(F16&gt;4,ROUND(F16/2,0)*2,IF(F16&gt;2.2,4,0))</f>
        <v>6</v>
      </c>
      <c r="H16" s="199">
        <f>_xlfn.XLOOKUP(A16,'2.0SASA'!$A:$A,'2.0SASA'!$J:$J,"",0)</f>
        <v>0</v>
      </c>
      <c r="I16" s="200">
        <f t="shared" ref="I16:I18" si="63">H16*I$50/H$50</f>
        <v>0</v>
      </c>
      <c r="J16" s="201">
        <f t="shared" ref="J16:J18" si="64">IF(I16&gt;4,ROUND(I16/2,0)*2,IF(I16&gt;2,4,0))</f>
        <v>0</v>
      </c>
      <c r="K16" s="199">
        <f>_xlfn.XLOOKUP(A16,'2.0SASA'!$A:$A,'2.0SASA'!$K:$K,"",0)</f>
        <v>0</v>
      </c>
      <c r="L16" s="200">
        <f t="shared" ref="L16:L18" si="65">K16*L$50/K$50</f>
        <v>0</v>
      </c>
      <c r="M16" s="201">
        <f t="shared" ref="M16:M18" si="66">IF(L16&gt;4,ROUND(L16/2,0)*2,IF(L16&gt;2.2,4,0))</f>
        <v>0</v>
      </c>
      <c r="N16" s="199">
        <f>_xlfn.XLOOKUP(A16,'2.0SASA'!$A:$A,'2.0SASA'!$G:$G,"",0)</f>
        <v>10</v>
      </c>
      <c r="O16" s="200">
        <f t="shared" ref="O16:O18" si="67">N16*O$50/N$50</f>
        <v>1.3333333333333333</v>
      </c>
      <c r="P16" s="201">
        <f t="shared" ref="P16:P18" si="68">IF(O16&gt;4,ROUND(O16/2,0)*2,IF(O16&gt;2.2,4,0))</f>
        <v>0</v>
      </c>
      <c r="Q16" s="199">
        <f>_xlfn.XLOOKUP(A16,'2.0SASA'!$A:$A,'2.0SASA'!$I:$I,"",0)</f>
        <v>0</v>
      </c>
      <c r="R16" s="200">
        <f t="shared" ref="R16:R18" si="69">Q16*R$50/Q$50</f>
        <v>0</v>
      </c>
      <c r="S16" s="201">
        <f t="shared" ref="S16:S18" si="70">IF(R16&gt;4,ROUND(R16/2,0)*2,IF(R16&gt;2.2,4,0))</f>
        <v>0</v>
      </c>
      <c r="T16" s="199">
        <f>_xlfn.XLOOKUP(A16,'2.0SASA'!$A:$A,'2.0SASA'!$F:$F,"",0)</f>
        <v>30</v>
      </c>
      <c r="U16" s="200">
        <f t="shared" ref="U16:U18" si="71">T16*U$50/T$50</f>
        <v>3</v>
      </c>
      <c r="V16" s="201">
        <f t="shared" ref="V16:V18" si="72">IF(U16&gt;4,ROUND(U16/2,0)*2,IF(U16&gt;2.2,4,0))</f>
        <v>4</v>
      </c>
      <c r="W16" s="199">
        <f>_xlfn.XLOOKUP(A16,'2.0SASA'!$A:$A,'2.0SASA'!$H:$H,"",0)</f>
        <v>20</v>
      </c>
      <c r="X16" s="200">
        <f t="shared" ref="X16:X18" si="73">W16*X$50/W$50</f>
        <v>1.75</v>
      </c>
      <c r="Y16" s="201">
        <f t="shared" ref="Y16:Y18" si="74">IF(X16&gt;4,ROUND(X16/2,0)*2,IF(X16&gt;2.2,4,0))</f>
        <v>0</v>
      </c>
      <c r="Z16" s="199">
        <f>_xlfn.XLOOKUP(A16,'2.0SASA'!$A:$A,'2.0SASA'!$D:$D,"",0)</f>
        <v>60</v>
      </c>
      <c r="AA16" s="200">
        <f t="shared" ref="AA16:AA18" si="75">Z16*AA$50/Z$50</f>
        <v>5.8181818181818183</v>
      </c>
      <c r="AB16" s="201">
        <f t="shared" ref="AB16:AB18" si="76">IF(AA16&gt;4,ROUND(AA16/2,0)*2,IF(AA16&gt;2.2,4,0))</f>
        <v>6</v>
      </c>
      <c r="AC16" s="199">
        <f>_xlfn.XLOOKUP(A16,'2.0SASA'!$A:$A,'2.0SASA'!$E:$E,"",0)</f>
        <v>0</v>
      </c>
      <c r="AD16" s="200">
        <f t="shared" ref="AD16:AD18" si="77">AC16*AD$50/AC$50</f>
        <v>0</v>
      </c>
      <c r="AE16" s="201">
        <f t="shared" ref="AE16:AE18" si="78">IF(AD16&gt;4,ROUND(AD16/2,0)*2,IF(AD16&gt;2.2,4,0))</f>
        <v>0</v>
      </c>
      <c r="AF16" s="199">
        <f>_xlfn.XLOOKUP(A16,'2.0SASA'!$A:$A,'2.0SASA'!$V:$V,"",0)</f>
        <v>30</v>
      </c>
      <c r="AG16" s="200">
        <f t="shared" ref="AG16:AG18" si="79">AF16*AG$50/AF$50</f>
        <v>2</v>
      </c>
      <c r="AH16" s="201">
        <f t="shared" ref="AH16:AH18" si="80">IF(AG16&gt;4,ROUND(AG16/2,0)*2,IF(AG16&gt;2.2,4,0))</f>
        <v>0</v>
      </c>
      <c r="AI16" s="199">
        <f>_xlfn.XLOOKUP(A16,'2.0SASA'!$A:$A,'2.0SASA'!$U:$U,"",0)</f>
        <v>60</v>
      </c>
      <c r="AJ16" s="200">
        <f t="shared" ref="AJ16:AJ18" si="81">AI16*AJ$50/AI$50</f>
        <v>2.7067669172932329</v>
      </c>
      <c r="AK16" s="201">
        <f t="shared" ref="AK16:AK18" si="82">IF(AJ16&gt;4,ROUND(AJ16/2,0)*2,IF(AJ16&gt;2,4,0))</f>
        <v>4</v>
      </c>
      <c r="AL16" s="199">
        <f>_xlfn.XLOOKUP(A16,'2.0SASA'!$A:$A,'2.0SASA'!$Q:$Q,"",0)</f>
        <v>60</v>
      </c>
      <c r="AM16" s="200">
        <f t="shared" ref="AM16:AM18" si="83">AL16*AM$50/AL$50</f>
        <v>2.8985507246376812</v>
      </c>
      <c r="AN16" s="201">
        <f t="shared" ref="AN16:AN18" si="84">IF(AM16&gt;4,ROUND(AM16/2,0)*2,IF(AM16&gt;2.2,4,0))</f>
        <v>4</v>
      </c>
      <c r="AO16" s="199">
        <f>_xlfn.XLOOKUP(A16,'2.0SASA'!$A:$A,'2.0SASA'!$AD:$AD,"",0)</f>
        <v>0</v>
      </c>
      <c r="AP16" s="200">
        <f t="shared" ref="AP16:AP18" si="85">AO16*AP$50/AO$50</f>
        <v>0</v>
      </c>
      <c r="AQ16" s="201">
        <f t="shared" ref="AQ16:AQ18" si="86">IF(AP16&gt;4,ROUND(AP16/2,0)*2,IF(AP16&gt;2.2,4,0))</f>
        <v>0</v>
      </c>
      <c r="AR16" s="62"/>
      <c r="AS16" s="62"/>
      <c r="AU16" s="62"/>
    </row>
    <row r="17" spans="1:47" s="57" customFormat="1" ht="17.25" customHeight="1">
      <c r="A17" s="198" t="s">
        <v>118</v>
      </c>
      <c r="B17" s="199">
        <f>_xlfn.XLOOKUP(A17,'2.0SASA'!$A:$A,'2.0SASA'!$C:$C,"",0)</f>
        <v>0</v>
      </c>
      <c r="C17" s="200">
        <f t="shared" si="59"/>
        <v>0</v>
      </c>
      <c r="D17" s="201">
        <f t="shared" si="60"/>
        <v>0</v>
      </c>
      <c r="E17" s="199">
        <f>_xlfn.XLOOKUP(A17,'2.0SASA'!$A:$A,'2.0SASA'!$B:$B,"",0)</f>
        <v>50</v>
      </c>
      <c r="F17" s="200">
        <f t="shared" si="61"/>
        <v>5</v>
      </c>
      <c r="G17" s="209">
        <v>4</v>
      </c>
      <c r="H17" s="199">
        <f>_xlfn.XLOOKUP(A17,'2.0SASA'!$A:$A,'2.0SASA'!$J:$J,"",0)</f>
        <v>0</v>
      </c>
      <c r="I17" s="200">
        <f t="shared" si="63"/>
        <v>0</v>
      </c>
      <c r="J17" s="201">
        <f t="shared" si="64"/>
        <v>0</v>
      </c>
      <c r="K17" s="199">
        <f>_xlfn.XLOOKUP(A17,'2.0SASA'!$A:$A,'2.0SASA'!$K:$K,"",0)</f>
        <v>0</v>
      </c>
      <c r="L17" s="200">
        <f t="shared" si="65"/>
        <v>0</v>
      </c>
      <c r="M17" s="201">
        <f t="shared" si="66"/>
        <v>0</v>
      </c>
      <c r="N17" s="199">
        <f>_xlfn.XLOOKUP(A17,'2.0SASA'!$A:$A,'2.0SASA'!$G:$G,"",0)</f>
        <v>10</v>
      </c>
      <c r="O17" s="200">
        <f t="shared" si="67"/>
        <v>1.3333333333333333</v>
      </c>
      <c r="P17" s="201">
        <f t="shared" si="68"/>
        <v>0</v>
      </c>
      <c r="Q17" s="199">
        <f>_xlfn.XLOOKUP(A17,'2.0SASA'!$A:$A,'2.0SASA'!$I:$I,"",0)</f>
        <v>0</v>
      </c>
      <c r="R17" s="200">
        <f t="shared" si="69"/>
        <v>0</v>
      </c>
      <c r="S17" s="201">
        <f t="shared" si="70"/>
        <v>0</v>
      </c>
      <c r="T17" s="199">
        <f>_xlfn.XLOOKUP(A17,'2.0SASA'!$A:$A,'2.0SASA'!$F:$F,"",0)</f>
        <v>0</v>
      </c>
      <c r="U17" s="200">
        <f t="shared" si="71"/>
        <v>0</v>
      </c>
      <c r="V17" s="201">
        <f t="shared" si="72"/>
        <v>0</v>
      </c>
      <c r="W17" s="199">
        <f>_xlfn.XLOOKUP(A17,'2.0SASA'!$A:$A,'2.0SASA'!$H:$H,"",0)</f>
        <v>0</v>
      </c>
      <c r="X17" s="200">
        <f t="shared" si="73"/>
        <v>0</v>
      </c>
      <c r="Y17" s="201">
        <f t="shared" si="74"/>
        <v>0</v>
      </c>
      <c r="Z17" s="199">
        <f>_xlfn.XLOOKUP(A17,'2.0SASA'!$A:$A,'2.0SASA'!$D:$D,"",0)</f>
        <v>30</v>
      </c>
      <c r="AA17" s="200">
        <f t="shared" si="75"/>
        <v>2.9090909090909092</v>
      </c>
      <c r="AB17" s="201">
        <f t="shared" si="76"/>
        <v>4</v>
      </c>
      <c r="AC17" s="199">
        <f>_xlfn.XLOOKUP(A17,'2.0SASA'!$A:$A,'2.0SASA'!$E:$E,"",0)</f>
        <v>0</v>
      </c>
      <c r="AD17" s="200">
        <f t="shared" si="77"/>
        <v>0</v>
      </c>
      <c r="AE17" s="201">
        <f t="shared" si="78"/>
        <v>0</v>
      </c>
      <c r="AF17" s="199">
        <f>_xlfn.XLOOKUP(A17,'2.0SASA'!$A:$A,'2.0SASA'!$V:$V,"",0)</f>
        <v>10</v>
      </c>
      <c r="AG17" s="200">
        <f t="shared" si="79"/>
        <v>0.66666666666666663</v>
      </c>
      <c r="AH17" s="201">
        <f t="shared" si="80"/>
        <v>0</v>
      </c>
      <c r="AI17" s="199">
        <f>_xlfn.XLOOKUP(A17,'2.0SASA'!$A:$A,'2.0SASA'!$U:$U,"",0)</f>
        <v>40</v>
      </c>
      <c r="AJ17" s="200">
        <f t="shared" si="81"/>
        <v>1.8045112781954886</v>
      </c>
      <c r="AK17" s="201">
        <f t="shared" si="82"/>
        <v>0</v>
      </c>
      <c r="AL17" s="199">
        <f>_xlfn.XLOOKUP(A17,'2.0SASA'!$A:$A,'2.0SASA'!$Q:$Q,"",0)</f>
        <v>30</v>
      </c>
      <c r="AM17" s="200">
        <f t="shared" si="83"/>
        <v>1.4492753623188406</v>
      </c>
      <c r="AN17" s="201">
        <f t="shared" si="84"/>
        <v>0</v>
      </c>
      <c r="AO17" s="199">
        <f>_xlfn.XLOOKUP(A17,'2.0SASA'!$A:$A,'2.0SASA'!$AD:$AD,"",0)</f>
        <v>0</v>
      </c>
      <c r="AP17" s="200">
        <f t="shared" si="85"/>
        <v>0</v>
      </c>
      <c r="AQ17" s="201">
        <f t="shared" si="86"/>
        <v>0</v>
      </c>
      <c r="AR17" s="62"/>
      <c r="AS17" s="62"/>
      <c r="AU17" s="62"/>
    </row>
    <row r="18" spans="1:47" s="57" customFormat="1" ht="17.25" customHeight="1">
      <c r="A18" s="198" t="s">
        <v>123</v>
      </c>
      <c r="B18" s="199">
        <f>_xlfn.XLOOKUP(A18,'2.0SASA'!$A:$A,'2.0SASA'!$C:$C,"",0)</f>
        <v>0</v>
      </c>
      <c r="C18" s="200">
        <f t="shared" si="59"/>
        <v>0</v>
      </c>
      <c r="D18" s="201">
        <f t="shared" si="60"/>
        <v>0</v>
      </c>
      <c r="E18" s="199">
        <f>_xlfn.XLOOKUP(A18,'2.0SASA'!$A:$A,'2.0SASA'!$B:$B,"",0)</f>
        <v>30</v>
      </c>
      <c r="F18" s="200">
        <f t="shared" si="61"/>
        <v>3</v>
      </c>
      <c r="G18" s="201">
        <f t="shared" si="62"/>
        <v>4</v>
      </c>
      <c r="H18" s="199">
        <f>_xlfn.XLOOKUP(A18,'2.0SASA'!$A:$A,'2.0SASA'!$J:$J,"",0)</f>
        <v>0</v>
      </c>
      <c r="I18" s="200">
        <f t="shared" si="63"/>
        <v>0</v>
      </c>
      <c r="J18" s="201">
        <f t="shared" si="64"/>
        <v>0</v>
      </c>
      <c r="K18" s="199">
        <f>_xlfn.XLOOKUP(A18,'2.0SASA'!$A:$A,'2.0SASA'!$K:$K,"",0)</f>
        <v>0</v>
      </c>
      <c r="L18" s="200">
        <f t="shared" si="65"/>
        <v>0</v>
      </c>
      <c r="M18" s="201">
        <f t="shared" si="66"/>
        <v>0</v>
      </c>
      <c r="N18" s="199">
        <f>_xlfn.XLOOKUP(A18,'2.0SASA'!$A:$A,'2.0SASA'!$G:$G,"",0)</f>
        <v>0</v>
      </c>
      <c r="O18" s="200">
        <f t="shared" si="67"/>
        <v>0</v>
      </c>
      <c r="P18" s="201">
        <f t="shared" si="68"/>
        <v>0</v>
      </c>
      <c r="Q18" s="199">
        <f>_xlfn.XLOOKUP(A18,'2.0SASA'!$A:$A,'2.0SASA'!$I:$I,"",0)</f>
        <v>0</v>
      </c>
      <c r="R18" s="200">
        <f t="shared" si="69"/>
        <v>0</v>
      </c>
      <c r="S18" s="201">
        <f t="shared" si="70"/>
        <v>0</v>
      </c>
      <c r="T18" s="199">
        <f>_xlfn.XLOOKUP(A18,'2.0SASA'!$A:$A,'2.0SASA'!$F:$F,"",0)</f>
        <v>0</v>
      </c>
      <c r="U18" s="200">
        <f t="shared" si="71"/>
        <v>0</v>
      </c>
      <c r="V18" s="201">
        <f t="shared" si="72"/>
        <v>0</v>
      </c>
      <c r="W18" s="199">
        <f>_xlfn.XLOOKUP(A18,'2.0SASA'!$A:$A,'2.0SASA'!$H:$H,"",0)</f>
        <v>0</v>
      </c>
      <c r="X18" s="200">
        <f t="shared" si="73"/>
        <v>0</v>
      </c>
      <c r="Y18" s="201">
        <f t="shared" si="74"/>
        <v>0</v>
      </c>
      <c r="Z18" s="199">
        <f>_xlfn.XLOOKUP(A18,'2.0SASA'!$A:$A,'2.0SASA'!$D:$D,"",0)</f>
        <v>10</v>
      </c>
      <c r="AA18" s="200">
        <f t="shared" si="75"/>
        <v>0.96969696969696972</v>
      </c>
      <c r="AB18" s="201">
        <f t="shared" si="76"/>
        <v>0</v>
      </c>
      <c r="AC18" s="199">
        <f>_xlfn.XLOOKUP(A18,'2.0SASA'!$A:$A,'2.0SASA'!$E:$E,"",0)</f>
        <v>10</v>
      </c>
      <c r="AD18" s="200">
        <f t="shared" si="77"/>
        <v>0.967741935483871</v>
      </c>
      <c r="AE18" s="201">
        <f t="shared" si="78"/>
        <v>0</v>
      </c>
      <c r="AF18" s="199">
        <f>_xlfn.XLOOKUP(A18,'2.0SASA'!$A:$A,'2.0SASA'!$V:$V,"",0)</f>
        <v>0</v>
      </c>
      <c r="AG18" s="200">
        <f t="shared" si="79"/>
        <v>0</v>
      </c>
      <c r="AH18" s="201">
        <f t="shared" si="80"/>
        <v>0</v>
      </c>
      <c r="AI18" s="199">
        <f>_xlfn.XLOOKUP(A18,'2.0SASA'!$A:$A,'2.0SASA'!$U:$U,"",0)</f>
        <v>30</v>
      </c>
      <c r="AJ18" s="200">
        <f t="shared" si="81"/>
        <v>1.3533834586466165</v>
      </c>
      <c r="AK18" s="201">
        <f t="shared" si="82"/>
        <v>0</v>
      </c>
      <c r="AL18" s="199">
        <f>_xlfn.XLOOKUP(A18,'2.0SASA'!$A:$A,'2.0SASA'!$Q:$Q,"",0)</f>
        <v>30</v>
      </c>
      <c r="AM18" s="200">
        <f t="shared" si="83"/>
        <v>1.4492753623188406</v>
      </c>
      <c r="AN18" s="201">
        <f t="shared" si="84"/>
        <v>0</v>
      </c>
      <c r="AO18" s="199">
        <f>_xlfn.XLOOKUP(A18,'2.0SASA'!$A:$A,'2.0SASA'!$AD:$AD,"",0)</f>
        <v>0</v>
      </c>
      <c r="AP18" s="200">
        <f t="shared" si="85"/>
        <v>0</v>
      </c>
      <c r="AQ18" s="201">
        <f t="shared" si="86"/>
        <v>0</v>
      </c>
      <c r="AR18" s="62"/>
      <c r="AS18" s="62"/>
      <c r="AU18" s="62"/>
    </row>
    <row r="19" spans="1:47" s="58" customFormat="1" ht="17.25" customHeight="1">
      <c r="A19" s="202" t="s">
        <v>394</v>
      </c>
      <c r="B19" s="204">
        <f>SUM(B16:B18)</f>
        <v>0</v>
      </c>
      <c r="C19" s="204">
        <f t="shared" ref="C19:AQ19" si="87">SUM(C16:C18)</f>
        <v>0</v>
      </c>
      <c r="D19" s="204">
        <f t="shared" si="87"/>
        <v>0</v>
      </c>
      <c r="E19" s="204">
        <f t="shared" si="87"/>
        <v>140</v>
      </c>
      <c r="F19" s="204">
        <f t="shared" si="87"/>
        <v>14</v>
      </c>
      <c r="G19" s="204">
        <f t="shared" si="87"/>
        <v>14</v>
      </c>
      <c r="H19" s="204">
        <f t="shared" si="87"/>
        <v>0</v>
      </c>
      <c r="I19" s="204">
        <f t="shared" si="87"/>
        <v>0</v>
      </c>
      <c r="J19" s="204">
        <f t="shared" si="87"/>
        <v>0</v>
      </c>
      <c r="K19" s="204">
        <f t="shared" si="87"/>
        <v>0</v>
      </c>
      <c r="L19" s="204">
        <f t="shared" si="87"/>
        <v>0</v>
      </c>
      <c r="M19" s="204">
        <f t="shared" si="87"/>
        <v>0</v>
      </c>
      <c r="N19" s="204">
        <f t="shared" si="87"/>
        <v>20</v>
      </c>
      <c r="O19" s="204">
        <f t="shared" si="87"/>
        <v>2.6666666666666665</v>
      </c>
      <c r="P19" s="204">
        <f t="shared" si="87"/>
        <v>0</v>
      </c>
      <c r="Q19" s="204">
        <f t="shared" si="87"/>
        <v>0</v>
      </c>
      <c r="R19" s="204">
        <f t="shared" si="87"/>
        <v>0</v>
      </c>
      <c r="S19" s="204">
        <f t="shared" si="87"/>
        <v>0</v>
      </c>
      <c r="T19" s="204">
        <f t="shared" si="87"/>
        <v>30</v>
      </c>
      <c r="U19" s="204">
        <f t="shared" si="87"/>
        <v>3</v>
      </c>
      <c r="V19" s="204">
        <f t="shared" si="87"/>
        <v>4</v>
      </c>
      <c r="W19" s="204">
        <f t="shared" si="87"/>
        <v>20</v>
      </c>
      <c r="X19" s="204">
        <f t="shared" si="87"/>
        <v>1.75</v>
      </c>
      <c r="Y19" s="204">
        <f t="shared" si="87"/>
        <v>0</v>
      </c>
      <c r="Z19" s="204">
        <f t="shared" si="87"/>
        <v>100</v>
      </c>
      <c r="AA19" s="204">
        <f t="shared" si="87"/>
        <v>9.6969696969696955</v>
      </c>
      <c r="AB19" s="204">
        <f t="shared" si="87"/>
        <v>10</v>
      </c>
      <c r="AC19" s="204">
        <f t="shared" si="87"/>
        <v>10</v>
      </c>
      <c r="AD19" s="204">
        <f t="shared" si="87"/>
        <v>0.967741935483871</v>
      </c>
      <c r="AE19" s="204">
        <f t="shared" si="87"/>
        <v>0</v>
      </c>
      <c r="AF19" s="204">
        <f t="shared" si="87"/>
        <v>40</v>
      </c>
      <c r="AG19" s="204">
        <f t="shared" si="87"/>
        <v>2.6666666666666665</v>
      </c>
      <c r="AH19" s="204">
        <f t="shared" si="87"/>
        <v>0</v>
      </c>
      <c r="AI19" s="204">
        <f t="shared" si="87"/>
        <v>130</v>
      </c>
      <c r="AJ19" s="204">
        <f t="shared" si="87"/>
        <v>5.8646616541353378</v>
      </c>
      <c r="AK19" s="204">
        <f t="shared" si="87"/>
        <v>4</v>
      </c>
      <c r="AL19" s="204">
        <f t="shared" si="87"/>
        <v>120</v>
      </c>
      <c r="AM19" s="204">
        <f t="shared" si="87"/>
        <v>5.7971014492753623</v>
      </c>
      <c r="AN19" s="204">
        <f t="shared" si="87"/>
        <v>4</v>
      </c>
      <c r="AO19" s="204">
        <f t="shared" si="87"/>
        <v>0</v>
      </c>
      <c r="AP19" s="204">
        <f t="shared" si="87"/>
        <v>0</v>
      </c>
      <c r="AQ19" s="204">
        <f t="shared" si="87"/>
        <v>0</v>
      </c>
    </row>
    <row r="20" spans="1:47" s="57" customFormat="1" ht="17.25" customHeight="1">
      <c r="A20" s="198" t="s">
        <v>143</v>
      </c>
      <c r="B20" s="199">
        <f>_xlfn.XLOOKUP(A20,'2.0SASA'!$A:$A,'2.0SASA'!$C:$C,"",0)</f>
        <v>0</v>
      </c>
      <c r="C20" s="200">
        <f t="shared" ref="C20:C22" si="88">B20*C$50/B$50</f>
        <v>0</v>
      </c>
      <c r="D20" s="201">
        <f t="shared" ref="D20:D22" si="89">IF(C20&gt;4,ROUND(C20/2,0)*2,IF(C20&gt;2.2,4,0))</f>
        <v>0</v>
      </c>
      <c r="E20" s="199">
        <f>_xlfn.XLOOKUP(A20,'2.0SASA'!$A:$A,'2.0SASA'!$B:$B,"",0)</f>
        <v>110</v>
      </c>
      <c r="F20" s="200">
        <f t="shared" ref="F20:F22" si="90">E20*F$50/E$50</f>
        <v>11</v>
      </c>
      <c r="G20" s="209">
        <v>10</v>
      </c>
      <c r="H20" s="199">
        <f>_xlfn.XLOOKUP(A20,'2.0SASA'!$A:$A,'2.0SASA'!$J:$J,"",0)</f>
        <v>0</v>
      </c>
      <c r="I20" s="200">
        <f t="shared" ref="I20:I22" si="91">H20*I$50/H$50</f>
        <v>0</v>
      </c>
      <c r="J20" s="201">
        <f t="shared" ref="J20:J22" si="92">IF(I20&gt;4,ROUND(I20/2,0)*2,IF(I20&gt;2,4,0))</f>
        <v>0</v>
      </c>
      <c r="K20" s="199">
        <f>_xlfn.XLOOKUP(A20,'2.0SASA'!$A:$A,'2.0SASA'!$K:$K,"",0)</f>
        <v>0</v>
      </c>
      <c r="L20" s="200">
        <f t="shared" ref="L20:L22" si="93">K20*L$50/K$50</f>
        <v>0</v>
      </c>
      <c r="M20" s="201">
        <f t="shared" ref="M20:M22" si="94">IF(L20&gt;4,ROUND(L20/2,0)*2,IF(L20&gt;2.2,4,0))</f>
        <v>0</v>
      </c>
      <c r="N20" s="199">
        <f>_xlfn.XLOOKUP(A20,'2.0SASA'!$A:$A,'2.0SASA'!$G:$G,"",0)</f>
        <v>30</v>
      </c>
      <c r="O20" s="200">
        <f t="shared" ref="O20:O22" si="95">N20*O$50/N$50</f>
        <v>4</v>
      </c>
      <c r="P20" s="201">
        <f t="shared" ref="P20:P22" si="96">IF(O20&gt;4,ROUND(O20/2,0)*2,IF(O20&gt;2.2,4,0))</f>
        <v>4</v>
      </c>
      <c r="Q20" s="199">
        <f>_xlfn.XLOOKUP(A20,'2.0SASA'!$A:$A,'2.0SASA'!$I:$I,"",0)</f>
        <v>10</v>
      </c>
      <c r="R20" s="200">
        <f t="shared" ref="R20:R22" si="97">Q20*R$50/Q$50</f>
        <v>1.1428571428571428</v>
      </c>
      <c r="S20" s="201">
        <f t="shared" ref="S20:S22" si="98">IF(R20&gt;4,ROUND(R20/2,0)*2,IF(R20&gt;2.2,4,0))</f>
        <v>0</v>
      </c>
      <c r="T20" s="199">
        <f>_xlfn.XLOOKUP(A20,'2.0SASA'!$A:$A,'2.0SASA'!$F:$F,"",0)</f>
        <v>0</v>
      </c>
      <c r="U20" s="200">
        <f t="shared" ref="U20:U22" si="99">T20*U$50/T$50</f>
        <v>0</v>
      </c>
      <c r="V20" s="201">
        <f t="shared" ref="V20:V22" si="100">IF(U20&gt;4,ROUND(U20/2,0)*2,IF(U20&gt;2.2,4,0))</f>
        <v>0</v>
      </c>
      <c r="W20" s="199">
        <f>_xlfn.XLOOKUP(A20,'2.0SASA'!$A:$A,'2.0SASA'!$H:$H,"",0)</f>
        <v>10</v>
      </c>
      <c r="X20" s="200">
        <f t="shared" ref="X20:X22" si="101">W20*X$50/W$50</f>
        <v>0.875</v>
      </c>
      <c r="Y20" s="201">
        <f t="shared" ref="Y20:Y22" si="102">IF(X20&gt;4,ROUND(X20/2,0)*2,IF(X20&gt;2.2,4,0))</f>
        <v>0</v>
      </c>
      <c r="Z20" s="199">
        <f>_xlfn.XLOOKUP(A20,'2.0SASA'!$A:$A,'2.0SASA'!$D:$D,"",0)</f>
        <v>110</v>
      </c>
      <c r="AA20" s="200">
        <f t="shared" ref="AA20:AA22" si="103">Z20*AA$50/Z$50</f>
        <v>10.666666666666666</v>
      </c>
      <c r="AB20" s="201">
        <f t="shared" ref="AB20:AB22" si="104">IF(AA20&gt;4,ROUND(AA20/2,0)*2,IF(AA20&gt;2.2,4,0))</f>
        <v>10</v>
      </c>
      <c r="AC20" s="199">
        <f>_xlfn.XLOOKUP(A20,'2.0SASA'!$A:$A,'2.0SASA'!$E:$E,"",0)</f>
        <v>110</v>
      </c>
      <c r="AD20" s="200">
        <f t="shared" ref="AD20:AD22" si="105">AC20*AD$50/AC$50</f>
        <v>10.64516129032258</v>
      </c>
      <c r="AE20" s="201">
        <f t="shared" ref="AE20:AE22" si="106">IF(AD20&gt;4,ROUND(AD20/2,0)*2,IF(AD20&gt;2.2,4,0))</f>
        <v>10</v>
      </c>
      <c r="AF20" s="199">
        <f>_xlfn.XLOOKUP(A20,'2.0SASA'!$A:$A,'2.0SASA'!$V:$V,"",0)</f>
        <v>0</v>
      </c>
      <c r="AG20" s="200">
        <f t="shared" ref="AG20:AG22" si="107">AF20*AG$50/AF$50</f>
        <v>0</v>
      </c>
      <c r="AH20" s="201">
        <f t="shared" ref="AH20:AH22" si="108">IF(AG20&gt;4,ROUND(AG20/2,0)*2,IF(AG20&gt;2.2,4,0))</f>
        <v>0</v>
      </c>
      <c r="AI20" s="199">
        <f>_xlfn.XLOOKUP(A20,'2.0SASA'!$A:$A,'2.0SASA'!$U:$U,"",0)</f>
        <v>110</v>
      </c>
      <c r="AJ20" s="200">
        <f t="shared" ref="AJ20:AJ22" si="109">AI20*AJ$50/AI$50</f>
        <v>4.9624060150375939</v>
      </c>
      <c r="AK20" s="201">
        <f t="shared" ref="AK20:AK22" si="110">IF(AJ20&gt;4,ROUND(AJ20/2,0)*2,IF(AJ20&gt;2,4,0))</f>
        <v>4</v>
      </c>
      <c r="AL20" s="199">
        <f>_xlfn.XLOOKUP(A20,'2.0SASA'!$A:$A,'2.0SASA'!$Q:$Q,"",0)</f>
        <v>110</v>
      </c>
      <c r="AM20" s="200">
        <f t="shared" ref="AM20:AM22" si="111">AL20*AM$50/AL$50</f>
        <v>5.3140096618357484</v>
      </c>
      <c r="AN20" s="201">
        <f t="shared" ref="AN20:AN22" si="112">IF(AM20&gt;4,ROUND(AM20/2,0)*2,IF(AM20&gt;2.2,4,0))</f>
        <v>6</v>
      </c>
      <c r="AO20" s="199">
        <f>_xlfn.XLOOKUP(A20,'2.0SASA'!$A:$A,'2.0SASA'!$AD:$AD,"",0)</f>
        <v>40</v>
      </c>
      <c r="AP20" s="200">
        <f t="shared" ref="AP20:AP22" si="113">AO20*AP$50/AO$50</f>
        <v>2.0779220779220777</v>
      </c>
      <c r="AQ20" s="201">
        <f t="shared" ref="AQ20:AQ22" si="114">IF(AP20&gt;4,ROUND(AP20/2,0)*2,IF(AP20&gt;2.2,4,0))</f>
        <v>0</v>
      </c>
      <c r="AR20" s="62"/>
      <c r="AS20" s="62"/>
      <c r="AU20" s="62"/>
    </row>
    <row r="21" spans="1:47" s="57" customFormat="1" ht="17.25" customHeight="1">
      <c r="A21" s="198" t="s">
        <v>154</v>
      </c>
      <c r="B21" s="199">
        <f>_xlfn.XLOOKUP(A21,'2.0SASA'!$A:$A,'2.0SASA'!$C:$C,"",0)</f>
        <v>0</v>
      </c>
      <c r="C21" s="200">
        <f t="shared" si="88"/>
        <v>0</v>
      </c>
      <c r="D21" s="201">
        <f t="shared" si="89"/>
        <v>0</v>
      </c>
      <c r="E21" s="199">
        <f>_xlfn.XLOOKUP(A21,'2.0SASA'!$A:$A,'2.0SASA'!$B:$B,"",0)</f>
        <v>80</v>
      </c>
      <c r="F21" s="200">
        <f t="shared" si="90"/>
        <v>8</v>
      </c>
      <c r="G21" s="201">
        <f t="shared" ref="G21:G22" si="115">IF(F21&gt;4,ROUND(F21/2,0)*2,IF(F21&gt;2.2,4,0))</f>
        <v>8</v>
      </c>
      <c r="H21" s="199">
        <f>_xlfn.XLOOKUP(A21,'2.0SASA'!$A:$A,'2.0SASA'!$J:$J,"",0)</f>
        <v>0</v>
      </c>
      <c r="I21" s="200">
        <f t="shared" si="91"/>
        <v>0</v>
      </c>
      <c r="J21" s="201">
        <f t="shared" si="92"/>
        <v>0</v>
      </c>
      <c r="K21" s="199">
        <f>_xlfn.XLOOKUP(A21,'2.0SASA'!$A:$A,'2.0SASA'!$K:$K,"",0)</f>
        <v>0</v>
      </c>
      <c r="L21" s="200">
        <f t="shared" si="93"/>
        <v>0</v>
      </c>
      <c r="M21" s="201">
        <f t="shared" si="94"/>
        <v>0</v>
      </c>
      <c r="N21" s="199">
        <f>_xlfn.XLOOKUP(A21,'2.0SASA'!$A:$A,'2.0SASA'!$G:$G,"",0)</f>
        <v>20</v>
      </c>
      <c r="O21" s="200">
        <f t="shared" si="95"/>
        <v>2.6666666666666665</v>
      </c>
      <c r="P21" s="201">
        <f t="shared" si="96"/>
        <v>4</v>
      </c>
      <c r="Q21" s="199">
        <f>_xlfn.XLOOKUP(A21,'2.0SASA'!$A:$A,'2.0SASA'!$I:$I,"",0)</f>
        <v>70</v>
      </c>
      <c r="R21" s="200">
        <f t="shared" si="97"/>
        <v>8</v>
      </c>
      <c r="S21" s="201">
        <f t="shared" si="98"/>
        <v>8</v>
      </c>
      <c r="T21" s="199">
        <f>_xlfn.XLOOKUP(A21,'2.0SASA'!$A:$A,'2.0SASA'!$F:$F,"",0)</f>
        <v>0</v>
      </c>
      <c r="U21" s="200">
        <f t="shared" si="99"/>
        <v>0</v>
      </c>
      <c r="V21" s="201">
        <f t="shared" si="100"/>
        <v>0</v>
      </c>
      <c r="W21" s="199">
        <f>_xlfn.XLOOKUP(A21,'2.0SASA'!$A:$A,'2.0SASA'!$H:$H,"",0)</f>
        <v>0</v>
      </c>
      <c r="X21" s="200">
        <f t="shared" si="101"/>
        <v>0</v>
      </c>
      <c r="Y21" s="201">
        <f t="shared" si="102"/>
        <v>0</v>
      </c>
      <c r="Z21" s="199">
        <f>_xlfn.XLOOKUP(A21,'2.0SASA'!$A:$A,'2.0SASA'!$D:$D,"",0)</f>
        <v>100</v>
      </c>
      <c r="AA21" s="200">
        <f t="shared" si="103"/>
        <v>9.6969696969696972</v>
      </c>
      <c r="AB21" s="201">
        <f t="shared" si="104"/>
        <v>10</v>
      </c>
      <c r="AC21" s="199">
        <f>_xlfn.XLOOKUP(A21,'2.0SASA'!$A:$A,'2.0SASA'!$E:$E,"",0)</f>
        <v>80</v>
      </c>
      <c r="AD21" s="200">
        <f t="shared" si="105"/>
        <v>7.741935483870968</v>
      </c>
      <c r="AE21" s="201">
        <f t="shared" si="106"/>
        <v>8</v>
      </c>
      <c r="AF21" s="199">
        <f>_xlfn.XLOOKUP(A21,'2.0SASA'!$A:$A,'2.0SASA'!$V:$V,"",0)</f>
        <v>0</v>
      </c>
      <c r="AG21" s="200">
        <f t="shared" si="107"/>
        <v>0</v>
      </c>
      <c r="AH21" s="201">
        <f t="shared" si="108"/>
        <v>0</v>
      </c>
      <c r="AI21" s="199">
        <f>_xlfn.XLOOKUP(A21,'2.0SASA'!$A:$A,'2.0SASA'!$U:$U,"",0)</f>
        <v>100</v>
      </c>
      <c r="AJ21" s="200">
        <f t="shared" si="109"/>
        <v>4.511278195488722</v>
      </c>
      <c r="AK21" s="201">
        <f t="shared" si="110"/>
        <v>4</v>
      </c>
      <c r="AL21" s="199">
        <f>_xlfn.XLOOKUP(A21,'2.0SASA'!$A:$A,'2.0SASA'!$Q:$Q,"",0)</f>
        <v>100</v>
      </c>
      <c r="AM21" s="200">
        <f t="shared" si="111"/>
        <v>4.8309178743961354</v>
      </c>
      <c r="AN21" s="201">
        <f t="shared" si="112"/>
        <v>4</v>
      </c>
      <c r="AO21" s="199">
        <f>_xlfn.XLOOKUP(A21,'2.0SASA'!$A:$A,'2.0SASA'!$AD:$AD,"",0)</f>
        <v>30</v>
      </c>
      <c r="AP21" s="200">
        <f t="shared" si="113"/>
        <v>1.5584415584415585</v>
      </c>
      <c r="AQ21" s="201">
        <f t="shared" si="114"/>
        <v>0</v>
      </c>
      <c r="AR21" s="62"/>
      <c r="AS21" s="62"/>
      <c r="AU21" s="62"/>
    </row>
    <row r="22" spans="1:47" s="57" customFormat="1" ht="17.25" customHeight="1">
      <c r="A22" s="198" t="s">
        <v>164</v>
      </c>
      <c r="B22" s="199">
        <f>_xlfn.XLOOKUP(A22,'2.0SASA'!$A:$A,'2.0SASA'!$C:$C,"",0)</f>
        <v>0</v>
      </c>
      <c r="C22" s="200">
        <f t="shared" si="88"/>
        <v>0</v>
      </c>
      <c r="D22" s="201">
        <f t="shared" si="89"/>
        <v>0</v>
      </c>
      <c r="E22" s="199">
        <f>_xlfn.XLOOKUP(A22,'2.0SASA'!$A:$A,'2.0SASA'!$B:$B,"",0)</f>
        <v>30</v>
      </c>
      <c r="F22" s="200">
        <f t="shared" si="90"/>
        <v>3</v>
      </c>
      <c r="G22" s="201">
        <f t="shared" si="115"/>
        <v>4</v>
      </c>
      <c r="H22" s="199">
        <f>_xlfn.XLOOKUP(A22,'2.0SASA'!$A:$A,'2.0SASA'!$J:$J,"",0)</f>
        <v>0</v>
      </c>
      <c r="I22" s="200">
        <f t="shared" si="91"/>
        <v>0</v>
      </c>
      <c r="J22" s="201">
        <f t="shared" si="92"/>
        <v>0</v>
      </c>
      <c r="K22" s="199">
        <f>_xlfn.XLOOKUP(A22,'2.0SASA'!$A:$A,'2.0SASA'!$K:$K,"",0)</f>
        <v>0</v>
      </c>
      <c r="L22" s="200">
        <f t="shared" si="93"/>
        <v>0</v>
      </c>
      <c r="M22" s="201">
        <f t="shared" si="94"/>
        <v>0</v>
      </c>
      <c r="N22" s="199">
        <f>_xlfn.XLOOKUP(A22,'2.0SASA'!$A:$A,'2.0SASA'!$G:$G,"",0)</f>
        <v>30</v>
      </c>
      <c r="O22" s="200">
        <f t="shared" si="95"/>
        <v>4</v>
      </c>
      <c r="P22" s="201">
        <f t="shared" si="96"/>
        <v>4</v>
      </c>
      <c r="Q22" s="199">
        <f>_xlfn.XLOOKUP(A22,'2.0SASA'!$A:$A,'2.0SASA'!$I:$I,"",0)</f>
        <v>0</v>
      </c>
      <c r="R22" s="200">
        <f t="shared" si="97"/>
        <v>0</v>
      </c>
      <c r="S22" s="201">
        <f t="shared" si="98"/>
        <v>0</v>
      </c>
      <c r="T22" s="199">
        <f>_xlfn.XLOOKUP(A22,'2.0SASA'!$A:$A,'2.0SASA'!$F:$F,"",0)</f>
        <v>0</v>
      </c>
      <c r="U22" s="200">
        <f t="shared" si="99"/>
        <v>0</v>
      </c>
      <c r="V22" s="201">
        <f t="shared" si="100"/>
        <v>0</v>
      </c>
      <c r="W22" s="199">
        <f>_xlfn.XLOOKUP(A22,'2.0SASA'!$A:$A,'2.0SASA'!$H:$H,"",0)</f>
        <v>0</v>
      </c>
      <c r="X22" s="200">
        <f t="shared" si="101"/>
        <v>0</v>
      </c>
      <c r="Y22" s="201">
        <f t="shared" si="102"/>
        <v>0</v>
      </c>
      <c r="Z22" s="199">
        <f>_xlfn.XLOOKUP(A22,'2.0SASA'!$A:$A,'2.0SASA'!$D:$D,"",0)</f>
        <v>40</v>
      </c>
      <c r="AA22" s="200">
        <f t="shared" si="103"/>
        <v>3.8787878787878789</v>
      </c>
      <c r="AB22" s="201">
        <f t="shared" si="104"/>
        <v>4</v>
      </c>
      <c r="AC22" s="199">
        <f>_xlfn.XLOOKUP(A22,'2.0SASA'!$A:$A,'2.0SASA'!$E:$E,"",0)</f>
        <v>10</v>
      </c>
      <c r="AD22" s="200">
        <f t="shared" si="105"/>
        <v>0.967741935483871</v>
      </c>
      <c r="AE22" s="201">
        <f t="shared" si="106"/>
        <v>0</v>
      </c>
      <c r="AF22" s="199">
        <f>_xlfn.XLOOKUP(A22,'2.0SASA'!$A:$A,'2.0SASA'!$V:$V,"",0)</f>
        <v>0</v>
      </c>
      <c r="AG22" s="200">
        <f t="shared" si="107"/>
        <v>0</v>
      </c>
      <c r="AH22" s="201">
        <f t="shared" si="108"/>
        <v>0</v>
      </c>
      <c r="AI22" s="199">
        <f>_xlfn.XLOOKUP(A22,'2.0SASA'!$A:$A,'2.0SASA'!$U:$U,"",0)</f>
        <v>40</v>
      </c>
      <c r="AJ22" s="200">
        <f t="shared" si="109"/>
        <v>1.8045112781954886</v>
      </c>
      <c r="AK22" s="201">
        <f t="shared" si="110"/>
        <v>0</v>
      </c>
      <c r="AL22" s="199">
        <f>_xlfn.XLOOKUP(A22,'2.0SASA'!$A:$A,'2.0SASA'!$Q:$Q,"",0)</f>
        <v>40</v>
      </c>
      <c r="AM22" s="200">
        <f t="shared" si="111"/>
        <v>1.932367149758454</v>
      </c>
      <c r="AN22" s="201">
        <f t="shared" si="112"/>
        <v>0</v>
      </c>
      <c r="AO22" s="199">
        <f>_xlfn.XLOOKUP(A22,'2.0SASA'!$A:$A,'2.0SASA'!$AD:$AD,"",0)</f>
        <v>0</v>
      </c>
      <c r="AP22" s="200">
        <f t="shared" si="113"/>
        <v>0</v>
      </c>
      <c r="AQ22" s="201">
        <f t="shared" si="114"/>
        <v>0</v>
      </c>
      <c r="AR22" s="62"/>
      <c r="AS22" s="62"/>
      <c r="AU22" s="62"/>
    </row>
    <row r="23" spans="1:47" s="58" customFormat="1" ht="17.25" customHeight="1">
      <c r="A23" s="202" t="s">
        <v>395</v>
      </c>
      <c r="B23" s="204">
        <f>SUM(B20:B22)</f>
        <v>0</v>
      </c>
      <c r="C23" s="204">
        <f t="shared" ref="C23:AQ23" si="116">SUM(C20:C22)</f>
        <v>0</v>
      </c>
      <c r="D23" s="204">
        <f t="shared" si="116"/>
        <v>0</v>
      </c>
      <c r="E23" s="204">
        <f t="shared" si="116"/>
        <v>220</v>
      </c>
      <c r="F23" s="204">
        <f t="shared" si="116"/>
        <v>22</v>
      </c>
      <c r="G23" s="204">
        <f t="shared" si="116"/>
        <v>22</v>
      </c>
      <c r="H23" s="204">
        <f t="shared" si="116"/>
        <v>0</v>
      </c>
      <c r="I23" s="204">
        <f t="shared" si="116"/>
        <v>0</v>
      </c>
      <c r="J23" s="204">
        <f t="shared" si="116"/>
        <v>0</v>
      </c>
      <c r="K23" s="204">
        <f t="shared" si="116"/>
        <v>0</v>
      </c>
      <c r="L23" s="204">
        <f t="shared" si="116"/>
        <v>0</v>
      </c>
      <c r="M23" s="204">
        <f t="shared" si="116"/>
        <v>0</v>
      </c>
      <c r="N23" s="204">
        <f t="shared" si="116"/>
        <v>80</v>
      </c>
      <c r="O23" s="204">
        <f t="shared" si="116"/>
        <v>10.666666666666666</v>
      </c>
      <c r="P23" s="204">
        <f t="shared" si="116"/>
        <v>12</v>
      </c>
      <c r="Q23" s="204">
        <f t="shared" si="116"/>
        <v>80</v>
      </c>
      <c r="R23" s="204">
        <f t="shared" si="116"/>
        <v>9.1428571428571423</v>
      </c>
      <c r="S23" s="204">
        <f t="shared" si="116"/>
        <v>8</v>
      </c>
      <c r="T23" s="204">
        <f t="shared" si="116"/>
        <v>0</v>
      </c>
      <c r="U23" s="204">
        <f t="shared" si="116"/>
        <v>0</v>
      </c>
      <c r="V23" s="204">
        <f t="shared" si="116"/>
        <v>0</v>
      </c>
      <c r="W23" s="204">
        <f t="shared" si="116"/>
        <v>10</v>
      </c>
      <c r="X23" s="204">
        <f t="shared" si="116"/>
        <v>0.875</v>
      </c>
      <c r="Y23" s="204">
        <f t="shared" si="116"/>
        <v>0</v>
      </c>
      <c r="Z23" s="204">
        <f t="shared" si="116"/>
        <v>250</v>
      </c>
      <c r="AA23" s="204">
        <f t="shared" si="116"/>
        <v>24.242424242424242</v>
      </c>
      <c r="AB23" s="204">
        <f t="shared" si="116"/>
        <v>24</v>
      </c>
      <c r="AC23" s="204">
        <f t="shared" si="116"/>
        <v>200</v>
      </c>
      <c r="AD23" s="204">
        <f t="shared" si="116"/>
        <v>19.35483870967742</v>
      </c>
      <c r="AE23" s="204">
        <f t="shared" si="116"/>
        <v>18</v>
      </c>
      <c r="AF23" s="204">
        <f t="shared" si="116"/>
        <v>0</v>
      </c>
      <c r="AG23" s="204">
        <f t="shared" si="116"/>
        <v>0</v>
      </c>
      <c r="AH23" s="204">
        <f t="shared" si="116"/>
        <v>0</v>
      </c>
      <c r="AI23" s="204">
        <f t="shared" si="116"/>
        <v>250</v>
      </c>
      <c r="AJ23" s="204">
        <f t="shared" si="116"/>
        <v>11.278195488721803</v>
      </c>
      <c r="AK23" s="204">
        <f t="shared" si="116"/>
        <v>8</v>
      </c>
      <c r="AL23" s="204">
        <f t="shared" si="116"/>
        <v>250</v>
      </c>
      <c r="AM23" s="204">
        <f t="shared" si="116"/>
        <v>12.077294685990337</v>
      </c>
      <c r="AN23" s="204">
        <f t="shared" si="116"/>
        <v>10</v>
      </c>
      <c r="AO23" s="204">
        <f t="shared" si="116"/>
        <v>70</v>
      </c>
      <c r="AP23" s="204">
        <f t="shared" si="116"/>
        <v>3.6363636363636362</v>
      </c>
      <c r="AQ23" s="204">
        <f t="shared" si="116"/>
        <v>0</v>
      </c>
    </row>
    <row r="24" spans="1:47" s="59" customFormat="1" ht="17.25" customHeight="1">
      <c r="A24" s="205" t="s">
        <v>396</v>
      </c>
      <c r="B24" s="206">
        <f>SUM(B7,B10,B15,B19,B23)</f>
        <v>0</v>
      </c>
      <c r="C24" s="206">
        <f t="shared" ref="C24:AQ24" si="117">SUM(C7,C10,C15,C19,C23)</f>
        <v>0</v>
      </c>
      <c r="D24" s="206">
        <f t="shared" si="117"/>
        <v>0</v>
      </c>
      <c r="E24" s="206">
        <f t="shared" si="117"/>
        <v>850</v>
      </c>
      <c r="F24" s="206">
        <f t="shared" si="117"/>
        <v>85</v>
      </c>
      <c r="G24" s="206">
        <f t="shared" si="117"/>
        <v>88</v>
      </c>
      <c r="H24" s="206">
        <f t="shared" si="117"/>
        <v>92</v>
      </c>
      <c r="I24" s="206">
        <f t="shared" si="117"/>
        <v>8.4403669724770651</v>
      </c>
      <c r="J24" s="206">
        <f t="shared" si="117"/>
        <v>8</v>
      </c>
      <c r="K24" s="206">
        <f t="shared" si="117"/>
        <v>10</v>
      </c>
      <c r="L24" s="206">
        <f t="shared" si="117"/>
        <v>1.0256410256410255</v>
      </c>
      <c r="M24" s="206">
        <f t="shared" si="117"/>
        <v>0</v>
      </c>
      <c r="N24" s="206">
        <f t="shared" si="117"/>
        <v>280</v>
      </c>
      <c r="O24" s="206">
        <f t="shared" si="117"/>
        <v>37.333333333333336</v>
      </c>
      <c r="P24" s="206">
        <f t="shared" si="117"/>
        <v>36</v>
      </c>
      <c r="Q24" s="206">
        <f t="shared" si="117"/>
        <v>150</v>
      </c>
      <c r="R24" s="206">
        <f t="shared" si="117"/>
        <v>17.142857142857142</v>
      </c>
      <c r="S24" s="206">
        <f t="shared" si="117"/>
        <v>16</v>
      </c>
      <c r="T24" s="206">
        <f t="shared" si="117"/>
        <v>340</v>
      </c>
      <c r="U24" s="206">
        <f t="shared" si="117"/>
        <v>34</v>
      </c>
      <c r="V24" s="206">
        <f t="shared" si="117"/>
        <v>36</v>
      </c>
      <c r="W24" s="206">
        <f t="shared" si="117"/>
        <v>160</v>
      </c>
      <c r="X24" s="206">
        <f t="shared" si="117"/>
        <v>14</v>
      </c>
      <c r="Y24" s="206">
        <f t="shared" si="117"/>
        <v>6</v>
      </c>
      <c r="Z24" s="206">
        <f t="shared" si="117"/>
        <v>860</v>
      </c>
      <c r="AA24" s="206">
        <f t="shared" si="117"/>
        <v>83.393939393939391</v>
      </c>
      <c r="AB24" s="206">
        <f t="shared" si="117"/>
        <v>82</v>
      </c>
      <c r="AC24" s="206">
        <f t="shared" si="117"/>
        <v>380</v>
      </c>
      <c r="AD24" s="206">
        <f t="shared" si="117"/>
        <v>36.774193548387103</v>
      </c>
      <c r="AE24" s="206">
        <f t="shared" si="117"/>
        <v>34</v>
      </c>
      <c r="AF24" s="206">
        <f t="shared" si="117"/>
        <v>260</v>
      </c>
      <c r="AG24" s="206">
        <f t="shared" si="117"/>
        <v>17.333333333333332</v>
      </c>
      <c r="AH24" s="206">
        <f t="shared" si="117"/>
        <v>14</v>
      </c>
      <c r="AI24" s="206">
        <f t="shared" si="117"/>
        <v>850</v>
      </c>
      <c r="AJ24" s="206">
        <f t="shared" si="117"/>
        <v>38.345864661654133</v>
      </c>
      <c r="AK24" s="206">
        <f t="shared" si="117"/>
        <v>36</v>
      </c>
      <c r="AL24" s="206">
        <f t="shared" si="117"/>
        <v>1000</v>
      </c>
      <c r="AM24" s="206">
        <f t="shared" si="117"/>
        <v>48.309178743961354</v>
      </c>
      <c r="AN24" s="206">
        <f t="shared" si="117"/>
        <v>44</v>
      </c>
      <c r="AO24" s="206">
        <f t="shared" si="117"/>
        <v>220</v>
      </c>
      <c r="AP24" s="206">
        <f t="shared" si="117"/>
        <v>11.428571428571429</v>
      </c>
      <c r="AQ24" s="206">
        <f t="shared" si="117"/>
        <v>4</v>
      </c>
    </row>
    <row r="25" spans="1:47" s="57" customFormat="1" ht="17.25" customHeight="1">
      <c r="A25" s="198" t="s">
        <v>19</v>
      </c>
      <c r="B25" s="199">
        <f>_xlfn.XLOOKUP(A25,'2.0SASA'!$A:$A,'2.0SASA'!$C:$C,"",0)</f>
        <v>30</v>
      </c>
      <c r="C25" s="200">
        <f t="shared" ref="C25:C27" si="118">B25*C$50/B$50</f>
        <v>2.7713625866050808</v>
      </c>
      <c r="D25" s="201">
        <f t="shared" ref="D25:D27" si="119">IF(C25&gt;4,ROUND(C25/2,0)*2,IF(C25&gt;2.2,4,0))</f>
        <v>4</v>
      </c>
      <c r="E25" s="199">
        <f>_xlfn.XLOOKUP(A25,'2.0SASA'!$A:$A,'2.0SASA'!$B:$B,"",0)</f>
        <v>120</v>
      </c>
      <c r="F25" s="200">
        <f t="shared" ref="F25:F27" si="120">E25*F$50/E$50</f>
        <v>12</v>
      </c>
      <c r="G25" s="201">
        <f t="shared" ref="G25:G27" si="121">IF(F25&gt;4,ROUND(F25/2,0)*2,IF(F25&gt;2.2,4,0))</f>
        <v>12</v>
      </c>
      <c r="H25" s="199">
        <f>_xlfn.XLOOKUP(A25,'2.0SASA'!$A:$A,'2.0SASA'!$J:$J,"",0)</f>
        <v>0</v>
      </c>
      <c r="I25" s="200">
        <f t="shared" ref="I25:I27" si="122">H25*I$50/H$50</f>
        <v>0</v>
      </c>
      <c r="J25" s="201">
        <f t="shared" ref="J25:J27" si="123">IF(I25&gt;4,ROUND(I25/2,0)*2,IF(I25&gt;2,4,0))</f>
        <v>0</v>
      </c>
      <c r="K25" s="199">
        <f>_xlfn.XLOOKUP(A25,'2.0SASA'!$A:$A,'2.0SASA'!$K:$K,"",0)</f>
        <v>0</v>
      </c>
      <c r="L25" s="200">
        <f t="shared" ref="L25:L27" si="124">K25*L$50/K$50</f>
        <v>0</v>
      </c>
      <c r="M25" s="201">
        <f t="shared" ref="M25:M27" si="125">IF(L25&gt;4,ROUND(L25/2,0)*2,IF(L25&gt;2.2,4,0))</f>
        <v>0</v>
      </c>
      <c r="N25" s="199">
        <f>_xlfn.XLOOKUP(A25,'2.0SASA'!$A:$A,'2.0SASA'!$G:$G,"",0)</f>
        <v>0</v>
      </c>
      <c r="O25" s="200">
        <f t="shared" ref="O25:O27" si="126">N25*O$50/N$50</f>
        <v>0</v>
      </c>
      <c r="P25" s="201">
        <f t="shared" ref="P25:P27" si="127">IF(O25&gt;4,ROUND(O25/2,0)*2,IF(O25&gt;2.2,4,0))</f>
        <v>0</v>
      </c>
      <c r="Q25" s="199">
        <f>_xlfn.XLOOKUP(A25,'2.0SASA'!$A:$A,'2.0SASA'!$I:$I,"",0)</f>
        <v>80</v>
      </c>
      <c r="R25" s="200">
        <f t="shared" ref="R25:R27" si="128">Q25*R$50/Q$50</f>
        <v>9.1428571428571423</v>
      </c>
      <c r="S25" s="201">
        <f t="shared" ref="S25:S27" si="129">IF(R25&gt;4,ROUND(R25/2,0)*2,IF(R25&gt;2.2,4,0))</f>
        <v>10</v>
      </c>
      <c r="T25" s="199">
        <f>_xlfn.XLOOKUP(A25,'2.0SASA'!$A:$A,'2.0SASA'!$F:$F,"",0)</f>
        <v>140</v>
      </c>
      <c r="U25" s="200">
        <f t="shared" ref="U25:U27" si="130">T25*U$50/T$50</f>
        <v>14</v>
      </c>
      <c r="V25" s="201">
        <f t="shared" ref="V25:V27" si="131">IF(U25&gt;4,ROUND(U25/2,0)*2,IF(U25&gt;2.2,4,0))</f>
        <v>14</v>
      </c>
      <c r="W25" s="199">
        <f>_xlfn.XLOOKUP(A25,'2.0SASA'!$A:$A,'2.0SASA'!$H:$H,"",0)</f>
        <v>0</v>
      </c>
      <c r="X25" s="200">
        <f t="shared" ref="X25:X27" si="132">W25*X$50/W$50</f>
        <v>0</v>
      </c>
      <c r="Y25" s="201">
        <f t="shared" ref="Y25:Y27" si="133">IF(X25&gt;4,ROUND(X25/2,0)*2,IF(X25&gt;2.2,4,0))</f>
        <v>0</v>
      </c>
      <c r="Z25" s="199">
        <f>_xlfn.XLOOKUP(A25,'2.0SASA'!$A:$A,'2.0SASA'!$D:$D,"",0)</f>
        <v>60</v>
      </c>
      <c r="AA25" s="200">
        <f t="shared" ref="AA25:AA27" si="134">Z25*AA$50/Z$50</f>
        <v>5.8181818181818183</v>
      </c>
      <c r="AB25" s="201">
        <f t="shared" ref="AB25:AB27" si="135">IF(AA25&gt;4,ROUND(AA25/2,0)*2,IF(AA25&gt;2.2,4,0))</f>
        <v>6</v>
      </c>
      <c r="AC25" s="199">
        <f>_xlfn.XLOOKUP(A25,'2.0SASA'!$A:$A,'2.0SASA'!$E:$E,"",0)</f>
        <v>0</v>
      </c>
      <c r="AD25" s="200">
        <f t="shared" ref="AD25:AD27" si="136">AC25*AD$50/AC$50</f>
        <v>0</v>
      </c>
      <c r="AE25" s="201">
        <f t="shared" ref="AE25:AE27" si="137">IF(AD25&gt;4,ROUND(AD25/2,0)*2,IF(AD25&gt;2.2,4,0))</f>
        <v>0</v>
      </c>
      <c r="AF25" s="199">
        <f>_xlfn.XLOOKUP(A25,'2.0SASA'!$A:$A,'2.0SASA'!$V:$V,"",0)</f>
        <v>120</v>
      </c>
      <c r="AG25" s="200">
        <f t="shared" ref="AG25:AG27" si="138">AF25*AG$50/AF$50</f>
        <v>8</v>
      </c>
      <c r="AH25" s="201">
        <f t="shared" ref="AH25:AH27" si="139">IF(AG25&gt;4,ROUND(AG25/2,0)*2,IF(AG25&gt;2.2,4,0))</f>
        <v>8</v>
      </c>
      <c r="AI25" s="199">
        <f>_xlfn.XLOOKUP(A25,'2.0SASA'!$A:$A,'2.0SASA'!$U:$U,"",0)</f>
        <v>0</v>
      </c>
      <c r="AJ25" s="200">
        <f t="shared" ref="AJ25:AJ27" si="140">AI25*AJ$50/AI$50</f>
        <v>0</v>
      </c>
      <c r="AK25" s="201">
        <f t="shared" ref="AK25:AK27" si="141">IF(AJ25&gt;4,ROUND(AJ25/2,0)*2,IF(AJ25&gt;2,4,0))</f>
        <v>0</v>
      </c>
      <c r="AL25" s="199">
        <f>_xlfn.XLOOKUP(A25,'2.0SASA'!$A:$A,'2.0SASA'!$Q:$Q,"",0)</f>
        <v>140</v>
      </c>
      <c r="AM25" s="200">
        <f t="shared" ref="AM25:AM27" si="142">AL25*AM$50/AL$50</f>
        <v>6.7632850241545892</v>
      </c>
      <c r="AN25" s="201">
        <f t="shared" ref="AN25:AN27" si="143">IF(AM25&gt;4,ROUND(AM25/2,0)*2,IF(AM25&gt;2.2,4,0))</f>
        <v>6</v>
      </c>
      <c r="AO25" s="199">
        <f>_xlfn.XLOOKUP(A25,'2.0SASA'!$A:$A,'2.0SASA'!$AD:$AD,"",0)</f>
        <v>140</v>
      </c>
      <c r="AP25" s="200">
        <f t="shared" ref="AP25:AP27" si="144">AO25*AP$50/AO$50</f>
        <v>7.2727272727272725</v>
      </c>
      <c r="AQ25" s="201">
        <f t="shared" ref="AQ25:AQ27" si="145">IF(AP25&gt;4,ROUND(AP25/2,0)*2,IF(AP25&gt;2.2,4,0))</f>
        <v>8</v>
      </c>
      <c r="AR25" s="62"/>
      <c r="AS25" s="62"/>
      <c r="AU25" s="62"/>
    </row>
    <row r="26" spans="1:47" s="57" customFormat="1" ht="17.25" customHeight="1">
      <c r="A26" s="198" t="s">
        <v>34</v>
      </c>
      <c r="B26" s="199">
        <f>_xlfn.XLOOKUP(A26,'2.0SASA'!$A:$A,'2.0SASA'!$C:$C,"",0)</f>
        <v>0</v>
      </c>
      <c r="C26" s="200">
        <f t="shared" si="118"/>
        <v>0</v>
      </c>
      <c r="D26" s="201">
        <f t="shared" si="119"/>
        <v>0</v>
      </c>
      <c r="E26" s="199">
        <f>_xlfn.XLOOKUP(A26,'2.0SASA'!$A:$A,'2.0SASA'!$B:$B,"",0)</f>
        <v>10</v>
      </c>
      <c r="F26" s="200">
        <f t="shared" si="120"/>
        <v>1</v>
      </c>
      <c r="G26" s="201">
        <f t="shared" si="121"/>
        <v>0</v>
      </c>
      <c r="H26" s="199">
        <f>_xlfn.XLOOKUP(A26,'2.0SASA'!$A:$A,'2.0SASA'!$J:$J,"",0)</f>
        <v>0</v>
      </c>
      <c r="I26" s="200">
        <f t="shared" si="122"/>
        <v>0</v>
      </c>
      <c r="J26" s="201">
        <f t="shared" si="123"/>
        <v>0</v>
      </c>
      <c r="K26" s="199">
        <f>_xlfn.XLOOKUP(A26,'2.0SASA'!$A:$A,'2.0SASA'!$K:$K,"",0)</f>
        <v>0</v>
      </c>
      <c r="L26" s="200">
        <f t="shared" si="124"/>
        <v>0</v>
      </c>
      <c r="M26" s="201">
        <f t="shared" si="125"/>
        <v>0</v>
      </c>
      <c r="N26" s="199">
        <f>_xlfn.XLOOKUP(A26,'2.0SASA'!$A:$A,'2.0SASA'!$G:$G,"",0)</f>
        <v>10</v>
      </c>
      <c r="O26" s="200">
        <f t="shared" si="126"/>
        <v>1.3333333333333333</v>
      </c>
      <c r="P26" s="201">
        <f t="shared" si="127"/>
        <v>0</v>
      </c>
      <c r="Q26" s="199">
        <f>_xlfn.XLOOKUP(A26,'2.0SASA'!$A:$A,'2.0SASA'!$I:$I,"",0)</f>
        <v>40</v>
      </c>
      <c r="R26" s="200">
        <f t="shared" si="128"/>
        <v>4.5714285714285712</v>
      </c>
      <c r="S26" s="201">
        <f t="shared" si="129"/>
        <v>4</v>
      </c>
      <c r="T26" s="199">
        <f>_xlfn.XLOOKUP(A26,'2.0SASA'!$A:$A,'2.0SASA'!$F:$F,"",0)</f>
        <v>90</v>
      </c>
      <c r="U26" s="200">
        <f t="shared" si="130"/>
        <v>9</v>
      </c>
      <c r="V26" s="201">
        <f t="shared" si="131"/>
        <v>10</v>
      </c>
      <c r="W26" s="199">
        <f>_xlfn.XLOOKUP(A26,'2.0SASA'!$A:$A,'2.0SASA'!$H:$H,"",0)</f>
        <v>0</v>
      </c>
      <c r="X26" s="200">
        <f t="shared" si="132"/>
        <v>0</v>
      </c>
      <c r="Y26" s="201">
        <f t="shared" si="133"/>
        <v>0</v>
      </c>
      <c r="Z26" s="199">
        <f>_xlfn.XLOOKUP(A26,'2.0SASA'!$A:$A,'2.0SASA'!$D:$D,"",0)</f>
        <v>70</v>
      </c>
      <c r="AA26" s="200">
        <f t="shared" si="134"/>
        <v>6.7878787878787881</v>
      </c>
      <c r="AB26" s="201">
        <f t="shared" si="135"/>
        <v>6</v>
      </c>
      <c r="AC26" s="199">
        <f>_xlfn.XLOOKUP(A26,'2.0SASA'!$A:$A,'2.0SASA'!$E:$E,"",0)</f>
        <v>20</v>
      </c>
      <c r="AD26" s="200">
        <f t="shared" si="136"/>
        <v>1.935483870967742</v>
      </c>
      <c r="AE26" s="201">
        <f t="shared" si="137"/>
        <v>0</v>
      </c>
      <c r="AF26" s="199">
        <f>_xlfn.XLOOKUP(A26,'2.0SASA'!$A:$A,'2.0SASA'!$V:$V,"",0)</f>
        <v>80</v>
      </c>
      <c r="AG26" s="200">
        <f t="shared" si="138"/>
        <v>5.333333333333333</v>
      </c>
      <c r="AH26" s="201">
        <f t="shared" si="139"/>
        <v>6</v>
      </c>
      <c r="AI26" s="199">
        <f>_xlfn.XLOOKUP(A26,'2.0SASA'!$A:$A,'2.0SASA'!$U:$U,"",0)</f>
        <v>50</v>
      </c>
      <c r="AJ26" s="200">
        <f t="shared" si="140"/>
        <v>2.255639097744361</v>
      </c>
      <c r="AK26" s="201">
        <f t="shared" si="141"/>
        <v>4</v>
      </c>
      <c r="AL26" s="199">
        <f>_xlfn.XLOOKUP(A26,'2.0SASA'!$A:$A,'2.0SASA'!$Q:$Q,"",0)</f>
        <v>90</v>
      </c>
      <c r="AM26" s="200">
        <f t="shared" si="142"/>
        <v>4.3478260869565215</v>
      </c>
      <c r="AN26" s="201">
        <f t="shared" si="143"/>
        <v>4</v>
      </c>
      <c r="AO26" s="199">
        <f>_xlfn.XLOOKUP(A26,'2.0SASA'!$A:$A,'2.0SASA'!$AD:$AD,"",0)</f>
        <v>40</v>
      </c>
      <c r="AP26" s="200">
        <f t="shared" si="144"/>
        <v>2.0779220779220777</v>
      </c>
      <c r="AQ26" s="201">
        <f t="shared" si="145"/>
        <v>0</v>
      </c>
      <c r="AR26" s="62"/>
      <c r="AS26" s="62"/>
      <c r="AU26" s="62"/>
    </row>
    <row r="27" spans="1:47" s="57" customFormat="1" ht="17.25" customHeight="1">
      <c r="A27" s="198" t="s">
        <v>50</v>
      </c>
      <c r="B27" s="199">
        <f>_xlfn.XLOOKUP(A27,'2.0SASA'!$A:$A,'2.0SASA'!$C:$C,"",0)</f>
        <v>0</v>
      </c>
      <c r="C27" s="200">
        <f t="shared" si="118"/>
        <v>0</v>
      </c>
      <c r="D27" s="201">
        <f t="shared" si="119"/>
        <v>0</v>
      </c>
      <c r="E27" s="199">
        <f>_xlfn.XLOOKUP(A27,'2.0SASA'!$A:$A,'2.0SASA'!$B:$B,"",0)</f>
        <v>40</v>
      </c>
      <c r="F27" s="200">
        <f t="shared" si="120"/>
        <v>4</v>
      </c>
      <c r="G27" s="201">
        <f t="shared" si="121"/>
        <v>4</v>
      </c>
      <c r="H27" s="199">
        <f>_xlfn.XLOOKUP(A27,'2.0SASA'!$A:$A,'2.0SASA'!$J:$J,"",0)</f>
        <v>10</v>
      </c>
      <c r="I27" s="200">
        <f t="shared" si="122"/>
        <v>0.91743119266055051</v>
      </c>
      <c r="J27" s="201">
        <f t="shared" si="123"/>
        <v>0</v>
      </c>
      <c r="K27" s="199">
        <f>_xlfn.XLOOKUP(A27,'2.0SASA'!$A:$A,'2.0SASA'!$K:$K,"",0)</f>
        <v>0</v>
      </c>
      <c r="L27" s="200">
        <f t="shared" si="124"/>
        <v>0</v>
      </c>
      <c r="M27" s="201">
        <f t="shared" si="125"/>
        <v>0</v>
      </c>
      <c r="N27" s="199">
        <f>_xlfn.XLOOKUP(A27,'2.0SASA'!$A:$A,'2.0SASA'!$G:$G,"",0)</f>
        <v>10</v>
      </c>
      <c r="O27" s="200">
        <f t="shared" si="126"/>
        <v>1.3333333333333333</v>
      </c>
      <c r="P27" s="201">
        <f t="shared" si="127"/>
        <v>0</v>
      </c>
      <c r="Q27" s="199">
        <f>_xlfn.XLOOKUP(A27,'2.0SASA'!$A:$A,'2.0SASA'!$I:$I,"",0)</f>
        <v>20</v>
      </c>
      <c r="R27" s="200">
        <f t="shared" si="128"/>
        <v>2.2857142857142856</v>
      </c>
      <c r="S27" s="201">
        <f t="shared" si="129"/>
        <v>4</v>
      </c>
      <c r="T27" s="199">
        <f>_xlfn.XLOOKUP(A27,'2.0SASA'!$A:$A,'2.0SASA'!$F:$F,"",0)</f>
        <v>100</v>
      </c>
      <c r="U27" s="200">
        <f t="shared" si="130"/>
        <v>10</v>
      </c>
      <c r="V27" s="201">
        <f t="shared" si="131"/>
        <v>10</v>
      </c>
      <c r="W27" s="199">
        <f>_xlfn.XLOOKUP(A27,'2.0SASA'!$A:$A,'2.0SASA'!$H:$H,"",0)</f>
        <v>0</v>
      </c>
      <c r="X27" s="200">
        <f t="shared" si="132"/>
        <v>0</v>
      </c>
      <c r="Y27" s="201">
        <f t="shared" si="133"/>
        <v>0</v>
      </c>
      <c r="Z27" s="199">
        <f>_xlfn.XLOOKUP(A27,'2.0SASA'!$A:$A,'2.0SASA'!$D:$D,"",0)</f>
        <v>100</v>
      </c>
      <c r="AA27" s="200">
        <f t="shared" si="134"/>
        <v>9.6969696969696972</v>
      </c>
      <c r="AB27" s="201">
        <f t="shared" si="135"/>
        <v>10</v>
      </c>
      <c r="AC27" s="199">
        <f>_xlfn.XLOOKUP(A27,'2.0SASA'!$A:$A,'2.0SASA'!$E:$E,"",0)</f>
        <v>0</v>
      </c>
      <c r="AD27" s="200">
        <f t="shared" si="136"/>
        <v>0</v>
      </c>
      <c r="AE27" s="201">
        <f t="shared" si="137"/>
        <v>0</v>
      </c>
      <c r="AF27" s="199">
        <f>_xlfn.XLOOKUP(A27,'2.0SASA'!$A:$A,'2.0SASA'!$V:$V,"",0)</f>
        <v>90</v>
      </c>
      <c r="AG27" s="200">
        <f t="shared" si="138"/>
        <v>6</v>
      </c>
      <c r="AH27" s="201">
        <f t="shared" si="139"/>
        <v>6</v>
      </c>
      <c r="AI27" s="199">
        <f>_xlfn.XLOOKUP(A27,'2.0SASA'!$A:$A,'2.0SASA'!$U:$U,"",0)</f>
        <v>10</v>
      </c>
      <c r="AJ27" s="200">
        <f t="shared" si="140"/>
        <v>0.45112781954887216</v>
      </c>
      <c r="AK27" s="201">
        <f t="shared" si="141"/>
        <v>0</v>
      </c>
      <c r="AL27" s="199">
        <f>_xlfn.XLOOKUP(A27,'2.0SASA'!$A:$A,'2.0SASA'!$Q:$Q,"",0)</f>
        <v>100</v>
      </c>
      <c r="AM27" s="200">
        <f t="shared" si="142"/>
        <v>4.8309178743961354</v>
      </c>
      <c r="AN27" s="201">
        <f t="shared" si="143"/>
        <v>4</v>
      </c>
      <c r="AO27" s="199">
        <f>_xlfn.XLOOKUP(A27,'2.0SASA'!$A:$A,'2.0SASA'!$AD:$AD,"",0)</f>
        <v>70</v>
      </c>
      <c r="AP27" s="200">
        <f t="shared" si="144"/>
        <v>3.6363636363636362</v>
      </c>
      <c r="AQ27" s="201">
        <f t="shared" si="145"/>
        <v>4</v>
      </c>
      <c r="AR27" s="62"/>
      <c r="AS27" s="62"/>
      <c r="AU27" s="62"/>
    </row>
    <row r="28" spans="1:47" s="58" customFormat="1" ht="17.25" customHeight="1">
      <c r="A28" s="202" t="s">
        <v>397</v>
      </c>
      <c r="B28" s="204">
        <f>SUM(B25:B27)</f>
        <v>30</v>
      </c>
      <c r="C28" s="204">
        <f t="shared" ref="C28:AQ28" si="146">SUM(C25:C27)</f>
        <v>2.7713625866050808</v>
      </c>
      <c r="D28" s="204">
        <f t="shared" si="146"/>
        <v>4</v>
      </c>
      <c r="E28" s="204">
        <f t="shared" si="146"/>
        <v>170</v>
      </c>
      <c r="F28" s="204">
        <f t="shared" si="146"/>
        <v>17</v>
      </c>
      <c r="G28" s="204">
        <f t="shared" si="146"/>
        <v>16</v>
      </c>
      <c r="H28" s="204">
        <f t="shared" si="146"/>
        <v>10</v>
      </c>
      <c r="I28" s="204">
        <f t="shared" si="146"/>
        <v>0.91743119266055051</v>
      </c>
      <c r="J28" s="204">
        <f t="shared" si="146"/>
        <v>0</v>
      </c>
      <c r="K28" s="204">
        <f t="shared" si="146"/>
        <v>0</v>
      </c>
      <c r="L28" s="204">
        <f t="shared" si="146"/>
        <v>0</v>
      </c>
      <c r="M28" s="204">
        <f t="shared" si="146"/>
        <v>0</v>
      </c>
      <c r="N28" s="204">
        <f t="shared" si="146"/>
        <v>20</v>
      </c>
      <c r="O28" s="204">
        <f t="shared" si="146"/>
        <v>2.6666666666666665</v>
      </c>
      <c r="P28" s="204">
        <f t="shared" si="146"/>
        <v>0</v>
      </c>
      <c r="Q28" s="204">
        <f t="shared" si="146"/>
        <v>140</v>
      </c>
      <c r="R28" s="204">
        <f t="shared" si="146"/>
        <v>16</v>
      </c>
      <c r="S28" s="204">
        <f t="shared" si="146"/>
        <v>18</v>
      </c>
      <c r="T28" s="204">
        <f t="shared" si="146"/>
        <v>330</v>
      </c>
      <c r="U28" s="204">
        <f t="shared" si="146"/>
        <v>33</v>
      </c>
      <c r="V28" s="204">
        <f t="shared" si="146"/>
        <v>34</v>
      </c>
      <c r="W28" s="204">
        <f t="shared" si="146"/>
        <v>0</v>
      </c>
      <c r="X28" s="204">
        <f t="shared" si="146"/>
        <v>0</v>
      </c>
      <c r="Y28" s="204">
        <f t="shared" si="146"/>
        <v>0</v>
      </c>
      <c r="Z28" s="204">
        <f t="shared" si="146"/>
        <v>230</v>
      </c>
      <c r="AA28" s="204">
        <f t="shared" si="146"/>
        <v>22.303030303030305</v>
      </c>
      <c r="AB28" s="204">
        <f t="shared" si="146"/>
        <v>22</v>
      </c>
      <c r="AC28" s="204">
        <f t="shared" si="146"/>
        <v>20</v>
      </c>
      <c r="AD28" s="204">
        <f t="shared" si="146"/>
        <v>1.935483870967742</v>
      </c>
      <c r="AE28" s="204">
        <f t="shared" si="146"/>
        <v>0</v>
      </c>
      <c r="AF28" s="204">
        <f t="shared" si="146"/>
        <v>290</v>
      </c>
      <c r="AG28" s="204">
        <f t="shared" si="146"/>
        <v>19.333333333333332</v>
      </c>
      <c r="AH28" s="204">
        <f t="shared" si="146"/>
        <v>20</v>
      </c>
      <c r="AI28" s="204">
        <f t="shared" si="146"/>
        <v>60</v>
      </c>
      <c r="AJ28" s="204">
        <f t="shared" si="146"/>
        <v>2.7067669172932334</v>
      </c>
      <c r="AK28" s="204">
        <f t="shared" si="146"/>
        <v>4</v>
      </c>
      <c r="AL28" s="204">
        <f t="shared" si="146"/>
        <v>330</v>
      </c>
      <c r="AM28" s="204">
        <f t="shared" si="146"/>
        <v>15.942028985507246</v>
      </c>
      <c r="AN28" s="204">
        <f t="shared" si="146"/>
        <v>14</v>
      </c>
      <c r="AO28" s="204">
        <f t="shared" si="146"/>
        <v>250</v>
      </c>
      <c r="AP28" s="204">
        <f t="shared" si="146"/>
        <v>12.987012987012987</v>
      </c>
      <c r="AQ28" s="204">
        <f t="shared" si="146"/>
        <v>12</v>
      </c>
    </row>
    <row r="29" spans="1:47" s="57" customFormat="1" ht="17.25" customHeight="1">
      <c r="A29" s="198" t="s">
        <v>54</v>
      </c>
      <c r="B29" s="199">
        <f>_xlfn.XLOOKUP(A29,'2.0SASA'!$A:$A,'2.0SASA'!$C:$C,"",0)</f>
        <v>40</v>
      </c>
      <c r="C29" s="200">
        <f t="shared" ref="C29:C32" si="147">B29*C$50/B$50</f>
        <v>3.695150115473441</v>
      </c>
      <c r="D29" s="201">
        <f t="shared" ref="D29:D32" si="148">IF(C29&gt;4,ROUND(C29/2,0)*2,IF(C29&gt;2.2,4,0))</f>
        <v>4</v>
      </c>
      <c r="E29" s="199">
        <f>_xlfn.XLOOKUP(A29,'2.0SASA'!$A:$A,'2.0SASA'!$B:$B,"",0)</f>
        <v>60</v>
      </c>
      <c r="F29" s="200">
        <f t="shared" ref="F29:F32" si="149">E29*F$50/E$50</f>
        <v>6</v>
      </c>
      <c r="G29" s="201">
        <f t="shared" ref="G29:G32" si="150">IF(F29&gt;4,ROUND(F29/2,0)*2,IF(F29&gt;2.2,4,0))</f>
        <v>6</v>
      </c>
      <c r="H29" s="199">
        <f>_xlfn.XLOOKUP(A29,'2.0SASA'!$A:$A,'2.0SASA'!$J:$J,"",0)</f>
        <v>10</v>
      </c>
      <c r="I29" s="200">
        <f t="shared" ref="I29:I32" si="151">H29*I$50/H$50</f>
        <v>0.91743119266055051</v>
      </c>
      <c r="J29" s="201">
        <f t="shared" ref="J29:J32" si="152">IF(I29&gt;4,ROUND(I29/2,0)*2,IF(I29&gt;2,4,0))</f>
        <v>0</v>
      </c>
      <c r="K29" s="199">
        <f>_xlfn.XLOOKUP(A29,'2.0SASA'!$A:$A,'2.0SASA'!$K:$K,"",0)</f>
        <v>10</v>
      </c>
      <c r="L29" s="200">
        <f t="shared" ref="L29:L32" si="153">K29*L$50/K$50</f>
        <v>1.0256410256410255</v>
      </c>
      <c r="M29" s="201">
        <f t="shared" ref="M29:M32" si="154">IF(L29&gt;4,ROUND(L29/2,0)*2,IF(L29&gt;2.2,4,0))</f>
        <v>0</v>
      </c>
      <c r="N29" s="199">
        <f>_xlfn.XLOOKUP(A29,'2.0SASA'!$A:$A,'2.0SASA'!$G:$G,"",0)</f>
        <v>0</v>
      </c>
      <c r="O29" s="200">
        <f t="shared" ref="O29:O32" si="155">N29*O$50/N$50</f>
        <v>0</v>
      </c>
      <c r="P29" s="201">
        <f t="shared" ref="P29:P32" si="156">IF(O29&gt;4,ROUND(O29/2,0)*2,IF(O29&gt;2.2,4,0))</f>
        <v>0</v>
      </c>
      <c r="Q29" s="199">
        <f>_xlfn.XLOOKUP(A29,'2.0SASA'!$A:$A,'2.0SASA'!$I:$I,"",0)</f>
        <v>0</v>
      </c>
      <c r="R29" s="200">
        <f t="shared" ref="R29:R32" si="157">Q29*R$50/Q$50</f>
        <v>0</v>
      </c>
      <c r="S29" s="201">
        <f t="shared" ref="S29:S32" si="158">IF(R29&gt;4,ROUND(R29/2,0)*2,IF(R29&gt;2.2,4,0))</f>
        <v>0</v>
      </c>
      <c r="T29" s="199">
        <f>_xlfn.XLOOKUP(A29,'2.0SASA'!$A:$A,'2.0SASA'!$F:$F,"",0)</f>
        <v>60</v>
      </c>
      <c r="U29" s="200">
        <f t="shared" ref="U29:U32" si="159">T29*U$50/T$50</f>
        <v>6</v>
      </c>
      <c r="V29" s="201">
        <f t="shared" ref="V29:V32" si="160">IF(U29&gt;4,ROUND(U29/2,0)*2,IF(U29&gt;2.2,4,0))</f>
        <v>6</v>
      </c>
      <c r="W29" s="199">
        <f>_xlfn.XLOOKUP(A29,'2.0SASA'!$A:$A,'2.0SASA'!$H:$H,"",0)</f>
        <v>40</v>
      </c>
      <c r="X29" s="200">
        <f t="shared" ref="X29:X32" si="161">W29*X$50/W$50</f>
        <v>3.5</v>
      </c>
      <c r="Y29" s="201">
        <f t="shared" ref="Y29:Y32" si="162">IF(X29&gt;4,ROUND(X29/2,0)*2,IF(X29&gt;2.2,4,0))</f>
        <v>4</v>
      </c>
      <c r="Z29" s="199">
        <f>_xlfn.XLOOKUP(A29,'2.0SASA'!$A:$A,'2.0SASA'!$D:$D,"",0)</f>
        <v>70</v>
      </c>
      <c r="AA29" s="200">
        <f t="shared" ref="AA29:AA32" si="163">Z29*AA$50/Z$50</f>
        <v>6.7878787878787881</v>
      </c>
      <c r="AB29" s="201">
        <f t="shared" ref="AB29:AB32" si="164">IF(AA29&gt;4,ROUND(AA29/2,0)*2,IF(AA29&gt;2.2,4,0))</f>
        <v>6</v>
      </c>
      <c r="AC29" s="199">
        <f>_xlfn.XLOOKUP(A29,'2.0SASA'!$A:$A,'2.0SASA'!$E:$E,"",0)</f>
        <v>0</v>
      </c>
      <c r="AD29" s="200">
        <f t="shared" ref="AD29:AD32" si="165">AC29*AD$50/AC$50</f>
        <v>0</v>
      </c>
      <c r="AE29" s="201">
        <f t="shared" ref="AE29:AE32" si="166">IF(AD29&gt;4,ROUND(AD29/2,0)*2,IF(AD29&gt;2.2,4,0))</f>
        <v>0</v>
      </c>
      <c r="AF29" s="199">
        <f>_xlfn.XLOOKUP(A29,'2.0SASA'!$A:$A,'2.0SASA'!$V:$V,"",0)</f>
        <v>20</v>
      </c>
      <c r="AG29" s="200">
        <f t="shared" ref="AG29:AG32" si="167">AF29*AG$50/AF$50</f>
        <v>1.3333333333333333</v>
      </c>
      <c r="AH29" s="201">
        <f t="shared" ref="AH29:AH32" si="168">IF(AG29&gt;4,ROUND(AG29/2,0)*2,IF(AG29&gt;2.2,4,0))</f>
        <v>0</v>
      </c>
      <c r="AI29" s="199">
        <f>_xlfn.XLOOKUP(A29,'2.0SASA'!$A:$A,'2.0SASA'!$U:$U,"",0)</f>
        <v>50</v>
      </c>
      <c r="AJ29" s="200">
        <f t="shared" ref="AJ29:AJ32" si="169">AI29*AJ$50/AI$50</f>
        <v>2.255639097744361</v>
      </c>
      <c r="AK29" s="201">
        <f t="shared" ref="AK29:AK32" si="170">IF(AJ29&gt;4,ROUND(AJ29/2,0)*2,IF(AJ29&gt;2,4,0))</f>
        <v>4</v>
      </c>
      <c r="AL29" s="199">
        <f>_xlfn.XLOOKUP(A29,'2.0SASA'!$A:$A,'2.0SASA'!$Q:$Q,"",0)</f>
        <v>80</v>
      </c>
      <c r="AM29" s="200">
        <f t="shared" ref="AM29:AM32" si="171">AL29*AM$50/AL$50</f>
        <v>3.8647342995169081</v>
      </c>
      <c r="AN29" s="201">
        <f t="shared" ref="AN29:AN32" si="172">IF(AM29&gt;4,ROUND(AM29/2,0)*2,IF(AM29&gt;2.2,4,0))</f>
        <v>4</v>
      </c>
      <c r="AO29" s="199">
        <f>_xlfn.XLOOKUP(A29,'2.0SASA'!$A:$A,'2.0SASA'!$AD:$AD,"",0)</f>
        <v>20</v>
      </c>
      <c r="AP29" s="200">
        <f t="shared" ref="AP29:AP32" si="173">AO29*AP$50/AO$50</f>
        <v>1.0389610389610389</v>
      </c>
      <c r="AQ29" s="201">
        <f t="shared" ref="AQ29:AQ32" si="174">IF(AP29&gt;4,ROUND(AP29/2,0)*2,IF(AP29&gt;2.2,4,0))</f>
        <v>0</v>
      </c>
      <c r="AR29" s="62"/>
      <c r="AS29" s="62"/>
      <c r="AU29" s="62"/>
    </row>
    <row r="30" spans="1:47" s="57" customFormat="1" ht="17.25" customHeight="1">
      <c r="A30" s="198" t="s">
        <v>63</v>
      </c>
      <c r="B30" s="199">
        <f>_xlfn.XLOOKUP(A30,'2.0SASA'!$A:$A,'2.0SASA'!$C:$C,"",0)</f>
        <v>60</v>
      </c>
      <c r="C30" s="200">
        <f t="shared" si="147"/>
        <v>5.5427251732101617</v>
      </c>
      <c r="D30" s="201">
        <f t="shared" si="148"/>
        <v>6</v>
      </c>
      <c r="E30" s="199">
        <f>_xlfn.XLOOKUP(A30,'2.0SASA'!$A:$A,'2.0SASA'!$B:$B,"",0)</f>
        <v>60</v>
      </c>
      <c r="F30" s="200">
        <f t="shared" si="149"/>
        <v>6</v>
      </c>
      <c r="G30" s="201">
        <f t="shared" si="150"/>
        <v>6</v>
      </c>
      <c r="H30" s="199">
        <f>_xlfn.XLOOKUP(A30,'2.0SASA'!$A:$A,'2.0SASA'!$J:$J,"",0)</f>
        <v>10</v>
      </c>
      <c r="I30" s="200">
        <f t="shared" si="151"/>
        <v>0.91743119266055051</v>
      </c>
      <c r="J30" s="201">
        <f t="shared" si="152"/>
        <v>0</v>
      </c>
      <c r="K30" s="199">
        <f>_xlfn.XLOOKUP(A30,'2.0SASA'!$A:$A,'2.0SASA'!$K:$K,"",0)</f>
        <v>0</v>
      </c>
      <c r="L30" s="200">
        <f t="shared" si="153"/>
        <v>0</v>
      </c>
      <c r="M30" s="201">
        <f t="shared" si="154"/>
        <v>0</v>
      </c>
      <c r="N30" s="199">
        <f>_xlfn.XLOOKUP(A30,'2.0SASA'!$A:$A,'2.0SASA'!$G:$G,"",0)</f>
        <v>0</v>
      </c>
      <c r="O30" s="200">
        <f t="shared" si="155"/>
        <v>0</v>
      </c>
      <c r="P30" s="201">
        <f t="shared" si="156"/>
        <v>0</v>
      </c>
      <c r="Q30" s="199">
        <f>_xlfn.XLOOKUP(A30,'2.0SASA'!$A:$A,'2.0SASA'!$I:$I,"",0)</f>
        <v>10</v>
      </c>
      <c r="R30" s="200">
        <f t="shared" si="157"/>
        <v>1.1428571428571428</v>
      </c>
      <c r="S30" s="201">
        <f t="shared" si="158"/>
        <v>0</v>
      </c>
      <c r="T30" s="199">
        <f>_xlfn.XLOOKUP(A30,'2.0SASA'!$A:$A,'2.0SASA'!$F:$F,"",0)</f>
        <v>50</v>
      </c>
      <c r="U30" s="200">
        <f t="shared" si="159"/>
        <v>5</v>
      </c>
      <c r="V30" s="201">
        <f t="shared" si="160"/>
        <v>6</v>
      </c>
      <c r="W30" s="199">
        <f>_xlfn.XLOOKUP(A30,'2.0SASA'!$A:$A,'2.0SASA'!$H:$H,"",0)</f>
        <v>30</v>
      </c>
      <c r="X30" s="200">
        <f t="shared" si="161"/>
        <v>2.625</v>
      </c>
      <c r="Y30" s="201">
        <f t="shared" si="162"/>
        <v>4</v>
      </c>
      <c r="Z30" s="199">
        <f>_xlfn.XLOOKUP(A30,'2.0SASA'!$A:$A,'2.0SASA'!$D:$D,"",0)</f>
        <v>50</v>
      </c>
      <c r="AA30" s="200">
        <f t="shared" si="163"/>
        <v>4.8484848484848486</v>
      </c>
      <c r="AB30" s="201">
        <f t="shared" si="164"/>
        <v>4</v>
      </c>
      <c r="AC30" s="199">
        <f>_xlfn.XLOOKUP(A30,'2.0SASA'!$A:$A,'2.0SASA'!$E:$E,"",0)</f>
        <v>0</v>
      </c>
      <c r="AD30" s="200">
        <f t="shared" si="165"/>
        <v>0</v>
      </c>
      <c r="AE30" s="201">
        <f t="shared" si="166"/>
        <v>0</v>
      </c>
      <c r="AF30" s="199">
        <f>_xlfn.XLOOKUP(A30,'2.0SASA'!$A:$A,'2.0SASA'!$V:$V,"",0)</f>
        <v>20</v>
      </c>
      <c r="AG30" s="200">
        <f t="shared" si="167"/>
        <v>1.3333333333333333</v>
      </c>
      <c r="AH30" s="201">
        <f t="shared" si="168"/>
        <v>0</v>
      </c>
      <c r="AI30" s="199">
        <f>_xlfn.XLOOKUP(A30,'2.0SASA'!$A:$A,'2.0SASA'!$U:$U,"",0)</f>
        <v>60</v>
      </c>
      <c r="AJ30" s="200">
        <f t="shared" si="169"/>
        <v>2.7067669172932329</v>
      </c>
      <c r="AK30" s="201">
        <f t="shared" si="170"/>
        <v>4</v>
      </c>
      <c r="AL30" s="199">
        <f>_xlfn.XLOOKUP(A30,'2.0SASA'!$A:$A,'2.0SASA'!$Q:$Q,"",0)</f>
        <v>60</v>
      </c>
      <c r="AM30" s="200">
        <f t="shared" si="171"/>
        <v>2.8985507246376812</v>
      </c>
      <c r="AN30" s="201">
        <f t="shared" si="172"/>
        <v>4</v>
      </c>
      <c r="AO30" s="199">
        <f>_xlfn.XLOOKUP(A30,'2.0SASA'!$A:$A,'2.0SASA'!$AD:$AD,"",0)</f>
        <v>20</v>
      </c>
      <c r="AP30" s="200">
        <f t="shared" si="173"/>
        <v>1.0389610389610389</v>
      </c>
      <c r="AQ30" s="201">
        <f t="shared" si="174"/>
        <v>0</v>
      </c>
      <c r="AR30" s="62"/>
      <c r="AS30" s="62"/>
      <c r="AU30" s="62"/>
    </row>
    <row r="31" spans="1:47" s="57" customFormat="1" ht="17.25" customHeight="1">
      <c r="A31" s="198" t="s">
        <v>168</v>
      </c>
      <c r="B31" s="199">
        <f>_xlfn.XLOOKUP(A31,'2.0SASA'!$A:$A,'2.0SASA'!$C:$C,"",0)</f>
        <v>0</v>
      </c>
      <c r="C31" s="200">
        <f t="shared" si="147"/>
        <v>0</v>
      </c>
      <c r="D31" s="201">
        <f t="shared" si="148"/>
        <v>0</v>
      </c>
      <c r="E31" s="199">
        <f>_xlfn.XLOOKUP(A31,'2.0SASA'!$A:$A,'2.0SASA'!$B:$B,"",0)</f>
        <v>0</v>
      </c>
      <c r="F31" s="200">
        <f t="shared" si="149"/>
        <v>0</v>
      </c>
      <c r="G31" s="201">
        <f t="shared" si="150"/>
        <v>0</v>
      </c>
      <c r="H31" s="199">
        <f>_xlfn.XLOOKUP(A31,'2.0SASA'!$A:$A,'2.0SASA'!$J:$J,"",0)</f>
        <v>80</v>
      </c>
      <c r="I31" s="200">
        <f t="shared" si="151"/>
        <v>7.3394495412844041</v>
      </c>
      <c r="J31" s="201">
        <f t="shared" si="152"/>
        <v>8</v>
      </c>
      <c r="K31" s="199">
        <f>_xlfn.XLOOKUP(A31,'2.0SASA'!$A:$A,'2.0SASA'!$K:$K,"",0)</f>
        <v>0</v>
      </c>
      <c r="L31" s="200">
        <f t="shared" si="153"/>
        <v>0</v>
      </c>
      <c r="M31" s="201">
        <f t="shared" si="154"/>
        <v>0</v>
      </c>
      <c r="N31" s="199">
        <f>_xlfn.XLOOKUP(A31,'2.0SASA'!$A:$A,'2.0SASA'!$G:$G,"",0)</f>
        <v>0</v>
      </c>
      <c r="O31" s="200">
        <f t="shared" si="155"/>
        <v>0</v>
      </c>
      <c r="P31" s="201">
        <f t="shared" si="156"/>
        <v>0</v>
      </c>
      <c r="Q31" s="199">
        <f>_xlfn.XLOOKUP(A31,'2.0SASA'!$A:$A,'2.0SASA'!$I:$I,"",0)</f>
        <v>30</v>
      </c>
      <c r="R31" s="200">
        <f t="shared" si="157"/>
        <v>3.4285714285714284</v>
      </c>
      <c r="S31" s="201">
        <f t="shared" si="158"/>
        <v>4</v>
      </c>
      <c r="T31" s="199">
        <f>_xlfn.XLOOKUP(A31,'2.0SASA'!$A:$A,'2.0SASA'!$F:$F,"",0)</f>
        <v>0</v>
      </c>
      <c r="U31" s="200">
        <f t="shared" si="159"/>
        <v>0</v>
      </c>
      <c r="V31" s="201">
        <f t="shared" si="160"/>
        <v>0</v>
      </c>
      <c r="W31" s="199">
        <f>_xlfn.XLOOKUP(A31,'2.0SASA'!$A:$A,'2.0SASA'!$H:$H,"",0)</f>
        <v>0</v>
      </c>
      <c r="X31" s="200">
        <f t="shared" si="161"/>
        <v>0</v>
      </c>
      <c r="Y31" s="201">
        <f t="shared" si="162"/>
        <v>0</v>
      </c>
      <c r="Z31" s="199">
        <f>_xlfn.XLOOKUP(A31,'2.0SASA'!$A:$A,'2.0SASA'!$D:$D,"",0)</f>
        <v>10</v>
      </c>
      <c r="AA31" s="200">
        <f t="shared" si="163"/>
        <v>0.96969696969696972</v>
      </c>
      <c r="AB31" s="201">
        <f t="shared" si="164"/>
        <v>0</v>
      </c>
      <c r="AC31" s="199">
        <f>_xlfn.XLOOKUP(A31,'2.0SASA'!$A:$A,'2.0SASA'!$E:$E,"",0)</f>
        <v>0</v>
      </c>
      <c r="AD31" s="200">
        <f t="shared" si="165"/>
        <v>0</v>
      </c>
      <c r="AE31" s="201">
        <f t="shared" si="166"/>
        <v>0</v>
      </c>
      <c r="AF31" s="199">
        <f>_xlfn.XLOOKUP(A31,'2.0SASA'!$A:$A,'2.0SASA'!$V:$V,"",0)</f>
        <v>0</v>
      </c>
      <c r="AG31" s="200">
        <f t="shared" si="167"/>
        <v>0</v>
      </c>
      <c r="AH31" s="201">
        <f t="shared" si="168"/>
        <v>0</v>
      </c>
      <c r="AI31" s="199">
        <f>_xlfn.XLOOKUP(A31,'2.0SASA'!$A:$A,'2.0SASA'!$U:$U,"",0)</f>
        <v>20</v>
      </c>
      <c r="AJ31" s="200">
        <f t="shared" si="169"/>
        <v>0.90225563909774431</v>
      </c>
      <c r="AK31" s="201">
        <f t="shared" si="170"/>
        <v>0</v>
      </c>
      <c r="AL31" s="199">
        <f>_xlfn.XLOOKUP(A31,'2.0SASA'!$A:$A,'2.0SASA'!$Q:$Q,"",0)</f>
        <v>70</v>
      </c>
      <c r="AM31" s="200">
        <f t="shared" si="171"/>
        <v>3.3816425120772946</v>
      </c>
      <c r="AN31" s="201">
        <f t="shared" si="172"/>
        <v>4</v>
      </c>
      <c r="AO31" s="199">
        <f>_xlfn.XLOOKUP(A31,'2.0SASA'!$A:$A,'2.0SASA'!$AD:$AD,"",0)</f>
        <v>70</v>
      </c>
      <c r="AP31" s="200">
        <f t="shared" si="173"/>
        <v>3.6363636363636362</v>
      </c>
      <c r="AQ31" s="201">
        <f t="shared" si="174"/>
        <v>4</v>
      </c>
      <c r="AR31" s="62"/>
      <c r="AS31" s="62"/>
      <c r="AU31" s="62"/>
    </row>
    <row r="32" spans="1:47" s="57" customFormat="1" ht="17.25" customHeight="1">
      <c r="A32" s="198" t="s">
        <v>176</v>
      </c>
      <c r="B32" s="199">
        <f>_xlfn.XLOOKUP(A32,'2.0SASA'!$A:$A,'2.0SASA'!$C:$C,"",0)</f>
        <v>0</v>
      </c>
      <c r="C32" s="200">
        <f t="shared" si="147"/>
        <v>0</v>
      </c>
      <c r="D32" s="201">
        <f t="shared" si="148"/>
        <v>0</v>
      </c>
      <c r="E32" s="199">
        <f>_xlfn.XLOOKUP(A32,'2.0SASA'!$A:$A,'2.0SASA'!$B:$B,"",0)</f>
        <v>10</v>
      </c>
      <c r="F32" s="200">
        <f t="shared" si="149"/>
        <v>1</v>
      </c>
      <c r="G32" s="201">
        <f t="shared" si="150"/>
        <v>0</v>
      </c>
      <c r="H32" s="199">
        <f>_xlfn.XLOOKUP(A32,'2.0SASA'!$A:$A,'2.0SASA'!$J:$J,"",0)</f>
        <v>100</v>
      </c>
      <c r="I32" s="200">
        <f t="shared" si="151"/>
        <v>9.1743119266055047</v>
      </c>
      <c r="J32" s="201">
        <f t="shared" si="152"/>
        <v>10</v>
      </c>
      <c r="K32" s="199">
        <f>_xlfn.XLOOKUP(A32,'2.0SASA'!$A:$A,'2.0SASA'!$K:$K,"",0)</f>
        <v>0</v>
      </c>
      <c r="L32" s="200">
        <f t="shared" si="153"/>
        <v>0</v>
      </c>
      <c r="M32" s="201">
        <f t="shared" si="154"/>
        <v>0</v>
      </c>
      <c r="N32" s="199">
        <f>_xlfn.XLOOKUP(A32,'2.0SASA'!$A:$A,'2.0SASA'!$G:$G,"",0)</f>
        <v>0</v>
      </c>
      <c r="O32" s="200">
        <f t="shared" si="155"/>
        <v>0</v>
      </c>
      <c r="P32" s="201">
        <f t="shared" si="156"/>
        <v>0</v>
      </c>
      <c r="Q32" s="199">
        <f>_xlfn.XLOOKUP(A32,'2.0SASA'!$A:$A,'2.0SASA'!$I:$I,"",0)</f>
        <v>20</v>
      </c>
      <c r="R32" s="200">
        <f t="shared" si="157"/>
        <v>2.2857142857142856</v>
      </c>
      <c r="S32" s="201">
        <f t="shared" si="158"/>
        <v>4</v>
      </c>
      <c r="T32" s="199">
        <f>_xlfn.XLOOKUP(A32,'2.0SASA'!$A:$A,'2.0SASA'!$F:$F,"",0)</f>
        <v>40</v>
      </c>
      <c r="U32" s="200">
        <f t="shared" si="159"/>
        <v>4</v>
      </c>
      <c r="V32" s="201">
        <f t="shared" si="160"/>
        <v>4</v>
      </c>
      <c r="W32" s="199">
        <f>_xlfn.XLOOKUP(A32,'2.0SASA'!$A:$A,'2.0SASA'!$H:$H,"",0)</f>
        <v>0</v>
      </c>
      <c r="X32" s="200">
        <f t="shared" si="161"/>
        <v>0</v>
      </c>
      <c r="Y32" s="201">
        <f t="shared" si="162"/>
        <v>0</v>
      </c>
      <c r="Z32" s="199">
        <f>_xlfn.XLOOKUP(A32,'2.0SASA'!$A:$A,'2.0SASA'!$D:$D,"",0)</f>
        <v>30</v>
      </c>
      <c r="AA32" s="200">
        <f t="shared" si="163"/>
        <v>2.9090909090909092</v>
      </c>
      <c r="AB32" s="201">
        <f t="shared" si="164"/>
        <v>4</v>
      </c>
      <c r="AC32" s="199">
        <f>_xlfn.XLOOKUP(A32,'2.0SASA'!$A:$A,'2.0SASA'!$E:$E,"",0)</f>
        <v>0</v>
      </c>
      <c r="AD32" s="200">
        <f t="shared" si="165"/>
        <v>0</v>
      </c>
      <c r="AE32" s="201">
        <f t="shared" si="166"/>
        <v>0</v>
      </c>
      <c r="AF32" s="199">
        <f>_xlfn.XLOOKUP(A32,'2.0SASA'!$A:$A,'2.0SASA'!$V:$V,"",0)</f>
        <v>10</v>
      </c>
      <c r="AG32" s="200">
        <f t="shared" si="167"/>
        <v>0.66666666666666663</v>
      </c>
      <c r="AH32" s="201">
        <f t="shared" si="168"/>
        <v>0</v>
      </c>
      <c r="AI32" s="199">
        <f>_xlfn.XLOOKUP(A32,'2.0SASA'!$A:$A,'2.0SASA'!$U:$U,"",0)</f>
        <v>10</v>
      </c>
      <c r="AJ32" s="200">
        <f t="shared" si="169"/>
        <v>0.45112781954887216</v>
      </c>
      <c r="AK32" s="201">
        <f t="shared" si="170"/>
        <v>0</v>
      </c>
      <c r="AL32" s="199">
        <f>_xlfn.XLOOKUP(A32,'2.0SASA'!$A:$A,'2.0SASA'!$Q:$Q,"",0)</f>
        <v>100</v>
      </c>
      <c r="AM32" s="200">
        <f t="shared" si="171"/>
        <v>4.8309178743961354</v>
      </c>
      <c r="AN32" s="201">
        <f t="shared" si="172"/>
        <v>4</v>
      </c>
      <c r="AO32" s="199">
        <f>_xlfn.XLOOKUP(A32,'2.0SASA'!$A:$A,'2.0SASA'!$AD:$AD,"",0)</f>
        <v>90</v>
      </c>
      <c r="AP32" s="200">
        <f t="shared" si="173"/>
        <v>4.6753246753246751</v>
      </c>
      <c r="AQ32" s="201">
        <f t="shared" si="174"/>
        <v>4</v>
      </c>
      <c r="AR32" s="62"/>
      <c r="AS32" s="62"/>
      <c r="AU32" s="62"/>
    </row>
    <row r="33" spans="1:48" s="58" customFormat="1" ht="17.25" customHeight="1">
      <c r="A33" s="202" t="s">
        <v>398</v>
      </c>
      <c r="B33" s="204">
        <f>SUM(B29:B32)</f>
        <v>100</v>
      </c>
      <c r="C33" s="204">
        <f t="shared" ref="C33:AQ33" si="175">SUM(C29:C32)</f>
        <v>9.2378752886836022</v>
      </c>
      <c r="D33" s="204">
        <f t="shared" si="175"/>
        <v>10</v>
      </c>
      <c r="E33" s="204">
        <f t="shared" si="175"/>
        <v>130</v>
      </c>
      <c r="F33" s="204">
        <f t="shared" si="175"/>
        <v>13</v>
      </c>
      <c r="G33" s="204">
        <f t="shared" si="175"/>
        <v>12</v>
      </c>
      <c r="H33" s="204">
        <f t="shared" si="175"/>
        <v>200</v>
      </c>
      <c r="I33" s="204">
        <f t="shared" si="175"/>
        <v>18.348623853211009</v>
      </c>
      <c r="J33" s="204">
        <f t="shared" si="175"/>
        <v>18</v>
      </c>
      <c r="K33" s="204">
        <f t="shared" si="175"/>
        <v>10</v>
      </c>
      <c r="L33" s="204">
        <f t="shared" si="175"/>
        <v>1.0256410256410255</v>
      </c>
      <c r="M33" s="204">
        <f t="shared" si="175"/>
        <v>0</v>
      </c>
      <c r="N33" s="204">
        <f t="shared" si="175"/>
        <v>0</v>
      </c>
      <c r="O33" s="204">
        <f t="shared" si="175"/>
        <v>0</v>
      </c>
      <c r="P33" s="204">
        <f t="shared" si="175"/>
        <v>0</v>
      </c>
      <c r="Q33" s="204">
        <f t="shared" si="175"/>
        <v>60</v>
      </c>
      <c r="R33" s="204">
        <f t="shared" si="175"/>
        <v>6.8571428571428568</v>
      </c>
      <c r="S33" s="204">
        <f t="shared" si="175"/>
        <v>8</v>
      </c>
      <c r="T33" s="204">
        <f t="shared" si="175"/>
        <v>150</v>
      </c>
      <c r="U33" s="204">
        <f t="shared" si="175"/>
        <v>15</v>
      </c>
      <c r="V33" s="204">
        <f t="shared" si="175"/>
        <v>16</v>
      </c>
      <c r="W33" s="204">
        <f t="shared" si="175"/>
        <v>70</v>
      </c>
      <c r="X33" s="204">
        <f t="shared" si="175"/>
        <v>6.125</v>
      </c>
      <c r="Y33" s="204">
        <f t="shared" si="175"/>
        <v>8</v>
      </c>
      <c r="Z33" s="204">
        <f t="shared" si="175"/>
        <v>160</v>
      </c>
      <c r="AA33" s="204">
        <f t="shared" si="175"/>
        <v>15.515151515151516</v>
      </c>
      <c r="AB33" s="204">
        <f t="shared" si="175"/>
        <v>14</v>
      </c>
      <c r="AC33" s="204">
        <f t="shared" si="175"/>
        <v>0</v>
      </c>
      <c r="AD33" s="204">
        <f t="shared" si="175"/>
        <v>0</v>
      </c>
      <c r="AE33" s="204">
        <f t="shared" si="175"/>
        <v>0</v>
      </c>
      <c r="AF33" s="204">
        <f t="shared" si="175"/>
        <v>50</v>
      </c>
      <c r="AG33" s="204">
        <f t="shared" si="175"/>
        <v>3.333333333333333</v>
      </c>
      <c r="AH33" s="204">
        <f t="shared" si="175"/>
        <v>0</v>
      </c>
      <c r="AI33" s="204">
        <f t="shared" si="175"/>
        <v>140</v>
      </c>
      <c r="AJ33" s="204">
        <f t="shared" si="175"/>
        <v>6.3157894736842097</v>
      </c>
      <c r="AK33" s="204">
        <f t="shared" si="175"/>
        <v>8</v>
      </c>
      <c r="AL33" s="204">
        <f t="shared" si="175"/>
        <v>310</v>
      </c>
      <c r="AM33" s="204">
        <f t="shared" si="175"/>
        <v>14.975845410628018</v>
      </c>
      <c r="AN33" s="204">
        <f t="shared" si="175"/>
        <v>16</v>
      </c>
      <c r="AO33" s="204">
        <f t="shared" si="175"/>
        <v>200</v>
      </c>
      <c r="AP33" s="204">
        <f t="shared" si="175"/>
        <v>10.38961038961039</v>
      </c>
      <c r="AQ33" s="204">
        <f t="shared" si="175"/>
        <v>8</v>
      </c>
    </row>
    <row r="34" spans="1:48" s="57" customFormat="1" ht="17.25" customHeight="1">
      <c r="A34" s="198" t="s">
        <v>186</v>
      </c>
      <c r="B34" s="199">
        <f>_xlfn.XLOOKUP(A34,'2.0SASA'!$A:$A,'2.0SASA'!$C:$C,"",0)</f>
        <v>60</v>
      </c>
      <c r="C34" s="200">
        <f t="shared" ref="C34:C40" si="176">B34*C$50/B$50</f>
        <v>5.5427251732101617</v>
      </c>
      <c r="D34" s="201">
        <f t="shared" ref="D34:D40" si="177">IF(C34&gt;4,ROUND(C34/2,0)*2,IF(C34&gt;2.2,4,0))</f>
        <v>6</v>
      </c>
      <c r="E34" s="199">
        <f>_xlfn.XLOOKUP(A34,'2.0SASA'!$A:$A,'2.0SASA'!$B:$B,"",0)</f>
        <v>0</v>
      </c>
      <c r="F34" s="200">
        <f t="shared" ref="F34:F40" si="178">E34*F$50/E$50</f>
        <v>0</v>
      </c>
      <c r="G34" s="201">
        <f t="shared" ref="G34:G40" si="179">IF(F34&gt;4,ROUND(F34/2,0)*2,IF(F34&gt;2.2,4,0))</f>
        <v>0</v>
      </c>
      <c r="H34" s="199">
        <f>_xlfn.XLOOKUP(A34,'2.0SASA'!$A:$A,'2.0SASA'!$J:$J,"",0)</f>
        <v>60</v>
      </c>
      <c r="I34" s="200">
        <f t="shared" ref="I34:I40" si="180">H34*I$50/H$50</f>
        <v>5.5045871559633026</v>
      </c>
      <c r="J34" s="201">
        <f t="shared" ref="J34:J40" si="181">IF(I34&gt;4,ROUND(I34/2,0)*2,IF(I34&gt;2,4,0))</f>
        <v>6</v>
      </c>
      <c r="K34" s="199">
        <f>_xlfn.XLOOKUP(A34,'2.0SASA'!$A:$A,'2.0SASA'!$K:$K,"",0)</f>
        <v>60</v>
      </c>
      <c r="L34" s="200">
        <f t="shared" ref="L34:L40" si="182">K34*L$50/K$50</f>
        <v>6.1538461538461542</v>
      </c>
      <c r="M34" s="201">
        <f t="shared" ref="M34:M40" si="183">IF(L34&gt;4,ROUND(L34/2,0)*2,IF(L34&gt;2.2,4,0))</f>
        <v>6</v>
      </c>
      <c r="N34" s="199">
        <f>_xlfn.XLOOKUP(A34,'2.0SASA'!$A:$A,'2.0SASA'!$G:$G,"",0)</f>
        <v>0</v>
      </c>
      <c r="O34" s="200">
        <f t="shared" ref="O34:O40" si="184">N34*O$50/N$50</f>
        <v>0</v>
      </c>
      <c r="P34" s="201">
        <f t="shared" ref="P34:P40" si="185">IF(O34&gt;4,ROUND(O34/2,0)*2,IF(O34&gt;2.2,4,0))</f>
        <v>0</v>
      </c>
      <c r="Q34" s="199">
        <f>_xlfn.XLOOKUP(A34,'2.0SASA'!$A:$A,'2.0SASA'!$I:$I,"",0)</f>
        <v>0</v>
      </c>
      <c r="R34" s="200">
        <f t="shared" ref="R34:R40" si="186">Q34*R$50/Q$50</f>
        <v>0</v>
      </c>
      <c r="S34" s="201">
        <f t="shared" ref="S34:S40" si="187">IF(R34&gt;4,ROUND(R34/2,0)*2,IF(R34&gt;2.2,4,0))</f>
        <v>0</v>
      </c>
      <c r="T34" s="199">
        <f>_xlfn.XLOOKUP(A34,'2.0SASA'!$A:$A,'2.0SASA'!$F:$F,"",0)</f>
        <v>30</v>
      </c>
      <c r="U34" s="200">
        <f t="shared" ref="U34:U40" si="188">T34*U$50/T$50</f>
        <v>3</v>
      </c>
      <c r="V34" s="201">
        <f t="shared" ref="V34:V40" si="189">IF(U34&gt;4,ROUND(U34/2,0)*2,IF(U34&gt;2.2,4,0))</f>
        <v>4</v>
      </c>
      <c r="W34" s="199">
        <f>_xlfn.XLOOKUP(A34,'2.0SASA'!$A:$A,'2.0SASA'!$H:$H,"",0)</f>
        <v>60</v>
      </c>
      <c r="X34" s="200">
        <f t="shared" ref="X34:X40" si="190">W34*X$50/W$50</f>
        <v>5.25</v>
      </c>
      <c r="Y34" s="201">
        <f t="shared" ref="Y34:Y40" si="191">IF(X34&gt;4,ROUND(X34/2,0)*2,IF(X34&gt;2.2,4,0))</f>
        <v>6</v>
      </c>
      <c r="Z34" s="199">
        <f>_xlfn.XLOOKUP(A34,'2.0SASA'!$A:$A,'2.0SASA'!$D:$D,"",0)</f>
        <v>50</v>
      </c>
      <c r="AA34" s="200">
        <f t="shared" ref="AA34:AA40" si="192">Z34*AA$50/Z$50</f>
        <v>4.8484848484848486</v>
      </c>
      <c r="AB34" s="201">
        <f t="shared" ref="AB34:AB40" si="193">IF(AA34&gt;4,ROUND(AA34/2,0)*2,IF(AA34&gt;2.2,4,0))</f>
        <v>4</v>
      </c>
      <c r="AC34" s="199">
        <f>_xlfn.XLOOKUP(A34,'2.0SASA'!$A:$A,'2.0SASA'!$E:$E,"",0)</f>
        <v>10</v>
      </c>
      <c r="AD34" s="200">
        <f t="shared" ref="AD34:AD40" si="194">AC34*AD$50/AC$50</f>
        <v>0.967741935483871</v>
      </c>
      <c r="AE34" s="201">
        <f t="shared" ref="AE34:AE40" si="195">IF(AD34&gt;4,ROUND(AD34/2,0)*2,IF(AD34&gt;2.2,4,0))</f>
        <v>0</v>
      </c>
      <c r="AF34" s="199">
        <f>_xlfn.XLOOKUP(A34,'2.0SASA'!$A:$A,'2.0SASA'!$V:$V,"",0)</f>
        <v>0</v>
      </c>
      <c r="AG34" s="200">
        <f t="shared" ref="AG34:AG40" si="196">AF34*AG$50/AF$50</f>
        <v>0</v>
      </c>
      <c r="AH34" s="201">
        <f t="shared" ref="AH34:AH40" si="197">IF(AG34&gt;4,ROUND(AG34/2,0)*2,IF(AG34&gt;2.2,4,0))</f>
        <v>0</v>
      </c>
      <c r="AI34" s="199">
        <f>_xlfn.XLOOKUP(A34,'2.0SASA'!$A:$A,'2.0SASA'!$U:$U,"",0)</f>
        <v>0</v>
      </c>
      <c r="AJ34" s="200">
        <f t="shared" ref="AJ34:AJ40" si="198">AI34*AJ$50/AI$50</f>
        <v>0</v>
      </c>
      <c r="AK34" s="201">
        <f t="shared" ref="AK34:AK40" si="199">IF(AJ34&gt;4,ROUND(AJ34/2,0)*2,IF(AJ34&gt;2,4,0))</f>
        <v>0</v>
      </c>
      <c r="AL34" s="199">
        <f>_xlfn.XLOOKUP(A34,'2.0SASA'!$A:$A,'2.0SASA'!$Q:$Q,"",0)</f>
        <v>60</v>
      </c>
      <c r="AM34" s="200">
        <f t="shared" ref="AM34:AM40" si="200">AL34*AM$50/AL$50</f>
        <v>2.8985507246376812</v>
      </c>
      <c r="AN34" s="201">
        <f t="shared" ref="AN34:AN40" si="201">IF(AM34&gt;4,ROUND(AM34/2,0)*2,IF(AM34&gt;2.2,4,0))</f>
        <v>4</v>
      </c>
      <c r="AO34" s="199">
        <f>_xlfn.XLOOKUP(A34,'2.0SASA'!$A:$A,'2.0SASA'!$AD:$AD,"",0)</f>
        <v>20</v>
      </c>
      <c r="AP34" s="200">
        <f t="shared" ref="AP34:AP40" si="202">AO34*AP$50/AO$50</f>
        <v>1.0389610389610389</v>
      </c>
      <c r="AQ34" s="201">
        <f t="shared" ref="AQ34:AQ40" si="203">IF(AP34&gt;4,ROUND(AP34/2,0)*2,IF(AP34&gt;2.2,4,0))</f>
        <v>0</v>
      </c>
      <c r="AR34" s="62"/>
      <c r="AS34" s="62"/>
      <c r="AU34" s="62"/>
    </row>
    <row r="35" spans="1:48" s="57" customFormat="1" ht="17.25" customHeight="1">
      <c r="A35" s="198" t="s">
        <v>194</v>
      </c>
      <c r="B35" s="199">
        <f>_xlfn.XLOOKUP(A35,'2.0SASA'!$A:$A,'2.0SASA'!$C:$C,"",0)</f>
        <v>60</v>
      </c>
      <c r="C35" s="200">
        <f t="shared" si="176"/>
        <v>5.5427251732101617</v>
      </c>
      <c r="D35" s="209">
        <v>4</v>
      </c>
      <c r="E35" s="199">
        <f>_xlfn.XLOOKUP(A35,'2.0SASA'!$A:$A,'2.0SASA'!$B:$B,"",0)</f>
        <v>10</v>
      </c>
      <c r="F35" s="200">
        <f t="shared" si="178"/>
        <v>1</v>
      </c>
      <c r="G35" s="201">
        <f t="shared" si="179"/>
        <v>0</v>
      </c>
      <c r="H35" s="199">
        <f>_xlfn.XLOOKUP(A35,'2.0SASA'!$A:$A,'2.0SASA'!$J:$J,"",0)</f>
        <v>60</v>
      </c>
      <c r="I35" s="200">
        <f t="shared" si="180"/>
        <v>5.5045871559633026</v>
      </c>
      <c r="J35" s="201">
        <f t="shared" si="181"/>
        <v>6</v>
      </c>
      <c r="K35" s="199">
        <f>_xlfn.XLOOKUP(A35,'2.0SASA'!$A:$A,'2.0SASA'!$K:$K,"",0)</f>
        <v>30</v>
      </c>
      <c r="L35" s="200">
        <f t="shared" si="182"/>
        <v>3.0769230769230771</v>
      </c>
      <c r="M35" s="201">
        <f t="shared" si="183"/>
        <v>4</v>
      </c>
      <c r="N35" s="199">
        <f>_xlfn.XLOOKUP(A35,'2.0SASA'!$A:$A,'2.0SASA'!$G:$G,"",0)</f>
        <v>0</v>
      </c>
      <c r="O35" s="200">
        <f t="shared" si="184"/>
        <v>0</v>
      </c>
      <c r="P35" s="201">
        <f t="shared" si="185"/>
        <v>0</v>
      </c>
      <c r="Q35" s="199">
        <f>_xlfn.XLOOKUP(A35,'2.0SASA'!$A:$A,'2.0SASA'!$I:$I,"",0)</f>
        <v>0</v>
      </c>
      <c r="R35" s="200">
        <f t="shared" si="186"/>
        <v>0</v>
      </c>
      <c r="S35" s="201">
        <f t="shared" si="187"/>
        <v>0</v>
      </c>
      <c r="T35" s="199">
        <f>_xlfn.XLOOKUP(A35,'2.0SASA'!$A:$A,'2.0SASA'!$F:$F,"",0)</f>
        <v>30</v>
      </c>
      <c r="U35" s="200">
        <f t="shared" si="188"/>
        <v>3</v>
      </c>
      <c r="V35" s="201">
        <f t="shared" si="189"/>
        <v>4</v>
      </c>
      <c r="W35" s="199">
        <f>_xlfn.XLOOKUP(A35,'2.0SASA'!$A:$A,'2.0SASA'!$H:$H,"",0)</f>
        <v>30</v>
      </c>
      <c r="X35" s="200">
        <f t="shared" si="190"/>
        <v>2.625</v>
      </c>
      <c r="Y35" s="201">
        <f t="shared" si="191"/>
        <v>4</v>
      </c>
      <c r="Z35" s="199">
        <f>_xlfn.XLOOKUP(A35,'2.0SASA'!$A:$A,'2.0SASA'!$D:$D,"",0)</f>
        <v>30</v>
      </c>
      <c r="AA35" s="200">
        <f t="shared" si="192"/>
        <v>2.9090909090909092</v>
      </c>
      <c r="AB35" s="201">
        <f t="shared" si="193"/>
        <v>4</v>
      </c>
      <c r="AC35" s="199">
        <f>_xlfn.XLOOKUP(A35,'2.0SASA'!$A:$A,'2.0SASA'!$E:$E,"",0)</f>
        <v>0</v>
      </c>
      <c r="AD35" s="200">
        <f t="shared" si="194"/>
        <v>0</v>
      </c>
      <c r="AE35" s="201">
        <f t="shared" si="195"/>
        <v>0</v>
      </c>
      <c r="AF35" s="199">
        <f>_xlfn.XLOOKUP(A35,'2.0SASA'!$A:$A,'2.0SASA'!$V:$V,"",0)</f>
        <v>0</v>
      </c>
      <c r="AG35" s="200">
        <f t="shared" si="196"/>
        <v>0</v>
      </c>
      <c r="AH35" s="201">
        <f t="shared" si="197"/>
        <v>0</v>
      </c>
      <c r="AI35" s="199">
        <f>_xlfn.XLOOKUP(A35,'2.0SASA'!$A:$A,'2.0SASA'!$U:$U,"",0)</f>
        <v>40</v>
      </c>
      <c r="AJ35" s="200">
        <f t="shared" si="198"/>
        <v>1.8045112781954886</v>
      </c>
      <c r="AK35" s="201">
        <f t="shared" si="199"/>
        <v>0</v>
      </c>
      <c r="AL35" s="199">
        <f>_xlfn.XLOOKUP(A35,'2.0SASA'!$A:$A,'2.0SASA'!$Q:$Q,"",0)</f>
        <v>60</v>
      </c>
      <c r="AM35" s="200">
        <f t="shared" si="200"/>
        <v>2.8985507246376812</v>
      </c>
      <c r="AN35" s="201">
        <f t="shared" si="201"/>
        <v>4</v>
      </c>
      <c r="AO35" s="199">
        <f>_xlfn.XLOOKUP(A35,'2.0SASA'!$A:$A,'2.0SASA'!$AD:$AD,"",0)</f>
        <v>30</v>
      </c>
      <c r="AP35" s="200">
        <f t="shared" si="202"/>
        <v>1.5584415584415585</v>
      </c>
      <c r="AQ35" s="201">
        <f t="shared" si="203"/>
        <v>0</v>
      </c>
      <c r="AR35" s="62"/>
      <c r="AS35" s="62"/>
      <c r="AU35" s="62"/>
    </row>
    <row r="36" spans="1:48" s="57" customFormat="1" ht="17.25" customHeight="1">
      <c r="A36" s="198" t="s">
        <v>201</v>
      </c>
      <c r="B36" s="199">
        <f>_xlfn.XLOOKUP(A36,'2.0SASA'!$A:$A,'2.0SASA'!$C:$C,"",0)</f>
        <v>93</v>
      </c>
      <c r="C36" s="200">
        <f t="shared" si="176"/>
        <v>8.5912240184757511</v>
      </c>
      <c r="D36" s="201">
        <f t="shared" si="177"/>
        <v>8</v>
      </c>
      <c r="E36" s="199">
        <f>_xlfn.XLOOKUP(A36,'2.0SASA'!$A:$A,'2.0SASA'!$B:$B,"",0)</f>
        <v>0</v>
      </c>
      <c r="F36" s="200">
        <f t="shared" si="178"/>
        <v>0</v>
      </c>
      <c r="G36" s="201">
        <f t="shared" si="179"/>
        <v>0</v>
      </c>
      <c r="H36" s="199">
        <f>_xlfn.XLOOKUP(A36,'2.0SASA'!$A:$A,'2.0SASA'!$J:$J,"",0)</f>
        <v>80</v>
      </c>
      <c r="I36" s="200">
        <f t="shared" si="180"/>
        <v>7.3394495412844041</v>
      </c>
      <c r="J36" s="201">
        <f t="shared" si="181"/>
        <v>8</v>
      </c>
      <c r="K36" s="199">
        <f>_xlfn.XLOOKUP(A36,'2.0SASA'!$A:$A,'2.0SASA'!$K:$K,"",0)</f>
        <v>90</v>
      </c>
      <c r="L36" s="200">
        <f t="shared" si="182"/>
        <v>9.2307692307692299</v>
      </c>
      <c r="M36" s="201">
        <f t="shared" si="183"/>
        <v>10</v>
      </c>
      <c r="N36" s="199">
        <f>_xlfn.XLOOKUP(A36,'2.0SASA'!$A:$A,'2.0SASA'!$G:$G,"",0)</f>
        <v>0</v>
      </c>
      <c r="O36" s="200">
        <f t="shared" si="184"/>
        <v>0</v>
      </c>
      <c r="P36" s="201">
        <f t="shared" si="185"/>
        <v>0</v>
      </c>
      <c r="Q36" s="199">
        <f>_xlfn.XLOOKUP(A36,'2.0SASA'!$A:$A,'2.0SASA'!$I:$I,"",0)</f>
        <v>0</v>
      </c>
      <c r="R36" s="200">
        <f t="shared" si="186"/>
        <v>0</v>
      </c>
      <c r="S36" s="201">
        <f t="shared" si="187"/>
        <v>0</v>
      </c>
      <c r="T36" s="199">
        <f>_xlfn.XLOOKUP(A36,'2.0SASA'!$A:$A,'2.0SASA'!$F:$F,"",0)</f>
        <v>0</v>
      </c>
      <c r="U36" s="200">
        <f t="shared" si="188"/>
        <v>0</v>
      </c>
      <c r="V36" s="201">
        <f t="shared" si="189"/>
        <v>0</v>
      </c>
      <c r="W36" s="199">
        <f>_xlfn.XLOOKUP(A36,'2.0SASA'!$A:$A,'2.0SASA'!$H:$H,"",0)</f>
        <v>40</v>
      </c>
      <c r="X36" s="200">
        <f t="shared" si="190"/>
        <v>3.5</v>
      </c>
      <c r="Y36" s="201">
        <f t="shared" si="191"/>
        <v>4</v>
      </c>
      <c r="Z36" s="199">
        <f>_xlfn.XLOOKUP(A36,'2.0SASA'!$A:$A,'2.0SASA'!$D:$D,"",0)</f>
        <v>0</v>
      </c>
      <c r="AA36" s="200">
        <f t="shared" si="192"/>
        <v>0</v>
      </c>
      <c r="AB36" s="201">
        <f t="shared" si="193"/>
        <v>0</v>
      </c>
      <c r="AC36" s="199">
        <f>_xlfn.XLOOKUP(A36,'2.0SASA'!$A:$A,'2.0SASA'!$E:$E,"",0)</f>
        <v>0</v>
      </c>
      <c r="AD36" s="200">
        <f t="shared" si="194"/>
        <v>0</v>
      </c>
      <c r="AE36" s="201">
        <f t="shared" si="195"/>
        <v>0</v>
      </c>
      <c r="AF36" s="199">
        <f>_xlfn.XLOOKUP(A36,'2.0SASA'!$A:$A,'2.0SASA'!$V:$V,"",0)</f>
        <v>0</v>
      </c>
      <c r="AG36" s="200">
        <f t="shared" si="196"/>
        <v>0</v>
      </c>
      <c r="AH36" s="201">
        <f t="shared" si="197"/>
        <v>0</v>
      </c>
      <c r="AI36" s="199">
        <f>_xlfn.XLOOKUP(A36,'2.0SASA'!$A:$A,'2.0SASA'!$U:$U,"",0)</f>
        <v>90</v>
      </c>
      <c r="AJ36" s="200">
        <f t="shared" si="198"/>
        <v>4.0601503759398501</v>
      </c>
      <c r="AK36" s="201">
        <f t="shared" si="199"/>
        <v>4</v>
      </c>
      <c r="AL36" s="199">
        <f>_xlfn.XLOOKUP(A36,'2.0SASA'!$A:$A,'2.0SASA'!$Q:$Q,"",0)</f>
        <v>90</v>
      </c>
      <c r="AM36" s="200">
        <f t="shared" si="200"/>
        <v>4.3478260869565215</v>
      </c>
      <c r="AN36" s="201">
        <f t="shared" si="201"/>
        <v>4</v>
      </c>
      <c r="AO36" s="199">
        <f>_xlfn.XLOOKUP(A36,'2.0SASA'!$A:$A,'2.0SASA'!$AD:$AD,"",0)</f>
        <v>0</v>
      </c>
      <c r="AP36" s="200">
        <f t="shared" si="202"/>
        <v>0</v>
      </c>
      <c r="AQ36" s="201">
        <f t="shared" si="203"/>
        <v>0</v>
      </c>
      <c r="AR36" s="62"/>
      <c r="AS36" s="62"/>
      <c r="AU36" s="62"/>
    </row>
    <row r="37" spans="1:48" s="57" customFormat="1" ht="17.25" customHeight="1">
      <c r="A37" s="198" t="s">
        <v>210</v>
      </c>
      <c r="B37" s="199">
        <f>_xlfn.XLOOKUP(A37,'2.0SASA'!$A:$A,'2.0SASA'!$C:$C,"",0)</f>
        <v>0</v>
      </c>
      <c r="C37" s="200">
        <f t="shared" si="176"/>
        <v>0</v>
      </c>
      <c r="D37" s="201">
        <f t="shared" si="177"/>
        <v>0</v>
      </c>
      <c r="E37" s="199">
        <f>_xlfn.XLOOKUP(A37,'2.0SASA'!$A:$A,'2.0SASA'!$B:$B,"",0)</f>
        <v>0</v>
      </c>
      <c r="F37" s="200">
        <f t="shared" si="178"/>
        <v>0</v>
      </c>
      <c r="G37" s="201">
        <f t="shared" si="179"/>
        <v>0</v>
      </c>
      <c r="H37" s="199">
        <f>_xlfn.XLOOKUP(A37,'2.0SASA'!$A:$A,'2.0SASA'!$J:$J,"",0)</f>
        <v>60</v>
      </c>
      <c r="I37" s="200">
        <f t="shared" si="180"/>
        <v>5.5045871559633026</v>
      </c>
      <c r="J37" s="209">
        <v>4</v>
      </c>
      <c r="K37" s="199">
        <f>_xlfn.XLOOKUP(A37,'2.0SASA'!$A:$A,'2.0SASA'!$K:$K,"",0)</f>
        <v>0</v>
      </c>
      <c r="L37" s="200">
        <f t="shared" si="182"/>
        <v>0</v>
      </c>
      <c r="M37" s="201">
        <f t="shared" si="183"/>
        <v>0</v>
      </c>
      <c r="N37" s="199">
        <f>_xlfn.XLOOKUP(A37,'2.0SASA'!$A:$A,'2.0SASA'!$G:$G,"",0)</f>
        <v>0</v>
      </c>
      <c r="O37" s="200">
        <f t="shared" si="184"/>
        <v>0</v>
      </c>
      <c r="P37" s="201">
        <f t="shared" si="185"/>
        <v>0</v>
      </c>
      <c r="Q37" s="199">
        <f>_xlfn.XLOOKUP(A37,'2.0SASA'!$A:$A,'2.0SASA'!$I:$I,"",0)</f>
        <v>0</v>
      </c>
      <c r="R37" s="200">
        <f t="shared" si="186"/>
        <v>0</v>
      </c>
      <c r="S37" s="201">
        <f t="shared" si="187"/>
        <v>0</v>
      </c>
      <c r="T37" s="199">
        <f>_xlfn.XLOOKUP(A37,'2.0SASA'!$A:$A,'2.0SASA'!$F:$F,"",0)</f>
        <v>80</v>
      </c>
      <c r="U37" s="200">
        <f t="shared" si="188"/>
        <v>8</v>
      </c>
      <c r="V37" s="201">
        <f t="shared" si="189"/>
        <v>8</v>
      </c>
      <c r="W37" s="199">
        <f>_xlfn.XLOOKUP(A37,'2.0SASA'!$A:$A,'2.0SASA'!$H:$H,"",0)</f>
        <v>80</v>
      </c>
      <c r="X37" s="200">
        <f t="shared" si="190"/>
        <v>7</v>
      </c>
      <c r="Y37" s="201">
        <f t="shared" si="191"/>
        <v>8</v>
      </c>
      <c r="Z37" s="199">
        <f>_xlfn.XLOOKUP(A37,'2.0SASA'!$A:$A,'2.0SASA'!$D:$D,"",0)</f>
        <v>80</v>
      </c>
      <c r="AA37" s="200">
        <f t="shared" si="192"/>
        <v>7.7575757575757578</v>
      </c>
      <c r="AB37" s="201">
        <f t="shared" si="193"/>
        <v>8</v>
      </c>
      <c r="AC37" s="199">
        <f>_xlfn.XLOOKUP(A37,'2.0SASA'!$A:$A,'2.0SASA'!$E:$E,"",0)</f>
        <v>0</v>
      </c>
      <c r="AD37" s="200">
        <f t="shared" si="194"/>
        <v>0</v>
      </c>
      <c r="AE37" s="201">
        <f t="shared" si="195"/>
        <v>0</v>
      </c>
      <c r="AF37" s="199">
        <f>_xlfn.XLOOKUP(A37,'2.0SASA'!$A:$A,'2.0SASA'!$V:$V,"",0)</f>
        <v>0</v>
      </c>
      <c r="AG37" s="200">
        <f t="shared" si="196"/>
        <v>0</v>
      </c>
      <c r="AH37" s="201">
        <f t="shared" si="197"/>
        <v>0</v>
      </c>
      <c r="AI37" s="199">
        <f>_xlfn.XLOOKUP(A37,'2.0SASA'!$A:$A,'2.0SASA'!$U:$U,"",0)</f>
        <v>0</v>
      </c>
      <c r="AJ37" s="200">
        <f t="shared" si="198"/>
        <v>0</v>
      </c>
      <c r="AK37" s="201">
        <f t="shared" si="199"/>
        <v>0</v>
      </c>
      <c r="AL37" s="199">
        <f>_xlfn.XLOOKUP(A37,'2.0SASA'!$A:$A,'2.0SASA'!$Q:$Q,"",0)</f>
        <v>70</v>
      </c>
      <c r="AM37" s="200">
        <f t="shared" si="200"/>
        <v>3.3816425120772946</v>
      </c>
      <c r="AN37" s="201">
        <f t="shared" si="201"/>
        <v>4</v>
      </c>
      <c r="AO37" s="199">
        <f>_xlfn.XLOOKUP(A37,'2.0SASA'!$A:$A,'2.0SASA'!$AD:$AD,"",0)</f>
        <v>50</v>
      </c>
      <c r="AP37" s="200">
        <f t="shared" si="202"/>
        <v>2.5974025974025974</v>
      </c>
      <c r="AQ37" s="201">
        <f t="shared" si="203"/>
        <v>4</v>
      </c>
      <c r="AR37" s="280"/>
      <c r="AS37" s="280"/>
      <c r="AT37" s="66"/>
      <c r="AU37" s="62"/>
    </row>
    <row r="38" spans="1:48" s="57" customFormat="1" ht="17.25" customHeight="1">
      <c r="A38" s="198" t="s">
        <v>218</v>
      </c>
      <c r="B38" s="199">
        <f>_xlfn.XLOOKUP(A38,'2.0SASA'!$A:$A,'2.0SASA'!$C:$C,"",0)</f>
        <v>40</v>
      </c>
      <c r="C38" s="200">
        <f t="shared" si="176"/>
        <v>3.695150115473441</v>
      </c>
      <c r="D38" s="201">
        <f t="shared" si="177"/>
        <v>4</v>
      </c>
      <c r="E38" s="199">
        <f>_xlfn.XLOOKUP(A38,'2.0SASA'!$A:$A,'2.0SASA'!$B:$B,"",0)</f>
        <v>0</v>
      </c>
      <c r="F38" s="200">
        <f t="shared" si="178"/>
        <v>0</v>
      </c>
      <c r="G38" s="201">
        <f t="shared" si="179"/>
        <v>0</v>
      </c>
      <c r="H38" s="199">
        <f>_xlfn.XLOOKUP(A38,'2.0SASA'!$A:$A,'2.0SASA'!$J:$J,"",0)</f>
        <v>40</v>
      </c>
      <c r="I38" s="200">
        <f t="shared" si="180"/>
        <v>3.669724770642202</v>
      </c>
      <c r="J38" s="201">
        <f t="shared" si="181"/>
        <v>4</v>
      </c>
      <c r="K38" s="199">
        <f>_xlfn.XLOOKUP(A38,'2.0SASA'!$A:$A,'2.0SASA'!$K:$K,"",0)</f>
        <v>40</v>
      </c>
      <c r="L38" s="200">
        <f t="shared" si="182"/>
        <v>4.1025641025641022</v>
      </c>
      <c r="M38" s="201">
        <f t="shared" si="183"/>
        <v>4</v>
      </c>
      <c r="N38" s="199">
        <f>_xlfn.XLOOKUP(A38,'2.0SASA'!$A:$A,'2.0SASA'!$G:$G,"",0)</f>
        <v>0</v>
      </c>
      <c r="O38" s="200">
        <f t="shared" si="184"/>
        <v>0</v>
      </c>
      <c r="P38" s="201">
        <f t="shared" si="185"/>
        <v>0</v>
      </c>
      <c r="Q38" s="199">
        <f>_xlfn.XLOOKUP(A38,'2.0SASA'!$A:$A,'2.0SASA'!$I:$I,"",0)</f>
        <v>0</v>
      </c>
      <c r="R38" s="200">
        <f t="shared" si="186"/>
        <v>0</v>
      </c>
      <c r="S38" s="201">
        <f t="shared" si="187"/>
        <v>0</v>
      </c>
      <c r="T38" s="199">
        <f>_xlfn.XLOOKUP(A38,'2.0SASA'!$A:$A,'2.0SASA'!$F:$F,"",0)</f>
        <v>20</v>
      </c>
      <c r="U38" s="200">
        <f t="shared" si="188"/>
        <v>2</v>
      </c>
      <c r="V38" s="201">
        <f t="shared" si="189"/>
        <v>0</v>
      </c>
      <c r="W38" s="199">
        <f>_xlfn.XLOOKUP(A38,'2.0SASA'!$A:$A,'2.0SASA'!$H:$H,"",0)</f>
        <v>60</v>
      </c>
      <c r="X38" s="200">
        <f t="shared" si="190"/>
        <v>5.25</v>
      </c>
      <c r="Y38" s="201">
        <f t="shared" si="191"/>
        <v>6</v>
      </c>
      <c r="Z38" s="199">
        <f>_xlfn.XLOOKUP(A38,'2.0SASA'!$A:$A,'2.0SASA'!$D:$D,"",0)</f>
        <v>60</v>
      </c>
      <c r="AA38" s="200">
        <f t="shared" si="192"/>
        <v>5.8181818181818183</v>
      </c>
      <c r="AB38" s="201">
        <f t="shared" si="193"/>
        <v>6</v>
      </c>
      <c r="AC38" s="199">
        <f>_xlfn.XLOOKUP(A38,'2.0SASA'!$A:$A,'2.0SASA'!$E:$E,"",0)</f>
        <v>60</v>
      </c>
      <c r="AD38" s="200">
        <f t="shared" si="194"/>
        <v>5.806451612903226</v>
      </c>
      <c r="AE38" s="201">
        <f t="shared" si="195"/>
        <v>6</v>
      </c>
      <c r="AF38" s="199">
        <f>_xlfn.XLOOKUP(A38,'2.0SASA'!$A:$A,'2.0SASA'!$V:$V,"",0)</f>
        <v>0</v>
      </c>
      <c r="AG38" s="200">
        <f t="shared" si="196"/>
        <v>0</v>
      </c>
      <c r="AH38" s="201">
        <f t="shared" si="197"/>
        <v>0</v>
      </c>
      <c r="AI38" s="199">
        <f>_xlfn.XLOOKUP(A38,'2.0SASA'!$A:$A,'2.0SASA'!$U:$U,"",0)</f>
        <v>10</v>
      </c>
      <c r="AJ38" s="200">
        <f t="shared" si="198"/>
        <v>0.45112781954887216</v>
      </c>
      <c r="AK38" s="201">
        <f t="shared" si="199"/>
        <v>0</v>
      </c>
      <c r="AL38" s="199">
        <f>_xlfn.XLOOKUP(A38,'2.0SASA'!$A:$A,'2.0SASA'!$Q:$Q,"",0)</f>
        <v>0</v>
      </c>
      <c r="AM38" s="200">
        <f t="shared" si="200"/>
        <v>0</v>
      </c>
      <c r="AN38" s="201">
        <f t="shared" si="201"/>
        <v>0</v>
      </c>
      <c r="AO38" s="199">
        <f>_xlfn.XLOOKUP(A38,'2.0SASA'!$A:$A,'2.0SASA'!$AD:$AD,"",0)</f>
        <v>0</v>
      </c>
      <c r="AP38" s="200">
        <f t="shared" si="202"/>
        <v>0</v>
      </c>
      <c r="AQ38" s="201">
        <f t="shared" si="203"/>
        <v>0</v>
      </c>
      <c r="AR38" s="280"/>
      <c r="AS38" s="280"/>
      <c r="AT38" s="67"/>
      <c r="AU38" s="280"/>
      <c r="AV38" s="66"/>
    </row>
    <row r="39" spans="1:48" s="57" customFormat="1" ht="17.25" customHeight="1">
      <c r="A39" s="198" t="s">
        <v>225</v>
      </c>
      <c r="B39" s="199">
        <f>_xlfn.XLOOKUP(A39,'2.0SASA'!$A:$A,'2.0SASA'!$C:$C,"",0)</f>
        <v>30</v>
      </c>
      <c r="C39" s="200">
        <f t="shared" si="176"/>
        <v>2.7713625866050808</v>
      </c>
      <c r="D39" s="201">
        <f t="shared" si="177"/>
        <v>4</v>
      </c>
      <c r="E39" s="199">
        <f>_xlfn.XLOOKUP(A39,'2.0SASA'!$A:$A,'2.0SASA'!$B:$B,"",0)</f>
        <v>0</v>
      </c>
      <c r="F39" s="200">
        <f t="shared" si="178"/>
        <v>0</v>
      </c>
      <c r="G39" s="201">
        <f t="shared" si="179"/>
        <v>0</v>
      </c>
      <c r="H39" s="199">
        <f>_xlfn.XLOOKUP(A39,'2.0SASA'!$A:$A,'2.0SASA'!$J:$J,"",0)</f>
        <v>0</v>
      </c>
      <c r="I39" s="200">
        <f t="shared" si="180"/>
        <v>0</v>
      </c>
      <c r="J39" s="201">
        <f t="shared" si="181"/>
        <v>0</v>
      </c>
      <c r="K39" s="199">
        <f>_xlfn.XLOOKUP(A39,'2.0SASA'!$A:$A,'2.0SASA'!$K:$K,"",0)</f>
        <v>20</v>
      </c>
      <c r="L39" s="200">
        <f t="shared" si="182"/>
        <v>2.0512820512820511</v>
      </c>
      <c r="M39" s="201">
        <f t="shared" si="183"/>
        <v>0</v>
      </c>
      <c r="N39" s="199">
        <f>_xlfn.XLOOKUP(A39,'2.0SASA'!$A:$A,'2.0SASA'!$G:$G,"",0)</f>
        <v>0</v>
      </c>
      <c r="O39" s="200">
        <f t="shared" si="184"/>
        <v>0</v>
      </c>
      <c r="P39" s="201">
        <f t="shared" si="185"/>
        <v>0</v>
      </c>
      <c r="Q39" s="199">
        <f>_xlfn.XLOOKUP(A39,'2.0SASA'!$A:$A,'2.0SASA'!$I:$I,"",0)</f>
        <v>0</v>
      </c>
      <c r="R39" s="200">
        <f t="shared" si="186"/>
        <v>0</v>
      </c>
      <c r="S39" s="201">
        <f t="shared" si="187"/>
        <v>0</v>
      </c>
      <c r="T39" s="199">
        <f>_xlfn.XLOOKUP(A39,'2.0SASA'!$A:$A,'2.0SASA'!$F:$F,"",0)</f>
        <v>0</v>
      </c>
      <c r="U39" s="200">
        <f t="shared" si="188"/>
        <v>0</v>
      </c>
      <c r="V39" s="201">
        <f t="shared" si="189"/>
        <v>0</v>
      </c>
      <c r="W39" s="199">
        <f>_xlfn.XLOOKUP(A39,'2.0SASA'!$A:$A,'2.0SASA'!$H:$H,"",0)</f>
        <v>50</v>
      </c>
      <c r="X39" s="200">
        <f t="shared" si="190"/>
        <v>4.375</v>
      </c>
      <c r="Y39" s="201">
        <f t="shared" si="191"/>
        <v>4</v>
      </c>
      <c r="Z39" s="199">
        <f>_xlfn.XLOOKUP(A39,'2.0SASA'!$A:$A,'2.0SASA'!$D:$D,"",0)</f>
        <v>50</v>
      </c>
      <c r="AA39" s="200">
        <f t="shared" si="192"/>
        <v>4.8484848484848486</v>
      </c>
      <c r="AB39" s="201">
        <f t="shared" si="193"/>
        <v>4</v>
      </c>
      <c r="AC39" s="199">
        <f>_xlfn.XLOOKUP(A39,'2.0SASA'!$A:$A,'2.0SASA'!$E:$E,"",0)</f>
        <v>50</v>
      </c>
      <c r="AD39" s="200">
        <f t="shared" si="194"/>
        <v>4.838709677419355</v>
      </c>
      <c r="AE39" s="201">
        <f t="shared" si="195"/>
        <v>4</v>
      </c>
      <c r="AF39" s="199">
        <f>_xlfn.XLOOKUP(A39,'2.0SASA'!$A:$A,'2.0SASA'!$V:$V,"",0)</f>
        <v>0</v>
      </c>
      <c r="AG39" s="200">
        <f t="shared" si="196"/>
        <v>0</v>
      </c>
      <c r="AH39" s="201">
        <f t="shared" si="197"/>
        <v>0</v>
      </c>
      <c r="AI39" s="199">
        <f>_xlfn.XLOOKUP(A39,'2.0SASA'!$A:$A,'2.0SASA'!$U:$U,"",0)</f>
        <v>10</v>
      </c>
      <c r="AJ39" s="200">
        <f t="shared" si="198"/>
        <v>0.45112781954887216</v>
      </c>
      <c r="AK39" s="201">
        <f t="shared" si="199"/>
        <v>0</v>
      </c>
      <c r="AL39" s="199">
        <f>_xlfn.XLOOKUP(A39,'2.0SASA'!$A:$A,'2.0SASA'!$Q:$Q,"",0)</f>
        <v>10</v>
      </c>
      <c r="AM39" s="200">
        <f t="shared" si="200"/>
        <v>0.48309178743961351</v>
      </c>
      <c r="AN39" s="201">
        <f t="shared" si="201"/>
        <v>0</v>
      </c>
      <c r="AO39" s="199">
        <f>_xlfn.XLOOKUP(A39,'2.0SASA'!$A:$A,'2.0SASA'!$AD:$AD,"",0)</f>
        <v>0</v>
      </c>
      <c r="AP39" s="200">
        <f t="shared" si="202"/>
        <v>0</v>
      </c>
      <c r="AQ39" s="201">
        <f t="shared" si="203"/>
        <v>0</v>
      </c>
      <c r="AU39" s="280"/>
      <c r="AV39" s="67"/>
    </row>
    <row r="40" spans="1:48" s="57" customFormat="1" ht="17.25" customHeight="1">
      <c r="A40" s="198" t="s">
        <v>231</v>
      </c>
      <c r="B40" s="199">
        <f>_xlfn.XLOOKUP(A40,'2.0SASA'!$A:$A,'2.0SASA'!$C:$C,"",0)</f>
        <v>0</v>
      </c>
      <c r="C40" s="200">
        <f t="shared" si="176"/>
        <v>0</v>
      </c>
      <c r="D40" s="201">
        <f t="shared" si="177"/>
        <v>0</v>
      </c>
      <c r="E40" s="199">
        <f>_xlfn.XLOOKUP(A40,'2.0SASA'!$A:$A,'2.0SASA'!$B:$B,"",0)</f>
        <v>0</v>
      </c>
      <c r="F40" s="200">
        <f t="shared" si="178"/>
        <v>0</v>
      </c>
      <c r="G40" s="201">
        <f t="shared" si="179"/>
        <v>0</v>
      </c>
      <c r="H40" s="199">
        <f>_xlfn.XLOOKUP(A40,'2.0SASA'!$A:$A,'2.0SASA'!$J:$J,"",0)</f>
        <v>30</v>
      </c>
      <c r="I40" s="200">
        <f t="shared" si="180"/>
        <v>2.7522935779816513</v>
      </c>
      <c r="J40" s="201">
        <f t="shared" si="181"/>
        <v>4</v>
      </c>
      <c r="K40" s="199">
        <f>_xlfn.XLOOKUP(A40,'2.0SASA'!$A:$A,'2.0SASA'!$K:$K,"",0)</f>
        <v>10</v>
      </c>
      <c r="L40" s="200">
        <f t="shared" si="182"/>
        <v>1.0256410256410255</v>
      </c>
      <c r="M40" s="201">
        <f t="shared" si="183"/>
        <v>0</v>
      </c>
      <c r="N40" s="199">
        <f>_xlfn.XLOOKUP(A40,'2.0SASA'!$A:$A,'2.0SASA'!$G:$G,"",0)</f>
        <v>0</v>
      </c>
      <c r="O40" s="200">
        <f t="shared" si="184"/>
        <v>0</v>
      </c>
      <c r="P40" s="201">
        <f t="shared" si="185"/>
        <v>0</v>
      </c>
      <c r="Q40" s="199">
        <f>_xlfn.XLOOKUP(A40,'2.0SASA'!$A:$A,'2.0SASA'!$I:$I,"",0)</f>
        <v>0</v>
      </c>
      <c r="R40" s="200">
        <f t="shared" si="186"/>
        <v>0</v>
      </c>
      <c r="S40" s="201">
        <f t="shared" si="187"/>
        <v>0</v>
      </c>
      <c r="T40" s="199">
        <f>_xlfn.XLOOKUP(A40,'2.0SASA'!$A:$A,'2.0SASA'!$F:$F,"",0)</f>
        <v>20</v>
      </c>
      <c r="U40" s="200">
        <f t="shared" si="188"/>
        <v>2</v>
      </c>
      <c r="V40" s="201">
        <f t="shared" si="189"/>
        <v>0</v>
      </c>
      <c r="W40" s="199">
        <f>_xlfn.XLOOKUP(A40,'2.0SASA'!$A:$A,'2.0SASA'!$H:$H,"",0)</f>
        <v>80</v>
      </c>
      <c r="X40" s="200">
        <f t="shared" si="190"/>
        <v>7</v>
      </c>
      <c r="Y40" s="201">
        <f t="shared" si="191"/>
        <v>8</v>
      </c>
      <c r="Z40" s="199">
        <f>_xlfn.XLOOKUP(A40,'2.0SASA'!$A:$A,'2.0SASA'!$D:$D,"",0)</f>
        <v>90</v>
      </c>
      <c r="AA40" s="200">
        <f t="shared" si="192"/>
        <v>8.7272727272727266</v>
      </c>
      <c r="AB40" s="201">
        <f t="shared" si="193"/>
        <v>8</v>
      </c>
      <c r="AC40" s="199">
        <f>_xlfn.XLOOKUP(A40,'2.0SASA'!$A:$A,'2.0SASA'!$E:$E,"",0)</f>
        <v>70</v>
      </c>
      <c r="AD40" s="200">
        <f t="shared" si="194"/>
        <v>6.774193548387097</v>
      </c>
      <c r="AE40" s="201">
        <f t="shared" si="195"/>
        <v>6</v>
      </c>
      <c r="AF40" s="199">
        <f>_xlfn.XLOOKUP(A40,'2.0SASA'!$A:$A,'2.0SASA'!$V:$V,"",0)</f>
        <v>0</v>
      </c>
      <c r="AG40" s="200">
        <f t="shared" si="196"/>
        <v>0</v>
      </c>
      <c r="AH40" s="201">
        <f t="shared" si="197"/>
        <v>0</v>
      </c>
      <c r="AI40" s="199">
        <f>_xlfn.XLOOKUP(A40,'2.0SASA'!$A:$A,'2.0SASA'!$U:$U,"",0)</f>
        <v>20</v>
      </c>
      <c r="AJ40" s="200">
        <f t="shared" si="198"/>
        <v>0.90225563909774431</v>
      </c>
      <c r="AK40" s="201">
        <f t="shared" si="199"/>
        <v>0</v>
      </c>
      <c r="AL40" s="199">
        <f>_xlfn.XLOOKUP(A40,'2.0SASA'!$A:$A,'2.0SASA'!$Q:$Q,"",0)</f>
        <v>90</v>
      </c>
      <c r="AM40" s="200">
        <f t="shared" si="200"/>
        <v>4.3478260869565215</v>
      </c>
      <c r="AN40" s="201">
        <f t="shared" si="201"/>
        <v>4</v>
      </c>
      <c r="AO40" s="199">
        <f>_xlfn.XLOOKUP(A40,'2.0SASA'!$A:$A,'2.0SASA'!$AD:$AD,"",0)</f>
        <v>0</v>
      </c>
      <c r="AP40" s="200">
        <f t="shared" si="202"/>
        <v>0</v>
      </c>
      <c r="AQ40" s="201">
        <f t="shared" si="203"/>
        <v>0</v>
      </c>
    </row>
    <row r="41" spans="1:48" s="58" customFormat="1" ht="17.25" customHeight="1">
      <c r="A41" s="202" t="s">
        <v>399</v>
      </c>
      <c r="B41" s="204">
        <f>SUM(B34:B40)</f>
        <v>283</v>
      </c>
      <c r="C41" s="204">
        <f t="shared" ref="C41:AQ41" si="204">SUM(C34:C40)</f>
        <v>26.143187066974598</v>
      </c>
      <c r="D41" s="204">
        <f t="shared" si="204"/>
        <v>26</v>
      </c>
      <c r="E41" s="204">
        <f t="shared" si="204"/>
        <v>10</v>
      </c>
      <c r="F41" s="204">
        <f t="shared" si="204"/>
        <v>1</v>
      </c>
      <c r="G41" s="204">
        <f t="shared" si="204"/>
        <v>0</v>
      </c>
      <c r="H41" s="204">
        <f t="shared" si="204"/>
        <v>330</v>
      </c>
      <c r="I41" s="204">
        <f t="shared" si="204"/>
        <v>30.275229357798164</v>
      </c>
      <c r="J41" s="204">
        <f t="shared" si="204"/>
        <v>32</v>
      </c>
      <c r="K41" s="204">
        <f t="shared" si="204"/>
        <v>250</v>
      </c>
      <c r="L41" s="204">
        <f t="shared" si="204"/>
        <v>25.641025641025639</v>
      </c>
      <c r="M41" s="204">
        <f t="shared" si="204"/>
        <v>24</v>
      </c>
      <c r="N41" s="204">
        <f t="shared" si="204"/>
        <v>0</v>
      </c>
      <c r="O41" s="204">
        <f t="shared" si="204"/>
        <v>0</v>
      </c>
      <c r="P41" s="204">
        <f t="shared" si="204"/>
        <v>0</v>
      </c>
      <c r="Q41" s="204">
        <f t="shared" si="204"/>
        <v>0</v>
      </c>
      <c r="R41" s="204">
        <f t="shared" si="204"/>
        <v>0</v>
      </c>
      <c r="S41" s="204">
        <f t="shared" si="204"/>
        <v>0</v>
      </c>
      <c r="T41" s="204">
        <f t="shared" si="204"/>
        <v>180</v>
      </c>
      <c r="U41" s="204">
        <f t="shared" si="204"/>
        <v>18</v>
      </c>
      <c r="V41" s="204">
        <f t="shared" si="204"/>
        <v>16</v>
      </c>
      <c r="W41" s="204">
        <f t="shared" si="204"/>
        <v>400</v>
      </c>
      <c r="X41" s="204">
        <f t="shared" si="204"/>
        <v>35</v>
      </c>
      <c r="Y41" s="204">
        <f t="shared" si="204"/>
        <v>40</v>
      </c>
      <c r="Z41" s="204">
        <f t="shared" si="204"/>
        <v>360</v>
      </c>
      <c r="AA41" s="204">
        <f t="shared" si="204"/>
        <v>34.909090909090907</v>
      </c>
      <c r="AB41" s="204">
        <f t="shared" si="204"/>
        <v>34</v>
      </c>
      <c r="AC41" s="204">
        <f t="shared" si="204"/>
        <v>190</v>
      </c>
      <c r="AD41" s="204">
        <f t="shared" si="204"/>
        <v>18.387096774193548</v>
      </c>
      <c r="AE41" s="204">
        <f t="shared" si="204"/>
        <v>16</v>
      </c>
      <c r="AF41" s="204">
        <f t="shared" si="204"/>
        <v>0</v>
      </c>
      <c r="AG41" s="204">
        <f t="shared" si="204"/>
        <v>0</v>
      </c>
      <c r="AH41" s="204">
        <f t="shared" si="204"/>
        <v>0</v>
      </c>
      <c r="AI41" s="204">
        <f t="shared" si="204"/>
        <v>170</v>
      </c>
      <c r="AJ41" s="204">
        <f t="shared" si="204"/>
        <v>7.6691729323308273</v>
      </c>
      <c r="AK41" s="204">
        <f t="shared" si="204"/>
        <v>4</v>
      </c>
      <c r="AL41" s="204">
        <f t="shared" si="204"/>
        <v>380</v>
      </c>
      <c r="AM41" s="204">
        <f t="shared" si="204"/>
        <v>18.357487922705314</v>
      </c>
      <c r="AN41" s="204">
        <f t="shared" si="204"/>
        <v>20</v>
      </c>
      <c r="AO41" s="204">
        <f t="shared" si="204"/>
        <v>100</v>
      </c>
      <c r="AP41" s="204">
        <f t="shared" si="204"/>
        <v>5.1948051948051948</v>
      </c>
      <c r="AQ41" s="204">
        <f t="shared" si="204"/>
        <v>4</v>
      </c>
    </row>
    <row r="42" spans="1:48" s="57" customFormat="1" ht="17.25" customHeight="1">
      <c r="A42" s="198" t="s">
        <v>240</v>
      </c>
      <c r="B42" s="199">
        <f>_xlfn.XLOOKUP(A42,'2.0SASA'!$A:$A,'2.0SASA'!$C:$C,"",0)</f>
        <v>10</v>
      </c>
      <c r="C42" s="200">
        <f t="shared" ref="C42:C44" si="205">B42*C$50/B$50</f>
        <v>0.92378752886836024</v>
      </c>
      <c r="D42" s="201">
        <f t="shared" ref="D42:D44" si="206">IF(C42&gt;4,ROUND(C42/2,0)*2,IF(C42&gt;2.2,4,0))</f>
        <v>0</v>
      </c>
      <c r="E42" s="199">
        <f>_xlfn.XLOOKUP(A42,'2.0SASA'!$A:$A,'2.0SASA'!$B:$B,"",0)</f>
        <v>0</v>
      </c>
      <c r="F42" s="200">
        <f t="shared" ref="F42:F44" si="207">E42*F$50/E$50</f>
        <v>0</v>
      </c>
      <c r="G42" s="201">
        <f t="shared" ref="G42:G44" si="208">IF(F42&gt;4,ROUND(F42/2,0)*2,IF(F42&gt;2.2,4,0))</f>
        <v>0</v>
      </c>
      <c r="H42" s="199">
        <f>_xlfn.XLOOKUP(A42,'2.0SASA'!$A:$A,'2.0SASA'!$J:$J,"",0)</f>
        <v>70</v>
      </c>
      <c r="I42" s="200">
        <f t="shared" ref="I42:I44" si="209">H42*I$50/H$50</f>
        <v>6.4220183486238529</v>
      </c>
      <c r="J42" s="201">
        <f t="shared" ref="J42:J44" si="210">IF(I42&gt;4,ROUND(I42/2,0)*2,IF(I42&gt;2,4,0))</f>
        <v>6</v>
      </c>
      <c r="K42" s="199">
        <f>_xlfn.XLOOKUP(A42,'2.0SASA'!$A:$A,'2.0SASA'!$K:$K,"",0)</f>
        <v>20</v>
      </c>
      <c r="L42" s="200">
        <f t="shared" ref="L42:L44" si="211">K42*L$50/K$50</f>
        <v>2.0512820512820511</v>
      </c>
      <c r="M42" s="201">
        <f t="shared" ref="M42:M44" si="212">IF(L42&gt;4,ROUND(L42/2,0)*2,IF(L42&gt;2.2,4,0))</f>
        <v>0</v>
      </c>
      <c r="N42" s="199">
        <f>_xlfn.XLOOKUP(A42,'2.0SASA'!$A:$A,'2.0SASA'!$G:$G,"",0)</f>
        <v>0</v>
      </c>
      <c r="O42" s="200">
        <f t="shared" ref="O42:O44" si="213">N42*O$50/N$50</f>
        <v>0</v>
      </c>
      <c r="P42" s="201">
        <f t="shared" ref="P42:P44" si="214">IF(O42&gt;4,ROUND(O42/2,0)*2,IF(O42&gt;2.2,4,0))</f>
        <v>0</v>
      </c>
      <c r="Q42" s="199">
        <f>_xlfn.XLOOKUP(A42,'2.0SASA'!$A:$A,'2.0SASA'!$I:$I,"",0)</f>
        <v>0</v>
      </c>
      <c r="R42" s="200">
        <f t="shared" ref="R42:R44" si="215">Q42*R$50/Q$50</f>
        <v>0</v>
      </c>
      <c r="S42" s="201">
        <f t="shared" ref="S42:S44" si="216">IF(R42&gt;4,ROUND(R42/2,0)*2,IF(R42&gt;2.2,4,0))</f>
        <v>0</v>
      </c>
      <c r="T42" s="199">
        <f>_xlfn.XLOOKUP(A42,'2.0SASA'!$A:$A,'2.0SASA'!$F:$F,"",0)</f>
        <v>0</v>
      </c>
      <c r="U42" s="200">
        <f t="shared" ref="U42:U44" si="217">T42*U$50/T$50</f>
        <v>0</v>
      </c>
      <c r="V42" s="201">
        <f t="shared" ref="V42:V44" si="218">IF(U42&gt;4,ROUND(U42/2,0)*2,IF(U42&gt;2.2,4,0))</f>
        <v>0</v>
      </c>
      <c r="W42" s="199">
        <f>_xlfn.XLOOKUP(A42,'2.0SASA'!$A:$A,'2.0SASA'!$H:$H,"",0)</f>
        <v>40</v>
      </c>
      <c r="X42" s="200">
        <f t="shared" ref="X42:X44" si="219">W42*X$50/W$50</f>
        <v>3.5</v>
      </c>
      <c r="Y42" s="201">
        <f t="shared" ref="Y42:Y44" si="220">IF(X42&gt;4,ROUND(X42/2,0)*2,IF(X42&gt;2.2,4,0))</f>
        <v>4</v>
      </c>
      <c r="Z42" s="199">
        <f>_xlfn.XLOOKUP(A42,'2.0SASA'!$A:$A,'2.0SASA'!$D:$D,"",0)</f>
        <v>20</v>
      </c>
      <c r="AA42" s="200">
        <f t="shared" ref="AA42:AA44" si="221">Z42*AA$50/Z$50</f>
        <v>1.9393939393939394</v>
      </c>
      <c r="AB42" s="201">
        <f t="shared" ref="AB42:AB44" si="222">IF(AA42&gt;4,ROUND(AA42/2,0)*2,IF(AA42&gt;2.2,4,0))</f>
        <v>0</v>
      </c>
      <c r="AC42" s="199">
        <f>_xlfn.XLOOKUP(A42,'2.0SASA'!$A:$A,'2.0SASA'!$E:$E,"",0)</f>
        <v>10</v>
      </c>
      <c r="AD42" s="200">
        <f t="shared" ref="AD42:AD44" si="223">AC42*AD$50/AC$50</f>
        <v>0.967741935483871</v>
      </c>
      <c r="AE42" s="201">
        <f t="shared" ref="AE42:AE44" si="224">IF(AD42&gt;4,ROUND(AD42/2,0)*2,IF(AD42&gt;2.2,4,0))</f>
        <v>0</v>
      </c>
      <c r="AF42" s="199">
        <f>_xlfn.XLOOKUP(A42,'2.0SASA'!$A:$A,'2.0SASA'!$V:$V,"",0)</f>
        <v>0</v>
      </c>
      <c r="AG42" s="200">
        <f t="shared" ref="AG42:AG44" si="225">AF42*AG$50/AF$50</f>
        <v>0</v>
      </c>
      <c r="AH42" s="201">
        <f t="shared" ref="AH42:AH44" si="226">IF(AG42&gt;4,ROUND(AG42/2,0)*2,IF(AG42&gt;2.2,4,0))</f>
        <v>0</v>
      </c>
      <c r="AI42" s="199">
        <f>_xlfn.XLOOKUP(A42,'2.0SASA'!$A:$A,'2.0SASA'!$U:$U,"",0)</f>
        <v>0</v>
      </c>
      <c r="AJ42" s="200">
        <f t="shared" ref="AJ42:AJ44" si="227">AI42*AJ$50/AI$50</f>
        <v>0</v>
      </c>
      <c r="AK42" s="201">
        <f t="shared" ref="AK42:AK44" si="228">IF(AJ42&gt;4,ROUND(AJ42/2,0)*2,IF(AJ42&gt;2,4,0))</f>
        <v>0</v>
      </c>
      <c r="AL42" s="199">
        <f>_xlfn.XLOOKUP(A42,'2.0SASA'!$A:$A,'2.0SASA'!$Q:$Q,"",0)</f>
        <v>30</v>
      </c>
      <c r="AM42" s="200">
        <f t="shared" ref="AM42:AM44" si="229">AL42*AM$50/AL$50</f>
        <v>1.4492753623188406</v>
      </c>
      <c r="AN42" s="201">
        <f t="shared" ref="AN42:AN44" si="230">IF(AM42&gt;4,ROUND(AM42/2,0)*2,IF(AM42&gt;2.2,4,0))</f>
        <v>0</v>
      </c>
      <c r="AO42" s="199">
        <f>_xlfn.XLOOKUP(A42,'2.0SASA'!$A:$A,'2.0SASA'!$AD:$AD,"",0)</f>
        <v>0</v>
      </c>
      <c r="AP42" s="200">
        <f t="shared" ref="AP42:AP44" si="231">AO42*AP$50/AO$50</f>
        <v>0</v>
      </c>
      <c r="AQ42" s="201">
        <f t="shared" ref="AQ42:AQ44" si="232">IF(AP42&gt;4,ROUND(AP42/2,0)*2,IF(AP42&gt;2.2,4,0))</f>
        <v>0</v>
      </c>
    </row>
    <row r="43" spans="1:48" s="57" customFormat="1" ht="17.25" customHeight="1">
      <c r="A43" s="198" t="s">
        <v>267</v>
      </c>
      <c r="B43" s="199">
        <f>_xlfn.XLOOKUP(A43,'2.0SASA'!$A:$A,'2.0SASA'!$C:$C,"",0)</f>
        <v>10</v>
      </c>
      <c r="C43" s="200">
        <f t="shared" si="205"/>
        <v>0.92378752886836024</v>
      </c>
      <c r="D43" s="201">
        <f t="shared" si="206"/>
        <v>0</v>
      </c>
      <c r="E43" s="199">
        <f>_xlfn.XLOOKUP(A43,'2.0SASA'!$A:$A,'2.0SASA'!$B:$B,"",0)</f>
        <v>10</v>
      </c>
      <c r="F43" s="200">
        <f t="shared" si="207"/>
        <v>1</v>
      </c>
      <c r="G43" s="201">
        <f t="shared" si="208"/>
        <v>0</v>
      </c>
      <c r="H43" s="199">
        <f>_xlfn.XLOOKUP(A43,'2.0SASA'!$A:$A,'2.0SASA'!$J:$J,"",0)</f>
        <v>50</v>
      </c>
      <c r="I43" s="200">
        <f t="shared" si="209"/>
        <v>4.5871559633027523</v>
      </c>
      <c r="J43" s="201">
        <f t="shared" si="210"/>
        <v>4</v>
      </c>
      <c r="K43" s="199">
        <f>_xlfn.XLOOKUP(A43,'2.0SASA'!$A:$A,'2.0SASA'!$K:$K,"",0)</f>
        <v>40</v>
      </c>
      <c r="L43" s="200">
        <f t="shared" si="211"/>
        <v>4.1025641025641022</v>
      </c>
      <c r="M43" s="201">
        <f t="shared" si="212"/>
        <v>4</v>
      </c>
      <c r="N43" s="199">
        <f>_xlfn.XLOOKUP(A43,'2.0SASA'!$A:$A,'2.0SASA'!$G:$G,"",0)</f>
        <v>0</v>
      </c>
      <c r="O43" s="200">
        <f t="shared" si="213"/>
        <v>0</v>
      </c>
      <c r="P43" s="201">
        <f t="shared" si="214"/>
        <v>0</v>
      </c>
      <c r="Q43" s="199">
        <f>_xlfn.XLOOKUP(A43,'2.0SASA'!$A:$A,'2.0SASA'!$I:$I,"",0)</f>
        <v>0</v>
      </c>
      <c r="R43" s="200">
        <f t="shared" si="215"/>
        <v>0</v>
      </c>
      <c r="S43" s="201">
        <f t="shared" si="216"/>
        <v>0</v>
      </c>
      <c r="T43" s="199">
        <f>_xlfn.XLOOKUP(A43,'2.0SASA'!$A:$A,'2.0SASA'!$F:$F,"",0)</f>
        <v>0</v>
      </c>
      <c r="U43" s="200">
        <f t="shared" si="217"/>
        <v>0</v>
      </c>
      <c r="V43" s="201">
        <f t="shared" si="218"/>
        <v>0</v>
      </c>
      <c r="W43" s="199">
        <f>_xlfn.XLOOKUP(A43,'2.0SASA'!$A:$A,'2.0SASA'!$H:$H,"",0)</f>
        <v>50</v>
      </c>
      <c r="X43" s="200">
        <f t="shared" si="219"/>
        <v>4.375</v>
      </c>
      <c r="Y43" s="201">
        <f t="shared" si="220"/>
        <v>4</v>
      </c>
      <c r="Z43" s="199">
        <f>_xlfn.XLOOKUP(A43,'2.0SASA'!$A:$A,'2.0SASA'!$D:$D,"",0)</f>
        <v>20</v>
      </c>
      <c r="AA43" s="200">
        <f t="shared" si="221"/>
        <v>1.9393939393939394</v>
      </c>
      <c r="AB43" s="201">
        <f t="shared" si="222"/>
        <v>0</v>
      </c>
      <c r="AC43" s="199">
        <f>_xlfn.XLOOKUP(A43,'2.0SASA'!$A:$A,'2.0SASA'!$E:$E,"",0)</f>
        <v>20</v>
      </c>
      <c r="AD43" s="200">
        <f t="shared" si="223"/>
        <v>1.935483870967742</v>
      </c>
      <c r="AE43" s="201">
        <f t="shared" si="224"/>
        <v>0</v>
      </c>
      <c r="AF43" s="199">
        <f>_xlfn.XLOOKUP(A43,'2.0SASA'!$A:$A,'2.0SASA'!$V:$V,"",0)</f>
        <v>0</v>
      </c>
      <c r="AG43" s="200">
        <f t="shared" si="225"/>
        <v>0</v>
      </c>
      <c r="AH43" s="201">
        <f t="shared" si="226"/>
        <v>0</v>
      </c>
      <c r="AI43" s="199">
        <f>_xlfn.XLOOKUP(A43,'2.0SASA'!$A:$A,'2.0SASA'!$U:$U,"",0)</f>
        <v>40</v>
      </c>
      <c r="AJ43" s="200">
        <f t="shared" si="227"/>
        <v>1.8045112781954886</v>
      </c>
      <c r="AK43" s="201">
        <f t="shared" si="228"/>
        <v>0</v>
      </c>
      <c r="AL43" s="199">
        <f>_xlfn.XLOOKUP(A43,'2.0SASA'!$A:$A,'2.0SASA'!$Q:$Q,"",0)</f>
        <v>20</v>
      </c>
      <c r="AM43" s="200">
        <f t="shared" si="229"/>
        <v>0.96618357487922701</v>
      </c>
      <c r="AN43" s="201">
        <f t="shared" si="230"/>
        <v>0</v>
      </c>
      <c r="AO43" s="199">
        <f>_xlfn.XLOOKUP(A43,'2.0SASA'!$A:$A,'2.0SASA'!$AD:$AD,"",0)</f>
        <v>0</v>
      </c>
      <c r="AP43" s="200">
        <f t="shared" si="231"/>
        <v>0</v>
      </c>
      <c r="AQ43" s="201">
        <f t="shared" si="232"/>
        <v>0</v>
      </c>
    </row>
    <row r="44" spans="1:48" s="57" customFormat="1" ht="17.25" customHeight="1">
      <c r="A44" s="198" t="s">
        <v>251</v>
      </c>
      <c r="B44" s="199">
        <f>_xlfn.XLOOKUP(A44,'2.0SASA'!$A:$A,'2.0SASA'!$C:$C,"",0)</f>
        <v>0</v>
      </c>
      <c r="C44" s="200">
        <f t="shared" si="205"/>
        <v>0</v>
      </c>
      <c r="D44" s="201">
        <f t="shared" si="206"/>
        <v>0</v>
      </c>
      <c r="E44" s="199">
        <f>_xlfn.XLOOKUP(A44,'2.0SASA'!$A:$A,'2.0SASA'!$B:$B,"",0)</f>
        <v>30</v>
      </c>
      <c r="F44" s="200">
        <f t="shared" si="207"/>
        <v>3</v>
      </c>
      <c r="G44" s="201">
        <f t="shared" si="208"/>
        <v>4</v>
      </c>
      <c r="H44" s="199">
        <f>_xlfn.XLOOKUP(A44,'2.0SASA'!$A:$A,'2.0SASA'!$J:$J,"",0)</f>
        <v>0</v>
      </c>
      <c r="I44" s="200">
        <f t="shared" si="209"/>
        <v>0</v>
      </c>
      <c r="J44" s="201">
        <f t="shared" si="210"/>
        <v>0</v>
      </c>
      <c r="K44" s="199">
        <f>_xlfn.XLOOKUP(A44,'2.0SASA'!$A:$A,'2.0SASA'!$K:$K,"",0)</f>
        <v>30</v>
      </c>
      <c r="L44" s="200">
        <f t="shared" si="211"/>
        <v>3.0769230769230771</v>
      </c>
      <c r="M44" s="201">
        <f t="shared" si="212"/>
        <v>4</v>
      </c>
      <c r="N44" s="199">
        <f>_xlfn.XLOOKUP(A44,'2.0SASA'!$A:$A,'2.0SASA'!$G:$G,"",0)</f>
        <v>0</v>
      </c>
      <c r="O44" s="200">
        <f t="shared" si="213"/>
        <v>0</v>
      </c>
      <c r="P44" s="201">
        <f t="shared" si="214"/>
        <v>0</v>
      </c>
      <c r="Q44" s="199">
        <f>_xlfn.XLOOKUP(A44,'2.0SASA'!$A:$A,'2.0SASA'!$I:$I,"",0)</f>
        <v>0</v>
      </c>
      <c r="R44" s="200">
        <f t="shared" si="215"/>
        <v>0</v>
      </c>
      <c r="S44" s="201">
        <f t="shared" si="216"/>
        <v>0</v>
      </c>
      <c r="T44" s="199">
        <f>_xlfn.XLOOKUP(A44,'2.0SASA'!$A:$A,'2.0SASA'!$F:$F,"",0)</f>
        <v>0</v>
      </c>
      <c r="U44" s="200">
        <f t="shared" si="217"/>
        <v>0</v>
      </c>
      <c r="V44" s="201">
        <f t="shared" si="218"/>
        <v>0</v>
      </c>
      <c r="W44" s="199">
        <f>_xlfn.XLOOKUP(A44,'2.0SASA'!$A:$A,'2.0SASA'!$H:$H,"",0)</f>
        <v>30</v>
      </c>
      <c r="X44" s="200">
        <f t="shared" si="219"/>
        <v>2.625</v>
      </c>
      <c r="Y44" s="201">
        <f t="shared" si="220"/>
        <v>4</v>
      </c>
      <c r="Z44" s="199">
        <f>_xlfn.XLOOKUP(A44,'2.0SASA'!$A:$A,'2.0SASA'!$D:$D,"",0)</f>
        <v>0</v>
      </c>
      <c r="AA44" s="200">
        <f t="shared" si="221"/>
        <v>0</v>
      </c>
      <c r="AB44" s="201">
        <f t="shared" si="222"/>
        <v>0</v>
      </c>
      <c r="AC44" s="199">
        <f>_xlfn.XLOOKUP(A44,'2.0SASA'!$A:$A,'2.0SASA'!$E:$E,"",0)</f>
        <v>0</v>
      </c>
      <c r="AD44" s="200">
        <f t="shared" si="223"/>
        <v>0</v>
      </c>
      <c r="AE44" s="201">
        <f t="shared" si="224"/>
        <v>0</v>
      </c>
      <c r="AF44" s="199">
        <f>_xlfn.XLOOKUP(A44,'2.0SASA'!$A:$A,'2.0SASA'!$V:$V,"",0)</f>
        <v>0</v>
      </c>
      <c r="AG44" s="200">
        <f t="shared" si="225"/>
        <v>0</v>
      </c>
      <c r="AH44" s="201">
        <f t="shared" si="226"/>
        <v>0</v>
      </c>
      <c r="AI44" s="199">
        <f>_xlfn.XLOOKUP(A44,'2.0SASA'!$A:$A,'2.0SASA'!$U:$U,"",0)</f>
        <v>30</v>
      </c>
      <c r="AJ44" s="200">
        <f t="shared" si="227"/>
        <v>1.3533834586466165</v>
      </c>
      <c r="AK44" s="201">
        <f t="shared" si="228"/>
        <v>0</v>
      </c>
      <c r="AL44" s="199">
        <f>_xlfn.XLOOKUP(A44,'2.0SASA'!$A:$A,'2.0SASA'!$Q:$Q,"",0)</f>
        <v>0</v>
      </c>
      <c r="AM44" s="200">
        <f t="shared" si="229"/>
        <v>0</v>
      </c>
      <c r="AN44" s="201">
        <f t="shared" si="230"/>
        <v>0</v>
      </c>
      <c r="AO44" s="199">
        <f>_xlfn.XLOOKUP(A44,'2.0SASA'!$A:$A,'2.0SASA'!$AD:$AD,"",0)</f>
        <v>0</v>
      </c>
      <c r="AP44" s="200">
        <f t="shared" si="231"/>
        <v>0</v>
      </c>
      <c r="AQ44" s="201">
        <f t="shared" si="232"/>
        <v>0</v>
      </c>
    </row>
    <row r="45" spans="1:48" s="58" customFormat="1" ht="17.25" customHeight="1">
      <c r="A45" s="202" t="s">
        <v>400</v>
      </c>
      <c r="B45" s="204">
        <f>SUM(B42:B44)</f>
        <v>20</v>
      </c>
      <c r="C45" s="204">
        <f t="shared" ref="C45:AQ45" si="233">SUM(C42:C44)</f>
        <v>1.8475750577367205</v>
      </c>
      <c r="D45" s="204">
        <f t="shared" si="233"/>
        <v>0</v>
      </c>
      <c r="E45" s="204">
        <f t="shared" si="233"/>
        <v>40</v>
      </c>
      <c r="F45" s="204">
        <f t="shared" si="233"/>
        <v>4</v>
      </c>
      <c r="G45" s="204">
        <f t="shared" si="233"/>
        <v>4</v>
      </c>
      <c r="H45" s="204">
        <f t="shared" si="233"/>
        <v>120</v>
      </c>
      <c r="I45" s="204">
        <f t="shared" si="233"/>
        <v>11.009174311926605</v>
      </c>
      <c r="J45" s="204">
        <f t="shared" si="233"/>
        <v>10</v>
      </c>
      <c r="K45" s="204">
        <f t="shared" si="233"/>
        <v>90</v>
      </c>
      <c r="L45" s="204">
        <f t="shared" si="233"/>
        <v>9.2307692307692299</v>
      </c>
      <c r="M45" s="204">
        <f t="shared" si="233"/>
        <v>8</v>
      </c>
      <c r="N45" s="204">
        <f t="shared" si="233"/>
        <v>0</v>
      </c>
      <c r="O45" s="204">
        <f t="shared" si="233"/>
        <v>0</v>
      </c>
      <c r="P45" s="204">
        <f t="shared" si="233"/>
        <v>0</v>
      </c>
      <c r="Q45" s="204">
        <f t="shared" si="233"/>
        <v>0</v>
      </c>
      <c r="R45" s="204">
        <f t="shared" si="233"/>
        <v>0</v>
      </c>
      <c r="S45" s="204">
        <f t="shared" si="233"/>
        <v>0</v>
      </c>
      <c r="T45" s="204">
        <f t="shared" si="233"/>
        <v>0</v>
      </c>
      <c r="U45" s="204">
        <f t="shared" si="233"/>
        <v>0</v>
      </c>
      <c r="V45" s="204">
        <f t="shared" si="233"/>
        <v>0</v>
      </c>
      <c r="W45" s="204">
        <f t="shared" si="233"/>
        <v>120</v>
      </c>
      <c r="X45" s="204">
        <f t="shared" si="233"/>
        <v>10.5</v>
      </c>
      <c r="Y45" s="204">
        <f t="shared" si="233"/>
        <v>12</v>
      </c>
      <c r="Z45" s="204">
        <f t="shared" si="233"/>
        <v>40</v>
      </c>
      <c r="AA45" s="204">
        <f t="shared" si="233"/>
        <v>3.8787878787878789</v>
      </c>
      <c r="AB45" s="204">
        <f t="shared" si="233"/>
        <v>0</v>
      </c>
      <c r="AC45" s="204">
        <f t="shared" si="233"/>
        <v>30</v>
      </c>
      <c r="AD45" s="204">
        <f t="shared" si="233"/>
        <v>2.903225806451613</v>
      </c>
      <c r="AE45" s="204">
        <f t="shared" si="233"/>
        <v>0</v>
      </c>
      <c r="AF45" s="204">
        <f t="shared" si="233"/>
        <v>0</v>
      </c>
      <c r="AG45" s="204">
        <f t="shared" si="233"/>
        <v>0</v>
      </c>
      <c r="AH45" s="204">
        <f t="shared" si="233"/>
        <v>0</v>
      </c>
      <c r="AI45" s="204">
        <f t="shared" si="233"/>
        <v>70</v>
      </c>
      <c r="AJ45" s="204">
        <f t="shared" si="233"/>
        <v>3.1578947368421053</v>
      </c>
      <c r="AK45" s="204">
        <f t="shared" si="233"/>
        <v>0</v>
      </c>
      <c r="AL45" s="204">
        <f t="shared" si="233"/>
        <v>50</v>
      </c>
      <c r="AM45" s="204">
        <f t="shared" si="233"/>
        <v>2.4154589371980677</v>
      </c>
      <c r="AN45" s="204">
        <f t="shared" si="233"/>
        <v>0</v>
      </c>
      <c r="AO45" s="204">
        <f t="shared" si="233"/>
        <v>0</v>
      </c>
      <c r="AP45" s="204">
        <f t="shared" si="233"/>
        <v>0</v>
      </c>
      <c r="AQ45" s="204">
        <f t="shared" si="233"/>
        <v>0</v>
      </c>
    </row>
    <row r="46" spans="1:48" s="57" customFormat="1" ht="17.25" customHeight="1">
      <c r="A46" s="198" t="s">
        <v>255</v>
      </c>
      <c r="B46" s="199">
        <f>_xlfn.XLOOKUP(A46,'2.0SASA'!$A:$A,'2.0SASA'!$C:$C,"",0)</f>
        <v>0</v>
      </c>
      <c r="C46" s="200">
        <f t="shared" ref="C46:C47" si="234">B46*C$50/B$50</f>
        <v>0</v>
      </c>
      <c r="D46" s="201">
        <f t="shared" ref="D46:D47" si="235">IF(C46&gt;4,ROUND(C46/2,0)*2,IF(C46&gt;2.2,4,0))</f>
        <v>0</v>
      </c>
      <c r="E46" s="199">
        <f>_xlfn.XLOOKUP(A46,'2.0SASA'!$A:$A,'2.0SASA'!$B:$B,"",0)</f>
        <v>0</v>
      </c>
      <c r="F46" s="200">
        <f t="shared" ref="F46:F47" si="236">E46*F$50/E$50</f>
        <v>0</v>
      </c>
      <c r="G46" s="201">
        <f t="shared" ref="G46:G47" si="237">IF(F46&gt;4,ROUND(F46/2,0)*2,IF(F46&gt;2.2,4,0))</f>
        <v>0</v>
      </c>
      <c r="H46" s="199">
        <f>_xlfn.XLOOKUP(A46,'2.0SASA'!$A:$A,'2.0SASA'!$J:$J,"",0)</f>
        <v>60</v>
      </c>
      <c r="I46" s="200">
        <f t="shared" ref="I46:I47" si="238">H46*I$50/H$50</f>
        <v>5.5045871559633026</v>
      </c>
      <c r="J46" s="201">
        <f t="shared" ref="J46:J47" si="239">IF(I46&gt;4,ROUND(I46/2,0)*2,IF(I46&gt;2,4,0))</f>
        <v>6</v>
      </c>
      <c r="K46" s="199">
        <f>_xlfn.XLOOKUP(A46,'2.0SASA'!$A:$A,'2.0SASA'!$K:$K,"",0)</f>
        <v>30</v>
      </c>
      <c r="L46" s="200">
        <f t="shared" ref="L46:L47" si="240">K46*L$50/K$50</f>
        <v>3.0769230769230771</v>
      </c>
      <c r="M46" s="201">
        <f t="shared" ref="M46:M47" si="241">IF(L46&gt;4,ROUND(L46/2,0)*2,IF(L46&gt;2.2,4,0))</f>
        <v>4</v>
      </c>
      <c r="N46" s="199">
        <f>_xlfn.XLOOKUP(A46,'2.0SASA'!$A:$A,'2.0SASA'!$G:$G,"",0)</f>
        <v>0</v>
      </c>
      <c r="O46" s="200">
        <f t="shared" ref="O46:O47" si="242">N46*O$50/N$50</f>
        <v>0</v>
      </c>
      <c r="P46" s="201">
        <f t="shared" ref="P46:P47" si="243">IF(O46&gt;4,ROUND(O46/2,0)*2,IF(O46&gt;2.2,4,0))</f>
        <v>0</v>
      </c>
      <c r="Q46" s="199">
        <f>_xlfn.XLOOKUP(A46,'2.0SASA'!$A:$A,'2.0SASA'!$I:$I,"",0)</f>
        <v>0</v>
      </c>
      <c r="R46" s="200">
        <f t="shared" ref="R46:R47" si="244">Q46*R$50/Q$50</f>
        <v>0</v>
      </c>
      <c r="S46" s="201">
        <f t="shared" ref="S46:S47" si="245">IF(R46&gt;4,ROUND(R46/2,0)*2,IF(R46&gt;2.2,4,0))</f>
        <v>0</v>
      </c>
      <c r="T46" s="199">
        <f>_xlfn.XLOOKUP(A46,'2.0SASA'!$A:$A,'2.0SASA'!$F:$F,"",0)</f>
        <v>0</v>
      </c>
      <c r="U46" s="200">
        <f t="shared" ref="U46:U47" si="246">T46*U$50/T$50</f>
        <v>0</v>
      </c>
      <c r="V46" s="201">
        <f t="shared" ref="V46:V47" si="247">IF(U46&gt;4,ROUND(U46/2,0)*2,IF(U46&gt;2.2,4,0))</f>
        <v>0</v>
      </c>
      <c r="W46" s="199">
        <f>_xlfn.XLOOKUP(A46,'2.0SASA'!$A:$A,'2.0SASA'!$H:$H,"",0)</f>
        <v>0</v>
      </c>
      <c r="X46" s="200">
        <f t="shared" ref="X46:X47" si="248">W46*X$50/W$50</f>
        <v>0</v>
      </c>
      <c r="Y46" s="201">
        <f t="shared" ref="Y46:Y47" si="249">IF(X46&gt;4,ROUND(X46/2,0)*2,IF(X46&gt;2.2,4,0))</f>
        <v>0</v>
      </c>
      <c r="Z46" s="199">
        <f>_xlfn.XLOOKUP(A46,'2.0SASA'!$A:$A,'2.0SASA'!$D:$D,"",0)</f>
        <v>0</v>
      </c>
      <c r="AA46" s="200">
        <f t="shared" ref="AA46:AA47" si="250">Z46*AA$50/Z$50</f>
        <v>0</v>
      </c>
      <c r="AB46" s="201">
        <f t="shared" ref="AB46:AB47" si="251">IF(AA46&gt;4,ROUND(AA46/2,0)*2,IF(AA46&gt;2.2,4,0))</f>
        <v>0</v>
      </c>
      <c r="AC46" s="199">
        <f>_xlfn.XLOOKUP(A46,'2.0SASA'!$A:$A,'2.0SASA'!$E:$E,"",0)</f>
        <v>0</v>
      </c>
      <c r="AD46" s="200">
        <f t="shared" ref="AD46:AD47" si="252">AC46*AD$50/AC$50</f>
        <v>0</v>
      </c>
      <c r="AE46" s="201">
        <f t="shared" ref="AE46:AE47" si="253">IF(AD46&gt;4,ROUND(AD46/2,0)*2,IF(AD46&gt;2.2,4,0))</f>
        <v>0</v>
      </c>
      <c r="AF46" s="199">
        <f>_xlfn.XLOOKUP(A46,'2.0SASA'!$A:$A,'2.0SASA'!$V:$V,"",0)</f>
        <v>0</v>
      </c>
      <c r="AG46" s="200">
        <f t="shared" ref="AG46:AG47" si="254">AF46*AG$50/AF$50</f>
        <v>0</v>
      </c>
      <c r="AH46" s="201">
        <f t="shared" ref="AH46:AH47" si="255">IF(AG46&gt;4,ROUND(AG46/2,0)*2,IF(AG46&gt;2.2,4,0))</f>
        <v>0</v>
      </c>
      <c r="AI46" s="199">
        <f>_xlfn.XLOOKUP(A46,'2.0SASA'!$A:$A,'2.0SASA'!$U:$U,"",0)</f>
        <v>10</v>
      </c>
      <c r="AJ46" s="200">
        <f t="shared" ref="AJ46:AJ47" si="256">AI46*AJ$50/AI$50</f>
        <v>0.45112781954887216</v>
      </c>
      <c r="AK46" s="201">
        <f t="shared" ref="AK46:AK47" si="257">IF(AJ46&gt;4,ROUND(AJ46/2,0)*2,IF(AJ46&gt;2,4,0))</f>
        <v>0</v>
      </c>
      <c r="AL46" s="199">
        <f>_xlfn.XLOOKUP(A46,'2.0SASA'!$A:$A,'2.0SASA'!$Q:$Q,"",0)</f>
        <v>0</v>
      </c>
      <c r="AM46" s="200">
        <f t="shared" ref="AM46:AM47" si="258">AL46*AM$50/AL$50</f>
        <v>0</v>
      </c>
      <c r="AN46" s="201">
        <f t="shared" ref="AN46:AN47" si="259">IF(AM46&gt;4,ROUND(AM46/2,0)*2,IF(AM46&gt;2.2,4,0))</f>
        <v>0</v>
      </c>
      <c r="AO46" s="199">
        <f>_xlfn.XLOOKUP(A46,'2.0SASA'!$A:$A,'2.0SASA'!$AD:$AD,"",0)</f>
        <v>0</v>
      </c>
      <c r="AP46" s="200">
        <f t="shared" ref="AP46:AP47" si="260">AO46*AP$50/AO$50</f>
        <v>0</v>
      </c>
      <c r="AQ46" s="201">
        <f t="shared" ref="AQ46:AQ47" si="261">IF(AP46&gt;4,ROUND(AP46/2,0)*2,IF(AP46&gt;2.2,4,0))</f>
        <v>0</v>
      </c>
    </row>
    <row r="47" spans="1:48" s="57" customFormat="1" ht="17.25" customHeight="1">
      <c r="A47" s="198" t="s">
        <v>261</v>
      </c>
      <c r="B47" s="199">
        <f>_xlfn.XLOOKUP(A47,'2.0SASA'!$A:$A,'2.0SASA'!$C:$C,"",0)</f>
        <v>0</v>
      </c>
      <c r="C47" s="200">
        <f t="shared" si="234"/>
        <v>0</v>
      </c>
      <c r="D47" s="201">
        <f t="shared" si="235"/>
        <v>0</v>
      </c>
      <c r="E47" s="199">
        <f>_xlfn.XLOOKUP(A47,'2.0SASA'!$A:$A,'2.0SASA'!$B:$B,"",0)</f>
        <v>0</v>
      </c>
      <c r="F47" s="200">
        <f t="shared" si="236"/>
        <v>0</v>
      </c>
      <c r="G47" s="201">
        <f t="shared" si="237"/>
        <v>0</v>
      </c>
      <c r="H47" s="199">
        <f>_xlfn.XLOOKUP(A47,'2.0SASA'!$A:$A,'2.0SASA'!$J:$J,"",0)</f>
        <v>60</v>
      </c>
      <c r="I47" s="200">
        <f t="shared" si="238"/>
        <v>5.5045871559633026</v>
      </c>
      <c r="J47" s="201">
        <f t="shared" si="239"/>
        <v>6</v>
      </c>
      <c r="K47" s="199">
        <f>_xlfn.XLOOKUP(A47,'2.0SASA'!$A:$A,'2.0SASA'!$K:$K,"",0)</f>
        <v>0</v>
      </c>
      <c r="L47" s="200">
        <f t="shared" si="240"/>
        <v>0</v>
      </c>
      <c r="M47" s="201">
        <f t="shared" si="241"/>
        <v>0</v>
      </c>
      <c r="N47" s="199">
        <f>_xlfn.XLOOKUP(A47,'2.0SASA'!$A:$A,'2.0SASA'!$G:$G,"",0)</f>
        <v>0</v>
      </c>
      <c r="O47" s="200">
        <f t="shared" si="242"/>
        <v>0</v>
      </c>
      <c r="P47" s="201">
        <f t="shared" si="243"/>
        <v>0</v>
      </c>
      <c r="Q47" s="199">
        <f>_xlfn.XLOOKUP(A47,'2.0SASA'!$A:$A,'2.0SASA'!$I:$I,"",0)</f>
        <v>0</v>
      </c>
      <c r="R47" s="200">
        <f t="shared" si="244"/>
        <v>0</v>
      </c>
      <c r="S47" s="201">
        <f t="shared" si="245"/>
        <v>0</v>
      </c>
      <c r="T47" s="199">
        <f>_xlfn.XLOOKUP(A47,'2.0SASA'!$A:$A,'2.0SASA'!$F:$F,"",0)</f>
        <v>0</v>
      </c>
      <c r="U47" s="200">
        <f t="shared" si="246"/>
        <v>0</v>
      </c>
      <c r="V47" s="201">
        <f t="shared" si="247"/>
        <v>0</v>
      </c>
      <c r="W47" s="199">
        <f>_xlfn.XLOOKUP(A47,'2.0SASA'!$A:$A,'2.0SASA'!$H:$H,"",0)</f>
        <v>50</v>
      </c>
      <c r="X47" s="200">
        <f t="shared" si="248"/>
        <v>4.375</v>
      </c>
      <c r="Y47" s="201">
        <f t="shared" si="249"/>
        <v>4</v>
      </c>
      <c r="Z47" s="199">
        <f>_xlfn.XLOOKUP(A47,'2.0SASA'!$A:$A,'2.0SASA'!$D:$D,"",0)</f>
        <v>0</v>
      </c>
      <c r="AA47" s="200">
        <f t="shared" si="250"/>
        <v>0</v>
      </c>
      <c r="AB47" s="201">
        <f t="shared" si="251"/>
        <v>0</v>
      </c>
      <c r="AC47" s="199">
        <f>_xlfn.XLOOKUP(A47,'2.0SASA'!$A:$A,'2.0SASA'!$E:$E,"",0)</f>
        <v>0</v>
      </c>
      <c r="AD47" s="200">
        <f t="shared" si="252"/>
        <v>0</v>
      </c>
      <c r="AE47" s="201">
        <f t="shared" si="253"/>
        <v>0</v>
      </c>
      <c r="AF47" s="199">
        <f>_xlfn.XLOOKUP(A47,'2.0SASA'!$A:$A,'2.0SASA'!$V:$V,"",0)</f>
        <v>0</v>
      </c>
      <c r="AG47" s="200">
        <f t="shared" si="254"/>
        <v>0</v>
      </c>
      <c r="AH47" s="201">
        <f t="shared" si="255"/>
        <v>0</v>
      </c>
      <c r="AI47" s="199">
        <f>_xlfn.XLOOKUP(A47,'2.0SASA'!$A:$A,'2.0SASA'!$U:$U,"",0)</f>
        <v>30</v>
      </c>
      <c r="AJ47" s="200">
        <f t="shared" si="256"/>
        <v>1.3533834586466165</v>
      </c>
      <c r="AK47" s="201">
        <f t="shared" si="257"/>
        <v>0</v>
      </c>
      <c r="AL47" s="199">
        <f>_xlfn.XLOOKUP(A47,'2.0SASA'!$A:$A,'2.0SASA'!$Q:$Q,"",0)</f>
        <v>0</v>
      </c>
      <c r="AM47" s="200">
        <f t="shared" si="258"/>
        <v>0</v>
      </c>
      <c r="AN47" s="201">
        <f t="shared" si="259"/>
        <v>0</v>
      </c>
      <c r="AO47" s="199">
        <f>_xlfn.XLOOKUP(A47,'2.0SASA'!$A:$A,'2.0SASA'!$AD:$AD,"",0)</f>
        <v>0</v>
      </c>
      <c r="AP47" s="200">
        <f t="shared" si="260"/>
        <v>0</v>
      </c>
      <c r="AQ47" s="201">
        <f t="shared" si="261"/>
        <v>0</v>
      </c>
    </row>
    <row r="48" spans="1:48" s="58" customFormat="1" ht="17.25" customHeight="1">
      <c r="A48" s="202" t="s">
        <v>401</v>
      </c>
      <c r="B48" s="204">
        <f>SUM(B46:B47)</f>
        <v>0</v>
      </c>
      <c r="C48" s="204">
        <f t="shared" ref="C48:AQ48" si="262">SUM(C46:C47)</f>
        <v>0</v>
      </c>
      <c r="D48" s="204">
        <f t="shared" si="262"/>
        <v>0</v>
      </c>
      <c r="E48" s="204">
        <f t="shared" si="262"/>
        <v>0</v>
      </c>
      <c r="F48" s="204">
        <f t="shared" si="262"/>
        <v>0</v>
      </c>
      <c r="G48" s="204">
        <f t="shared" si="262"/>
        <v>0</v>
      </c>
      <c r="H48" s="204">
        <f t="shared" si="262"/>
        <v>120</v>
      </c>
      <c r="I48" s="204">
        <f t="shared" si="262"/>
        <v>11.009174311926605</v>
      </c>
      <c r="J48" s="204">
        <f t="shared" si="262"/>
        <v>12</v>
      </c>
      <c r="K48" s="204">
        <f t="shared" si="262"/>
        <v>30</v>
      </c>
      <c r="L48" s="204">
        <f t="shared" si="262"/>
        <v>3.0769230769230771</v>
      </c>
      <c r="M48" s="204">
        <f t="shared" si="262"/>
        <v>4</v>
      </c>
      <c r="N48" s="204">
        <f t="shared" si="262"/>
        <v>0</v>
      </c>
      <c r="O48" s="204">
        <f t="shared" si="262"/>
        <v>0</v>
      </c>
      <c r="P48" s="204">
        <f t="shared" si="262"/>
        <v>0</v>
      </c>
      <c r="Q48" s="204">
        <f t="shared" si="262"/>
        <v>0</v>
      </c>
      <c r="R48" s="204">
        <f t="shared" si="262"/>
        <v>0</v>
      </c>
      <c r="S48" s="204">
        <f t="shared" si="262"/>
        <v>0</v>
      </c>
      <c r="T48" s="204">
        <f t="shared" si="262"/>
        <v>0</v>
      </c>
      <c r="U48" s="204">
        <f t="shared" si="262"/>
        <v>0</v>
      </c>
      <c r="V48" s="204">
        <f t="shared" si="262"/>
        <v>0</v>
      </c>
      <c r="W48" s="204">
        <f t="shared" si="262"/>
        <v>50</v>
      </c>
      <c r="X48" s="204">
        <f t="shared" si="262"/>
        <v>4.375</v>
      </c>
      <c r="Y48" s="204">
        <f t="shared" si="262"/>
        <v>4</v>
      </c>
      <c r="Z48" s="204">
        <f t="shared" si="262"/>
        <v>0</v>
      </c>
      <c r="AA48" s="204">
        <f t="shared" si="262"/>
        <v>0</v>
      </c>
      <c r="AB48" s="204">
        <f t="shared" si="262"/>
        <v>0</v>
      </c>
      <c r="AC48" s="204">
        <f t="shared" si="262"/>
        <v>0</v>
      </c>
      <c r="AD48" s="204">
        <f t="shared" si="262"/>
        <v>0</v>
      </c>
      <c r="AE48" s="204">
        <f t="shared" si="262"/>
        <v>0</v>
      </c>
      <c r="AF48" s="204">
        <f t="shared" si="262"/>
        <v>0</v>
      </c>
      <c r="AG48" s="204">
        <f t="shared" si="262"/>
        <v>0</v>
      </c>
      <c r="AH48" s="204">
        <f t="shared" si="262"/>
        <v>0</v>
      </c>
      <c r="AI48" s="204">
        <f t="shared" si="262"/>
        <v>40</v>
      </c>
      <c r="AJ48" s="204">
        <f t="shared" si="262"/>
        <v>1.8045112781954886</v>
      </c>
      <c r="AK48" s="204">
        <f t="shared" si="262"/>
        <v>0</v>
      </c>
      <c r="AL48" s="204">
        <f t="shared" si="262"/>
        <v>0</v>
      </c>
      <c r="AM48" s="204">
        <f t="shared" si="262"/>
        <v>0</v>
      </c>
      <c r="AN48" s="204">
        <f t="shared" si="262"/>
        <v>0</v>
      </c>
      <c r="AO48" s="204">
        <f t="shared" si="262"/>
        <v>0</v>
      </c>
      <c r="AP48" s="204">
        <f t="shared" si="262"/>
        <v>0</v>
      </c>
      <c r="AQ48" s="204">
        <f t="shared" si="262"/>
        <v>0</v>
      </c>
    </row>
    <row r="49" spans="1:43" s="59" customFormat="1" ht="17.25" customHeight="1">
      <c r="A49" s="205" t="s">
        <v>402</v>
      </c>
      <c r="B49" s="206">
        <f>SUM(B28,B33,B41,B45,B48)</f>
        <v>433</v>
      </c>
      <c r="C49" s="206">
        <f t="shared" ref="C49:AQ49" si="263">SUM(C28,C33,C41,C45,C48)</f>
        <v>40</v>
      </c>
      <c r="D49" s="206">
        <f t="shared" si="263"/>
        <v>40</v>
      </c>
      <c r="E49" s="206">
        <f t="shared" si="263"/>
        <v>350</v>
      </c>
      <c r="F49" s="206">
        <f t="shared" si="263"/>
        <v>35</v>
      </c>
      <c r="G49" s="206">
        <f t="shared" si="263"/>
        <v>32</v>
      </c>
      <c r="H49" s="206">
        <f t="shared" si="263"/>
        <v>780</v>
      </c>
      <c r="I49" s="206">
        <f t="shared" si="263"/>
        <v>71.559633027522935</v>
      </c>
      <c r="J49" s="206">
        <f t="shared" si="263"/>
        <v>72</v>
      </c>
      <c r="K49" s="206">
        <f t="shared" si="263"/>
        <v>380</v>
      </c>
      <c r="L49" s="206">
        <f t="shared" si="263"/>
        <v>38.974358974358978</v>
      </c>
      <c r="M49" s="206">
        <f t="shared" si="263"/>
        <v>36</v>
      </c>
      <c r="N49" s="206">
        <f t="shared" si="263"/>
        <v>20</v>
      </c>
      <c r="O49" s="206">
        <f t="shared" si="263"/>
        <v>2.6666666666666665</v>
      </c>
      <c r="P49" s="206">
        <f t="shared" si="263"/>
        <v>0</v>
      </c>
      <c r="Q49" s="206">
        <f t="shared" si="263"/>
        <v>200</v>
      </c>
      <c r="R49" s="206">
        <f t="shared" si="263"/>
        <v>22.857142857142858</v>
      </c>
      <c r="S49" s="206">
        <f t="shared" si="263"/>
        <v>26</v>
      </c>
      <c r="T49" s="206">
        <f t="shared" si="263"/>
        <v>660</v>
      </c>
      <c r="U49" s="206">
        <f t="shared" si="263"/>
        <v>66</v>
      </c>
      <c r="V49" s="206">
        <f t="shared" si="263"/>
        <v>66</v>
      </c>
      <c r="W49" s="206">
        <f t="shared" si="263"/>
        <v>640</v>
      </c>
      <c r="X49" s="206">
        <f t="shared" si="263"/>
        <v>56</v>
      </c>
      <c r="Y49" s="206">
        <f t="shared" si="263"/>
        <v>64</v>
      </c>
      <c r="Z49" s="206">
        <f t="shared" si="263"/>
        <v>790</v>
      </c>
      <c r="AA49" s="206">
        <f t="shared" si="263"/>
        <v>76.606060606060595</v>
      </c>
      <c r="AB49" s="206">
        <f t="shared" si="263"/>
        <v>70</v>
      </c>
      <c r="AC49" s="206">
        <f t="shared" si="263"/>
        <v>240</v>
      </c>
      <c r="AD49" s="206">
        <f t="shared" si="263"/>
        <v>23.2258064516129</v>
      </c>
      <c r="AE49" s="206">
        <f t="shared" si="263"/>
        <v>16</v>
      </c>
      <c r="AF49" s="206">
        <f t="shared" si="263"/>
        <v>340</v>
      </c>
      <c r="AG49" s="206">
        <f t="shared" si="263"/>
        <v>22.666666666666664</v>
      </c>
      <c r="AH49" s="206">
        <f t="shared" si="263"/>
        <v>20</v>
      </c>
      <c r="AI49" s="206">
        <f t="shared" si="263"/>
        <v>480</v>
      </c>
      <c r="AJ49" s="206">
        <f t="shared" si="263"/>
        <v>21.654135338345863</v>
      </c>
      <c r="AK49" s="206">
        <f t="shared" si="263"/>
        <v>16</v>
      </c>
      <c r="AL49" s="206">
        <f t="shared" si="263"/>
        <v>1070</v>
      </c>
      <c r="AM49" s="206">
        <f t="shared" si="263"/>
        <v>51.690821256038646</v>
      </c>
      <c r="AN49" s="206">
        <f t="shared" si="263"/>
        <v>50</v>
      </c>
      <c r="AO49" s="206">
        <f t="shared" si="263"/>
        <v>550</v>
      </c>
      <c r="AP49" s="206">
        <f t="shared" si="263"/>
        <v>28.571428571428573</v>
      </c>
      <c r="AQ49" s="206">
        <f t="shared" si="263"/>
        <v>24</v>
      </c>
    </row>
    <row r="50" spans="1:43" ht="17.25" customHeight="1">
      <c r="A50" s="207" t="s">
        <v>301</v>
      </c>
      <c r="B50" s="208">
        <f>SUM(B24,B49)</f>
        <v>433</v>
      </c>
      <c r="C50" s="199">
        <v>40</v>
      </c>
      <c r="D50" s="208">
        <f t="shared" ref="D50:AQ50" si="264">SUM(D24,D49)</f>
        <v>40</v>
      </c>
      <c r="E50" s="208">
        <f t="shared" si="264"/>
        <v>1200</v>
      </c>
      <c r="F50" s="199">
        <v>120</v>
      </c>
      <c r="G50" s="208">
        <f t="shared" si="264"/>
        <v>120</v>
      </c>
      <c r="H50" s="208">
        <f t="shared" si="264"/>
        <v>872</v>
      </c>
      <c r="I50" s="199">
        <v>80</v>
      </c>
      <c r="J50" s="208">
        <f t="shared" si="264"/>
        <v>80</v>
      </c>
      <c r="K50" s="208">
        <f t="shared" si="264"/>
        <v>390</v>
      </c>
      <c r="L50" s="199">
        <v>40</v>
      </c>
      <c r="M50" s="208">
        <f t="shared" si="264"/>
        <v>36</v>
      </c>
      <c r="N50" s="208">
        <f t="shared" si="264"/>
        <v>300</v>
      </c>
      <c r="O50" s="199">
        <v>40</v>
      </c>
      <c r="P50" s="208">
        <f t="shared" si="264"/>
        <v>36</v>
      </c>
      <c r="Q50" s="208">
        <f t="shared" si="264"/>
        <v>350</v>
      </c>
      <c r="R50" s="199">
        <v>40</v>
      </c>
      <c r="S50" s="208">
        <f t="shared" si="264"/>
        <v>42</v>
      </c>
      <c r="T50" s="208">
        <f t="shared" si="264"/>
        <v>1000</v>
      </c>
      <c r="U50" s="199">
        <v>100</v>
      </c>
      <c r="V50" s="208">
        <f t="shared" si="264"/>
        <v>102</v>
      </c>
      <c r="W50" s="208">
        <f t="shared" si="264"/>
        <v>800</v>
      </c>
      <c r="X50" s="199">
        <v>70</v>
      </c>
      <c r="Y50" s="208">
        <f t="shared" si="264"/>
        <v>70</v>
      </c>
      <c r="Z50" s="208">
        <f t="shared" si="264"/>
        <v>1650</v>
      </c>
      <c r="AA50" s="199">
        <v>160</v>
      </c>
      <c r="AB50" s="208">
        <f t="shared" si="264"/>
        <v>152</v>
      </c>
      <c r="AC50" s="208">
        <f t="shared" si="264"/>
        <v>620</v>
      </c>
      <c r="AD50" s="199">
        <v>60</v>
      </c>
      <c r="AE50" s="208">
        <f t="shared" si="264"/>
        <v>50</v>
      </c>
      <c r="AF50" s="208">
        <f t="shared" si="264"/>
        <v>600</v>
      </c>
      <c r="AG50" s="199">
        <v>40</v>
      </c>
      <c r="AH50" s="208">
        <f t="shared" si="264"/>
        <v>34</v>
      </c>
      <c r="AI50" s="208">
        <f t="shared" si="264"/>
        <v>1330</v>
      </c>
      <c r="AJ50" s="199">
        <v>60</v>
      </c>
      <c r="AK50" s="208">
        <f t="shared" si="264"/>
        <v>52</v>
      </c>
      <c r="AL50" s="208">
        <f t="shared" si="264"/>
        <v>2070</v>
      </c>
      <c r="AM50" s="199">
        <v>100</v>
      </c>
      <c r="AN50" s="208">
        <f t="shared" si="264"/>
        <v>94</v>
      </c>
      <c r="AO50" s="208">
        <f t="shared" si="264"/>
        <v>770</v>
      </c>
      <c r="AP50" s="199">
        <v>40</v>
      </c>
      <c r="AQ50" s="208">
        <f t="shared" si="264"/>
        <v>28</v>
      </c>
    </row>
    <row r="51" spans="1:43">
      <c r="B51" s="62"/>
      <c r="D51" s="62"/>
    </row>
    <row r="52" spans="1:43">
      <c r="B52" s="62"/>
      <c r="D52" s="62"/>
      <c r="Z52" s="282" t="s">
        <v>403</v>
      </c>
      <c r="AA52" s="282"/>
      <c r="AB52" s="282"/>
      <c r="AC52" s="283">
        <f>SUM(D50,G50,J50,M50,P50,S50,V50,Y50,AB50,AE50)</f>
        <v>728</v>
      </c>
      <c r="AD52" s="283"/>
      <c r="AE52" s="283"/>
      <c r="AL52" s="282" t="s">
        <v>404</v>
      </c>
      <c r="AM52" s="282"/>
      <c r="AN52" s="282"/>
      <c r="AO52" s="283">
        <f>SUM(AH50,AK50,AN50,AQ50)</f>
        <v>208</v>
      </c>
      <c r="AP52" s="283"/>
      <c r="AQ52" s="283"/>
    </row>
    <row r="53" spans="1:43">
      <c r="B53" s="62"/>
      <c r="D53" s="62"/>
      <c r="E53" s="65"/>
    </row>
    <row r="54" spans="1:43">
      <c r="B54" s="62"/>
      <c r="D54" s="62"/>
    </row>
    <row r="55" spans="1:43">
      <c r="B55" s="62"/>
      <c r="D55" s="62"/>
    </row>
    <row r="56" spans="1:43">
      <c r="B56" s="62"/>
      <c r="D56" s="62"/>
    </row>
    <row r="57" spans="1:43">
      <c r="B57" s="62"/>
      <c r="D57" s="62"/>
    </row>
    <row r="58" spans="1:43">
      <c r="B58" s="62"/>
      <c r="D58" s="62"/>
    </row>
    <row r="59" spans="1:43">
      <c r="B59" s="62"/>
      <c r="D59" s="62"/>
    </row>
    <row r="60" spans="1:43">
      <c r="B60" s="62"/>
      <c r="D60" s="62"/>
    </row>
    <row r="61" spans="1:43">
      <c r="B61" s="62"/>
      <c r="D61" s="62"/>
    </row>
    <row r="62" spans="1:43">
      <c r="B62" s="62"/>
      <c r="D62" s="62"/>
    </row>
    <row r="63" spans="1:43">
      <c r="B63" s="62"/>
      <c r="D63" s="62"/>
    </row>
    <row r="64" spans="1:43">
      <c r="B64" s="62"/>
      <c r="D64" s="62"/>
    </row>
    <row r="65" spans="2:4">
      <c r="B65" s="62"/>
      <c r="D65" s="62"/>
    </row>
    <row r="66" spans="2:4">
      <c r="B66" s="62"/>
      <c r="D66" s="62"/>
    </row>
    <row r="67" spans="2:4">
      <c r="B67" s="62"/>
      <c r="D67" s="62"/>
    </row>
    <row r="68" spans="2:4">
      <c r="B68" s="62"/>
      <c r="D68" s="62"/>
    </row>
    <row r="69" spans="2:4">
      <c r="B69" s="62"/>
      <c r="D69" s="62"/>
    </row>
    <row r="70" spans="2:4">
      <c r="B70" s="62"/>
      <c r="D70" s="62"/>
    </row>
    <row r="71" spans="2:4">
      <c r="B71" s="62"/>
      <c r="D71" s="62"/>
    </row>
    <row r="72" spans="2:4">
      <c r="B72" s="62"/>
      <c r="D72" s="62"/>
    </row>
    <row r="73" spans="2:4">
      <c r="B73" s="62"/>
      <c r="D73" s="62"/>
    </row>
    <row r="74" spans="2:4">
      <c r="B74" s="62"/>
      <c r="D74" s="62"/>
    </row>
    <row r="75" spans="2:4">
      <c r="B75" s="62"/>
      <c r="D75" s="62"/>
    </row>
    <row r="76" spans="2:4">
      <c r="B76" s="62"/>
      <c r="D76" s="62"/>
    </row>
    <row r="77" spans="2:4">
      <c r="B77" s="62"/>
      <c r="D77" s="62"/>
    </row>
    <row r="78" spans="2:4">
      <c r="B78" s="62"/>
      <c r="D78" s="62"/>
    </row>
    <row r="79" spans="2:4">
      <c r="B79" s="62"/>
      <c r="D79" s="62"/>
    </row>
    <row r="80" spans="2:4">
      <c r="B80" s="62"/>
      <c r="D80" s="62"/>
    </row>
    <row r="81" spans="2:4">
      <c r="B81" s="62"/>
      <c r="D81" s="62"/>
    </row>
    <row r="82" spans="2:4">
      <c r="B82" s="62"/>
      <c r="D82" s="62"/>
    </row>
    <row r="83" spans="2:4">
      <c r="B83" s="62"/>
      <c r="D83" s="62"/>
    </row>
    <row r="84" spans="2:4">
      <c r="B84" s="62"/>
      <c r="D84" s="62"/>
    </row>
    <row r="85" spans="2:4">
      <c r="B85" s="62"/>
      <c r="D85" s="62"/>
    </row>
    <row r="86" spans="2:4">
      <c r="B86" s="62"/>
      <c r="D86" s="62"/>
    </row>
    <row r="87" spans="2:4">
      <c r="B87" s="62"/>
      <c r="D87" s="62"/>
    </row>
    <row r="88" spans="2:4">
      <c r="B88" s="62"/>
      <c r="D88" s="62"/>
    </row>
    <row r="89" spans="2:4">
      <c r="B89" s="62"/>
      <c r="D89" s="62"/>
    </row>
    <row r="90" spans="2:4">
      <c r="B90" s="62"/>
      <c r="D90" s="62"/>
    </row>
    <row r="91" spans="2:4">
      <c r="B91" s="62"/>
      <c r="D91" s="62"/>
    </row>
    <row r="92" spans="2:4">
      <c r="B92" s="62"/>
      <c r="D92" s="62"/>
    </row>
    <row r="93" spans="2:4">
      <c r="B93" s="62"/>
      <c r="D93" s="62"/>
    </row>
    <row r="94" spans="2:4">
      <c r="B94" s="62"/>
      <c r="D94" s="62"/>
    </row>
    <row r="95" spans="2:4">
      <c r="B95" s="62"/>
      <c r="D95" s="62"/>
    </row>
    <row r="96" spans="2:4">
      <c r="B96" s="62"/>
      <c r="D96" s="62"/>
    </row>
    <row r="97" spans="2:4">
      <c r="B97" s="62"/>
      <c r="D97" s="62"/>
    </row>
    <row r="98" spans="2:4">
      <c r="B98" s="62"/>
      <c r="D98" s="62"/>
    </row>
    <row r="99" spans="2:4">
      <c r="B99" s="62"/>
      <c r="D99" s="62"/>
    </row>
    <row r="100" spans="2:4">
      <c r="B100" s="62"/>
      <c r="D100" s="62"/>
    </row>
    <row r="101" spans="2:4">
      <c r="B101" s="62"/>
      <c r="D101" s="62"/>
    </row>
    <row r="102" spans="2:4">
      <c r="B102" s="62"/>
      <c r="D102" s="62"/>
    </row>
    <row r="103" spans="2:4">
      <c r="B103" s="62"/>
      <c r="D103" s="62"/>
    </row>
    <row r="104" spans="2:4">
      <c r="B104" s="62"/>
      <c r="D104" s="62"/>
    </row>
    <row r="105" spans="2:4">
      <c r="B105" s="62"/>
      <c r="D105" s="62"/>
    </row>
    <row r="106" spans="2:4">
      <c r="B106" s="62"/>
      <c r="D106" s="62"/>
    </row>
    <row r="107" spans="2:4">
      <c r="B107" s="62"/>
      <c r="D107" s="62"/>
    </row>
    <row r="108" spans="2:4">
      <c r="B108" s="62"/>
      <c r="D108" s="62"/>
    </row>
    <row r="109" spans="2:4">
      <c r="B109" s="62"/>
      <c r="D109" s="62"/>
    </row>
    <row r="110" spans="2:4">
      <c r="B110" s="62"/>
      <c r="D110" s="62"/>
    </row>
    <row r="111" spans="2:4">
      <c r="B111" s="62"/>
      <c r="D111" s="62"/>
    </row>
    <row r="112" spans="2:4">
      <c r="B112" s="62"/>
      <c r="D112" s="62"/>
    </row>
    <row r="113" spans="2:4">
      <c r="B113" s="62"/>
      <c r="D113" s="62"/>
    </row>
    <row r="114" spans="2:4">
      <c r="B114" s="62"/>
      <c r="D114" s="62"/>
    </row>
    <row r="115" spans="2:4">
      <c r="B115" s="62"/>
      <c r="D115" s="62"/>
    </row>
    <row r="116" spans="2:4">
      <c r="B116" s="62"/>
      <c r="D116" s="62"/>
    </row>
    <row r="117" spans="2:4">
      <c r="B117" s="62"/>
      <c r="D117" s="62"/>
    </row>
    <row r="118" spans="2:4">
      <c r="B118" s="62"/>
      <c r="D118" s="62"/>
    </row>
    <row r="119" spans="2:4">
      <c r="B119" s="62"/>
      <c r="D119" s="62"/>
    </row>
    <row r="120" spans="2:4">
      <c r="B120" s="62"/>
      <c r="D120" s="62"/>
    </row>
    <row r="121" spans="2:4">
      <c r="B121" s="62"/>
      <c r="D121" s="62"/>
    </row>
    <row r="122" spans="2:4">
      <c r="B122" s="62"/>
      <c r="D122" s="62"/>
    </row>
    <row r="123" spans="2:4">
      <c r="B123" s="62"/>
      <c r="D123" s="62"/>
    </row>
    <row r="124" spans="2:4">
      <c r="B124" s="62"/>
      <c r="D124" s="62"/>
    </row>
    <row r="125" spans="2:4">
      <c r="B125" s="62"/>
      <c r="D125" s="62"/>
    </row>
    <row r="126" spans="2:4">
      <c r="B126" s="62"/>
      <c r="D126" s="62"/>
    </row>
    <row r="127" spans="2:4">
      <c r="B127" s="62"/>
      <c r="D127" s="62"/>
    </row>
    <row r="128" spans="2:4">
      <c r="B128" s="62"/>
      <c r="D128" s="62"/>
    </row>
    <row r="129" spans="2:4">
      <c r="B129" s="62"/>
      <c r="D129" s="62"/>
    </row>
    <row r="130" spans="2:4">
      <c r="B130" s="62"/>
      <c r="D130" s="62"/>
    </row>
    <row r="131" spans="2:4">
      <c r="B131" s="62"/>
      <c r="D131" s="62"/>
    </row>
    <row r="132" spans="2:4">
      <c r="B132" s="62"/>
      <c r="D132" s="62"/>
    </row>
    <row r="133" spans="2:4">
      <c r="B133" s="62"/>
      <c r="D133" s="62"/>
    </row>
    <row r="134" spans="2:4">
      <c r="B134" s="62"/>
      <c r="D134" s="62"/>
    </row>
    <row r="135" spans="2:4">
      <c r="B135" s="62"/>
      <c r="D135" s="62"/>
    </row>
    <row r="136" spans="2:4">
      <c r="B136" s="62"/>
      <c r="D136" s="62"/>
    </row>
    <row r="137" spans="2:4">
      <c r="B137" s="62"/>
      <c r="D137" s="62"/>
    </row>
    <row r="138" spans="2:4">
      <c r="B138" s="62"/>
      <c r="D138" s="62"/>
    </row>
    <row r="139" spans="2:4">
      <c r="B139" s="62"/>
      <c r="D139" s="62"/>
    </row>
    <row r="140" spans="2:4">
      <c r="B140" s="62"/>
      <c r="D140" s="62"/>
    </row>
    <row r="141" spans="2:4">
      <c r="B141" s="62"/>
      <c r="D141" s="62"/>
    </row>
    <row r="142" spans="2:4">
      <c r="B142" s="62"/>
      <c r="D142" s="62"/>
    </row>
    <row r="143" spans="2:4">
      <c r="B143" s="62"/>
      <c r="D143" s="62"/>
    </row>
    <row r="144" spans="2:4">
      <c r="B144" s="62"/>
      <c r="D144" s="62"/>
    </row>
    <row r="145" spans="2:4">
      <c r="B145" s="62"/>
      <c r="D145" s="62"/>
    </row>
    <row r="146" spans="2:4">
      <c r="B146" s="62"/>
      <c r="D146" s="62"/>
    </row>
    <row r="147" spans="2:4">
      <c r="B147" s="62"/>
      <c r="D147" s="62"/>
    </row>
    <row r="148" spans="2:4">
      <c r="B148" s="62"/>
      <c r="D148" s="62"/>
    </row>
    <row r="149" spans="2:4">
      <c r="B149" s="62"/>
      <c r="D149" s="62"/>
    </row>
    <row r="150" spans="2:4">
      <c r="B150" s="62"/>
      <c r="D150" s="62"/>
    </row>
    <row r="151" spans="2:4">
      <c r="B151" s="62"/>
      <c r="D151" s="62"/>
    </row>
    <row r="152" spans="2:4">
      <c r="B152" s="62"/>
      <c r="D152" s="62"/>
    </row>
    <row r="153" spans="2:4">
      <c r="B153" s="62"/>
      <c r="D153" s="62"/>
    </row>
    <row r="154" spans="2:4">
      <c r="B154" s="62"/>
      <c r="D154" s="62"/>
    </row>
    <row r="155" spans="2:4">
      <c r="B155" s="62"/>
      <c r="D155" s="62"/>
    </row>
    <row r="156" spans="2:4">
      <c r="B156" s="62"/>
      <c r="D156" s="62"/>
    </row>
    <row r="157" spans="2:4">
      <c r="B157" s="62"/>
      <c r="D157" s="62"/>
    </row>
    <row r="158" spans="2:4">
      <c r="B158" s="62"/>
      <c r="D158" s="62"/>
    </row>
    <row r="159" spans="2:4">
      <c r="B159" s="62"/>
      <c r="D159" s="62"/>
    </row>
  </sheetData>
  <mergeCells count="25">
    <mergeCell ref="Z52:AB52"/>
    <mergeCell ref="AC52:AE52"/>
    <mergeCell ref="AL52:AN52"/>
    <mergeCell ref="AO52:AQ52"/>
    <mergeCell ref="AC3:AE3"/>
    <mergeCell ref="AF3:AH3"/>
    <mergeCell ref="AR37:AR38"/>
    <mergeCell ref="AS37:AS38"/>
    <mergeCell ref="AU38:AU39"/>
    <mergeCell ref="AI3:AK3"/>
    <mergeCell ref="AL3:AN3"/>
    <mergeCell ref="AO3:AQ3"/>
    <mergeCell ref="A1:AQ1"/>
    <mergeCell ref="B2:AE2"/>
    <mergeCell ref="AF2:AN2"/>
    <mergeCell ref="AO2:AQ2"/>
    <mergeCell ref="B3:D3"/>
    <mergeCell ref="E3:G3"/>
    <mergeCell ref="H3:J3"/>
    <mergeCell ref="K3:M3"/>
    <mergeCell ref="N3:P3"/>
    <mergeCell ref="Q3:S3"/>
    <mergeCell ref="T3:V3"/>
    <mergeCell ref="W3:Y3"/>
    <mergeCell ref="Z3:AB3"/>
  </mergeCells>
  <printOptions horizontalCentered="1"/>
  <pageMargins left="0.7" right="0.7" top="0.75" bottom="0.75" header="0.3" footer="0.3"/>
  <pageSetup paperSize="9" scale="91" orientation="portrait" r:id="rId1"/>
  <colBreaks count="3" manualBreakCount="3">
    <brk id="13" max="49" man="1"/>
    <brk id="25" max="49" man="1"/>
    <brk id="31" max="4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1.0SASA</vt:lpstr>
      <vt:lpstr>1.0WS</vt:lpstr>
      <vt:lpstr>1.0WP</vt:lpstr>
      <vt:lpstr>1.0WP (P)</vt:lpstr>
      <vt:lpstr>2.0SASA</vt:lpstr>
      <vt:lpstr>2.0WS(S)</vt:lpstr>
      <vt:lpstr>2.0WP</vt:lpstr>
      <vt:lpstr>WS Cotton 2021-22</vt:lpstr>
      <vt:lpstr>2.0WS (S-P)</vt:lpstr>
      <vt:lpstr>'1.0WS'!Print_Area</vt:lpstr>
      <vt:lpstr>'2.0WS (S-P)'!Print_Area</vt:lpstr>
      <vt:lpstr>'2.0WS(S)'!Print_Area</vt:lpstr>
      <vt:lpstr>'WS Cotton 2021-22'!Print_Area</vt:lpstr>
      <vt:lpstr>'1.0WS'!Print_Titles</vt:lpstr>
      <vt:lpstr>'2.0WS (S-P)'!Print_Titles</vt:lpstr>
      <vt:lpstr>'2.0WS(S)'!Print_Titles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Priyanka</cp:lastModifiedBy>
  <cp:lastPrinted>2026-06-03T11:08:05Z</cp:lastPrinted>
  <dcterms:created xsi:type="dcterms:W3CDTF">1996-10-14T23:33:00Z</dcterms:created>
  <dcterms:modified xsi:type="dcterms:W3CDTF">2026-06-03T12:13:25Z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1EECF55FEEFC483FBBBD0027D90A1A50_12</vt:lpwstr>
  </property>
  <property fmtid="{D5CDD505-2E9C-101B-9397-08002B2CF9AE}" pid="3" name="KSOProductBuildVer">
    <vt:lpwstr>1033-12.2.0.20782</vt:lpwstr>
  </property>
</Properties>
</file>
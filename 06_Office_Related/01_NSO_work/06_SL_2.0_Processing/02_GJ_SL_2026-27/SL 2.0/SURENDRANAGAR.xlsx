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F:\Grv\Grv\05 GIT\01_masterRepo\06_Office_Related\01_NSO_work\06_SL_to_PIVOT_to_Compare_with_WP\02_GJ_WP_2026-27\SL 2.0\"/>
    </mc:Choice>
  </mc:AlternateContent>
  <xr:revisionPtr revIDLastSave="0" documentId="13_ncr:1_{00F3FCB4-B229-4D79-8BCB-9B9C5A4D99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entral 2.0" sheetId="1" r:id="rId1"/>
    <sheet name="state 2.0" sheetId="2" r:id="rId2"/>
  </sheets>
  <definedNames>
    <definedName name="_xlnm._FilterDatabase" localSheetId="1" hidden="1">'state 2.0'!$A$6:$N$20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5" i="2" l="1"/>
  <c r="N19" i="2"/>
  <c r="N28" i="1"/>
  <c r="N23" i="1"/>
  <c r="D24" i="2"/>
  <c r="H24" i="2"/>
  <c r="J24" i="2"/>
  <c r="L24" i="2"/>
  <c r="F24" i="2"/>
  <c r="H27" i="1"/>
  <c r="J27" i="1"/>
  <c r="L27" i="1"/>
  <c r="D27" i="1"/>
  <c r="F27" i="1"/>
  <c r="F23" i="1"/>
  <c r="H23" i="1"/>
  <c r="J23" i="1"/>
  <c r="L23" i="1"/>
  <c r="D23" i="1"/>
  <c r="L28" i="1" l="1"/>
  <c r="J28" i="1"/>
  <c r="H28" i="1"/>
  <c r="F28" i="1"/>
  <c r="D28" i="1"/>
  <c r="F19" i="2"/>
  <c r="F25" i="2" s="1"/>
  <c r="H19" i="2"/>
  <c r="H25" i="2" s="1"/>
  <c r="J19" i="2"/>
  <c r="J25" i="2" s="1"/>
  <c r="L19" i="2"/>
  <c r="L25" i="2" s="1"/>
  <c r="D19" i="2"/>
  <c r="N5" i="2"/>
  <c r="N5" i="1"/>
  <c r="D25" i="2" l="1"/>
</calcChain>
</file>

<file path=xl/sharedStrings.xml><?xml version="1.0" encoding="utf-8"?>
<sst xmlns="http://schemas.openxmlformats.org/spreadsheetml/2006/main" count="177" uniqueCount="78">
  <si>
    <t xml:space="preserve">                               GUJARAT                                              STATEMENT NO. 4                                                  CENTRAL                                                                                      </t>
  </si>
  <si>
    <t xml:space="preserve">      Name of crop,   No. of exp.  And Order of selection                                                          Season: Kharif  </t>
  </si>
  <si>
    <t>PART- A</t>
  </si>
  <si>
    <t>Total</t>
  </si>
  <si>
    <t>Castor</t>
  </si>
  <si>
    <t>Cotton (I)</t>
  </si>
  <si>
    <t>Cotton (UI)</t>
  </si>
  <si>
    <t>Taluka</t>
  </si>
  <si>
    <t>Circle</t>
  </si>
  <si>
    <t>VILLAGE</t>
  </si>
  <si>
    <t>No. of Exp.</t>
  </si>
  <si>
    <t>OS</t>
  </si>
  <si>
    <t>Total Part- A</t>
  </si>
  <si>
    <t>PART- B</t>
  </si>
  <si>
    <t>Total Part-B</t>
  </si>
  <si>
    <t>Total Part- A + B</t>
  </si>
  <si>
    <t>Year-2026-27</t>
  </si>
  <si>
    <t>Chotila</t>
  </si>
  <si>
    <t>Nani Morsal</t>
  </si>
  <si>
    <t>Chuda</t>
  </si>
  <si>
    <t>Gokharwala</t>
  </si>
  <si>
    <t>Navi Morwad</t>
  </si>
  <si>
    <t>Dasada</t>
  </si>
  <si>
    <t>Padiwada</t>
  </si>
  <si>
    <t>Dhrangadhra</t>
  </si>
  <si>
    <t>Chuli</t>
  </si>
  <si>
    <t>Jasapar</t>
  </si>
  <si>
    <t>Jiva</t>
  </si>
  <si>
    <t>Lakhtar</t>
  </si>
  <si>
    <t>Talsana</t>
  </si>
  <si>
    <t>Zamar</t>
  </si>
  <si>
    <t>Limbdi</t>
  </si>
  <si>
    <t>Nana Timbla</t>
  </si>
  <si>
    <t>Parali</t>
  </si>
  <si>
    <t>Muli</t>
  </si>
  <si>
    <t>Manpar</t>
  </si>
  <si>
    <t>Tidana</t>
  </si>
  <si>
    <t>Sayla</t>
  </si>
  <si>
    <t>Lakhavad</t>
  </si>
  <si>
    <t>Limbala</t>
  </si>
  <si>
    <t xml:space="preserve">Surendranagar </t>
  </si>
  <si>
    <t>Thangadh</t>
  </si>
  <si>
    <t>Chandreliya</t>
  </si>
  <si>
    <t>Wadhwan</t>
  </si>
  <si>
    <t>GROUNDNUT</t>
  </si>
  <si>
    <t>SEASMUM</t>
  </si>
  <si>
    <t>Tanmaniya</t>
  </si>
  <si>
    <t>Chanpar</t>
  </si>
  <si>
    <t>District: Surendranagar</t>
  </si>
  <si>
    <t>Bhensjal</t>
  </si>
  <si>
    <t>Navapura</t>
  </si>
  <si>
    <t>Ganjela</t>
  </si>
  <si>
    <t>Jegadva</t>
  </si>
  <si>
    <t>Chharad</t>
  </si>
  <si>
    <t>Vadla</t>
  </si>
  <si>
    <t>Liya</t>
  </si>
  <si>
    <t>Rampar</t>
  </si>
  <si>
    <t>Brahmapuri (Vanki)</t>
  </si>
  <si>
    <t>Kotda</t>
  </si>
  <si>
    <t>Ratanpar</t>
  </si>
  <si>
    <t>Laliyad</t>
  </si>
  <si>
    <t>Hematpar</t>
  </si>
  <si>
    <t>1A</t>
  </si>
  <si>
    <t>5A</t>
  </si>
  <si>
    <t>9A</t>
  </si>
  <si>
    <t>3B</t>
  </si>
  <si>
    <t>4B</t>
  </si>
  <si>
    <t>5B</t>
  </si>
  <si>
    <t>7B</t>
  </si>
  <si>
    <t>6B</t>
  </si>
  <si>
    <t>2B</t>
  </si>
  <si>
    <t>8B</t>
  </si>
  <si>
    <t>3A</t>
  </si>
  <si>
    <t>1B</t>
  </si>
  <si>
    <t>2A</t>
  </si>
  <si>
    <t>Rajsitapur</t>
  </si>
  <si>
    <t xml:space="preserve">                               GUJARAT                                              STATEMENT NO. 4                                                 STATE                                                                                   </t>
  </si>
  <si>
    <t>ZZZ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</si>
</sst>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59999389629810485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1" fillId="2" borderId="1" xfId="0" applyFont="1" applyFill="1" applyBorder="1" applyAlignment="1">
      <alignment horizontal="center" vertical="center"/>
    </xf>
    <xf numFmtId="0" fontId="0" fillId="3" borderId="11" xfId="0" applyFill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zoomScale="55" zoomScaleNormal="55" workbookViewId="0">
      <selection activeCell="V18" sqref="V18"/>
    </sheetView>
  </sheetViews>
  <sheetFormatPr defaultRowHeight="14.4" x14ac:dyDescent="0.3"/>
  <cols>
    <col min="1" max="1" width="14.5546875" customWidth="1"/>
    <col min="2" max="2" width="14.33203125" customWidth="1"/>
    <col min="3" max="3" width="10.6640625" customWidth="1"/>
  </cols>
  <sheetData>
    <row r="1" spans="1:14" ht="18" x14ac:dyDescent="0.3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14" ht="18" x14ac:dyDescent="0.3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</row>
    <row r="3" spans="1:14" ht="15.6" x14ac:dyDescent="0.3">
      <c r="A3" s="15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</row>
    <row r="4" spans="1:14" ht="15.6" x14ac:dyDescent="0.3">
      <c r="A4" s="22" t="s">
        <v>48</v>
      </c>
      <c r="B4" s="23"/>
      <c r="C4" s="26" t="s">
        <v>16</v>
      </c>
      <c r="D4" s="20">
        <v>10</v>
      </c>
      <c r="E4" s="20"/>
      <c r="F4" s="20">
        <v>14</v>
      </c>
      <c r="G4" s="20"/>
      <c r="H4" s="20">
        <v>12</v>
      </c>
      <c r="I4" s="20"/>
      <c r="J4" s="20">
        <v>18</v>
      </c>
      <c r="K4" s="20"/>
      <c r="L4" s="20">
        <v>10</v>
      </c>
      <c r="M4" s="20"/>
      <c r="N4" s="1" t="s">
        <v>3</v>
      </c>
    </row>
    <row r="5" spans="1:14" ht="15.6" x14ac:dyDescent="0.3">
      <c r="A5" s="24"/>
      <c r="B5" s="25"/>
      <c r="C5" s="27"/>
      <c r="D5" s="19" t="s">
        <v>44</v>
      </c>
      <c r="E5" s="19"/>
      <c r="F5" s="19" t="s">
        <v>45</v>
      </c>
      <c r="G5" s="19"/>
      <c r="H5" s="19" t="s">
        <v>4</v>
      </c>
      <c r="I5" s="19"/>
      <c r="J5" s="19" t="s">
        <v>5</v>
      </c>
      <c r="K5" s="19"/>
      <c r="L5" s="19" t="s">
        <v>6</v>
      </c>
      <c r="M5" s="19"/>
      <c r="N5" s="1">
        <f>D4+F4+H4+J4+L4</f>
        <v>64</v>
      </c>
    </row>
    <row r="6" spans="1:14" ht="31.2" x14ac:dyDescent="0.3">
      <c r="A6" s="1" t="s">
        <v>7</v>
      </c>
      <c r="B6" s="1" t="s">
        <v>8</v>
      </c>
      <c r="C6" s="1" t="s">
        <v>9</v>
      </c>
      <c r="D6" s="2" t="s">
        <v>10</v>
      </c>
      <c r="E6" s="2" t="s">
        <v>11</v>
      </c>
      <c r="F6" s="2" t="s">
        <v>10</v>
      </c>
      <c r="G6" s="2" t="s">
        <v>11</v>
      </c>
      <c r="H6" s="2" t="s">
        <v>10</v>
      </c>
      <c r="I6" s="2" t="s">
        <v>11</v>
      </c>
      <c r="J6" s="2" t="s">
        <v>10</v>
      </c>
      <c r="K6" s="2" t="s">
        <v>11</v>
      </c>
      <c r="L6" s="2" t="s">
        <v>10</v>
      </c>
      <c r="M6" s="2" t="s">
        <v>11</v>
      </c>
      <c r="N6" s="3"/>
    </row>
    <row r="7" spans="1:14" ht="28.8" x14ac:dyDescent="0.3">
      <c r="A7" s="5" t="s">
        <v>17</v>
      </c>
      <c r="B7" s="5" t="s">
        <v>17</v>
      </c>
      <c r="C7" s="5" t="s">
        <v>18</v>
      </c>
      <c r="D7" s="9"/>
      <c r="E7" s="9"/>
      <c r="F7" s="9"/>
      <c r="G7" s="9"/>
      <c r="H7" s="9"/>
      <c r="I7" s="9"/>
      <c r="J7" s="9">
        <v>2</v>
      </c>
      <c r="K7" s="6" t="s">
        <v>71</v>
      </c>
      <c r="L7" s="9"/>
      <c r="M7" s="9"/>
      <c r="N7" s="10"/>
    </row>
    <row r="8" spans="1:14" ht="28.8" x14ac:dyDescent="0.3">
      <c r="A8" s="5" t="s">
        <v>19</v>
      </c>
      <c r="B8" s="5" t="s">
        <v>19</v>
      </c>
      <c r="C8" s="5" t="s">
        <v>20</v>
      </c>
      <c r="D8" s="9">
        <v>2</v>
      </c>
      <c r="E8" s="6">
        <v>3</v>
      </c>
      <c r="F8" s="9">
        <v>2</v>
      </c>
      <c r="G8" s="6">
        <v>1</v>
      </c>
      <c r="H8" s="9"/>
      <c r="I8" s="9"/>
      <c r="J8" s="9">
        <v>2</v>
      </c>
      <c r="K8" s="6" t="s">
        <v>66</v>
      </c>
      <c r="L8" s="9"/>
      <c r="M8" s="9"/>
      <c r="N8" s="10"/>
    </row>
    <row r="9" spans="1:14" ht="28.8" x14ac:dyDescent="0.3">
      <c r="A9" s="5" t="s">
        <v>19</v>
      </c>
      <c r="B9" s="5" t="s">
        <v>19</v>
      </c>
      <c r="C9" s="5" t="s">
        <v>21</v>
      </c>
      <c r="D9" s="9"/>
      <c r="E9" s="6"/>
      <c r="F9" s="9"/>
      <c r="G9" s="6"/>
      <c r="H9" s="9"/>
      <c r="I9" s="9"/>
      <c r="J9" s="9">
        <v>2</v>
      </c>
      <c r="K9" s="6" t="s">
        <v>70</v>
      </c>
      <c r="L9" s="9"/>
      <c r="M9" s="9"/>
      <c r="N9" s="10"/>
    </row>
    <row r="10" spans="1:14" ht="18" x14ac:dyDescent="0.3">
      <c r="A10" s="5" t="s">
        <v>22</v>
      </c>
      <c r="B10" s="5" t="s">
        <v>22</v>
      </c>
      <c r="C10" s="5" t="s">
        <v>23</v>
      </c>
      <c r="D10" s="9"/>
      <c r="E10" s="6"/>
      <c r="F10" s="9"/>
      <c r="G10" s="6"/>
      <c r="H10" s="9"/>
      <c r="I10" s="9"/>
      <c r="J10" s="9"/>
      <c r="K10" s="6"/>
      <c r="L10" s="9">
        <v>2</v>
      </c>
      <c r="M10" s="6" t="s">
        <v>70</v>
      </c>
      <c r="N10" s="10"/>
    </row>
    <row r="11" spans="1:14" ht="18" x14ac:dyDescent="0.3">
      <c r="A11" s="5" t="s">
        <v>24</v>
      </c>
      <c r="B11" s="5" t="s">
        <v>24</v>
      </c>
      <c r="C11" s="5" t="s">
        <v>25</v>
      </c>
      <c r="D11" s="9"/>
      <c r="E11" s="6"/>
      <c r="F11" s="9"/>
      <c r="G11" s="6"/>
      <c r="H11" s="9">
        <v>2</v>
      </c>
      <c r="I11" s="6">
        <v>5</v>
      </c>
      <c r="J11" s="9"/>
      <c r="K11" s="6"/>
      <c r="L11" s="9"/>
      <c r="M11" s="6"/>
      <c r="N11" s="10"/>
    </row>
    <row r="12" spans="1:14" ht="18" x14ac:dyDescent="0.3">
      <c r="A12" s="5" t="s">
        <v>24</v>
      </c>
      <c r="B12" s="5" t="s">
        <v>24</v>
      </c>
      <c r="C12" s="5" t="s">
        <v>26</v>
      </c>
      <c r="D12" s="9">
        <v>2</v>
      </c>
      <c r="E12" s="6">
        <v>2</v>
      </c>
      <c r="F12" s="9"/>
      <c r="G12" s="6"/>
      <c r="H12" s="9"/>
      <c r="I12" s="6"/>
      <c r="J12" s="9"/>
      <c r="K12" s="6"/>
      <c r="L12" s="9"/>
      <c r="M12" s="6"/>
      <c r="N12" s="10"/>
    </row>
    <row r="13" spans="1:14" ht="18" x14ac:dyDescent="0.3">
      <c r="A13" s="5" t="s">
        <v>24</v>
      </c>
      <c r="B13" s="5" t="s">
        <v>24</v>
      </c>
      <c r="C13" s="5" t="s">
        <v>27</v>
      </c>
      <c r="D13" s="9"/>
      <c r="E13" s="6"/>
      <c r="F13" s="9"/>
      <c r="G13" s="6"/>
      <c r="H13" s="9"/>
      <c r="I13" s="6"/>
      <c r="J13" s="9">
        <v>2</v>
      </c>
      <c r="K13" s="6" t="s">
        <v>62</v>
      </c>
      <c r="L13" s="9"/>
      <c r="M13" s="6"/>
      <c r="N13" s="10"/>
    </row>
    <row r="14" spans="1:14" ht="18" x14ac:dyDescent="0.3">
      <c r="A14" s="5" t="s">
        <v>28</v>
      </c>
      <c r="B14" s="5" t="s">
        <v>28</v>
      </c>
      <c r="C14" s="5" t="s">
        <v>29</v>
      </c>
      <c r="D14" s="9"/>
      <c r="E14" s="6"/>
      <c r="F14" s="9">
        <v>2</v>
      </c>
      <c r="G14" s="6">
        <v>2</v>
      </c>
      <c r="H14" s="9">
        <v>2</v>
      </c>
      <c r="I14" s="6">
        <v>6</v>
      </c>
      <c r="J14" s="9"/>
      <c r="K14" s="6"/>
      <c r="L14" s="9">
        <v>2</v>
      </c>
      <c r="M14" s="6" t="s">
        <v>73</v>
      </c>
      <c r="N14" s="10"/>
    </row>
    <row r="15" spans="1:14" ht="18" x14ac:dyDescent="0.3">
      <c r="A15" s="5" t="s">
        <v>28</v>
      </c>
      <c r="B15" s="5" t="s">
        <v>28</v>
      </c>
      <c r="C15" s="5" t="s">
        <v>30</v>
      </c>
      <c r="D15" s="9"/>
      <c r="E15" s="6"/>
      <c r="F15" s="9">
        <v>2</v>
      </c>
      <c r="G15" s="6">
        <v>3</v>
      </c>
      <c r="H15" s="9">
        <v>2</v>
      </c>
      <c r="I15" s="6">
        <v>2</v>
      </c>
      <c r="J15" s="9">
        <v>2</v>
      </c>
      <c r="K15" s="6" t="s">
        <v>65</v>
      </c>
      <c r="L15" s="9"/>
      <c r="M15" s="6"/>
      <c r="N15" s="10"/>
    </row>
    <row r="16" spans="1:14" ht="28.8" x14ac:dyDescent="0.3">
      <c r="A16" s="5" t="s">
        <v>31</v>
      </c>
      <c r="B16" s="5" t="s">
        <v>31</v>
      </c>
      <c r="C16" s="5" t="s">
        <v>32</v>
      </c>
      <c r="D16" s="9"/>
      <c r="E16" s="6"/>
      <c r="F16" s="9"/>
      <c r="G16" s="6"/>
      <c r="H16" s="9">
        <v>2</v>
      </c>
      <c r="I16" s="6">
        <v>3</v>
      </c>
      <c r="J16" s="9">
        <v>2</v>
      </c>
      <c r="K16" s="6" t="s">
        <v>69</v>
      </c>
      <c r="L16" s="9">
        <v>2</v>
      </c>
      <c r="M16" s="6" t="s">
        <v>66</v>
      </c>
      <c r="N16" s="10"/>
    </row>
    <row r="17" spans="1:14" ht="18" x14ac:dyDescent="0.3">
      <c r="A17" s="5" t="s">
        <v>31</v>
      </c>
      <c r="B17" s="5" t="s">
        <v>31</v>
      </c>
      <c r="C17" s="5" t="s">
        <v>33</v>
      </c>
      <c r="D17" s="9"/>
      <c r="E17" s="6"/>
      <c r="F17" s="9"/>
      <c r="G17" s="6"/>
      <c r="H17" s="9"/>
      <c r="I17" s="6"/>
      <c r="J17" s="9">
        <v>2</v>
      </c>
      <c r="K17" s="6" t="s">
        <v>68</v>
      </c>
      <c r="L17" s="9">
        <v>2</v>
      </c>
      <c r="M17" s="6" t="s">
        <v>72</v>
      </c>
      <c r="N17" s="10"/>
    </row>
    <row r="18" spans="1:14" ht="18" x14ac:dyDescent="0.3">
      <c r="A18" s="5" t="s">
        <v>34</v>
      </c>
      <c r="B18" s="5" t="s">
        <v>34</v>
      </c>
      <c r="C18" s="5" t="s">
        <v>35</v>
      </c>
      <c r="D18" s="9">
        <v>2</v>
      </c>
      <c r="E18" s="6">
        <v>4</v>
      </c>
      <c r="F18" s="9"/>
      <c r="G18" s="6"/>
      <c r="H18" s="9"/>
      <c r="I18" s="6"/>
      <c r="J18" s="9">
        <v>2</v>
      </c>
      <c r="K18" s="6" t="s">
        <v>64</v>
      </c>
      <c r="L18" s="9"/>
      <c r="M18" s="6"/>
      <c r="N18" s="10"/>
    </row>
    <row r="19" spans="1:14" ht="18" x14ac:dyDescent="0.3">
      <c r="A19" s="5" t="s">
        <v>34</v>
      </c>
      <c r="B19" s="5" t="s">
        <v>34</v>
      </c>
      <c r="C19" s="5" t="s">
        <v>36</v>
      </c>
      <c r="D19" s="9">
        <v>2</v>
      </c>
      <c r="E19" s="6">
        <v>5</v>
      </c>
      <c r="F19" s="9">
        <v>2</v>
      </c>
      <c r="G19" s="6">
        <v>4</v>
      </c>
      <c r="H19" s="9">
        <v>2</v>
      </c>
      <c r="I19" s="6">
        <v>4</v>
      </c>
      <c r="J19" s="9"/>
      <c r="K19" s="6"/>
      <c r="L19" s="9"/>
      <c r="M19" s="6"/>
      <c r="N19" s="10"/>
    </row>
    <row r="20" spans="1:14" ht="18" x14ac:dyDescent="0.3">
      <c r="A20" s="5" t="s">
        <v>37</v>
      </c>
      <c r="B20" s="5" t="s">
        <v>37</v>
      </c>
      <c r="C20" s="5" t="s">
        <v>38</v>
      </c>
      <c r="D20" s="9"/>
      <c r="E20" s="6"/>
      <c r="F20" s="9">
        <v>2</v>
      </c>
      <c r="G20" s="6">
        <v>5</v>
      </c>
      <c r="H20" s="9">
        <v>2</v>
      </c>
      <c r="I20" s="6">
        <v>1</v>
      </c>
      <c r="J20" s="9"/>
      <c r="K20" s="6"/>
      <c r="L20" s="9"/>
      <c r="M20" s="6"/>
      <c r="N20" s="10"/>
    </row>
    <row r="21" spans="1:14" ht="18" x14ac:dyDescent="0.3">
      <c r="A21" s="5" t="s">
        <v>37</v>
      </c>
      <c r="B21" s="5" t="s">
        <v>37</v>
      </c>
      <c r="C21" s="5" t="s">
        <v>39</v>
      </c>
      <c r="D21" s="9"/>
      <c r="E21" s="6"/>
      <c r="F21" s="9"/>
      <c r="G21" s="9"/>
      <c r="H21" s="9"/>
      <c r="I21" s="9"/>
      <c r="J21" s="9">
        <v>2</v>
      </c>
      <c r="K21" s="6" t="s">
        <v>63</v>
      </c>
      <c r="L21" s="9">
        <v>2</v>
      </c>
      <c r="M21" s="6" t="s">
        <v>67</v>
      </c>
      <c r="N21" s="10"/>
    </row>
    <row r="22" spans="1:14" ht="18" x14ac:dyDescent="0.3">
      <c r="A22" s="5" t="s">
        <v>41</v>
      </c>
      <c r="B22" s="5" t="s">
        <v>41</v>
      </c>
      <c r="C22" s="5" t="s">
        <v>42</v>
      </c>
      <c r="D22" s="9">
        <v>2</v>
      </c>
      <c r="E22" s="6">
        <v>1</v>
      </c>
      <c r="F22" s="9"/>
      <c r="G22" s="9"/>
      <c r="H22" s="9"/>
      <c r="I22" s="9"/>
      <c r="J22" s="9"/>
      <c r="K22" s="6"/>
      <c r="L22" s="9"/>
      <c r="M22" s="9"/>
      <c r="N22" s="10"/>
    </row>
    <row r="23" spans="1:14" ht="18" x14ac:dyDescent="0.3">
      <c r="A23" s="20" t="s">
        <v>12</v>
      </c>
      <c r="B23" s="20"/>
      <c r="C23" s="20"/>
      <c r="D23" s="4">
        <f>SUM(D7:D22)</f>
        <v>10</v>
      </c>
      <c r="E23" s="4"/>
      <c r="F23" s="4">
        <f>SUM(F7:F22)</f>
        <v>10</v>
      </c>
      <c r="G23" s="4"/>
      <c r="H23" s="4">
        <f>SUM(H7:H22)</f>
        <v>12</v>
      </c>
      <c r="I23" s="4"/>
      <c r="J23" s="4">
        <f>SUM(J7:J22)</f>
        <v>18</v>
      </c>
      <c r="K23" s="4"/>
      <c r="L23" s="4">
        <f>SUM(L7:L22)</f>
        <v>10</v>
      </c>
      <c r="M23" s="4"/>
      <c r="N23" s="4">
        <f>D23+F23+H23+L23</f>
        <v>42</v>
      </c>
    </row>
    <row r="24" spans="1:14" ht="15.6" x14ac:dyDescent="0.3">
      <c r="A24" s="15" t="s">
        <v>13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</row>
    <row r="25" spans="1:14" ht="18" x14ac:dyDescent="0.3">
      <c r="A25" s="7" t="s">
        <v>28</v>
      </c>
      <c r="B25" s="7" t="s">
        <v>28</v>
      </c>
      <c r="C25" s="7" t="s">
        <v>46</v>
      </c>
      <c r="D25" s="11"/>
      <c r="E25" s="11"/>
      <c r="F25" s="11">
        <v>2</v>
      </c>
      <c r="G25" s="4">
        <v>7</v>
      </c>
      <c r="H25" s="11"/>
      <c r="I25" s="11"/>
      <c r="J25" s="11"/>
      <c r="K25" s="11"/>
      <c r="L25" s="11"/>
      <c r="M25" s="4"/>
      <c r="N25" s="10"/>
    </row>
    <row r="26" spans="1:14" ht="18" x14ac:dyDescent="0.3">
      <c r="A26" s="7" t="s">
        <v>34</v>
      </c>
      <c r="B26" s="7" t="s">
        <v>34</v>
      </c>
      <c r="C26" s="7" t="s">
        <v>47</v>
      </c>
      <c r="D26" s="11"/>
      <c r="E26" s="11"/>
      <c r="F26" s="11">
        <v>2</v>
      </c>
      <c r="G26" s="4">
        <v>6</v>
      </c>
      <c r="H26" s="11"/>
      <c r="I26" s="11"/>
      <c r="J26" s="11"/>
      <c r="K26" s="11"/>
      <c r="L26" s="11"/>
      <c r="M26" s="4"/>
      <c r="N26" s="10"/>
    </row>
    <row r="27" spans="1:14" ht="18" x14ac:dyDescent="0.3">
      <c r="A27" s="16" t="s">
        <v>14</v>
      </c>
      <c r="B27" s="17"/>
      <c r="C27" s="18"/>
      <c r="D27" s="4">
        <f>SUM(D25:D26)</f>
        <v>0</v>
      </c>
      <c r="E27" s="4"/>
      <c r="F27" s="4">
        <f>SUM(F25:F26)</f>
        <v>4</v>
      </c>
      <c r="G27" s="4"/>
      <c r="H27" s="4">
        <f>SUM(H25:H26)</f>
        <v>0</v>
      </c>
      <c r="I27" s="4"/>
      <c r="J27" s="4">
        <f>SUM(J25:J26)</f>
        <v>0</v>
      </c>
      <c r="K27" s="4"/>
      <c r="L27" s="4">
        <f>SUM(L25:L26)</f>
        <v>0</v>
      </c>
      <c r="M27" s="4"/>
      <c r="N27" s="4">
        <v>4</v>
      </c>
    </row>
    <row r="28" spans="1:14" ht="18" x14ac:dyDescent="0.3">
      <c r="A28" s="16" t="s">
        <v>15</v>
      </c>
      <c r="B28" s="17"/>
      <c r="C28" s="18"/>
      <c r="D28" s="4">
        <f>+D23+D27</f>
        <v>10</v>
      </c>
      <c r="E28" s="4"/>
      <c r="F28" s="4">
        <f>+F23+F27</f>
        <v>14</v>
      </c>
      <c r="G28" s="4"/>
      <c r="H28" s="4">
        <f>+H23+H27</f>
        <v>12</v>
      </c>
      <c r="I28" s="4"/>
      <c r="J28" s="4">
        <f>+J23+J27</f>
        <v>18</v>
      </c>
      <c r="K28" s="4"/>
      <c r="L28" s="4">
        <f>+L23+L27</f>
        <v>10</v>
      </c>
      <c r="M28" s="4"/>
      <c r="N28" s="4">
        <f>D28+F28+H28+J28+L28</f>
        <v>64</v>
      </c>
    </row>
  </sheetData>
  <mergeCells count="19">
    <mergeCell ref="A1:N1"/>
    <mergeCell ref="A2:N2"/>
    <mergeCell ref="A3:N3"/>
    <mergeCell ref="A4:B5"/>
    <mergeCell ref="C4:C5"/>
    <mergeCell ref="D4:E4"/>
    <mergeCell ref="F4:G4"/>
    <mergeCell ref="H4:I4"/>
    <mergeCell ref="J4:K4"/>
    <mergeCell ref="L4:M4"/>
    <mergeCell ref="A28:C28"/>
    <mergeCell ref="A23:C23"/>
    <mergeCell ref="A24:N24"/>
    <mergeCell ref="A27:C27"/>
    <mergeCell ref="D5:E5"/>
    <mergeCell ref="F5:G5"/>
    <mergeCell ref="H5:I5"/>
    <mergeCell ref="J5:K5"/>
    <mergeCell ref="L5:M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55" zoomScaleNormal="55" workbookViewId="0">
      <selection activeCell="B7" sqref="B7"/>
    </sheetView>
  </sheetViews>
  <sheetFormatPr defaultRowHeight="14.4" x14ac:dyDescent="0.3"/>
  <cols>
    <col min="1" max="2" width="14.44140625" bestFit="1" customWidth="1"/>
    <col min="3" max="3" width="18.44140625" bestFit="1" customWidth="1"/>
  </cols>
  <sheetData>
    <row r="1" spans="1:14" ht="18" x14ac:dyDescent="0.3">
      <c r="A1" s="21" t="s">
        <v>76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14" ht="18" x14ac:dyDescent="0.3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</row>
    <row r="3" spans="1:14" ht="15.6" x14ac:dyDescent="0.3">
      <c r="A3" s="15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</row>
    <row r="4" spans="1:14" ht="18" x14ac:dyDescent="0.3">
      <c r="A4" s="22" t="s">
        <v>48</v>
      </c>
      <c r="B4" s="23"/>
      <c r="C4" s="26" t="s">
        <v>16</v>
      </c>
      <c r="D4" s="28">
        <v>6</v>
      </c>
      <c r="E4" s="28"/>
      <c r="F4" s="28">
        <v>10</v>
      </c>
      <c r="G4" s="28"/>
      <c r="H4" s="28">
        <v>8</v>
      </c>
      <c r="I4" s="28"/>
      <c r="J4" s="28">
        <v>10</v>
      </c>
      <c r="K4" s="28"/>
      <c r="L4" s="28">
        <v>6</v>
      </c>
      <c r="M4" s="28"/>
      <c r="N4" s="1" t="s">
        <v>3</v>
      </c>
    </row>
    <row r="5" spans="1:14" ht="15.6" x14ac:dyDescent="0.3">
      <c r="A5" s="24"/>
      <c r="B5" s="25"/>
      <c r="C5" s="27"/>
      <c r="D5" s="19" t="s">
        <v>44</v>
      </c>
      <c r="E5" s="19"/>
      <c r="F5" s="19" t="s">
        <v>45</v>
      </c>
      <c r="G5" s="19"/>
      <c r="H5" s="19" t="s">
        <v>4</v>
      </c>
      <c r="I5" s="19"/>
      <c r="J5" s="19" t="s">
        <v>5</v>
      </c>
      <c r="K5" s="19"/>
      <c r="L5" s="19" t="s">
        <v>6</v>
      </c>
      <c r="M5" s="19"/>
      <c r="N5" s="1">
        <f>D4+F4+H4+J4+L4</f>
        <v>40</v>
      </c>
    </row>
    <row r="6" spans="1:14" ht="31.2" x14ac:dyDescent="0.3">
      <c r="A6" s="1" t="s">
        <v>7</v>
      </c>
      <c r="B6" s="1" t="s">
        <v>8</v>
      </c>
      <c r="C6" s="1" t="s">
        <v>9</v>
      </c>
      <c r="D6" s="2" t="s">
        <v>10</v>
      </c>
      <c r="E6" s="2" t="s">
        <v>11</v>
      </c>
      <c r="F6" s="2" t="s">
        <v>10</v>
      </c>
      <c r="G6" s="2" t="s">
        <v>11</v>
      </c>
      <c r="H6" s="2" t="s">
        <v>10</v>
      </c>
      <c r="I6" s="2" t="s">
        <v>11</v>
      </c>
      <c r="J6" s="2" t="s">
        <v>10</v>
      </c>
      <c r="K6" s="2" t="s">
        <v>11</v>
      </c>
      <c r="L6" s="2" t="s">
        <v>10</v>
      </c>
      <c r="M6" s="2" t="s">
        <v>11</v>
      </c>
      <c r="N6" s="3"/>
    </row>
    <row r="7" spans="1:14" ht="18" x14ac:dyDescent="0.3">
      <c r="A7" s="7" t="s">
        <v>19</v>
      </c>
      <c r="B7" s="7" t="s">
        <v>77</v>
      </c>
      <c r="C7" s="7" t="s">
        <v>49</v>
      </c>
      <c r="D7" s="11">
        <v>2</v>
      </c>
      <c r="E7" s="4">
        <v>1</v>
      </c>
      <c r="F7" s="11"/>
      <c r="G7" s="11"/>
      <c r="H7" s="11"/>
      <c r="I7" s="11"/>
      <c r="J7" s="11"/>
      <c r="K7" s="11"/>
      <c r="L7" s="11"/>
      <c r="M7" s="11"/>
      <c r="N7" s="10"/>
    </row>
    <row r="8" spans="1:14" ht="18" x14ac:dyDescent="0.3">
      <c r="A8" s="7" t="s">
        <v>22</v>
      </c>
      <c r="B8" s="7" t="s">
        <v>22</v>
      </c>
      <c r="C8" s="7" t="s">
        <v>50</v>
      </c>
      <c r="D8" s="11"/>
      <c r="E8" s="4"/>
      <c r="F8" s="11"/>
      <c r="G8" s="11"/>
      <c r="H8" s="11"/>
      <c r="I8" s="11"/>
      <c r="J8" s="11"/>
      <c r="K8" s="11"/>
      <c r="L8" s="11">
        <v>2</v>
      </c>
      <c r="M8" s="4" t="s">
        <v>73</v>
      </c>
      <c r="N8" s="10"/>
    </row>
    <row r="9" spans="1:14" ht="18" x14ac:dyDescent="0.3">
      <c r="A9" s="7" t="s">
        <v>24</v>
      </c>
      <c r="B9" s="14" t="s">
        <v>75</v>
      </c>
      <c r="C9" s="7" t="s">
        <v>51</v>
      </c>
      <c r="D9" s="11"/>
      <c r="E9" s="4"/>
      <c r="F9" s="11"/>
      <c r="G9" s="11"/>
      <c r="H9" s="11"/>
      <c r="I9" s="11"/>
      <c r="J9" s="11">
        <v>2</v>
      </c>
      <c r="K9" s="4" t="s">
        <v>66</v>
      </c>
      <c r="L9" s="11"/>
      <c r="M9" s="4"/>
      <c r="N9" s="10"/>
    </row>
    <row r="10" spans="1:14" ht="18" x14ac:dyDescent="0.3">
      <c r="A10" s="7" t="s">
        <v>24</v>
      </c>
      <c r="B10" s="14" t="s">
        <v>75</v>
      </c>
      <c r="C10" s="7" t="s">
        <v>52</v>
      </c>
      <c r="D10" s="11"/>
      <c r="E10" s="4"/>
      <c r="F10" s="11"/>
      <c r="G10" s="11"/>
      <c r="H10" s="11"/>
      <c r="I10" s="11"/>
      <c r="J10" s="11">
        <v>2</v>
      </c>
      <c r="K10" s="4" t="s">
        <v>65</v>
      </c>
      <c r="L10" s="11"/>
      <c r="M10" s="4"/>
      <c r="N10" s="10"/>
    </row>
    <row r="11" spans="1:14" ht="18" x14ac:dyDescent="0.3">
      <c r="A11" s="7" t="s">
        <v>28</v>
      </c>
      <c r="B11" s="7" t="s">
        <v>28</v>
      </c>
      <c r="C11" s="7" t="s">
        <v>53</v>
      </c>
      <c r="D11" s="11"/>
      <c r="E11" s="4"/>
      <c r="F11" s="11">
        <v>2</v>
      </c>
      <c r="G11" s="4">
        <v>1</v>
      </c>
      <c r="H11" s="11">
        <v>2</v>
      </c>
      <c r="I11" s="4">
        <v>2</v>
      </c>
      <c r="J11" s="11">
        <v>2</v>
      </c>
      <c r="K11" s="4" t="s">
        <v>74</v>
      </c>
      <c r="L11" s="11"/>
      <c r="M11" s="4"/>
      <c r="N11" s="10"/>
    </row>
    <row r="12" spans="1:14" ht="18" x14ac:dyDescent="0.3">
      <c r="A12" s="7" t="s">
        <v>28</v>
      </c>
      <c r="B12" s="7" t="s">
        <v>28</v>
      </c>
      <c r="C12" s="7" t="s">
        <v>54</v>
      </c>
      <c r="D12" s="11"/>
      <c r="E12" s="4"/>
      <c r="F12" s="11">
        <v>2</v>
      </c>
      <c r="G12" s="4">
        <v>2</v>
      </c>
      <c r="H12" s="11">
        <v>2</v>
      </c>
      <c r="I12" s="4">
        <v>4</v>
      </c>
      <c r="J12" s="11"/>
      <c r="K12" s="4"/>
      <c r="L12" s="11"/>
      <c r="M12" s="4"/>
      <c r="N12" s="10"/>
    </row>
    <row r="13" spans="1:14" ht="18" x14ac:dyDescent="0.3">
      <c r="A13" s="7" t="s">
        <v>34</v>
      </c>
      <c r="B13" s="7" t="s">
        <v>34</v>
      </c>
      <c r="C13" s="7" t="s">
        <v>55</v>
      </c>
      <c r="D13" s="11">
        <v>2</v>
      </c>
      <c r="E13" s="4">
        <v>2</v>
      </c>
      <c r="F13" s="11"/>
      <c r="G13" s="11"/>
      <c r="H13" s="11"/>
      <c r="I13" s="4"/>
      <c r="J13" s="11"/>
      <c r="K13" s="4"/>
      <c r="L13" s="11"/>
      <c r="M13" s="4"/>
      <c r="N13" s="10"/>
    </row>
    <row r="14" spans="1:14" ht="18" x14ac:dyDescent="0.3">
      <c r="A14" s="7" t="s">
        <v>34</v>
      </c>
      <c r="B14" s="7" t="s">
        <v>34</v>
      </c>
      <c r="C14" s="7" t="s">
        <v>56</v>
      </c>
      <c r="D14" s="11"/>
      <c r="E14" s="4"/>
      <c r="F14" s="11"/>
      <c r="G14" s="11"/>
      <c r="H14" s="11"/>
      <c r="I14" s="4"/>
      <c r="J14" s="11"/>
      <c r="K14" s="4"/>
      <c r="L14" s="11">
        <v>2</v>
      </c>
      <c r="M14" s="4" t="s">
        <v>74</v>
      </c>
      <c r="N14" s="10"/>
    </row>
    <row r="15" spans="1:14" ht="18" x14ac:dyDescent="0.3">
      <c r="A15" s="7" t="s">
        <v>37</v>
      </c>
      <c r="B15" s="7" t="s">
        <v>37</v>
      </c>
      <c r="C15" s="7" t="s">
        <v>57</v>
      </c>
      <c r="D15" s="11">
        <v>2</v>
      </c>
      <c r="E15" s="4">
        <v>3</v>
      </c>
      <c r="F15" s="11"/>
      <c r="G15" s="11"/>
      <c r="H15" s="11"/>
      <c r="I15" s="4"/>
      <c r="J15" s="11"/>
      <c r="K15" s="4"/>
      <c r="L15" s="11">
        <v>2</v>
      </c>
      <c r="M15" s="4" t="s">
        <v>65</v>
      </c>
      <c r="N15" s="10"/>
    </row>
    <row r="16" spans="1:14" ht="18" x14ac:dyDescent="0.3">
      <c r="A16" s="7" t="s">
        <v>37</v>
      </c>
      <c r="B16" s="7" t="s">
        <v>37</v>
      </c>
      <c r="C16" s="7" t="s">
        <v>58</v>
      </c>
      <c r="D16" s="11"/>
      <c r="E16" s="4"/>
      <c r="F16" s="11"/>
      <c r="G16" s="11"/>
      <c r="H16" s="11"/>
      <c r="I16" s="4"/>
      <c r="J16" s="11">
        <v>2</v>
      </c>
      <c r="K16" s="4" t="s">
        <v>73</v>
      </c>
      <c r="L16" s="11"/>
      <c r="M16" s="11"/>
      <c r="N16" s="10"/>
    </row>
    <row r="17" spans="1:14" ht="18" x14ac:dyDescent="0.3">
      <c r="A17" s="7" t="s">
        <v>40</v>
      </c>
      <c r="B17" s="7" t="s">
        <v>40</v>
      </c>
      <c r="C17" s="7" t="s">
        <v>59</v>
      </c>
      <c r="D17" s="11"/>
      <c r="E17" s="11"/>
      <c r="F17" s="11"/>
      <c r="G17" s="11"/>
      <c r="H17" s="11">
        <v>2</v>
      </c>
      <c r="I17" s="4">
        <v>1</v>
      </c>
      <c r="J17" s="11">
        <v>2</v>
      </c>
      <c r="K17" s="4" t="s">
        <v>67</v>
      </c>
      <c r="L17" s="11"/>
      <c r="M17" s="11"/>
      <c r="N17" s="10"/>
    </row>
    <row r="18" spans="1:14" ht="18" x14ac:dyDescent="0.3">
      <c r="A18" s="7" t="s">
        <v>43</v>
      </c>
      <c r="B18" s="7" t="s">
        <v>43</v>
      </c>
      <c r="C18" s="7" t="s">
        <v>43</v>
      </c>
      <c r="D18" s="11"/>
      <c r="E18" s="11"/>
      <c r="F18" s="11"/>
      <c r="G18" s="11"/>
      <c r="H18" s="11">
        <v>2</v>
      </c>
      <c r="I18" s="4">
        <v>3</v>
      </c>
      <c r="J18" s="11"/>
      <c r="K18" s="11"/>
      <c r="L18" s="11"/>
      <c r="M18" s="11"/>
      <c r="N18" s="10"/>
    </row>
    <row r="19" spans="1:14" ht="18" x14ac:dyDescent="0.3">
      <c r="A19" s="20" t="s">
        <v>12</v>
      </c>
      <c r="B19" s="20"/>
      <c r="C19" s="20"/>
      <c r="D19" s="4">
        <f>SUM(D7:D18)</f>
        <v>6</v>
      </c>
      <c r="E19" s="4"/>
      <c r="F19" s="4">
        <f>SUM(F7:F18)</f>
        <v>4</v>
      </c>
      <c r="G19" s="4"/>
      <c r="H19" s="4">
        <f>SUM(H7:H18)</f>
        <v>8</v>
      </c>
      <c r="I19" s="4"/>
      <c r="J19" s="4">
        <f>SUM(J7:J18)</f>
        <v>10</v>
      </c>
      <c r="K19" s="4"/>
      <c r="L19" s="4">
        <f>SUM(L7:L18)</f>
        <v>6</v>
      </c>
      <c r="M19" s="4"/>
      <c r="N19" s="4">
        <f>D19+F19+H19+J19+L19</f>
        <v>34</v>
      </c>
    </row>
    <row r="20" spans="1:14" ht="15.6" x14ac:dyDescent="0.3">
      <c r="A20" s="15" t="s">
        <v>13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</row>
    <row r="21" spans="1:14" ht="18" x14ac:dyDescent="0.35">
      <c r="A21" s="8" t="s">
        <v>19</v>
      </c>
      <c r="B21" s="8" t="s">
        <v>19</v>
      </c>
      <c r="C21" s="8" t="s">
        <v>60</v>
      </c>
      <c r="D21" s="12"/>
      <c r="E21" s="12"/>
      <c r="F21" s="11">
        <v>2</v>
      </c>
      <c r="G21" s="13">
        <v>3</v>
      </c>
      <c r="H21" s="12"/>
      <c r="I21" s="12"/>
      <c r="J21" s="12"/>
      <c r="K21" s="12"/>
      <c r="L21" s="12"/>
      <c r="M21" s="12"/>
      <c r="N21" s="10"/>
    </row>
    <row r="22" spans="1:14" ht="18" x14ac:dyDescent="0.35">
      <c r="A22" s="8" t="s">
        <v>34</v>
      </c>
      <c r="B22" s="8" t="s">
        <v>34</v>
      </c>
      <c r="C22" s="8" t="s">
        <v>61</v>
      </c>
      <c r="D22" s="12"/>
      <c r="E22" s="12"/>
      <c r="F22" s="11">
        <v>2</v>
      </c>
      <c r="G22" s="13">
        <v>5</v>
      </c>
      <c r="H22" s="12"/>
      <c r="I22" s="12"/>
      <c r="J22" s="12"/>
      <c r="K22" s="12"/>
      <c r="L22" s="12"/>
      <c r="M22" s="12"/>
      <c r="N22" s="10"/>
    </row>
    <row r="23" spans="1:14" ht="18" x14ac:dyDescent="0.35">
      <c r="A23" s="8" t="s">
        <v>34</v>
      </c>
      <c r="B23" s="8" t="s">
        <v>34</v>
      </c>
      <c r="C23" s="8" t="s">
        <v>26</v>
      </c>
      <c r="D23" s="12"/>
      <c r="E23" s="12"/>
      <c r="F23" s="11">
        <v>2</v>
      </c>
      <c r="G23" s="13">
        <v>4</v>
      </c>
      <c r="H23" s="12"/>
      <c r="I23" s="12"/>
      <c r="J23" s="12"/>
      <c r="K23" s="12"/>
      <c r="L23" s="12"/>
      <c r="M23" s="12"/>
      <c r="N23" s="10"/>
    </row>
    <row r="24" spans="1:14" ht="18" x14ac:dyDescent="0.3">
      <c r="A24" s="16" t="s">
        <v>14</v>
      </c>
      <c r="B24" s="17"/>
      <c r="C24" s="18"/>
      <c r="D24" s="4">
        <f>SUM(D21:D23)</f>
        <v>0</v>
      </c>
      <c r="E24" s="4"/>
      <c r="F24" s="4">
        <f>SUM(F21:F23)</f>
        <v>6</v>
      </c>
      <c r="G24" s="4"/>
      <c r="H24" s="4">
        <f t="shared" ref="H24" si="0">SUM(H21:H23)</f>
        <v>0</v>
      </c>
      <c r="I24" s="4"/>
      <c r="J24" s="4">
        <f t="shared" ref="J24" si="1">SUM(J21:J23)</f>
        <v>0</v>
      </c>
      <c r="K24" s="4"/>
      <c r="L24" s="4">
        <f t="shared" ref="L24" si="2">SUM(L21:L23)</f>
        <v>0</v>
      </c>
      <c r="M24" s="4"/>
      <c r="N24" s="13">
        <v>6</v>
      </c>
    </row>
    <row r="25" spans="1:14" ht="18" x14ac:dyDescent="0.3">
      <c r="A25" s="16" t="s">
        <v>15</v>
      </c>
      <c r="B25" s="17"/>
      <c r="C25" s="18"/>
      <c r="D25" s="4">
        <f>+D19+D24</f>
        <v>6</v>
      </c>
      <c r="E25" s="4"/>
      <c r="F25" s="4">
        <f>+F19+F24</f>
        <v>10</v>
      </c>
      <c r="G25" s="4"/>
      <c r="H25" s="4">
        <f>+H19+H24</f>
        <v>8</v>
      </c>
      <c r="I25" s="4"/>
      <c r="J25" s="4">
        <f>+J19+J24</f>
        <v>10</v>
      </c>
      <c r="K25" s="4"/>
      <c r="L25" s="4">
        <f>+L19+L24</f>
        <v>6</v>
      </c>
      <c r="M25" s="4"/>
      <c r="N25" s="4">
        <f>D25+F25+H25+J25+L25</f>
        <v>40</v>
      </c>
    </row>
  </sheetData>
  <mergeCells count="19">
    <mergeCell ref="A1:N1"/>
    <mergeCell ref="A2:N2"/>
    <mergeCell ref="A3:N3"/>
    <mergeCell ref="A4:B5"/>
    <mergeCell ref="C4:C5"/>
    <mergeCell ref="D4:E4"/>
    <mergeCell ref="F4:G4"/>
    <mergeCell ref="H4:I4"/>
    <mergeCell ref="J4:K4"/>
    <mergeCell ref="L4:M4"/>
    <mergeCell ref="A20:N20"/>
    <mergeCell ref="A24:C24"/>
    <mergeCell ref="A25:C25"/>
    <mergeCell ref="D5:E5"/>
    <mergeCell ref="F5:G5"/>
    <mergeCell ref="H5:I5"/>
    <mergeCell ref="J5:K5"/>
    <mergeCell ref="L5:M5"/>
    <mergeCell ref="A19:C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central 2.0</vt:lpstr>
      <vt:lpstr>state 2.0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Tamil Nadu</cp:lastModifiedBy>
  <dcterms:created xsi:type="dcterms:W3CDTF">2015-06-05T18:17:20Z</dcterms:created>
  <dcterms:modified xsi:type="dcterms:W3CDTF">2026-09-23T07:05:54Z</dcterms:modified>
</cp:coreProperties>
</file>
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2026-27\ICS\2.0   PLANNING 2026-27\Kharif 2026-27\2.0\2.0 planning 2026-27\"/>
    </mc:Choice>
  </mc:AlternateContent>
  <xr:revisionPtr revIDLastSave="0" documentId="13_ncr:1_{6C64A535-3629-4F48-A37B-717789068208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central 2.0" sheetId="1" r:id="rId1"/>
    <sheet name="state 2.0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4" i="1" l="1"/>
  <c r="L23" i="1"/>
  <c r="L22" i="1"/>
  <c r="L21" i="1"/>
  <c r="L20" i="1"/>
  <c r="F25" i="1"/>
  <c r="H25" i="1"/>
  <c r="J25" i="1"/>
  <c r="L25" i="1"/>
  <c r="D25" i="1"/>
  <c r="L21" i="2"/>
  <c r="L20" i="2"/>
  <c r="L22" i="2" s="1"/>
  <c r="L17" i="2"/>
  <c r="L16" i="2"/>
  <c r="L15" i="2"/>
  <c r="L14" i="2"/>
  <c r="L13" i="2"/>
  <c r="L12" i="2"/>
  <c r="L11" i="2"/>
  <c r="L10" i="2"/>
  <c r="L9" i="2"/>
  <c r="L8" i="2"/>
  <c r="L7" i="2"/>
  <c r="F22" i="2"/>
  <c r="H22" i="2"/>
  <c r="J22" i="2"/>
  <c r="D22" i="2"/>
  <c r="L8" i="1"/>
  <c r="L9" i="1"/>
  <c r="L10" i="1"/>
  <c r="L11" i="1"/>
  <c r="L12" i="1"/>
  <c r="L13" i="1"/>
  <c r="L14" i="1"/>
  <c r="L15" i="1"/>
  <c r="L16" i="1"/>
  <c r="L17" i="1"/>
  <c r="L7" i="1"/>
  <c r="L5" i="1"/>
  <c r="L5" i="2"/>
  <c r="L18" i="1" l="1"/>
  <c r="L26" i="1" s="1"/>
  <c r="J18" i="1"/>
  <c r="J26" i="1" s="1"/>
  <c r="H18" i="1"/>
  <c r="H26" i="1" s="1"/>
  <c r="F18" i="1"/>
  <c r="F26" i="1" s="1"/>
  <c r="D18" i="1"/>
  <c r="D26" i="1" s="1"/>
  <c r="F18" i="2"/>
  <c r="F23" i="2" s="1"/>
  <c r="H18" i="2"/>
  <c r="H23" i="2" s="1"/>
  <c r="J18" i="2"/>
  <c r="J23" i="2" s="1"/>
  <c r="L18" i="2"/>
  <c r="L23" i="2" s="1"/>
  <c r="D18" i="2"/>
  <c r="D23" i="2" l="1"/>
</calcChain>
</file>

<file path=xl/sharedStrings.xml><?xml version="1.0" encoding="utf-8"?>
<sst xmlns="http://schemas.openxmlformats.org/spreadsheetml/2006/main" count="144" uniqueCount="74">
  <si>
    <t xml:space="preserve">                               GUJARAT                                              STATEMENT NO. 4                                                  CENTRAL                                                                                      </t>
  </si>
  <si>
    <t xml:space="preserve">      Name of crop,   No. of exp.  And Order of selection                                                          Season: Kharif  </t>
  </si>
  <si>
    <t>PART- A</t>
  </si>
  <si>
    <t>District: Ahmedabad</t>
  </si>
  <si>
    <t>Total</t>
  </si>
  <si>
    <t>Castor</t>
  </si>
  <si>
    <t>Taluka</t>
  </si>
  <si>
    <t>Circle</t>
  </si>
  <si>
    <t>VILLAGE</t>
  </si>
  <si>
    <t>No. of Exp.</t>
  </si>
  <si>
    <t>OS</t>
  </si>
  <si>
    <t>Total Part- A</t>
  </si>
  <si>
    <t>PART- B</t>
  </si>
  <si>
    <t>Total Part-B</t>
  </si>
  <si>
    <t>Total Part- A + B</t>
  </si>
  <si>
    <t xml:space="preserve">                               GUJARAT                                              STATEMENT NO. 4                                                 state                                                                                   </t>
  </si>
  <si>
    <t>Year-2026-27</t>
  </si>
  <si>
    <t>Mahesana</t>
  </si>
  <si>
    <t>Becharaji</t>
  </si>
  <si>
    <t>Gambhu</t>
  </si>
  <si>
    <t>Jotana</t>
  </si>
  <si>
    <t>Bhatariya</t>
  </si>
  <si>
    <t>Kadi</t>
  </si>
  <si>
    <t>Jasalpur</t>
  </si>
  <si>
    <t>Vansol</t>
  </si>
  <si>
    <t>Baliyasan</t>
  </si>
  <si>
    <t>Gilosan</t>
  </si>
  <si>
    <t>Satlasana</t>
  </si>
  <si>
    <t>Sartanpur (Gadh)</t>
  </si>
  <si>
    <t>Unjha</t>
  </si>
  <si>
    <t>Lindi</t>
  </si>
  <si>
    <t>Vadnagar</t>
  </si>
  <si>
    <t>Malekpur(Vad)</t>
  </si>
  <si>
    <t>Vijapur</t>
  </si>
  <si>
    <t>Rampur Kuvayda</t>
  </si>
  <si>
    <t>GROUNDNUT</t>
  </si>
  <si>
    <t>BAJARA</t>
  </si>
  <si>
    <t>Alusna</t>
  </si>
  <si>
    <t>Balasar</t>
  </si>
  <si>
    <t>Kheralu</t>
  </si>
  <si>
    <t>Sadikpur</t>
  </si>
  <si>
    <t>Bhasariya</t>
  </si>
  <si>
    <t>Ramosana</t>
  </si>
  <si>
    <t>Shahupura (Gadh)</t>
  </si>
  <si>
    <t>Karshanpura</t>
  </si>
  <si>
    <t>Kukarvada</t>
  </si>
  <si>
    <t>Sayajinagar</t>
  </si>
  <si>
    <t>Visnagar</t>
  </si>
  <si>
    <t>Khadalpur</t>
  </si>
  <si>
    <t>Ajabpura</t>
  </si>
  <si>
    <t>District: Mahesana</t>
  </si>
  <si>
    <t>Dodivada</t>
  </si>
  <si>
    <t>Chhalesra</t>
  </si>
  <si>
    <t>Modipur</t>
  </si>
  <si>
    <t>Fattepura(Khe)</t>
  </si>
  <si>
    <t>Rajpur (Vad)</t>
  </si>
  <si>
    <t>1A</t>
  </si>
  <si>
    <t>5A</t>
  </si>
  <si>
    <t>2B</t>
  </si>
  <si>
    <t>3B</t>
  </si>
  <si>
    <t>4B</t>
  </si>
  <si>
    <t>6B</t>
  </si>
  <si>
    <t>8B</t>
  </si>
  <si>
    <t>7B</t>
  </si>
  <si>
    <t>2A</t>
  </si>
  <si>
    <t>3 B</t>
  </si>
  <si>
    <t>4 B</t>
  </si>
  <si>
    <t>1 B</t>
  </si>
  <si>
    <t>5 B</t>
  </si>
  <si>
    <t xml:space="preserve">Kadi rural </t>
  </si>
  <si>
    <t>Gozariya</t>
  </si>
  <si>
    <t>Mahesana Rural</t>
  </si>
  <si>
    <t>Adraj</t>
  </si>
  <si>
    <t>Cotton (I)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</si>
</sst>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theme="4" tint="0.59999389629810485"/>
      </patternFill>
    </fill>
    <fill>
      <patternFill patternType="solid">
        <fgColor theme="0"/>
        <bgColor theme="4" tint="0.79998168889431442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4" borderId="11" xfId="0" applyFill="1" applyBorder="1"/>
    <xf numFmtId="0" fontId="0" fillId="5" borderId="11" xfId="0" applyFill="1" applyBorder="1"/>
    <xf numFmtId="0" fontId="0" fillId="4" borderId="1" xfId="0" applyFill="1" applyBorder="1"/>
    <xf numFmtId="0" fontId="0" fillId="5" borderId="1" xfId="0" applyFill="1" applyBorder="1"/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6"/>
  <sheetViews>
    <sheetView workbookViewId="0">
      <selection activeCell="L8" sqref="L8"/>
    </sheetView>
  </sheetViews>
  <sheetFormatPr defaultRowHeight="15" x14ac:dyDescent="0.25"/>
  <cols>
    <col min="3" max="3" width="13" customWidth="1"/>
  </cols>
  <sheetData>
    <row r="1" spans="1:12" ht="28.5" customHeight="1" x14ac:dyDescent="0.25">
      <c r="A1" s="22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</row>
    <row r="2" spans="1:12" ht="28.5" customHeight="1" x14ac:dyDescent="0.25">
      <c r="A2" s="22" t="s">
        <v>1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</row>
    <row r="3" spans="1:12" ht="28.5" customHeight="1" x14ac:dyDescent="0.25">
      <c r="A3" s="20" t="s">
        <v>2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</row>
    <row r="4" spans="1:12" ht="28.5" customHeight="1" x14ac:dyDescent="0.25">
      <c r="A4" s="23" t="s">
        <v>50</v>
      </c>
      <c r="B4" s="24"/>
      <c r="C4" s="27" t="s">
        <v>16</v>
      </c>
      <c r="D4" s="19">
        <v>8</v>
      </c>
      <c r="E4" s="19"/>
      <c r="F4" s="19">
        <v>4</v>
      </c>
      <c r="G4" s="19"/>
      <c r="H4" s="19">
        <v>18</v>
      </c>
      <c r="I4" s="19"/>
      <c r="J4" s="19">
        <v>16</v>
      </c>
      <c r="K4" s="19"/>
      <c r="L4" s="1" t="s">
        <v>4</v>
      </c>
    </row>
    <row r="5" spans="1:12" ht="28.5" customHeight="1" x14ac:dyDescent="0.25">
      <c r="A5" s="25"/>
      <c r="B5" s="26"/>
      <c r="C5" s="28"/>
      <c r="D5" s="21" t="s">
        <v>35</v>
      </c>
      <c r="E5" s="21"/>
      <c r="F5" s="21" t="s">
        <v>36</v>
      </c>
      <c r="G5" s="21"/>
      <c r="H5" s="21" t="s">
        <v>5</v>
      </c>
      <c r="I5" s="21"/>
      <c r="J5" s="21" t="s">
        <v>73</v>
      </c>
      <c r="K5" s="21"/>
      <c r="L5" s="1">
        <f>SUM(D4:K4)</f>
        <v>46</v>
      </c>
    </row>
    <row r="6" spans="1:12" ht="28.5" customHeight="1" x14ac:dyDescent="0.25">
      <c r="A6" s="1" t="s">
        <v>6</v>
      </c>
      <c r="B6" s="1" t="s">
        <v>7</v>
      </c>
      <c r="C6" s="1" t="s">
        <v>8</v>
      </c>
      <c r="D6" s="2" t="s">
        <v>9</v>
      </c>
      <c r="E6" s="2" t="s">
        <v>10</v>
      </c>
      <c r="F6" s="2" t="s">
        <v>9</v>
      </c>
      <c r="G6" s="2" t="s">
        <v>10</v>
      </c>
      <c r="H6" s="2" t="s">
        <v>9</v>
      </c>
      <c r="I6" s="2" t="s">
        <v>10</v>
      </c>
      <c r="J6" s="2" t="s">
        <v>9</v>
      </c>
      <c r="K6" s="2" t="s">
        <v>10</v>
      </c>
      <c r="L6" s="3"/>
    </row>
    <row r="7" spans="1:12" ht="28.5" customHeight="1" x14ac:dyDescent="0.25">
      <c r="A7" s="9" t="s">
        <v>18</v>
      </c>
      <c r="B7" s="9" t="s">
        <v>18</v>
      </c>
      <c r="C7" s="9" t="s">
        <v>19</v>
      </c>
      <c r="D7" s="9"/>
      <c r="E7" s="9"/>
      <c r="F7" s="9"/>
      <c r="G7" s="10"/>
      <c r="H7" s="9">
        <v>2</v>
      </c>
      <c r="I7" s="4">
        <v>1</v>
      </c>
      <c r="J7" s="9">
        <v>2</v>
      </c>
      <c r="K7" s="4" t="s">
        <v>56</v>
      </c>
      <c r="L7" s="3">
        <f>+D7+F7+H7+J7</f>
        <v>4</v>
      </c>
    </row>
    <row r="8" spans="1:12" ht="28.5" customHeight="1" x14ac:dyDescent="0.25">
      <c r="A8" s="9" t="s">
        <v>20</v>
      </c>
      <c r="B8" s="9" t="s">
        <v>20</v>
      </c>
      <c r="C8" s="9" t="s">
        <v>21</v>
      </c>
      <c r="D8" s="9"/>
      <c r="E8" s="9"/>
      <c r="F8" s="9"/>
      <c r="G8" s="10"/>
      <c r="H8" s="9">
        <v>2</v>
      </c>
      <c r="I8" s="4">
        <v>2</v>
      </c>
      <c r="J8" s="9"/>
      <c r="K8" s="4"/>
      <c r="L8" s="3">
        <f t="shared" ref="L8:L17" si="0">+D8+F8+H8+J8</f>
        <v>2</v>
      </c>
    </row>
    <row r="9" spans="1:12" ht="28.5" customHeight="1" x14ac:dyDescent="0.25">
      <c r="A9" s="9" t="s">
        <v>22</v>
      </c>
      <c r="B9" s="13" t="s">
        <v>69</v>
      </c>
      <c r="C9" s="9" t="s">
        <v>23</v>
      </c>
      <c r="D9" s="9"/>
      <c r="E9" s="9"/>
      <c r="F9" s="9"/>
      <c r="G9" s="10"/>
      <c r="H9" s="9">
        <v>2</v>
      </c>
      <c r="I9" s="4">
        <v>3</v>
      </c>
      <c r="J9" s="9"/>
      <c r="K9" s="4"/>
      <c r="L9" s="3">
        <f t="shared" si="0"/>
        <v>2</v>
      </c>
    </row>
    <row r="10" spans="1:12" ht="28.5" customHeight="1" x14ac:dyDescent="0.25">
      <c r="A10" s="9" t="s">
        <v>22</v>
      </c>
      <c r="B10" s="12" t="s">
        <v>72</v>
      </c>
      <c r="C10" s="9" t="s">
        <v>24</v>
      </c>
      <c r="D10" s="9"/>
      <c r="E10" s="9"/>
      <c r="F10" s="9"/>
      <c r="G10" s="10"/>
      <c r="H10" s="9">
        <v>2</v>
      </c>
      <c r="I10" s="4">
        <v>4</v>
      </c>
      <c r="J10" s="9"/>
      <c r="K10" s="4"/>
      <c r="L10" s="3">
        <f t="shared" si="0"/>
        <v>2</v>
      </c>
    </row>
    <row r="11" spans="1:12" ht="28.5" customHeight="1" x14ac:dyDescent="0.25">
      <c r="A11" s="3" t="s">
        <v>17</v>
      </c>
      <c r="B11" s="13" t="s">
        <v>70</v>
      </c>
      <c r="C11" s="9" t="s">
        <v>25</v>
      </c>
      <c r="D11" s="9"/>
      <c r="E11" s="9"/>
      <c r="F11" s="9"/>
      <c r="G11" s="10"/>
      <c r="H11" s="9">
        <v>2</v>
      </c>
      <c r="I11" s="4">
        <v>5</v>
      </c>
      <c r="J11" s="9">
        <v>2</v>
      </c>
      <c r="K11" s="4" t="s">
        <v>58</v>
      </c>
      <c r="L11" s="3">
        <f t="shared" si="0"/>
        <v>4</v>
      </c>
    </row>
    <row r="12" spans="1:12" ht="28.5" customHeight="1" x14ac:dyDescent="0.25">
      <c r="A12" s="9" t="s">
        <v>17</v>
      </c>
      <c r="B12" s="12" t="s">
        <v>71</v>
      </c>
      <c r="C12" s="9" t="s">
        <v>26</v>
      </c>
      <c r="D12" s="9"/>
      <c r="E12" s="9"/>
      <c r="F12" s="9">
        <v>2</v>
      </c>
      <c r="G12" s="11">
        <v>1</v>
      </c>
      <c r="H12" s="9"/>
      <c r="I12" s="4"/>
      <c r="J12" s="9"/>
      <c r="K12" s="4"/>
      <c r="L12" s="3">
        <f t="shared" si="0"/>
        <v>2</v>
      </c>
    </row>
    <row r="13" spans="1:12" ht="28.5" customHeight="1" x14ac:dyDescent="0.25">
      <c r="A13" s="9" t="s">
        <v>27</v>
      </c>
      <c r="B13" s="9" t="s">
        <v>27</v>
      </c>
      <c r="C13" s="9" t="s">
        <v>28</v>
      </c>
      <c r="D13" s="9">
        <v>2</v>
      </c>
      <c r="E13" s="4">
        <v>1</v>
      </c>
      <c r="F13" s="9"/>
      <c r="G13" s="10"/>
      <c r="H13" s="9">
        <v>2</v>
      </c>
      <c r="I13" s="4">
        <v>6</v>
      </c>
      <c r="J13" s="9"/>
      <c r="K13" s="4"/>
      <c r="L13" s="3">
        <f t="shared" si="0"/>
        <v>4</v>
      </c>
    </row>
    <row r="14" spans="1:12" ht="28.5" customHeight="1" x14ac:dyDescent="0.25">
      <c r="A14" s="9" t="s">
        <v>29</v>
      </c>
      <c r="B14" s="9" t="s">
        <v>29</v>
      </c>
      <c r="C14" s="9" t="s">
        <v>30</v>
      </c>
      <c r="D14" s="9"/>
      <c r="E14" s="4"/>
      <c r="F14" s="9"/>
      <c r="G14" s="10"/>
      <c r="H14" s="9">
        <v>2</v>
      </c>
      <c r="I14" s="4">
        <v>7</v>
      </c>
      <c r="J14" s="9">
        <v>2</v>
      </c>
      <c r="K14" s="4" t="s">
        <v>59</v>
      </c>
      <c r="L14" s="3">
        <f t="shared" si="0"/>
        <v>4</v>
      </c>
    </row>
    <row r="15" spans="1:12" ht="28.5" customHeight="1" x14ac:dyDescent="0.25">
      <c r="A15" s="9" t="s">
        <v>31</v>
      </c>
      <c r="B15" s="9" t="s">
        <v>31</v>
      </c>
      <c r="C15" s="3" t="s">
        <v>32</v>
      </c>
      <c r="D15" s="9"/>
      <c r="E15" s="4"/>
      <c r="F15" s="9"/>
      <c r="G15" s="10"/>
      <c r="H15" s="9">
        <v>2</v>
      </c>
      <c r="I15" s="4">
        <v>8</v>
      </c>
      <c r="J15" s="9">
        <v>2</v>
      </c>
      <c r="K15" s="4" t="s">
        <v>60</v>
      </c>
      <c r="L15" s="3">
        <f t="shared" si="0"/>
        <v>4</v>
      </c>
    </row>
    <row r="16" spans="1:12" ht="28.5" customHeight="1" x14ac:dyDescent="0.25">
      <c r="A16" s="9" t="s">
        <v>31</v>
      </c>
      <c r="B16" s="9" t="s">
        <v>31</v>
      </c>
      <c r="C16" s="9" t="s">
        <v>31</v>
      </c>
      <c r="D16" s="9"/>
      <c r="E16" s="4"/>
      <c r="F16" s="9"/>
      <c r="G16" s="10"/>
      <c r="H16" s="9">
        <v>2</v>
      </c>
      <c r="I16" s="4">
        <v>9</v>
      </c>
      <c r="J16" s="9">
        <v>2</v>
      </c>
      <c r="K16" s="4" t="s">
        <v>57</v>
      </c>
      <c r="L16" s="3">
        <f t="shared" si="0"/>
        <v>4</v>
      </c>
    </row>
    <row r="17" spans="1:12" ht="28.5" customHeight="1" x14ac:dyDescent="0.25">
      <c r="A17" s="9" t="s">
        <v>33</v>
      </c>
      <c r="B17" s="9" t="s">
        <v>33</v>
      </c>
      <c r="C17" s="9" t="s">
        <v>34</v>
      </c>
      <c r="D17" s="9">
        <v>2</v>
      </c>
      <c r="E17" s="4">
        <v>2</v>
      </c>
      <c r="F17" s="9"/>
      <c r="G17" s="9"/>
      <c r="H17" s="9"/>
      <c r="I17" s="9"/>
      <c r="J17" s="9">
        <v>2</v>
      </c>
      <c r="K17" s="4" t="s">
        <v>61</v>
      </c>
      <c r="L17" s="3">
        <f t="shared" si="0"/>
        <v>4</v>
      </c>
    </row>
    <row r="18" spans="1:12" ht="28.5" customHeight="1" x14ac:dyDescent="0.25">
      <c r="A18" s="19" t="s">
        <v>11</v>
      </c>
      <c r="B18" s="19"/>
      <c r="C18" s="19"/>
      <c r="D18" s="4">
        <f>SUM(D7:D17)</f>
        <v>4</v>
      </c>
      <c r="E18" s="4"/>
      <c r="F18" s="4">
        <f>SUM(F7:F17)</f>
        <v>2</v>
      </c>
      <c r="G18" s="4"/>
      <c r="H18" s="4">
        <f>SUM(H7:H17)</f>
        <v>18</v>
      </c>
      <c r="I18" s="4"/>
      <c r="J18" s="4">
        <f>SUM(J7:J17)</f>
        <v>12</v>
      </c>
      <c r="K18" s="4"/>
      <c r="L18" s="4">
        <f>SUM(L7:L17)</f>
        <v>36</v>
      </c>
    </row>
    <row r="19" spans="1:12" ht="28.5" customHeight="1" x14ac:dyDescent="0.25">
      <c r="A19" s="20" t="s">
        <v>12</v>
      </c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</row>
    <row r="20" spans="1:12" ht="28.5" customHeight="1" x14ac:dyDescent="0.25">
      <c r="A20" s="3" t="s">
        <v>18</v>
      </c>
      <c r="B20" s="3" t="s">
        <v>18</v>
      </c>
      <c r="C20" s="3" t="s">
        <v>51</v>
      </c>
      <c r="D20" s="3"/>
      <c r="E20" s="3"/>
      <c r="F20" s="3">
        <v>2</v>
      </c>
      <c r="G20" s="1">
        <v>2</v>
      </c>
      <c r="H20" s="3"/>
      <c r="I20" s="3"/>
      <c r="J20" s="3"/>
      <c r="K20" s="3"/>
      <c r="L20" s="3">
        <f t="shared" ref="L20:L24" si="1">+D20+F20+H20+J20</f>
        <v>2</v>
      </c>
    </row>
    <row r="21" spans="1:12" ht="28.5" customHeight="1" x14ac:dyDescent="0.25">
      <c r="A21" s="3" t="s">
        <v>20</v>
      </c>
      <c r="B21" s="3" t="s">
        <v>20</v>
      </c>
      <c r="C21" s="3" t="s">
        <v>52</v>
      </c>
      <c r="D21" s="3"/>
      <c r="E21" s="3"/>
      <c r="F21" s="3"/>
      <c r="G21" s="3"/>
      <c r="H21" s="3"/>
      <c r="I21" s="3"/>
      <c r="J21" s="3">
        <v>2</v>
      </c>
      <c r="K21" s="1" t="s">
        <v>62</v>
      </c>
      <c r="L21" s="3">
        <f t="shared" si="1"/>
        <v>2</v>
      </c>
    </row>
    <row r="22" spans="1:12" ht="28.5" customHeight="1" x14ac:dyDescent="0.25">
      <c r="A22" s="3" t="s">
        <v>20</v>
      </c>
      <c r="B22" s="3" t="s">
        <v>20</v>
      </c>
      <c r="C22" s="3" t="s">
        <v>53</v>
      </c>
      <c r="D22" s="3"/>
      <c r="E22" s="3"/>
      <c r="F22" s="3"/>
      <c r="G22" s="3"/>
      <c r="H22" s="3"/>
      <c r="I22" s="3"/>
      <c r="J22" s="3">
        <v>2</v>
      </c>
      <c r="K22" s="1" t="s">
        <v>63</v>
      </c>
      <c r="L22" s="3">
        <f t="shared" si="1"/>
        <v>2</v>
      </c>
    </row>
    <row r="23" spans="1:12" ht="28.5" customHeight="1" x14ac:dyDescent="0.25">
      <c r="A23" s="3" t="s">
        <v>39</v>
      </c>
      <c r="B23" s="3" t="s">
        <v>39</v>
      </c>
      <c r="C23" s="3" t="s">
        <v>54</v>
      </c>
      <c r="D23" s="3">
        <v>2</v>
      </c>
      <c r="E23" s="1">
        <v>4</v>
      </c>
      <c r="F23" s="3"/>
      <c r="G23" s="3"/>
      <c r="H23" s="3"/>
      <c r="I23" s="3"/>
      <c r="J23" s="3"/>
      <c r="K23" s="3"/>
      <c r="L23" s="3">
        <f t="shared" si="1"/>
        <v>2</v>
      </c>
    </row>
    <row r="24" spans="1:12" ht="28.5" customHeight="1" x14ac:dyDescent="0.25">
      <c r="A24" s="3" t="s">
        <v>31</v>
      </c>
      <c r="B24" s="3" t="s">
        <v>31</v>
      </c>
      <c r="C24" s="3" t="s">
        <v>55</v>
      </c>
      <c r="D24" s="3">
        <v>2</v>
      </c>
      <c r="E24" s="1">
        <v>3</v>
      </c>
      <c r="F24" s="3"/>
      <c r="G24" s="3"/>
      <c r="H24" s="3"/>
      <c r="I24" s="3"/>
      <c r="J24" s="3"/>
      <c r="K24" s="3"/>
      <c r="L24" s="3">
        <f t="shared" si="1"/>
        <v>2</v>
      </c>
    </row>
    <row r="25" spans="1:12" ht="28.5" customHeight="1" x14ac:dyDescent="0.25">
      <c r="A25" s="16" t="s">
        <v>13</v>
      </c>
      <c r="B25" s="17"/>
      <c r="C25" s="18"/>
      <c r="D25" s="4">
        <f>SUM(D20:D24)</f>
        <v>4</v>
      </c>
      <c r="E25" s="4"/>
      <c r="F25" s="4">
        <f t="shared" ref="F25" si="2">SUM(F20:F24)</f>
        <v>2</v>
      </c>
      <c r="G25" s="4"/>
      <c r="H25" s="4">
        <f t="shared" ref="H25" si="3">SUM(H20:H24)</f>
        <v>0</v>
      </c>
      <c r="I25" s="4"/>
      <c r="J25" s="4">
        <f t="shared" ref="J25" si="4">SUM(J20:J24)</f>
        <v>4</v>
      </c>
      <c r="K25" s="4"/>
      <c r="L25" s="4">
        <f t="shared" ref="L25" si="5">SUM(L20:L24)</f>
        <v>10</v>
      </c>
    </row>
    <row r="26" spans="1:12" ht="28.5" customHeight="1" x14ac:dyDescent="0.25">
      <c r="A26" s="16" t="s">
        <v>14</v>
      </c>
      <c r="B26" s="17"/>
      <c r="C26" s="18"/>
      <c r="D26" s="4">
        <f>+D18+D25</f>
        <v>8</v>
      </c>
      <c r="E26" s="4"/>
      <c r="F26" s="4">
        <f>+F18+F25</f>
        <v>4</v>
      </c>
      <c r="G26" s="4"/>
      <c r="H26" s="4">
        <f>+H18+H25</f>
        <v>18</v>
      </c>
      <c r="I26" s="4"/>
      <c r="J26" s="4">
        <f>+J18+J25</f>
        <v>16</v>
      </c>
      <c r="K26" s="4"/>
      <c r="L26" s="4">
        <f>+L18+L25</f>
        <v>46</v>
      </c>
    </row>
  </sheetData>
  <mergeCells count="17">
    <mergeCell ref="A1:L1"/>
    <mergeCell ref="A2:L2"/>
    <mergeCell ref="A3:L3"/>
    <mergeCell ref="A4:B5"/>
    <mergeCell ref="C4:C5"/>
    <mergeCell ref="D4:E4"/>
    <mergeCell ref="F4:G4"/>
    <mergeCell ref="H4:I4"/>
    <mergeCell ref="J4:K4"/>
    <mergeCell ref="A26:C26"/>
    <mergeCell ref="A18:C18"/>
    <mergeCell ref="A19:L19"/>
    <mergeCell ref="A25:C25"/>
    <mergeCell ref="D5:E5"/>
    <mergeCell ref="F5:G5"/>
    <mergeCell ref="H5:I5"/>
    <mergeCell ref="J5:K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3"/>
  <sheetViews>
    <sheetView tabSelected="1" workbookViewId="0">
      <selection activeCell="J13" sqref="J13"/>
    </sheetView>
  </sheetViews>
  <sheetFormatPr defaultRowHeight="15" x14ac:dyDescent="0.25"/>
  <sheetData>
    <row r="1" spans="1:12" ht="28.5" customHeight="1" x14ac:dyDescent="0.25">
      <c r="A1" s="22" t="s">
        <v>15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</row>
    <row r="2" spans="1:12" ht="28.5" customHeight="1" x14ac:dyDescent="0.25">
      <c r="A2" s="22" t="s">
        <v>1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</row>
    <row r="3" spans="1:12" ht="28.5" customHeight="1" x14ac:dyDescent="0.25">
      <c r="A3" s="20" t="s">
        <v>2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</row>
    <row r="4" spans="1:12" ht="28.5" customHeight="1" x14ac:dyDescent="0.25">
      <c r="A4" s="23" t="s">
        <v>3</v>
      </c>
      <c r="B4" s="24"/>
      <c r="C4" s="27" t="s">
        <v>16</v>
      </c>
      <c r="D4" s="19">
        <v>4</v>
      </c>
      <c r="E4" s="19"/>
      <c r="F4" s="19">
        <v>4</v>
      </c>
      <c r="G4" s="19"/>
      <c r="H4" s="19">
        <v>10</v>
      </c>
      <c r="I4" s="19"/>
      <c r="J4" s="19">
        <v>10</v>
      </c>
      <c r="K4" s="19"/>
      <c r="L4" s="1" t="s">
        <v>4</v>
      </c>
    </row>
    <row r="5" spans="1:12" ht="28.5" customHeight="1" x14ac:dyDescent="0.25">
      <c r="A5" s="25"/>
      <c r="B5" s="26"/>
      <c r="C5" s="28"/>
      <c r="D5" s="21" t="s">
        <v>35</v>
      </c>
      <c r="E5" s="21"/>
      <c r="F5" s="21" t="s">
        <v>36</v>
      </c>
      <c r="G5" s="21"/>
      <c r="H5" s="21" t="s">
        <v>5</v>
      </c>
      <c r="I5" s="21"/>
      <c r="J5" s="21" t="s">
        <v>73</v>
      </c>
      <c r="K5" s="21"/>
      <c r="L5" s="1">
        <f>SUM(D4:K4)</f>
        <v>28</v>
      </c>
    </row>
    <row r="6" spans="1:12" ht="28.5" customHeight="1" x14ac:dyDescent="0.25">
      <c r="A6" s="1" t="s">
        <v>6</v>
      </c>
      <c r="B6" s="1" t="s">
        <v>7</v>
      </c>
      <c r="C6" s="1" t="s">
        <v>8</v>
      </c>
      <c r="D6" s="2" t="s">
        <v>9</v>
      </c>
      <c r="E6" s="2" t="s">
        <v>10</v>
      </c>
      <c r="F6" s="2" t="s">
        <v>9</v>
      </c>
      <c r="G6" s="2" t="s">
        <v>10</v>
      </c>
      <c r="H6" s="2" t="s">
        <v>9</v>
      </c>
      <c r="I6" s="2" t="s">
        <v>10</v>
      </c>
      <c r="J6" s="2" t="s">
        <v>9</v>
      </c>
      <c r="K6" s="2" t="s">
        <v>10</v>
      </c>
      <c r="L6" s="3"/>
    </row>
    <row r="7" spans="1:12" ht="28.5" customHeight="1" x14ac:dyDescent="0.25">
      <c r="A7" s="9" t="s">
        <v>22</v>
      </c>
      <c r="B7" s="14" t="s">
        <v>69</v>
      </c>
      <c r="C7" s="9" t="s">
        <v>37</v>
      </c>
      <c r="D7" s="9"/>
      <c r="E7" s="9"/>
      <c r="F7" s="9"/>
      <c r="G7" s="9"/>
      <c r="H7" s="9"/>
      <c r="I7" s="9"/>
      <c r="J7" s="9">
        <v>2</v>
      </c>
      <c r="K7" s="4" t="s">
        <v>65</v>
      </c>
      <c r="L7" s="3">
        <f t="shared" ref="L7:L17" si="0">+D7+F7+H7+J7</f>
        <v>2</v>
      </c>
    </row>
    <row r="8" spans="1:12" ht="28.5" customHeight="1" x14ac:dyDescent="0.25">
      <c r="A8" s="9" t="s">
        <v>22</v>
      </c>
      <c r="B8" s="14" t="s">
        <v>69</v>
      </c>
      <c r="C8" s="9" t="s">
        <v>38</v>
      </c>
      <c r="D8" s="9"/>
      <c r="E8" s="9"/>
      <c r="F8" s="9"/>
      <c r="G8" s="9"/>
      <c r="H8" s="9"/>
      <c r="I8" s="9"/>
      <c r="J8" s="9"/>
      <c r="K8" s="4"/>
      <c r="L8" s="3">
        <f t="shared" si="0"/>
        <v>0</v>
      </c>
    </row>
    <row r="9" spans="1:12" ht="28.5" customHeight="1" x14ac:dyDescent="0.25">
      <c r="A9" s="9" t="s">
        <v>39</v>
      </c>
      <c r="B9" s="3" t="s">
        <v>39</v>
      </c>
      <c r="C9" s="9" t="s">
        <v>40</v>
      </c>
      <c r="D9" s="9">
        <v>2</v>
      </c>
      <c r="E9" s="4">
        <v>2</v>
      </c>
      <c r="F9" s="9"/>
      <c r="G9" s="9"/>
      <c r="H9" s="9"/>
      <c r="I9" s="9"/>
      <c r="J9" s="9">
        <v>2</v>
      </c>
      <c r="K9" s="4" t="s">
        <v>66</v>
      </c>
      <c r="L9" s="3">
        <f t="shared" si="0"/>
        <v>4</v>
      </c>
    </row>
    <row r="10" spans="1:12" ht="28.5" customHeight="1" x14ac:dyDescent="0.25">
      <c r="A10" s="9" t="s">
        <v>17</v>
      </c>
      <c r="B10" s="15" t="s">
        <v>70</v>
      </c>
      <c r="C10" s="9" t="s">
        <v>41</v>
      </c>
      <c r="D10" s="9"/>
      <c r="E10" s="4"/>
      <c r="F10" s="9"/>
      <c r="G10" s="9"/>
      <c r="H10" s="9">
        <v>2</v>
      </c>
      <c r="I10" s="4">
        <v>2</v>
      </c>
      <c r="J10" s="9">
        <v>2</v>
      </c>
      <c r="K10" s="4" t="s">
        <v>64</v>
      </c>
      <c r="L10" s="3">
        <f t="shared" si="0"/>
        <v>4</v>
      </c>
    </row>
    <row r="11" spans="1:12" ht="28.5" customHeight="1" x14ac:dyDescent="0.25">
      <c r="A11" s="9" t="s">
        <v>17</v>
      </c>
      <c r="B11" s="14" t="s">
        <v>71</v>
      </c>
      <c r="C11" s="9" t="s">
        <v>42</v>
      </c>
      <c r="D11" s="9"/>
      <c r="E11" s="4"/>
      <c r="F11" s="9">
        <v>2</v>
      </c>
      <c r="G11" s="8">
        <v>1</v>
      </c>
      <c r="H11" s="9"/>
      <c r="I11" s="4"/>
      <c r="J11" s="9"/>
      <c r="K11" s="4"/>
      <c r="L11" s="3">
        <f t="shared" si="0"/>
        <v>2</v>
      </c>
    </row>
    <row r="12" spans="1:12" ht="28.5" customHeight="1" x14ac:dyDescent="0.25">
      <c r="A12" s="9" t="s">
        <v>27</v>
      </c>
      <c r="B12" s="9" t="s">
        <v>27</v>
      </c>
      <c r="C12" s="9" t="s">
        <v>43</v>
      </c>
      <c r="D12" s="9">
        <v>2</v>
      </c>
      <c r="E12" s="4">
        <v>1</v>
      </c>
      <c r="F12" s="9"/>
      <c r="G12" s="9"/>
      <c r="H12" s="9"/>
      <c r="I12" s="4"/>
      <c r="J12" s="9">
        <v>2</v>
      </c>
      <c r="K12" s="4" t="s">
        <v>67</v>
      </c>
      <c r="L12" s="3">
        <f t="shared" si="0"/>
        <v>4</v>
      </c>
    </row>
    <row r="13" spans="1:12" ht="28.5" customHeight="1" x14ac:dyDescent="0.25">
      <c r="A13" s="9" t="s">
        <v>31</v>
      </c>
      <c r="B13" s="9" t="s">
        <v>31</v>
      </c>
      <c r="C13" s="9" t="s">
        <v>44</v>
      </c>
      <c r="D13" s="9"/>
      <c r="E13" s="9"/>
      <c r="F13" s="9"/>
      <c r="G13" s="9"/>
      <c r="H13" s="9">
        <v>2</v>
      </c>
      <c r="I13" s="4">
        <v>5</v>
      </c>
      <c r="J13" s="9">
        <v>2</v>
      </c>
      <c r="K13" s="4" t="s">
        <v>68</v>
      </c>
      <c r="L13" s="3">
        <f t="shared" si="0"/>
        <v>4</v>
      </c>
    </row>
    <row r="14" spans="1:12" ht="28.5" customHeight="1" x14ac:dyDescent="0.25">
      <c r="A14" s="9" t="s">
        <v>33</v>
      </c>
      <c r="B14" s="9" t="s">
        <v>33</v>
      </c>
      <c r="C14" s="9" t="s">
        <v>45</v>
      </c>
      <c r="D14" s="9"/>
      <c r="E14" s="9"/>
      <c r="F14" s="9"/>
      <c r="G14" s="9"/>
      <c r="H14" s="9">
        <v>2</v>
      </c>
      <c r="I14" s="4">
        <v>3</v>
      </c>
      <c r="J14" s="9"/>
      <c r="K14" s="9"/>
      <c r="L14" s="3">
        <f t="shared" si="0"/>
        <v>2</v>
      </c>
    </row>
    <row r="15" spans="1:12" ht="28.5" customHeight="1" x14ac:dyDescent="0.25">
      <c r="A15" s="9" t="s">
        <v>33</v>
      </c>
      <c r="B15" s="9" t="s">
        <v>33</v>
      </c>
      <c r="C15" s="9" t="s">
        <v>46</v>
      </c>
      <c r="D15" s="9"/>
      <c r="E15" s="9"/>
      <c r="F15" s="9"/>
      <c r="G15" s="9"/>
      <c r="H15" s="9">
        <v>2</v>
      </c>
      <c r="I15" s="4">
        <v>4</v>
      </c>
      <c r="J15" s="9"/>
      <c r="K15" s="9"/>
      <c r="L15" s="3">
        <f t="shared" si="0"/>
        <v>2</v>
      </c>
    </row>
    <row r="16" spans="1:12" ht="28.5" customHeight="1" x14ac:dyDescent="0.25">
      <c r="A16" s="9" t="s">
        <v>47</v>
      </c>
      <c r="B16" s="9" t="s">
        <v>47</v>
      </c>
      <c r="C16" s="3" t="s">
        <v>48</v>
      </c>
      <c r="D16" s="9"/>
      <c r="E16" s="9"/>
      <c r="F16" s="9"/>
      <c r="G16" s="9"/>
      <c r="H16" s="9">
        <v>2</v>
      </c>
      <c r="I16" s="4">
        <v>1</v>
      </c>
      <c r="J16" s="9"/>
      <c r="K16" s="9"/>
      <c r="L16" s="3">
        <f t="shared" si="0"/>
        <v>2</v>
      </c>
    </row>
    <row r="17" spans="1:12" ht="28.5" customHeight="1" x14ac:dyDescent="0.25">
      <c r="A17" s="1"/>
      <c r="B17" s="1"/>
      <c r="C17" s="1"/>
      <c r="D17" s="3"/>
      <c r="E17" s="1"/>
      <c r="F17" s="3"/>
      <c r="G17" s="1"/>
      <c r="H17" s="3"/>
      <c r="I17" s="3"/>
      <c r="J17" s="3"/>
      <c r="K17" s="3"/>
      <c r="L17" s="3">
        <f t="shared" si="0"/>
        <v>0</v>
      </c>
    </row>
    <row r="18" spans="1:12" ht="28.5" customHeight="1" x14ac:dyDescent="0.25">
      <c r="A18" s="19" t="s">
        <v>11</v>
      </c>
      <c r="B18" s="19"/>
      <c r="C18" s="19"/>
      <c r="D18" s="4">
        <f>SUM(D7:D17)</f>
        <v>4</v>
      </c>
      <c r="E18" s="4"/>
      <c r="F18" s="4">
        <f>SUM(F7:F17)</f>
        <v>2</v>
      </c>
      <c r="G18" s="4"/>
      <c r="H18" s="4">
        <f>SUM(H7:H17)</f>
        <v>10</v>
      </c>
      <c r="I18" s="4"/>
      <c r="J18" s="4">
        <f>SUM(J7:J17)</f>
        <v>10</v>
      </c>
      <c r="K18" s="4"/>
      <c r="L18" s="4">
        <f>SUM(L7:L17)</f>
        <v>26</v>
      </c>
    </row>
    <row r="19" spans="1:12" ht="28.5" customHeight="1" x14ac:dyDescent="0.25">
      <c r="A19" s="20" t="s">
        <v>12</v>
      </c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</row>
    <row r="20" spans="1:12" ht="28.5" customHeight="1" x14ac:dyDescent="0.25">
      <c r="A20" s="3" t="s">
        <v>18</v>
      </c>
      <c r="B20" s="3" t="s">
        <v>18</v>
      </c>
      <c r="C20" s="3" t="s">
        <v>49</v>
      </c>
      <c r="D20" s="3"/>
      <c r="E20" s="3"/>
      <c r="F20" s="3">
        <v>2</v>
      </c>
      <c r="G20" s="1">
        <v>2</v>
      </c>
      <c r="H20" s="3"/>
      <c r="I20" s="3"/>
      <c r="J20" s="3"/>
      <c r="K20" s="3"/>
      <c r="L20" s="3">
        <f>+D20+F20+H20+J20</f>
        <v>2</v>
      </c>
    </row>
    <row r="21" spans="1:12" ht="28.5" customHeight="1" x14ac:dyDescent="0.25">
      <c r="A21" s="5"/>
      <c r="B21" s="6"/>
      <c r="C21" s="7"/>
      <c r="D21" s="4"/>
      <c r="E21" s="4"/>
      <c r="F21" s="4"/>
      <c r="G21" s="4"/>
      <c r="H21" s="4"/>
      <c r="I21" s="4"/>
      <c r="J21" s="4"/>
      <c r="K21" s="4"/>
      <c r="L21" s="3">
        <f>+D21+F21+H21+J21</f>
        <v>0</v>
      </c>
    </row>
    <row r="22" spans="1:12" ht="28.5" customHeight="1" x14ac:dyDescent="0.25">
      <c r="A22" s="16" t="s">
        <v>13</v>
      </c>
      <c r="B22" s="17"/>
      <c r="C22" s="18"/>
      <c r="D22" s="4">
        <f>SUM(D20:D21)</f>
        <v>0</v>
      </c>
      <c r="E22" s="4"/>
      <c r="F22" s="4">
        <f t="shared" ref="F22" si="1">SUM(F20:F21)</f>
        <v>2</v>
      </c>
      <c r="G22" s="4"/>
      <c r="H22" s="4">
        <f t="shared" ref="H22" si="2">SUM(H20:H21)</f>
        <v>0</v>
      </c>
      <c r="I22" s="4"/>
      <c r="J22" s="4">
        <f t="shared" ref="J22" si="3">SUM(J20:J21)</f>
        <v>0</v>
      </c>
      <c r="K22" s="4"/>
      <c r="L22" s="4">
        <f t="shared" ref="L22" si="4">SUM(L20:L21)</f>
        <v>2</v>
      </c>
    </row>
    <row r="23" spans="1:12" ht="28.5" customHeight="1" x14ac:dyDescent="0.25">
      <c r="A23" s="16" t="s">
        <v>14</v>
      </c>
      <c r="B23" s="17"/>
      <c r="C23" s="18"/>
      <c r="D23" s="4">
        <f>+D18+D22</f>
        <v>4</v>
      </c>
      <c r="E23" s="4"/>
      <c r="F23" s="4">
        <f t="shared" ref="F23" si="5">+F18+F22</f>
        <v>4</v>
      </c>
      <c r="G23" s="4"/>
      <c r="H23" s="4">
        <f t="shared" ref="H23" si="6">+H18+H22</f>
        <v>10</v>
      </c>
      <c r="I23" s="4"/>
      <c r="J23" s="4">
        <f t="shared" ref="J23" si="7">+J18+J22</f>
        <v>10</v>
      </c>
      <c r="K23" s="4"/>
      <c r="L23" s="4">
        <f t="shared" ref="L23" si="8">+L18+L22</f>
        <v>28</v>
      </c>
    </row>
  </sheetData>
  <mergeCells count="17">
    <mergeCell ref="A1:L1"/>
    <mergeCell ref="A2:L2"/>
    <mergeCell ref="A3:L3"/>
    <mergeCell ref="A4:B5"/>
    <mergeCell ref="C4:C5"/>
    <mergeCell ref="D4:E4"/>
    <mergeCell ref="F4:G4"/>
    <mergeCell ref="H4:I4"/>
    <mergeCell ref="J4:K4"/>
    <mergeCell ref="A19:L19"/>
    <mergeCell ref="A22:C22"/>
    <mergeCell ref="A23:C23"/>
    <mergeCell ref="D5:E5"/>
    <mergeCell ref="F5:G5"/>
    <mergeCell ref="H5:I5"/>
    <mergeCell ref="J5:K5"/>
    <mergeCell ref="A18:C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central 2.0</vt:lpstr>
      <vt:lpstr>state 2.0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acer</cp:lastModifiedBy>
  <dcterms:created xsi:type="dcterms:W3CDTF">2015-06-05T18:17:20Z</dcterms:created>
  <dcterms:modified xsi:type="dcterms:W3CDTF">2026-09-21T12:56:54Z</dcterms:modified>
</cp:coreProperties>
</file>
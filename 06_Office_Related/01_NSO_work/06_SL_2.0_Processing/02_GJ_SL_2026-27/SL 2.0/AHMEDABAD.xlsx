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F:\Grv\Grv\05 GIT\01_masterRepo\06_Office_Related\01_NSO_work\06_SL_to_PIVOT_to_Compare_with_WP\GJ WP 2026-27\2.0\"/>
    </mc:Choice>
  </mc:AlternateContent>
  <xr:revisionPtr revIDLastSave="0" documentId="13_ncr:1_{34189B6B-AE37-4C49-AAC6-C57532EF2C3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ENTRAL 2.0" sheetId="4" r:id="rId1"/>
    <sheet name="STATE 2.0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4" i="5" l="1"/>
  <c r="N17" i="5" s="1"/>
  <c r="N27" i="4"/>
  <c r="N21" i="4"/>
  <c r="F27" i="4"/>
  <c r="H27" i="4"/>
  <c r="J27" i="4"/>
  <c r="L27" i="4"/>
  <c r="D27" i="4"/>
  <c r="F26" i="4"/>
  <c r="H26" i="4"/>
  <c r="J26" i="4"/>
  <c r="L26" i="4"/>
  <c r="D26" i="4"/>
  <c r="F21" i="4"/>
  <c r="H21" i="4"/>
  <c r="J21" i="4"/>
  <c r="L21" i="4"/>
  <c r="D21" i="4"/>
  <c r="E17" i="5"/>
  <c r="F17" i="5"/>
  <c r="G17" i="5"/>
  <c r="H17" i="5"/>
  <c r="I17" i="5"/>
  <c r="J17" i="5"/>
  <c r="K17" i="5"/>
  <c r="L17" i="5"/>
  <c r="M17" i="5"/>
  <c r="D17" i="5"/>
  <c r="F14" i="5"/>
  <c r="H14" i="5"/>
  <c r="J14" i="5"/>
  <c r="L14" i="5"/>
  <c r="D14" i="5"/>
  <c r="N5" i="5"/>
  <c r="N5" i="4"/>
  <c r="L7" i="4"/>
  <c r="J7" i="4"/>
</calcChain>
</file>

<file path=xl/sharedStrings.xml><?xml version="1.0" encoding="utf-8"?>
<sst xmlns="http://schemas.openxmlformats.org/spreadsheetml/2006/main" count="142" uniqueCount="63">
  <si>
    <t>Viramgam</t>
  </si>
  <si>
    <t>Juna Padar</t>
  </si>
  <si>
    <t>Jaksi</t>
  </si>
  <si>
    <t>Bavla</t>
  </si>
  <si>
    <t>Nanodara</t>
  </si>
  <si>
    <t>Meni</t>
  </si>
  <si>
    <t>Devdholera</t>
  </si>
  <si>
    <t>Mandal</t>
  </si>
  <si>
    <t>Odaki</t>
  </si>
  <si>
    <t>Sanand</t>
  </si>
  <si>
    <t>Iyava</t>
  </si>
  <si>
    <t>Dholka</t>
  </si>
  <si>
    <t>Vataman</t>
  </si>
  <si>
    <t>Detroj-Rampura</t>
  </si>
  <si>
    <t>Odhav</t>
  </si>
  <si>
    <t>Sujpura</t>
  </si>
  <si>
    <t>Vanpardi</t>
  </si>
  <si>
    <t>Kunpur</t>
  </si>
  <si>
    <t>Navagam</t>
  </si>
  <si>
    <t>Detroj</t>
  </si>
  <si>
    <t>Kesargadh</t>
  </si>
  <si>
    <t>Shiyawada</t>
  </si>
  <si>
    <t>Charal</t>
  </si>
  <si>
    <t>Daskroi</t>
  </si>
  <si>
    <t>Bibipur</t>
  </si>
  <si>
    <t>Bhadana</t>
  </si>
  <si>
    <t>Dhandhuka</t>
  </si>
  <si>
    <t>Parabdi</t>
  </si>
  <si>
    <t>Zanzarka</t>
  </si>
  <si>
    <t>Dholera</t>
  </si>
  <si>
    <t>Dediyasan</t>
  </si>
  <si>
    <t>Dhakdi</t>
  </si>
  <si>
    <t>No. of Exp.</t>
  </si>
  <si>
    <t>OS</t>
  </si>
  <si>
    <t>Taluka</t>
  </si>
  <si>
    <t>VILLAGE</t>
  </si>
  <si>
    <t>Circle</t>
  </si>
  <si>
    <t>District: Ahmedabad</t>
  </si>
  <si>
    <t>PART- A</t>
  </si>
  <si>
    <t>PART- B</t>
  </si>
  <si>
    <t>Total Part- A</t>
  </si>
  <si>
    <t>Total</t>
  </si>
  <si>
    <t>Cotton (UI)</t>
  </si>
  <si>
    <t>Cotton (I)</t>
  </si>
  <si>
    <t>Paddy(I)</t>
  </si>
  <si>
    <t>Castor</t>
  </si>
  <si>
    <t>Tur</t>
  </si>
  <si>
    <t>Total Part-B</t>
  </si>
  <si>
    <t>Total Part- A + B</t>
  </si>
  <si>
    <t xml:space="preserve">      Name of crop,   No. of exp.  And Order of selection                                                          Season: Kharif  </t>
  </si>
  <si>
    <t xml:space="preserve">                               GUJARAT                                              STATEMENT NO. 4                                                  CENTRAL                                                                                      </t>
  </si>
  <si>
    <t>Aslali</t>
  </si>
  <si>
    <t>Year-2026-27</t>
  </si>
  <si>
    <t>4A</t>
  </si>
  <si>
    <t>3B</t>
  </si>
  <si>
    <t>2B</t>
  </si>
  <si>
    <t>1B</t>
  </si>
  <si>
    <t>3 B</t>
  </si>
  <si>
    <t>4B</t>
  </si>
  <si>
    <t>5B</t>
  </si>
  <si>
    <t>2A</t>
  </si>
  <si>
    <t>3A</t>
  </si>
  <si>
    <t xml:space="preserve">                               GUJARAT                                              STATEMENT NO. 4                                                  STATE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</si>
</sst>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26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8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4053C821-08E3-4D64-BF49-0DB7910281ED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8DA9E-BA2A-4734-AF65-A85097B5CACA}">
  <dimension ref="A1:N27"/>
  <sheetViews>
    <sheetView zoomScale="70" zoomScaleNormal="70" workbookViewId="0">
      <selection activeCell="P10" sqref="P10"/>
    </sheetView>
  </sheetViews>
  <sheetFormatPr defaultRowHeight="15.6" x14ac:dyDescent="0.3"/>
  <cols>
    <col min="1" max="1" width="16" customWidth="1"/>
    <col min="2" max="2" width="17.09765625" customWidth="1"/>
    <col min="3" max="3" width="15.19921875" customWidth="1"/>
    <col min="4" max="13" width="7.09765625" customWidth="1"/>
    <col min="14" max="14" width="9.59765625" customWidth="1"/>
  </cols>
  <sheetData>
    <row r="1" spans="1:14" ht="18" x14ac:dyDescent="0.3">
      <c r="A1" s="11" t="s">
        <v>50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8" x14ac:dyDescent="0.3">
      <c r="A2" s="11" t="s">
        <v>49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x14ac:dyDescent="0.3">
      <c r="A3" s="15" t="s">
        <v>38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7"/>
    </row>
    <row r="4" spans="1:14" x14ac:dyDescent="0.3">
      <c r="A4" s="18" t="s">
        <v>37</v>
      </c>
      <c r="B4" s="19"/>
      <c r="C4" s="22" t="s">
        <v>52</v>
      </c>
      <c r="D4" s="15">
        <v>8</v>
      </c>
      <c r="E4" s="17"/>
      <c r="F4" s="15">
        <v>10</v>
      </c>
      <c r="G4" s="17"/>
      <c r="H4" s="15">
        <v>4</v>
      </c>
      <c r="I4" s="17"/>
      <c r="J4" s="15">
        <v>8</v>
      </c>
      <c r="K4" s="17"/>
      <c r="L4" s="15">
        <v>10</v>
      </c>
      <c r="M4" s="17"/>
      <c r="N4" s="2" t="s">
        <v>41</v>
      </c>
    </row>
    <row r="5" spans="1:14" x14ac:dyDescent="0.3">
      <c r="A5" s="20"/>
      <c r="B5" s="21"/>
      <c r="C5" s="23"/>
      <c r="D5" s="24" t="s">
        <v>44</v>
      </c>
      <c r="E5" s="25"/>
      <c r="F5" s="24" t="s">
        <v>45</v>
      </c>
      <c r="G5" s="25"/>
      <c r="H5" s="24" t="s">
        <v>46</v>
      </c>
      <c r="I5" s="25"/>
      <c r="J5" s="24" t="s">
        <v>43</v>
      </c>
      <c r="K5" s="25"/>
      <c r="L5" s="24" t="s">
        <v>42</v>
      </c>
      <c r="M5" s="25"/>
      <c r="N5" s="2">
        <f>D4+F4+H4+J4+L4</f>
        <v>40</v>
      </c>
    </row>
    <row r="6" spans="1:14" ht="31.2" x14ac:dyDescent="0.3">
      <c r="A6" s="4" t="s">
        <v>34</v>
      </c>
      <c r="B6" s="4" t="s">
        <v>36</v>
      </c>
      <c r="C6" s="3" t="s">
        <v>35</v>
      </c>
      <c r="D6" s="6" t="s">
        <v>32</v>
      </c>
      <c r="E6" s="7" t="s">
        <v>33</v>
      </c>
      <c r="F6" s="7" t="s">
        <v>32</v>
      </c>
      <c r="G6" s="7" t="s">
        <v>33</v>
      </c>
      <c r="H6" s="7" t="s">
        <v>32</v>
      </c>
      <c r="I6" s="7" t="s">
        <v>33</v>
      </c>
      <c r="J6" s="7" t="s">
        <v>32</v>
      </c>
      <c r="K6" s="7" t="s">
        <v>33</v>
      </c>
      <c r="L6" s="7" t="s">
        <v>32</v>
      </c>
      <c r="M6" s="7" t="s">
        <v>33</v>
      </c>
      <c r="N6" s="2"/>
    </row>
    <row r="7" spans="1:14" x14ac:dyDescent="0.3">
      <c r="A7" s="5" t="s">
        <v>3</v>
      </c>
      <c r="B7" s="5" t="s">
        <v>3</v>
      </c>
      <c r="C7" s="2" t="s">
        <v>5</v>
      </c>
      <c r="D7" s="2"/>
      <c r="E7" s="2"/>
      <c r="F7" s="1">
        <v>2</v>
      </c>
      <c r="G7" s="2">
        <v>5</v>
      </c>
      <c r="H7" s="2"/>
      <c r="I7" s="2"/>
      <c r="J7" s="2" t="str">
        <f>+IF(I7="","",COUNT($H$7:I7))</f>
        <v/>
      </c>
      <c r="K7" s="2"/>
      <c r="L7" s="2" t="str">
        <f>+IF(K7="","",COUNT($J$7:K7))</f>
        <v/>
      </c>
      <c r="M7" s="2"/>
      <c r="N7" s="8"/>
    </row>
    <row r="8" spans="1:14" x14ac:dyDescent="0.3">
      <c r="A8" s="5" t="s">
        <v>3</v>
      </c>
      <c r="B8" s="5" t="s">
        <v>3</v>
      </c>
      <c r="C8" s="2" t="s">
        <v>4</v>
      </c>
      <c r="D8" s="1">
        <v>2</v>
      </c>
      <c r="E8" s="2">
        <v>4</v>
      </c>
      <c r="F8" s="1">
        <v>2</v>
      </c>
      <c r="G8" s="2">
        <v>2</v>
      </c>
      <c r="H8" s="2"/>
      <c r="I8" s="2"/>
      <c r="J8" s="2"/>
      <c r="K8" s="2"/>
      <c r="L8" s="2"/>
      <c r="M8" s="2"/>
      <c r="N8" s="8"/>
    </row>
    <row r="9" spans="1:14" x14ac:dyDescent="0.3">
      <c r="A9" s="5" t="s">
        <v>23</v>
      </c>
      <c r="B9" s="5" t="s">
        <v>51</v>
      </c>
      <c r="C9" s="2" t="s">
        <v>24</v>
      </c>
      <c r="D9" s="1"/>
      <c r="E9" s="2"/>
      <c r="F9" s="1"/>
      <c r="G9" s="2"/>
      <c r="H9" s="2"/>
      <c r="I9" s="2"/>
      <c r="J9" s="2"/>
      <c r="K9" s="2"/>
      <c r="L9" s="2"/>
      <c r="M9" s="2"/>
      <c r="N9" s="8"/>
    </row>
    <row r="10" spans="1:14" x14ac:dyDescent="0.3">
      <c r="A10" s="5" t="s">
        <v>13</v>
      </c>
      <c r="B10" s="5" t="s">
        <v>19</v>
      </c>
      <c r="C10" s="2" t="s">
        <v>14</v>
      </c>
      <c r="D10" s="1"/>
      <c r="E10" s="2"/>
      <c r="F10" s="1">
        <v>2</v>
      </c>
      <c r="G10" s="2">
        <v>3</v>
      </c>
      <c r="H10" s="1">
        <v>2</v>
      </c>
      <c r="I10" s="2">
        <v>1</v>
      </c>
      <c r="J10" s="2"/>
      <c r="K10" s="2"/>
      <c r="L10" s="2"/>
      <c r="M10" s="2"/>
      <c r="N10" s="8"/>
    </row>
    <row r="11" spans="1:14" x14ac:dyDescent="0.3">
      <c r="A11" s="5" t="s">
        <v>26</v>
      </c>
      <c r="B11" s="5" t="s">
        <v>26</v>
      </c>
      <c r="C11" s="2" t="s">
        <v>28</v>
      </c>
      <c r="D11" s="1"/>
      <c r="E11" s="2"/>
      <c r="F11" s="1"/>
      <c r="G11" s="2"/>
      <c r="H11" s="1"/>
      <c r="I11" s="2"/>
      <c r="J11" s="1">
        <v>2</v>
      </c>
      <c r="K11" s="2" t="s">
        <v>56</v>
      </c>
      <c r="L11" s="2"/>
      <c r="M11" s="2"/>
      <c r="N11" s="8"/>
    </row>
    <row r="12" spans="1:14" x14ac:dyDescent="0.3">
      <c r="A12" s="5" t="s">
        <v>29</v>
      </c>
      <c r="B12" s="5" t="s">
        <v>29</v>
      </c>
      <c r="C12" s="2" t="s">
        <v>18</v>
      </c>
      <c r="D12" s="1"/>
      <c r="E12" s="2"/>
      <c r="F12" s="1"/>
      <c r="G12" s="2"/>
      <c r="H12" s="1"/>
      <c r="I12" s="2"/>
      <c r="J12" s="1"/>
      <c r="K12" s="2"/>
      <c r="L12" s="1">
        <v>2</v>
      </c>
      <c r="M12" s="2" t="s">
        <v>56</v>
      </c>
      <c r="N12" s="8"/>
    </row>
    <row r="13" spans="1:14" x14ac:dyDescent="0.3">
      <c r="A13" s="5" t="s">
        <v>11</v>
      </c>
      <c r="B13" s="5" t="s">
        <v>11</v>
      </c>
      <c r="C13" s="2" t="s">
        <v>20</v>
      </c>
      <c r="D13" s="1">
        <v>2</v>
      </c>
      <c r="E13" s="2">
        <v>3</v>
      </c>
      <c r="F13" s="1"/>
      <c r="G13" s="2"/>
      <c r="H13" s="1"/>
      <c r="I13" s="2"/>
      <c r="J13" s="1"/>
      <c r="K13" s="2"/>
      <c r="L13" s="1"/>
      <c r="M13" s="2"/>
      <c r="N13" s="8"/>
    </row>
    <row r="14" spans="1:14" x14ac:dyDescent="0.3">
      <c r="A14" s="5" t="s">
        <v>11</v>
      </c>
      <c r="B14" s="5" t="s">
        <v>11</v>
      </c>
      <c r="C14" s="2" t="s">
        <v>21</v>
      </c>
      <c r="D14" s="1"/>
      <c r="E14" s="2"/>
      <c r="F14" s="1"/>
      <c r="G14" s="2"/>
      <c r="H14" s="1"/>
      <c r="I14" s="2"/>
      <c r="J14" s="1"/>
      <c r="K14" s="2"/>
      <c r="L14" s="1"/>
      <c r="M14" s="2"/>
      <c r="N14" s="8"/>
    </row>
    <row r="15" spans="1:14" x14ac:dyDescent="0.3">
      <c r="A15" s="5" t="s">
        <v>11</v>
      </c>
      <c r="B15" s="5" t="s">
        <v>11</v>
      </c>
      <c r="C15" s="2" t="s">
        <v>12</v>
      </c>
      <c r="D15" s="1">
        <v>2</v>
      </c>
      <c r="E15" s="2">
        <v>1</v>
      </c>
      <c r="F15" s="1">
        <v>2</v>
      </c>
      <c r="G15" s="2">
        <v>1</v>
      </c>
      <c r="H15" s="1"/>
      <c r="I15" s="2"/>
      <c r="J15" s="1">
        <v>2</v>
      </c>
      <c r="K15" s="2" t="s">
        <v>55</v>
      </c>
      <c r="L15" s="1"/>
      <c r="M15" s="2"/>
      <c r="N15" s="8"/>
    </row>
    <row r="16" spans="1:14" x14ac:dyDescent="0.3">
      <c r="A16" s="5" t="s">
        <v>7</v>
      </c>
      <c r="B16" s="5" t="s">
        <v>7</v>
      </c>
      <c r="C16" s="2" t="s">
        <v>16</v>
      </c>
      <c r="D16" s="1"/>
      <c r="E16" s="2"/>
      <c r="F16" s="1"/>
      <c r="G16" s="2"/>
      <c r="H16" s="1"/>
      <c r="I16" s="2"/>
      <c r="J16" s="2"/>
      <c r="K16" s="2"/>
      <c r="L16" s="1">
        <v>2</v>
      </c>
      <c r="M16" s="10" t="s">
        <v>60</v>
      </c>
      <c r="N16" s="8"/>
    </row>
    <row r="17" spans="1:14" x14ac:dyDescent="0.3">
      <c r="A17" s="5" t="s">
        <v>9</v>
      </c>
      <c r="B17" s="5" t="s">
        <v>9</v>
      </c>
      <c r="C17" s="2" t="s">
        <v>22</v>
      </c>
      <c r="D17" s="1"/>
      <c r="E17" s="2"/>
      <c r="F17" s="1"/>
      <c r="G17" s="2"/>
      <c r="H17" s="1"/>
      <c r="I17" s="2"/>
      <c r="J17" s="2"/>
      <c r="K17" s="2"/>
      <c r="L17" s="1"/>
      <c r="M17" s="2"/>
      <c r="N17" s="8"/>
    </row>
    <row r="18" spans="1:14" x14ac:dyDescent="0.3">
      <c r="A18" s="5" t="s">
        <v>9</v>
      </c>
      <c r="B18" s="5" t="s">
        <v>9</v>
      </c>
      <c r="C18" s="2" t="s">
        <v>10</v>
      </c>
      <c r="D18" s="1">
        <v>2</v>
      </c>
      <c r="E18" s="2">
        <v>2</v>
      </c>
      <c r="F18" s="1"/>
      <c r="G18" s="2"/>
      <c r="H18" s="1"/>
      <c r="I18" s="2"/>
      <c r="J18" s="2"/>
      <c r="K18" s="2"/>
      <c r="L18" s="1"/>
      <c r="M18" s="2"/>
      <c r="N18" s="8"/>
    </row>
    <row r="19" spans="1:14" x14ac:dyDescent="0.3">
      <c r="A19" s="5" t="s">
        <v>0</v>
      </c>
      <c r="B19" s="5" t="s">
        <v>0</v>
      </c>
      <c r="C19" s="2" t="s">
        <v>31</v>
      </c>
      <c r="D19" s="1"/>
      <c r="E19" s="2"/>
      <c r="F19" s="1"/>
      <c r="G19" s="2"/>
      <c r="H19" s="1"/>
      <c r="I19" s="2"/>
      <c r="J19" s="2"/>
      <c r="K19" s="2"/>
      <c r="L19" s="1">
        <v>2</v>
      </c>
      <c r="M19" s="2" t="s">
        <v>57</v>
      </c>
      <c r="N19" s="8"/>
    </row>
    <row r="20" spans="1:14" x14ac:dyDescent="0.3">
      <c r="A20" s="5" t="s">
        <v>0</v>
      </c>
      <c r="B20" s="5" t="s">
        <v>0</v>
      </c>
      <c r="C20" s="2" t="s">
        <v>1</v>
      </c>
      <c r="D20" s="2"/>
      <c r="E20" s="2"/>
      <c r="F20" s="1">
        <v>2</v>
      </c>
      <c r="G20" s="2">
        <v>4</v>
      </c>
      <c r="H20" s="1">
        <v>2</v>
      </c>
      <c r="I20" s="2">
        <v>2</v>
      </c>
      <c r="J20" s="2"/>
      <c r="K20" s="2"/>
      <c r="L20" s="1">
        <v>2</v>
      </c>
      <c r="M20" s="2" t="s">
        <v>58</v>
      </c>
      <c r="N20" s="8"/>
    </row>
    <row r="21" spans="1:14" x14ac:dyDescent="0.3">
      <c r="A21" s="14" t="s">
        <v>40</v>
      </c>
      <c r="B21" s="14"/>
      <c r="C21" s="14"/>
      <c r="D21" s="2">
        <f>SUM(D7:D20)</f>
        <v>8</v>
      </c>
      <c r="E21" s="2"/>
      <c r="F21" s="2">
        <f t="shared" ref="F21" si="0">SUM(F7:F20)</f>
        <v>10</v>
      </c>
      <c r="G21" s="2"/>
      <c r="H21" s="2">
        <f t="shared" ref="H21" si="1">SUM(H7:H20)</f>
        <v>4</v>
      </c>
      <c r="I21" s="2"/>
      <c r="J21" s="2">
        <f t="shared" ref="J21" si="2">SUM(J7:J20)</f>
        <v>4</v>
      </c>
      <c r="K21" s="2"/>
      <c r="L21" s="2">
        <f t="shared" ref="L21" si="3">SUM(L7:L20)</f>
        <v>8</v>
      </c>
      <c r="M21" s="2"/>
      <c r="N21" s="2">
        <f>D21+F21+H21+J21+L21</f>
        <v>34</v>
      </c>
    </row>
    <row r="22" spans="1:14" x14ac:dyDescent="0.3">
      <c r="A22" s="12" t="s">
        <v>39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3" spans="1:14" x14ac:dyDescent="0.3">
      <c r="A23" s="5" t="s">
        <v>13</v>
      </c>
      <c r="B23" s="5" t="s">
        <v>19</v>
      </c>
      <c r="C23" s="2" t="s">
        <v>15</v>
      </c>
      <c r="D23" s="2"/>
      <c r="E23" s="2"/>
      <c r="F23" s="2"/>
      <c r="G23" s="2"/>
      <c r="H23" s="2"/>
      <c r="I23" s="2"/>
      <c r="J23" s="1">
        <v>2</v>
      </c>
      <c r="K23" s="2" t="s">
        <v>53</v>
      </c>
      <c r="L23" s="2"/>
      <c r="M23" s="2"/>
      <c r="N23" s="8"/>
    </row>
    <row r="24" spans="1:14" x14ac:dyDescent="0.3">
      <c r="A24" s="5" t="s">
        <v>7</v>
      </c>
      <c r="B24" s="5" t="s">
        <v>7</v>
      </c>
      <c r="C24" s="2" t="s">
        <v>18</v>
      </c>
      <c r="D24" s="2"/>
      <c r="E24" s="2"/>
      <c r="F24" s="2"/>
      <c r="G24" s="2"/>
      <c r="H24" s="2"/>
      <c r="I24" s="2"/>
      <c r="J24" s="1"/>
      <c r="K24" s="2"/>
      <c r="L24" s="1">
        <v>2</v>
      </c>
      <c r="M24" s="2" t="s">
        <v>59</v>
      </c>
      <c r="N24" s="8"/>
    </row>
    <row r="25" spans="1:14" x14ac:dyDescent="0.3">
      <c r="A25" s="5" t="s">
        <v>0</v>
      </c>
      <c r="B25" s="5" t="s">
        <v>0</v>
      </c>
      <c r="C25" s="2" t="s">
        <v>25</v>
      </c>
      <c r="D25" s="2"/>
      <c r="E25" s="2"/>
      <c r="F25" s="2"/>
      <c r="G25" s="2"/>
      <c r="H25" s="2"/>
      <c r="I25" s="2"/>
      <c r="J25" s="1">
        <v>2</v>
      </c>
      <c r="K25" s="2" t="s">
        <v>54</v>
      </c>
      <c r="L25" s="2"/>
      <c r="M25" s="2"/>
      <c r="N25" s="8"/>
    </row>
    <row r="26" spans="1:14" x14ac:dyDescent="0.3">
      <c r="A26" s="15" t="s">
        <v>47</v>
      </c>
      <c r="B26" s="16"/>
      <c r="C26" s="17"/>
      <c r="D26" s="2">
        <f>SUM(D23:D25)</f>
        <v>0</v>
      </c>
      <c r="E26" s="2"/>
      <c r="F26" s="2">
        <f t="shared" ref="F26" si="4">SUM(F23:F25)</f>
        <v>0</v>
      </c>
      <c r="G26" s="2"/>
      <c r="H26" s="2">
        <f t="shared" ref="H26" si="5">SUM(H23:H25)</f>
        <v>0</v>
      </c>
      <c r="I26" s="2"/>
      <c r="J26" s="2">
        <f t="shared" ref="J26" si="6">SUM(J23:J25)</f>
        <v>4</v>
      </c>
      <c r="K26" s="2"/>
      <c r="L26" s="2">
        <f t="shared" ref="L26" si="7">SUM(L23:L25)</f>
        <v>2</v>
      </c>
      <c r="M26" s="2"/>
      <c r="N26" s="2">
        <v>6</v>
      </c>
    </row>
    <row r="27" spans="1:14" x14ac:dyDescent="0.3">
      <c r="A27" s="15" t="s">
        <v>48</v>
      </c>
      <c r="B27" s="16"/>
      <c r="C27" s="17"/>
      <c r="D27" s="2">
        <f>+D21+D26</f>
        <v>8</v>
      </c>
      <c r="E27" s="2"/>
      <c r="F27" s="2">
        <f t="shared" ref="F27" si="8">+F21+F26</f>
        <v>10</v>
      </c>
      <c r="G27" s="2"/>
      <c r="H27" s="2">
        <f t="shared" ref="H27" si="9">+H21+H26</f>
        <v>4</v>
      </c>
      <c r="I27" s="2"/>
      <c r="J27" s="2">
        <f t="shared" ref="J27" si="10">+J21+J26</f>
        <v>8</v>
      </c>
      <c r="K27" s="2"/>
      <c r="L27" s="2">
        <f t="shared" ref="L27" si="11">+L21+L26</f>
        <v>10</v>
      </c>
      <c r="M27" s="2"/>
      <c r="N27" s="2">
        <f>D27+F27+H27+J27+L27</f>
        <v>40</v>
      </c>
    </row>
  </sheetData>
  <mergeCells count="19">
    <mergeCell ref="A22:N22"/>
    <mergeCell ref="A26:C26"/>
    <mergeCell ref="A27:C27"/>
    <mergeCell ref="A1:N1"/>
    <mergeCell ref="A2:N2"/>
    <mergeCell ref="A3:N3"/>
    <mergeCell ref="A21:C21"/>
    <mergeCell ref="L4:M4"/>
    <mergeCell ref="J4:K4"/>
    <mergeCell ref="H4:I4"/>
    <mergeCell ref="F4:G4"/>
    <mergeCell ref="D4:E4"/>
    <mergeCell ref="L5:M5"/>
    <mergeCell ref="J5:K5"/>
    <mergeCell ref="H5:I5"/>
    <mergeCell ref="F5:G5"/>
    <mergeCell ref="D5:E5"/>
    <mergeCell ref="C4:C5"/>
    <mergeCell ref="A4:B5"/>
  </mergeCells>
  <pageMargins left="0.7" right="0.7" top="0.75" bottom="0.75" header="0.3" footer="0.3"/>
  <pageSetup paperSize="9" scale="93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5E6EE-95AB-4ECF-82AE-BFC37EB1DDD4}">
  <dimension ref="A1:N17"/>
  <sheetViews>
    <sheetView tabSelected="1" zoomScale="70" zoomScaleNormal="70" workbookViewId="0">
      <selection activeCell="F22" sqref="F22"/>
    </sheetView>
  </sheetViews>
  <sheetFormatPr defaultRowHeight="15.6" x14ac:dyDescent="0.3"/>
  <cols>
    <col min="1" max="1" width="12.19921875" customWidth="1"/>
    <col min="2" max="2" width="12.09765625" customWidth="1"/>
    <col min="3" max="3" width="13.59765625" customWidth="1"/>
    <col min="4" max="14" width="7.5" customWidth="1"/>
  </cols>
  <sheetData>
    <row r="1" spans="1:14" ht="18" x14ac:dyDescent="0.3">
      <c r="A1" s="11" t="s">
        <v>62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8" x14ac:dyDescent="0.3">
      <c r="A2" s="11" t="s">
        <v>49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x14ac:dyDescent="0.3">
      <c r="A3" s="12" t="s">
        <v>38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1:14" x14ac:dyDescent="0.3">
      <c r="A4" s="18" t="s">
        <v>37</v>
      </c>
      <c r="B4" s="19"/>
      <c r="C4" s="22" t="s">
        <v>52</v>
      </c>
      <c r="D4" s="14">
        <v>4</v>
      </c>
      <c r="E4" s="14"/>
      <c r="F4" s="14">
        <v>6</v>
      </c>
      <c r="G4" s="14"/>
      <c r="H4" s="14">
        <v>0</v>
      </c>
      <c r="I4" s="14"/>
      <c r="J4" s="14">
        <v>4</v>
      </c>
      <c r="K4" s="14"/>
      <c r="L4" s="14">
        <v>6</v>
      </c>
      <c r="M4" s="14"/>
      <c r="N4" s="5" t="s">
        <v>41</v>
      </c>
    </row>
    <row r="5" spans="1:14" x14ac:dyDescent="0.3">
      <c r="A5" s="20"/>
      <c r="B5" s="21"/>
      <c r="C5" s="23"/>
      <c r="D5" s="13" t="s">
        <v>44</v>
      </c>
      <c r="E5" s="13"/>
      <c r="F5" s="13" t="s">
        <v>45</v>
      </c>
      <c r="G5" s="13"/>
      <c r="H5" s="13" t="s">
        <v>46</v>
      </c>
      <c r="I5" s="13"/>
      <c r="J5" s="13" t="s">
        <v>43</v>
      </c>
      <c r="K5" s="13"/>
      <c r="L5" s="13" t="s">
        <v>42</v>
      </c>
      <c r="M5" s="13"/>
      <c r="N5" s="5">
        <f>D4+F4+H4+J4+L4</f>
        <v>20</v>
      </c>
    </row>
    <row r="6" spans="1:14" ht="31.2" x14ac:dyDescent="0.3">
      <c r="A6" s="5" t="s">
        <v>34</v>
      </c>
      <c r="B6" s="5" t="s">
        <v>36</v>
      </c>
      <c r="C6" s="5" t="s">
        <v>35</v>
      </c>
      <c r="D6" s="9" t="s">
        <v>32</v>
      </c>
      <c r="E6" s="9" t="s">
        <v>33</v>
      </c>
      <c r="F6" s="9" t="s">
        <v>32</v>
      </c>
      <c r="G6" s="9" t="s">
        <v>33</v>
      </c>
      <c r="H6" s="9" t="s">
        <v>32</v>
      </c>
      <c r="I6" s="9" t="s">
        <v>33</v>
      </c>
      <c r="J6" s="9" t="s">
        <v>32</v>
      </c>
      <c r="K6" s="9" t="s">
        <v>33</v>
      </c>
      <c r="L6" s="9" t="s">
        <v>32</v>
      </c>
      <c r="M6" s="9" t="s">
        <v>33</v>
      </c>
      <c r="N6" s="8"/>
    </row>
    <row r="7" spans="1:14" x14ac:dyDescent="0.3">
      <c r="A7" s="5" t="s">
        <v>3</v>
      </c>
      <c r="B7" s="5" t="s">
        <v>3</v>
      </c>
      <c r="C7" s="5" t="s">
        <v>6</v>
      </c>
      <c r="D7" s="8">
        <v>2</v>
      </c>
      <c r="E7" s="5">
        <v>2</v>
      </c>
      <c r="F7" s="8">
        <v>2</v>
      </c>
      <c r="G7" s="5">
        <v>1</v>
      </c>
      <c r="H7" s="8"/>
      <c r="I7" s="8"/>
      <c r="J7" s="8"/>
      <c r="K7" s="8"/>
      <c r="L7" s="8"/>
      <c r="M7" s="8"/>
      <c r="N7" s="8"/>
    </row>
    <row r="8" spans="1:14" x14ac:dyDescent="0.3">
      <c r="A8" s="5" t="s">
        <v>26</v>
      </c>
      <c r="B8" s="5" t="s">
        <v>26</v>
      </c>
      <c r="C8" s="5" t="s">
        <v>26</v>
      </c>
      <c r="D8" s="8"/>
      <c r="E8" s="5"/>
      <c r="F8" s="8"/>
      <c r="G8" s="5"/>
      <c r="H8" s="8"/>
      <c r="I8" s="8"/>
      <c r="J8" s="8">
        <v>2</v>
      </c>
      <c r="K8" s="5" t="s">
        <v>56</v>
      </c>
      <c r="L8" s="8">
        <v>2</v>
      </c>
      <c r="M8" s="5" t="s">
        <v>55</v>
      </c>
      <c r="N8" s="8"/>
    </row>
    <row r="9" spans="1:14" x14ac:dyDescent="0.3">
      <c r="A9" s="5" t="s">
        <v>26</v>
      </c>
      <c r="B9" s="5" t="s">
        <v>26</v>
      </c>
      <c r="C9" s="5" t="s">
        <v>27</v>
      </c>
      <c r="D9" s="8"/>
      <c r="E9" s="5"/>
      <c r="F9" s="8"/>
      <c r="G9" s="5"/>
      <c r="H9" s="8"/>
      <c r="I9" s="8"/>
      <c r="J9" s="8">
        <v>2</v>
      </c>
      <c r="K9" s="5" t="s">
        <v>55</v>
      </c>
      <c r="L9" s="8"/>
      <c r="M9" s="5"/>
      <c r="N9" s="8"/>
    </row>
    <row r="10" spans="1:14" x14ac:dyDescent="0.3">
      <c r="A10" s="5" t="s">
        <v>7</v>
      </c>
      <c r="B10" s="5" t="s">
        <v>7</v>
      </c>
      <c r="C10" s="5" t="s">
        <v>17</v>
      </c>
      <c r="D10" s="8"/>
      <c r="E10" s="5"/>
      <c r="F10" s="8"/>
      <c r="G10" s="5"/>
      <c r="H10" s="8"/>
      <c r="I10" s="8"/>
      <c r="J10" s="8"/>
      <c r="K10" s="8"/>
      <c r="L10" s="8">
        <v>2</v>
      </c>
      <c r="M10" s="5" t="s">
        <v>61</v>
      </c>
      <c r="N10" s="8"/>
    </row>
    <row r="11" spans="1:14" x14ac:dyDescent="0.3">
      <c r="A11" s="5" t="s">
        <v>7</v>
      </c>
      <c r="B11" s="5" t="s">
        <v>7</v>
      </c>
      <c r="C11" s="5" t="s">
        <v>8</v>
      </c>
      <c r="D11" s="8"/>
      <c r="E11" s="5"/>
      <c r="F11" s="8">
        <v>2</v>
      </c>
      <c r="G11" s="5">
        <v>2</v>
      </c>
      <c r="H11" s="8"/>
      <c r="I11" s="8"/>
      <c r="J11" s="8"/>
      <c r="K11" s="8"/>
      <c r="L11" s="8"/>
      <c r="M11" s="5"/>
      <c r="N11" s="8"/>
    </row>
    <row r="12" spans="1:14" x14ac:dyDescent="0.3">
      <c r="A12" s="5" t="s">
        <v>0</v>
      </c>
      <c r="B12" s="5" t="s">
        <v>0</v>
      </c>
      <c r="C12" s="5" t="s">
        <v>30</v>
      </c>
      <c r="D12" s="8"/>
      <c r="E12" s="5"/>
      <c r="F12" s="8"/>
      <c r="G12" s="5"/>
      <c r="H12" s="8"/>
      <c r="I12" s="8"/>
      <c r="J12" s="8"/>
      <c r="K12" s="8"/>
      <c r="L12" s="8">
        <v>2</v>
      </c>
      <c r="M12" s="5" t="s">
        <v>56</v>
      </c>
      <c r="N12" s="8"/>
    </row>
    <row r="13" spans="1:14" x14ac:dyDescent="0.3">
      <c r="A13" s="5" t="s">
        <v>0</v>
      </c>
      <c r="B13" s="5" t="s">
        <v>0</v>
      </c>
      <c r="C13" s="5" t="s">
        <v>2</v>
      </c>
      <c r="D13" s="8">
        <v>2</v>
      </c>
      <c r="E13" s="5">
        <v>1</v>
      </c>
      <c r="F13" s="8">
        <v>2</v>
      </c>
      <c r="G13" s="5">
        <v>3</v>
      </c>
      <c r="H13" s="8"/>
      <c r="I13" s="8"/>
      <c r="J13" s="8"/>
      <c r="K13" s="8"/>
      <c r="L13" s="8"/>
      <c r="M13" s="8"/>
      <c r="N13" s="8"/>
    </row>
    <row r="14" spans="1:14" x14ac:dyDescent="0.3">
      <c r="A14" s="14" t="s">
        <v>40</v>
      </c>
      <c r="B14" s="14"/>
      <c r="C14" s="14"/>
      <c r="D14" s="2">
        <f>SUM(D7:D13)</f>
        <v>4</v>
      </c>
      <c r="E14" s="2"/>
      <c r="F14" s="2">
        <f t="shared" ref="F14" si="0">SUM(F7:F13)</f>
        <v>6</v>
      </c>
      <c r="G14" s="2"/>
      <c r="H14" s="2">
        <f t="shared" ref="H14" si="1">SUM(H7:H13)</f>
        <v>0</v>
      </c>
      <c r="I14" s="2"/>
      <c r="J14" s="2">
        <f t="shared" ref="J14" si="2">SUM(J7:J13)</f>
        <v>4</v>
      </c>
      <c r="K14" s="2"/>
      <c r="L14" s="2">
        <f t="shared" ref="L14" si="3">SUM(L7:L13)</f>
        <v>6</v>
      </c>
      <c r="M14" s="2"/>
      <c r="N14" s="2">
        <f>D14+F14+H14+J14+L14</f>
        <v>20</v>
      </c>
    </row>
    <row r="15" spans="1:14" x14ac:dyDescent="0.3">
      <c r="A15" s="12" t="s">
        <v>39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</row>
    <row r="16" spans="1:14" x14ac:dyDescent="0.3">
      <c r="A16" s="15" t="s">
        <v>47</v>
      </c>
      <c r="B16" s="16"/>
      <c r="C16" s="17"/>
      <c r="D16" s="2">
        <v>0</v>
      </c>
      <c r="E16" s="2"/>
      <c r="F16" s="2">
        <v>0</v>
      </c>
      <c r="G16" s="2"/>
      <c r="H16" s="2">
        <v>0</v>
      </c>
      <c r="I16" s="2"/>
      <c r="J16" s="2">
        <v>0</v>
      </c>
      <c r="K16" s="2"/>
      <c r="L16" s="2">
        <v>0</v>
      </c>
      <c r="M16" s="2"/>
      <c r="N16" s="2">
        <v>0</v>
      </c>
    </row>
    <row r="17" spans="1:14" x14ac:dyDescent="0.3">
      <c r="A17" s="15" t="s">
        <v>48</v>
      </c>
      <c r="B17" s="16"/>
      <c r="C17" s="17"/>
      <c r="D17" s="2">
        <f>+D14+D16</f>
        <v>4</v>
      </c>
      <c r="E17" s="2">
        <f t="shared" ref="E17:N17" si="4">+E14+E16</f>
        <v>0</v>
      </c>
      <c r="F17" s="2">
        <f t="shared" si="4"/>
        <v>6</v>
      </c>
      <c r="G17" s="2">
        <f t="shared" si="4"/>
        <v>0</v>
      </c>
      <c r="H17" s="2">
        <f t="shared" si="4"/>
        <v>0</v>
      </c>
      <c r="I17" s="2">
        <f t="shared" si="4"/>
        <v>0</v>
      </c>
      <c r="J17" s="2">
        <f t="shared" si="4"/>
        <v>4</v>
      </c>
      <c r="K17" s="2">
        <f t="shared" si="4"/>
        <v>0</v>
      </c>
      <c r="L17" s="2">
        <f t="shared" si="4"/>
        <v>6</v>
      </c>
      <c r="M17" s="2">
        <f t="shared" si="4"/>
        <v>0</v>
      </c>
      <c r="N17" s="2">
        <f t="shared" si="4"/>
        <v>20</v>
      </c>
    </row>
  </sheetData>
  <mergeCells count="19">
    <mergeCell ref="A14:C14"/>
    <mergeCell ref="A15:N15"/>
    <mergeCell ref="A16:C16"/>
    <mergeCell ref="A17:C17"/>
    <mergeCell ref="A4:B5"/>
    <mergeCell ref="C4:C5"/>
    <mergeCell ref="A1:N1"/>
    <mergeCell ref="A2:N2"/>
    <mergeCell ref="A3:N3"/>
    <mergeCell ref="L5:M5"/>
    <mergeCell ref="D4:E4"/>
    <mergeCell ref="F4:G4"/>
    <mergeCell ref="H4:I4"/>
    <mergeCell ref="J4:K4"/>
    <mergeCell ref="L4:M4"/>
    <mergeCell ref="D5:E5"/>
    <mergeCell ref="F5:G5"/>
    <mergeCell ref="H5:I5"/>
    <mergeCell ref="J5:K5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2.0</vt:lpstr>
      <vt:lpstr>STATE 2.0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Tamil Nadu</cp:lastModifiedBy>
  <dcterms:created xsi:type="dcterms:W3CDTF">2026-09-21T04:36:27Z</dcterms:created>
  <dcterms:modified xsi:type="dcterms:W3CDTF">2026-09-22T07:31:09Z</dcterms:modified>
</cp:coreProperties>
</file>
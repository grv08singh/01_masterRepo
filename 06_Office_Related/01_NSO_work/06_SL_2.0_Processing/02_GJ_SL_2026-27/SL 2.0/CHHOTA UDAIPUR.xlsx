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C1F5B4F4-0E60-4F05-AAD3-F5B8A2BBEF76}" xr6:coauthVersionLast="47" xr6:coauthVersionMax="47" xr10:uidLastSave="{00000000-0000-0000-0000-000000000000}"/>
  <bookViews>
    <workbookView xWindow="1995" yWindow="0" windowWidth="13305" windowHeight="15255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H20" i="2"/>
  <c r="J20" i="2"/>
  <c r="L20" i="2"/>
  <c r="N20" i="2"/>
  <c r="P20" i="2"/>
  <c r="D20" i="2"/>
  <c r="F12" i="2"/>
  <c r="H12" i="2"/>
  <c r="J12" i="2"/>
  <c r="L12" i="2"/>
  <c r="N12" i="2"/>
  <c r="P12" i="2"/>
  <c r="R19" i="2"/>
  <c r="R17" i="2"/>
  <c r="R16" i="2"/>
  <c r="R15" i="2"/>
  <c r="R14" i="2"/>
  <c r="R11" i="2"/>
  <c r="R10" i="2"/>
  <c r="R9" i="2"/>
  <c r="R8" i="2"/>
  <c r="R7" i="2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F35" i="1"/>
  <c r="H35" i="1"/>
  <c r="J35" i="1"/>
  <c r="L35" i="1"/>
  <c r="N35" i="1"/>
  <c r="P35" i="1"/>
  <c r="D35" i="1"/>
  <c r="R8" i="1"/>
  <c r="R7" i="1"/>
  <c r="R20" i="2" l="1"/>
  <c r="R35" i="1"/>
  <c r="R5" i="2"/>
  <c r="R5" i="1"/>
  <c r="R9" i="1"/>
  <c r="P9" i="1"/>
  <c r="P36" i="1" s="1"/>
  <c r="N9" i="1"/>
  <c r="N36" i="1" s="1"/>
  <c r="L9" i="1"/>
  <c r="L36" i="1" s="1"/>
  <c r="F9" i="1"/>
  <c r="F36" i="1" s="1"/>
  <c r="D9" i="1"/>
  <c r="D36" i="1" s="1"/>
  <c r="F21" i="2"/>
  <c r="L21" i="2"/>
  <c r="N21" i="2"/>
  <c r="P21" i="2"/>
  <c r="R12" i="2"/>
  <c r="D12" i="2"/>
  <c r="R36" i="1" l="1"/>
  <c r="D21" i="2"/>
  <c r="R21" i="2"/>
</calcChain>
</file>

<file path=xl/sharedStrings.xml><?xml version="1.0" encoding="utf-8"?>
<sst xmlns="http://schemas.openxmlformats.org/spreadsheetml/2006/main" count="192" uniqueCount="76">
  <si>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</si>
  <si>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</si>
  <si>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</si>
  <si>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</si>
  <si>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</si>
  <si>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Tur</t>
  </si>
  <si>
    <t>Cotton (I)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</si>
  <si>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</si>
  <si>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</si>
  <si>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</si>
  <si>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</si>
  <si>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</si>
  <si>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</si>
  <si>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</si>
  <si>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</si>
  <si>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</si>
  <si>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</si>
  <si>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</si>
  <si>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Paddy(IR)</t>
  </si>
  <si>
    <t>Paddy(UI)</t>
  </si>
  <si>
    <t>MAIZE</t>
  </si>
  <si>
    <t>Bodeli</t>
  </si>
  <si>
    <t>Bhorada</t>
  </si>
  <si>
    <t>Nasvadi</t>
  </si>
  <si>
    <t>Gadh</t>
  </si>
  <si>
    <t>Jamba (Jivanpura)</t>
  </si>
  <si>
    <t>Sankheda</t>
  </si>
  <si>
    <t>Bhulvan</t>
  </si>
  <si>
    <t>Raipur</t>
  </si>
  <si>
    <t>Gojpur</t>
  </si>
  <si>
    <t>Sarsinda (Jharvan)</t>
  </si>
  <si>
    <t>Athavali</t>
  </si>
  <si>
    <t>Badaliya</t>
  </si>
  <si>
    <t>Kosindra</t>
  </si>
  <si>
    <t>Mankani</t>
  </si>
  <si>
    <t>Moti Vant</t>
  </si>
  <si>
    <t>Pichhuwada</t>
  </si>
  <si>
    <t>Targol</t>
  </si>
  <si>
    <t>Vanta</t>
  </si>
  <si>
    <t>Vantada</t>
  </si>
  <si>
    <t>Chhota Udaipur</t>
  </si>
  <si>
    <t>Antroli</t>
  </si>
  <si>
    <t>Bhensa</t>
  </si>
  <si>
    <t>Kachhel</t>
  </si>
  <si>
    <t>Siloj</t>
  </si>
  <si>
    <t>Jetpur Pavi</t>
  </si>
  <si>
    <t>Sajva</t>
  </si>
  <si>
    <t>Kavant</t>
  </si>
  <si>
    <t>Amsota</t>
  </si>
  <si>
    <t>Asar</t>
  </si>
  <si>
    <t>Vajepur</t>
  </si>
  <si>
    <t>Dani</t>
  </si>
  <si>
    <t>Kothiya</t>
  </si>
  <si>
    <t>Kumetha</t>
  </si>
  <si>
    <t>Saripani</t>
  </si>
  <si>
    <t>Zer</t>
  </si>
  <si>
    <t>Parvata</t>
  </si>
  <si>
    <t>Dhandhoda</t>
  </si>
  <si>
    <t>Lehvant</t>
  </si>
  <si>
    <t>Dharoliya Bhindol</t>
  </si>
  <si>
    <t>Samalvant</t>
  </si>
  <si>
    <t>Vadeli</t>
  </si>
  <si>
    <t>1A</t>
  </si>
  <si>
    <t>4B</t>
  </si>
  <si>
    <t>2B</t>
  </si>
  <si>
    <t>3B</t>
  </si>
  <si>
    <t>2A</t>
  </si>
  <si>
    <t>6A</t>
  </si>
  <si>
    <t>5B</t>
  </si>
  <si>
    <t>1B</t>
  </si>
  <si>
    <t>District: Chhota Udaipur</t>
  </si>
  <si>
    <t>District:Chhota Udaipur</t>
  </si>
  <si>
    <t>Year-2026-27</t>
  </si>
  <si>
    <t>Gadh Boriyad</t>
  </si>
  <si>
    <t>Paddy(I)</t>
  </si>
  <si>
    <t>Haripura(Vadeshiya)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</si>
</sst>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workbookViewId="0">
      <selection activeCell="A31" sqref="A31:B33"/>
    </sheetView>
  </sheetViews>
  <sheetFormatPr defaultRowHeight="15" x14ac:dyDescent="0.25"/>
  <cols>
    <col min="1" max="1" width="14.85546875" bestFit="1" customWidth="1"/>
    <col min="2" max="2" width="9.5703125" bestFit="1" customWidth="1"/>
    <col min="3" max="3" width="17.28515625" bestFit="1" customWidth="1"/>
  </cols>
  <sheetData>
    <row r="1" spans="1:18" ht="28.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28.5" customHeight="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28.5" customHeight="1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28.5" customHeight="1" x14ac:dyDescent="0.25">
      <c r="A4" s="19" t="s">
        <v>71</v>
      </c>
      <c r="B4" s="20"/>
      <c r="C4" s="23" t="s">
        <v>72</v>
      </c>
      <c r="D4" s="15">
        <v>6</v>
      </c>
      <c r="E4" s="15"/>
      <c r="F4" s="15">
        <v>6</v>
      </c>
      <c r="G4" s="15"/>
      <c r="H4" s="25">
        <v>8</v>
      </c>
      <c r="I4" s="26"/>
      <c r="J4" s="27">
        <v>4</v>
      </c>
      <c r="K4" s="28"/>
      <c r="L4" s="15">
        <v>10</v>
      </c>
      <c r="M4" s="15"/>
      <c r="N4" s="15">
        <v>8</v>
      </c>
      <c r="O4" s="15"/>
      <c r="P4" s="15">
        <v>12</v>
      </c>
      <c r="Q4" s="15"/>
      <c r="R4" s="3" t="s">
        <v>3</v>
      </c>
    </row>
    <row r="5" spans="1:18" ht="28.5" customHeight="1" x14ac:dyDescent="0.25">
      <c r="A5" s="21"/>
      <c r="B5" s="22"/>
      <c r="C5" s="24"/>
      <c r="D5" s="17" t="s">
        <v>20</v>
      </c>
      <c r="E5" s="17"/>
      <c r="F5" s="17" t="s">
        <v>18</v>
      </c>
      <c r="G5" s="17"/>
      <c r="H5" s="17" t="s">
        <v>19</v>
      </c>
      <c r="I5" s="17"/>
      <c r="J5" s="17" t="s">
        <v>4</v>
      </c>
      <c r="K5" s="17"/>
      <c r="L5" s="17" t="s">
        <v>5</v>
      </c>
      <c r="M5" s="17"/>
      <c r="N5" s="17" t="s">
        <v>6</v>
      </c>
      <c r="O5" s="17"/>
      <c r="P5" s="17" t="s">
        <v>7</v>
      </c>
      <c r="Q5" s="17"/>
      <c r="R5" s="3">
        <f>SUM(D4:Q4)</f>
        <v>54</v>
      </c>
    </row>
    <row r="6" spans="1:18" ht="28.5" customHeight="1" x14ac:dyDescent="0.25">
      <c r="A6" s="3" t="s">
        <v>8</v>
      </c>
      <c r="B6" s="3" t="s">
        <v>9</v>
      </c>
      <c r="C6" s="3" t="s">
        <v>10</v>
      </c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  <c r="K6" s="4" t="s">
        <v>12</v>
      </c>
      <c r="L6" s="4" t="s">
        <v>11</v>
      </c>
      <c r="M6" s="4" t="s">
        <v>12</v>
      </c>
      <c r="N6" s="4" t="s">
        <v>11</v>
      </c>
      <c r="O6" s="4" t="s">
        <v>12</v>
      </c>
      <c r="P6" s="4" t="s">
        <v>11</v>
      </c>
      <c r="Q6" s="4" t="s">
        <v>12</v>
      </c>
      <c r="R6" s="5"/>
    </row>
    <row r="7" spans="1:18" ht="28.5" customHeight="1" x14ac:dyDescent="0.25">
      <c r="A7" s="9" t="s">
        <v>26</v>
      </c>
      <c r="B7" s="9" t="s">
        <v>26</v>
      </c>
      <c r="C7" s="9" t="s">
        <v>29</v>
      </c>
      <c r="D7" s="9"/>
      <c r="E7" s="9"/>
      <c r="F7" s="9"/>
      <c r="G7" s="9"/>
      <c r="H7" s="9"/>
      <c r="I7" s="9"/>
      <c r="J7" s="9"/>
      <c r="K7" s="9"/>
      <c r="L7" s="9">
        <v>2</v>
      </c>
      <c r="M7" s="2">
        <v>1</v>
      </c>
      <c r="N7" s="9"/>
      <c r="O7" s="9"/>
      <c r="P7" s="9"/>
      <c r="Q7" s="9"/>
      <c r="R7" s="5">
        <f>+D7+F7+H7+J7+L7+N7+P7</f>
        <v>2</v>
      </c>
    </row>
    <row r="8" spans="1:18" ht="28.5" customHeight="1" x14ac:dyDescent="0.25">
      <c r="A8" s="9" t="s">
        <v>26</v>
      </c>
      <c r="B8" s="9" t="s">
        <v>26</v>
      </c>
      <c r="C8" s="11" t="s">
        <v>30</v>
      </c>
      <c r="D8" s="9"/>
      <c r="E8" s="9"/>
      <c r="F8" s="9"/>
      <c r="G8" s="9"/>
      <c r="H8" s="9"/>
      <c r="I8" s="9"/>
      <c r="J8" s="9"/>
      <c r="K8" s="9"/>
      <c r="L8" s="9">
        <v>2</v>
      </c>
      <c r="M8" s="2">
        <v>2</v>
      </c>
      <c r="N8" s="9">
        <v>2</v>
      </c>
      <c r="O8" s="2" t="s">
        <v>62</v>
      </c>
      <c r="P8" s="9"/>
      <c r="Q8" s="9"/>
      <c r="R8" s="5">
        <f>+D8+F8+H8+J8+L8+N8+P8</f>
        <v>4</v>
      </c>
    </row>
    <row r="9" spans="1:18" ht="28.5" customHeight="1" x14ac:dyDescent="0.25">
      <c r="A9" s="15" t="s">
        <v>13</v>
      </c>
      <c r="B9" s="15"/>
      <c r="C9" s="15"/>
      <c r="D9" s="2">
        <f>SUM(D7:D8)</f>
        <v>0</v>
      </c>
      <c r="E9" s="2"/>
      <c r="F9" s="2">
        <f>SUM(F7:F8)</f>
        <v>0</v>
      </c>
      <c r="G9" s="2"/>
      <c r="H9" s="2"/>
      <c r="I9" s="2"/>
      <c r="J9" s="2"/>
      <c r="K9" s="2"/>
      <c r="L9" s="2">
        <f>SUM(L7:L8)</f>
        <v>4</v>
      </c>
      <c r="M9" s="2"/>
      <c r="N9" s="2">
        <f>SUM(N7:N8)</f>
        <v>2</v>
      </c>
      <c r="O9" s="2"/>
      <c r="P9" s="2">
        <f>SUM(P7:P8)</f>
        <v>0</v>
      </c>
      <c r="Q9" s="2"/>
      <c r="R9" s="2">
        <f>SUM(R7:R8)</f>
        <v>6</v>
      </c>
    </row>
    <row r="10" spans="1:18" ht="28.5" customHeight="1" x14ac:dyDescent="0.25">
      <c r="A10" s="16" t="s">
        <v>14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28.5" customHeight="1" x14ac:dyDescent="0.25">
      <c r="A11" s="5" t="s">
        <v>21</v>
      </c>
      <c r="B11" s="5" t="s">
        <v>21</v>
      </c>
      <c r="C11" s="5" t="s">
        <v>31</v>
      </c>
      <c r="D11" s="5"/>
      <c r="E11" s="5"/>
      <c r="F11" s="5"/>
      <c r="G11" s="5"/>
      <c r="H11" s="5"/>
      <c r="I11" s="5"/>
      <c r="J11" s="5">
        <v>2</v>
      </c>
      <c r="K11" s="3">
        <v>1</v>
      </c>
      <c r="L11" s="5"/>
      <c r="M11" s="5"/>
      <c r="N11" s="5"/>
      <c r="O11" s="5"/>
      <c r="P11" s="5"/>
      <c r="Q11" s="5"/>
      <c r="R11" s="5">
        <f t="shared" ref="R11:R33" si="0">+D11+F11+H11+J11+L11+N11+P11</f>
        <v>2</v>
      </c>
    </row>
    <row r="12" spans="1:18" ht="28.5" customHeight="1" x14ac:dyDescent="0.25">
      <c r="A12" s="5" t="s">
        <v>21</v>
      </c>
      <c r="B12" s="5" t="s">
        <v>21</v>
      </c>
      <c r="C12" s="5" t="s">
        <v>32</v>
      </c>
      <c r="D12" s="5"/>
      <c r="E12" s="5"/>
      <c r="F12" s="5"/>
      <c r="G12" s="5"/>
      <c r="H12" s="5"/>
      <c r="I12" s="5"/>
      <c r="J12" s="5"/>
      <c r="K12" s="5"/>
      <c r="L12" s="5">
        <v>2</v>
      </c>
      <c r="M12" s="3">
        <v>3</v>
      </c>
      <c r="N12" s="5"/>
      <c r="O12" s="5"/>
      <c r="P12" s="5"/>
      <c r="Q12" s="5"/>
      <c r="R12" s="5">
        <f t="shared" si="0"/>
        <v>2</v>
      </c>
    </row>
    <row r="13" spans="1:18" ht="28.5" customHeight="1" x14ac:dyDescent="0.25">
      <c r="A13" s="5" t="s">
        <v>21</v>
      </c>
      <c r="B13" s="5" t="s">
        <v>21</v>
      </c>
      <c r="C13" s="5" t="s">
        <v>33</v>
      </c>
      <c r="D13" s="5"/>
      <c r="E13" s="5"/>
      <c r="F13" s="5">
        <v>2</v>
      </c>
      <c r="G13" s="3">
        <v>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2</v>
      </c>
    </row>
    <row r="14" spans="1:18" ht="28.5" customHeight="1" x14ac:dyDescent="0.25">
      <c r="A14" s="5" t="s">
        <v>21</v>
      </c>
      <c r="B14" s="5" t="s">
        <v>21</v>
      </c>
      <c r="C14" s="5" t="s">
        <v>34</v>
      </c>
      <c r="D14" s="5"/>
      <c r="E14" s="5"/>
      <c r="F14" s="5"/>
      <c r="G14" s="5"/>
      <c r="H14" s="5"/>
      <c r="I14" s="5"/>
      <c r="J14" s="5">
        <v>2</v>
      </c>
      <c r="K14" s="3">
        <v>2</v>
      </c>
      <c r="L14" s="5"/>
      <c r="M14" s="5"/>
      <c r="N14" s="5"/>
      <c r="O14" s="5"/>
      <c r="P14" s="5"/>
      <c r="Q14" s="5"/>
      <c r="R14" s="5">
        <f t="shared" si="0"/>
        <v>2</v>
      </c>
    </row>
    <row r="15" spans="1:18" ht="28.5" customHeight="1" x14ac:dyDescent="0.25">
      <c r="A15" s="5" t="s">
        <v>21</v>
      </c>
      <c r="B15" s="5" t="s">
        <v>21</v>
      </c>
      <c r="C15" s="5" t="s">
        <v>35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2</v>
      </c>
      <c r="O15" s="3" t="s">
        <v>63</v>
      </c>
      <c r="P15" s="5"/>
      <c r="Q15" s="5"/>
      <c r="R15" s="5">
        <f t="shared" si="0"/>
        <v>2</v>
      </c>
    </row>
    <row r="16" spans="1:18" ht="28.5" customHeight="1" x14ac:dyDescent="0.25">
      <c r="A16" s="5" t="s">
        <v>21</v>
      </c>
      <c r="B16" s="5" t="s">
        <v>21</v>
      </c>
      <c r="C16" s="5" t="s">
        <v>36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v>2</v>
      </c>
      <c r="Q16" s="3" t="s">
        <v>69</v>
      </c>
      <c r="R16" s="5">
        <f t="shared" si="0"/>
        <v>2</v>
      </c>
    </row>
    <row r="17" spans="1:18" ht="28.5" customHeight="1" x14ac:dyDescent="0.25">
      <c r="A17" s="5" t="s">
        <v>21</v>
      </c>
      <c r="B17" s="5" t="s">
        <v>21</v>
      </c>
      <c r="C17" s="5" t="s">
        <v>37</v>
      </c>
      <c r="D17" s="5"/>
      <c r="E17" s="5"/>
      <c r="F17" s="5">
        <v>2</v>
      </c>
      <c r="G17" s="3">
        <v>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2</v>
      </c>
    </row>
    <row r="18" spans="1:18" ht="28.5" customHeight="1" x14ac:dyDescent="0.25">
      <c r="A18" s="5" t="s">
        <v>21</v>
      </c>
      <c r="B18" s="5" t="s">
        <v>21</v>
      </c>
      <c r="C18" s="5" t="s">
        <v>38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2</v>
      </c>
      <c r="Q18" s="3" t="s">
        <v>66</v>
      </c>
      <c r="R18" s="5">
        <f t="shared" si="0"/>
        <v>2</v>
      </c>
    </row>
    <row r="19" spans="1:18" ht="28.5" customHeight="1" x14ac:dyDescent="0.25">
      <c r="A19" s="5" t="s">
        <v>21</v>
      </c>
      <c r="B19" s="5" t="s">
        <v>21</v>
      </c>
      <c r="C19" s="5" t="s">
        <v>39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2</v>
      </c>
      <c r="Q19" s="3" t="s">
        <v>68</v>
      </c>
      <c r="R19" s="5">
        <f t="shared" si="0"/>
        <v>2</v>
      </c>
    </row>
    <row r="20" spans="1:18" ht="28.5" customHeight="1" x14ac:dyDescent="0.25">
      <c r="A20" s="5" t="s">
        <v>40</v>
      </c>
      <c r="B20" s="5" t="s">
        <v>40</v>
      </c>
      <c r="C20" s="5" t="s">
        <v>41</v>
      </c>
      <c r="D20" s="5"/>
      <c r="E20" s="5"/>
      <c r="F20" s="5"/>
      <c r="G20" s="5"/>
      <c r="H20" s="5">
        <v>2</v>
      </c>
      <c r="I20" s="3">
        <v>2</v>
      </c>
      <c r="J20" s="5"/>
      <c r="K20" s="5"/>
      <c r="L20" s="5"/>
      <c r="M20" s="5"/>
      <c r="N20" s="5"/>
      <c r="O20" s="5"/>
      <c r="P20" s="5"/>
      <c r="Q20" s="5"/>
      <c r="R20" s="5">
        <f t="shared" si="0"/>
        <v>2</v>
      </c>
    </row>
    <row r="21" spans="1:18" ht="28.5" customHeight="1" x14ac:dyDescent="0.25">
      <c r="A21" s="5" t="s">
        <v>40</v>
      </c>
      <c r="B21" s="5" t="s">
        <v>40</v>
      </c>
      <c r="C21" s="5" t="s">
        <v>42</v>
      </c>
      <c r="D21" s="5"/>
      <c r="E21" s="5"/>
      <c r="F21" s="5">
        <v>2</v>
      </c>
      <c r="G21" s="3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2</v>
      </c>
    </row>
    <row r="22" spans="1:18" ht="28.5" customHeight="1" x14ac:dyDescent="0.25">
      <c r="A22" s="5" t="s">
        <v>40</v>
      </c>
      <c r="B22" s="5" t="s">
        <v>40</v>
      </c>
      <c r="C22" s="5" t="s">
        <v>43</v>
      </c>
      <c r="D22" s="5">
        <v>2</v>
      </c>
      <c r="E22" s="3">
        <v>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2</v>
      </c>
    </row>
    <row r="23" spans="1:18" ht="28.5" customHeight="1" x14ac:dyDescent="0.25">
      <c r="A23" s="5" t="s">
        <v>40</v>
      </c>
      <c r="B23" s="5" t="s">
        <v>40</v>
      </c>
      <c r="C23" s="5" t="s">
        <v>44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</v>
      </c>
      <c r="Q23" s="3" t="s">
        <v>65</v>
      </c>
      <c r="R23" s="5">
        <f t="shared" si="0"/>
        <v>2</v>
      </c>
    </row>
    <row r="24" spans="1:18" ht="28.5" customHeight="1" x14ac:dyDescent="0.25">
      <c r="A24" s="5" t="s">
        <v>45</v>
      </c>
      <c r="B24" s="5" t="s">
        <v>45</v>
      </c>
      <c r="C24" s="5" t="s">
        <v>46</v>
      </c>
      <c r="D24" s="5">
        <v>2</v>
      </c>
      <c r="E24" s="3">
        <v>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2</v>
      </c>
    </row>
    <row r="25" spans="1:18" ht="28.5" customHeight="1" x14ac:dyDescent="0.25">
      <c r="A25" s="5" t="s">
        <v>47</v>
      </c>
      <c r="B25" s="5" t="s">
        <v>47</v>
      </c>
      <c r="C25" s="5" t="s">
        <v>48</v>
      </c>
      <c r="D25" s="5"/>
      <c r="E25" s="5"/>
      <c r="F25" s="5"/>
      <c r="G25" s="5"/>
      <c r="H25" s="5">
        <v>2</v>
      </c>
      <c r="I25" s="3">
        <v>4</v>
      </c>
      <c r="J25" s="5"/>
      <c r="K25" s="5"/>
      <c r="L25" s="5"/>
      <c r="M25" s="5"/>
      <c r="N25" s="5"/>
      <c r="O25" s="5"/>
      <c r="P25" s="5"/>
      <c r="Q25" s="5"/>
      <c r="R25" s="5">
        <f t="shared" si="0"/>
        <v>2</v>
      </c>
    </row>
    <row r="26" spans="1:18" ht="28.5" customHeight="1" x14ac:dyDescent="0.25">
      <c r="A26" s="5" t="s">
        <v>47</v>
      </c>
      <c r="B26" s="5" t="s">
        <v>47</v>
      </c>
      <c r="C26" s="5" t="s">
        <v>49</v>
      </c>
      <c r="D26" s="5">
        <v>2</v>
      </c>
      <c r="E26" s="3">
        <v>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2</v>
      </c>
    </row>
    <row r="27" spans="1:18" ht="28.5" customHeight="1" x14ac:dyDescent="0.25">
      <c r="A27" s="5" t="s">
        <v>47</v>
      </c>
      <c r="B27" s="5" t="s">
        <v>47</v>
      </c>
      <c r="C27" s="5" t="s">
        <v>50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v>2</v>
      </c>
      <c r="Q27" s="3" t="s">
        <v>67</v>
      </c>
      <c r="R27" s="5">
        <f t="shared" si="0"/>
        <v>2</v>
      </c>
    </row>
    <row r="28" spans="1:18" ht="28.5" customHeight="1" x14ac:dyDescent="0.25">
      <c r="A28" s="5" t="s">
        <v>23</v>
      </c>
      <c r="B28" s="5" t="s">
        <v>23</v>
      </c>
      <c r="C28" s="5" t="s">
        <v>51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2</v>
      </c>
      <c r="O28" s="3" t="s">
        <v>64</v>
      </c>
      <c r="P28" s="5"/>
      <c r="Q28" s="5"/>
      <c r="R28" s="5">
        <f t="shared" si="0"/>
        <v>2</v>
      </c>
    </row>
    <row r="29" spans="1:18" ht="28.5" customHeight="1" x14ac:dyDescent="0.25">
      <c r="A29" s="5" t="s">
        <v>23</v>
      </c>
      <c r="B29" s="5" t="s">
        <v>23</v>
      </c>
      <c r="C29" s="5" t="s">
        <v>52</v>
      </c>
      <c r="D29" s="5"/>
      <c r="E29" s="5"/>
      <c r="F29" s="5"/>
      <c r="G29" s="5"/>
      <c r="H29" s="5"/>
      <c r="I29" s="5"/>
      <c r="J29" s="5"/>
      <c r="K29" s="5"/>
      <c r="L29" s="5">
        <v>2</v>
      </c>
      <c r="M29" s="3">
        <v>5</v>
      </c>
      <c r="N29" s="5"/>
      <c r="O29" s="5"/>
      <c r="P29" s="5"/>
      <c r="Q29" s="5"/>
      <c r="R29" s="5">
        <f t="shared" si="0"/>
        <v>2</v>
      </c>
    </row>
    <row r="30" spans="1:18" ht="28.5" customHeight="1" x14ac:dyDescent="0.25">
      <c r="A30" s="5" t="s">
        <v>23</v>
      </c>
      <c r="B30" s="5" t="s">
        <v>23</v>
      </c>
      <c r="C30" s="5" t="s">
        <v>53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2</v>
      </c>
      <c r="Q30" s="3" t="s">
        <v>63</v>
      </c>
      <c r="R30" s="5">
        <f t="shared" si="0"/>
        <v>2</v>
      </c>
    </row>
    <row r="31" spans="1:18" ht="28.5" customHeight="1" x14ac:dyDescent="0.25">
      <c r="A31" s="5" t="s">
        <v>23</v>
      </c>
      <c r="B31" s="5" t="s">
        <v>23</v>
      </c>
      <c r="C31" s="5" t="s">
        <v>54</v>
      </c>
      <c r="D31" s="5"/>
      <c r="E31" s="5"/>
      <c r="F31" s="5"/>
      <c r="G31" s="5"/>
      <c r="H31" s="5">
        <v>2</v>
      </c>
      <c r="I31" s="3">
        <v>1</v>
      </c>
      <c r="J31" s="5"/>
      <c r="K31" s="5"/>
      <c r="L31" s="5"/>
      <c r="M31" s="5"/>
      <c r="N31" s="5"/>
      <c r="O31" s="5"/>
      <c r="P31" s="5"/>
      <c r="Q31" s="5"/>
      <c r="R31" s="5">
        <f t="shared" si="0"/>
        <v>2</v>
      </c>
    </row>
    <row r="32" spans="1:18" ht="28.5" customHeight="1" x14ac:dyDescent="0.25">
      <c r="A32" s="5" t="s">
        <v>23</v>
      </c>
      <c r="B32" s="5" t="s">
        <v>23</v>
      </c>
      <c r="C32" s="5" t="s">
        <v>55</v>
      </c>
      <c r="D32" s="5"/>
      <c r="E32" s="5"/>
      <c r="F32" s="5"/>
      <c r="G32" s="5"/>
      <c r="H32" s="5">
        <v>2</v>
      </c>
      <c r="I32" s="3">
        <v>3</v>
      </c>
      <c r="J32" s="5"/>
      <c r="K32" s="5"/>
      <c r="L32" s="5">
        <v>2</v>
      </c>
      <c r="M32" s="3">
        <v>4</v>
      </c>
      <c r="N32" s="5"/>
      <c r="O32" s="5"/>
      <c r="P32" s="5"/>
      <c r="Q32" s="5"/>
      <c r="R32" s="5">
        <f t="shared" si="0"/>
        <v>4</v>
      </c>
    </row>
    <row r="33" spans="1:18" ht="28.5" customHeight="1" x14ac:dyDescent="0.25">
      <c r="A33" s="5" t="s">
        <v>26</v>
      </c>
      <c r="B33" s="5" t="s">
        <v>26</v>
      </c>
      <c r="C33" s="5" t="s">
        <v>56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2</v>
      </c>
      <c r="O33" s="3" t="s">
        <v>65</v>
      </c>
      <c r="P33" s="5"/>
      <c r="Q33" s="5"/>
      <c r="R33" s="5">
        <f t="shared" si="0"/>
        <v>2</v>
      </c>
    </row>
    <row r="34" spans="1:18" ht="28.5" customHeight="1" x14ac:dyDescent="0.25">
      <c r="A34" s="6"/>
      <c r="B34" s="7"/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28.5" customHeight="1" x14ac:dyDescent="0.25">
      <c r="A35" s="12" t="s">
        <v>15</v>
      </c>
      <c r="B35" s="13"/>
      <c r="C35" s="14"/>
      <c r="D35" s="2">
        <f>SUM(D11:D33)</f>
        <v>6</v>
      </c>
      <c r="E35" s="2"/>
      <c r="F35" s="2">
        <f t="shared" ref="F35" si="1">SUM(F11:F33)</f>
        <v>6</v>
      </c>
      <c r="G35" s="2"/>
      <c r="H35" s="2">
        <f t="shared" ref="H35" si="2">SUM(H11:H33)</f>
        <v>8</v>
      </c>
      <c r="I35" s="2"/>
      <c r="J35" s="2">
        <f t="shared" ref="J35" si="3">SUM(J11:J33)</f>
        <v>4</v>
      </c>
      <c r="K35" s="2"/>
      <c r="L35" s="2">
        <f t="shared" ref="L35" si="4">SUM(L11:L33)</f>
        <v>6</v>
      </c>
      <c r="M35" s="2"/>
      <c r="N35" s="2">
        <f t="shared" ref="N35" si="5">SUM(N11:N33)</f>
        <v>6</v>
      </c>
      <c r="O35" s="2"/>
      <c r="P35" s="2">
        <f t="shared" ref="P35" si="6">SUM(P11:P33)</f>
        <v>12</v>
      </c>
      <c r="Q35" s="2"/>
      <c r="R35" s="2">
        <f t="shared" ref="R35" si="7">SUM(R11:R33)</f>
        <v>48</v>
      </c>
    </row>
    <row r="36" spans="1:18" ht="28.5" customHeight="1" x14ac:dyDescent="0.25">
      <c r="A36" s="12" t="s">
        <v>16</v>
      </c>
      <c r="B36" s="13"/>
      <c r="C36" s="14"/>
      <c r="D36" s="2">
        <f>+D9+D35</f>
        <v>6</v>
      </c>
      <c r="E36" s="2"/>
      <c r="F36" s="2">
        <f t="shared" ref="F36" si="8">+F9+F35</f>
        <v>6</v>
      </c>
      <c r="G36" s="2"/>
      <c r="H36" s="2"/>
      <c r="I36" s="2"/>
      <c r="J36" s="2"/>
      <c r="K36" s="2"/>
      <c r="L36" s="2">
        <f t="shared" ref="L36" si="9">+L9+L35</f>
        <v>10</v>
      </c>
      <c r="M36" s="2"/>
      <c r="N36" s="2">
        <f t="shared" ref="N36" si="10">+N9+N35</f>
        <v>8</v>
      </c>
      <c r="O36" s="2"/>
      <c r="P36" s="2">
        <f t="shared" ref="P36" si="11">+P9+P35</f>
        <v>12</v>
      </c>
      <c r="Q36" s="2"/>
      <c r="R36" s="2">
        <f t="shared" ref="R36" si="12">+R9+R35</f>
        <v>54</v>
      </c>
    </row>
  </sheetData>
  <mergeCells count="23">
    <mergeCell ref="A1:R1"/>
    <mergeCell ref="A2:R2"/>
    <mergeCell ref="A3:R3"/>
    <mergeCell ref="A4:B5"/>
    <mergeCell ref="C4:C5"/>
    <mergeCell ref="D4:E4"/>
    <mergeCell ref="F4:G4"/>
    <mergeCell ref="L4:M4"/>
    <mergeCell ref="N4:O4"/>
    <mergeCell ref="P4:Q4"/>
    <mergeCell ref="H5:I5"/>
    <mergeCell ref="J5:K5"/>
    <mergeCell ref="H4:I4"/>
    <mergeCell ref="J4:K4"/>
    <mergeCell ref="A36:C36"/>
    <mergeCell ref="A9:C9"/>
    <mergeCell ref="A10:R10"/>
    <mergeCell ref="A35:C35"/>
    <mergeCell ref="D5:E5"/>
    <mergeCell ref="F5:G5"/>
    <mergeCell ref="L5:M5"/>
    <mergeCell ref="N5:O5"/>
    <mergeCell ref="P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tabSelected="1" topLeftCell="G2" workbookViewId="0">
      <selection activeCell="A13" sqref="A13:R13"/>
    </sheetView>
  </sheetViews>
  <sheetFormatPr defaultRowHeight="15" x14ac:dyDescent="0.25"/>
  <cols>
    <col min="1" max="1" width="14.85546875" bestFit="1" customWidth="1"/>
    <col min="2" max="2" width="14.140625" customWidth="1"/>
    <col min="3" max="3" width="20.140625" customWidth="1"/>
  </cols>
  <sheetData>
    <row r="1" spans="1:18" ht="28.5" customHeight="1" x14ac:dyDescent="0.25">
      <c r="A1" s="18" t="s">
        <v>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28.5" customHeight="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28.5" customHeight="1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28.5" customHeight="1" x14ac:dyDescent="0.25">
      <c r="A4" s="19" t="s">
        <v>70</v>
      </c>
      <c r="B4" s="20"/>
      <c r="C4" s="23" t="s">
        <v>72</v>
      </c>
      <c r="D4" s="15">
        <v>4</v>
      </c>
      <c r="E4" s="15"/>
      <c r="F4" s="15">
        <v>4</v>
      </c>
      <c r="G4" s="15"/>
      <c r="H4" s="15">
        <v>4</v>
      </c>
      <c r="I4" s="15"/>
      <c r="J4" s="15">
        <v>0</v>
      </c>
      <c r="K4" s="15"/>
      <c r="L4" s="15">
        <v>6</v>
      </c>
      <c r="M4" s="15"/>
      <c r="N4" s="15">
        <v>6</v>
      </c>
      <c r="O4" s="15"/>
      <c r="P4" s="15">
        <v>6</v>
      </c>
      <c r="Q4" s="15"/>
      <c r="R4" s="3" t="s">
        <v>3</v>
      </c>
    </row>
    <row r="5" spans="1:18" ht="28.5" customHeight="1" x14ac:dyDescent="0.25">
      <c r="A5" s="21"/>
      <c r="B5" s="22"/>
      <c r="C5" s="24"/>
      <c r="D5" s="17" t="s">
        <v>20</v>
      </c>
      <c r="E5" s="17"/>
      <c r="F5" s="17" t="s">
        <v>74</v>
      </c>
      <c r="G5" s="17"/>
      <c r="H5" s="17" t="s">
        <v>19</v>
      </c>
      <c r="I5" s="17"/>
      <c r="J5" s="17" t="s">
        <v>4</v>
      </c>
      <c r="K5" s="17"/>
      <c r="L5" s="17" t="s">
        <v>5</v>
      </c>
      <c r="M5" s="17"/>
      <c r="N5" s="17" t="s">
        <v>6</v>
      </c>
      <c r="O5" s="17"/>
      <c r="P5" s="17" t="s">
        <v>7</v>
      </c>
      <c r="Q5" s="17"/>
      <c r="R5" s="3">
        <f>SUM(D4:Q4)</f>
        <v>30</v>
      </c>
    </row>
    <row r="6" spans="1:18" ht="28.5" customHeight="1" x14ac:dyDescent="0.25">
      <c r="A6" s="3" t="s">
        <v>8</v>
      </c>
      <c r="B6" s="3" t="s">
        <v>9</v>
      </c>
      <c r="C6" s="3" t="s">
        <v>10</v>
      </c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  <c r="K6" s="4" t="s">
        <v>12</v>
      </c>
      <c r="L6" s="4" t="s">
        <v>11</v>
      </c>
      <c r="M6" s="4" t="s">
        <v>12</v>
      </c>
      <c r="N6" s="4" t="s">
        <v>11</v>
      </c>
      <c r="O6" s="4" t="s">
        <v>12</v>
      </c>
      <c r="P6" s="4" t="s">
        <v>11</v>
      </c>
      <c r="Q6" s="4" t="s">
        <v>12</v>
      </c>
      <c r="R6" s="5"/>
    </row>
    <row r="7" spans="1:18" ht="28.5" customHeight="1" x14ac:dyDescent="0.25">
      <c r="A7" s="9" t="s">
        <v>21</v>
      </c>
      <c r="B7" s="9" t="s">
        <v>21</v>
      </c>
      <c r="C7" s="9" t="s">
        <v>22</v>
      </c>
      <c r="D7" s="9"/>
      <c r="E7" s="9"/>
      <c r="F7" s="9"/>
      <c r="G7" s="9"/>
      <c r="H7" s="9"/>
      <c r="I7" s="9"/>
      <c r="J7" s="9"/>
      <c r="K7" s="9"/>
      <c r="L7" s="9"/>
      <c r="M7" s="9"/>
      <c r="N7" s="9">
        <v>2</v>
      </c>
      <c r="O7" s="1" t="s">
        <v>64</v>
      </c>
      <c r="P7" s="9"/>
      <c r="Q7" s="9"/>
      <c r="R7" s="5">
        <f t="shared" ref="R7:R11" si="0">+D7+F7+H7+J7+L7+N7+P7</f>
        <v>2</v>
      </c>
    </row>
    <row r="8" spans="1:18" ht="28.5" customHeight="1" x14ac:dyDescent="0.25">
      <c r="A8" s="9" t="s">
        <v>23</v>
      </c>
      <c r="B8" s="10" t="s">
        <v>73</v>
      </c>
      <c r="C8" s="9" t="s">
        <v>24</v>
      </c>
      <c r="D8" s="9"/>
      <c r="E8" s="9"/>
      <c r="F8" s="9"/>
      <c r="G8" s="9"/>
      <c r="H8" s="9">
        <v>2</v>
      </c>
      <c r="I8" s="1">
        <v>1</v>
      </c>
      <c r="J8" s="9"/>
      <c r="K8" s="9"/>
      <c r="L8" s="9"/>
      <c r="M8" s="9"/>
      <c r="N8" s="9">
        <v>2</v>
      </c>
      <c r="O8" s="1" t="s">
        <v>65</v>
      </c>
      <c r="P8" s="9">
        <v>2</v>
      </c>
      <c r="Q8" s="1" t="s">
        <v>69</v>
      </c>
      <c r="R8" s="5">
        <f t="shared" si="0"/>
        <v>6</v>
      </c>
    </row>
    <row r="9" spans="1:18" ht="28.5" customHeight="1" x14ac:dyDescent="0.25">
      <c r="A9" s="9" t="s">
        <v>23</v>
      </c>
      <c r="B9" s="9" t="s">
        <v>23</v>
      </c>
      <c r="C9" s="9" t="s">
        <v>25</v>
      </c>
      <c r="D9" s="9">
        <v>2</v>
      </c>
      <c r="E9" s="1">
        <v>1</v>
      </c>
      <c r="F9" s="9"/>
      <c r="G9" s="9"/>
      <c r="H9" s="9"/>
      <c r="I9" s="9"/>
      <c r="J9" s="9"/>
      <c r="K9" s="9"/>
      <c r="L9" s="9"/>
      <c r="M9" s="9"/>
      <c r="N9" s="9"/>
      <c r="O9" s="1"/>
      <c r="P9" s="9"/>
      <c r="Q9" s="1"/>
      <c r="R9" s="5">
        <f t="shared" si="0"/>
        <v>2</v>
      </c>
    </row>
    <row r="10" spans="1:18" ht="28.5" customHeight="1" x14ac:dyDescent="0.25">
      <c r="A10" s="9" t="s">
        <v>26</v>
      </c>
      <c r="B10" s="9" t="s">
        <v>26</v>
      </c>
      <c r="C10" s="9" t="s">
        <v>27</v>
      </c>
      <c r="D10" s="9"/>
      <c r="E10" s="9"/>
      <c r="F10" s="9"/>
      <c r="G10" s="9"/>
      <c r="H10" s="9"/>
      <c r="I10" s="9"/>
      <c r="J10" s="9"/>
      <c r="K10" s="9"/>
      <c r="L10" s="9">
        <v>2</v>
      </c>
      <c r="M10" s="1">
        <v>1</v>
      </c>
      <c r="N10" s="9">
        <v>2</v>
      </c>
      <c r="O10" s="1" t="s">
        <v>69</v>
      </c>
      <c r="P10" s="9"/>
      <c r="Q10" s="1"/>
      <c r="R10" s="5">
        <f t="shared" si="0"/>
        <v>4</v>
      </c>
    </row>
    <row r="11" spans="1:18" ht="28.5" customHeight="1" x14ac:dyDescent="0.25">
      <c r="A11" s="9" t="s">
        <v>26</v>
      </c>
      <c r="B11" s="9" t="s">
        <v>26</v>
      </c>
      <c r="C11" s="9" t="s">
        <v>28</v>
      </c>
      <c r="D11" s="9"/>
      <c r="E11" s="9"/>
      <c r="F11" s="9"/>
      <c r="G11" s="9"/>
      <c r="H11" s="9"/>
      <c r="I11" s="9"/>
      <c r="J11" s="9"/>
      <c r="K11" s="9"/>
      <c r="L11" s="9">
        <v>2</v>
      </c>
      <c r="M11" s="1">
        <v>2</v>
      </c>
      <c r="N11" s="9"/>
      <c r="O11" s="9"/>
      <c r="P11" s="9">
        <v>2</v>
      </c>
      <c r="Q11" s="1" t="s">
        <v>66</v>
      </c>
      <c r="R11" s="5">
        <f t="shared" si="0"/>
        <v>4</v>
      </c>
    </row>
    <row r="12" spans="1:18" ht="28.5" customHeight="1" x14ac:dyDescent="0.25">
      <c r="A12" s="15" t="s">
        <v>13</v>
      </c>
      <c r="B12" s="15"/>
      <c r="C12" s="15"/>
      <c r="D12" s="2">
        <f>SUM(D7:D11)</f>
        <v>2</v>
      </c>
      <c r="E12" s="2"/>
      <c r="F12" s="2">
        <f t="shared" ref="F12" si="1">SUM(F7:F11)</f>
        <v>0</v>
      </c>
      <c r="G12" s="2"/>
      <c r="H12" s="2">
        <f t="shared" ref="H12" si="2">SUM(H7:H11)</f>
        <v>2</v>
      </c>
      <c r="I12" s="2"/>
      <c r="J12" s="2">
        <f t="shared" ref="J12" si="3">SUM(J7:J11)</f>
        <v>0</v>
      </c>
      <c r="K12" s="2"/>
      <c r="L12" s="2">
        <f t="shared" ref="L12" si="4">SUM(L7:L11)</f>
        <v>4</v>
      </c>
      <c r="M12" s="2"/>
      <c r="N12" s="2">
        <f t="shared" ref="N12" si="5">SUM(N7:N11)</f>
        <v>6</v>
      </c>
      <c r="O12" s="2"/>
      <c r="P12" s="2">
        <f t="shared" ref="P12" si="6">SUM(P7:P11)</f>
        <v>4</v>
      </c>
      <c r="Q12" s="2"/>
      <c r="R12" s="2">
        <f>SUM(R7:R11)</f>
        <v>18</v>
      </c>
    </row>
    <row r="13" spans="1:18" ht="28.5" customHeight="1" x14ac:dyDescent="0.25">
      <c r="A13" s="16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ht="28.5" customHeight="1" x14ac:dyDescent="0.25">
      <c r="A14" s="5" t="s">
        <v>40</v>
      </c>
      <c r="B14" s="5" t="s">
        <v>40</v>
      </c>
      <c r="C14" s="5" t="s">
        <v>57</v>
      </c>
      <c r="D14" s="5">
        <v>2</v>
      </c>
      <c r="E14" s="3">
        <v>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ref="R14:R20" si="7">+D14+F14+H14+J14+L14+N14+P14</f>
        <v>2</v>
      </c>
    </row>
    <row r="15" spans="1:18" ht="28.5" customHeight="1" x14ac:dyDescent="0.25">
      <c r="A15" s="5" t="s">
        <v>40</v>
      </c>
      <c r="B15" s="5" t="s">
        <v>40</v>
      </c>
      <c r="C15" s="5" t="s">
        <v>58</v>
      </c>
      <c r="D15" s="5"/>
      <c r="E15" s="5"/>
      <c r="F15" s="5">
        <v>2</v>
      </c>
      <c r="G15" s="3">
        <v>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7"/>
        <v>2</v>
      </c>
    </row>
    <row r="16" spans="1:18" ht="28.5" customHeight="1" x14ac:dyDescent="0.25">
      <c r="A16" s="5" t="s">
        <v>45</v>
      </c>
      <c r="B16" s="5" t="s">
        <v>45</v>
      </c>
      <c r="C16" s="5" t="s">
        <v>59</v>
      </c>
      <c r="D16" s="5"/>
      <c r="E16" s="5"/>
      <c r="F16" s="5"/>
      <c r="G16" s="5"/>
      <c r="H16" s="5">
        <v>2</v>
      </c>
      <c r="I16" s="3">
        <v>2</v>
      </c>
      <c r="J16" s="5"/>
      <c r="K16" s="5"/>
      <c r="L16" s="5"/>
      <c r="M16" s="5"/>
      <c r="N16" s="5"/>
      <c r="O16" s="5"/>
      <c r="P16" s="5"/>
      <c r="Q16" s="5"/>
      <c r="R16" s="5">
        <f t="shared" si="7"/>
        <v>2</v>
      </c>
    </row>
    <row r="17" spans="1:18" ht="28.5" customHeight="1" x14ac:dyDescent="0.25">
      <c r="A17" s="5" t="s">
        <v>47</v>
      </c>
      <c r="B17" s="5" t="s">
        <v>47</v>
      </c>
      <c r="C17" s="5" t="s">
        <v>60</v>
      </c>
      <c r="D17" s="5"/>
      <c r="E17" s="5"/>
      <c r="F17" s="5">
        <v>2</v>
      </c>
      <c r="G17" s="3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7"/>
        <v>2</v>
      </c>
    </row>
    <row r="18" spans="1:18" ht="28.5" customHeight="1" x14ac:dyDescent="0.25">
      <c r="A18" s="9" t="s">
        <v>23</v>
      </c>
      <c r="B18" s="9" t="s">
        <v>23</v>
      </c>
      <c r="C18" s="5" t="s">
        <v>75</v>
      </c>
      <c r="D18" s="5"/>
      <c r="E18" s="5"/>
      <c r="F18" s="5"/>
      <c r="G18" s="3"/>
      <c r="H18" s="5"/>
      <c r="I18" s="5"/>
      <c r="J18" s="5"/>
      <c r="K18" s="5"/>
      <c r="L18" s="5">
        <v>2</v>
      </c>
      <c r="M18" s="29">
        <v>3</v>
      </c>
      <c r="N18" s="5"/>
      <c r="O18" s="5"/>
      <c r="P18" s="5"/>
      <c r="Q18" s="5"/>
      <c r="R18" s="5"/>
    </row>
    <row r="19" spans="1:18" ht="28.5" customHeight="1" x14ac:dyDescent="0.25">
      <c r="A19" s="5" t="s">
        <v>26</v>
      </c>
      <c r="B19" s="5" t="s">
        <v>26</v>
      </c>
      <c r="C19" s="5" t="s">
        <v>61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2</v>
      </c>
      <c r="Q19" s="3" t="s">
        <v>65</v>
      </c>
      <c r="R19" s="5">
        <f t="shared" si="7"/>
        <v>2</v>
      </c>
    </row>
    <row r="20" spans="1:18" ht="28.5" customHeight="1" x14ac:dyDescent="0.25">
      <c r="A20" s="12" t="s">
        <v>15</v>
      </c>
      <c r="B20" s="13"/>
      <c r="C20" s="14"/>
      <c r="D20" s="2">
        <f>SUM(D14:D19)</f>
        <v>2</v>
      </c>
      <c r="E20" s="2"/>
      <c r="F20" s="2">
        <f t="shared" ref="F20" si="8">SUM(F14:F19)</f>
        <v>4</v>
      </c>
      <c r="G20" s="2"/>
      <c r="H20" s="2">
        <f t="shared" ref="H20" si="9">SUM(H14:H19)</f>
        <v>2</v>
      </c>
      <c r="I20" s="2"/>
      <c r="J20" s="2">
        <f t="shared" ref="J20" si="10">SUM(J14:J19)</f>
        <v>0</v>
      </c>
      <c r="K20" s="2"/>
      <c r="L20" s="2">
        <f t="shared" ref="L20" si="11">SUM(L14:L19)</f>
        <v>2</v>
      </c>
      <c r="M20" s="2"/>
      <c r="N20" s="2">
        <f t="shared" ref="N20" si="12">SUM(N14:N19)</f>
        <v>0</v>
      </c>
      <c r="O20" s="2"/>
      <c r="P20" s="2">
        <f t="shared" ref="P20" si="13">SUM(P14:P19)</f>
        <v>2</v>
      </c>
      <c r="Q20" s="2"/>
      <c r="R20" s="5">
        <f t="shared" si="7"/>
        <v>12</v>
      </c>
    </row>
    <row r="21" spans="1:18" ht="28.5" customHeight="1" x14ac:dyDescent="0.25">
      <c r="A21" s="12" t="s">
        <v>16</v>
      </c>
      <c r="B21" s="13"/>
      <c r="C21" s="14"/>
      <c r="D21" s="2">
        <f>+D12+D20</f>
        <v>4</v>
      </c>
      <c r="E21" s="2"/>
      <c r="F21" s="2">
        <f>+F12+F20</f>
        <v>4</v>
      </c>
      <c r="G21" s="2"/>
      <c r="H21" s="2"/>
      <c r="I21" s="2"/>
      <c r="J21" s="2"/>
      <c r="K21" s="2"/>
      <c r="L21" s="2">
        <f>+L12+L20</f>
        <v>6</v>
      </c>
      <c r="M21" s="2"/>
      <c r="N21" s="2">
        <f>+N12+N20</f>
        <v>6</v>
      </c>
      <c r="O21" s="2"/>
      <c r="P21" s="2">
        <f>+P12+P20</f>
        <v>6</v>
      </c>
      <c r="Q21" s="2"/>
      <c r="R21" s="2">
        <f>+R12+R20</f>
        <v>30</v>
      </c>
    </row>
  </sheetData>
  <mergeCells count="23">
    <mergeCell ref="A1:R1"/>
    <mergeCell ref="A2:R2"/>
    <mergeCell ref="A3:R3"/>
    <mergeCell ref="A4:B5"/>
    <mergeCell ref="C4:C5"/>
    <mergeCell ref="D4:E4"/>
    <mergeCell ref="F4:G4"/>
    <mergeCell ref="L4:M4"/>
    <mergeCell ref="N4:O4"/>
    <mergeCell ref="P4:Q4"/>
    <mergeCell ref="J5:K5"/>
    <mergeCell ref="H5:I5"/>
    <mergeCell ref="H4:I4"/>
    <mergeCell ref="J4:K4"/>
    <mergeCell ref="A13:R13"/>
    <mergeCell ref="A20:C20"/>
    <mergeCell ref="A21:C21"/>
    <mergeCell ref="D5:E5"/>
    <mergeCell ref="F5:G5"/>
    <mergeCell ref="L5:M5"/>
    <mergeCell ref="N5:O5"/>
    <mergeCell ref="P5:Q5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2026-09-21T13:58:16Z</dcterms:modified>
</cp:coreProperties>
</file>
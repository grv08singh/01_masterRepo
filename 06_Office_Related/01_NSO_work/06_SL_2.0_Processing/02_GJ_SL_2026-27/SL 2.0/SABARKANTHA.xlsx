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38F0E123-74F8-46EE-8D09-CAACD7CEF4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H19" i="2"/>
  <c r="J19" i="2"/>
  <c r="L19" i="2"/>
  <c r="D19" i="2"/>
  <c r="N18" i="2"/>
  <c r="N17" i="2"/>
  <c r="N16" i="2"/>
  <c r="N12" i="2"/>
  <c r="N11" i="2"/>
  <c r="N10" i="2"/>
  <c r="N9" i="2"/>
  <c r="N8" i="2"/>
  <c r="N7" i="2"/>
  <c r="N18" i="1"/>
  <c r="N19" i="1"/>
  <c r="N20" i="1"/>
  <c r="N21" i="1"/>
  <c r="N22" i="1"/>
  <c r="N23" i="1"/>
  <c r="N24" i="1"/>
  <c r="N25" i="1"/>
  <c r="N17" i="1"/>
  <c r="N14" i="1"/>
  <c r="N8" i="1"/>
  <c r="N9" i="1"/>
  <c r="N10" i="1"/>
  <c r="N11" i="1"/>
  <c r="N12" i="1"/>
  <c r="N13" i="1"/>
  <c r="N7" i="1"/>
  <c r="F26" i="1"/>
  <c r="H26" i="1"/>
  <c r="J26" i="1"/>
  <c r="N26" i="1" s="1"/>
  <c r="L26" i="1"/>
  <c r="D26" i="1"/>
  <c r="N19" i="2" l="1"/>
  <c r="N15" i="1"/>
  <c r="N27" i="1" s="1"/>
  <c r="L15" i="1"/>
  <c r="L27" i="1" s="1"/>
  <c r="J15" i="1"/>
  <c r="J27" i="1" s="1"/>
  <c r="H15" i="1"/>
  <c r="H27" i="1" s="1"/>
  <c r="F15" i="1"/>
  <c r="F27" i="1" s="1"/>
  <c r="D15" i="1"/>
  <c r="D27" i="1" s="1"/>
  <c r="F14" i="2"/>
  <c r="F20" i="2" s="1"/>
  <c r="H14" i="2"/>
  <c r="H20" i="2" s="1"/>
  <c r="J14" i="2"/>
  <c r="J20" i="2" s="1"/>
  <c r="L14" i="2"/>
  <c r="L20" i="2" s="1"/>
  <c r="N14" i="2"/>
  <c r="D14" i="2"/>
  <c r="N5" i="2"/>
  <c r="N5" i="1"/>
  <c r="D20" i="2" l="1"/>
  <c r="N20" i="2"/>
</calcChain>
</file>

<file path=xl/sharedStrings.xml><?xml version="1.0" encoding="utf-8"?>
<sst xmlns="http://schemas.openxmlformats.org/spreadsheetml/2006/main" count="143" uniqueCount="67">
  <si>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</si>
  <si>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</si>
  <si>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</si>
  <si>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</si>
  <si>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</si>
  <si>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Tur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</si>
  <si>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</si>
  <si>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</si>
  <si>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</si>
  <si>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</si>
  <si>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</si>
  <si>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</si>
  <si>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</si>
  <si>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</si>
  <si>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</si>
  <si>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</si>
  <si>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</si>
  <si>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MAIZE</t>
  </si>
  <si>
    <t>GROUNDNUT</t>
  </si>
  <si>
    <t>Idar</t>
  </si>
  <si>
    <t>Hinglaj</t>
  </si>
  <si>
    <t>Lalpur (Davad)</t>
  </si>
  <si>
    <t>Khedbrahma</t>
  </si>
  <si>
    <t>Derol (Va)</t>
  </si>
  <si>
    <t>Poshina</t>
  </si>
  <si>
    <t>Songadh</t>
  </si>
  <si>
    <t>Prantij</t>
  </si>
  <si>
    <t>Moyad</t>
  </si>
  <si>
    <t>Vadrad</t>
  </si>
  <si>
    <t>Vadali</t>
  </si>
  <si>
    <t>Thuravas</t>
  </si>
  <si>
    <t>Vijaynagar</t>
  </si>
  <si>
    <t>Kathvavdi</t>
  </si>
  <si>
    <t>Himatnagar</t>
  </si>
  <si>
    <t>Savgadh (Ct)</t>
  </si>
  <si>
    <t>Gulabpura</t>
  </si>
  <si>
    <t>Laloda (Og)</t>
  </si>
  <si>
    <t>Mudeti</t>
  </si>
  <si>
    <t>Oda</t>
  </si>
  <si>
    <t>Baval Kathiya</t>
  </si>
  <si>
    <t>Dharoi</t>
  </si>
  <si>
    <t>Koland Talav</t>
  </si>
  <si>
    <t>Katwad</t>
  </si>
  <si>
    <t>District: SabarKantha</t>
  </si>
  <si>
    <t>Kanknol</t>
  </si>
  <si>
    <t>Raipur</t>
  </si>
  <si>
    <t>Pipodara Dodivada</t>
  </si>
  <si>
    <t>Baini Muvadi</t>
  </si>
  <si>
    <t>Talod</t>
  </si>
  <si>
    <t>Javanpur</t>
  </si>
  <si>
    <t>Kelava</t>
  </si>
  <si>
    <t>Finchod</t>
  </si>
  <si>
    <t>Panol</t>
  </si>
  <si>
    <t>Kanjeli</t>
  </si>
  <si>
    <t>1A</t>
  </si>
  <si>
    <t>5A</t>
  </si>
  <si>
    <t>2B</t>
  </si>
  <si>
    <t>3B</t>
  </si>
  <si>
    <t>4B</t>
  </si>
  <si>
    <t>Berna</t>
  </si>
  <si>
    <t>Rupal</t>
  </si>
  <si>
    <t>Matoda</t>
  </si>
  <si>
    <t>Atarsumba</t>
  </si>
  <si>
    <t>Chitroda</t>
  </si>
  <si>
    <t>Jadar</t>
  </si>
  <si>
    <t>Fatepur</t>
  </si>
  <si>
    <t>Cotton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</si>
</sst>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1" xfId="0" applyFill="1" applyBorder="1"/>
    <xf numFmtId="0" fontId="0" fillId="4" borderId="11" xfId="0" applyFill="1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2" xfId="1" applyFont="1" applyBorder="1"/>
  </cellXfs>
  <cellStyles count="2">
    <cellStyle name="Normal" xfId="0" builtinId="0"/>
    <cellStyle name="Normal 2" xfId="1" xr:uid="{4485BD46-606C-4319-ABED-9EA263E711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workbookViewId="0">
      <selection activeCell="A22" sqref="A22:B25"/>
    </sheetView>
  </sheetViews>
  <sheetFormatPr defaultRowHeight="15" x14ac:dyDescent="0.25"/>
  <cols>
    <col min="1" max="2" width="12.28515625" bestFit="1" customWidth="1"/>
    <col min="3" max="3" width="13.85546875" bestFit="1" customWidth="1"/>
  </cols>
  <sheetData>
    <row r="1" spans="1:14" ht="28.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8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8.5" customHeight="1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28.5" customHeight="1" x14ac:dyDescent="0.25">
      <c r="A4" s="15" t="s">
        <v>43</v>
      </c>
      <c r="B4" s="16"/>
      <c r="C4" s="19" t="s">
        <v>16</v>
      </c>
      <c r="D4" s="21">
        <v>6</v>
      </c>
      <c r="E4" s="21"/>
      <c r="F4" s="21">
        <v>12</v>
      </c>
      <c r="G4" s="21"/>
      <c r="H4" s="21">
        <v>10</v>
      </c>
      <c r="I4" s="21"/>
      <c r="J4" s="21">
        <v>6</v>
      </c>
      <c r="K4" s="21"/>
      <c r="L4" s="21">
        <v>10</v>
      </c>
      <c r="M4" s="21"/>
      <c r="N4" s="1" t="s">
        <v>3</v>
      </c>
    </row>
    <row r="5" spans="1:14" ht="28.5" customHeight="1" x14ac:dyDescent="0.25">
      <c r="A5" s="17"/>
      <c r="B5" s="18"/>
      <c r="C5" s="20"/>
      <c r="D5" s="25" t="s">
        <v>17</v>
      </c>
      <c r="E5" s="25"/>
      <c r="F5" s="25" t="s">
        <v>18</v>
      </c>
      <c r="G5" s="25"/>
      <c r="H5" s="26" t="s">
        <v>4</v>
      </c>
      <c r="I5" s="27"/>
      <c r="J5" s="26" t="s">
        <v>5</v>
      </c>
      <c r="K5" s="27"/>
      <c r="L5" s="26" t="s">
        <v>66</v>
      </c>
      <c r="M5" s="27"/>
      <c r="N5" s="1">
        <f>D4+F4+H4+J4+L4</f>
        <v>44</v>
      </c>
    </row>
    <row r="6" spans="1:14" ht="28.5" customHeight="1" x14ac:dyDescent="0.25">
      <c r="A6" s="1" t="s">
        <v>6</v>
      </c>
      <c r="B6" s="1" t="s">
        <v>7</v>
      </c>
      <c r="C6" s="1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2" t="s">
        <v>9</v>
      </c>
      <c r="M6" s="2" t="s">
        <v>10</v>
      </c>
      <c r="N6" s="3"/>
    </row>
    <row r="7" spans="1:14" ht="28.5" customHeight="1" x14ac:dyDescent="0.25">
      <c r="A7" s="3" t="s">
        <v>19</v>
      </c>
      <c r="B7" s="11" t="s">
        <v>63</v>
      </c>
      <c r="C7" s="3" t="s">
        <v>20</v>
      </c>
      <c r="D7" s="3"/>
      <c r="E7" s="3"/>
      <c r="F7" s="3"/>
      <c r="G7" s="3"/>
      <c r="H7" s="3">
        <v>2</v>
      </c>
      <c r="I7" s="1">
        <v>1</v>
      </c>
      <c r="J7" s="3"/>
      <c r="K7" s="3"/>
      <c r="L7" s="3">
        <v>2</v>
      </c>
      <c r="M7" s="1" t="s">
        <v>54</v>
      </c>
      <c r="N7" s="3">
        <f>+D7+F7+H7+J7+L7</f>
        <v>4</v>
      </c>
    </row>
    <row r="8" spans="1:14" ht="28.5" customHeight="1" x14ac:dyDescent="0.25">
      <c r="A8" s="3" t="s">
        <v>19</v>
      </c>
      <c r="B8" s="10" t="s">
        <v>64</v>
      </c>
      <c r="C8" s="3" t="s">
        <v>21</v>
      </c>
      <c r="D8" s="3"/>
      <c r="E8" s="3"/>
      <c r="F8" s="3"/>
      <c r="G8" s="3"/>
      <c r="H8" s="3"/>
      <c r="I8" s="1"/>
      <c r="J8" s="3">
        <v>2</v>
      </c>
      <c r="K8" s="6">
        <v>1</v>
      </c>
      <c r="L8" s="3"/>
      <c r="M8" s="1"/>
      <c r="N8" s="3">
        <f t="shared" ref="N8:N14" si="0">+D8+F8+H8+J8+L8</f>
        <v>2</v>
      </c>
    </row>
    <row r="9" spans="1:14" ht="28.5" customHeight="1" x14ac:dyDescent="0.25">
      <c r="A9" s="3" t="s">
        <v>22</v>
      </c>
      <c r="B9" s="3" t="s">
        <v>22</v>
      </c>
      <c r="C9" s="7" t="s">
        <v>23</v>
      </c>
      <c r="D9" s="3"/>
      <c r="E9" s="3"/>
      <c r="F9" s="3">
        <v>2</v>
      </c>
      <c r="G9" s="6">
        <v>1</v>
      </c>
      <c r="H9" s="3">
        <v>2</v>
      </c>
      <c r="I9" s="1">
        <v>2</v>
      </c>
      <c r="J9" s="3"/>
      <c r="K9" s="3"/>
      <c r="L9" s="3">
        <v>2</v>
      </c>
      <c r="M9" s="1" t="s">
        <v>56</v>
      </c>
      <c r="N9" s="3">
        <f t="shared" si="0"/>
        <v>6</v>
      </c>
    </row>
    <row r="10" spans="1:14" ht="28.5" customHeight="1" x14ac:dyDescent="0.25">
      <c r="A10" s="3" t="s">
        <v>24</v>
      </c>
      <c r="B10" s="3" t="s">
        <v>24</v>
      </c>
      <c r="C10" s="3" t="s">
        <v>25</v>
      </c>
      <c r="D10" s="3">
        <v>2</v>
      </c>
      <c r="E10" s="6">
        <v>1</v>
      </c>
      <c r="F10" s="3"/>
      <c r="G10" s="6"/>
      <c r="H10" s="3"/>
      <c r="I10" s="1"/>
      <c r="J10" s="3"/>
      <c r="K10" s="3"/>
      <c r="L10" s="3"/>
      <c r="M10" s="1"/>
      <c r="N10" s="3">
        <f t="shared" si="0"/>
        <v>2</v>
      </c>
    </row>
    <row r="11" spans="1:14" ht="28.5" customHeight="1" x14ac:dyDescent="0.25">
      <c r="A11" s="3" t="s">
        <v>26</v>
      </c>
      <c r="B11" s="10" t="s">
        <v>65</v>
      </c>
      <c r="C11" s="3" t="s">
        <v>27</v>
      </c>
      <c r="D11" s="3"/>
      <c r="E11" s="3"/>
      <c r="F11" s="3">
        <v>2</v>
      </c>
      <c r="G11" s="6">
        <v>2</v>
      </c>
      <c r="H11" s="3"/>
      <c r="I11" s="1"/>
      <c r="J11" s="3"/>
      <c r="K11" s="3"/>
      <c r="L11" s="3"/>
      <c r="M11" s="1"/>
      <c r="N11" s="3">
        <f t="shared" si="0"/>
        <v>2</v>
      </c>
    </row>
    <row r="12" spans="1:14" ht="28.5" customHeight="1" x14ac:dyDescent="0.25">
      <c r="A12" s="3" t="s">
        <v>26</v>
      </c>
      <c r="B12" s="3" t="s">
        <v>26</v>
      </c>
      <c r="C12" s="3" t="s">
        <v>28</v>
      </c>
      <c r="D12" s="3"/>
      <c r="E12" s="3"/>
      <c r="F12" s="3"/>
      <c r="G12" s="6"/>
      <c r="H12" s="3">
        <v>2</v>
      </c>
      <c r="I12" s="1">
        <v>3</v>
      </c>
      <c r="J12" s="3"/>
      <c r="K12" s="3"/>
      <c r="L12" s="3">
        <v>2</v>
      </c>
      <c r="M12" s="1" t="s">
        <v>57</v>
      </c>
      <c r="N12" s="3">
        <f t="shared" si="0"/>
        <v>4</v>
      </c>
    </row>
    <row r="13" spans="1:14" ht="28.5" customHeight="1" x14ac:dyDescent="0.25">
      <c r="A13" s="3" t="s">
        <v>29</v>
      </c>
      <c r="B13" s="3" t="s">
        <v>29</v>
      </c>
      <c r="C13" s="3" t="s">
        <v>30</v>
      </c>
      <c r="D13" s="3"/>
      <c r="E13" s="3"/>
      <c r="F13" s="3">
        <v>2</v>
      </c>
      <c r="G13" s="6">
        <v>3</v>
      </c>
      <c r="H13" s="3"/>
      <c r="I13" s="3"/>
      <c r="J13" s="3"/>
      <c r="K13" s="3"/>
      <c r="L13" s="3">
        <v>2</v>
      </c>
      <c r="M13" s="1" t="s">
        <v>58</v>
      </c>
      <c r="N13" s="3">
        <f t="shared" si="0"/>
        <v>4</v>
      </c>
    </row>
    <row r="14" spans="1:14" ht="28.5" customHeight="1" x14ac:dyDescent="0.25">
      <c r="A14" s="3" t="s">
        <v>31</v>
      </c>
      <c r="B14" s="11" t="s">
        <v>62</v>
      </c>
      <c r="C14" s="3" t="s">
        <v>32</v>
      </c>
      <c r="D14" s="3"/>
      <c r="E14" s="3"/>
      <c r="F14" s="3"/>
      <c r="G14" s="3"/>
      <c r="H14" s="3"/>
      <c r="I14" s="3"/>
      <c r="J14" s="3"/>
      <c r="K14" s="3"/>
      <c r="L14" s="3">
        <v>2</v>
      </c>
      <c r="M14" s="1" t="s">
        <v>55</v>
      </c>
      <c r="N14" s="3">
        <f t="shared" si="0"/>
        <v>2</v>
      </c>
    </row>
    <row r="15" spans="1:14" ht="28.5" customHeight="1" x14ac:dyDescent="0.25">
      <c r="A15" s="21" t="s">
        <v>11</v>
      </c>
      <c r="B15" s="21"/>
      <c r="C15" s="21"/>
      <c r="D15" s="4">
        <f>SUM(D7:D14)</f>
        <v>2</v>
      </c>
      <c r="E15" s="4"/>
      <c r="F15" s="4">
        <f>SUM(F7:F14)</f>
        <v>6</v>
      </c>
      <c r="G15" s="4"/>
      <c r="H15" s="4">
        <f>SUM(H7:H14)</f>
        <v>6</v>
      </c>
      <c r="I15" s="4"/>
      <c r="J15" s="4">
        <f>SUM(J7:J14)</f>
        <v>2</v>
      </c>
      <c r="K15" s="4"/>
      <c r="L15" s="4">
        <f>SUM(L7:L14)</f>
        <v>10</v>
      </c>
      <c r="M15" s="4"/>
      <c r="N15" s="4">
        <f>SUM(N7:N14)</f>
        <v>26</v>
      </c>
    </row>
    <row r="16" spans="1:14" ht="28.5" customHeight="1" x14ac:dyDescent="0.25">
      <c r="A16" s="14" t="s">
        <v>12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28.5" customHeight="1" x14ac:dyDescent="0.25">
      <c r="A17" s="3" t="s">
        <v>33</v>
      </c>
      <c r="B17" s="3" t="s">
        <v>33</v>
      </c>
      <c r="C17" s="3" t="s">
        <v>34</v>
      </c>
      <c r="D17" s="3"/>
      <c r="E17" s="3"/>
      <c r="F17" s="3">
        <v>2</v>
      </c>
      <c r="G17" s="1">
        <v>4</v>
      </c>
      <c r="H17" s="3"/>
      <c r="I17" s="3"/>
      <c r="J17" s="3"/>
      <c r="K17" s="3"/>
      <c r="L17" s="3"/>
      <c r="M17" s="3"/>
      <c r="N17" s="3">
        <f t="shared" ref="N17:N26" si="1">+D17+F17+H17+J17+L17</f>
        <v>2</v>
      </c>
    </row>
    <row r="18" spans="1:14" ht="28.5" customHeight="1" x14ac:dyDescent="0.25">
      <c r="A18" s="3" t="s">
        <v>19</v>
      </c>
      <c r="B18" s="3" t="s">
        <v>19</v>
      </c>
      <c r="C18" s="3" t="s">
        <v>35</v>
      </c>
      <c r="D18" s="3"/>
      <c r="E18" s="3"/>
      <c r="F18" s="3"/>
      <c r="G18" s="3"/>
      <c r="H18" s="3"/>
      <c r="I18" s="3"/>
      <c r="J18" s="3">
        <v>2</v>
      </c>
      <c r="K18" s="1">
        <v>2</v>
      </c>
      <c r="L18" s="3"/>
      <c r="M18" s="3"/>
      <c r="N18" s="3">
        <f t="shared" si="1"/>
        <v>2</v>
      </c>
    </row>
    <row r="19" spans="1:14" ht="28.5" customHeight="1" x14ac:dyDescent="0.25">
      <c r="A19" s="3" t="s">
        <v>19</v>
      </c>
      <c r="B19" s="3" t="s">
        <v>19</v>
      </c>
      <c r="C19" s="3" t="s">
        <v>36</v>
      </c>
      <c r="D19" s="3"/>
      <c r="E19" s="3"/>
      <c r="F19" s="3"/>
      <c r="G19" s="3"/>
      <c r="H19" s="3">
        <v>2</v>
      </c>
      <c r="I19" s="1">
        <v>4</v>
      </c>
      <c r="J19" s="3"/>
      <c r="K19" s="3"/>
      <c r="L19" s="3"/>
      <c r="M19" s="3"/>
      <c r="N19" s="3">
        <f t="shared" si="1"/>
        <v>2</v>
      </c>
    </row>
    <row r="20" spans="1:14" ht="28.5" customHeight="1" x14ac:dyDescent="0.25">
      <c r="A20" s="3" t="s">
        <v>19</v>
      </c>
      <c r="B20" s="3" t="s">
        <v>19</v>
      </c>
      <c r="C20" s="3" t="s">
        <v>37</v>
      </c>
      <c r="D20" s="3"/>
      <c r="E20" s="3"/>
      <c r="F20" s="3">
        <v>2</v>
      </c>
      <c r="G20" s="1">
        <v>5</v>
      </c>
      <c r="H20" s="3"/>
      <c r="I20" s="3"/>
      <c r="J20" s="3"/>
      <c r="K20" s="3"/>
      <c r="L20" s="3"/>
      <c r="M20" s="3"/>
      <c r="N20" s="3">
        <f t="shared" si="1"/>
        <v>2</v>
      </c>
    </row>
    <row r="21" spans="1:14" ht="28.5" customHeight="1" x14ac:dyDescent="0.25">
      <c r="A21" s="3" t="s">
        <v>19</v>
      </c>
      <c r="B21" s="3" t="s">
        <v>19</v>
      </c>
      <c r="C21" s="3" t="s">
        <v>38</v>
      </c>
      <c r="D21" s="3"/>
      <c r="E21" s="3"/>
      <c r="F21" s="3"/>
      <c r="G21" s="3"/>
      <c r="H21" s="3"/>
      <c r="I21" s="3"/>
      <c r="J21" s="3">
        <v>2</v>
      </c>
      <c r="K21" s="1">
        <v>3</v>
      </c>
      <c r="L21" s="3"/>
      <c r="M21" s="3"/>
      <c r="N21" s="3">
        <f t="shared" si="1"/>
        <v>2</v>
      </c>
    </row>
    <row r="22" spans="1:14" ht="28.5" customHeight="1" x14ac:dyDescent="0.25">
      <c r="A22" s="3" t="s">
        <v>22</v>
      </c>
      <c r="B22" s="3" t="s">
        <v>22</v>
      </c>
      <c r="C22" s="3" t="s">
        <v>39</v>
      </c>
      <c r="D22" s="3"/>
      <c r="E22" s="3"/>
      <c r="F22" s="3">
        <v>2</v>
      </c>
      <c r="G22" s="1">
        <v>6</v>
      </c>
      <c r="H22" s="3"/>
      <c r="I22" s="3"/>
      <c r="J22" s="3"/>
      <c r="K22" s="3"/>
      <c r="L22" s="3"/>
      <c r="M22" s="3"/>
      <c r="N22" s="3">
        <f t="shared" si="1"/>
        <v>2</v>
      </c>
    </row>
    <row r="23" spans="1:14" ht="28.5" customHeight="1" x14ac:dyDescent="0.25">
      <c r="A23" s="3" t="s">
        <v>22</v>
      </c>
      <c r="B23" s="3" t="s">
        <v>22</v>
      </c>
      <c r="C23" s="3" t="s">
        <v>40</v>
      </c>
      <c r="D23" s="3">
        <v>2</v>
      </c>
      <c r="E23" s="1">
        <v>3</v>
      </c>
      <c r="F23" s="3"/>
      <c r="G23" s="3"/>
      <c r="H23" s="3"/>
      <c r="I23" s="3"/>
      <c r="J23" s="3"/>
      <c r="K23" s="3"/>
      <c r="L23" s="3"/>
      <c r="M23" s="3"/>
      <c r="N23" s="3">
        <f t="shared" si="1"/>
        <v>2</v>
      </c>
    </row>
    <row r="24" spans="1:14" ht="28.5" customHeight="1" x14ac:dyDescent="0.25">
      <c r="A24" s="3" t="s">
        <v>24</v>
      </c>
      <c r="B24" s="3" t="s">
        <v>24</v>
      </c>
      <c r="C24" s="3" t="s">
        <v>41</v>
      </c>
      <c r="D24" s="3">
        <v>2</v>
      </c>
      <c r="E24" s="1">
        <v>2</v>
      </c>
      <c r="F24" s="3"/>
      <c r="G24" s="3"/>
      <c r="H24" s="3"/>
      <c r="I24" s="3"/>
      <c r="J24" s="3"/>
      <c r="K24" s="3"/>
      <c r="L24" s="3"/>
      <c r="M24" s="3"/>
      <c r="N24" s="3">
        <f t="shared" si="1"/>
        <v>2</v>
      </c>
    </row>
    <row r="25" spans="1:14" ht="28.5" customHeight="1" x14ac:dyDescent="0.25">
      <c r="A25" s="3" t="s">
        <v>26</v>
      </c>
      <c r="B25" s="3" t="s">
        <v>26</v>
      </c>
      <c r="C25" s="3" t="s">
        <v>42</v>
      </c>
      <c r="D25" s="3"/>
      <c r="E25" s="3"/>
      <c r="F25" s="3"/>
      <c r="G25" s="3"/>
      <c r="H25" s="3">
        <v>2</v>
      </c>
      <c r="I25" s="1">
        <v>5</v>
      </c>
      <c r="J25" s="3"/>
      <c r="K25" s="3"/>
      <c r="L25" s="3"/>
      <c r="M25" s="3"/>
      <c r="N25" s="3">
        <f t="shared" si="1"/>
        <v>2</v>
      </c>
    </row>
    <row r="26" spans="1:14" ht="28.5" customHeight="1" x14ac:dyDescent="0.25">
      <c r="A26" s="22" t="s">
        <v>13</v>
      </c>
      <c r="B26" s="23"/>
      <c r="C26" s="24"/>
      <c r="D26" s="4">
        <f>SUM(D17:D25)</f>
        <v>4</v>
      </c>
      <c r="E26" s="4"/>
      <c r="F26" s="4">
        <f t="shared" ref="F26" si="2">SUM(F17:F25)</f>
        <v>6</v>
      </c>
      <c r="G26" s="4"/>
      <c r="H26" s="4">
        <f t="shared" ref="H26" si="3">SUM(H17:H25)</f>
        <v>4</v>
      </c>
      <c r="I26" s="4"/>
      <c r="J26" s="4">
        <f t="shared" ref="J26" si="4">SUM(J17:J25)</f>
        <v>4</v>
      </c>
      <c r="K26" s="4"/>
      <c r="L26" s="4">
        <f t="shared" ref="L26" si="5">SUM(L17:L25)</f>
        <v>0</v>
      </c>
      <c r="M26" s="4"/>
      <c r="N26" s="3">
        <f t="shared" si="1"/>
        <v>18</v>
      </c>
    </row>
    <row r="27" spans="1:14" ht="28.5" customHeight="1" x14ac:dyDescent="0.25">
      <c r="A27" s="22" t="s">
        <v>14</v>
      </c>
      <c r="B27" s="23"/>
      <c r="C27" s="24"/>
      <c r="D27" s="4">
        <f>+D15+D26</f>
        <v>6</v>
      </c>
      <c r="E27" s="4"/>
      <c r="F27" s="4">
        <f t="shared" ref="F27" si="6">+F15+F26</f>
        <v>12</v>
      </c>
      <c r="G27" s="4"/>
      <c r="H27" s="4">
        <f t="shared" ref="H27" si="7">+H15+H26</f>
        <v>10</v>
      </c>
      <c r="I27" s="4"/>
      <c r="J27" s="4">
        <f t="shared" ref="J27" si="8">+J15+J26</f>
        <v>6</v>
      </c>
      <c r="K27" s="4"/>
      <c r="L27" s="4">
        <f t="shared" ref="L27" si="9">+L15+L26</f>
        <v>10</v>
      </c>
      <c r="M27" s="4"/>
      <c r="N27" s="4">
        <f t="shared" ref="N27" si="10">+N15+N26</f>
        <v>44</v>
      </c>
    </row>
  </sheetData>
  <mergeCells count="19">
    <mergeCell ref="A27:C27"/>
    <mergeCell ref="A15:C15"/>
    <mergeCell ref="A16:N16"/>
    <mergeCell ref="D5:E5"/>
    <mergeCell ref="F5:G5"/>
    <mergeCell ref="H5:I5"/>
    <mergeCell ref="J5:K5"/>
    <mergeCell ref="L5:M5"/>
    <mergeCell ref="A26:C26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topLeftCell="A2" workbookViewId="0">
      <selection activeCell="M10" sqref="M10"/>
    </sheetView>
  </sheetViews>
  <sheetFormatPr defaultRowHeight="15" x14ac:dyDescent="0.25"/>
  <sheetData>
    <row r="1" spans="1:14" ht="28.5" customHeight="1" x14ac:dyDescent="0.25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8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8.5" customHeight="1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28.5" customHeight="1" x14ac:dyDescent="0.25">
      <c r="A4" s="15" t="s">
        <v>43</v>
      </c>
      <c r="B4" s="16"/>
      <c r="C4" s="19" t="s">
        <v>16</v>
      </c>
      <c r="D4" s="21">
        <v>4</v>
      </c>
      <c r="E4" s="21"/>
      <c r="F4" s="21">
        <v>6</v>
      </c>
      <c r="G4" s="21"/>
      <c r="H4" s="21">
        <v>6</v>
      </c>
      <c r="I4" s="21"/>
      <c r="J4" s="21">
        <v>4</v>
      </c>
      <c r="K4" s="21"/>
      <c r="L4" s="21">
        <v>8</v>
      </c>
      <c r="M4" s="21"/>
      <c r="N4" s="1" t="s">
        <v>3</v>
      </c>
    </row>
    <row r="5" spans="1:14" ht="28.5" customHeight="1" x14ac:dyDescent="0.25">
      <c r="A5" s="17"/>
      <c r="B5" s="18"/>
      <c r="C5" s="20"/>
      <c r="D5" s="25" t="s">
        <v>17</v>
      </c>
      <c r="E5" s="25"/>
      <c r="F5" s="25" t="s">
        <v>18</v>
      </c>
      <c r="G5" s="25"/>
      <c r="H5" s="26" t="s">
        <v>4</v>
      </c>
      <c r="I5" s="27"/>
      <c r="J5" s="26" t="s">
        <v>5</v>
      </c>
      <c r="K5" s="27"/>
      <c r="L5" s="26" t="s">
        <v>66</v>
      </c>
      <c r="M5" s="27"/>
      <c r="N5" s="1">
        <f>D4+F4+H4+J4+L4</f>
        <v>28</v>
      </c>
    </row>
    <row r="6" spans="1:14" ht="28.5" customHeight="1" x14ac:dyDescent="0.25">
      <c r="A6" s="1" t="s">
        <v>6</v>
      </c>
      <c r="B6" s="1" t="s">
        <v>7</v>
      </c>
      <c r="C6" s="1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2" t="s">
        <v>9</v>
      </c>
      <c r="M6" s="2" t="s">
        <v>10</v>
      </c>
      <c r="N6" s="3"/>
    </row>
    <row r="7" spans="1:14" ht="28.5" customHeight="1" x14ac:dyDescent="0.25">
      <c r="A7" s="8" t="s">
        <v>33</v>
      </c>
      <c r="B7" s="10" t="s">
        <v>59</v>
      </c>
      <c r="C7" s="8" t="s">
        <v>44</v>
      </c>
      <c r="D7" s="9"/>
      <c r="E7" s="9"/>
      <c r="F7" s="9"/>
      <c r="G7" s="9"/>
      <c r="H7" s="9">
        <v>2</v>
      </c>
      <c r="I7" s="5">
        <v>1</v>
      </c>
      <c r="J7" s="9"/>
      <c r="K7" s="9"/>
      <c r="L7" s="9">
        <v>2</v>
      </c>
      <c r="M7" s="5" t="s">
        <v>56</v>
      </c>
      <c r="N7" s="3">
        <f t="shared" ref="N7:N12" si="0">+D7+F7+H7+J7+L7</f>
        <v>4</v>
      </c>
    </row>
    <row r="8" spans="1:14" ht="28.5" customHeight="1" x14ac:dyDescent="0.25">
      <c r="A8" s="8" t="s">
        <v>33</v>
      </c>
      <c r="B8" s="11" t="s">
        <v>60</v>
      </c>
      <c r="C8" s="8" t="s">
        <v>45</v>
      </c>
      <c r="D8" s="9"/>
      <c r="E8" s="9"/>
      <c r="F8" s="9">
        <v>2</v>
      </c>
      <c r="G8" s="5">
        <v>1</v>
      </c>
      <c r="H8" s="9"/>
      <c r="I8" s="5"/>
      <c r="J8" s="9"/>
      <c r="K8" s="9"/>
      <c r="L8" s="9"/>
      <c r="M8" s="5"/>
      <c r="N8" s="3">
        <f t="shared" si="0"/>
        <v>2</v>
      </c>
    </row>
    <row r="9" spans="1:14" ht="28.5" customHeight="1" x14ac:dyDescent="0.25">
      <c r="A9" s="8" t="s">
        <v>22</v>
      </c>
      <c r="B9" s="11" t="s">
        <v>61</v>
      </c>
      <c r="C9" s="8" t="s">
        <v>46</v>
      </c>
      <c r="D9" s="9">
        <v>2</v>
      </c>
      <c r="E9" s="4">
        <v>1</v>
      </c>
      <c r="F9" s="9"/>
      <c r="G9" s="5"/>
      <c r="H9" s="9"/>
      <c r="I9" s="5"/>
      <c r="J9" s="9"/>
      <c r="K9" s="9"/>
      <c r="L9" s="9">
        <v>2</v>
      </c>
      <c r="M9" s="5" t="s">
        <v>57</v>
      </c>
      <c r="N9" s="3">
        <f t="shared" si="0"/>
        <v>4</v>
      </c>
    </row>
    <row r="10" spans="1:14" ht="28.5" customHeight="1" x14ac:dyDescent="0.25">
      <c r="A10" s="8" t="s">
        <v>26</v>
      </c>
      <c r="B10" s="12" t="s">
        <v>26</v>
      </c>
      <c r="C10" s="8" t="s">
        <v>47</v>
      </c>
      <c r="D10" s="9"/>
      <c r="E10" s="9"/>
      <c r="F10" s="9">
        <v>2</v>
      </c>
      <c r="G10" s="5">
        <v>2</v>
      </c>
      <c r="H10" s="9">
        <v>2</v>
      </c>
      <c r="I10" s="5">
        <v>2</v>
      </c>
      <c r="J10" s="9"/>
      <c r="K10" s="9"/>
      <c r="L10" s="9">
        <v>2</v>
      </c>
      <c r="M10" s="5" t="s">
        <v>54</v>
      </c>
      <c r="N10" s="3">
        <f t="shared" si="0"/>
        <v>6</v>
      </c>
    </row>
    <row r="11" spans="1:14" ht="28.5" customHeight="1" x14ac:dyDescent="0.25">
      <c r="A11" s="8" t="s">
        <v>48</v>
      </c>
      <c r="B11" s="12" t="s">
        <v>48</v>
      </c>
      <c r="C11" s="8" t="s">
        <v>49</v>
      </c>
      <c r="D11" s="9"/>
      <c r="E11" s="9"/>
      <c r="F11" s="9">
        <v>2</v>
      </c>
      <c r="G11" s="5">
        <v>3</v>
      </c>
      <c r="H11" s="9"/>
      <c r="I11" s="9"/>
      <c r="J11" s="9"/>
      <c r="K11" s="9"/>
      <c r="L11" s="9"/>
      <c r="M11" s="5"/>
      <c r="N11" s="3">
        <f t="shared" si="0"/>
        <v>2</v>
      </c>
    </row>
    <row r="12" spans="1:14" ht="28.5" customHeight="1" x14ac:dyDescent="0.25">
      <c r="A12" s="8" t="s">
        <v>31</v>
      </c>
      <c r="B12" s="11" t="s">
        <v>62</v>
      </c>
      <c r="C12" s="8" t="s">
        <v>50</v>
      </c>
      <c r="D12" s="9">
        <v>2</v>
      </c>
      <c r="E12" s="4">
        <v>2</v>
      </c>
      <c r="F12" s="9"/>
      <c r="G12" s="9"/>
      <c r="H12" s="9"/>
      <c r="I12" s="9"/>
      <c r="J12" s="9"/>
      <c r="K12" s="9"/>
      <c r="L12" s="9">
        <v>2</v>
      </c>
      <c r="M12" s="5" t="s">
        <v>58</v>
      </c>
      <c r="N12" s="3">
        <f t="shared" si="0"/>
        <v>4</v>
      </c>
    </row>
    <row r="13" spans="1:14" ht="28.5" customHeight="1" x14ac:dyDescent="0.25">
      <c r="A13" s="1"/>
      <c r="B13" s="1"/>
      <c r="C13" s="1"/>
      <c r="D13" s="3"/>
      <c r="E13" s="1"/>
      <c r="F13" s="3"/>
      <c r="G13" s="1"/>
      <c r="H13" s="3"/>
      <c r="I13" s="3"/>
      <c r="J13" s="3"/>
      <c r="K13" s="3"/>
      <c r="L13" s="3"/>
      <c r="M13" s="3"/>
      <c r="N13" s="3"/>
    </row>
    <row r="14" spans="1:14" ht="28.5" customHeight="1" x14ac:dyDescent="0.25">
      <c r="A14" s="21" t="s">
        <v>11</v>
      </c>
      <c r="B14" s="21"/>
      <c r="C14" s="21"/>
      <c r="D14" s="4">
        <f>SUM(D7:D13)</f>
        <v>4</v>
      </c>
      <c r="E14" s="4"/>
      <c r="F14" s="4">
        <f>SUM(F7:F13)</f>
        <v>6</v>
      </c>
      <c r="G14" s="4"/>
      <c r="H14" s="4">
        <f>SUM(H7:H13)</f>
        <v>4</v>
      </c>
      <c r="I14" s="4"/>
      <c r="J14" s="4">
        <f>SUM(J7:J13)</f>
        <v>0</v>
      </c>
      <c r="K14" s="4"/>
      <c r="L14" s="4">
        <f>SUM(L7:L13)</f>
        <v>8</v>
      </c>
      <c r="M14" s="4"/>
      <c r="N14" s="4">
        <f>SUM(N7:N13)</f>
        <v>22</v>
      </c>
    </row>
    <row r="15" spans="1:14" ht="28.5" customHeight="1" x14ac:dyDescent="0.25">
      <c r="A15" s="14" t="s">
        <v>12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28.5" customHeight="1" x14ac:dyDescent="0.25">
      <c r="A16" s="3" t="s">
        <v>19</v>
      </c>
      <c r="B16" s="28" t="s">
        <v>64</v>
      </c>
      <c r="C16" s="3" t="s">
        <v>51</v>
      </c>
      <c r="D16" s="3"/>
      <c r="E16" s="3"/>
      <c r="F16" s="3"/>
      <c r="G16" s="3"/>
      <c r="H16" s="3"/>
      <c r="I16" s="3"/>
      <c r="J16" s="3">
        <v>2</v>
      </c>
      <c r="K16" s="1">
        <v>1</v>
      </c>
      <c r="L16" s="3"/>
      <c r="M16" s="3"/>
      <c r="N16" s="3">
        <f t="shared" ref="N16:N18" si="1">+D16+F16+H16+J16+L16</f>
        <v>2</v>
      </c>
    </row>
    <row r="17" spans="1:14" ht="28.5" customHeight="1" x14ac:dyDescent="0.25">
      <c r="A17" s="3" t="s">
        <v>19</v>
      </c>
      <c r="B17" s="28" t="s">
        <v>19</v>
      </c>
      <c r="C17" s="3" t="s">
        <v>52</v>
      </c>
      <c r="D17" s="3"/>
      <c r="E17" s="3"/>
      <c r="F17" s="3"/>
      <c r="G17" s="3"/>
      <c r="H17" s="3"/>
      <c r="I17" s="3"/>
      <c r="J17" s="3">
        <v>2</v>
      </c>
      <c r="K17" s="1">
        <v>2</v>
      </c>
      <c r="L17" s="3"/>
      <c r="M17" s="3"/>
      <c r="N17" s="3">
        <f t="shared" si="1"/>
        <v>2</v>
      </c>
    </row>
    <row r="18" spans="1:14" ht="28.5" customHeight="1" x14ac:dyDescent="0.25">
      <c r="A18" s="3" t="s">
        <v>29</v>
      </c>
      <c r="B18" s="3" t="s">
        <v>29</v>
      </c>
      <c r="C18" s="3" t="s">
        <v>53</v>
      </c>
      <c r="D18" s="3"/>
      <c r="E18" s="3"/>
      <c r="F18" s="3"/>
      <c r="G18" s="3"/>
      <c r="H18" s="3"/>
      <c r="I18" s="1">
        <v>3</v>
      </c>
      <c r="J18" s="3"/>
      <c r="K18" s="3"/>
      <c r="L18" s="3">
        <v>2</v>
      </c>
      <c r="M18" s="3"/>
      <c r="N18" s="3">
        <f t="shared" si="1"/>
        <v>2</v>
      </c>
    </row>
    <row r="19" spans="1:14" ht="28.5" customHeight="1" x14ac:dyDescent="0.25">
      <c r="A19" s="22" t="s">
        <v>13</v>
      </c>
      <c r="B19" s="23"/>
      <c r="C19" s="24"/>
      <c r="D19" s="4">
        <f>SUM(D16:D18)</f>
        <v>0</v>
      </c>
      <c r="E19" s="4"/>
      <c r="F19" s="4">
        <f t="shared" ref="F19" si="2">SUM(F16:F18)</f>
        <v>0</v>
      </c>
      <c r="G19" s="4"/>
      <c r="H19" s="4">
        <f t="shared" ref="H19" si="3">SUM(H16:H18)</f>
        <v>0</v>
      </c>
      <c r="I19" s="4"/>
      <c r="J19" s="4">
        <f t="shared" ref="J19" si="4">SUM(J16:J18)</f>
        <v>4</v>
      </c>
      <c r="K19" s="4"/>
      <c r="L19" s="4">
        <f t="shared" ref="L19" si="5">SUM(L16:L18)</f>
        <v>2</v>
      </c>
      <c r="M19" s="4"/>
      <c r="N19" s="4">
        <f t="shared" ref="N19" si="6">SUM(N16:N18)</f>
        <v>6</v>
      </c>
    </row>
    <row r="20" spans="1:14" ht="28.5" customHeight="1" x14ac:dyDescent="0.25">
      <c r="A20" s="22" t="s">
        <v>14</v>
      </c>
      <c r="B20" s="23"/>
      <c r="C20" s="24"/>
      <c r="D20" s="4">
        <f>+D14+D19</f>
        <v>4</v>
      </c>
      <c r="E20" s="4"/>
      <c r="F20" s="4">
        <f>+F14+F19</f>
        <v>6</v>
      </c>
      <c r="G20" s="4"/>
      <c r="H20" s="4">
        <f>+H14+H19</f>
        <v>4</v>
      </c>
      <c r="I20" s="4"/>
      <c r="J20" s="4">
        <f>+J14+J19</f>
        <v>4</v>
      </c>
      <c r="K20" s="4"/>
      <c r="L20" s="4">
        <f>+L14+L19</f>
        <v>10</v>
      </c>
      <c r="M20" s="4"/>
      <c r="N20" s="4">
        <f>+N14+N19</f>
        <v>28</v>
      </c>
    </row>
  </sheetData>
  <mergeCells count="19">
    <mergeCell ref="A15:N15"/>
    <mergeCell ref="A19:C19"/>
    <mergeCell ref="A20:C20"/>
    <mergeCell ref="D5:E5"/>
    <mergeCell ref="F5:G5"/>
    <mergeCell ref="H5:I5"/>
    <mergeCell ref="J5:K5"/>
    <mergeCell ref="L5:M5"/>
    <mergeCell ref="A14:C14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2026-09-21T13:01:17Z</dcterms:modified>
</cp:coreProperties>
</file>
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F774EE08-DD96-4CF5-9D12-63128431DC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5" i="1"/>
  <c r="L13" i="2"/>
  <c r="L12" i="2"/>
  <c r="L11" i="2"/>
  <c r="L10" i="2"/>
  <c r="L9" i="2"/>
  <c r="L8" i="2"/>
  <c r="L7" i="2"/>
  <c r="L5" i="2"/>
  <c r="F20" i="1"/>
  <c r="H20" i="1"/>
  <c r="J20" i="1"/>
  <c r="D20" i="1"/>
  <c r="L5" i="1"/>
  <c r="L21" i="1" l="1"/>
  <c r="J15" i="1"/>
  <c r="J21" i="1" s="1"/>
  <c r="H15" i="1"/>
  <c r="H21" i="1" s="1"/>
  <c r="F15" i="1"/>
  <c r="F21" i="1" s="1"/>
  <c r="D15" i="1"/>
  <c r="D21" i="1" s="1"/>
  <c r="F14" i="2"/>
  <c r="F17" i="2" s="1"/>
  <c r="H14" i="2"/>
  <c r="H17" i="2" s="1"/>
  <c r="J14" i="2"/>
  <c r="J17" i="2" s="1"/>
  <c r="L14" i="2"/>
  <c r="D14" i="2"/>
  <c r="D17" i="2" l="1"/>
  <c r="L17" i="2"/>
</calcChain>
</file>

<file path=xl/sharedStrings.xml><?xml version="1.0" encoding="utf-8"?>
<sst xmlns="http://schemas.openxmlformats.org/spreadsheetml/2006/main" count="119" uniqueCount="51">
  <si>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</si>
  <si>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</si>
  <si>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</si>
  <si>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</si>
  <si>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Cotton (UI)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</si>
  <si>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</si>
  <si>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</si>
  <si>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</si>
  <si>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</si>
  <si>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</si>
  <si>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</si>
  <si>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</si>
  <si>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</si>
  <si>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</si>
  <si>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</si>
  <si>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</si>
  <si>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Morbi</t>
  </si>
  <si>
    <t>Halvad</t>
  </si>
  <si>
    <t>Golasan</t>
  </si>
  <si>
    <t/>
  </si>
  <si>
    <t>Shiroi</t>
  </si>
  <si>
    <t>Gidach</t>
  </si>
  <si>
    <t>Vaghpar</t>
  </si>
  <si>
    <t>Tankara</t>
  </si>
  <si>
    <t>Devaliya</t>
  </si>
  <si>
    <t>Harbatiyali</t>
  </si>
  <si>
    <t>Nesda Khanpar</t>
  </si>
  <si>
    <t>Wankaner</t>
  </si>
  <si>
    <t>Maliya</t>
  </si>
  <si>
    <t>Manaba</t>
  </si>
  <si>
    <t>Sarvad</t>
  </si>
  <si>
    <t>Varsamedi</t>
  </si>
  <si>
    <t>Ajitgadh</t>
  </si>
  <si>
    <t>Chadadhra</t>
  </si>
  <si>
    <t>Dighadiya</t>
  </si>
  <si>
    <t>Khirsara</t>
  </si>
  <si>
    <t>Kumbhariya</t>
  </si>
  <si>
    <t>Vankda</t>
  </si>
  <si>
    <t>Panchasar</t>
  </si>
  <si>
    <t>District: MORABI</t>
  </si>
  <si>
    <t>2A</t>
  </si>
  <si>
    <t>1B</t>
  </si>
  <si>
    <t>3B</t>
  </si>
  <si>
    <t>4B</t>
  </si>
  <si>
    <t>5B</t>
  </si>
  <si>
    <t>1A</t>
  </si>
  <si>
    <t>2B</t>
  </si>
  <si>
    <t>Wankaner-1</t>
  </si>
  <si>
    <t>GROUNDNUT</t>
  </si>
  <si>
    <t>Cotton (I)</t>
  </si>
  <si>
    <t xml:space="preserve">                                   GUJARAT                                              STATEMENT NO. 4                   CENTRAL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</si>
</sst>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3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zoomScale="70" zoomScaleNormal="70" workbookViewId="0">
      <selection activeCell="D17" sqref="D17"/>
    </sheetView>
  </sheetViews>
  <sheetFormatPr defaultRowHeight="14.4" x14ac:dyDescent="0.3"/>
  <cols>
    <col min="1" max="1" width="10.33203125" customWidth="1"/>
    <col min="2" max="2" width="8.21875" bestFit="1" customWidth="1"/>
    <col min="3" max="3" width="14.5546875" bestFit="1" customWidth="1"/>
  </cols>
  <sheetData>
    <row r="1" spans="1:12" ht="18" x14ac:dyDescent="0.3">
      <c r="A1" s="11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8" x14ac:dyDescent="0.3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.6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5.6" x14ac:dyDescent="0.3">
      <c r="A4" s="13" t="s">
        <v>39</v>
      </c>
      <c r="B4" s="14"/>
      <c r="C4" s="17" t="s">
        <v>15</v>
      </c>
      <c r="D4" s="19">
        <v>8</v>
      </c>
      <c r="E4" s="19"/>
      <c r="F4" s="19">
        <v>4</v>
      </c>
      <c r="G4" s="19"/>
      <c r="H4" s="19">
        <v>10</v>
      </c>
      <c r="I4" s="19"/>
      <c r="J4" s="19">
        <v>6</v>
      </c>
      <c r="K4" s="19"/>
      <c r="L4" s="1" t="s">
        <v>2</v>
      </c>
    </row>
    <row r="5" spans="1:12" ht="15.6" x14ac:dyDescent="0.3">
      <c r="A5" s="15"/>
      <c r="B5" s="16"/>
      <c r="C5" s="18"/>
      <c r="D5" s="23" t="s">
        <v>48</v>
      </c>
      <c r="E5" s="23"/>
      <c r="F5" s="23" t="s">
        <v>3</v>
      </c>
      <c r="G5" s="23"/>
      <c r="H5" s="23" t="s">
        <v>49</v>
      </c>
      <c r="I5" s="23"/>
      <c r="J5" s="23" t="s">
        <v>4</v>
      </c>
      <c r="K5" s="23"/>
      <c r="L5" s="1">
        <f>SUM(D4:K4)</f>
        <v>28</v>
      </c>
    </row>
    <row r="6" spans="1:12" ht="31.2" x14ac:dyDescent="0.3">
      <c r="A6" s="1" t="s">
        <v>5</v>
      </c>
      <c r="B6" s="1" t="s">
        <v>6</v>
      </c>
      <c r="C6" s="1" t="s">
        <v>7</v>
      </c>
      <c r="D6" s="2" t="s">
        <v>8</v>
      </c>
      <c r="E6" s="2" t="s">
        <v>9</v>
      </c>
      <c r="F6" s="2" t="s">
        <v>8</v>
      </c>
      <c r="G6" s="2" t="s">
        <v>9</v>
      </c>
      <c r="H6" s="2" t="s">
        <v>8</v>
      </c>
      <c r="I6" s="2" t="s">
        <v>9</v>
      </c>
      <c r="J6" s="2" t="s">
        <v>8</v>
      </c>
      <c r="K6" s="2" t="s">
        <v>9</v>
      </c>
      <c r="L6" s="3"/>
    </row>
    <row r="7" spans="1:12" ht="18" x14ac:dyDescent="0.3">
      <c r="A7" s="3" t="s">
        <v>17</v>
      </c>
      <c r="B7" s="3" t="s">
        <v>17</v>
      </c>
      <c r="C7" s="7" t="s">
        <v>18</v>
      </c>
      <c r="D7" s="7"/>
      <c r="E7" s="7"/>
      <c r="F7" s="7"/>
      <c r="G7" s="7"/>
      <c r="H7" s="7">
        <v>2</v>
      </c>
      <c r="I7" s="8" t="s">
        <v>41</v>
      </c>
      <c r="J7" s="7"/>
      <c r="K7" s="7"/>
      <c r="L7" s="3"/>
    </row>
    <row r="8" spans="1:12" ht="18" x14ac:dyDescent="0.3">
      <c r="A8" s="3" t="s">
        <v>17</v>
      </c>
      <c r="B8" s="3" t="s">
        <v>17</v>
      </c>
      <c r="C8" s="6" t="s">
        <v>17</v>
      </c>
      <c r="D8" s="6"/>
      <c r="E8" s="6"/>
      <c r="F8" s="6"/>
      <c r="G8" s="6"/>
      <c r="H8" s="6">
        <v>2</v>
      </c>
      <c r="I8" s="5" t="s">
        <v>40</v>
      </c>
      <c r="J8" s="6"/>
      <c r="K8" s="6"/>
      <c r="L8" s="3"/>
    </row>
    <row r="9" spans="1:12" ht="18" x14ac:dyDescent="0.3">
      <c r="A9" s="3" t="s">
        <v>17</v>
      </c>
      <c r="B9" s="3" t="s">
        <v>17</v>
      </c>
      <c r="C9" s="6" t="s">
        <v>20</v>
      </c>
      <c r="D9" s="6">
        <v>2</v>
      </c>
      <c r="E9" s="4">
        <v>4</v>
      </c>
      <c r="F9" s="6">
        <v>2</v>
      </c>
      <c r="G9" s="5">
        <v>2</v>
      </c>
      <c r="H9" s="6"/>
      <c r="I9" s="5" t="s">
        <v>19</v>
      </c>
      <c r="J9" s="6"/>
      <c r="K9" s="6"/>
      <c r="L9" s="3"/>
    </row>
    <row r="10" spans="1:12" ht="18" x14ac:dyDescent="0.3">
      <c r="A10" s="3" t="s">
        <v>16</v>
      </c>
      <c r="B10" s="3" t="s">
        <v>16</v>
      </c>
      <c r="C10" s="6" t="s">
        <v>21</v>
      </c>
      <c r="D10" s="6">
        <v>2</v>
      </c>
      <c r="E10" s="4">
        <v>3</v>
      </c>
      <c r="F10" s="6">
        <v>2</v>
      </c>
      <c r="G10" s="5">
        <v>1</v>
      </c>
      <c r="H10" s="6"/>
      <c r="I10" s="5" t="s">
        <v>19</v>
      </c>
      <c r="J10" s="6"/>
      <c r="K10" s="6"/>
      <c r="L10" s="3"/>
    </row>
    <row r="11" spans="1:12" ht="18" x14ac:dyDescent="0.3">
      <c r="A11" s="3" t="s">
        <v>16</v>
      </c>
      <c r="B11" s="3" t="s">
        <v>16</v>
      </c>
      <c r="C11" s="6" t="s">
        <v>22</v>
      </c>
      <c r="D11" s="6">
        <v>2</v>
      </c>
      <c r="E11" s="4">
        <v>2</v>
      </c>
      <c r="F11" s="6"/>
      <c r="G11" s="6"/>
      <c r="H11" s="6"/>
      <c r="I11" s="5" t="s">
        <v>19</v>
      </c>
      <c r="J11" s="6"/>
      <c r="K11" s="6"/>
      <c r="L11" s="3"/>
    </row>
    <row r="12" spans="1:12" ht="18" x14ac:dyDescent="0.3">
      <c r="A12" s="3" t="s">
        <v>23</v>
      </c>
      <c r="B12" s="3" t="s">
        <v>23</v>
      </c>
      <c r="C12" s="6" t="s">
        <v>24</v>
      </c>
      <c r="D12" s="6">
        <v>2</v>
      </c>
      <c r="E12" s="4">
        <v>1</v>
      </c>
      <c r="F12" s="6"/>
      <c r="G12" s="6"/>
      <c r="H12" s="6">
        <v>2</v>
      </c>
      <c r="I12" s="5" t="s">
        <v>42</v>
      </c>
      <c r="J12" s="6"/>
      <c r="K12" s="6"/>
      <c r="L12" s="3"/>
    </row>
    <row r="13" spans="1:12" ht="18" x14ac:dyDescent="0.3">
      <c r="A13" s="3" t="s">
        <v>23</v>
      </c>
      <c r="B13" s="3" t="s">
        <v>23</v>
      </c>
      <c r="C13" s="6" t="s">
        <v>25</v>
      </c>
      <c r="D13" s="6"/>
      <c r="E13" s="6"/>
      <c r="F13" s="6"/>
      <c r="G13" s="6"/>
      <c r="H13" s="6">
        <v>2</v>
      </c>
      <c r="I13" s="5" t="s">
        <v>43</v>
      </c>
      <c r="J13" s="6"/>
      <c r="K13" s="6"/>
      <c r="L13" s="3"/>
    </row>
    <row r="14" spans="1:12" ht="18" x14ac:dyDescent="0.3">
      <c r="A14" s="3" t="s">
        <v>23</v>
      </c>
      <c r="B14" s="3" t="s">
        <v>23</v>
      </c>
      <c r="C14" s="6" t="s">
        <v>26</v>
      </c>
      <c r="D14" s="6"/>
      <c r="E14" s="6"/>
      <c r="F14" s="6"/>
      <c r="G14" s="6"/>
      <c r="H14" s="6">
        <v>2</v>
      </c>
      <c r="I14" s="5" t="s">
        <v>44</v>
      </c>
      <c r="J14" s="6"/>
      <c r="K14" s="6"/>
      <c r="L14" s="3"/>
    </row>
    <row r="15" spans="1:12" ht="15.6" x14ac:dyDescent="0.3">
      <c r="A15" s="19" t="s">
        <v>10</v>
      </c>
      <c r="B15" s="19"/>
      <c r="C15" s="19"/>
      <c r="D15" s="4">
        <f>SUM(D7:D14)</f>
        <v>8</v>
      </c>
      <c r="E15" s="4"/>
      <c r="F15" s="4">
        <f>SUM(F7:F14)</f>
        <v>4</v>
      </c>
      <c r="G15" s="4"/>
      <c r="H15" s="4">
        <f>SUM(H7:H14)</f>
        <v>10</v>
      </c>
      <c r="I15" s="4"/>
      <c r="J15" s="4">
        <f>SUM(J7:J14)</f>
        <v>0</v>
      </c>
      <c r="K15" s="4"/>
      <c r="L15" s="4">
        <f>D15+F15+H15</f>
        <v>22</v>
      </c>
    </row>
    <row r="16" spans="1:12" ht="15.6" x14ac:dyDescent="0.3">
      <c r="A16" s="12" t="s">
        <v>11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18" x14ac:dyDescent="0.3">
      <c r="A17" s="6" t="s">
        <v>28</v>
      </c>
      <c r="B17" s="6" t="s">
        <v>28</v>
      </c>
      <c r="C17" s="6" t="s">
        <v>29</v>
      </c>
      <c r="D17" s="6"/>
      <c r="E17" s="6"/>
      <c r="F17" s="6"/>
      <c r="G17" s="6"/>
      <c r="H17" s="6"/>
      <c r="I17" s="6"/>
      <c r="J17" s="6">
        <v>2</v>
      </c>
      <c r="K17" s="5" t="s">
        <v>45</v>
      </c>
      <c r="L17" s="3"/>
    </row>
    <row r="18" spans="1:12" ht="18" x14ac:dyDescent="0.3">
      <c r="A18" s="6" t="s">
        <v>28</v>
      </c>
      <c r="B18" s="6" t="s">
        <v>28</v>
      </c>
      <c r="C18" s="6" t="s">
        <v>30</v>
      </c>
      <c r="D18" s="6"/>
      <c r="E18" s="6"/>
      <c r="F18" s="6"/>
      <c r="G18" s="6"/>
      <c r="H18" s="6"/>
      <c r="I18" s="6"/>
      <c r="J18" s="6">
        <v>2</v>
      </c>
      <c r="K18" s="5" t="s">
        <v>42</v>
      </c>
      <c r="L18" s="3"/>
    </row>
    <row r="19" spans="1:12" ht="18" x14ac:dyDescent="0.3">
      <c r="A19" s="6" t="s">
        <v>28</v>
      </c>
      <c r="B19" s="6" t="s">
        <v>28</v>
      </c>
      <c r="C19" s="6" t="s">
        <v>31</v>
      </c>
      <c r="D19" s="6"/>
      <c r="E19" s="6"/>
      <c r="F19" s="6"/>
      <c r="G19" s="6"/>
      <c r="H19" s="6"/>
      <c r="I19" s="6"/>
      <c r="J19" s="6">
        <v>2</v>
      </c>
      <c r="K19" s="5" t="s">
        <v>46</v>
      </c>
      <c r="L19" s="3"/>
    </row>
    <row r="20" spans="1:12" ht="15.6" x14ac:dyDescent="0.3">
      <c r="A20" s="20" t="s">
        <v>12</v>
      </c>
      <c r="B20" s="21"/>
      <c r="C20" s="22"/>
      <c r="D20" s="4">
        <f>SUM(D17:D19)</f>
        <v>0</v>
      </c>
      <c r="E20" s="4"/>
      <c r="F20" s="4">
        <f t="shared" ref="F20" si="0">SUM(F17:F19)</f>
        <v>0</v>
      </c>
      <c r="G20" s="4"/>
      <c r="H20" s="4">
        <f t="shared" ref="H20" si="1">SUM(H17:H19)</f>
        <v>0</v>
      </c>
      <c r="I20" s="4"/>
      <c r="J20" s="4">
        <f t="shared" ref="J20" si="2">SUM(J17:J19)</f>
        <v>6</v>
      </c>
      <c r="K20" s="4"/>
      <c r="L20" s="4">
        <f>D20+F20+H20+J20</f>
        <v>6</v>
      </c>
    </row>
    <row r="21" spans="1:12" ht="15.6" x14ac:dyDescent="0.3">
      <c r="A21" s="20" t="s">
        <v>13</v>
      </c>
      <c r="B21" s="21"/>
      <c r="C21" s="22"/>
      <c r="D21" s="4">
        <f>+D15+D20</f>
        <v>8</v>
      </c>
      <c r="E21" s="4"/>
      <c r="F21" s="4">
        <f>+F15+F20</f>
        <v>4</v>
      </c>
      <c r="G21" s="4"/>
      <c r="H21" s="4">
        <f>+H15+H20</f>
        <v>10</v>
      </c>
      <c r="I21" s="4"/>
      <c r="J21" s="4">
        <f>+J15+J20</f>
        <v>6</v>
      </c>
      <c r="K21" s="4"/>
      <c r="L21" s="4">
        <f>+L15+L20</f>
        <v>28</v>
      </c>
    </row>
  </sheetData>
  <mergeCells count="17">
    <mergeCell ref="A21:C21"/>
    <mergeCell ref="A15:C15"/>
    <mergeCell ref="A16:L16"/>
    <mergeCell ref="A20:C20"/>
    <mergeCell ref="D5:E5"/>
    <mergeCell ref="F5:G5"/>
    <mergeCell ref="H5:I5"/>
    <mergeCell ref="J5:K5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tabSelected="1" zoomScale="70" zoomScaleNormal="70" workbookViewId="0">
      <selection activeCell="P13" sqref="P13"/>
    </sheetView>
  </sheetViews>
  <sheetFormatPr defaultRowHeight="14.4" x14ac:dyDescent="0.3"/>
  <cols>
    <col min="1" max="1" width="10.109375" bestFit="1" customWidth="1"/>
    <col min="2" max="2" width="12.33203125" customWidth="1"/>
    <col min="3" max="3" width="15.44140625" customWidth="1"/>
  </cols>
  <sheetData>
    <row r="1" spans="1:12" ht="18" x14ac:dyDescent="0.3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8" x14ac:dyDescent="0.3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5.6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5.6" x14ac:dyDescent="0.3">
      <c r="A4" s="13" t="s">
        <v>39</v>
      </c>
      <c r="B4" s="14"/>
      <c r="C4" s="17" t="s">
        <v>15</v>
      </c>
      <c r="D4" s="19">
        <v>6</v>
      </c>
      <c r="E4" s="19"/>
      <c r="F4" s="19">
        <v>4</v>
      </c>
      <c r="G4" s="19"/>
      <c r="H4" s="19">
        <v>4</v>
      </c>
      <c r="I4" s="19"/>
      <c r="J4" s="19">
        <v>4</v>
      </c>
      <c r="K4" s="19"/>
      <c r="L4" s="1" t="s">
        <v>2</v>
      </c>
    </row>
    <row r="5" spans="1:12" ht="15.6" x14ac:dyDescent="0.3">
      <c r="A5" s="15"/>
      <c r="B5" s="16"/>
      <c r="C5" s="18"/>
      <c r="D5" s="23" t="s">
        <v>48</v>
      </c>
      <c r="E5" s="23"/>
      <c r="F5" s="23" t="s">
        <v>3</v>
      </c>
      <c r="G5" s="23"/>
      <c r="H5" s="23" t="s">
        <v>49</v>
      </c>
      <c r="I5" s="23"/>
      <c r="J5" s="23" t="s">
        <v>4</v>
      </c>
      <c r="K5" s="23"/>
      <c r="L5" s="1">
        <f>SUM(D4:K4)</f>
        <v>18</v>
      </c>
    </row>
    <row r="6" spans="1:12" ht="31.2" x14ac:dyDescent="0.3">
      <c r="A6" s="1" t="s">
        <v>5</v>
      </c>
      <c r="B6" s="1" t="s">
        <v>6</v>
      </c>
      <c r="C6" s="1" t="s">
        <v>7</v>
      </c>
      <c r="D6" s="2" t="s">
        <v>8</v>
      </c>
      <c r="E6" s="2" t="s">
        <v>9</v>
      </c>
      <c r="F6" s="2" t="s">
        <v>8</v>
      </c>
      <c r="G6" s="2" t="s">
        <v>9</v>
      </c>
      <c r="H6" s="2" t="s">
        <v>8</v>
      </c>
      <c r="I6" s="2" t="s">
        <v>9</v>
      </c>
      <c r="J6" s="2" t="s">
        <v>8</v>
      </c>
      <c r="K6" s="2" t="s">
        <v>9</v>
      </c>
      <c r="L6" s="3"/>
    </row>
    <row r="7" spans="1:12" ht="18" x14ac:dyDescent="0.3">
      <c r="A7" s="6" t="s">
        <v>17</v>
      </c>
      <c r="B7" s="6" t="s">
        <v>17</v>
      </c>
      <c r="C7" s="6" t="s">
        <v>32</v>
      </c>
      <c r="D7" s="6"/>
      <c r="E7" s="6"/>
      <c r="F7" s="6">
        <v>2</v>
      </c>
      <c r="G7" s="5">
        <v>1</v>
      </c>
      <c r="H7" s="6"/>
      <c r="I7" s="6"/>
      <c r="J7" s="6"/>
      <c r="K7" s="6"/>
      <c r="L7" s="3">
        <f t="shared" ref="L7:L13" si="0">+D7+F7+H7+J7</f>
        <v>2</v>
      </c>
    </row>
    <row r="8" spans="1:12" ht="18" x14ac:dyDescent="0.3">
      <c r="A8" s="6" t="s">
        <v>17</v>
      </c>
      <c r="B8" s="6" t="s">
        <v>17</v>
      </c>
      <c r="C8" s="6" t="s">
        <v>33</v>
      </c>
      <c r="D8" s="6"/>
      <c r="E8" s="6"/>
      <c r="F8" s="6">
        <v>2</v>
      </c>
      <c r="G8" s="5">
        <v>2</v>
      </c>
      <c r="H8" s="6"/>
      <c r="I8" s="6"/>
      <c r="J8" s="6"/>
      <c r="K8" s="6"/>
      <c r="L8" s="3">
        <f t="shared" si="0"/>
        <v>2</v>
      </c>
    </row>
    <row r="9" spans="1:12" ht="18" x14ac:dyDescent="0.3">
      <c r="A9" s="6" t="s">
        <v>17</v>
      </c>
      <c r="B9" s="6" t="s">
        <v>17</v>
      </c>
      <c r="C9" s="6" t="s">
        <v>34</v>
      </c>
      <c r="D9" s="6">
        <v>2</v>
      </c>
      <c r="E9" s="5">
        <v>3</v>
      </c>
      <c r="F9" s="6"/>
      <c r="G9" s="6"/>
      <c r="H9" s="6"/>
      <c r="I9" s="6"/>
      <c r="J9" s="6"/>
      <c r="K9" s="6"/>
      <c r="L9" s="3">
        <f t="shared" si="0"/>
        <v>2</v>
      </c>
    </row>
    <row r="10" spans="1:12" ht="18" x14ac:dyDescent="0.3">
      <c r="A10" s="6" t="s">
        <v>28</v>
      </c>
      <c r="B10" s="6" t="s">
        <v>28</v>
      </c>
      <c r="C10" s="6" t="s">
        <v>35</v>
      </c>
      <c r="D10" s="6"/>
      <c r="E10" s="5"/>
      <c r="F10" s="6"/>
      <c r="G10" s="6"/>
      <c r="H10" s="6"/>
      <c r="I10" s="6"/>
      <c r="J10" s="6">
        <v>2</v>
      </c>
      <c r="K10" s="5" t="s">
        <v>41</v>
      </c>
      <c r="L10" s="3">
        <f t="shared" si="0"/>
        <v>2</v>
      </c>
    </row>
    <row r="11" spans="1:12" ht="18" x14ac:dyDescent="0.3">
      <c r="A11" s="6" t="s">
        <v>28</v>
      </c>
      <c r="B11" s="6" t="s">
        <v>28</v>
      </c>
      <c r="C11" s="6" t="s">
        <v>36</v>
      </c>
      <c r="D11" s="6"/>
      <c r="E11" s="5"/>
      <c r="F11" s="6"/>
      <c r="G11" s="6"/>
      <c r="H11" s="6">
        <v>2</v>
      </c>
      <c r="I11" s="5" t="s">
        <v>41</v>
      </c>
      <c r="J11" s="6">
        <v>2</v>
      </c>
      <c r="K11" s="5" t="s">
        <v>46</v>
      </c>
      <c r="L11" s="3">
        <f t="shared" si="0"/>
        <v>4</v>
      </c>
    </row>
    <row r="12" spans="1:12" ht="18" x14ac:dyDescent="0.3">
      <c r="A12" s="6" t="s">
        <v>16</v>
      </c>
      <c r="B12" s="6" t="s">
        <v>16</v>
      </c>
      <c r="C12" s="6" t="s">
        <v>37</v>
      </c>
      <c r="D12" s="6">
        <v>2</v>
      </c>
      <c r="E12" s="5">
        <v>1</v>
      </c>
      <c r="F12" s="6"/>
      <c r="G12" s="6"/>
      <c r="H12" s="6"/>
      <c r="I12" s="5"/>
      <c r="J12" s="6"/>
      <c r="K12" s="9"/>
      <c r="L12" s="3">
        <f t="shared" si="0"/>
        <v>2</v>
      </c>
    </row>
    <row r="13" spans="1:12" ht="18" x14ac:dyDescent="0.3">
      <c r="A13" s="6" t="s">
        <v>27</v>
      </c>
      <c r="B13" s="10" t="s">
        <v>47</v>
      </c>
      <c r="C13" s="6" t="s">
        <v>38</v>
      </c>
      <c r="D13" s="6">
        <v>2</v>
      </c>
      <c r="E13" s="5">
        <v>2</v>
      </c>
      <c r="F13" s="6"/>
      <c r="G13" s="6"/>
      <c r="H13" s="6">
        <v>2</v>
      </c>
      <c r="I13" s="5" t="s">
        <v>46</v>
      </c>
      <c r="J13" s="6"/>
      <c r="K13" s="6"/>
      <c r="L13" s="3">
        <f t="shared" si="0"/>
        <v>4</v>
      </c>
    </row>
    <row r="14" spans="1:12" ht="15.6" x14ac:dyDescent="0.3">
      <c r="A14" s="19" t="s">
        <v>10</v>
      </c>
      <c r="B14" s="19"/>
      <c r="C14" s="19"/>
      <c r="D14" s="4">
        <f>SUM(D7:D13)</f>
        <v>6</v>
      </c>
      <c r="E14" s="4"/>
      <c r="F14" s="4">
        <f>SUM(F7:F13)</f>
        <v>4</v>
      </c>
      <c r="G14" s="4"/>
      <c r="H14" s="4">
        <f>SUM(H7:H13)</f>
        <v>4</v>
      </c>
      <c r="I14" s="4"/>
      <c r="J14" s="4">
        <f>SUM(J7:J13)</f>
        <v>4</v>
      </c>
      <c r="K14" s="4"/>
      <c r="L14" s="4">
        <f>SUM(L7:L13)</f>
        <v>18</v>
      </c>
    </row>
    <row r="15" spans="1:12" ht="15.6" x14ac:dyDescent="0.3">
      <c r="A15" s="12" t="s">
        <v>11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15.6" x14ac:dyDescent="0.3">
      <c r="A16" s="20" t="s">
        <v>12</v>
      </c>
      <c r="B16" s="21"/>
      <c r="C16" s="22"/>
      <c r="D16" s="4">
        <v>0</v>
      </c>
      <c r="E16" s="4"/>
      <c r="F16" s="4">
        <v>0</v>
      </c>
      <c r="G16" s="4"/>
      <c r="H16" s="4">
        <v>0</v>
      </c>
      <c r="I16" s="4"/>
      <c r="J16" s="4">
        <v>0</v>
      </c>
      <c r="K16" s="4"/>
      <c r="L16" s="4">
        <v>0</v>
      </c>
    </row>
    <row r="17" spans="1:12" ht="15.6" x14ac:dyDescent="0.3">
      <c r="A17" s="20" t="s">
        <v>13</v>
      </c>
      <c r="B17" s="21"/>
      <c r="C17" s="22"/>
      <c r="D17" s="4">
        <f>+D14+D16</f>
        <v>6</v>
      </c>
      <c r="E17" s="4"/>
      <c r="F17" s="4">
        <f>+F14+F16</f>
        <v>4</v>
      </c>
      <c r="G17" s="4"/>
      <c r="H17" s="4">
        <f>+H14+H16</f>
        <v>4</v>
      </c>
      <c r="I17" s="4"/>
      <c r="J17" s="4">
        <f>+J14+J16</f>
        <v>4</v>
      </c>
      <c r="K17" s="4"/>
      <c r="L17" s="4">
        <f>+L14+L16</f>
        <v>18</v>
      </c>
    </row>
  </sheetData>
  <mergeCells count="17">
    <mergeCell ref="A15:L15"/>
    <mergeCell ref="A16:C16"/>
    <mergeCell ref="A17:C17"/>
    <mergeCell ref="D5:E5"/>
    <mergeCell ref="F5:G5"/>
    <mergeCell ref="H5:I5"/>
    <mergeCell ref="J5:K5"/>
    <mergeCell ref="A14:C14"/>
    <mergeCell ref="A1:L1"/>
    <mergeCell ref="A2:L2"/>
    <mergeCell ref="A3:L3"/>
    <mergeCell ref="A4:B5"/>
    <mergeCell ref="C4:C5"/>
    <mergeCell ref="D4:E4"/>
    <mergeCell ref="F4:G4"/>
    <mergeCell ref="H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2026-09-23T06:39:04Z</dcterms:modified>
</cp:coreProperties>
</file>
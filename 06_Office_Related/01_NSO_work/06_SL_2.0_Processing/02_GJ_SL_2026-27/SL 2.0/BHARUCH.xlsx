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filterPrivacy="1"/>
  <xr:revisionPtr revIDLastSave="0" documentId="13_ncr:1_{4EDC862C-2C52-4BB1-958D-D17B06DBB6F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ENTRAL 2.0" sheetId="1" r:id="rId1"/>
    <sheet name="STATE 2.0" sheetId="2" r:id="rId2"/>
  </sheets>
  <definedNames>
    <definedName name="_xlnm._FilterDatabase" localSheetId="0" hidden="1">'CENTRAL 2.0'!$A$16:$N$33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9" i="2" l="1"/>
  <c r="N13" i="2"/>
  <c r="F19" i="2"/>
  <c r="F20" i="2" s="1"/>
  <c r="H19" i="2"/>
  <c r="J19" i="2"/>
  <c r="L19" i="2"/>
  <c r="D19" i="2"/>
  <c r="D20" i="2" s="1"/>
  <c r="F13" i="2"/>
  <c r="H13" i="2"/>
  <c r="J13" i="2"/>
  <c r="L13" i="2"/>
  <c r="L20" i="2" s="1"/>
  <c r="D13" i="2"/>
  <c r="L34" i="1"/>
  <c r="D34" i="1"/>
  <c r="F33" i="1"/>
  <c r="H33" i="1"/>
  <c r="J33" i="1"/>
  <c r="L33" i="1"/>
  <c r="D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F14" i="1"/>
  <c r="F34" i="1" s="1"/>
  <c r="H14" i="1"/>
  <c r="H34" i="1" s="1"/>
  <c r="J14" i="1"/>
  <c r="J34" i="1" s="1"/>
  <c r="L14" i="1"/>
  <c r="D14" i="1"/>
  <c r="N8" i="1"/>
  <c r="N9" i="1"/>
  <c r="N10" i="1"/>
  <c r="N11" i="1"/>
  <c r="N12" i="1"/>
  <c r="N13" i="1"/>
  <c r="N7" i="1"/>
  <c r="N14" i="1" s="1"/>
  <c r="N5" i="2"/>
  <c r="N5" i="1"/>
  <c r="J20" i="2" l="1"/>
  <c r="H20" i="2"/>
  <c r="N33" i="1"/>
  <c r="N34" i="1" s="1"/>
  <c r="N20" i="2" l="1"/>
</calcChain>
</file>

<file path=xl/sharedStrings.xml><?xml version="1.0" encoding="utf-8"?>
<sst xmlns="http://schemas.openxmlformats.org/spreadsheetml/2006/main" count="181" uniqueCount="79">
  <si>
    <t xml:space="preserve">                               GUJARAT                                              STATEMENT NO. 4                                                  CENTRAL                                                                                      </t>
  </si>
  <si>
    <t xml:space="preserve">      Name of crop,   No. of exp.  And Order of selection                                                          Season: Kharif  </t>
  </si>
  <si>
    <t>PART- A</t>
  </si>
  <si>
    <t>Total</t>
  </si>
  <si>
    <t>Paddy(I)</t>
  </si>
  <si>
    <t>Castor</t>
  </si>
  <si>
    <t>Tur</t>
  </si>
  <si>
    <t>Cotton (I)</t>
  </si>
  <si>
    <t>Cotton (UI)</t>
  </si>
  <si>
    <t>Taluka</t>
  </si>
  <si>
    <t>Circle</t>
  </si>
  <si>
    <t>VILLAGE</t>
  </si>
  <si>
    <t>No. of Exp.</t>
  </si>
  <si>
    <t>OS</t>
  </si>
  <si>
    <t>Bharuch</t>
  </si>
  <si>
    <t>Anklesvar</t>
  </si>
  <si>
    <t>Amrutpura</t>
  </si>
  <si>
    <t>Dashan</t>
  </si>
  <si>
    <t>Palej</t>
  </si>
  <si>
    <t>Hansot</t>
  </si>
  <si>
    <t>Kantiyajal</t>
  </si>
  <si>
    <t>Jambusar</t>
  </si>
  <si>
    <t>Khanpor Deh</t>
  </si>
  <si>
    <t>Netrang</t>
  </si>
  <si>
    <t>Nana Jambuda</t>
  </si>
  <si>
    <t>Vagra</t>
  </si>
  <si>
    <t>Akhod</t>
  </si>
  <si>
    <t>Total Part- A</t>
  </si>
  <si>
    <t>PART- B</t>
  </si>
  <si>
    <t>Amod</t>
  </si>
  <si>
    <t>Pursa</t>
  </si>
  <si>
    <t>Adadara</t>
  </si>
  <si>
    <t>Kararvel</t>
  </si>
  <si>
    <t>Amdada</t>
  </si>
  <si>
    <t>Angareshwar</t>
  </si>
  <si>
    <t>Ambheta</t>
  </si>
  <si>
    <t>Badodara</t>
  </si>
  <si>
    <t>Bakarpor Timbi</t>
  </si>
  <si>
    <t>Piludara</t>
  </si>
  <si>
    <t>Umra</t>
  </si>
  <si>
    <t>Jhagadia</t>
  </si>
  <si>
    <t>Patar</t>
  </si>
  <si>
    <t>Chasvad</t>
  </si>
  <si>
    <t>Sajanvav</t>
  </si>
  <si>
    <t>Timla</t>
  </si>
  <si>
    <t>Chanchvel</t>
  </si>
  <si>
    <t>Valia</t>
  </si>
  <si>
    <t>Dholgam</t>
  </si>
  <si>
    <t>Total Part- A + B</t>
  </si>
  <si>
    <t>Total Part- B</t>
  </si>
  <si>
    <t>District: BHARUCH</t>
  </si>
  <si>
    <t>Ranipura</t>
  </si>
  <si>
    <t>Vantarsa</t>
  </si>
  <si>
    <t>Samlod</t>
  </si>
  <si>
    <t>Arethi</t>
  </si>
  <si>
    <t>Vengani</t>
  </si>
  <si>
    <t>Rajagadh</t>
  </si>
  <si>
    <t>Dhamrad</t>
  </si>
  <si>
    <t>Kalak</t>
  </si>
  <si>
    <t>Boridara (Dumala)</t>
  </si>
  <si>
    <t>Nana Sorva</t>
  </si>
  <si>
    <t xml:space="preserve">                               GUJARAT                                              STATEMENT NO. 4                                               STATE                                                                                  </t>
  </si>
  <si>
    <t>1A</t>
  </si>
  <si>
    <t>5A</t>
  </si>
  <si>
    <t>2B</t>
  </si>
  <si>
    <t>3B</t>
  </si>
  <si>
    <t>4B</t>
  </si>
  <si>
    <t>6B</t>
  </si>
  <si>
    <t>7B</t>
  </si>
  <si>
    <t>8B</t>
  </si>
  <si>
    <t>7A</t>
  </si>
  <si>
    <t>3A</t>
  </si>
  <si>
    <t>5B</t>
  </si>
  <si>
    <t>1B</t>
  </si>
  <si>
    <t>2A</t>
  </si>
  <si>
    <t>4A</t>
  </si>
  <si>
    <t>Year-2026-27</t>
  </si>
  <si>
    <t>Ali</t>
  </si>
  <si>
    <t>Nabipur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</si>
</sst>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 tint="0.59999389629810485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3" borderId="11" xfId="0" applyFill="1" applyBorder="1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"/>
  <sheetViews>
    <sheetView topLeftCell="A11" workbookViewId="0">
      <selection activeCell="A16" sqref="A16:B32"/>
    </sheetView>
  </sheetViews>
  <sheetFormatPr defaultRowHeight="15" x14ac:dyDescent="0.25"/>
  <cols>
    <col min="1" max="2" width="9.7109375" bestFit="1" customWidth="1"/>
    <col min="3" max="3" width="13.7109375" bestFit="1" customWidth="1"/>
  </cols>
  <sheetData>
    <row r="1" spans="1:14" ht="25.5" customHeight="1" x14ac:dyDescent="0.25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</row>
    <row r="2" spans="1:14" ht="25.5" customHeight="1" x14ac:dyDescent="0.25">
      <c r="A2" s="16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</row>
    <row r="3" spans="1:14" ht="25.5" customHeight="1" x14ac:dyDescent="0.25">
      <c r="A3" s="17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9"/>
    </row>
    <row r="4" spans="1:14" ht="25.5" customHeight="1" x14ac:dyDescent="0.25">
      <c r="A4" s="20" t="s">
        <v>50</v>
      </c>
      <c r="B4" s="21"/>
      <c r="C4" s="1" t="s">
        <v>76</v>
      </c>
      <c r="D4" s="17">
        <v>6</v>
      </c>
      <c r="E4" s="19"/>
      <c r="F4" s="17">
        <v>4</v>
      </c>
      <c r="G4" s="19"/>
      <c r="H4" s="17">
        <v>14</v>
      </c>
      <c r="I4" s="19"/>
      <c r="J4" s="17">
        <v>16</v>
      </c>
      <c r="K4" s="19"/>
      <c r="L4" s="17">
        <v>14</v>
      </c>
      <c r="M4" s="19"/>
      <c r="N4" s="2" t="s">
        <v>3</v>
      </c>
    </row>
    <row r="5" spans="1:14" ht="25.5" customHeight="1" x14ac:dyDescent="0.25">
      <c r="A5" s="22"/>
      <c r="B5" s="23"/>
      <c r="C5" s="4"/>
      <c r="D5" s="26" t="s">
        <v>4</v>
      </c>
      <c r="E5" s="27"/>
      <c r="F5" s="26" t="s">
        <v>5</v>
      </c>
      <c r="G5" s="27"/>
      <c r="H5" s="26" t="s">
        <v>6</v>
      </c>
      <c r="I5" s="27"/>
      <c r="J5" s="26" t="s">
        <v>7</v>
      </c>
      <c r="K5" s="27"/>
      <c r="L5" s="26" t="s">
        <v>8</v>
      </c>
      <c r="M5" s="27"/>
      <c r="N5" s="2">
        <f>D4+F4+H4+J4+L4</f>
        <v>54</v>
      </c>
    </row>
    <row r="6" spans="1:14" ht="38.25" customHeight="1" x14ac:dyDescent="0.25">
      <c r="A6" s="3" t="s">
        <v>9</v>
      </c>
      <c r="B6" s="3" t="s">
        <v>10</v>
      </c>
      <c r="C6" s="4" t="s">
        <v>11</v>
      </c>
      <c r="D6" s="5" t="s">
        <v>12</v>
      </c>
      <c r="E6" s="6" t="s">
        <v>13</v>
      </c>
      <c r="F6" s="6" t="s">
        <v>12</v>
      </c>
      <c r="G6" s="6" t="s">
        <v>13</v>
      </c>
      <c r="H6" s="6" t="s">
        <v>12</v>
      </c>
      <c r="I6" s="6" t="s">
        <v>13</v>
      </c>
      <c r="J6" s="6" t="s">
        <v>12</v>
      </c>
      <c r="K6" s="6" t="s">
        <v>13</v>
      </c>
      <c r="L6" s="6" t="s">
        <v>12</v>
      </c>
      <c r="M6" s="6" t="s">
        <v>13</v>
      </c>
      <c r="N6" s="2"/>
    </row>
    <row r="7" spans="1:14" ht="30" x14ac:dyDescent="0.25">
      <c r="A7" s="7" t="s">
        <v>15</v>
      </c>
      <c r="B7" s="7" t="s">
        <v>15</v>
      </c>
      <c r="C7" s="12" t="s">
        <v>16</v>
      </c>
      <c r="D7" s="7"/>
      <c r="E7" s="7"/>
      <c r="F7" s="7"/>
      <c r="G7" s="7"/>
      <c r="H7" s="7"/>
      <c r="I7" s="7"/>
      <c r="J7" s="7">
        <v>2</v>
      </c>
      <c r="K7" s="8" t="s">
        <v>62</v>
      </c>
      <c r="L7" s="7"/>
      <c r="M7" s="7"/>
      <c r="N7" s="11">
        <f>+D7+F7+H7+J7+L7</f>
        <v>2</v>
      </c>
    </row>
    <row r="8" spans="1:14" ht="18.75" x14ac:dyDescent="0.25">
      <c r="A8" s="7" t="s">
        <v>14</v>
      </c>
      <c r="B8" s="7" t="s">
        <v>77</v>
      </c>
      <c r="C8" s="12" t="s">
        <v>17</v>
      </c>
      <c r="D8" s="7"/>
      <c r="E8" s="7"/>
      <c r="F8" s="7"/>
      <c r="G8" s="7"/>
      <c r="H8" s="7"/>
      <c r="I8" s="7"/>
      <c r="J8" s="7">
        <v>2</v>
      </c>
      <c r="K8" s="8" t="s">
        <v>64</v>
      </c>
      <c r="L8" s="7">
        <v>2</v>
      </c>
      <c r="M8" s="8" t="s">
        <v>73</v>
      </c>
      <c r="N8" s="11">
        <f t="shared" ref="N8:N13" si="0">+D8+F8+H8+J8+L8</f>
        <v>4</v>
      </c>
    </row>
    <row r="9" spans="1:14" ht="18.75" x14ac:dyDescent="0.25">
      <c r="A9" s="7" t="s">
        <v>14</v>
      </c>
      <c r="B9" s="15" t="s">
        <v>78</v>
      </c>
      <c r="C9" s="12" t="s">
        <v>18</v>
      </c>
      <c r="D9" s="7"/>
      <c r="E9" s="7"/>
      <c r="F9" s="7"/>
      <c r="G9" s="7"/>
      <c r="H9" s="7">
        <v>2</v>
      </c>
      <c r="I9" s="8">
        <v>1</v>
      </c>
      <c r="J9" s="7"/>
      <c r="K9" s="8"/>
      <c r="L9" s="7"/>
      <c r="M9" s="8"/>
      <c r="N9" s="11">
        <f t="shared" si="0"/>
        <v>2</v>
      </c>
    </row>
    <row r="10" spans="1:14" ht="30" x14ac:dyDescent="0.25">
      <c r="A10" s="7" t="s">
        <v>19</v>
      </c>
      <c r="B10" s="7" t="s">
        <v>19</v>
      </c>
      <c r="C10" s="12" t="s">
        <v>20</v>
      </c>
      <c r="D10" s="7"/>
      <c r="E10" s="7"/>
      <c r="F10" s="7"/>
      <c r="G10" s="7"/>
      <c r="H10" s="7"/>
      <c r="I10" s="8"/>
      <c r="J10" s="7">
        <v>2</v>
      </c>
      <c r="K10" s="8" t="s">
        <v>65</v>
      </c>
      <c r="L10" s="7"/>
      <c r="M10" s="8"/>
      <c r="N10" s="11">
        <f t="shared" si="0"/>
        <v>2</v>
      </c>
    </row>
    <row r="11" spans="1:14" ht="30" x14ac:dyDescent="0.25">
      <c r="A11" s="7" t="s">
        <v>21</v>
      </c>
      <c r="B11" s="7" t="s">
        <v>21</v>
      </c>
      <c r="C11" s="12" t="s">
        <v>22</v>
      </c>
      <c r="D11" s="7"/>
      <c r="E11" s="7"/>
      <c r="F11" s="7"/>
      <c r="G11" s="7"/>
      <c r="H11" s="7">
        <v>2</v>
      </c>
      <c r="I11" s="8">
        <v>2</v>
      </c>
      <c r="J11" s="7">
        <v>2</v>
      </c>
      <c r="K11" s="8" t="s">
        <v>66</v>
      </c>
      <c r="L11" s="7"/>
      <c r="M11" s="8"/>
      <c r="N11" s="11">
        <f t="shared" si="0"/>
        <v>4</v>
      </c>
    </row>
    <row r="12" spans="1:14" ht="30" x14ac:dyDescent="0.25">
      <c r="A12" s="7" t="s">
        <v>23</v>
      </c>
      <c r="B12" s="7" t="s">
        <v>23</v>
      </c>
      <c r="C12" s="12" t="s">
        <v>24</v>
      </c>
      <c r="D12" s="7"/>
      <c r="E12" s="7"/>
      <c r="F12" s="7"/>
      <c r="G12" s="7"/>
      <c r="H12" s="7">
        <v>2</v>
      </c>
      <c r="I12" s="8">
        <v>3</v>
      </c>
      <c r="J12" s="7"/>
      <c r="K12" s="7"/>
      <c r="L12" s="7">
        <v>2</v>
      </c>
      <c r="M12" s="8" t="s">
        <v>64</v>
      </c>
      <c r="N12" s="11">
        <f t="shared" si="0"/>
        <v>4</v>
      </c>
    </row>
    <row r="13" spans="1:14" ht="18.75" x14ac:dyDescent="0.25">
      <c r="A13" s="7" t="s">
        <v>25</v>
      </c>
      <c r="B13" s="7" t="s">
        <v>25</v>
      </c>
      <c r="C13" s="12" t="s">
        <v>26</v>
      </c>
      <c r="D13" s="7"/>
      <c r="E13" s="7"/>
      <c r="F13" s="7"/>
      <c r="G13" s="7"/>
      <c r="H13" s="7">
        <v>2</v>
      </c>
      <c r="I13" s="8">
        <v>4</v>
      </c>
      <c r="J13" s="7"/>
      <c r="K13" s="7"/>
      <c r="L13" s="7"/>
      <c r="M13" s="7"/>
      <c r="N13" s="11">
        <f t="shared" si="0"/>
        <v>2</v>
      </c>
    </row>
    <row r="14" spans="1:14" ht="17.25" customHeight="1" x14ac:dyDescent="0.25">
      <c r="A14" s="25" t="s">
        <v>27</v>
      </c>
      <c r="B14" s="25"/>
      <c r="C14" s="25"/>
      <c r="D14" s="2">
        <f>SUM(D7:D13)</f>
        <v>0</v>
      </c>
      <c r="E14" s="2"/>
      <c r="F14" s="2">
        <f t="shared" ref="F14" si="1">SUM(F7:F13)</f>
        <v>0</v>
      </c>
      <c r="G14" s="2"/>
      <c r="H14" s="2">
        <f t="shared" ref="H14" si="2">SUM(H7:H13)</f>
        <v>8</v>
      </c>
      <c r="I14" s="2"/>
      <c r="J14" s="2">
        <f t="shared" ref="J14" si="3">SUM(J7:J13)</f>
        <v>8</v>
      </c>
      <c r="K14" s="2"/>
      <c r="L14" s="2">
        <f t="shared" ref="L14" si="4">SUM(L7:L13)</f>
        <v>4</v>
      </c>
      <c r="M14" s="2"/>
      <c r="N14" s="2">
        <f t="shared" ref="N14" si="5">SUM(N7:N13)</f>
        <v>20</v>
      </c>
    </row>
    <row r="15" spans="1:14" ht="17.25" customHeight="1" x14ac:dyDescent="0.25">
      <c r="A15" s="24" t="s">
        <v>28</v>
      </c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</row>
    <row r="16" spans="1:14" ht="15.75" x14ac:dyDescent="0.25">
      <c r="A16" s="9" t="s">
        <v>29</v>
      </c>
      <c r="B16" s="9" t="s">
        <v>29</v>
      </c>
      <c r="C16" s="13" t="s">
        <v>30</v>
      </c>
      <c r="D16" s="9"/>
      <c r="E16" s="9"/>
      <c r="F16" s="9"/>
      <c r="G16" s="9"/>
      <c r="H16" s="9">
        <v>2</v>
      </c>
      <c r="I16" s="10">
        <v>5</v>
      </c>
      <c r="J16" s="9"/>
      <c r="K16" s="9"/>
      <c r="L16" s="9"/>
      <c r="M16" s="9"/>
      <c r="N16" s="11">
        <f t="shared" ref="N16:N32" si="6">+D16+F16+H16+J16+L16</f>
        <v>2</v>
      </c>
    </row>
    <row r="17" spans="1:14" ht="15.75" x14ac:dyDescent="0.25">
      <c r="A17" s="9" t="s">
        <v>15</v>
      </c>
      <c r="B17" s="9" t="s">
        <v>15</v>
      </c>
      <c r="C17" s="13" t="s">
        <v>31</v>
      </c>
      <c r="D17" s="9">
        <v>2</v>
      </c>
      <c r="E17" s="10">
        <v>3</v>
      </c>
      <c r="F17" s="9"/>
      <c r="G17" s="9"/>
      <c r="H17" s="9"/>
      <c r="I17" s="9"/>
      <c r="J17" s="9"/>
      <c r="K17" s="9"/>
      <c r="L17" s="9"/>
      <c r="M17" s="9"/>
      <c r="N17" s="11">
        <f t="shared" si="6"/>
        <v>2</v>
      </c>
    </row>
    <row r="18" spans="1:14" ht="15.75" x14ac:dyDescent="0.25">
      <c r="A18" s="9" t="s">
        <v>15</v>
      </c>
      <c r="B18" s="9" t="s">
        <v>15</v>
      </c>
      <c r="C18" s="13" t="s">
        <v>32</v>
      </c>
      <c r="D18" s="9"/>
      <c r="E18" s="9"/>
      <c r="F18" s="9"/>
      <c r="G18" s="9"/>
      <c r="H18" s="9"/>
      <c r="I18" s="9"/>
      <c r="J18" s="9">
        <v>2</v>
      </c>
      <c r="K18" s="10" t="s">
        <v>67</v>
      </c>
      <c r="L18" s="9"/>
      <c r="M18" s="9"/>
      <c r="N18" s="11">
        <f t="shared" si="6"/>
        <v>2</v>
      </c>
    </row>
    <row r="19" spans="1:14" ht="15.75" x14ac:dyDescent="0.25">
      <c r="A19" s="9" t="s">
        <v>14</v>
      </c>
      <c r="B19" s="9" t="s">
        <v>14</v>
      </c>
      <c r="C19" s="13" t="s">
        <v>33</v>
      </c>
      <c r="D19" s="9"/>
      <c r="E19" s="9"/>
      <c r="F19" s="9"/>
      <c r="G19" s="9"/>
      <c r="H19" s="9"/>
      <c r="I19" s="9"/>
      <c r="J19" s="9"/>
      <c r="K19" s="9"/>
      <c r="L19" s="9">
        <v>2</v>
      </c>
      <c r="M19" s="10" t="s">
        <v>72</v>
      </c>
      <c r="N19" s="11">
        <f t="shared" si="6"/>
        <v>2</v>
      </c>
    </row>
    <row r="20" spans="1:14" ht="30" x14ac:dyDescent="0.25">
      <c r="A20" s="9" t="s">
        <v>14</v>
      </c>
      <c r="B20" s="9" t="s">
        <v>14</v>
      </c>
      <c r="C20" s="13" t="s">
        <v>34</v>
      </c>
      <c r="D20" s="9"/>
      <c r="E20" s="9"/>
      <c r="F20" s="9"/>
      <c r="G20" s="9"/>
      <c r="H20" s="9"/>
      <c r="I20" s="9"/>
      <c r="J20" s="9">
        <v>2</v>
      </c>
      <c r="K20" s="10" t="s">
        <v>63</v>
      </c>
      <c r="L20" s="9"/>
      <c r="M20" s="9"/>
      <c r="N20" s="11">
        <f t="shared" si="6"/>
        <v>2</v>
      </c>
    </row>
    <row r="21" spans="1:14" ht="15.75" x14ac:dyDescent="0.25">
      <c r="A21" s="9" t="s">
        <v>19</v>
      </c>
      <c r="B21" s="9" t="s">
        <v>19</v>
      </c>
      <c r="C21" s="13" t="s">
        <v>35</v>
      </c>
      <c r="D21" s="9">
        <v>2</v>
      </c>
      <c r="E21" s="10">
        <v>2</v>
      </c>
      <c r="F21" s="9"/>
      <c r="G21" s="9"/>
      <c r="H21" s="9"/>
      <c r="I21" s="9"/>
      <c r="J21" s="9"/>
      <c r="K21" s="9"/>
      <c r="L21" s="9"/>
      <c r="M21" s="9"/>
      <c r="N21" s="11">
        <f t="shared" si="6"/>
        <v>2</v>
      </c>
    </row>
    <row r="22" spans="1:14" ht="30" x14ac:dyDescent="0.25">
      <c r="A22" s="9" t="s">
        <v>19</v>
      </c>
      <c r="B22" s="9" t="s">
        <v>19</v>
      </c>
      <c r="C22" s="13" t="s">
        <v>36</v>
      </c>
      <c r="D22" s="9">
        <v>2</v>
      </c>
      <c r="E22" s="10">
        <v>1</v>
      </c>
      <c r="F22" s="9"/>
      <c r="G22" s="9"/>
      <c r="H22" s="9"/>
      <c r="I22" s="9"/>
      <c r="J22" s="9"/>
      <c r="K22" s="9"/>
      <c r="L22" s="9"/>
      <c r="M22" s="9"/>
      <c r="N22" s="11">
        <f t="shared" si="6"/>
        <v>2</v>
      </c>
    </row>
    <row r="23" spans="1:14" ht="30" x14ac:dyDescent="0.25">
      <c r="A23" s="9" t="s">
        <v>21</v>
      </c>
      <c r="B23" s="9" t="s">
        <v>21</v>
      </c>
      <c r="C23" s="13" t="s">
        <v>37</v>
      </c>
      <c r="D23" s="9"/>
      <c r="E23" s="9"/>
      <c r="F23" s="9"/>
      <c r="G23" s="9"/>
      <c r="H23" s="9"/>
      <c r="I23" s="9"/>
      <c r="J23" s="9"/>
      <c r="K23" s="9"/>
      <c r="L23" s="9">
        <v>2</v>
      </c>
      <c r="M23" s="10" t="s">
        <v>71</v>
      </c>
      <c r="N23" s="11">
        <f t="shared" si="6"/>
        <v>2</v>
      </c>
    </row>
    <row r="24" spans="1:14" ht="30" x14ac:dyDescent="0.25">
      <c r="A24" s="9" t="s">
        <v>21</v>
      </c>
      <c r="B24" s="9" t="s">
        <v>21</v>
      </c>
      <c r="C24" s="13" t="s">
        <v>21</v>
      </c>
      <c r="D24" s="9"/>
      <c r="E24" s="9"/>
      <c r="F24" s="9">
        <v>2</v>
      </c>
      <c r="G24" s="10">
        <v>2</v>
      </c>
      <c r="H24" s="9"/>
      <c r="I24" s="9"/>
      <c r="J24" s="9"/>
      <c r="K24" s="9"/>
      <c r="L24" s="9"/>
      <c r="M24" s="9"/>
      <c r="N24" s="11">
        <f t="shared" si="6"/>
        <v>2</v>
      </c>
    </row>
    <row r="25" spans="1:14" ht="15.75" x14ac:dyDescent="0.25">
      <c r="A25" s="9" t="s">
        <v>21</v>
      </c>
      <c r="B25" s="9" t="s">
        <v>21</v>
      </c>
      <c r="C25" s="13" t="s">
        <v>38</v>
      </c>
      <c r="D25" s="9"/>
      <c r="E25" s="9"/>
      <c r="F25" s="9">
        <v>2</v>
      </c>
      <c r="G25" s="10">
        <v>1</v>
      </c>
      <c r="H25" s="9"/>
      <c r="I25" s="9"/>
      <c r="J25" s="9"/>
      <c r="K25" s="9"/>
      <c r="L25" s="9"/>
      <c r="M25" s="9"/>
      <c r="N25" s="11">
        <f t="shared" si="6"/>
        <v>2</v>
      </c>
    </row>
    <row r="26" spans="1:14" ht="15.75" x14ac:dyDescent="0.25">
      <c r="A26" s="9" t="s">
        <v>21</v>
      </c>
      <c r="B26" s="9" t="s">
        <v>21</v>
      </c>
      <c r="C26" s="13" t="s">
        <v>39</v>
      </c>
      <c r="D26" s="9"/>
      <c r="E26" s="9"/>
      <c r="F26" s="9"/>
      <c r="G26" s="9"/>
      <c r="H26" s="9">
        <v>2</v>
      </c>
      <c r="I26" s="10">
        <v>6</v>
      </c>
      <c r="J26" s="9"/>
      <c r="K26" s="9"/>
      <c r="L26" s="9"/>
      <c r="M26" s="9"/>
      <c r="N26" s="11">
        <f t="shared" si="6"/>
        <v>2</v>
      </c>
    </row>
    <row r="27" spans="1:14" ht="15.75" x14ac:dyDescent="0.25">
      <c r="A27" s="9" t="s">
        <v>40</v>
      </c>
      <c r="B27" s="9" t="s">
        <v>40</v>
      </c>
      <c r="C27" s="13" t="s">
        <v>41</v>
      </c>
      <c r="D27" s="9"/>
      <c r="E27" s="9"/>
      <c r="F27" s="9"/>
      <c r="G27" s="9"/>
      <c r="H27" s="9"/>
      <c r="I27" s="9"/>
      <c r="J27" s="9"/>
      <c r="K27" s="9"/>
      <c r="L27" s="9">
        <v>2</v>
      </c>
      <c r="M27" s="10" t="s">
        <v>66</v>
      </c>
      <c r="N27" s="11">
        <f t="shared" si="6"/>
        <v>2</v>
      </c>
    </row>
    <row r="28" spans="1:14" ht="15.75" x14ac:dyDescent="0.25">
      <c r="A28" s="9" t="s">
        <v>23</v>
      </c>
      <c r="B28" s="9" t="s">
        <v>23</v>
      </c>
      <c r="C28" s="13" t="s">
        <v>42</v>
      </c>
      <c r="D28" s="9"/>
      <c r="E28" s="9"/>
      <c r="F28" s="9"/>
      <c r="G28" s="9"/>
      <c r="H28" s="9"/>
      <c r="I28" s="9"/>
      <c r="J28" s="9">
        <v>2</v>
      </c>
      <c r="K28" s="10" t="s">
        <v>68</v>
      </c>
      <c r="L28" s="9"/>
      <c r="M28" s="9"/>
      <c r="N28" s="11">
        <f t="shared" si="6"/>
        <v>2</v>
      </c>
    </row>
    <row r="29" spans="1:14" ht="15.75" x14ac:dyDescent="0.25">
      <c r="A29" s="9" t="s">
        <v>23</v>
      </c>
      <c r="B29" s="9" t="s">
        <v>23</v>
      </c>
      <c r="C29" s="13" t="s">
        <v>43</v>
      </c>
      <c r="D29" s="9"/>
      <c r="E29" s="9"/>
      <c r="F29" s="9"/>
      <c r="G29" s="9"/>
      <c r="H29" s="9"/>
      <c r="I29" s="9"/>
      <c r="J29" s="9"/>
      <c r="K29" s="9"/>
      <c r="L29" s="9">
        <v>2</v>
      </c>
      <c r="M29" s="10" t="s">
        <v>67</v>
      </c>
      <c r="N29" s="11">
        <f t="shared" si="6"/>
        <v>2</v>
      </c>
    </row>
    <row r="30" spans="1:14" ht="15.75" x14ac:dyDescent="0.25">
      <c r="A30" s="9" t="s">
        <v>23</v>
      </c>
      <c r="B30" s="9" t="s">
        <v>23</v>
      </c>
      <c r="C30" s="13" t="s">
        <v>44</v>
      </c>
      <c r="D30" s="9"/>
      <c r="E30" s="9"/>
      <c r="F30" s="9"/>
      <c r="G30" s="9"/>
      <c r="H30" s="9">
        <v>2</v>
      </c>
      <c r="I30" s="10">
        <v>7</v>
      </c>
      <c r="J30" s="9"/>
      <c r="K30" s="9"/>
      <c r="L30" s="9"/>
      <c r="M30" s="9"/>
      <c r="N30" s="11">
        <f t="shared" si="6"/>
        <v>2</v>
      </c>
    </row>
    <row r="31" spans="1:14" ht="30" x14ac:dyDescent="0.25">
      <c r="A31" s="9" t="s">
        <v>25</v>
      </c>
      <c r="B31" s="9" t="s">
        <v>25</v>
      </c>
      <c r="C31" s="13" t="s">
        <v>45</v>
      </c>
      <c r="D31" s="9"/>
      <c r="E31" s="9"/>
      <c r="F31" s="9"/>
      <c r="G31" s="9"/>
      <c r="H31" s="9"/>
      <c r="I31" s="9"/>
      <c r="J31" s="9">
        <v>2</v>
      </c>
      <c r="K31" s="10" t="s">
        <v>69</v>
      </c>
      <c r="L31" s="9"/>
      <c r="M31" s="9"/>
      <c r="N31" s="11">
        <f t="shared" si="6"/>
        <v>2</v>
      </c>
    </row>
    <row r="32" spans="1:14" ht="15.75" x14ac:dyDescent="0.25">
      <c r="A32" s="9" t="s">
        <v>46</v>
      </c>
      <c r="B32" s="9" t="s">
        <v>46</v>
      </c>
      <c r="C32" s="13" t="s">
        <v>47</v>
      </c>
      <c r="D32" s="9"/>
      <c r="E32" s="9"/>
      <c r="F32" s="9"/>
      <c r="G32" s="9"/>
      <c r="H32" s="9"/>
      <c r="I32" s="9"/>
      <c r="J32" s="9"/>
      <c r="K32" s="9"/>
      <c r="L32" s="9">
        <v>2</v>
      </c>
      <c r="M32" s="10" t="s">
        <v>70</v>
      </c>
      <c r="N32" s="11">
        <f t="shared" si="6"/>
        <v>2</v>
      </c>
    </row>
    <row r="33" spans="1:14" ht="15.75" x14ac:dyDescent="0.25">
      <c r="A33" s="25" t="s">
        <v>49</v>
      </c>
      <c r="B33" s="25"/>
      <c r="C33" s="25"/>
      <c r="D33" s="2">
        <f>SUM(D16:D32)</f>
        <v>6</v>
      </c>
      <c r="F33" s="2">
        <f t="shared" ref="F33" si="7">SUM(F16:F32)</f>
        <v>4</v>
      </c>
      <c r="H33" s="2">
        <f t="shared" ref="H33" si="8">SUM(H16:H32)</f>
        <v>6</v>
      </c>
      <c r="J33" s="2">
        <f t="shared" ref="J33" si="9">SUM(J16:J32)</f>
        <v>8</v>
      </c>
      <c r="L33" s="2">
        <f t="shared" ref="L33" si="10">SUM(L16:L32)</f>
        <v>10</v>
      </c>
      <c r="N33" s="2">
        <f>SUM(N16:N32)</f>
        <v>34</v>
      </c>
    </row>
    <row r="34" spans="1:14" ht="15.75" x14ac:dyDescent="0.25">
      <c r="A34" s="17" t="s">
        <v>48</v>
      </c>
      <c r="B34" s="18"/>
      <c r="C34" s="19"/>
      <c r="D34" s="2">
        <f>+D14+D33</f>
        <v>6</v>
      </c>
      <c r="E34" s="2"/>
      <c r="F34" s="2">
        <f t="shared" ref="F34" si="11">+F14+F33</f>
        <v>4</v>
      </c>
      <c r="G34" s="2"/>
      <c r="H34" s="2">
        <f t="shared" ref="H34" si="12">+H14+H33</f>
        <v>14</v>
      </c>
      <c r="I34" s="2"/>
      <c r="J34" s="2">
        <f t="shared" ref="J34" si="13">+J14+J33</f>
        <v>16</v>
      </c>
      <c r="K34" s="2"/>
      <c r="L34" s="2">
        <f t="shared" ref="L34" si="14">+L14+L33</f>
        <v>14</v>
      </c>
      <c r="M34" s="2"/>
      <c r="N34" s="2">
        <f t="shared" ref="N34" si="15">+N14+N33</f>
        <v>54</v>
      </c>
    </row>
  </sheetData>
  <mergeCells count="18">
    <mergeCell ref="A15:N15"/>
    <mergeCell ref="A34:C34"/>
    <mergeCell ref="A33:C33"/>
    <mergeCell ref="D5:E5"/>
    <mergeCell ref="F5:G5"/>
    <mergeCell ref="H5:I5"/>
    <mergeCell ref="J5:K5"/>
    <mergeCell ref="L5:M5"/>
    <mergeCell ref="A14:C14"/>
    <mergeCell ref="A1:N1"/>
    <mergeCell ref="A2:N2"/>
    <mergeCell ref="A3:N3"/>
    <mergeCell ref="A4:B5"/>
    <mergeCell ref="D4:E4"/>
    <mergeCell ref="F4:G4"/>
    <mergeCell ref="H4:I4"/>
    <mergeCell ref="J4:K4"/>
    <mergeCell ref="L4:M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0"/>
  <sheetViews>
    <sheetView tabSelected="1" workbookViewId="0">
      <selection activeCell="A15" sqref="A15:B18"/>
    </sheetView>
  </sheetViews>
  <sheetFormatPr defaultRowHeight="15" x14ac:dyDescent="0.25"/>
  <cols>
    <col min="3" max="3" width="17.28515625" customWidth="1"/>
  </cols>
  <sheetData>
    <row r="1" spans="1:14" ht="25.5" customHeight="1" x14ac:dyDescent="0.25">
      <c r="A1" s="28" t="s">
        <v>61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</row>
    <row r="2" spans="1:14" ht="25.5" customHeight="1" x14ac:dyDescent="0.25">
      <c r="A2" s="16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</row>
    <row r="3" spans="1:14" ht="25.5" customHeight="1" x14ac:dyDescent="0.25">
      <c r="A3" s="17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9"/>
    </row>
    <row r="4" spans="1:14" ht="25.5" customHeight="1" x14ac:dyDescent="0.25">
      <c r="A4" s="20" t="s">
        <v>50</v>
      </c>
      <c r="B4" s="21"/>
      <c r="C4" s="1" t="s">
        <v>76</v>
      </c>
      <c r="D4" s="17">
        <v>4</v>
      </c>
      <c r="E4" s="19"/>
      <c r="F4" s="17">
        <v>0</v>
      </c>
      <c r="G4" s="19"/>
      <c r="H4" s="17">
        <v>8</v>
      </c>
      <c r="I4" s="19"/>
      <c r="J4" s="17">
        <v>8</v>
      </c>
      <c r="K4" s="19"/>
      <c r="L4" s="17">
        <v>8</v>
      </c>
      <c r="M4" s="19"/>
      <c r="N4" s="2" t="s">
        <v>3</v>
      </c>
    </row>
    <row r="5" spans="1:14" ht="25.5" customHeight="1" x14ac:dyDescent="0.25">
      <c r="A5" s="22"/>
      <c r="B5" s="23"/>
      <c r="C5" s="4"/>
      <c r="D5" s="26" t="s">
        <v>4</v>
      </c>
      <c r="E5" s="27"/>
      <c r="F5" s="26" t="s">
        <v>5</v>
      </c>
      <c r="G5" s="27"/>
      <c r="H5" s="26" t="s">
        <v>6</v>
      </c>
      <c r="I5" s="27"/>
      <c r="J5" s="26" t="s">
        <v>7</v>
      </c>
      <c r="K5" s="27"/>
      <c r="L5" s="26" t="s">
        <v>8</v>
      </c>
      <c r="M5" s="27"/>
      <c r="N5" s="2">
        <f>D4+F4+H4+J4+L4</f>
        <v>28</v>
      </c>
    </row>
    <row r="6" spans="1:14" ht="38.25" customHeight="1" x14ac:dyDescent="0.25">
      <c r="A6" s="3" t="s">
        <v>9</v>
      </c>
      <c r="B6" s="3" t="s">
        <v>10</v>
      </c>
      <c r="C6" s="4" t="s">
        <v>11</v>
      </c>
      <c r="D6" s="5" t="s">
        <v>12</v>
      </c>
      <c r="E6" s="6" t="s">
        <v>13</v>
      </c>
      <c r="F6" s="6" t="s">
        <v>12</v>
      </c>
      <c r="G6" s="6" t="s">
        <v>13</v>
      </c>
      <c r="H6" s="6" t="s">
        <v>12</v>
      </c>
      <c r="I6" s="6" t="s">
        <v>13</v>
      </c>
      <c r="J6" s="6" t="s">
        <v>12</v>
      </c>
      <c r="K6" s="6" t="s">
        <v>13</v>
      </c>
      <c r="L6" s="6" t="s">
        <v>12</v>
      </c>
      <c r="M6" s="6" t="s">
        <v>13</v>
      </c>
      <c r="N6" s="2"/>
    </row>
    <row r="7" spans="1:14" ht="18" customHeight="1" x14ac:dyDescent="0.25">
      <c r="A7" s="7" t="s">
        <v>29</v>
      </c>
      <c r="B7" s="7" t="s">
        <v>29</v>
      </c>
      <c r="C7" s="7" t="s">
        <v>51</v>
      </c>
      <c r="D7" s="7"/>
      <c r="E7" s="7"/>
      <c r="F7" s="7"/>
      <c r="G7" s="7"/>
      <c r="H7" s="7">
        <v>2</v>
      </c>
      <c r="I7" s="8">
        <v>3</v>
      </c>
      <c r="J7" s="7">
        <v>2</v>
      </c>
      <c r="K7" s="8" t="s">
        <v>73</v>
      </c>
      <c r="L7" s="7"/>
      <c r="M7" s="7"/>
      <c r="N7" s="11"/>
    </row>
    <row r="8" spans="1:14" ht="18.75" x14ac:dyDescent="0.25">
      <c r="A8" s="7" t="s">
        <v>29</v>
      </c>
      <c r="B8" s="7" t="s">
        <v>29</v>
      </c>
      <c r="C8" s="7" t="s">
        <v>52</v>
      </c>
      <c r="D8" s="7"/>
      <c r="E8" s="7"/>
      <c r="F8" s="7"/>
      <c r="G8" s="7"/>
      <c r="H8" s="7">
        <v>2</v>
      </c>
      <c r="I8" s="8">
        <v>2</v>
      </c>
      <c r="J8" s="7"/>
      <c r="K8" s="8"/>
      <c r="L8" s="7"/>
      <c r="M8" s="7"/>
      <c r="N8" s="11"/>
    </row>
    <row r="9" spans="1:14" ht="18.75" x14ac:dyDescent="0.25">
      <c r="A9" s="7" t="s">
        <v>14</v>
      </c>
      <c r="B9" s="15" t="s">
        <v>78</v>
      </c>
      <c r="C9" s="7" t="s">
        <v>53</v>
      </c>
      <c r="D9" s="7"/>
      <c r="E9" s="7"/>
      <c r="F9" s="7"/>
      <c r="G9" s="7"/>
      <c r="H9" s="7"/>
      <c r="I9" s="8"/>
      <c r="J9" s="7"/>
      <c r="K9" s="8"/>
      <c r="L9" s="7"/>
      <c r="M9" s="7"/>
      <c r="N9" s="11"/>
    </row>
    <row r="10" spans="1:14" ht="18.75" x14ac:dyDescent="0.25">
      <c r="A10" s="7" t="s">
        <v>23</v>
      </c>
      <c r="B10" s="7" t="s">
        <v>23</v>
      </c>
      <c r="C10" s="7" t="s">
        <v>54</v>
      </c>
      <c r="D10" s="7">
        <v>2</v>
      </c>
      <c r="E10" s="8">
        <v>1</v>
      </c>
      <c r="F10" s="7"/>
      <c r="G10" s="7"/>
      <c r="H10" s="7"/>
      <c r="I10" s="8"/>
      <c r="J10" s="7">
        <v>2</v>
      </c>
      <c r="K10" s="8" t="s">
        <v>74</v>
      </c>
      <c r="L10" s="7">
        <v>2</v>
      </c>
      <c r="M10" s="8" t="s">
        <v>73</v>
      </c>
      <c r="N10" s="11"/>
    </row>
    <row r="11" spans="1:14" ht="18.75" x14ac:dyDescent="0.25">
      <c r="A11" s="7" t="s">
        <v>25</v>
      </c>
      <c r="B11" s="7" t="s">
        <v>25</v>
      </c>
      <c r="C11" s="7" t="s">
        <v>55</v>
      </c>
      <c r="D11" s="7"/>
      <c r="E11" s="7"/>
      <c r="F11" s="7"/>
      <c r="G11" s="7"/>
      <c r="H11" s="7">
        <v>2</v>
      </c>
      <c r="I11" s="8">
        <v>1</v>
      </c>
      <c r="J11" s="7"/>
      <c r="K11" s="8"/>
      <c r="L11" s="7"/>
      <c r="M11" s="8"/>
      <c r="N11" s="11"/>
    </row>
    <row r="12" spans="1:14" ht="18.75" x14ac:dyDescent="0.25">
      <c r="A12" s="7" t="s">
        <v>46</v>
      </c>
      <c r="B12" s="7" t="s">
        <v>46</v>
      </c>
      <c r="C12" s="7" t="s">
        <v>56</v>
      </c>
      <c r="D12" s="7"/>
      <c r="E12" s="7"/>
      <c r="F12" s="7"/>
      <c r="G12" s="7"/>
      <c r="H12" s="7">
        <v>2</v>
      </c>
      <c r="I12" s="8">
        <v>4</v>
      </c>
      <c r="J12" s="7">
        <v>2</v>
      </c>
      <c r="K12" s="8" t="s">
        <v>65</v>
      </c>
      <c r="L12" s="7">
        <v>2</v>
      </c>
      <c r="M12" s="8" t="s">
        <v>64</v>
      </c>
      <c r="N12" s="11"/>
    </row>
    <row r="13" spans="1:14" ht="17.25" customHeight="1" x14ac:dyDescent="0.25">
      <c r="A13" s="25" t="s">
        <v>27</v>
      </c>
      <c r="B13" s="25"/>
      <c r="C13" s="25"/>
      <c r="D13" s="2">
        <f>SUM(D7:D12)</f>
        <v>2</v>
      </c>
      <c r="E13" s="2"/>
      <c r="F13" s="2">
        <f t="shared" ref="F13" si="0">SUM(F7:F12)</f>
        <v>0</v>
      </c>
      <c r="G13" s="2"/>
      <c r="H13" s="2">
        <f t="shared" ref="H13" si="1">SUM(H7:H12)</f>
        <v>8</v>
      </c>
      <c r="I13" s="2"/>
      <c r="J13" s="2">
        <f t="shared" ref="J13" si="2">SUM(J7:J12)</f>
        <v>6</v>
      </c>
      <c r="K13" s="2"/>
      <c r="L13" s="2">
        <f t="shared" ref="L13" si="3">SUM(L7:L12)</f>
        <v>4</v>
      </c>
      <c r="M13" s="2"/>
      <c r="N13" s="2">
        <f>L13+J13+H13+F13+D13</f>
        <v>20</v>
      </c>
    </row>
    <row r="14" spans="1:14" ht="17.25" customHeight="1" x14ac:dyDescent="0.25">
      <c r="A14" s="24" t="s">
        <v>28</v>
      </c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</row>
    <row r="15" spans="1:14" ht="18.75" x14ac:dyDescent="0.25">
      <c r="A15" s="9" t="s">
        <v>19</v>
      </c>
      <c r="B15" s="9" t="s">
        <v>19</v>
      </c>
      <c r="C15" s="9" t="s">
        <v>57</v>
      </c>
      <c r="D15" s="9">
        <v>2</v>
      </c>
      <c r="E15" s="14">
        <v>2</v>
      </c>
      <c r="F15" s="9"/>
      <c r="G15" s="9"/>
      <c r="H15" s="9"/>
      <c r="I15" s="9"/>
      <c r="J15" s="9"/>
      <c r="K15" s="9"/>
      <c r="L15" s="9"/>
      <c r="M15" s="9"/>
      <c r="N15" s="11"/>
    </row>
    <row r="16" spans="1:14" ht="15.75" x14ac:dyDescent="0.25">
      <c r="A16" s="9" t="s">
        <v>21</v>
      </c>
      <c r="B16" s="9" t="s">
        <v>21</v>
      </c>
      <c r="C16" s="9" t="s">
        <v>58</v>
      </c>
      <c r="D16" s="9"/>
      <c r="E16" s="9"/>
      <c r="F16" s="9"/>
      <c r="G16" s="9"/>
      <c r="H16" s="9"/>
      <c r="I16" s="9"/>
      <c r="J16" s="9"/>
      <c r="K16" s="9"/>
      <c r="L16" s="9">
        <v>2</v>
      </c>
      <c r="M16" s="10" t="s">
        <v>65</v>
      </c>
      <c r="N16" s="11"/>
    </row>
    <row r="17" spans="1:14" ht="18.75" x14ac:dyDescent="0.25">
      <c r="A17" s="9" t="s">
        <v>40</v>
      </c>
      <c r="B17" s="9" t="s">
        <v>40</v>
      </c>
      <c r="C17" s="9" t="s">
        <v>59</v>
      </c>
      <c r="D17" s="9"/>
      <c r="E17" s="9"/>
      <c r="F17" s="9"/>
      <c r="G17" s="9"/>
      <c r="H17" s="9"/>
      <c r="I17" s="9"/>
      <c r="J17" s="9">
        <v>2</v>
      </c>
      <c r="K17" s="14" t="s">
        <v>66</v>
      </c>
      <c r="L17" s="9"/>
      <c r="M17" s="9"/>
      <c r="N17" s="11"/>
    </row>
    <row r="18" spans="1:14" ht="15.75" x14ac:dyDescent="0.25">
      <c r="A18" s="9" t="s">
        <v>40</v>
      </c>
      <c r="B18" s="9" t="s">
        <v>40</v>
      </c>
      <c r="C18" s="9" t="s">
        <v>60</v>
      </c>
      <c r="D18" s="9"/>
      <c r="E18" s="9"/>
      <c r="F18" s="9"/>
      <c r="G18" s="9"/>
      <c r="H18" s="9"/>
      <c r="I18" s="9"/>
      <c r="J18" s="9"/>
      <c r="K18" s="9"/>
      <c r="L18" s="9">
        <v>2</v>
      </c>
      <c r="M18" s="10" t="s">
        <v>75</v>
      </c>
      <c r="N18" s="11"/>
    </row>
    <row r="19" spans="1:14" ht="15.75" x14ac:dyDescent="0.25">
      <c r="A19" s="25" t="s">
        <v>49</v>
      </c>
      <c r="B19" s="25"/>
      <c r="C19" s="25"/>
      <c r="D19" s="2">
        <f>SUM(D15:D18)</f>
        <v>2</v>
      </c>
      <c r="F19" s="2">
        <f t="shared" ref="F19" si="4">SUM(F15:F18)</f>
        <v>0</v>
      </c>
      <c r="H19" s="2">
        <f t="shared" ref="H19" si="5">SUM(H15:H18)</f>
        <v>0</v>
      </c>
      <c r="J19" s="2">
        <f t="shared" ref="J19" si="6">SUM(J15:J18)</f>
        <v>2</v>
      </c>
      <c r="L19" s="2">
        <f t="shared" ref="L19" si="7">SUM(L15:L18)</f>
        <v>4</v>
      </c>
      <c r="N19" s="2">
        <f>L19+J19+H19+F19+D19</f>
        <v>8</v>
      </c>
    </row>
    <row r="20" spans="1:14" ht="15.75" x14ac:dyDescent="0.25">
      <c r="A20" s="17" t="s">
        <v>48</v>
      </c>
      <c r="B20" s="18"/>
      <c r="C20" s="19"/>
      <c r="D20" s="2">
        <f>+D13+D19</f>
        <v>4</v>
      </c>
      <c r="E20" s="2"/>
      <c r="F20" s="2">
        <f t="shared" ref="F20" si="8">+F13+F19</f>
        <v>0</v>
      </c>
      <c r="G20" s="2"/>
      <c r="H20" s="2">
        <f t="shared" ref="H20" si="9">+H13+H19</f>
        <v>8</v>
      </c>
      <c r="I20" s="2"/>
      <c r="J20" s="2">
        <f t="shared" ref="J20" si="10">+J13+J19</f>
        <v>8</v>
      </c>
      <c r="K20" s="2"/>
      <c r="L20" s="2">
        <f t="shared" ref="L20" si="11">+L13+L19</f>
        <v>8</v>
      </c>
      <c r="M20" s="2"/>
      <c r="N20" s="2">
        <f t="shared" ref="N20" si="12">+N13+N19</f>
        <v>28</v>
      </c>
    </row>
  </sheetData>
  <mergeCells count="18">
    <mergeCell ref="A14:N14"/>
    <mergeCell ref="A19:C19"/>
    <mergeCell ref="A20:C20"/>
    <mergeCell ref="D5:E5"/>
    <mergeCell ref="F5:G5"/>
    <mergeCell ref="H5:I5"/>
    <mergeCell ref="J5:K5"/>
    <mergeCell ref="L5:M5"/>
    <mergeCell ref="A13:C13"/>
    <mergeCell ref="A1:N1"/>
    <mergeCell ref="A2:N2"/>
    <mergeCell ref="A3:N3"/>
    <mergeCell ref="A4:B5"/>
    <mergeCell ref="D4:E4"/>
    <mergeCell ref="F4:G4"/>
    <mergeCell ref="H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CENTRAL 2.0</vt:lpstr>
      <vt:lpstr>STATE 2.0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2026-09-21T15:16:22Z</dcterms:modified>
</cp:coreProperties>
</file>
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"/>
    </mc:Choice>
  </mc:AlternateContent>
  <xr:revisionPtr revIDLastSave="0" documentId="13_ncr:1_{CF95B97B-A623-4E40-B5DB-149E92D903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" sheetId="1" r:id="rId1"/>
    <sheet name="state" sheetId="2" r:id="rId2"/>
  </sheets>
  <definedNames>
    <definedName name="_xlnm.Print_Area" localSheetId="0">central!$B$1:$AK$33</definedName>
    <definedName name="_xlnm.Print_Area" localSheetId="1">state!$B$1:$AK$33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4" i="2" l="1"/>
  <c r="AE34" i="2"/>
  <c r="AC34" i="2"/>
  <c r="AA34" i="2"/>
  <c r="Y34" i="2"/>
  <c r="W34" i="2"/>
  <c r="U34" i="2"/>
  <c r="P34" i="2"/>
  <c r="M34" i="2"/>
  <c r="K34" i="2"/>
  <c r="I34" i="2"/>
  <c r="G34" i="2"/>
  <c r="E34" i="2"/>
  <c r="O34" i="2"/>
  <c r="AG34" i="2"/>
  <c r="T34" i="2"/>
  <c r="R34" i="2"/>
  <c r="D34" i="2"/>
  <c r="C34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C33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4" i="2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4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C33" i="1"/>
  <c r="AK25" i="1" l="1"/>
  <c r="AK5" i="1"/>
  <c r="AK24" i="1"/>
  <c r="AK23" i="1"/>
  <c r="AK22" i="1"/>
  <c r="AK12" i="1"/>
  <c r="AK32" i="1"/>
  <c r="AK21" i="1"/>
  <c r="AK31" i="1"/>
  <c r="AK20" i="1"/>
  <c r="AK30" i="1"/>
  <c r="AK19" i="1"/>
  <c r="AK29" i="1"/>
  <c r="AK9" i="1"/>
  <c r="AK28" i="1"/>
  <c r="AK8" i="1"/>
  <c r="AK17" i="1"/>
  <c r="AK11" i="1"/>
  <c r="AK18" i="1"/>
  <c r="AK27" i="1"/>
  <c r="AK7" i="1"/>
  <c r="AK16" i="1"/>
  <c r="AK26" i="1"/>
  <c r="AK6" i="1"/>
  <c r="AK15" i="1"/>
  <c r="AK14" i="1"/>
  <c r="AK4" i="1"/>
  <c r="AK13" i="1"/>
  <c r="S33" i="1"/>
  <c r="AK10" i="1"/>
  <c r="AJ33" i="1"/>
  <c r="AK33" i="1" l="1"/>
</calcChain>
</file>

<file path=xl/sharedStrings.xml><?xml version="1.0" encoding="utf-8"?>
<sst xmlns="http://schemas.openxmlformats.org/spreadsheetml/2006/main" count="175" uniqueCount="52">
  <si>
    <t>Kharif</t>
  </si>
  <si>
    <t>Rabi</t>
  </si>
  <si>
    <t>paddy_kar</t>
  </si>
  <si>
    <t>paddy_samba</t>
  </si>
  <si>
    <t>jowar</t>
  </si>
  <si>
    <t>bajra</t>
  </si>
  <si>
    <t>maize</t>
  </si>
  <si>
    <t>groundnut</t>
  </si>
  <si>
    <t>gingelly</t>
  </si>
  <si>
    <t>redgram</t>
  </si>
  <si>
    <t>cotton</t>
  </si>
  <si>
    <t>sugarcane</t>
  </si>
  <si>
    <t>paddy_navrai</t>
  </si>
  <si>
    <t>blackgram</t>
  </si>
  <si>
    <t>greengram</t>
  </si>
  <si>
    <t>horsegram</t>
  </si>
  <si>
    <t>--</t>
  </si>
  <si>
    <t>UI</t>
  </si>
  <si>
    <t>IR</t>
  </si>
  <si>
    <t>Erode</t>
  </si>
  <si>
    <t>Coimbatore</t>
  </si>
  <si>
    <t>Dharmapuri</t>
  </si>
  <si>
    <t>Krishnagiri</t>
  </si>
  <si>
    <t>Thirupathur</t>
  </si>
  <si>
    <t>Salem</t>
  </si>
  <si>
    <t>Namakkal</t>
  </si>
  <si>
    <t>Karur</t>
  </si>
  <si>
    <t>Perambalur</t>
  </si>
  <si>
    <t>Ariyalur</t>
  </si>
  <si>
    <t>Thiruvallur</t>
  </si>
  <si>
    <t>kancheepuram</t>
  </si>
  <si>
    <t>Chengalpattu</t>
  </si>
  <si>
    <t>Cuddalore</t>
  </si>
  <si>
    <t>Kallakuruchi</t>
  </si>
  <si>
    <t>Vellore</t>
  </si>
  <si>
    <t>Ranipet</t>
  </si>
  <si>
    <t>Dindigul</t>
  </si>
  <si>
    <t>Sivagangai</t>
  </si>
  <si>
    <t>Madurai</t>
  </si>
  <si>
    <t>Theni</t>
  </si>
  <si>
    <t>Nagapattinam</t>
  </si>
  <si>
    <t>Thiruvarur</t>
  </si>
  <si>
    <t>Thanjavur</t>
  </si>
  <si>
    <t>Thoothukkudi</t>
  </si>
  <si>
    <t>Thirunelveli</t>
  </si>
  <si>
    <t>Tenkasi</t>
  </si>
  <si>
    <t>Virudhunagar</t>
  </si>
  <si>
    <t>Ramanathapuram</t>
  </si>
  <si>
    <t>TOTAL</t>
  </si>
  <si>
    <t>G.TOTAL</t>
  </si>
  <si>
    <t>TN CENTRAL SAMPLE
WP 2026-27</t>
  </si>
  <si>
    <t>TN STATE SAMPLE
WP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</si>
</sst>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  <fill>
      <patternFill patternType="solid">
        <fgColor rgb="FF00B0F0"/>
        <bgColor rgb="FFE7FFFF"/>
      </patternFill>
    </fill>
    <fill>
      <patternFill patternType="solid">
        <fgColor rgb="FF92D050"/>
        <bgColor rgb="FFE7FFFF"/>
      </patternFill>
    </fill>
    <fill>
      <patternFill patternType="solid">
        <fgColor rgb="FFFFFF00"/>
        <bgColor rgb="FFFFFF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1" fillId="0" borderId="0" xfId="0" applyFont="1"/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/>
    <xf numFmtId="0" fontId="1" fillId="4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/>
    <xf numFmtId="0" fontId="1" fillId="0" borderId="3" xfId="0" applyFont="1" applyBorder="1" applyAlignment="1">
      <alignment horizontal="center" vertical="top"/>
    </xf>
    <xf numFmtId="0" fontId="0" fillId="2" borderId="3" xfId="0" applyFill="1" applyBorder="1"/>
    <xf numFmtId="0" fontId="1" fillId="6" borderId="3" xfId="0" applyFont="1" applyFill="1" applyBorder="1"/>
    <xf numFmtId="0" fontId="0" fillId="3" borderId="3" xfId="0" applyFill="1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view="pageBreakPreview" zoomScale="60" zoomScaleNormal="70" workbookViewId="0">
      <selection activeCell="B1" sqref="B1:B3"/>
    </sheetView>
  </sheetViews>
  <sheetFormatPr defaultRowHeight="14.4" x14ac:dyDescent="0.3"/>
  <cols>
    <col min="1" max="1" width="3.5546875" customWidth="1"/>
    <col min="2" max="2" width="20" customWidth="1"/>
    <col min="3" max="18" width="3.5546875" customWidth="1"/>
    <col min="19" max="19" width="4.6640625" style="14" bestFit="1" customWidth="1"/>
    <col min="20" max="35" width="3.5546875" customWidth="1"/>
    <col min="36" max="36" width="4.6640625" style="14" bestFit="1" customWidth="1"/>
    <col min="37" max="37" width="5.5546875" style="14" bestFit="1" customWidth="1"/>
  </cols>
  <sheetData>
    <row r="1" spans="1:37" ht="14.4" customHeight="1" x14ac:dyDescent="0.3">
      <c r="A1" s="1"/>
      <c r="B1" s="35" t="s">
        <v>50</v>
      </c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17" t="s">
        <v>49</v>
      </c>
    </row>
    <row r="2" spans="1:37" ht="70.8" x14ac:dyDescent="0.3">
      <c r="A2" s="7"/>
      <c r="B2" s="36"/>
      <c r="C2" s="8" t="s">
        <v>2</v>
      </c>
      <c r="D2" s="8" t="s">
        <v>3</v>
      </c>
      <c r="E2" s="10" t="s">
        <v>4</v>
      </c>
      <c r="F2" s="11"/>
      <c r="G2" s="10" t="s">
        <v>5</v>
      </c>
      <c r="H2" s="11"/>
      <c r="I2" s="10" t="s">
        <v>6</v>
      </c>
      <c r="J2" s="11"/>
      <c r="K2" s="10" t="s">
        <v>7</v>
      </c>
      <c r="L2" s="11"/>
      <c r="M2" s="10" t="s">
        <v>8</v>
      </c>
      <c r="N2" s="11"/>
      <c r="O2" s="8" t="s">
        <v>9</v>
      </c>
      <c r="P2" s="10" t="s">
        <v>10</v>
      </c>
      <c r="Q2" s="11"/>
      <c r="R2" s="8" t="s">
        <v>11</v>
      </c>
      <c r="S2" s="20" t="s">
        <v>48</v>
      </c>
      <c r="T2" s="9" t="s">
        <v>12</v>
      </c>
      <c r="U2" s="12" t="s">
        <v>4</v>
      </c>
      <c r="V2" s="13"/>
      <c r="W2" s="12" t="s">
        <v>7</v>
      </c>
      <c r="X2" s="13"/>
      <c r="Y2" s="12" t="s">
        <v>13</v>
      </c>
      <c r="Z2" s="13"/>
      <c r="AA2" s="12" t="s">
        <v>14</v>
      </c>
      <c r="AB2" s="13"/>
      <c r="AC2" s="12" t="s">
        <v>8</v>
      </c>
      <c r="AD2" s="13"/>
      <c r="AE2" s="12" t="s">
        <v>5</v>
      </c>
      <c r="AF2" s="13"/>
      <c r="AG2" s="9" t="s">
        <v>15</v>
      </c>
      <c r="AH2" s="12" t="s">
        <v>10</v>
      </c>
      <c r="AI2" s="13"/>
      <c r="AJ2" s="23" t="s">
        <v>48</v>
      </c>
      <c r="AK2" s="17"/>
    </row>
    <row r="3" spans="1:37" x14ac:dyDescent="0.3">
      <c r="A3" s="1"/>
      <c r="B3" s="37"/>
      <c r="C3" s="3" t="s">
        <v>16</v>
      </c>
      <c r="D3" s="3" t="s">
        <v>16</v>
      </c>
      <c r="E3" s="3" t="s">
        <v>17</v>
      </c>
      <c r="F3" s="3" t="s">
        <v>18</v>
      </c>
      <c r="G3" s="3" t="s">
        <v>17</v>
      </c>
      <c r="H3" s="3" t="s">
        <v>18</v>
      </c>
      <c r="I3" s="3" t="s">
        <v>17</v>
      </c>
      <c r="J3" s="3" t="s">
        <v>18</v>
      </c>
      <c r="K3" s="3" t="s">
        <v>17</v>
      </c>
      <c r="L3" s="3" t="s">
        <v>18</v>
      </c>
      <c r="M3" s="3" t="s">
        <v>17</v>
      </c>
      <c r="N3" s="3" t="s">
        <v>18</v>
      </c>
      <c r="O3" s="3" t="s">
        <v>17</v>
      </c>
      <c r="P3" s="3" t="s">
        <v>17</v>
      </c>
      <c r="Q3" s="3" t="s">
        <v>18</v>
      </c>
      <c r="R3" s="3" t="s">
        <v>16</v>
      </c>
      <c r="S3" s="21"/>
      <c r="T3" s="5" t="s">
        <v>16</v>
      </c>
      <c r="U3" s="5" t="s">
        <v>17</v>
      </c>
      <c r="V3" s="5" t="s">
        <v>18</v>
      </c>
      <c r="W3" s="5" t="s">
        <v>17</v>
      </c>
      <c r="X3" s="5" t="s">
        <v>18</v>
      </c>
      <c r="Y3" s="5" t="s">
        <v>17</v>
      </c>
      <c r="Z3" s="5" t="s">
        <v>18</v>
      </c>
      <c r="AA3" s="5" t="s">
        <v>17</v>
      </c>
      <c r="AB3" s="5" t="s">
        <v>18</v>
      </c>
      <c r="AC3" s="5" t="s">
        <v>17</v>
      </c>
      <c r="AD3" s="5" t="s">
        <v>18</v>
      </c>
      <c r="AE3" s="5" t="s">
        <v>17</v>
      </c>
      <c r="AF3" s="5" t="s">
        <v>18</v>
      </c>
      <c r="AG3" s="5" t="s">
        <v>17</v>
      </c>
      <c r="AH3" s="5" t="s">
        <v>17</v>
      </c>
      <c r="AI3" s="5" t="s">
        <v>18</v>
      </c>
      <c r="AJ3" s="15" t="s">
        <v>17</v>
      </c>
      <c r="AK3" s="18"/>
    </row>
    <row r="4" spans="1:37" x14ac:dyDescent="0.3">
      <c r="A4" s="2"/>
      <c r="B4" s="2" t="s">
        <v>19</v>
      </c>
      <c r="C4" s="4"/>
      <c r="D4" s="4"/>
      <c r="E4" s="4"/>
      <c r="F4" s="4"/>
      <c r="G4" s="4"/>
      <c r="H4" s="4"/>
      <c r="I4" s="4">
        <v>6</v>
      </c>
      <c r="J4" s="4">
        <v>8</v>
      </c>
      <c r="K4" s="4">
        <v>6</v>
      </c>
      <c r="L4" s="4">
        <v>4</v>
      </c>
      <c r="M4" s="4"/>
      <c r="N4" s="4"/>
      <c r="O4" s="4">
        <v>4</v>
      </c>
      <c r="P4" s="4"/>
      <c r="Q4" s="4"/>
      <c r="R4" s="4">
        <v>6</v>
      </c>
      <c r="S4" s="22">
        <f>SUM(C4:R4)</f>
        <v>34</v>
      </c>
      <c r="T4" s="6"/>
      <c r="U4" s="6"/>
      <c r="V4" s="6"/>
      <c r="W4" s="6"/>
      <c r="X4" s="6">
        <v>4</v>
      </c>
      <c r="Y4" s="6"/>
      <c r="Z4" s="6"/>
      <c r="AA4" s="6"/>
      <c r="AB4" s="6"/>
      <c r="AC4" s="6"/>
      <c r="AD4" s="6">
        <v>6</v>
      </c>
      <c r="AE4" s="6"/>
      <c r="AF4" s="6"/>
      <c r="AG4" s="6"/>
      <c r="AH4" s="6"/>
      <c r="AI4" s="6"/>
      <c r="AJ4" s="16">
        <f>SUM(T4:AI4)</f>
        <v>10</v>
      </c>
      <c r="AK4" s="19">
        <f>SUM(S4,AJ4)</f>
        <v>44</v>
      </c>
    </row>
    <row r="5" spans="1:37" x14ac:dyDescent="0.3">
      <c r="A5" s="2"/>
      <c r="B5" s="2" t="s">
        <v>20</v>
      </c>
      <c r="C5" s="4"/>
      <c r="D5" s="4"/>
      <c r="E5" s="4">
        <v>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22">
        <f t="shared" ref="S5:S32" si="0">SUM(C5:R5)</f>
        <v>6</v>
      </c>
      <c r="T5" s="6"/>
      <c r="U5" s="6">
        <v>6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4</v>
      </c>
      <c r="AH5" s="6"/>
      <c r="AI5" s="6"/>
      <c r="AJ5" s="16">
        <f t="shared" ref="AJ5:AJ32" si="1">SUM(T5:AI5)</f>
        <v>10</v>
      </c>
      <c r="AK5" s="19">
        <f t="shared" ref="AK5:AK32" si="2">SUM(S5,AJ5)</f>
        <v>16</v>
      </c>
    </row>
    <row r="6" spans="1:37" x14ac:dyDescent="0.3">
      <c r="A6" s="2"/>
      <c r="B6" s="2" t="s">
        <v>21</v>
      </c>
      <c r="C6" s="4"/>
      <c r="D6" s="4">
        <v>4</v>
      </c>
      <c r="E6" s="4">
        <v>6</v>
      </c>
      <c r="F6" s="4"/>
      <c r="G6" s="4"/>
      <c r="H6" s="4"/>
      <c r="I6" s="4">
        <v>6</v>
      </c>
      <c r="J6" s="4">
        <v>4</v>
      </c>
      <c r="K6" s="4">
        <v>4</v>
      </c>
      <c r="L6" s="4"/>
      <c r="M6" s="4">
        <v>4</v>
      </c>
      <c r="N6" s="4"/>
      <c r="O6" s="4">
        <v>14</v>
      </c>
      <c r="P6" s="4">
        <v>10</v>
      </c>
      <c r="Q6" s="4"/>
      <c r="R6" s="4">
        <v>4</v>
      </c>
      <c r="S6" s="22">
        <f t="shared" si="0"/>
        <v>56</v>
      </c>
      <c r="T6" s="6">
        <v>4</v>
      </c>
      <c r="U6" s="6"/>
      <c r="V6" s="6"/>
      <c r="W6" s="6"/>
      <c r="X6" s="6">
        <v>4</v>
      </c>
      <c r="Y6" s="6"/>
      <c r="Z6" s="6"/>
      <c r="AA6" s="6"/>
      <c r="AB6" s="6"/>
      <c r="AC6" s="6"/>
      <c r="AD6" s="6"/>
      <c r="AE6" s="6"/>
      <c r="AF6" s="6"/>
      <c r="AG6" s="6">
        <v>12</v>
      </c>
      <c r="AH6" s="6"/>
      <c r="AI6" s="6"/>
      <c r="AJ6" s="16">
        <f t="shared" si="1"/>
        <v>20</v>
      </c>
      <c r="AK6" s="19">
        <f t="shared" si="2"/>
        <v>76</v>
      </c>
    </row>
    <row r="7" spans="1:37" x14ac:dyDescent="0.3">
      <c r="A7" s="2"/>
      <c r="B7" s="2" t="s">
        <v>22</v>
      </c>
      <c r="C7" s="4">
        <v>4</v>
      </c>
      <c r="D7" s="4"/>
      <c r="E7" s="4">
        <v>4</v>
      </c>
      <c r="F7" s="4"/>
      <c r="G7" s="4"/>
      <c r="H7" s="4"/>
      <c r="I7" s="4"/>
      <c r="J7" s="4">
        <v>6</v>
      </c>
      <c r="K7" s="4">
        <v>6</v>
      </c>
      <c r="L7" s="4"/>
      <c r="M7" s="4">
        <v>6</v>
      </c>
      <c r="N7" s="4"/>
      <c r="O7" s="4">
        <v>14</v>
      </c>
      <c r="P7" s="4">
        <v>4</v>
      </c>
      <c r="Q7" s="4"/>
      <c r="R7" s="4"/>
      <c r="S7" s="22">
        <f t="shared" si="0"/>
        <v>44</v>
      </c>
      <c r="T7" s="6">
        <v>4</v>
      </c>
      <c r="U7" s="6"/>
      <c r="V7" s="6"/>
      <c r="W7" s="6"/>
      <c r="X7" s="6">
        <v>4</v>
      </c>
      <c r="Y7" s="6"/>
      <c r="Z7" s="6"/>
      <c r="AA7" s="6"/>
      <c r="AB7" s="6"/>
      <c r="AC7" s="6"/>
      <c r="AD7" s="6"/>
      <c r="AE7" s="6"/>
      <c r="AF7" s="6"/>
      <c r="AG7" s="6">
        <v>20</v>
      </c>
      <c r="AH7" s="6"/>
      <c r="AI7" s="6"/>
      <c r="AJ7" s="16">
        <f t="shared" si="1"/>
        <v>28</v>
      </c>
      <c r="AK7" s="19">
        <f t="shared" si="2"/>
        <v>72</v>
      </c>
    </row>
    <row r="8" spans="1:37" x14ac:dyDescent="0.3">
      <c r="A8" s="2"/>
      <c r="B8" s="2" t="s">
        <v>23</v>
      </c>
      <c r="C8" s="4"/>
      <c r="D8" s="4"/>
      <c r="E8" s="4">
        <v>4</v>
      </c>
      <c r="F8" s="4"/>
      <c r="G8" s="4">
        <v>6</v>
      </c>
      <c r="H8" s="4"/>
      <c r="I8" s="4"/>
      <c r="J8" s="4"/>
      <c r="K8" s="4">
        <v>4</v>
      </c>
      <c r="L8" s="4"/>
      <c r="M8" s="4"/>
      <c r="N8" s="4"/>
      <c r="O8" s="4">
        <v>8</v>
      </c>
      <c r="P8" s="4">
        <v>6</v>
      </c>
      <c r="Q8" s="4"/>
      <c r="R8" s="4"/>
      <c r="S8" s="22">
        <f t="shared" si="0"/>
        <v>28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8</v>
      </c>
      <c r="AH8" s="6"/>
      <c r="AI8" s="6"/>
      <c r="AJ8" s="16">
        <f t="shared" si="1"/>
        <v>8</v>
      </c>
      <c r="AK8" s="19">
        <f t="shared" si="2"/>
        <v>36</v>
      </c>
    </row>
    <row r="9" spans="1:37" x14ac:dyDescent="0.3">
      <c r="A9" s="2"/>
      <c r="B9" s="2" t="s">
        <v>24</v>
      </c>
      <c r="C9" s="4"/>
      <c r="D9" s="4"/>
      <c r="E9" s="4">
        <v>10</v>
      </c>
      <c r="F9" s="4"/>
      <c r="G9" s="4"/>
      <c r="H9" s="4"/>
      <c r="I9" s="4">
        <v>6</v>
      </c>
      <c r="J9" s="4">
        <v>6</v>
      </c>
      <c r="K9" s="4">
        <v>6</v>
      </c>
      <c r="L9" s="4"/>
      <c r="M9" s="4">
        <v>4</v>
      </c>
      <c r="N9" s="4">
        <v>6</v>
      </c>
      <c r="O9" s="4">
        <v>6</v>
      </c>
      <c r="P9" s="4">
        <v>10</v>
      </c>
      <c r="Q9" s="4">
        <v>4</v>
      </c>
      <c r="R9" s="4">
        <v>4</v>
      </c>
      <c r="S9" s="22">
        <f t="shared" si="0"/>
        <v>62</v>
      </c>
      <c r="T9" s="6">
        <v>4</v>
      </c>
      <c r="U9" s="6">
        <v>4</v>
      </c>
      <c r="V9" s="6">
        <v>6</v>
      </c>
      <c r="W9" s="6"/>
      <c r="X9" s="6">
        <v>4</v>
      </c>
      <c r="Y9" s="6"/>
      <c r="Z9" s="6"/>
      <c r="AA9" s="6"/>
      <c r="AB9" s="6"/>
      <c r="AC9" s="6"/>
      <c r="AD9" s="6">
        <v>4</v>
      </c>
      <c r="AE9" s="6"/>
      <c r="AF9" s="6">
        <v>6</v>
      </c>
      <c r="AG9" s="6">
        <v>8</v>
      </c>
      <c r="AH9" s="6"/>
      <c r="AI9" s="6">
        <v>6</v>
      </c>
      <c r="AJ9" s="16">
        <f t="shared" si="1"/>
        <v>42</v>
      </c>
      <c r="AK9" s="19">
        <f t="shared" si="2"/>
        <v>104</v>
      </c>
    </row>
    <row r="10" spans="1:37" x14ac:dyDescent="0.3">
      <c r="A10" s="2"/>
      <c r="B10" s="2" t="s">
        <v>25</v>
      </c>
      <c r="C10" s="4"/>
      <c r="D10" s="4">
        <v>4</v>
      </c>
      <c r="E10" s="4">
        <v>14</v>
      </c>
      <c r="F10" s="4"/>
      <c r="G10" s="4"/>
      <c r="H10" s="4"/>
      <c r="I10" s="4"/>
      <c r="J10" s="4"/>
      <c r="K10" s="4">
        <v>10</v>
      </c>
      <c r="L10" s="4"/>
      <c r="M10" s="4"/>
      <c r="N10" s="4"/>
      <c r="O10" s="4"/>
      <c r="P10" s="4">
        <v>4</v>
      </c>
      <c r="Q10" s="4">
        <v>4</v>
      </c>
      <c r="R10" s="4">
        <v>4</v>
      </c>
      <c r="S10" s="22">
        <f t="shared" si="0"/>
        <v>40</v>
      </c>
      <c r="T10" s="6"/>
      <c r="U10" s="6">
        <v>14</v>
      </c>
      <c r="V10" s="6">
        <v>6</v>
      </c>
      <c r="W10" s="6"/>
      <c r="X10" s="6">
        <v>4</v>
      </c>
      <c r="Y10" s="6"/>
      <c r="Z10" s="6"/>
      <c r="AA10" s="6"/>
      <c r="AB10" s="6"/>
      <c r="AC10" s="6"/>
      <c r="AD10" s="6">
        <v>4</v>
      </c>
      <c r="AE10" s="6"/>
      <c r="AF10" s="6"/>
      <c r="AG10" s="6"/>
      <c r="AH10" s="6"/>
      <c r="AI10" s="6"/>
      <c r="AJ10" s="16">
        <f t="shared" si="1"/>
        <v>28</v>
      </c>
      <c r="AK10" s="19">
        <f t="shared" si="2"/>
        <v>68</v>
      </c>
    </row>
    <row r="11" spans="1:37" x14ac:dyDescent="0.3">
      <c r="A11" s="2"/>
      <c r="B11" s="2" t="s">
        <v>26</v>
      </c>
      <c r="C11" s="4"/>
      <c r="D11" s="4"/>
      <c r="E11" s="4">
        <v>4</v>
      </c>
      <c r="F11" s="4">
        <v>6</v>
      </c>
      <c r="G11" s="4"/>
      <c r="H11" s="4"/>
      <c r="I11" s="4"/>
      <c r="J11" s="4"/>
      <c r="K11" s="4"/>
      <c r="L11" s="4"/>
      <c r="M11" s="4">
        <v>8</v>
      </c>
      <c r="N11" s="4"/>
      <c r="O11" s="4">
        <v>4</v>
      </c>
      <c r="P11" s="4"/>
      <c r="Q11" s="4"/>
      <c r="R11" s="4">
        <v>4</v>
      </c>
      <c r="S11" s="22">
        <f t="shared" si="0"/>
        <v>26</v>
      </c>
      <c r="T11" s="6"/>
      <c r="U11" s="6">
        <v>4</v>
      </c>
      <c r="V11" s="6">
        <v>4</v>
      </c>
      <c r="W11" s="6"/>
      <c r="X11" s="6">
        <v>4</v>
      </c>
      <c r="Y11" s="6"/>
      <c r="Z11" s="6"/>
      <c r="AA11" s="6"/>
      <c r="AB11" s="6"/>
      <c r="AC11" s="6"/>
      <c r="AD11" s="6"/>
      <c r="AE11" s="6">
        <v>6</v>
      </c>
      <c r="AF11" s="6"/>
      <c r="AG11" s="6">
        <v>4</v>
      </c>
      <c r="AH11" s="6"/>
      <c r="AI11" s="6"/>
      <c r="AJ11" s="16">
        <f t="shared" si="1"/>
        <v>22</v>
      </c>
      <c r="AK11" s="19">
        <f t="shared" si="2"/>
        <v>48</v>
      </c>
    </row>
    <row r="12" spans="1:37" x14ac:dyDescent="0.3">
      <c r="A12" s="2"/>
      <c r="B12" s="2" t="s">
        <v>27</v>
      </c>
      <c r="C12" s="4"/>
      <c r="D12" s="4"/>
      <c r="E12" s="4"/>
      <c r="F12" s="4"/>
      <c r="G12" s="4"/>
      <c r="H12" s="4"/>
      <c r="I12" s="4">
        <v>6</v>
      </c>
      <c r="J12" s="4"/>
      <c r="K12" s="4"/>
      <c r="L12" s="4"/>
      <c r="M12" s="4"/>
      <c r="N12" s="4"/>
      <c r="O12" s="4">
        <v>4</v>
      </c>
      <c r="P12" s="4">
        <v>12</v>
      </c>
      <c r="Q12" s="4"/>
      <c r="R12" s="4">
        <v>4</v>
      </c>
      <c r="S12" s="22">
        <f t="shared" si="0"/>
        <v>26</v>
      </c>
      <c r="T12" s="6"/>
      <c r="U12" s="6"/>
      <c r="V12" s="6"/>
      <c r="W12" s="6"/>
      <c r="X12" s="6">
        <v>4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16">
        <f t="shared" si="1"/>
        <v>4</v>
      </c>
      <c r="AK12" s="19">
        <f t="shared" si="2"/>
        <v>30</v>
      </c>
    </row>
    <row r="13" spans="1:37" x14ac:dyDescent="0.3">
      <c r="A13" s="2"/>
      <c r="B13" s="2" t="s">
        <v>28</v>
      </c>
      <c r="C13" s="4">
        <v>4</v>
      </c>
      <c r="D13" s="4">
        <v>4</v>
      </c>
      <c r="E13" s="4"/>
      <c r="F13" s="4"/>
      <c r="G13" s="4">
        <v>8</v>
      </c>
      <c r="H13" s="4"/>
      <c r="I13" s="4">
        <v>6</v>
      </c>
      <c r="J13" s="4"/>
      <c r="K13" s="4"/>
      <c r="L13" s="4"/>
      <c r="M13" s="4"/>
      <c r="N13" s="4">
        <v>8</v>
      </c>
      <c r="O13" s="4"/>
      <c r="P13" s="4">
        <v>10</v>
      </c>
      <c r="Q13" s="4"/>
      <c r="R13" s="4"/>
      <c r="S13" s="22">
        <f t="shared" si="0"/>
        <v>40</v>
      </c>
      <c r="T13" s="6"/>
      <c r="U13" s="6"/>
      <c r="V13" s="6"/>
      <c r="W13" s="6"/>
      <c r="X13" s="6">
        <v>4</v>
      </c>
      <c r="Y13" s="6">
        <v>12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6">
        <f t="shared" si="1"/>
        <v>16</v>
      </c>
      <c r="AK13" s="19">
        <f t="shared" si="2"/>
        <v>56</v>
      </c>
    </row>
    <row r="14" spans="1:37" x14ac:dyDescent="0.3">
      <c r="A14" s="2"/>
      <c r="B14" s="2" t="s">
        <v>29</v>
      </c>
      <c r="C14" s="4">
        <v>8</v>
      </c>
      <c r="D14" s="4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4</v>
      </c>
      <c r="S14" s="22">
        <f t="shared" si="0"/>
        <v>18</v>
      </c>
      <c r="T14" s="6">
        <v>6</v>
      </c>
      <c r="U14" s="6"/>
      <c r="V14" s="6"/>
      <c r="W14" s="6"/>
      <c r="X14" s="6">
        <v>4</v>
      </c>
      <c r="Y14" s="6"/>
      <c r="Z14" s="6"/>
      <c r="AA14" s="6"/>
      <c r="AB14" s="6">
        <v>8</v>
      </c>
      <c r="AC14" s="6"/>
      <c r="AD14" s="6"/>
      <c r="AE14" s="6"/>
      <c r="AF14" s="6"/>
      <c r="AG14" s="6"/>
      <c r="AH14" s="6"/>
      <c r="AI14" s="6"/>
      <c r="AJ14" s="16">
        <f t="shared" si="1"/>
        <v>18</v>
      </c>
      <c r="AK14" s="19">
        <f t="shared" si="2"/>
        <v>36</v>
      </c>
    </row>
    <row r="15" spans="1:37" x14ac:dyDescent="0.3">
      <c r="A15" s="2"/>
      <c r="B15" s="2" t="s">
        <v>30</v>
      </c>
      <c r="C15" s="4">
        <v>4</v>
      </c>
      <c r="D15" s="4">
        <v>4</v>
      </c>
      <c r="E15" s="4"/>
      <c r="F15" s="4"/>
      <c r="G15" s="4"/>
      <c r="H15" s="4"/>
      <c r="I15" s="4"/>
      <c r="J15" s="4"/>
      <c r="K15" s="4"/>
      <c r="L15" s="4">
        <v>4</v>
      </c>
      <c r="M15" s="4"/>
      <c r="N15" s="4"/>
      <c r="O15" s="4"/>
      <c r="P15" s="4"/>
      <c r="Q15" s="4"/>
      <c r="R15" s="4"/>
      <c r="S15" s="22">
        <f t="shared" si="0"/>
        <v>12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16">
        <f t="shared" si="1"/>
        <v>0</v>
      </c>
      <c r="AK15" s="19">
        <f t="shared" si="2"/>
        <v>12</v>
      </c>
    </row>
    <row r="16" spans="1:37" x14ac:dyDescent="0.3">
      <c r="A16" s="2"/>
      <c r="B16" s="2" t="s">
        <v>31</v>
      </c>
      <c r="C16" s="4">
        <v>4</v>
      </c>
      <c r="D16" s="4">
        <v>4</v>
      </c>
      <c r="E16" s="4"/>
      <c r="F16" s="4"/>
      <c r="G16" s="4"/>
      <c r="H16" s="4"/>
      <c r="I16" s="4"/>
      <c r="J16" s="4"/>
      <c r="K16" s="4"/>
      <c r="L16" s="4"/>
      <c r="M16" s="4"/>
      <c r="N16" s="4">
        <v>4</v>
      </c>
      <c r="O16" s="4"/>
      <c r="P16" s="4"/>
      <c r="Q16" s="4"/>
      <c r="R16" s="4">
        <v>4</v>
      </c>
      <c r="S16" s="22">
        <f t="shared" si="0"/>
        <v>16</v>
      </c>
      <c r="T16" s="6">
        <v>4</v>
      </c>
      <c r="U16" s="6"/>
      <c r="V16" s="6"/>
      <c r="W16" s="6"/>
      <c r="X16" s="6">
        <v>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16">
        <f t="shared" si="1"/>
        <v>8</v>
      </c>
      <c r="AK16" s="19">
        <f t="shared" si="2"/>
        <v>24</v>
      </c>
    </row>
    <row r="17" spans="1:37" x14ac:dyDescent="0.3">
      <c r="A17" s="2"/>
      <c r="B17" s="2" t="s">
        <v>32</v>
      </c>
      <c r="C17" s="4">
        <v>8</v>
      </c>
      <c r="D17" s="4">
        <v>8</v>
      </c>
      <c r="E17" s="4"/>
      <c r="F17" s="4"/>
      <c r="G17" s="4">
        <v>8</v>
      </c>
      <c r="H17" s="4">
        <v>12</v>
      </c>
      <c r="I17" s="4">
        <v>6</v>
      </c>
      <c r="J17" s="4"/>
      <c r="K17" s="4"/>
      <c r="L17" s="4">
        <v>4</v>
      </c>
      <c r="M17" s="4">
        <v>6</v>
      </c>
      <c r="N17" s="4"/>
      <c r="O17" s="4"/>
      <c r="P17" s="4">
        <v>6</v>
      </c>
      <c r="Q17" s="4"/>
      <c r="R17" s="4">
        <v>6</v>
      </c>
      <c r="S17" s="22">
        <f t="shared" si="0"/>
        <v>64</v>
      </c>
      <c r="T17" s="6">
        <v>4</v>
      </c>
      <c r="U17" s="6"/>
      <c r="V17" s="6"/>
      <c r="W17" s="6"/>
      <c r="X17" s="6">
        <v>4</v>
      </c>
      <c r="Y17" s="6">
        <v>8</v>
      </c>
      <c r="Z17" s="6"/>
      <c r="AA17" s="6">
        <v>6</v>
      </c>
      <c r="AB17" s="6"/>
      <c r="AC17" s="6"/>
      <c r="AD17" s="6">
        <v>6</v>
      </c>
      <c r="AE17" s="6"/>
      <c r="AF17" s="6"/>
      <c r="AG17" s="6"/>
      <c r="AH17" s="6"/>
      <c r="AI17" s="6"/>
      <c r="AJ17" s="16">
        <f t="shared" si="1"/>
        <v>28</v>
      </c>
      <c r="AK17" s="19">
        <f t="shared" si="2"/>
        <v>92</v>
      </c>
    </row>
    <row r="18" spans="1:37" x14ac:dyDescent="0.3">
      <c r="A18" s="2"/>
      <c r="B18" s="2" t="s">
        <v>33</v>
      </c>
      <c r="C18" s="4">
        <v>4</v>
      </c>
      <c r="D18" s="4">
        <v>4</v>
      </c>
      <c r="E18" s="4"/>
      <c r="F18" s="4"/>
      <c r="G18" s="4">
        <v>24</v>
      </c>
      <c r="H18" s="4"/>
      <c r="I18" s="4"/>
      <c r="J18" s="4">
        <v>6</v>
      </c>
      <c r="K18" s="4"/>
      <c r="L18" s="4"/>
      <c r="M18" s="4"/>
      <c r="N18" s="4"/>
      <c r="O18" s="4"/>
      <c r="P18" s="4">
        <v>4</v>
      </c>
      <c r="Q18" s="4">
        <v>6</v>
      </c>
      <c r="R18" s="4">
        <v>6</v>
      </c>
      <c r="S18" s="22">
        <f t="shared" si="0"/>
        <v>54</v>
      </c>
      <c r="T18" s="6">
        <v>4</v>
      </c>
      <c r="U18" s="6"/>
      <c r="V18" s="6"/>
      <c r="W18" s="6"/>
      <c r="X18" s="6"/>
      <c r="Y18" s="6">
        <v>6</v>
      </c>
      <c r="Z18" s="6"/>
      <c r="AA18" s="6"/>
      <c r="AB18" s="6"/>
      <c r="AC18" s="6">
        <v>4</v>
      </c>
      <c r="AD18" s="6">
        <v>4</v>
      </c>
      <c r="AE18" s="6"/>
      <c r="AF18" s="6"/>
      <c r="AG18" s="6"/>
      <c r="AH18" s="6"/>
      <c r="AI18" s="6"/>
      <c r="AJ18" s="16">
        <f t="shared" si="1"/>
        <v>18</v>
      </c>
      <c r="AK18" s="19">
        <f t="shared" si="2"/>
        <v>72</v>
      </c>
    </row>
    <row r="19" spans="1:37" x14ac:dyDescent="0.3">
      <c r="A19" s="2"/>
      <c r="B19" s="2" t="s">
        <v>34</v>
      </c>
      <c r="C19" s="4"/>
      <c r="D19" s="4"/>
      <c r="E19" s="4"/>
      <c r="F19" s="4"/>
      <c r="G19" s="4"/>
      <c r="H19" s="4"/>
      <c r="I19" s="4"/>
      <c r="J19" s="4"/>
      <c r="K19" s="4">
        <v>4</v>
      </c>
      <c r="L19" s="4"/>
      <c r="M19" s="4"/>
      <c r="N19" s="4"/>
      <c r="O19" s="4">
        <v>10</v>
      </c>
      <c r="P19" s="4"/>
      <c r="Q19" s="4"/>
      <c r="R19" s="4"/>
      <c r="S19" s="22">
        <f t="shared" si="0"/>
        <v>14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v>4</v>
      </c>
      <c r="AH19" s="6"/>
      <c r="AI19" s="6"/>
      <c r="AJ19" s="16">
        <f t="shared" si="1"/>
        <v>4</v>
      </c>
      <c r="AK19" s="19">
        <f t="shared" si="2"/>
        <v>18</v>
      </c>
    </row>
    <row r="20" spans="1:37" x14ac:dyDescent="0.3">
      <c r="A20" s="2"/>
      <c r="B20" s="2" t="s">
        <v>35</v>
      </c>
      <c r="C20" s="4">
        <v>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v>4</v>
      </c>
      <c r="P20" s="4"/>
      <c r="Q20" s="4"/>
      <c r="R20" s="4"/>
      <c r="S20" s="22">
        <f t="shared" si="0"/>
        <v>8</v>
      </c>
      <c r="T20" s="6">
        <v>4</v>
      </c>
      <c r="U20" s="6"/>
      <c r="V20" s="6"/>
      <c r="W20" s="6"/>
      <c r="X20" s="6">
        <v>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16">
        <f t="shared" si="1"/>
        <v>8</v>
      </c>
      <c r="AK20" s="19">
        <f t="shared" si="2"/>
        <v>16</v>
      </c>
    </row>
    <row r="21" spans="1:37" x14ac:dyDescent="0.3">
      <c r="A21" s="2"/>
      <c r="B21" s="2" t="s">
        <v>36</v>
      </c>
      <c r="C21" s="4"/>
      <c r="D21" s="4"/>
      <c r="E21" s="4">
        <v>4</v>
      </c>
      <c r="F21" s="4"/>
      <c r="G21" s="4"/>
      <c r="H21" s="4"/>
      <c r="I21" s="4"/>
      <c r="J21" s="4"/>
      <c r="K21" s="4">
        <v>4</v>
      </c>
      <c r="L21" s="4"/>
      <c r="M21" s="4"/>
      <c r="N21" s="4"/>
      <c r="O21" s="4"/>
      <c r="P21" s="4"/>
      <c r="Q21" s="4"/>
      <c r="R21" s="4">
        <v>4</v>
      </c>
      <c r="S21" s="22">
        <f t="shared" si="0"/>
        <v>12</v>
      </c>
      <c r="T21" s="6">
        <v>4</v>
      </c>
      <c r="U21" s="6">
        <v>14</v>
      </c>
      <c r="V21" s="6"/>
      <c r="W21" s="6">
        <v>4</v>
      </c>
      <c r="X21" s="6">
        <v>4</v>
      </c>
      <c r="Y21" s="6">
        <v>4</v>
      </c>
      <c r="Z21" s="6"/>
      <c r="AA21" s="6">
        <v>6</v>
      </c>
      <c r="AB21" s="6"/>
      <c r="AC21" s="6"/>
      <c r="AD21" s="6"/>
      <c r="AE21" s="6">
        <v>4</v>
      </c>
      <c r="AF21" s="6"/>
      <c r="AG21" s="6">
        <v>4</v>
      </c>
      <c r="AH21" s="6">
        <v>4</v>
      </c>
      <c r="AI21" s="6">
        <v>4</v>
      </c>
      <c r="AJ21" s="16">
        <f t="shared" si="1"/>
        <v>52</v>
      </c>
      <c r="AK21" s="19">
        <f t="shared" si="2"/>
        <v>64</v>
      </c>
    </row>
    <row r="22" spans="1:37" x14ac:dyDescent="0.3">
      <c r="A22" s="2"/>
      <c r="B22" s="2" t="s">
        <v>37</v>
      </c>
      <c r="C22" s="4"/>
      <c r="D22" s="4">
        <v>8</v>
      </c>
      <c r="E22" s="4"/>
      <c r="F22" s="4"/>
      <c r="G22" s="4"/>
      <c r="H22" s="4"/>
      <c r="I22" s="4"/>
      <c r="J22" s="4"/>
      <c r="K22" s="4">
        <v>6</v>
      </c>
      <c r="L22" s="4"/>
      <c r="M22" s="4"/>
      <c r="N22" s="4"/>
      <c r="O22" s="4"/>
      <c r="P22" s="4"/>
      <c r="Q22" s="4"/>
      <c r="R22" s="4">
        <v>4</v>
      </c>
      <c r="S22" s="22">
        <f t="shared" si="0"/>
        <v>18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16">
        <f t="shared" si="1"/>
        <v>0</v>
      </c>
      <c r="AK22" s="19">
        <f t="shared" si="2"/>
        <v>18</v>
      </c>
    </row>
    <row r="23" spans="1:37" x14ac:dyDescent="0.3">
      <c r="A23" s="2"/>
      <c r="B23" s="2" t="s">
        <v>38</v>
      </c>
      <c r="C23" s="4"/>
      <c r="D23" s="4">
        <v>4</v>
      </c>
      <c r="E23" s="4">
        <v>4</v>
      </c>
      <c r="F23" s="4"/>
      <c r="G23" s="4">
        <v>8</v>
      </c>
      <c r="H23" s="4"/>
      <c r="I23" s="4">
        <v>6</v>
      </c>
      <c r="J23" s="4"/>
      <c r="K23" s="4"/>
      <c r="L23" s="4"/>
      <c r="M23" s="4"/>
      <c r="N23" s="4"/>
      <c r="O23" s="4">
        <v>4</v>
      </c>
      <c r="P23" s="4">
        <v>4</v>
      </c>
      <c r="Q23" s="4"/>
      <c r="R23" s="4"/>
      <c r="S23" s="22">
        <f t="shared" si="0"/>
        <v>30</v>
      </c>
      <c r="T23" s="6">
        <v>4</v>
      </c>
      <c r="U23" s="6">
        <v>4</v>
      </c>
      <c r="V23" s="6"/>
      <c r="W23" s="6"/>
      <c r="X23" s="6"/>
      <c r="Y23" s="6"/>
      <c r="Z23" s="6"/>
      <c r="AA23" s="6"/>
      <c r="AB23" s="6"/>
      <c r="AC23" s="6"/>
      <c r="AD23" s="6"/>
      <c r="AE23" s="6">
        <v>4</v>
      </c>
      <c r="AF23" s="6"/>
      <c r="AG23" s="6"/>
      <c r="AH23" s="6">
        <v>4</v>
      </c>
      <c r="AI23" s="6">
        <v>6</v>
      </c>
      <c r="AJ23" s="16">
        <f t="shared" si="1"/>
        <v>22</v>
      </c>
      <c r="AK23" s="19">
        <f t="shared" si="2"/>
        <v>52</v>
      </c>
    </row>
    <row r="24" spans="1:37" x14ac:dyDescent="0.3">
      <c r="A24" s="2"/>
      <c r="B24" s="2" t="s">
        <v>39</v>
      </c>
      <c r="C24" s="4">
        <v>4</v>
      </c>
      <c r="D24" s="4"/>
      <c r="E24" s="4">
        <v>4</v>
      </c>
      <c r="F24" s="4"/>
      <c r="G24" s="4"/>
      <c r="H24" s="4"/>
      <c r="I24" s="4"/>
      <c r="J24" s="4"/>
      <c r="K24" s="4"/>
      <c r="L24" s="4"/>
      <c r="M24" s="4">
        <v>4</v>
      </c>
      <c r="N24" s="4"/>
      <c r="O24" s="4">
        <v>6</v>
      </c>
      <c r="P24" s="4"/>
      <c r="Q24" s="4">
        <v>4</v>
      </c>
      <c r="R24" s="4"/>
      <c r="S24" s="22">
        <f t="shared" si="0"/>
        <v>22</v>
      </c>
      <c r="T24" s="6"/>
      <c r="U24" s="6">
        <v>4</v>
      </c>
      <c r="V24" s="6">
        <v>4</v>
      </c>
      <c r="W24" s="6"/>
      <c r="X24" s="6"/>
      <c r="Y24" s="6"/>
      <c r="Z24" s="6"/>
      <c r="AA24" s="6">
        <v>6</v>
      </c>
      <c r="AB24" s="6"/>
      <c r="AC24" s="6"/>
      <c r="AD24" s="6"/>
      <c r="AE24" s="6">
        <v>8</v>
      </c>
      <c r="AF24" s="6"/>
      <c r="AG24" s="6"/>
      <c r="AH24" s="6"/>
      <c r="AI24" s="6">
        <v>4</v>
      </c>
      <c r="AJ24" s="16">
        <f t="shared" si="1"/>
        <v>26</v>
      </c>
      <c r="AK24" s="19">
        <f t="shared" si="2"/>
        <v>48</v>
      </c>
    </row>
    <row r="25" spans="1:37" x14ac:dyDescent="0.3">
      <c r="A25" s="2"/>
      <c r="B25" s="2" t="s">
        <v>40</v>
      </c>
      <c r="C25" s="4"/>
      <c r="D25" s="4">
        <v>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2">
        <f t="shared" si="0"/>
        <v>4</v>
      </c>
      <c r="T25" s="6"/>
      <c r="U25" s="6"/>
      <c r="V25" s="6"/>
      <c r="W25" s="6"/>
      <c r="X25" s="6"/>
      <c r="Y25" s="6">
        <v>4</v>
      </c>
      <c r="Z25" s="6"/>
      <c r="AA25" s="6">
        <v>8</v>
      </c>
      <c r="AB25" s="6"/>
      <c r="AC25" s="6"/>
      <c r="AD25" s="6"/>
      <c r="AE25" s="6"/>
      <c r="AF25" s="6"/>
      <c r="AG25" s="6"/>
      <c r="AH25" s="6"/>
      <c r="AI25" s="6"/>
      <c r="AJ25" s="16">
        <f t="shared" si="1"/>
        <v>12</v>
      </c>
      <c r="AK25" s="19">
        <f t="shared" si="2"/>
        <v>16</v>
      </c>
    </row>
    <row r="26" spans="1:37" x14ac:dyDescent="0.3">
      <c r="A26" s="2"/>
      <c r="B26" s="2" t="s">
        <v>41</v>
      </c>
      <c r="C26" s="4">
        <v>8</v>
      </c>
      <c r="D26" s="4">
        <v>10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2">
        <f t="shared" si="0"/>
        <v>18</v>
      </c>
      <c r="T26" s="6">
        <v>4</v>
      </c>
      <c r="U26" s="6"/>
      <c r="V26" s="6"/>
      <c r="W26" s="6"/>
      <c r="X26" s="6">
        <v>4</v>
      </c>
      <c r="Y26" s="6">
        <v>10</v>
      </c>
      <c r="Z26" s="6">
        <v>6</v>
      </c>
      <c r="AA26" s="6">
        <v>20</v>
      </c>
      <c r="AB26" s="6"/>
      <c r="AC26" s="6">
        <v>6</v>
      </c>
      <c r="AD26" s="6"/>
      <c r="AE26" s="6"/>
      <c r="AF26" s="6"/>
      <c r="AG26" s="6"/>
      <c r="AH26" s="6"/>
      <c r="AI26" s="6">
        <v>6</v>
      </c>
      <c r="AJ26" s="16">
        <f t="shared" si="1"/>
        <v>56</v>
      </c>
      <c r="AK26" s="19">
        <f t="shared" si="2"/>
        <v>74</v>
      </c>
    </row>
    <row r="27" spans="1:37" x14ac:dyDescent="0.3">
      <c r="A27" s="2"/>
      <c r="B27" s="2" t="s">
        <v>42</v>
      </c>
      <c r="C27" s="4">
        <v>8</v>
      </c>
      <c r="D27" s="4">
        <v>10</v>
      </c>
      <c r="E27" s="4"/>
      <c r="F27" s="4"/>
      <c r="G27" s="4"/>
      <c r="H27" s="4"/>
      <c r="I27" s="4"/>
      <c r="J27" s="4"/>
      <c r="K27" s="4"/>
      <c r="L27" s="4"/>
      <c r="M27" s="4"/>
      <c r="N27" s="4">
        <v>8</v>
      </c>
      <c r="O27" s="4"/>
      <c r="P27" s="4"/>
      <c r="Q27" s="4"/>
      <c r="R27" s="4">
        <v>4</v>
      </c>
      <c r="S27" s="22">
        <f t="shared" si="0"/>
        <v>30</v>
      </c>
      <c r="T27" s="6">
        <v>4</v>
      </c>
      <c r="U27" s="6"/>
      <c r="V27" s="6"/>
      <c r="W27" s="6"/>
      <c r="X27" s="6">
        <v>4</v>
      </c>
      <c r="Y27" s="6">
        <v>4</v>
      </c>
      <c r="Z27" s="6"/>
      <c r="AA27" s="6">
        <v>6</v>
      </c>
      <c r="AB27" s="6"/>
      <c r="AC27" s="6">
        <v>10</v>
      </c>
      <c r="AD27" s="6">
        <v>6</v>
      </c>
      <c r="AE27" s="6"/>
      <c r="AF27" s="6"/>
      <c r="AG27" s="6"/>
      <c r="AH27" s="6"/>
      <c r="AI27" s="6"/>
      <c r="AJ27" s="16">
        <f t="shared" si="1"/>
        <v>34</v>
      </c>
      <c r="AK27" s="19">
        <f t="shared" si="2"/>
        <v>64</v>
      </c>
    </row>
    <row r="28" spans="1:37" x14ac:dyDescent="0.3">
      <c r="A28" s="2"/>
      <c r="B28" s="2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2">
        <f t="shared" si="0"/>
        <v>0</v>
      </c>
      <c r="T28" s="6">
        <v>4</v>
      </c>
      <c r="U28" s="6">
        <v>6</v>
      </c>
      <c r="V28" s="6"/>
      <c r="W28" s="6"/>
      <c r="X28" s="6"/>
      <c r="Y28" s="6">
        <v>8</v>
      </c>
      <c r="Z28" s="6"/>
      <c r="AA28" s="6">
        <v>16</v>
      </c>
      <c r="AB28" s="6"/>
      <c r="AC28" s="6"/>
      <c r="AD28" s="6"/>
      <c r="AE28" s="6">
        <v>16</v>
      </c>
      <c r="AF28" s="6"/>
      <c r="AG28" s="6"/>
      <c r="AH28" s="6">
        <v>6</v>
      </c>
      <c r="AI28" s="6"/>
      <c r="AJ28" s="16">
        <f t="shared" si="1"/>
        <v>56</v>
      </c>
      <c r="AK28" s="19">
        <f t="shared" si="2"/>
        <v>56</v>
      </c>
    </row>
    <row r="29" spans="1:37" x14ac:dyDescent="0.3">
      <c r="A29" s="2"/>
      <c r="B29" s="2" t="s">
        <v>44</v>
      </c>
      <c r="C29" s="4"/>
      <c r="D29" s="4">
        <v>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2">
        <f t="shared" si="0"/>
        <v>4</v>
      </c>
      <c r="T29" s="6">
        <v>4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16">
        <f t="shared" si="1"/>
        <v>4</v>
      </c>
      <c r="AK29" s="19">
        <f t="shared" si="2"/>
        <v>8</v>
      </c>
    </row>
    <row r="30" spans="1:37" x14ac:dyDescent="0.3">
      <c r="A30" s="2"/>
      <c r="B30" s="2" t="s">
        <v>45</v>
      </c>
      <c r="C30" s="4">
        <v>4</v>
      </c>
      <c r="D30" s="4">
        <v>4</v>
      </c>
      <c r="E30" s="4"/>
      <c r="F30" s="4"/>
      <c r="G30" s="4"/>
      <c r="H30" s="4"/>
      <c r="I30" s="4"/>
      <c r="J30" s="4"/>
      <c r="K30" s="4"/>
      <c r="L30" s="4"/>
      <c r="M30" s="4">
        <v>6</v>
      </c>
      <c r="N30" s="4"/>
      <c r="O30" s="4"/>
      <c r="P30" s="4"/>
      <c r="Q30" s="4"/>
      <c r="R30" s="4">
        <v>4</v>
      </c>
      <c r="S30" s="22">
        <f t="shared" si="0"/>
        <v>18</v>
      </c>
      <c r="T30" s="6"/>
      <c r="U30" s="6"/>
      <c r="V30" s="6"/>
      <c r="W30" s="6"/>
      <c r="X30" s="6"/>
      <c r="Y30" s="6">
        <v>4</v>
      </c>
      <c r="Z30" s="6"/>
      <c r="AA30" s="6">
        <v>6</v>
      </c>
      <c r="AB30" s="6"/>
      <c r="AC30" s="6"/>
      <c r="AD30" s="6"/>
      <c r="AE30" s="6"/>
      <c r="AF30" s="6"/>
      <c r="AG30" s="6"/>
      <c r="AH30" s="6">
        <v>4</v>
      </c>
      <c r="AI30" s="6"/>
      <c r="AJ30" s="16">
        <f t="shared" si="1"/>
        <v>14</v>
      </c>
      <c r="AK30" s="19">
        <f t="shared" si="2"/>
        <v>32</v>
      </c>
    </row>
    <row r="31" spans="1:37" x14ac:dyDescent="0.3">
      <c r="A31" s="2"/>
      <c r="B31" s="2" t="s">
        <v>46</v>
      </c>
      <c r="C31" s="4"/>
      <c r="D31" s="4"/>
      <c r="E31" s="4">
        <v>4</v>
      </c>
      <c r="F31" s="4"/>
      <c r="G31" s="4"/>
      <c r="H31" s="4"/>
      <c r="I31" s="4">
        <v>6</v>
      </c>
      <c r="J31" s="4"/>
      <c r="K31" s="4"/>
      <c r="L31" s="4"/>
      <c r="M31" s="4">
        <v>4</v>
      </c>
      <c r="N31" s="4"/>
      <c r="O31" s="4"/>
      <c r="P31" s="4">
        <v>6</v>
      </c>
      <c r="Q31" s="4"/>
      <c r="R31" s="4">
        <v>4</v>
      </c>
      <c r="S31" s="22">
        <f t="shared" si="0"/>
        <v>24</v>
      </c>
      <c r="T31" s="6">
        <v>4</v>
      </c>
      <c r="U31" s="6">
        <v>6</v>
      </c>
      <c r="V31" s="6"/>
      <c r="W31" s="6">
        <v>6</v>
      </c>
      <c r="X31" s="6"/>
      <c r="Y31" s="6"/>
      <c r="Z31" s="6"/>
      <c r="AA31" s="6">
        <v>4</v>
      </c>
      <c r="AB31" s="6"/>
      <c r="AC31" s="6">
        <v>4</v>
      </c>
      <c r="AD31" s="6"/>
      <c r="AE31" s="6">
        <v>10</v>
      </c>
      <c r="AF31" s="6"/>
      <c r="AG31" s="6"/>
      <c r="AH31" s="6">
        <v>10</v>
      </c>
      <c r="AI31" s="6">
        <v>6</v>
      </c>
      <c r="AJ31" s="16">
        <f t="shared" si="1"/>
        <v>50</v>
      </c>
      <c r="AK31" s="19">
        <f t="shared" si="2"/>
        <v>74</v>
      </c>
    </row>
    <row r="32" spans="1:37" x14ac:dyDescent="0.3">
      <c r="A32" s="2"/>
      <c r="B32" s="2" t="s">
        <v>47</v>
      </c>
      <c r="C32" s="4"/>
      <c r="D32" s="4">
        <v>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2">
        <f t="shared" si="0"/>
        <v>6</v>
      </c>
      <c r="T32" s="6"/>
      <c r="U32" s="6">
        <v>4</v>
      </c>
      <c r="V32" s="6"/>
      <c r="W32" s="6">
        <v>6</v>
      </c>
      <c r="X32" s="6"/>
      <c r="Y32" s="6">
        <v>4</v>
      </c>
      <c r="Z32" s="6"/>
      <c r="AA32" s="6"/>
      <c r="AB32" s="6"/>
      <c r="AC32" s="6">
        <v>6</v>
      </c>
      <c r="AD32" s="6"/>
      <c r="AE32" s="6">
        <v>4</v>
      </c>
      <c r="AF32" s="6"/>
      <c r="AG32" s="6"/>
      <c r="AH32" s="6">
        <v>4</v>
      </c>
      <c r="AI32" s="6"/>
      <c r="AJ32" s="16">
        <f t="shared" si="1"/>
        <v>28</v>
      </c>
      <c r="AK32" s="19">
        <f t="shared" si="2"/>
        <v>34</v>
      </c>
    </row>
    <row r="33" spans="1:37" s="14" customFormat="1" x14ac:dyDescent="0.3">
      <c r="A33" s="26" t="s">
        <v>48</v>
      </c>
      <c r="B33" s="26"/>
      <c r="C33" s="27">
        <f>SUM(C4:C32)</f>
        <v>64</v>
      </c>
      <c r="D33" s="27">
        <f>SUM(D4:D32)</f>
        <v>88</v>
      </c>
      <c r="E33" s="27">
        <f>SUM(E4:E32)</f>
        <v>64</v>
      </c>
      <c r="F33" s="27">
        <f>SUM(F4:F32)</f>
        <v>6</v>
      </c>
      <c r="G33" s="27">
        <f>SUM(G4:G32)</f>
        <v>54</v>
      </c>
      <c r="H33" s="27">
        <f>SUM(H4:H32)</f>
        <v>12</v>
      </c>
      <c r="I33" s="27">
        <f>SUM(I4:I32)</f>
        <v>48</v>
      </c>
      <c r="J33" s="27">
        <f>SUM(J4:J32)</f>
        <v>30</v>
      </c>
      <c r="K33" s="27">
        <f>SUM(K4:K32)</f>
        <v>50</v>
      </c>
      <c r="L33" s="27">
        <f>SUM(L4:L32)</f>
        <v>12</v>
      </c>
      <c r="M33" s="27">
        <f>SUM(M4:M32)</f>
        <v>42</v>
      </c>
      <c r="N33" s="27">
        <f>SUM(N4:N32)</f>
        <v>26</v>
      </c>
      <c r="O33" s="27">
        <f>SUM(O4:O32)</f>
        <v>78</v>
      </c>
      <c r="P33" s="27">
        <f>SUM(P4:P32)</f>
        <v>76</v>
      </c>
      <c r="Q33" s="27">
        <f>SUM(Q4:Q32)</f>
        <v>18</v>
      </c>
      <c r="R33" s="27">
        <f>SUM(R4:R32)</f>
        <v>66</v>
      </c>
      <c r="S33" s="27">
        <f>SUM(S4:S32)</f>
        <v>734</v>
      </c>
      <c r="T33" s="27">
        <f>SUM(T4:T32)</f>
        <v>62</v>
      </c>
      <c r="U33" s="27">
        <f>SUM(U4:U32)</f>
        <v>66</v>
      </c>
      <c r="V33" s="27">
        <f>SUM(V4:V32)</f>
        <v>20</v>
      </c>
      <c r="W33" s="27">
        <f>SUM(W4:W32)</f>
        <v>16</v>
      </c>
      <c r="X33" s="27">
        <f>SUM(X4:X32)</f>
        <v>60</v>
      </c>
      <c r="Y33" s="27">
        <f>SUM(Y4:Y32)</f>
        <v>64</v>
      </c>
      <c r="Z33" s="27">
        <f>SUM(Z4:Z32)</f>
        <v>6</v>
      </c>
      <c r="AA33" s="27">
        <f>SUM(AA4:AA32)</f>
        <v>78</v>
      </c>
      <c r="AB33" s="27">
        <f>SUM(AB4:AB32)</f>
        <v>8</v>
      </c>
      <c r="AC33" s="27">
        <f>SUM(AC4:AC32)</f>
        <v>30</v>
      </c>
      <c r="AD33" s="27">
        <f>SUM(AD4:AD32)</f>
        <v>30</v>
      </c>
      <c r="AE33" s="27">
        <f>SUM(AE4:AE32)</f>
        <v>52</v>
      </c>
      <c r="AF33" s="27">
        <f>SUM(AF4:AF32)</f>
        <v>6</v>
      </c>
      <c r="AG33" s="27">
        <f>SUM(AG4:AG32)</f>
        <v>64</v>
      </c>
      <c r="AH33" s="27">
        <f>SUM(AH4:AH32)</f>
        <v>32</v>
      </c>
      <c r="AI33" s="27">
        <f>SUM(AI4:AI32)</f>
        <v>32</v>
      </c>
      <c r="AJ33" s="27">
        <f>SUM(AJ4:AJ32)</f>
        <v>626</v>
      </c>
      <c r="AK33" s="27">
        <f>SUM(AK4:AK32)</f>
        <v>1360</v>
      </c>
    </row>
  </sheetData>
  <mergeCells count="18">
    <mergeCell ref="AK1:AK2"/>
    <mergeCell ref="A33:B33"/>
    <mergeCell ref="B1:B3"/>
    <mergeCell ref="E2:F2"/>
    <mergeCell ref="K2:L2"/>
    <mergeCell ref="I2:J2"/>
    <mergeCell ref="Y2:Z2"/>
    <mergeCell ref="AA2:AB2"/>
    <mergeCell ref="P2:Q2"/>
    <mergeCell ref="M2:N2"/>
    <mergeCell ref="W2:X2"/>
    <mergeCell ref="U2:V2"/>
    <mergeCell ref="G2:H2"/>
    <mergeCell ref="AC2:AD2"/>
    <mergeCell ref="AE2:AF2"/>
    <mergeCell ref="AH2:AI2"/>
    <mergeCell ref="C1:S1"/>
    <mergeCell ref="T1:AJ1"/>
  </mergeCells>
  <pageMargins left="0.7" right="0.7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4"/>
  <sheetViews>
    <sheetView tabSelected="1" view="pageBreakPreview" zoomScale="60" zoomScaleNormal="70" workbookViewId="0">
      <selection activeCell="AS15" sqref="AS15"/>
    </sheetView>
  </sheetViews>
  <sheetFormatPr defaultRowHeight="14.4" x14ac:dyDescent="0.3"/>
  <cols>
    <col min="1" max="1" width="3.5546875" customWidth="1"/>
    <col min="2" max="2" width="20" customWidth="1"/>
    <col min="3" max="18" width="3.5546875" customWidth="1"/>
    <col min="19" max="19" width="4.6640625" style="14" bestFit="1" customWidth="1"/>
    <col min="20" max="35" width="3.5546875" customWidth="1"/>
    <col min="36" max="37" width="4.6640625" style="14" bestFit="1" customWidth="1"/>
  </cols>
  <sheetData>
    <row r="1" spans="1:37" x14ac:dyDescent="0.3">
      <c r="A1" s="1"/>
      <c r="B1" s="35" t="s">
        <v>51</v>
      </c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17" t="s">
        <v>49</v>
      </c>
    </row>
    <row r="2" spans="1:37" ht="70.8" x14ac:dyDescent="0.3">
      <c r="A2" s="7"/>
      <c r="B2" s="36"/>
      <c r="C2" s="8" t="s">
        <v>2</v>
      </c>
      <c r="D2" s="8" t="s">
        <v>3</v>
      </c>
      <c r="E2" s="10" t="s">
        <v>4</v>
      </c>
      <c r="F2" s="11"/>
      <c r="G2" s="10" t="s">
        <v>5</v>
      </c>
      <c r="H2" s="11"/>
      <c r="I2" s="10" t="s">
        <v>6</v>
      </c>
      <c r="J2" s="11"/>
      <c r="K2" s="10" t="s">
        <v>7</v>
      </c>
      <c r="L2" s="11"/>
      <c r="M2" s="10" t="s">
        <v>8</v>
      </c>
      <c r="N2" s="11"/>
      <c r="O2" s="8" t="s">
        <v>9</v>
      </c>
      <c r="P2" s="10" t="s">
        <v>10</v>
      </c>
      <c r="Q2" s="11"/>
      <c r="R2" s="8" t="s">
        <v>11</v>
      </c>
      <c r="S2" s="20" t="s">
        <v>48</v>
      </c>
      <c r="T2" s="9" t="s">
        <v>12</v>
      </c>
      <c r="U2" s="12" t="s">
        <v>4</v>
      </c>
      <c r="V2" s="13"/>
      <c r="W2" s="12" t="s">
        <v>7</v>
      </c>
      <c r="X2" s="13"/>
      <c r="Y2" s="12" t="s">
        <v>13</v>
      </c>
      <c r="Z2" s="13"/>
      <c r="AA2" s="12" t="s">
        <v>14</v>
      </c>
      <c r="AB2" s="13"/>
      <c r="AC2" s="12" t="s">
        <v>8</v>
      </c>
      <c r="AD2" s="13"/>
      <c r="AE2" s="12" t="s">
        <v>5</v>
      </c>
      <c r="AF2" s="13"/>
      <c r="AG2" s="9" t="s">
        <v>15</v>
      </c>
      <c r="AH2" s="12" t="s">
        <v>10</v>
      </c>
      <c r="AI2" s="13"/>
      <c r="AJ2" s="23" t="s">
        <v>48</v>
      </c>
      <c r="AK2" s="17"/>
    </row>
    <row r="3" spans="1:37" x14ac:dyDescent="0.3">
      <c r="A3" s="1"/>
      <c r="B3" s="37"/>
      <c r="C3" s="3" t="s">
        <v>16</v>
      </c>
      <c r="D3" s="3" t="s">
        <v>16</v>
      </c>
      <c r="E3" s="3" t="s">
        <v>17</v>
      </c>
      <c r="F3" s="3" t="s">
        <v>18</v>
      </c>
      <c r="G3" s="3" t="s">
        <v>17</v>
      </c>
      <c r="H3" s="3" t="s">
        <v>18</v>
      </c>
      <c r="I3" s="3" t="s">
        <v>17</v>
      </c>
      <c r="J3" s="3" t="s">
        <v>18</v>
      </c>
      <c r="K3" s="3" t="s">
        <v>17</v>
      </c>
      <c r="L3" s="3" t="s">
        <v>18</v>
      </c>
      <c r="M3" s="3" t="s">
        <v>17</v>
      </c>
      <c r="N3" s="3" t="s">
        <v>18</v>
      </c>
      <c r="O3" s="3" t="s">
        <v>17</v>
      </c>
      <c r="P3" s="3" t="s">
        <v>17</v>
      </c>
      <c r="Q3" s="3" t="s">
        <v>18</v>
      </c>
      <c r="R3" s="3" t="s">
        <v>16</v>
      </c>
      <c r="S3" s="21"/>
      <c r="T3" s="5" t="s">
        <v>16</v>
      </c>
      <c r="U3" s="5" t="s">
        <v>17</v>
      </c>
      <c r="V3" s="5" t="s">
        <v>18</v>
      </c>
      <c r="W3" s="5" t="s">
        <v>17</v>
      </c>
      <c r="X3" s="5" t="s">
        <v>18</v>
      </c>
      <c r="Y3" s="5" t="s">
        <v>17</v>
      </c>
      <c r="Z3" s="5" t="s">
        <v>18</v>
      </c>
      <c r="AA3" s="5" t="s">
        <v>17</v>
      </c>
      <c r="AB3" s="5" t="s">
        <v>18</v>
      </c>
      <c r="AC3" s="5" t="s">
        <v>17</v>
      </c>
      <c r="AD3" s="5" t="s">
        <v>18</v>
      </c>
      <c r="AE3" s="5" t="s">
        <v>17</v>
      </c>
      <c r="AF3" s="5" t="s">
        <v>18</v>
      </c>
      <c r="AG3" s="5" t="s">
        <v>17</v>
      </c>
      <c r="AH3" s="5" t="s">
        <v>17</v>
      </c>
      <c r="AI3" s="5" t="s">
        <v>18</v>
      </c>
      <c r="AJ3" s="33"/>
      <c r="AK3" s="34"/>
    </row>
    <row r="4" spans="1:37" x14ac:dyDescent="0.3">
      <c r="A4" s="2"/>
      <c r="B4" s="2" t="s">
        <v>19</v>
      </c>
      <c r="C4" s="4"/>
      <c r="D4" s="4"/>
      <c r="E4" s="4"/>
      <c r="F4" s="4"/>
      <c r="G4" s="4"/>
      <c r="H4" s="4"/>
      <c r="I4" s="4">
        <v>4</v>
      </c>
      <c r="J4" s="4">
        <v>4</v>
      </c>
      <c r="K4" s="4">
        <v>4</v>
      </c>
      <c r="L4" s="4">
        <v>4</v>
      </c>
      <c r="M4" s="4"/>
      <c r="N4" s="4"/>
      <c r="O4" s="4"/>
      <c r="P4" s="4"/>
      <c r="Q4" s="4"/>
      <c r="R4" s="4">
        <v>4</v>
      </c>
      <c r="S4" s="22">
        <f>SUM(C4:R4)</f>
        <v>20</v>
      </c>
      <c r="T4" s="6"/>
      <c r="U4" s="6"/>
      <c r="V4" s="6"/>
      <c r="W4" s="6"/>
      <c r="X4" s="6">
        <v>4</v>
      </c>
      <c r="Y4" s="6"/>
      <c r="Z4" s="6"/>
      <c r="AA4" s="6"/>
      <c r="AB4" s="6"/>
      <c r="AC4" s="6"/>
      <c r="AD4" s="6">
        <v>4</v>
      </c>
      <c r="AE4" s="6"/>
      <c r="AF4" s="6"/>
      <c r="AG4" s="6"/>
      <c r="AH4" s="6"/>
      <c r="AI4" s="6"/>
      <c r="AJ4" s="33">
        <f>SUM(T4:AI4)</f>
        <v>8</v>
      </c>
      <c r="AK4" s="34">
        <f>SUM(AJ4,S4)</f>
        <v>28</v>
      </c>
    </row>
    <row r="5" spans="1:37" x14ac:dyDescent="0.3">
      <c r="A5" s="2"/>
      <c r="B5" s="2" t="s">
        <v>20</v>
      </c>
      <c r="C5" s="4"/>
      <c r="D5" s="4"/>
      <c r="E5" s="4">
        <v>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22">
        <f t="shared" ref="S5:S32" si="0">SUM(C5:R5)</f>
        <v>4</v>
      </c>
      <c r="T5" s="6"/>
      <c r="U5" s="6">
        <v>4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4</v>
      </c>
      <c r="AH5" s="6"/>
      <c r="AI5" s="6"/>
      <c r="AJ5" s="33">
        <f t="shared" ref="AJ5:AJ32" si="1">SUM(T5:AI5)</f>
        <v>8</v>
      </c>
      <c r="AK5" s="34">
        <f t="shared" ref="AK5:AK32" si="2">SUM(AJ5,S5)</f>
        <v>12</v>
      </c>
    </row>
    <row r="6" spans="1:37" x14ac:dyDescent="0.3">
      <c r="A6" s="2"/>
      <c r="B6" s="2" t="s">
        <v>21</v>
      </c>
      <c r="C6" s="4"/>
      <c r="D6" s="4">
        <v>4</v>
      </c>
      <c r="E6" s="4">
        <v>4</v>
      </c>
      <c r="F6" s="4"/>
      <c r="G6" s="4"/>
      <c r="H6" s="4"/>
      <c r="I6" s="4">
        <v>4</v>
      </c>
      <c r="J6" s="4"/>
      <c r="K6" s="4">
        <v>4</v>
      </c>
      <c r="L6" s="4"/>
      <c r="M6" s="4">
        <v>4</v>
      </c>
      <c r="N6" s="4"/>
      <c r="O6" s="4">
        <v>6</v>
      </c>
      <c r="P6" s="4">
        <v>4</v>
      </c>
      <c r="Q6" s="4"/>
      <c r="R6" s="4">
        <v>4</v>
      </c>
      <c r="S6" s="22">
        <f t="shared" si="0"/>
        <v>34</v>
      </c>
      <c r="T6" s="6">
        <v>4</v>
      </c>
      <c r="U6" s="6"/>
      <c r="V6" s="6"/>
      <c r="W6" s="6"/>
      <c r="X6" s="6">
        <v>4</v>
      </c>
      <c r="Y6" s="6"/>
      <c r="Z6" s="6"/>
      <c r="AA6" s="6"/>
      <c r="AB6" s="6"/>
      <c r="AC6" s="6"/>
      <c r="AD6" s="6"/>
      <c r="AE6" s="6"/>
      <c r="AF6" s="6"/>
      <c r="AG6" s="6">
        <v>8</v>
      </c>
      <c r="AH6" s="6"/>
      <c r="AI6" s="6"/>
      <c r="AJ6" s="33">
        <f t="shared" si="1"/>
        <v>16</v>
      </c>
      <c r="AK6" s="34">
        <f t="shared" si="2"/>
        <v>50</v>
      </c>
    </row>
    <row r="7" spans="1:37" x14ac:dyDescent="0.3">
      <c r="A7" s="2"/>
      <c r="B7" s="2" t="s">
        <v>22</v>
      </c>
      <c r="C7" s="4">
        <v>4</v>
      </c>
      <c r="D7" s="4"/>
      <c r="E7" s="4"/>
      <c r="F7" s="4"/>
      <c r="G7" s="4"/>
      <c r="H7" s="4"/>
      <c r="I7" s="4"/>
      <c r="J7" s="4">
        <v>4</v>
      </c>
      <c r="K7" s="4">
        <v>4</v>
      </c>
      <c r="L7" s="4"/>
      <c r="M7" s="4">
        <v>4</v>
      </c>
      <c r="N7" s="4"/>
      <c r="O7" s="4">
        <v>6</v>
      </c>
      <c r="P7" s="4"/>
      <c r="Q7" s="4"/>
      <c r="R7" s="4"/>
      <c r="S7" s="22">
        <f t="shared" si="0"/>
        <v>22</v>
      </c>
      <c r="T7" s="6">
        <v>4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14</v>
      </c>
      <c r="AH7" s="6"/>
      <c r="AI7" s="6"/>
      <c r="AJ7" s="33">
        <f t="shared" si="1"/>
        <v>18</v>
      </c>
      <c r="AK7" s="34">
        <f t="shared" si="2"/>
        <v>40</v>
      </c>
    </row>
    <row r="8" spans="1:37" x14ac:dyDescent="0.3">
      <c r="A8" s="2"/>
      <c r="B8" s="2" t="s">
        <v>23</v>
      </c>
      <c r="C8" s="4"/>
      <c r="D8" s="4"/>
      <c r="E8" s="4"/>
      <c r="F8" s="4"/>
      <c r="G8" s="4">
        <v>4</v>
      </c>
      <c r="H8" s="4"/>
      <c r="I8" s="4"/>
      <c r="J8" s="4"/>
      <c r="K8" s="4">
        <v>4</v>
      </c>
      <c r="L8" s="4"/>
      <c r="M8" s="4"/>
      <c r="N8" s="4"/>
      <c r="O8" s="4">
        <v>4</v>
      </c>
      <c r="P8" s="4">
        <v>4</v>
      </c>
      <c r="Q8" s="4"/>
      <c r="R8" s="4"/>
      <c r="S8" s="22">
        <f t="shared" si="0"/>
        <v>16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</v>
      </c>
      <c r="AH8" s="6"/>
      <c r="AI8" s="6"/>
      <c r="AJ8" s="33">
        <f t="shared" si="1"/>
        <v>4</v>
      </c>
      <c r="AK8" s="34">
        <f t="shared" si="2"/>
        <v>20</v>
      </c>
    </row>
    <row r="9" spans="1:37" x14ac:dyDescent="0.3">
      <c r="A9" s="2"/>
      <c r="B9" s="2" t="s">
        <v>24</v>
      </c>
      <c r="C9" s="4"/>
      <c r="D9" s="4"/>
      <c r="E9" s="4">
        <v>6</v>
      </c>
      <c r="F9" s="4"/>
      <c r="G9" s="4"/>
      <c r="H9" s="4"/>
      <c r="I9" s="4"/>
      <c r="J9" s="4">
        <v>4</v>
      </c>
      <c r="K9" s="4">
        <v>4</v>
      </c>
      <c r="L9" s="4"/>
      <c r="M9" s="4"/>
      <c r="N9" s="4">
        <v>4</v>
      </c>
      <c r="O9" s="4">
        <v>4</v>
      </c>
      <c r="P9" s="4">
        <v>4</v>
      </c>
      <c r="Q9" s="4"/>
      <c r="R9" s="4"/>
      <c r="S9" s="22">
        <f t="shared" si="0"/>
        <v>26</v>
      </c>
      <c r="T9" s="6">
        <v>4</v>
      </c>
      <c r="U9" s="6"/>
      <c r="V9" s="6">
        <v>6</v>
      </c>
      <c r="W9" s="6"/>
      <c r="X9" s="6"/>
      <c r="Y9" s="6"/>
      <c r="Z9" s="6"/>
      <c r="AA9" s="6"/>
      <c r="AB9" s="6"/>
      <c r="AC9" s="6"/>
      <c r="AD9" s="6"/>
      <c r="AE9" s="6"/>
      <c r="AF9" s="6">
        <v>4</v>
      </c>
      <c r="AG9" s="6">
        <v>6</v>
      </c>
      <c r="AH9" s="6"/>
      <c r="AI9" s="6">
        <v>4</v>
      </c>
      <c r="AJ9" s="33">
        <f t="shared" si="1"/>
        <v>24</v>
      </c>
      <c r="AK9" s="34">
        <f t="shared" si="2"/>
        <v>50</v>
      </c>
    </row>
    <row r="10" spans="1:37" x14ac:dyDescent="0.3">
      <c r="A10" s="2"/>
      <c r="B10" s="2" t="s">
        <v>25</v>
      </c>
      <c r="C10" s="4"/>
      <c r="D10" s="4"/>
      <c r="E10" s="4">
        <v>10</v>
      </c>
      <c r="F10" s="4"/>
      <c r="G10" s="4"/>
      <c r="H10" s="4"/>
      <c r="I10" s="4"/>
      <c r="J10" s="4"/>
      <c r="K10" s="4">
        <v>4</v>
      </c>
      <c r="L10" s="4"/>
      <c r="M10" s="4"/>
      <c r="N10" s="4"/>
      <c r="O10" s="4"/>
      <c r="P10" s="4"/>
      <c r="Q10" s="4">
        <v>4</v>
      </c>
      <c r="R10" s="4">
        <v>4</v>
      </c>
      <c r="S10" s="22">
        <f t="shared" si="0"/>
        <v>22</v>
      </c>
      <c r="T10" s="6"/>
      <c r="U10" s="6">
        <v>6</v>
      </c>
      <c r="V10" s="6">
        <v>4</v>
      </c>
      <c r="W10" s="6"/>
      <c r="X10" s="6">
        <v>4</v>
      </c>
      <c r="Y10" s="6"/>
      <c r="Z10" s="6"/>
      <c r="AA10" s="6"/>
      <c r="AB10" s="6"/>
      <c r="AC10" s="6"/>
      <c r="AD10" s="6">
        <v>4</v>
      </c>
      <c r="AE10" s="6"/>
      <c r="AF10" s="6"/>
      <c r="AG10" s="6"/>
      <c r="AH10" s="6"/>
      <c r="AI10" s="6"/>
      <c r="AJ10" s="33">
        <f t="shared" si="1"/>
        <v>18</v>
      </c>
      <c r="AK10" s="34">
        <f t="shared" si="2"/>
        <v>40</v>
      </c>
    </row>
    <row r="11" spans="1:37" x14ac:dyDescent="0.3">
      <c r="A11" s="2"/>
      <c r="B11" s="2" t="s">
        <v>26</v>
      </c>
      <c r="C11" s="4"/>
      <c r="D11" s="4"/>
      <c r="E11" s="4">
        <v>4</v>
      </c>
      <c r="F11" s="4">
        <v>4</v>
      </c>
      <c r="G11" s="4"/>
      <c r="H11" s="4"/>
      <c r="I11" s="4"/>
      <c r="J11" s="4"/>
      <c r="K11" s="4"/>
      <c r="L11" s="4"/>
      <c r="M11" s="4">
        <v>4</v>
      </c>
      <c r="N11" s="4"/>
      <c r="O11" s="4">
        <v>4</v>
      </c>
      <c r="P11" s="4"/>
      <c r="Q11" s="4"/>
      <c r="R11" s="4"/>
      <c r="S11" s="22">
        <f t="shared" si="0"/>
        <v>16</v>
      </c>
      <c r="T11" s="6"/>
      <c r="U11" s="6">
        <v>4</v>
      </c>
      <c r="V11" s="6"/>
      <c r="W11" s="6"/>
      <c r="X11" s="6"/>
      <c r="Y11" s="6"/>
      <c r="Z11" s="6"/>
      <c r="AA11" s="6"/>
      <c r="AB11" s="6"/>
      <c r="AC11" s="6"/>
      <c r="AD11" s="6"/>
      <c r="AE11" s="6">
        <v>4</v>
      </c>
      <c r="AF11" s="6"/>
      <c r="AG11" s="6">
        <v>4</v>
      </c>
      <c r="AH11" s="6"/>
      <c r="AI11" s="6"/>
      <c r="AJ11" s="33">
        <f t="shared" si="1"/>
        <v>12</v>
      </c>
      <c r="AK11" s="34">
        <f t="shared" si="2"/>
        <v>28</v>
      </c>
    </row>
    <row r="12" spans="1:37" x14ac:dyDescent="0.3">
      <c r="A12" s="2"/>
      <c r="B12" s="2" t="s">
        <v>27</v>
      </c>
      <c r="C12" s="4"/>
      <c r="D12" s="4"/>
      <c r="E12" s="4"/>
      <c r="F12" s="4"/>
      <c r="G12" s="4"/>
      <c r="H12" s="4"/>
      <c r="I12" s="4">
        <v>4</v>
      </c>
      <c r="J12" s="4"/>
      <c r="K12" s="4"/>
      <c r="L12" s="4"/>
      <c r="M12" s="4"/>
      <c r="N12" s="4"/>
      <c r="O12" s="4">
        <v>4</v>
      </c>
      <c r="P12" s="4">
        <v>4</v>
      </c>
      <c r="Q12" s="4"/>
      <c r="R12" s="4">
        <v>4</v>
      </c>
      <c r="S12" s="22">
        <f t="shared" si="0"/>
        <v>16</v>
      </c>
      <c r="T12" s="6"/>
      <c r="U12" s="6"/>
      <c r="V12" s="6"/>
      <c r="W12" s="6"/>
      <c r="X12" s="6">
        <v>4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33">
        <f t="shared" si="1"/>
        <v>4</v>
      </c>
      <c r="AK12" s="34">
        <f t="shared" si="2"/>
        <v>20</v>
      </c>
    </row>
    <row r="13" spans="1:37" x14ac:dyDescent="0.3">
      <c r="A13" s="2"/>
      <c r="B13" s="2" t="s">
        <v>28</v>
      </c>
      <c r="C13" s="4"/>
      <c r="D13" s="4">
        <v>4</v>
      </c>
      <c r="E13" s="4"/>
      <c r="F13" s="4"/>
      <c r="G13" s="4">
        <v>4</v>
      </c>
      <c r="H13" s="4"/>
      <c r="I13" s="4">
        <v>4</v>
      </c>
      <c r="J13" s="4"/>
      <c r="K13" s="4"/>
      <c r="L13" s="4"/>
      <c r="M13" s="4"/>
      <c r="N13" s="4">
        <v>4</v>
      </c>
      <c r="O13" s="4"/>
      <c r="P13" s="4">
        <v>4</v>
      </c>
      <c r="Q13" s="4"/>
      <c r="R13" s="4"/>
      <c r="S13" s="22">
        <f t="shared" si="0"/>
        <v>20</v>
      </c>
      <c r="T13" s="6"/>
      <c r="U13" s="6"/>
      <c r="V13" s="6"/>
      <c r="W13" s="6"/>
      <c r="X13" s="6"/>
      <c r="Y13" s="6">
        <v>4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33">
        <f t="shared" si="1"/>
        <v>4</v>
      </c>
      <c r="AK13" s="34">
        <f t="shared" si="2"/>
        <v>24</v>
      </c>
    </row>
    <row r="14" spans="1:37" x14ac:dyDescent="0.3">
      <c r="A14" s="2"/>
      <c r="B14" s="2" t="s">
        <v>29</v>
      </c>
      <c r="C14" s="4">
        <v>4</v>
      </c>
      <c r="D14" s="4">
        <v>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4</v>
      </c>
      <c r="S14" s="22">
        <f t="shared" si="0"/>
        <v>12</v>
      </c>
      <c r="T14" s="6">
        <v>4</v>
      </c>
      <c r="U14" s="6"/>
      <c r="V14" s="6"/>
      <c r="W14" s="6"/>
      <c r="X14" s="6">
        <v>4</v>
      </c>
      <c r="Y14" s="6"/>
      <c r="Z14" s="6"/>
      <c r="AA14" s="6"/>
      <c r="AB14" s="6">
        <v>4</v>
      </c>
      <c r="AC14" s="6"/>
      <c r="AD14" s="6"/>
      <c r="AE14" s="6"/>
      <c r="AF14" s="6"/>
      <c r="AG14" s="6"/>
      <c r="AH14" s="6"/>
      <c r="AI14" s="6"/>
      <c r="AJ14" s="33">
        <f t="shared" si="1"/>
        <v>12</v>
      </c>
      <c r="AK14" s="34">
        <f t="shared" si="2"/>
        <v>24</v>
      </c>
    </row>
    <row r="15" spans="1:37" x14ac:dyDescent="0.3">
      <c r="A15" s="2"/>
      <c r="B15" s="2" t="s">
        <v>30</v>
      </c>
      <c r="C15" s="4">
        <v>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2">
        <f t="shared" si="0"/>
        <v>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33">
        <f t="shared" si="1"/>
        <v>0</v>
      </c>
      <c r="AK15" s="34">
        <f t="shared" si="2"/>
        <v>4</v>
      </c>
    </row>
    <row r="16" spans="1:37" x14ac:dyDescent="0.3">
      <c r="A16" s="2"/>
      <c r="B16" s="2" t="s">
        <v>31</v>
      </c>
      <c r="C16" s="4">
        <v>4</v>
      </c>
      <c r="D16" s="4">
        <v>4</v>
      </c>
      <c r="E16" s="4"/>
      <c r="F16" s="4"/>
      <c r="G16" s="4"/>
      <c r="H16" s="4"/>
      <c r="I16" s="4"/>
      <c r="J16" s="4"/>
      <c r="K16" s="4"/>
      <c r="L16" s="4"/>
      <c r="M16" s="4"/>
      <c r="N16" s="4">
        <v>4</v>
      </c>
      <c r="O16" s="4"/>
      <c r="P16" s="4"/>
      <c r="Q16" s="4"/>
      <c r="R16" s="4"/>
      <c r="S16" s="22">
        <f t="shared" si="0"/>
        <v>12</v>
      </c>
      <c r="T16" s="6"/>
      <c r="U16" s="6"/>
      <c r="V16" s="6"/>
      <c r="W16" s="6"/>
      <c r="X16" s="6">
        <v>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33">
        <f t="shared" si="1"/>
        <v>4</v>
      </c>
      <c r="AK16" s="34">
        <f t="shared" si="2"/>
        <v>16</v>
      </c>
    </row>
    <row r="17" spans="1:37" x14ac:dyDescent="0.3">
      <c r="A17" s="2"/>
      <c r="B17" s="2" t="s">
        <v>32</v>
      </c>
      <c r="C17" s="4">
        <v>4</v>
      </c>
      <c r="D17" s="4">
        <v>6</v>
      </c>
      <c r="E17" s="4"/>
      <c r="F17" s="4"/>
      <c r="G17" s="4">
        <v>6</v>
      </c>
      <c r="H17" s="4">
        <v>8</v>
      </c>
      <c r="I17" s="4">
        <v>4</v>
      </c>
      <c r="J17" s="4"/>
      <c r="K17" s="4"/>
      <c r="L17" s="4">
        <v>4</v>
      </c>
      <c r="M17" s="4">
        <v>4</v>
      </c>
      <c r="N17" s="4"/>
      <c r="O17" s="4"/>
      <c r="P17" s="4">
        <v>4</v>
      </c>
      <c r="Q17" s="4"/>
      <c r="R17" s="4">
        <v>4</v>
      </c>
      <c r="S17" s="22">
        <f t="shared" si="0"/>
        <v>44</v>
      </c>
      <c r="T17" s="6">
        <v>4</v>
      </c>
      <c r="U17" s="6"/>
      <c r="V17" s="6"/>
      <c r="W17" s="6"/>
      <c r="X17" s="6"/>
      <c r="Y17" s="6">
        <v>4</v>
      </c>
      <c r="Z17" s="6"/>
      <c r="AA17" s="6">
        <v>4</v>
      </c>
      <c r="AB17" s="6"/>
      <c r="AC17" s="6"/>
      <c r="AD17" s="6">
        <v>4</v>
      </c>
      <c r="AE17" s="6"/>
      <c r="AF17" s="6"/>
      <c r="AG17" s="6"/>
      <c r="AH17" s="6"/>
      <c r="AI17" s="6"/>
      <c r="AJ17" s="33">
        <f t="shared" si="1"/>
        <v>16</v>
      </c>
      <c r="AK17" s="34">
        <f t="shared" si="2"/>
        <v>60</v>
      </c>
    </row>
    <row r="18" spans="1:37" x14ac:dyDescent="0.3">
      <c r="A18" s="2"/>
      <c r="B18" s="2" t="s">
        <v>33</v>
      </c>
      <c r="C18" s="4"/>
      <c r="D18" s="4">
        <v>4</v>
      </c>
      <c r="E18" s="4"/>
      <c r="F18" s="4"/>
      <c r="G18" s="4">
        <v>14</v>
      </c>
      <c r="H18" s="4"/>
      <c r="I18" s="4"/>
      <c r="J18" s="4">
        <v>4</v>
      </c>
      <c r="K18" s="4"/>
      <c r="L18" s="4"/>
      <c r="M18" s="4"/>
      <c r="N18" s="4"/>
      <c r="O18" s="4"/>
      <c r="P18" s="4"/>
      <c r="Q18" s="4">
        <v>4</v>
      </c>
      <c r="R18" s="4">
        <v>4</v>
      </c>
      <c r="S18" s="22">
        <f t="shared" si="0"/>
        <v>30</v>
      </c>
      <c r="T18" s="6"/>
      <c r="U18" s="6"/>
      <c r="V18" s="6"/>
      <c r="W18" s="6"/>
      <c r="X18" s="6"/>
      <c r="Y18" s="6">
        <v>4</v>
      </c>
      <c r="Z18" s="6"/>
      <c r="AA18" s="6"/>
      <c r="AB18" s="6"/>
      <c r="AC18" s="6"/>
      <c r="AD18" s="6">
        <v>4</v>
      </c>
      <c r="AE18" s="6"/>
      <c r="AF18" s="6"/>
      <c r="AG18" s="6"/>
      <c r="AH18" s="6"/>
      <c r="AI18" s="6"/>
      <c r="AJ18" s="33">
        <f t="shared" si="1"/>
        <v>8</v>
      </c>
      <c r="AK18" s="34">
        <f t="shared" si="2"/>
        <v>38</v>
      </c>
    </row>
    <row r="19" spans="1:37" x14ac:dyDescent="0.3">
      <c r="A19" s="2"/>
      <c r="B19" s="2" t="s">
        <v>34</v>
      </c>
      <c r="C19" s="4"/>
      <c r="D19" s="4"/>
      <c r="E19" s="4"/>
      <c r="F19" s="4"/>
      <c r="G19" s="4"/>
      <c r="H19" s="4"/>
      <c r="I19" s="4"/>
      <c r="J19" s="4"/>
      <c r="K19" s="4">
        <v>4</v>
      </c>
      <c r="L19" s="4"/>
      <c r="M19" s="4"/>
      <c r="N19" s="4"/>
      <c r="O19" s="4">
        <v>4</v>
      </c>
      <c r="P19" s="4"/>
      <c r="Q19" s="4"/>
      <c r="R19" s="4"/>
      <c r="S19" s="22">
        <f t="shared" si="0"/>
        <v>8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33">
        <f t="shared" si="1"/>
        <v>0</v>
      </c>
      <c r="AK19" s="34">
        <f t="shared" si="2"/>
        <v>8</v>
      </c>
    </row>
    <row r="20" spans="1:37" x14ac:dyDescent="0.3">
      <c r="A20" s="2"/>
      <c r="B20" s="2" t="s">
        <v>35</v>
      </c>
      <c r="C20" s="4">
        <v>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v>4</v>
      </c>
      <c r="P20" s="4"/>
      <c r="Q20" s="4"/>
      <c r="R20" s="4"/>
      <c r="S20" s="22">
        <f t="shared" si="0"/>
        <v>8</v>
      </c>
      <c r="T20" s="6"/>
      <c r="U20" s="6"/>
      <c r="V20" s="6"/>
      <c r="W20" s="6"/>
      <c r="X20" s="6">
        <v>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33">
        <f t="shared" si="1"/>
        <v>4</v>
      </c>
      <c r="AK20" s="34">
        <f t="shared" si="2"/>
        <v>12</v>
      </c>
    </row>
    <row r="21" spans="1:37" x14ac:dyDescent="0.3">
      <c r="A21" s="2"/>
      <c r="B21" s="2" t="s">
        <v>36</v>
      </c>
      <c r="C21" s="4"/>
      <c r="D21" s="4"/>
      <c r="E21" s="4">
        <v>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v>4</v>
      </c>
      <c r="S21" s="22">
        <f t="shared" si="0"/>
        <v>8</v>
      </c>
      <c r="T21" s="6">
        <v>4</v>
      </c>
      <c r="U21" s="6">
        <v>8</v>
      </c>
      <c r="V21" s="6"/>
      <c r="W21" s="6">
        <v>4</v>
      </c>
      <c r="X21" s="6"/>
      <c r="Y21" s="6"/>
      <c r="Z21" s="6"/>
      <c r="AA21" s="6"/>
      <c r="AB21" s="6"/>
      <c r="AC21" s="6"/>
      <c r="AD21" s="6"/>
      <c r="AE21" s="6">
        <v>4</v>
      </c>
      <c r="AF21" s="6"/>
      <c r="AG21" s="6"/>
      <c r="AH21" s="6"/>
      <c r="AI21" s="6"/>
      <c r="AJ21" s="33">
        <f t="shared" si="1"/>
        <v>20</v>
      </c>
      <c r="AK21" s="34">
        <f t="shared" si="2"/>
        <v>28</v>
      </c>
    </row>
    <row r="22" spans="1:37" x14ac:dyDescent="0.3">
      <c r="A22" s="2"/>
      <c r="B22" s="2" t="s">
        <v>37</v>
      </c>
      <c r="C22" s="4"/>
      <c r="D22" s="4">
        <v>4</v>
      </c>
      <c r="E22" s="4"/>
      <c r="F22" s="4"/>
      <c r="G22" s="4"/>
      <c r="H22" s="4"/>
      <c r="I22" s="4"/>
      <c r="J22" s="4"/>
      <c r="K22" s="4">
        <v>4</v>
      </c>
      <c r="L22" s="4"/>
      <c r="M22" s="4"/>
      <c r="N22" s="4"/>
      <c r="O22" s="4"/>
      <c r="P22" s="4"/>
      <c r="Q22" s="4"/>
      <c r="R22" s="4">
        <v>4</v>
      </c>
      <c r="S22" s="22">
        <f t="shared" si="0"/>
        <v>12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33">
        <f t="shared" si="1"/>
        <v>0</v>
      </c>
      <c r="AK22" s="34">
        <f t="shared" si="2"/>
        <v>12</v>
      </c>
    </row>
    <row r="23" spans="1:37" x14ac:dyDescent="0.3">
      <c r="A23" s="2"/>
      <c r="B23" s="2" t="s">
        <v>38</v>
      </c>
      <c r="C23" s="4"/>
      <c r="D23" s="4">
        <v>4</v>
      </c>
      <c r="E23" s="4">
        <v>4</v>
      </c>
      <c r="F23" s="4"/>
      <c r="G23" s="4">
        <v>4</v>
      </c>
      <c r="H23" s="4"/>
      <c r="I23" s="4"/>
      <c r="J23" s="4"/>
      <c r="K23" s="4"/>
      <c r="L23" s="4"/>
      <c r="M23" s="4"/>
      <c r="N23" s="4"/>
      <c r="O23" s="4"/>
      <c r="P23" s="4">
        <v>4</v>
      </c>
      <c r="Q23" s="4"/>
      <c r="R23" s="4"/>
      <c r="S23" s="22">
        <f t="shared" si="0"/>
        <v>16</v>
      </c>
      <c r="T23" s="6">
        <v>4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4</v>
      </c>
      <c r="AF23" s="6"/>
      <c r="AG23" s="6"/>
      <c r="AH23" s="6">
        <v>4</v>
      </c>
      <c r="AI23" s="6">
        <v>4</v>
      </c>
      <c r="AJ23" s="33">
        <f t="shared" si="1"/>
        <v>16</v>
      </c>
      <c r="AK23" s="34">
        <f t="shared" si="2"/>
        <v>32</v>
      </c>
    </row>
    <row r="24" spans="1:37" x14ac:dyDescent="0.3">
      <c r="A24" s="2"/>
      <c r="B24" s="2" t="s">
        <v>39</v>
      </c>
      <c r="C24" s="4">
        <v>4</v>
      </c>
      <c r="D24" s="4"/>
      <c r="E24" s="4"/>
      <c r="F24" s="4"/>
      <c r="G24" s="4"/>
      <c r="H24" s="4"/>
      <c r="I24" s="4"/>
      <c r="J24" s="4"/>
      <c r="K24" s="4"/>
      <c r="L24" s="4"/>
      <c r="M24" s="4">
        <v>4</v>
      </c>
      <c r="N24" s="4"/>
      <c r="O24" s="4">
        <v>4</v>
      </c>
      <c r="P24" s="4"/>
      <c r="Q24" s="4"/>
      <c r="R24" s="4"/>
      <c r="S24" s="22">
        <f t="shared" si="0"/>
        <v>12</v>
      </c>
      <c r="T24" s="6"/>
      <c r="U24" s="6"/>
      <c r="V24" s="6"/>
      <c r="W24" s="6"/>
      <c r="X24" s="6"/>
      <c r="Y24" s="6"/>
      <c r="Z24" s="6"/>
      <c r="AA24" s="6">
        <v>4</v>
      </c>
      <c r="AB24" s="6"/>
      <c r="AC24" s="6"/>
      <c r="AD24" s="6"/>
      <c r="AE24" s="6">
        <v>4</v>
      </c>
      <c r="AF24" s="6"/>
      <c r="AG24" s="6"/>
      <c r="AH24" s="6"/>
      <c r="AI24" s="6">
        <v>4</v>
      </c>
      <c r="AJ24" s="33">
        <f t="shared" si="1"/>
        <v>12</v>
      </c>
      <c r="AK24" s="34">
        <f t="shared" si="2"/>
        <v>24</v>
      </c>
    </row>
    <row r="25" spans="1:37" x14ac:dyDescent="0.3">
      <c r="A25" s="2"/>
      <c r="B25" s="2" t="s">
        <v>40</v>
      </c>
      <c r="C25" s="4"/>
      <c r="D25" s="4">
        <v>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2">
        <f t="shared" si="0"/>
        <v>4</v>
      </c>
      <c r="T25" s="6"/>
      <c r="U25" s="6"/>
      <c r="V25" s="6"/>
      <c r="W25" s="6"/>
      <c r="X25" s="6"/>
      <c r="Y25" s="6"/>
      <c r="Z25" s="6"/>
      <c r="AA25" s="6">
        <v>4</v>
      </c>
      <c r="AB25" s="6"/>
      <c r="AC25" s="6"/>
      <c r="AD25" s="6"/>
      <c r="AE25" s="6"/>
      <c r="AF25" s="6"/>
      <c r="AG25" s="6"/>
      <c r="AH25" s="6"/>
      <c r="AI25" s="6"/>
      <c r="AJ25" s="33">
        <f t="shared" si="1"/>
        <v>4</v>
      </c>
      <c r="AK25" s="34">
        <f t="shared" si="2"/>
        <v>8</v>
      </c>
    </row>
    <row r="26" spans="1:37" x14ac:dyDescent="0.3">
      <c r="A26" s="2"/>
      <c r="B26" s="2" t="s">
        <v>41</v>
      </c>
      <c r="C26" s="4">
        <v>4</v>
      </c>
      <c r="D26" s="4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2">
        <f t="shared" si="0"/>
        <v>10</v>
      </c>
      <c r="T26" s="6"/>
      <c r="U26" s="6"/>
      <c r="V26" s="6"/>
      <c r="W26" s="6"/>
      <c r="X26" s="6"/>
      <c r="Y26" s="6">
        <v>4</v>
      </c>
      <c r="Z26" s="6">
        <v>8</v>
      </c>
      <c r="AA26" s="6">
        <v>8</v>
      </c>
      <c r="AB26" s="6"/>
      <c r="AC26" s="6">
        <v>4</v>
      </c>
      <c r="AD26" s="6"/>
      <c r="AE26" s="6"/>
      <c r="AF26" s="6"/>
      <c r="AG26" s="6"/>
      <c r="AH26" s="6"/>
      <c r="AI26" s="6">
        <v>4</v>
      </c>
      <c r="AJ26" s="33">
        <f t="shared" si="1"/>
        <v>28</v>
      </c>
      <c r="AK26" s="34">
        <f t="shared" si="2"/>
        <v>38</v>
      </c>
    </row>
    <row r="27" spans="1:37" x14ac:dyDescent="0.3">
      <c r="A27" s="2"/>
      <c r="B27" s="2" t="s">
        <v>42</v>
      </c>
      <c r="C27" s="4">
        <v>4</v>
      </c>
      <c r="D27" s="4">
        <v>4</v>
      </c>
      <c r="E27" s="4"/>
      <c r="F27" s="4"/>
      <c r="G27" s="4"/>
      <c r="H27" s="4"/>
      <c r="I27" s="4"/>
      <c r="J27" s="4"/>
      <c r="K27" s="4"/>
      <c r="L27" s="4"/>
      <c r="M27" s="4"/>
      <c r="N27" s="4">
        <v>4</v>
      </c>
      <c r="O27" s="4"/>
      <c r="P27" s="4"/>
      <c r="Q27" s="4"/>
      <c r="R27" s="4"/>
      <c r="S27" s="22">
        <f t="shared" si="0"/>
        <v>12</v>
      </c>
      <c r="T27" s="6">
        <v>4</v>
      </c>
      <c r="U27" s="6"/>
      <c r="V27" s="6"/>
      <c r="W27" s="6"/>
      <c r="X27" s="6">
        <v>4</v>
      </c>
      <c r="Y27" s="6">
        <v>4</v>
      </c>
      <c r="Z27" s="6"/>
      <c r="AA27" s="6">
        <v>4</v>
      </c>
      <c r="AB27" s="6"/>
      <c r="AC27" s="6">
        <v>8</v>
      </c>
      <c r="AD27" s="6">
        <v>4</v>
      </c>
      <c r="AE27" s="6"/>
      <c r="AF27" s="6"/>
      <c r="AG27" s="6"/>
      <c r="AH27" s="6"/>
      <c r="AI27" s="6"/>
      <c r="AJ27" s="33">
        <f t="shared" si="1"/>
        <v>28</v>
      </c>
      <c r="AK27" s="34">
        <f t="shared" si="2"/>
        <v>40</v>
      </c>
    </row>
    <row r="28" spans="1:37" x14ac:dyDescent="0.3">
      <c r="A28" s="2"/>
      <c r="B28" s="2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2">
        <f t="shared" si="0"/>
        <v>0</v>
      </c>
      <c r="T28" s="6">
        <v>4</v>
      </c>
      <c r="U28" s="6">
        <v>4</v>
      </c>
      <c r="V28" s="6"/>
      <c r="W28" s="6"/>
      <c r="X28" s="6"/>
      <c r="Y28" s="6">
        <v>4</v>
      </c>
      <c r="Z28" s="6"/>
      <c r="AA28" s="6">
        <v>8</v>
      </c>
      <c r="AB28" s="6"/>
      <c r="AC28" s="6"/>
      <c r="AD28" s="6"/>
      <c r="AE28" s="6">
        <v>10</v>
      </c>
      <c r="AF28" s="6"/>
      <c r="AG28" s="6"/>
      <c r="AH28" s="6">
        <v>4</v>
      </c>
      <c r="AI28" s="6"/>
      <c r="AJ28" s="33">
        <f t="shared" si="1"/>
        <v>34</v>
      </c>
      <c r="AK28" s="34">
        <f t="shared" si="2"/>
        <v>34</v>
      </c>
    </row>
    <row r="29" spans="1:37" x14ac:dyDescent="0.3">
      <c r="A29" s="2"/>
      <c r="B29" s="2" t="s">
        <v>44</v>
      </c>
      <c r="C29" s="4"/>
      <c r="D29" s="4">
        <v>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2">
        <f t="shared" si="0"/>
        <v>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33">
        <f t="shared" si="1"/>
        <v>0</v>
      </c>
      <c r="AK29" s="34">
        <f t="shared" si="2"/>
        <v>4</v>
      </c>
    </row>
    <row r="30" spans="1:37" x14ac:dyDescent="0.3">
      <c r="A30" s="2"/>
      <c r="B30" s="2" t="s">
        <v>45</v>
      </c>
      <c r="C30" s="4">
        <v>4</v>
      </c>
      <c r="D30" s="4">
        <v>4</v>
      </c>
      <c r="E30" s="4"/>
      <c r="F30" s="4"/>
      <c r="G30" s="4"/>
      <c r="H30" s="4"/>
      <c r="I30" s="4"/>
      <c r="J30" s="4"/>
      <c r="K30" s="4"/>
      <c r="L30" s="4"/>
      <c r="M30" s="4">
        <v>4</v>
      </c>
      <c r="N30" s="4"/>
      <c r="O30" s="4"/>
      <c r="P30" s="4"/>
      <c r="Q30" s="4"/>
      <c r="R30" s="4"/>
      <c r="S30" s="22">
        <f t="shared" si="0"/>
        <v>12</v>
      </c>
      <c r="T30" s="6"/>
      <c r="U30" s="6"/>
      <c r="V30" s="6"/>
      <c r="W30" s="6"/>
      <c r="X30" s="6"/>
      <c r="Y30" s="6">
        <v>4</v>
      </c>
      <c r="Z30" s="6"/>
      <c r="AA30" s="6">
        <v>4</v>
      </c>
      <c r="AB30" s="6"/>
      <c r="AC30" s="6"/>
      <c r="AD30" s="6"/>
      <c r="AE30" s="6"/>
      <c r="AF30" s="6"/>
      <c r="AG30" s="6"/>
      <c r="AH30" s="6">
        <v>4</v>
      </c>
      <c r="AI30" s="6"/>
      <c r="AJ30" s="33">
        <f t="shared" si="1"/>
        <v>12</v>
      </c>
      <c r="AK30" s="34">
        <f t="shared" si="2"/>
        <v>24</v>
      </c>
    </row>
    <row r="31" spans="1:37" x14ac:dyDescent="0.3">
      <c r="A31" s="2"/>
      <c r="B31" s="2" t="s">
        <v>46</v>
      </c>
      <c r="C31" s="4"/>
      <c r="D31" s="4"/>
      <c r="E31" s="4"/>
      <c r="F31" s="4"/>
      <c r="G31" s="4"/>
      <c r="H31" s="4"/>
      <c r="I31" s="4">
        <v>4</v>
      </c>
      <c r="J31" s="4"/>
      <c r="K31" s="4"/>
      <c r="L31" s="4"/>
      <c r="M31" s="4"/>
      <c r="N31" s="4"/>
      <c r="O31" s="4"/>
      <c r="P31" s="4">
        <v>4</v>
      </c>
      <c r="Q31" s="4"/>
      <c r="R31" s="4">
        <v>4</v>
      </c>
      <c r="S31" s="22">
        <f t="shared" si="0"/>
        <v>12</v>
      </c>
      <c r="T31" s="6">
        <v>4</v>
      </c>
      <c r="U31" s="6">
        <v>4</v>
      </c>
      <c r="V31" s="6"/>
      <c r="W31" s="6"/>
      <c r="X31" s="6"/>
      <c r="Y31" s="6"/>
      <c r="Z31" s="6"/>
      <c r="AA31" s="6"/>
      <c r="AB31" s="6"/>
      <c r="AC31" s="6">
        <v>4</v>
      </c>
      <c r="AD31" s="6"/>
      <c r="AE31" s="6">
        <v>6</v>
      </c>
      <c r="AF31" s="6"/>
      <c r="AG31" s="6"/>
      <c r="AH31" s="6">
        <v>4</v>
      </c>
      <c r="AI31" s="6">
        <v>4</v>
      </c>
      <c r="AJ31" s="33">
        <f t="shared" si="1"/>
        <v>26</v>
      </c>
      <c r="AK31" s="34">
        <f t="shared" si="2"/>
        <v>38</v>
      </c>
    </row>
    <row r="32" spans="1:37" x14ac:dyDescent="0.3">
      <c r="A32" s="28"/>
      <c r="B32" s="28" t="s">
        <v>47</v>
      </c>
      <c r="C32" s="29"/>
      <c r="D32" s="29">
        <v>4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0">
        <f t="shared" si="0"/>
        <v>4</v>
      </c>
      <c r="T32" s="31"/>
      <c r="U32" s="31"/>
      <c r="V32" s="31"/>
      <c r="W32" s="31">
        <v>4</v>
      </c>
      <c r="X32" s="31"/>
      <c r="Y32" s="31">
        <v>4</v>
      </c>
      <c r="Z32" s="31"/>
      <c r="AA32" s="31"/>
      <c r="AB32" s="31"/>
      <c r="AC32" s="31">
        <v>4</v>
      </c>
      <c r="AD32" s="31"/>
      <c r="AE32" s="31">
        <v>4</v>
      </c>
      <c r="AF32" s="31"/>
      <c r="AG32" s="31"/>
      <c r="AH32" s="31">
        <v>4</v>
      </c>
      <c r="AI32" s="31"/>
      <c r="AJ32" s="33">
        <f t="shared" si="1"/>
        <v>20</v>
      </c>
      <c r="AK32" s="34">
        <f t="shared" si="2"/>
        <v>24</v>
      </c>
    </row>
    <row r="33" spans="1:37" s="14" customFormat="1" x14ac:dyDescent="0.3">
      <c r="A33" s="32" t="s">
        <v>48</v>
      </c>
      <c r="B33" s="32"/>
      <c r="C33" s="27">
        <f>SUM(C4:C32)</f>
        <v>40</v>
      </c>
      <c r="D33" s="27">
        <f t="shared" ref="D33:AK33" si="3">SUM(D4:D32)</f>
        <v>60</v>
      </c>
      <c r="E33" s="27">
        <f t="shared" si="3"/>
        <v>36</v>
      </c>
      <c r="F33" s="27">
        <f t="shared" si="3"/>
        <v>4</v>
      </c>
      <c r="G33" s="27">
        <f t="shared" si="3"/>
        <v>32</v>
      </c>
      <c r="H33" s="27">
        <f t="shared" si="3"/>
        <v>8</v>
      </c>
      <c r="I33" s="27">
        <f t="shared" si="3"/>
        <v>24</v>
      </c>
      <c r="J33" s="27">
        <f t="shared" si="3"/>
        <v>16</v>
      </c>
      <c r="K33" s="27">
        <f t="shared" si="3"/>
        <v>32</v>
      </c>
      <c r="L33" s="27">
        <f t="shared" si="3"/>
        <v>8</v>
      </c>
      <c r="M33" s="27">
        <f t="shared" si="3"/>
        <v>24</v>
      </c>
      <c r="N33" s="27">
        <f t="shared" si="3"/>
        <v>16</v>
      </c>
      <c r="O33" s="27">
        <f t="shared" si="3"/>
        <v>40</v>
      </c>
      <c r="P33" s="27">
        <f t="shared" si="3"/>
        <v>32</v>
      </c>
      <c r="Q33" s="27">
        <f t="shared" si="3"/>
        <v>8</v>
      </c>
      <c r="R33" s="27">
        <f t="shared" si="3"/>
        <v>40</v>
      </c>
      <c r="S33" s="27">
        <f t="shared" si="3"/>
        <v>420</v>
      </c>
      <c r="T33" s="27">
        <f t="shared" si="3"/>
        <v>40</v>
      </c>
      <c r="U33" s="27">
        <f t="shared" si="3"/>
        <v>30</v>
      </c>
      <c r="V33" s="27">
        <f t="shared" si="3"/>
        <v>10</v>
      </c>
      <c r="W33" s="27">
        <f t="shared" si="3"/>
        <v>8</v>
      </c>
      <c r="X33" s="27">
        <f t="shared" si="3"/>
        <v>32</v>
      </c>
      <c r="Y33" s="27">
        <f t="shared" si="3"/>
        <v>32</v>
      </c>
      <c r="Z33" s="27">
        <f t="shared" si="3"/>
        <v>8</v>
      </c>
      <c r="AA33" s="27">
        <f t="shared" si="3"/>
        <v>36</v>
      </c>
      <c r="AB33" s="27">
        <f t="shared" si="3"/>
        <v>4</v>
      </c>
      <c r="AC33" s="27">
        <f t="shared" si="3"/>
        <v>20</v>
      </c>
      <c r="AD33" s="27">
        <f t="shared" si="3"/>
        <v>20</v>
      </c>
      <c r="AE33" s="27">
        <f t="shared" si="3"/>
        <v>36</v>
      </c>
      <c r="AF33" s="27">
        <f t="shared" si="3"/>
        <v>4</v>
      </c>
      <c r="AG33" s="27">
        <f t="shared" si="3"/>
        <v>40</v>
      </c>
      <c r="AH33" s="27">
        <f t="shared" si="3"/>
        <v>20</v>
      </c>
      <c r="AI33" s="27">
        <f t="shared" si="3"/>
        <v>20</v>
      </c>
      <c r="AJ33" s="27">
        <f t="shared" si="3"/>
        <v>360</v>
      </c>
      <c r="AK33" s="27">
        <f t="shared" si="3"/>
        <v>780</v>
      </c>
    </row>
    <row r="34" spans="1:37" x14ac:dyDescent="0.3">
      <c r="C34">
        <f>C33</f>
        <v>40</v>
      </c>
      <c r="D34">
        <f>D33</f>
        <v>60</v>
      </c>
      <c r="E34">
        <f>SUM(E33:F33)</f>
        <v>40</v>
      </c>
      <c r="G34">
        <f>SUM(G33:H33)</f>
        <v>40</v>
      </c>
      <c r="I34">
        <f>SUM(I33:J33)</f>
        <v>40</v>
      </c>
      <c r="K34">
        <f>SUM(K33:L33)</f>
        <v>40</v>
      </c>
      <c r="M34">
        <f>SUM(M33:N33)</f>
        <v>40</v>
      </c>
      <c r="O34">
        <f>O33</f>
        <v>40</v>
      </c>
      <c r="P34">
        <f>SUM(P33:Q33)</f>
        <v>40</v>
      </c>
      <c r="R34">
        <f>R33</f>
        <v>40</v>
      </c>
      <c r="T34">
        <f>T33</f>
        <v>40</v>
      </c>
      <c r="U34">
        <f>SUM(U33:V33)</f>
        <v>40</v>
      </c>
      <c r="W34">
        <f>SUM(W33:X33)</f>
        <v>40</v>
      </c>
      <c r="Y34">
        <f>SUM(Y33:Z33)</f>
        <v>40</v>
      </c>
      <c r="AA34">
        <f>SUM(AA33:AB33)</f>
        <v>40</v>
      </c>
      <c r="AC34">
        <f>SUM(AC33:AD33)</f>
        <v>40</v>
      </c>
      <c r="AE34">
        <f>SUM(AE33:AF33)</f>
        <v>40</v>
      </c>
      <c r="AG34">
        <f>AG33</f>
        <v>40</v>
      </c>
      <c r="AH34">
        <f>SUM(AH33:AI33)</f>
        <v>40</v>
      </c>
    </row>
  </sheetData>
  <mergeCells count="18">
    <mergeCell ref="AK1:AK2"/>
    <mergeCell ref="A33:B33"/>
    <mergeCell ref="B1:B3"/>
    <mergeCell ref="E2:F2"/>
    <mergeCell ref="K2:L2"/>
    <mergeCell ref="I2:J2"/>
    <mergeCell ref="Y2:Z2"/>
    <mergeCell ref="AA2:AB2"/>
    <mergeCell ref="P2:Q2"/>
    <mergeCell ref="M2:N2"/>
    <mergeCell ref="W2:X2"/>
    <mergeCell ref="U2:V2"/>
    <mergeCell ref="G2:H2"/>
    <mergeCell ref="AC2:AD2"/>
    <mergeCell ref="AE2:AF2"/>
    <mergeCell ref="AH2:AI2"/>
    <mergeCell ref="C1:S1"/>
    <mergeCell ref="T1:AJ1"/>
  </mergeCells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central</vt:lpstr>
      <vt:lpstr>state</vt:lpstr>
      <vt:lpstr>central!Print_Area</vt:lpstr>
      <vt:lpstr>state!Print_Area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2026-09-15T10:20:08Z</cp:lastPrinted>
  <dcterms:created xsi:type="dcterms:W3CDTF">2026-09-15T09:40:41Z</dcterms:created>
  <dcterms:modified xsi:type="dcterms:W3CDTF">2026-09-15T10:20:35Z</dcterms:modified>
</cp:coreProperties>
</file>
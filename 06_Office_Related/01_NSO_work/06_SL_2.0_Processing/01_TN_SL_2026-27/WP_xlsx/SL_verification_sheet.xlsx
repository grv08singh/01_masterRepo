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24226"/>
  <xr:revisionPtr revIDLastSave="0" documentId="13_ncr:1_{E3137C33-A70D-4FCE-A3B0-D176CC4AC428}" xr6:coauthVersionLast="47" xr6:coauthVersionMax="47" xr10:uidLastSave="{00000000-0000-0000-0000-000000000000}"/>
  <bookViews>
    <workbookView xWindow="-109" yWindow="-109" windowWidth="26301" windowHeight="14169" tabRatio="742" activeTab="3" xr2:uid="{00000000-000D-0000-FFFF-FFFF00000000}"/>
  </bookViews>
  <sheets>
    <sheet name="2.0WP - Cen" sheetId="30" r:id="rId1"/>
    <sheet name="2.0WP - State" sheetId="31" r:id="rId2"/>
    <sheet name="SL - Cen" sheetId="33" r:id="rId3"/>
    <sheet name="SL - State" sheetId="35" r:id="rId4"/>
  </sheets>
  <definedNames>
    <definedName name="_xlnm._FilterDatabase" localSheetId="0" hidden="1">'2.0WP - Cen'!$A$5:$T$57</definedName>
    <definedName name="_xlnm._FilterDatabase" localSheetId="1" hidden="1">'2.0WP - State'!$A$5:$T$57</definedName>
    <definedName name="_xlnm._FilterDatabase" localSheetId="2" hidden="1">'SL - Cen'!$A$5:$T$57</definedName>
    <definedName name="_xlnm._FilterDatabase" localSheetId="3" hidden="1">'SL - State'!$A$5:$T$57</definedName>
    <definedName name="_xlnm.Print_Area" localSheetId="0">'2.0WP - Cen'!$A$1:$AL$57</definedName>
    <definedName name="_xlnm.Print_Area" localSheetId="1">'2.0WP - State'!$A$1:$AL$57</definedName>
    <definedName name="_xlnm.Print_Area" localSheetId="2">'SL - Cen'!$A$1:$AL$57</definedName>
    <definedName name="_xlnm.Print_Area" localSheetId="3">'SL - State'!$A$1:$AL$57</definedName>
    <definedName name="_xlnm.Print_Titles" localSheetId="0">'2.0WP - Cen'!$A:$B</definedName>
    <definedName name="_xlnm.Print_Titles" localSheetId="1">'2.0WP - State'!$A:$B</definedName>
    <definedName name="_xlnm.Print_Titles" localSheetId="2">'SL - Cen'!$A:$B</definedName>
    <definedName name="_xlnm.Print_Titles" localSheetId="3">'SL - State'!$A:$B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56" i="35" l="1"/>
  <c r="AB56" i="35"/>
  <c r="AA56" i="35"/>
  <c r="R56" i="35"/>
  <c r="L56" i="35"/>
  <c r="K56" i="35"/>
  <c r="AJ55" i="35"/>
  <c r="AJ56" i="35" s="1"/>
  <c r="AI55" i="35"/>
  <c r="AI56" i="35" s="1"/>
  <c r="AI57" i="35" s="1"/>
  <c r="AH55" i="35"/>
  <c r="AG55" i="35"/>
  <c r="AG56" i="35" s="1"/>
  <c r="AG57" i="35" s="1"/>
  <c r="AF55" i="35"/>
  <c r="AF56" i="35" s="1"/>
  <c r="AF57" i="35" s="1"/>
  <c r="AE55" i="35"/>
  <c r="AE56" i="35" s="1"/>
  <c r="AE57" i="35" s="1"/>
  <c r="AD55" i="35"/>
  <c r="AC55" i="35"/>
  <c r="AC56" i="35" s="1"/>
  <c r="AC57" i="35" s="1"/>
  <c r="AB55" i="35"/>
  <c r="AA55" i="35"/>
  <c r="Z55" i="35"/>
  <c r="Z56" i="35" s="1"/>
  <c r="Y55" i="35"/>
  <c r="X55" i="35"/>
  <c r="X56" i="35" s="1"/>
  <c r="W55" i="35"/>
  <c r="W56" i="35" s="1"/>
  <c r="W57" i="35" s="1"/>
  <c r="V55" i="35"/>
  <c r="V56" i="35" s="1"/>
  <c r="U55" i="35"/>
  <c r="U56" i="35" s="1"/>
  <c r="S55" i="35"/>
  <c r="S56" i="35" s="1"/>
  <c r="R55" i="35"/>
  <c r="Q55" i="35"/>
  <c r="Q56" i="35" s="1"/>
  <c r="Q57" i="35" s="1"/>
  <c r="P55" i="35"/>
  <c r="P56" i="35" s="1"/>
  <c r="P57" i="35" s="1"/>
  <c r="O55" i="35"/>
  <c r="O56" i="35" s="1"/>
  <c r="O57" i="35" s="1"/>
  <c r="N55" i="35"/>
  <c r="M55" i="35"/>
  <c r="M56" i="35" s="1"/>
  <c r="M57" i="35" s="1"/>
  <c r="L55" i="35"/>
  <c r="K55" i="35"/>
  <c r="J55" i="35"/>
  <c r="J56" i="35" s="1"/>
  <c r="J57" i="35" s="1"/>
  <c r="I55" i="35"/>
  <c r="H55" i="35"/>
  <c r="H56" i="35" s="1"/>
  <c r="G55" i="35"/>
  <c r="G56" i="35" s="1"/>
  <c r="G57" i="35" s="1"/>
  <c r="F55" i="35"/>
  <c r="F56" i="35" s="1"/>
  <c r="E55" i="35"/>
  <c r="E56" i="35" s="1"/>
  <c r="E57" i="35" s="1"/>
  <c r="D55" i="35"/>
  <c r="D56" i="35" s="1"/>
  <c r="C55" i="35"/>
  <c r="C56" i="35" s="1"/>
  <c r="AK54" i="35"/>
  <c r="T54" i="35"/>
  <c r="AL54" i="35" s="1"/>
  <c r="AL53" i="35"/>
  <c r="AK53" i="35"/>
  <c r="T53" i="35"/>
  <c r="AJ52" i="35"/>
  <c r="AI52" i="35"/>
  <c r="AH52" i="35"/>
  <c r="AG52" i="35"/>
  <c r="AF52" i="35"/>
  <c r="AE52" i="35"/>
  <c r="AD52" i="35"/>
  <c r="AD56" i="35" s="1"/>
  <c r="AC52" i="35"/>
  <c r="AB52" i="35"/>
  <c r="AA52" i="35"/>
  <c r="Z52" i="35"/>
  <c r="Y52" i="35"/>
  <c r="Y56" i="35" s="1"/>
  <c r="X52" i="35"/>
  <c r="W52" i="35"/>
  <c r="V52" i="35"/>
  <c r="U52" i="35"/>
  <c r="AK52" i="35" s="1"/>
  <c r="S52" i="35"/>
  <c r="R52" i="35"/>
  <c r="Q52" i="35"/>
  <c r="P52" i="35"/>
  <c r="O52" i="35"/>
  <c r="N52" i="35"/>
  <c r="N56" i="35" s="1"/>
  <c r="M52" i="35"/>
  <c r="L52" i="35"/>
  <c r="K52" i="35"/>
  <c r="J52" i="35"/>
  <c r="I52" i="35"/>
  <c r="I56" i="35" s="1"/>
  <c r="H52" i="35"/>
  <c r="G52" i="35"/>
  <c r="F52" i="35"/>
  <c r="E52" i="35"/>
  <c r="D52" i="35"/>
  <c r="C52" i="35"/>
  <c r="T52" i="35" s="1"/>
  <c r="AL52" i="35" s="1"/>
  <c r="AK51" i="35"/>
  <c r="T51" i="35"/>
  <c r="AL51" i="35" s="1"/>
  <c r="AK50" i="35"/>
  <c r="T50" i="35"/>
  <c r="AL50" i="35" s="1"/>
  <c r="AK49" i="35"/>
  <c r="T49" i="35"/>
  <c r="AL49" i="35" s="1"/>
  <c r="AL48" i="35"/>
  <c r="AK48" i="35"/>
  <c r="T48" i="35"/>
  <c r="AJ47" i="35"/>
  <c r="AI47" i="35"/>
  <c r="AH47" i="35"/>
  <c r="AG47" i="35"/>
  <c r="AF47" i="35"/>
  <c r="AE47" i="35"/>
  <c r="AD47" i="35"/>
  <c r="AC47" i="35"/>
  <c r="AB47" i="35"/>
  <c r="AA47" i="35"/>
  <c r="Z47" i="35"/>
  <c r="Y47" i="35"/>
  <c r="X47" i="35"/>
  <c r="W47" i="35"/>
  <c r="V47" i="35"/>
  <c r="U47" i="35"/>
  <c r="AK47" i="35" s="1"/>
  <c r="S47" i="35"/>
  <c r="R47" i="35"/>
  <c r="Q47" i="35"/>
  <c r="P47" i="35"/>
  <c r="O47" i="35"/>
  <c r="N47" i="35"/>
  <c r="M47" i="35"/>
  <c r="L47" i="35"/>
  <c r="K47" i="35"/>
  <c r="J47" i="35"/>
  <c r="I47" i="35"/>
  <c r="H47" i="35"/>
  <c r="G47" i="35"/>
  <c r="F47" i="35"/>
  <c r="E47" i="35"/>
  <c r="D47" i="35"/>
  <c r="C47" i="35"/>
  <c r="T47" i="35" s="1"/>
  <c r="AL47" i="35" s="1"/>
  <c r="AK46" i="35"/>
  <c r="T46" i="35"/>
  <c r="AL46" i="35" s="1"/>
  <c r="AK45" i="35"/>
  <c r="T45" i="35"/>
  <c r="AL45" i="35" s="1"/>
  <c r="AK44" i="35"/>
  <c r="T44" i="35"/>
  <c r="AL44" i="35" s="1"/>
  <c r="AL43" i="35"/>
  <c r="AK43" i="35"/>
  <c r="T43" i="35"/>
  <c r="AJ42" i="35"/>
  <c r="AI42" i="35"/>
  <c r="AH42" i="35"/>
  <c r="AG42" i="35"/>
  <c r="AF42" i="35"/>
  <c r="AE42" i="35"/>
  <c r="AD42" i="35"/>
  <c r="AC42" i="35"/>
  <c r="AB42" i="35"/>
  <c r="AA42" i="35"/>
  <c r="Z42" i="35"/>
  <c r="Y42" i="35"/>
  <c r="X42" i="35"/>
  <c r="W42" i="35"/>
  <c r="V42" i="35"/>
  <c r="U42" i="35"/>
  <c r="AK42" i="35" s="1"/>
  <c r="S42" i="35"/>
  <c r="R42" i="35"/>
  <c r="Q42" i="35"/>
  <c r="P42" i="35"/>
  <c r="O42" i="35"/>
  <c r="N42" i="35"/>
  <c r="M42" i="35"/>
  <c r="L42" i="35"/>
  <c r="K42" i="35"/>
  <c r="J42" i="35"/>
  <c r="I42" i="35"/>
  <c r="H42" i="35"/>
  <c r="G42" i="35"/>
  <c r="F42" i="35"/>
  <c r="E42" i="35"/>
  <c r="D42" i="35"/>
  <c r="C42" i="35"/>
  <c r="T42" i="35" s="1"/>
  <c r="AK41" i="35"/>
  <c r="T41" i="35"/>
  <c r="AL41" i="35" s="1"/>
  <c r="AK40" i="35"/>
  <c r="T40" i="35"/>
  <c r="AL40" i="35" s="1"/>
  <c r="AK39" i="35"/>
  <c r="T39" i="35"/>
  <c r="AL39" i="35" s="1"/>
  <c r="AL38" i="35"/>
  <c r="AK38" i="35"/>
  <c r="T38" i="35"/>
  <c r="AF37" i="35"/>
  <c r="AB37" i="35"/>
  <c r="Y37" i="35"/>
  <c r="W37" i="35"/>
  <c r="P37" i="35"/>
  <c r="L37" i="35"/>
  <c r="I37" i="35"/>
  <c r="G37" i="35"/>
  <c r="AJ36" i="35"/>
  <c r="AJ37" i="35" s="1"/>
  <c r="AI36" i="35"/>
  <c r="AI37" i="35" s="1"/>
  <c r="AH36" i="35"/>
  <c r="AH37" i="35" s="1"/>
  <c r="AG36" i="35"/>
  <c r="AG37" i="35" s="1"/>
  <c r="AF36" i="35"/>
  <c r="AE36" i="35"/>
  <c r="AE37" i="35" s="1"/>
  <c r="AD36" i="35"/>
  <c r="AD37" i="35" s="1"/>
  <c r="AC36" i="35"/>
  <c r="AC37" i="35" s="1"/>
  <c r="AB36" i="35"/>
  <c r="AA36" i="35"/>
  <c r="AA37" i="35" s="1"/>
  <c r="Z36" i="35"/>
  <c r="Y36" i="35"/>
  <c r="X36" i="35"/>
  <c r="X37" i="35" s="1"/>
  <c r="W36" i="35"/>
  <c r="V36" i="35"/>
  <c r="V37" i="35" s="1"/>
  <c r="U36" i="35"/>
  <c r="U37" i="35" s="1"/>
  <c r="S36" i="35"/>
  <c r="S37" i="35" s="1"/>
  <c r="R36" i="35"/>
  <c r="R37" i="35" s="1"/>
  <c r="Q36" i="35"/>
  <c r="Q37" i="35" s="1"/>
  <c r="P36" i="35"/>
  <c r="O36" i="35"/>
  <c r="O37" i="35" s="1"/>
  <c r="N36" i="35"/>
  <c r="N37" i="35" s="1"/>
  <c r="M36" i="35"/>
  <c r="M37" i="35" s="1"/>
  <c r="L36" i="35"/>
  <c r="K36" i="35"/>
  <c r="K37" i="35" s="1"/>
  <c r="J36" i="35"/>
  <c r="I36" i="35"/>
  <c r="H36" i="35"/>
  <c r="H37" i="35" s="1"/>
  <c r="G36" i="35"/>
  <c r="F36" i="35"/>
  <c r="F37" i="35" s="1"/>
  <c r="E36" i="35"/>
  <c r="E37" i="35" s="1"/>
  <c r="D36" i="35"/>
  <c r="D37" i="35" s="1"/>
  <c r="C36" i="35"/>
  <c r="C37" i="35" s="1"/>
  <c r="AK35" i="35"/>
  <c r="AL35" i="35" s="1"/>
  <c r="T35" i="35"/>
  <c r="AK34" i="35"/>
  <c r="T34" i="35"/>
  <c r="AL34" i="35" s="1"/>
  <c r="AK33" i="35"/>
  <c r="AL33" i="35" s="1"/>
  <c r="T33" i="35"/>
  <c r="AJ32" i="35"/>
  <c r="AI32" i="35"/>
  <c r="AH32" i="35"/>
  <c r="AG32" i="35"/>
  <c r="AF32" i="35"/>
  <c r="AE32" i="35"/>
  <c r="AD32" i="35"/>
  <c r="AC32" i="35"/>
  <c r="AB32" i="35"/>
  <c r="AA32" i="35"/>
  <c r="Z32" i="35"/>
  <c r="Z37" i="35" s="1"/>
  <c r="Y32" i="35"/>
  <c r="X32" i="35"/>
  <c r="W32" i="35"/>
  <c r="V32" i="35"/>
  <c r="U32" i="35"/>
  <c r="AK32" i="35" s="1"/>
  <c r="S32" i="35"/>
  <c r="R32" i="35"/>
  <c r="Q32" i="35"/>
  <c r="P32" i="35"/>
  <c r="O32" i="35"/>
  <c r="N32" i="35"/>
  <c r="M32" i="35"/>
  <c r="L32" i="35"/>
  <c r="K32" i="35"/>
  <c r="J32" i="35"/>
  <c r="J37" i="35" s="1"/>
  <c r="I32" i="35"/>
  <c r="H32" i="35"/>
  <c r="G32" i="35"/>
  <c r="F32" i="35"/>
  <c r="E32" i="35"/>
  <c r="D32" i="35"/>
  <c r="C32" i="35"/>
  <c r="T32" i="35" s="1"/>
  <c r="AL32" i="35" s="1"/>
  <c r="AK31" i="35"/>
  <c r="AL31" i="35" s="1"/>
  <c r="T31" i="35"/>
  <c r="AK30" i="35"/>
  <c r="AL30" i="35" s="1"/>
  <c r="T30" i="35"/>
  <c r="AK29" i="35"/>
  <c r="T29" i="35"/>
  <c r="AL29" i="35" s="1"/>
  <c r="AK28" i="35"/>
  <c r="AL28" i="35" s="1"/>
  <c r="T28" i="35"/>
  <c r="AJ27" i="35"/>
  <c r="AI27" i="35"/>
  <c r="AH27" i="35"/>
  <c r="AG27" i="35"/>
  <c r="AF27" i="35"/>
  <c r="AE27" i="35"/>
  <c r="AD27" i="35"/>
  <c r="AC27" i="35"/>
  <c r="AB27" i="35"/>
  <c r="AA27" i="35"/>
  <c r="Z27" i="35"/>
  <c r="Y27" i="35"/>
  <c r="X27" i="35"/>
  <c r="W27" i="35"/>
  <c r="V27" i="35"/>
  <c r="U27" i="35"/>
  <c r="AK27" i="35" s="1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T27" i="35" s="1"/>
  <c r="AK26" i="35"/>
  <c r="AL26" i="35" s="1"/>
  <c r="T26" i="35"/>
  <c r="AK25" i="35"/>
  <c r="AL25" i="35" s="1"/>
  <c r="T25" i="35"/>
  <c r="AK24" i="35"/>
  <c r="T24" i="35"/>
  <c r="AL24" i="35" s="1"/>
  <c r="AD23" i="35"/>
  <c r="X23" i="35"/>
  <c r="W23" i="35"/>
  <c r="N23" i="35"/>
  <c r="H23" i="35"/>
  <c r="G23" i="35"/>
  <c r="AJ22" i="35"/>
  <c r="AJ23" i="35" s="1"/>
  <c r="AI22" i="35"/>
  <c r="AI23" i="35" s="1"/>
  <c r="AH22" i="35"/>
  <c r="AH23" i="35" s="1"/>
  <c r="AG22" i="35"/>
  <c r="AG23" i="35" s="1"/>
  <c r="AF22" i="35"/>
  <c r="AF23" i="35" s="1"/>
  <c r="AE22" i="35"/>
  <c r="AE23" i="35" s="1"/>
  <c r="AD22" i="35"/>
  <c r="AC22" i="35"/>
  <c r="AC23" i="35" s="1"/>
  <c r="AB22" i="35"/>
  <c r="AB23" i="35" s="1"/>
  <c r="AA22" i="35"/>
  <c r="AA23" i="35" s="1"/>
  <c r="Z22" i="35"/>
  <c r="Y22" i="35"/>
  <c r="Y23" i="35" s="1"/>
  <c r="X22" i="35"/>
  <c r="W22" i="35"/>
  <c r="V22" i="35"/>
  <c r="V23" i="35" s="1"/>
  <c r="U22" i="35"/>
  <c r="AK22" i="35" s="1"/>
  <c r="S22" i="35"/>
  <c r="S23" i="35" s="1"/>
  <c r="R22" i="35"/>
  <c r="R23" i="35" s="1"/>
  <c r="Q22" i="35"/>
  <c r="Q23" i="35" s="1"/>
  <c r="P22" i="35"/>
  <c r="P23" i="35" s="1"/>
  <c r="O22" i="35"/>
  <c r="O23" i="35" s="1"/>
  <c r="N22" i="35"/>
  <c r="M22" i="35"/>
  <c r="M23" i="35" s="1"/>
  <c r="L22" i="35"/>
  <c r="L23" i="35" s="1"/>
  <c r="K22" i="35"/>
  <c r="K23" i="35" s="1"/>
  <c r="J22" i="35"/>
  <c r="I22" i="35"/>
  <c r="I23" i="35" s="1"/>
  <c r="H22" i="35"/>
  <c r="G22" i="35"/>
  <c r="F22" i="35"/>
  <c r="F23" i="35" s="1"/>
  <c r="E22" i="35"/>
  <c r="D22" i="35"/>
  <c r="D23" i="35" s="1"/>
  <c r="C22" i="35"/>
  <c r="C23" i="35" s="1"/>
  <c r="AL21" i="35"/>
  <c r="AK21" i="35"/>
  <c r="T21" i="35"/>
  <c r="AL20" i="35"/>
  <c r="AK20" i="35"/>
  <c r="T20" i="35"/>
  <c r="AK19" i="35"/>
  <c r="AL19" i="35" s="1"/>
  <c r="T19" i="35"/>
  <c r="AL18" i="35"/>
  <c r="AK18" i="35"/>
  <c r="T18" i="35"/>
  <c r="AJ17" i="35"/>
  <c r="AI17" i="35"/>
  <c r="AH17" i="35"/>
  <c r="AG17" i="35"/>
  <c r="AF17" i="35"/>
  <c r="AE17" i="35"/>
  <c r="AD17" i="35"/>
  <c r="AC17" i="35"/>
  <c r="AB17" i="35"/>
  <c r="AA17" i="35"/>
  <c r="Z17" i="35"/>
  <c r="Y17" i="35"/>
  <c r="X17" i="35"/>
  <c r="W17" i="35"/>
  <c r="V17" i="35"/>
  <c r="U17" i="35"/>
  <c r="AK17" i="35" s="1"/>
  <c r="S17" i="35"/>
  <c r="R17" i="35"/>
  <c r="Q17" i="35"/>
  <c r="P17" i="35"/>
  <c r="O17" i="35"/>
  <c r="N17" i="35"/>
  <c r="M17" i="35"/>
  <c r="L17" i="35"/>
  <c r="K17" i="35"/>
  <c r="J17" i="35"/>
  <c r="I17" i="35"/>
  <c r="H17" i="35"/>
  <c r="G17" i="35"/>
  <c r="F17" i="35"/>
  <c r="E17" i="35"/>
  <c r="D17" i="35"/>
  <c r="C17" i="35"/>
  <c r="T17" i="35" s="1"/>
  <c r="AL16" i="35"/>
  <c r="AK16" i="35"/>
  <c r="T16" i="35"/>
  <c r="AL15" i="35"/>
  <c r="AK15" i="35"/>
  <c r="T15" i="35"/>
  <c r="AJ14" i="35"/>
  <c r="AI14" i="35"/>
  <c r="AH14" i="35"/>
  <c r="AG14" i="35"/>
  <c r="AF14" i="35"/>
  <c r="AE14" i="35"/>
  <c r="AD14" i="35"/>
  <c r="AC14" i="35"/>
  <c r="AB14" i="35"/>
  <c r="AA14" i="35"/>
  <c r="Z14" i="35"/>
  <c r="Z23" i="35" s="1"/>
  <c r="Y14" i="35"/>
  <c r="X14" i="35"/>
  <c r="W14" i="35"/>
  <c r="V14" i="35"/>
  <c r="U14" i="35"/>
  <c r="U23" i="35" s="1"/>
  <c r="S14" i="35"/>
  <c r="R14" i="35"/>
  <c r="Q14" i="35"/>
  <c r="P14" i="35"/>
  <c r="O14" i="35"/>
  <c r="N14" i="35"/>
  <c r="M14" i="35"/>
  <c r="L14" i="35"/>
  <c r="K14" i="35"/>
  <c r="J14" i="35"/>
  <c r="J23" i="35" s="1"/>
  <c r="I14" i="35"/>
  <c r="H14" i="35"/>
  <c r="G14" i="35"/>
  <c r="F14" i="35"/>
  <c r="E14" i="35"/>
  <c r="E23" i="35" s="1"/>
  <c r="D14" i="35"/>
  <c r="C14" i="35"/>
  <c r="T14" i="35" s="1"/>
  <c r="AK13" i="35"/>
  <c r="T13" i="35"/>
  <c r="AL13" i="35" s="1"/>
  <c r="AK12" i="35"/>
  <c r="T12" i="35"/>
  <c r="AL12" i="35" s="1"/>
  <c r="AL11" i="35"/>
  <c r="AK11" i="35"/>
  <c r="T11" i="35"/>
  <c r="AJ10" i="35"/>
  <c r="AI10" i="35"/>
  <c r="AH10" i="35"/>
  <c r="AG10" i="35"/>
  <c r="AF10" i="35"/>
  <c r="AE10" i="35"/>
  <c r="AD10" i="35"/>
  <c r="AC10" i="35"/>
  <c r="AB10" i="35"/>
  <c r="AA10" i="35"/>
  <c r="Z10" i="35"/>
  <c r="Y10" i="35"/>
  <c r="X10" i="35"/>
  <c r="W10" i="35"/>
  <c r="V10" i="35"/>
  <c r="U10" i="35"/>
  <c r="AK10" i="35" s="1"/>
  <c r="S10" i="35"/>
  <c r="R10" i="35"/>
  <c r="Q10" i="35"/>
  <c r="P10" i="35"/>
  <c r="O10" i="35"/>
  <c r="N10" i="35"/>
  <c r="M10" i="35"/>
  <c r="L10" i="35"/>
  <c r="K10" i="35"/>
  <c r="J10" i="35"/>
  <c r="I10" i="35"/>
  <c r="H10" i="35"/>
  <c r="G10" i="35"/>
  <c r="F10" i="35"/>
  <c r="E10" i="35"/>
  <c r="D10" i="35"/>
  <c r="C10" i="35"/>
  <c r="T10" i="35" s="1"/>
  <c r="AL10" i="35" s="1"/>
  <c r="AL9" i="35"/>
  <c r="AK9" i="35"/>
  <c r="T9" i="35"/>
  <c r="AK8" i="35"/>
  <c r="T8" i="35"/>
  <c r="AL8" i="35" s="1"/>
  <c r="AK7" i="35"/>
  <c r="T7" i="35"/>
  <c r="AL7" i="35" s="1"/>
  <c r="AL6" i="35"/>
  <c r="AK6" i="35"/>
  <c r="T6" i="35"/>
  <c r="AI55" i="33"/>
  <c r="AH55" i="33"/>
  <c r="AA55" i="33"/>
  <c r="U55" i="33"/>
  <c r="S55" i="33"/>
  <c r="R55" i="33"/>
  <c r="K55" i="33"/>
  <c r="E55" i="33"/>
  <c r="C55" i="33"/>
  <c r="Z55" i="33"/>
  <c r="X55" i="33"/>
  <c r="AK54" i="33"/>
  <c r="J55" i="33"/>
  <c r="H55" i="33"/>
  <c r="T54" i="33"/>
  <c r="AL54" i="33" s="1"/>
  <c r="AJ55" i="33"/>
  <c r="AG55" i="33"/>
  <c r="AF55" i="33"/>
  <c r="AE55" i="33"/>
  <c r="AD55" i="33"/>
  <c r="AC55" i="33"/>
  <c r="AB55" i="33"/>
  <c r="Y55" i="33"/>
  <c r="W55" i="33"/>
  <c r="V55" i="33"/>
  <c r="AK53" i="33"/>
  <c r="Q55" i="33"/>
  <c r="P55" i="33"/>
  <c r="O55" i="33"/>
  <c r="N55" i="33"/>
  <c r="M55" i="33"/>
  <c r="L55" i="33"/>
  <c r="I55" i="33"/>
  <c r="G55" i="33"/>
  <c r="F55" i="33"/>
  <c r="T53" i="33"/>
  <c r="AL53" i="33" s="1"/>
  <c r="AI52" i="33"/>
  <c r="S52" i="33"/>
  <c r="C52" i="33"/>
  <c r="AK51" i="33"/>
  <c r="T51" i="33"/>
  <c r="AL51" i="33" s="1"/>
  <c r="AH52" i="33"/>
  <c r="AK50" i="33"/>
  <c r="R52" i="33"/>
  <c r="T50" i="33"/>
  <c r="AL50" i="33" s="1"/>
  <c r="X52" i="33"/>
  <c r="W52" i="33"/>
  <c r="U52" i="33"/>
  <c r="H52" i="33"/>
  <c r="G52" i="33"/>
  <c r="E52" i="33"/>
  <c r="T49" i="33"/>
  <c r="AJ52" i="33"/>
  <c r="AG52" i="33"/>
  <c r="AF52" i="33"/>
  <c r="AE52" i="33"/>
  <c r="AD52" i="33"/>
  <c r="AC52" i="33"/>
  <c r="AB52" i="33"/>
  <c r="AA52" i="33"/>
  <c r="Z52" i="33"/>
  <c r="Y52" i="33"/>
  <c r="V52" i="33"/>
  <c r="AK48" i="33"/>
  <c r="Q52" i="33"/>
  <c r="P52" i="33"/>
  <c r="O52" i="33"/>
  <c r="N52" i="33"/>
  <c r="M52" i="33"/>
  <c r="L52" i="33"/>
  <c r="K52" i="33"/>
  <c r="J52" i="33"/>
  <c r="I52" i="33"/>
  <c r="F52" i="33"/>
  <c r="D52" i="33"/>
  <c r="T48" i="33"/>
  <c r="AI47" i="33"/>
  <c r="AF47" i="33"/>
  <c r="AE47" i="33"/>
  <c r="Y47" i="33"/>
  <c r="P47" i="33"/>
  <c r="O47" i="33"/>
  <c r="I47" i="33"/>
  <c r="AK46" i="33"/>
  <c r="T46" i="33"/>
  <c r="AL46" i="33" s="1"/>
  <c r="AK45" i="33"/>
  <c r="T45" i="33"/>
  <c r="AL45" i="33" s="1"/>
  <c r="AJ47" i="33"/>
  <c r="AH47" i="33"/>
  <c r="U47" i="33"/>
  <c r="R47" i="33"/>
  <c r="E47" i="33"/>
  <c r="D47" i="33"/>
  <c r="AG47" i="33"/>
  <c r="AD47" i="33"/>
  <c r="AC47" i="33"/>
  <c r="AB47" i="33"/>
  <c r="AA47" i="33"/>
  <c r="Z47" i="33"/>
  <c r="X47" i="33"/>
  <c r="W47" i="33"/>
  <c r="V47" i="33"/>
  <c r="AK43" i="33"/>
  <c r="S47" i="33"/>
  <c r="Q47" i="33"/>
  <c r="N47" i="33"/>
  <c r="M47" i="33"/>
  <c r="L47" i="33"/>
  <c r="K47" i="33"/>
  <c r="J47" i="33"/>
  <c r="H47" i="33"/>
  <c r="G47" i="33"/>
  <c r="F47" i="33"/>
  <c r="T43" i="33"/>
  <c r="AF42" i="33"/>
  <c r="AC42" i="33"/>
  <c r="AB42" i="33"/>
  <c r="V42" i="33"/>
  <c r="P42" i="33"/>
  <c r="M42" i="33"/>
  <c r="F42" i="33"/>
  <c r="AK41" i="33"/>
  <c r="T41" i="33"/>
  <c r="AL41" i="33" s="1"/>
  <c r="AK40" i="33"/>
  <c r="L42" i="33"/>
  <c r="T40" i="33"/>
  <c r="AL40" i="33" s="1"/>
  <c r="AH42" i="33"/>
  <c r="AG42" i="33"/>
  <c r="AE42" i="33"/>
  <c r="AK39" i="33"/>
  <c r="R42" i="33"/>
  <c r="Q42" i="33"/>
  <c r="O42" i="33"/>
  <c r="T39" i="33"/>
  <c r="AL39" i="33" s="1"/>
  <c r="AJ42" i="33"/>
  <c r="AI42" i="33"/>
  <c r="AD42" i="33"/>
  <c r="AA42" i="33"/>
  <c r="Z42" i="33"/>
  <c r="Y42" i="33"/>
  <c r="X42" i="33"/>
  <c r="W42" i="33"/>
  <c r="U42" i="33"/>
  <c r="S42" i="33"/>
  <c r="N42" i="33"/>
  <c r="K42" i="33"/>
  <c r="J42" i="33"/>
  <c r="I42" i="33"/>
  <c r="H42" i="33"/>
  <c r="G42" i="33"/>
  <c r="E42" i="33"/>
  <c r="D42" i="33"/>
  <c r="C42" i="33"/>
  <c r="AI36" i="33"/>
  <c r="AH36" i="33"/>
  <c r="V36" i="33"/>
  <c r="V37" i="33" s="1"/>
  <c r="S36" i="33"/>
  <c r="R36" i="33"/>
  <c r="R37" i="33" s="1"/>
  <c r="F36" i="33"/>
  <c r="C36" i="33"/>
  <c r="X36" i="33"/>
  <c r="AK35" i="33"/>
  <c r="H36" i="33"/>
  <c r="T35" i="33"/>
  <c r="AL35" i="33" s="1"/>
  <c r="AD36" i="33"/>
  <c r="AA36" i="33"/>
  <c r="AK34" i="33"/>
  <c r="N36" i="33"/>
  <c r="K36" i="33"/>
  <c r="T34" i="33"/>
  <c r="AJ36" i="33"/>
  <c r="AJ37" i="33" s="1"/>
  <c r="AG36" i="33"/>
  <c r="AG37" i="33" s="1"/>
  <c r="AF36" i="33"/>
  <c r="AE36" i="33"/>
  <c r="AC36" i="33"/>
  <c r="AB36" i="33"/>
  <c r="Z36" i="33"/>
  <c r="Z37" i="33" s="1"/>
  <c r="Y36" i="33"/>
  <c r="W36" i="33"/>
  <c r="W37" i="33" s="1"/>
  <c r="U36" i="33"/>
  <c r="Q36" i="33"/>
  <c r="P36" i="33"/>
  <c r="O36" i="33"/>
  <c r="M36" i="33"/>
  <c r="L36" i="33"/>
  <c r="J36" i="33"/>
  <c r="I36" i="33"/>
  <c r="G36" i="33"/>
  <c r="E36" i="33"/>
  <c r="T33" i="33"/>
  <c r="Z32" i="33"/>
  <c r="J32" i="33"/>
  <c r="AE32" i="33"/>
  <c r="AK31" i="33"/>
  <c r="O32" i="33"/>
  <c r="T31" i="33"/>
  <c r="AL31" i="33" s="1"/>
  <c r="AH32" i="33"/>
  <c r="AK30" i="33"/>
  <c r="R32" i="33"/>
  <c r="E32" i="33"/>
  <c r="T30" i="33"/>
  <c r="AL30" i="33" s="1"/>
  <c r="AA32" i="33"/>
  <c r="X32" i="33"/>
  <c r="V32" i="33"/>
  <c r="AK29" i="33"/>
  <c r="K32" i="33"/>
  <c r="H32" i="33"/>
  <c r="F32" i="33"/>
  <c r="T29" i="33"/>
  <c r="AJ32" i="33"/>
  <c r="AI32" i="33"/>
  <c r="AG32" i="33"/>
  <c r="AF32" i="33"/>
  <c r="AD32" i="33"/>
  <c r="AC32" i="33"/>
  <c r="AB32" i="33"/>
  <c r="Y32" i="33"/>
  <c r="W32" i="33"/>
  <c r="AK28" i="33"/>
  <c r="S32" i="33"/>
  <c r="Q32" i="33"/>
  <c r="P32" i="33"/>
  <c r="N32" i="33"/>
  <c r="M32" i="33"/>
  <c r="L32" i="33"/>
  <c r="I32" i="33"/>
  <c r="G32" i="33"/>
  <c r="D32" i="33"/>
  <c r="C32" i="33"/>
  <c r="Z27" i="33"/>
  <c r="W27" i="33"/>
  <c r="V27" i="33"/>
  <c r="G27" i="33"/>
  <c r="F27" i="33"/>
  <c r="AE27" i="33"/>
  <c r="AB27" i="33"/>
  <c r="AK26" i="33"/>
  <c r="O27" i="33"/>
  <c r="L27" i="33"/>
  <c r="T26" i="33"/>
  <c r="AL26" i="33" s="1"/>
  <c r="AH27" i="33"/>
  <c r="AK25" i="33"/>
  <c r="R27" i="33"/>
  <c r="J27" i="33"/>
  <c r="T25" i="33"/>
  <c r="AL25" i="33" s="1"/>
  <c r="AJ27" i="33"/>
  <c r="AI27" i="33"/>
  <c r="AG27" i="33"/>
  <c r="AF27" i="33"/>
  <c r="AD27" i="33"/>
  <c r="AC27" i="33"/>
  <c r="AA27" i="33"/>
  <c r="Y27" i="33"/>
  <c r="X27" i="33"/>
  <c r="U27" i="33"/>
  <c r="S27" i="33"/>
  <c r="Q27" i="33"/>
  <c r="P27" i="33"/>
  <c r="N27" i="33"/>
  <c r="M27" i="33"/>
  <c r="K27" i="33"/>
  <c r="I27" i="33"/>
  <c r="H27" i="33"/>
  <c r="E27" i="33"/>
  <c r="D27" i="33"/>
  <c r="T24" i="33"/>
  <c r="AI22" i="33"/>
  <c r="S22" i="33"/>
  <c r="C22" i="33"/>
  <c r="X22" i="33"/>
  <c r="AK21" i="33"/>
  <c r="H22" i="33"/>
  <c r="T21" i="33"/>
  <c r="AD22" i="33"/>
  <c r="AK20" i="33"/>
  <c r="N22" i="33"/>
  <c r="T20" i="33"/>
  <c r="AJ22" i="33"/>
  <c r="AE22" i="33"/>
  <c r="AA22" i="33"/>
  <c r="AK19" i="33"/>
  <c r="O22" i="33"/>
  <c r="K22" i="33"/>
  <c r="T19" i="33"/>
  <c r="AL19" i="33" s="1"/>
  <c r="AH22" i="33"/>
  <c r="AG22" i="33"/>
  <c r="AG23" i="33" s="1"/>
  <c r="AF22" i="33"/>
  <c r="AF23" i="33" s="1"/>
  <c r="AC22" i="33"/>
  <c r="AB22" i="33"/>
  <c r="Z22" i="33"/>
  <c r="Y22" i="33"/>
  <c r="W22" i="33"/>
  <c r="V22" i="33"/>
  <c r="U22" i="33"/>
  <c r="R22" i="33"/>
  <c r="Q22" i="33"/>
  <c r="P22" i="33"/>
  <c r="M22" i="33"/>
  <c r="L22" i="33"/>
  <c r="J22" i="33"/>
  <c r="I22" i="33"/>
  <c r="G22" i="33"/>
  <c r="G23" i="33" s="1"/>
  <c r="F22" i="33"/>
  <c r="E22" i="33"/>
  <c r="E23" i="33" s="1"/>
  <c r="T18" i="33"/>
  <c r="AF17" i="33"/>
  <c r="AE17" i="33"/>
  <c r="X17" i="33"/>
  <c r="P17" i="33"/>
  <c r="O17" i="33"/>
  <c r="L17" i="33"/>
  <c r="H17" i="33"/>
  <c r="AC17" i="33"/>
  <c r="U17" i="33"/>
  <c r="M17" i="33"/>
  <c r="E17" i="33"/>
  <c r="T16" i="33"/>
  <c r="AJ17" i="33"/>
  <c r="AI17" i="33"/>
  <c r="AH17" i="33"/>
  <c r="AG17" i="33"/>
  <c r="AD17" i="33"/>
  <c r="AB17" i="33"/>
  <c r="AA17" i="33"/>
  <c r="Z17" i="33"/>
  <c r="Y17" i="33"/>
  <c r="W17" i="33"/>
  <c r="V17" i="33"/>
  <c r="AK15" i="33"/>
  <c r="S17" i="33"/>
  <c r="R17" i="33"/>
  <c r="Q17" i="33"/>
  <c r="N17" i="33"/>
  <c r="K17" i="33"/>
  <c r="J17" i="33"/>
  <c r="I17" i="33"/>
  <c r="G17" i="33"/>
  <c r="F17" i="33"/>
  <c r="D17" i="33"/>
  <c r="T15" i="33"/>
  <c r="AL15" i="33" s="1"/>
  <c r="AG14" i="33"/>
  <c r="Y14" i="33"/>
  <c r="Q14" i="33"/>
  <c r="I14" i="33"/>
  <c r="V14" i="33"/>
  <c r="AK13" i="33"/>
  <c r="F14" i="33"/>
  <c r="T13" i="33"/>
  <c r="AL13" i="33" s="1"/>
  <c r="AJ14" i="33"/>
  <c r="AB14" i="33"/>
  <c r="X14" i="33"/>
  <c r="AK12" i="33"/>
  <c r="L14" i="33"/>
  <c r="H14" i="33"/>
  <c r="T12" i="33"/>
  <c r="AI14" i="33"/>
  <c r="AH14" i="33"/>
  <c r="AF14" i="33"/>
  <c r="AE14" i="33"/>
  <c r="AD14" i="33"/>
  <c r="AC14" i="33"/>
  <c r="AA14" i="33"/>
  <c r="Z14" i="33"/>
  <c r="W14" i="33"/>
  <c r="U14" i="33"/>
  <c r="S14" i="33"/>
  <c r="R14" i="33"/>
  <c r="P14" i="33"/>
  <c r="O14" i="33"/>
  <c r="N14" i="33"/>
  <c r="M14" i="33"/>
  <c r="K14" i="33"/>
  <c r="J14" i="33"/>
  <c r="G14" i="33"/>
  <c r="E14" i="33"/>
  <c r="C14" i="33"/>
  <c r="AF10" i="33"/>
  <c r="X10" i="33"/>
  <c r="P10" i="33"/>
  <c r="H10" i="33"/>
  <c r="AC10" i="33"/>
  <c r="AK9" i="33"/>
  <c r="M10" i="33"/>
  <c r="T9" i="33"/>
  <c r="AL9" i="33" s="1"/>
  <c r="AI10" i="33"/>
  <c r="AK8" i="33"/>
  <c r="S10" i="33"/>
  <c r="T8" i="33"/>
  <c r="AJ10" i="33"/>
  <c r="Y10" i="33"/>
  <c r="AK7" i="33"/>
  <c r="I10" i="33"/>
  <c r="D10" i="33"/>
  <c r="AH10" i="33"/>
  <c r="AG10" i="33"/>
  <c r="AE10" i="33"/>
  <c r="AD10" i="33"/>
  <c r="AB10" i="33"/>
  <c r="AA10" i="33"/>
  <c r="Z10" i="33"/>
  <c r="W10" i="33"/>
  <c r="V10" i="33"/>
  <c r="AK6" i="33"/>
  <c r="R10" i="33"/>
  <c r="Q10" i="33"/>
  <c r="O10" i="33"/>
  <c r="N10" i="33"/>
  <c r="L10" i="33"/>
  <c r="K10" i="33"/>
  <c r="J10" i="33"/>
  <c r="G10" i="33"/>
  <c r="F10" i="33"/>
  <c r="E10" i="33"/>
  <c r="T6" i="33"/>
  <c r="AL6" i="33" s="1"/>
  <c r="AL17" i="35" l="1"/>
  <c r="T23" i="35"/>
  <c r="Y57" i="35"/>
  <c r="I57" i="35"/>
  <c r="C57" i="35"/>
  <c r="T56" i="35"/>
  <c r="AL56" i="35" s="1"/>
  <c r="S57" i="35"/>
  <c r="AJ57" i="35"/>
  <c r="D57" i="35"/>
  <c r="U57" i="35"/>
  <c r="AK56" i="35"/>
  <c r="K57" i="35"/>
  <c r="L57" i="35"/>
  <c r="AL14" i="35"/>
  <c r="AL27" i="35"/>
  <c r="T37" i="35"/>
  <c r="AL37" i="35" s="1"/>
  <c r="AD57" i="35"/>
  <c r="X57" i="35"/>
  <c r="AA57" i="35"/>
  <c r="AK37" i="35"/>
  <c r="N57" i="35"/>
  <c r="H57" i="35"/>
  <c r="AB57" i="35"/>
  <c r="V57" i="35"/>
  <c r="F57" i="35"/>
  <c r="R57" i="35"/>
  <c r="AK23" i="35"/>
  <c r="AL42" i="35"/>
  <c r="Z57" i="35"/>
  <c r="AH57" i="35"/>
  <c r="T55" i="35"/>
  <c r="AK55" i="35"/>
  <c r="T36" i="35"/>
  <c r="AL36" i="35" s="1"/>
  <c r="AK36" i="35"/>
  <c r="T22" i="35"/>
  <c r="AL22" i="35" s="1"/>
  <c r="AK14" i="35"/>
  <c r="AL43" i="33"/>
  <c r="AL34" i="33"/>
  <c r="AE37" i="33"/>
  <c r="AI37" i="33"/>
  <c r="X37" i="33"/>
  <c r="AH37" i="33"/>
  <c r="Y37" i="33"/>
  <c r="AL12" i="33"/>
  <c r="G56" i="33"/>
  <c r="P37" i="33"/>
  <c r="S37" i="33"/>
  <c r="K37" i="33"/>
  <c r="O37" i="33"/>
  <c r="Q37" i="33"/>
  <c r="H37" i="33"/>
  <c r="M23" i="33"/>
  <c r="S23" i="33"/>
  <c r="AI23" i="33"/>
  <c r="P23" i="33"/>
  <c r="AL8" i="33"/>
  <c r="L23" i="33"/>
  <c r="AC23" i="33"/>
  <c r="AL21" i="33"/>
  <c r="M37" i="33"/>
  <c r="AA37" i="33"/>
  <c r="AK47" i="33"/>
  <c r="AL48" i="33"/>
  <c r="AJ56" i="33"/>
  <c r="K23" i="33"/>
  <c r="AF37" i="33"/>
  <c r="V56" i="33"/>
  <c r="AD37" i="33"/>
  <c r="F56" i="33"/>
  <c r="W56" i="33"/>
  <c r="X23" i="33"/>
  <c r="N37" i="33"/>
  <c r="AK52" i="33"/>
  <c r="AA23" i="33"/>
  <c r="Q23" i="33"/>
  <c r="AH23" i="33"/>
  <c r="AE23" i="33"/>
  <c r="H23" i="33"/>
  <c r="Y56" i="33"/>
  <c r="C56" i="33"/>
  <c r="R23" i="33"/>
  <c r="O23" i="33"/>
  <c r="I56" i="33"/>
  <c r="E56" i="33"/>
  <c r="E57" i="33" s="1"/>
  <c r="AD23" i="33"/>
  <c r="T32" i="33"/>
  <c r="AK36" i="33"/>
  <c r="X56" i="33"/>
  <c r="K56" i="33"/>
  <c r="U23" i="33"/>
  <c r="AK22" i="33"/>
  <c r="N23" i="33"/>
  <c r="AL24" i="33"/>
  <c r="E37" i="33"/>
  <c r="T42" i="33"/>
  <c r="AL42" i="33" s="1"/>
  <c r="AB56" i="33"/>
  <c r="H56" i="33"/>
  <c r="R56" i="33"/>
  <c r="V23" i="33"/>
  <c r="AK27" i="33"/>
  <c r="AK42" i="33"/>
  <c r="L56" i="33"/>
  <c r="AC56" i="33"/>
  <c r="Z56" i="33"/>
  <c r="S56" i="33"/>
  <c r="S57" i="33" s="1"/>
  <c r="F23" i="33"/>
  <c r="W23" i="33"/>
  <c r="AJ23" i="33"/>
  <c r="AL29" i="33"/>
  <c r="G37" i="33"/>
  <c r="G57" i="33" s="1"/>
  <c r="M56" i="33"/>
  <c r="AD56" i="33"/>
  <c r="J56" i="33"/>
  <c r="U56" i="33"/>
  <c r="N56" i="33"/>
  <c r="AE56" i="33"/>
  <c r="AK14" i="33"/>
  <c r="Y23" i="33"/>
  <c r="I37" i="33"/>
  <c r="O56" i="33"/>
  <c r="AF56" i="33"/>
  <c r="AH56" i="33"/>
  <c r="T52" i="33"/>
  <c r="AL52" i="33" s="1"/>
  <c r="AA56" i="33"/>
  <c r="AK17" i="33"/>
  <c r="I23" i="33"/>
  <c r="Z23" i="33"/>
  <c r="AL20" i="33"/>
  <c r="J37" i="33"/>
  <c r="P56" i="33"/>
  <c r="AG56" i="33"/>
  <c r="AG57" i="33" s="1"/>
  <c r="AI56" i="33"/>
  <c r="AI57" i="33" s="1"/>
  <c r="J23" i="33"/>
  <c r="AB37" i="33"/>
  <c r="C37" i="33"/>
  <c r="Q56" i="33"/>
  <c r="AB23" i="33"/>
  <c r="L37" i="33"/>
  <c r="AC37" i="33"/>
  <c r="F37" i="33"/>
  <c r="T7" i="33"/>
  <c r="AL7" i="33" s="1"/>
  <c r="C10" i="33"/>
  <c r="T10" i="33" s="1"/>
  <c r="AL10" i="33" s="1"/>
  <c r="AK18" i="33"/>
  <c r="AL18" i="33" s="1"/>
  <c r="U32" i="33"/>
  <c r="AK32" i="33" s="1"/>
  <c r="C27" i="33"/>
  <c r="T27" i="33" s="1"/>
  <c r="T38" i="33"/>
  <c r="U10" i="33"/>
  <c r="AK10" i="33" s="1"/>
  <c r="AK24" i="33"/>
  <c r="AK38" i="33"/>
  <c r="AK49" i="33"/>
  <c r="AL49" i="33" s="1"/>
  <c r="D55" i="33"/>
  <c r="D56" i="33" s="1"/>
  <c r="T44" i="33"/>
  <c r="C47" i="33"/>
  <c r="T47" i="33" s="1"/>
  <c r="AK55" i="33"/>
  <c r="AK44" i="33"/>
  <c r="D22" i="33"/>
  <c r="D23" i="33" s="1"/>
  <c r="AK33" i="33"/>
  <c r="AL33" i="33" s="1"/>
  <c r="D36" i="33"/>
  <c r="D37" i="33" s="1"/>
  <c r="T36" i="33"/>
  <c r="T11" i="33"/>
  <c r="AK16" i="33"/>
  <c r="AL16" i="33" s="1"/>
  <c r="AK11" i="33"/>
  <c r="D14" i="33"/>
  <c r="T14" i="33" s="1"/>
  <c r="C17" i="33"/>
  <c r="T17" i="33" s="1"/>
  <c r="T28" i="33"/>
  <c r="AL28" i="33" s="1"/>
  <c r="AL55" i="35" l="1"/>
  <c r="T57" i="35"/>
  <c r="AK57" i="35"/>
  <c r="AL23" i="35"/>
  <c r="AL47" i="33"/>
  <c r="AA57" i="33"/>
  <c r="U37" i="33"/>
  <c r="AL32" i="33"/>
  <c r="Y57" i="33"/>
  <c r="X57" i="33"/>
  <c r="AL14" i="33"/>
  <c r="T55" i="33"/>
  <c r="T22" i="33"/>
  <c r="AL22" i="33" s="1"/>
  <c r="M57" i="33"/>
  <c r="J57" i="33"/>
  <c r="H57" i="33"/>
  <c r="W57" i="33"/>
  <c r="AH57" i="33"/>
  <c r="V57" i="33"/>
  <c r="AD57" i="33"/>
  <c r="AB57" i="33"/>
  <c r="Q57" i="33"/>
  <c r="F57" i="33"/>
  <c r="P57" i="33"/>
  <c r="I57" i="33"/>
  <c r="C23" i="33"/>
  <c r="T23" i="33" s="1"/>
  <c r="AK23" i="33"/>
  <c r="AJ57" i="33"/>
  <c r="T56" i="33"/>
  <c r="AL44" i="33"/>
  <c r="AL55" i="33"/>
  <c r="AL17" i="33"/>
  <c r="AC57" i="33"/>
  <c r="L57" i="33"/>
  <c r="Z57" i="33"/>
  <c r="AF57" i="33"/>
  <c r="T37" i="33"/>
  <c r="AL11" i="33"/>
  <c r="D57" i="33"/>
  <c r="O57" i="33"/>
  <c r="K57" i="33"/>
  <c r="AK37" i="33"/>
  <c r="AL38" i="33"/>
  <c r="AE57" i="33"/>
  <c r="AL36" i="33"/>
  <c r="AL27" i="33"/>
  <c r="N57" i="33"/>
  <c r="U57" i="33"/>
  <c r="AK56" i="33"/>
  <c r="R57" i="33"/>
  <c r="AL57" i="35" l="1"/>
  <c r="AL37" i="33"/>
  <c r="C57" i="33"/>
  <c r="T57" i="33" s="1"/>
  <c r="AL56" i="33"/>
  <c r="AK57" i="33"/>
  <c r="AL23" i="33"/>
  <c r="AL57" i="33" l="1"/>
</calcChain>
</file>

<file path=xl/sharedStrings.xml><?xml version="1.0" encoding="utf-8"?>
<sst xmlns="http://schemas.openxmlformats.org/spreadsheetml/2006/main" count="2599" uniqueCount="115">
  <si>
    <t>MAIZE</t>
  </si>
  <si>
    <t>IR</t>
  </si>
  <si>
    <t>UI</t>
  </si>
  <si>
    <t>TOTAL</t>
  </si>
  <si>
    <t>GNUT</t>
  </si>
  <si>
    <t>KHARIF</t>
  </si>
  <si>
    <t>RABI</t>
  </si>
  <si>
    <t>DIST_NM</t>
  </si>
  <si>
    <t>D_CD</t>
  </si>
  <si>
    <t>PAD</t>
  </si>
  <si>
    <t>JWAR</t>
  </si>
  <si>
    <t>BJRA</t>
  </si>
  <si>
    <t>GNGL</t>
  </si>
  <si>
    <t>RGRM</t>
  </si>
  <si>
    <t>COTT</t>
  </si>
  <si>
    <t>SCAN</t>
  </si>
  <si>
    <t>I</t>
  </si>
  <si>
    <t>III</t>
  </si>
  <si>
    <t>BGRM</t>
  </si>
  <si>
    <t>GGRM</t>
  </si>
  <si>
    <t>HGRM</t>
  </si>
  <si>
    <t>GRAND TOTAL</t>
  </si>
  <si>
    <t>PAD-II</t>
  </si>
  <si>
    <t>CENTRAL WORK PROGRAMME FOR AS2.0 OF TAMIL NADU BASED ON CES PLANNING 2026-27</t>
  </si>
  <si>
    <t>STATE WORK PROGRAMME FOR AS2.0 OF TAMIL NADU BASED ON CES PLANNING 2026-27</t>
  </si>
  <si>
    <t/>
  </si>
  <si>
    <t>10</t>
  </si>
  <si>
    <t>ERODE</t>
  </si>
  <si>
    <t>11</t>
  </si>
  <si>
    <t>THE NILGIRIS</t>
  </si>
  <si>
    <t>12</t>
  </si>
  <si>
    <t>COIMBATORE</t>
  </si>
  <si>
    <t>32</t>
  </si>
  <si>
    <t>TIRUPPUR</t>
  </si>
  <si>
    <t>SRO COIMBATORE TOTAL</t>
  </si>
  <si>
    <t>05</t>
  </si>
  <si>
    <t>DHARMAPURI</t>
  </si>
  <si>
    <t>31</t>
  </si>
  <si>
    <t>KRISHNAGIRI</t>
  </si>
  <si>
    <t>36</t>
  </si>
  <si>
    <t>TIRUPATHUR</t>
  </si>
  <si>
    <t>SRO DHARMAPURI TOTAL</t>
  </si>
  <si>
    <t>08</t>
  </si>
  <si>
    <t>SALEM</t>
  </si>
  <si>
    <t>09</t>
  </si>
  <si>
    <t>NAMAKKAL</t>
  </si>
  <si>
    <t>SRO SALEM TOTAL</t>
  </si>
  <si>
    <t>14</t>
  </si>
  <si>
    <t>KARUR</t>
  </si>
  <si>
    <t>15</t>
  </si>
  <si>
    <t>TIRUCHIRAPPALLI</t>
  </si>
  <si>
    <t>16</t>
  </si>
  <si>
    <t>PERAMBALUR</t>
  </si>
  <si>
    <t>17</t>
  </si>
  <si>
    <t>ARIYALUR</t>
  </si>
  <si>
    <t>SRO TIRUCHIRAPALLI TOTAL</t>
  </si>
  <si>
    <t>RO COIMBATORE TOTAL</t>
  </si>
  <si>
    <t>01</t>
  </si>
  <si>
    <t>THIRUVALLUR</t>
  </si>
  <si>
    <t>03</t>
  </si>
  <si>
    <t>KANCHEEPURAM</t>
  </si>
  <si>
    <t>33</t>
  </si>
  <si>
    <t>CHENGALPATTU</t>
  </si>
  <si>
    <t>SRO CHENNAI TOTAL</t>
  </si>
  <si>
    <t>07</t>
  </si>
  <si>
    <t>VILUPPURAM</t>
  </si>
  <si>
    <t>18</t>
  </si>
  <si>
    <t>CUDDALORE</t>
  </si>
  <si>
    <t>34</t>
  </si>
  <si>
    <t>KALLAKURICHI</t>
  </si>
  <si>
    <t>38</t>
  </si>
  <si>
    <t>MAYILADUTHURAI</t>
  </si>
  <si>
    <t>SRO CUDDALORE TOTAL</t>
  </si>
  <si>
    <t>04</t>
  </si>
  <si>
    <t>VELLORE</t>
  </si>
  <si>
    <t>06</t>
  </si>
  <si>
    <t>TIRUVANNAMALAI</t>
  </si>
  <si>
    <t>35</t>
  </si>
  <si>
    <t>RANIPET</t>
  </si>
  <si>
    <t>SRO VELLORE TOTAL</t>
  </si>
  <si>
    <t>RO CHENNAI TOTAL</t>
  </si>
  <si>
    <t>13</t>
  </si>
  <si>
    <t>DINDIGUL</t>
  </si>
  <si>
    <t>23</t>
  </si>
  <si>
    <t>SIVAGANGAI</t>
  </si>
  <si>
    <t>24</t>
  </si>
  <si>
    <t>MADURAI</t>
  </si>
  <si>
    <t>25</t>
  </si>
  <si>
    <t>THENI</t>
  </si>
  <si>
    <t>SRO MADURAI TOTAL</t>
  </si>
  <si>
    <t>19</t>
  </si>
  <si>
    <t>NAGAPATTINAM</t>
  </si>
  <si>
    <t>20</t>
  </si>
  <si>
    <t>THIRUVARUR</t>
  </si>
  <si>
    <t>21</t>
  </si>
  <si>
    <t>THANJAVUR</t>
  </si>
  <si>
    <t>22</t>
  </si>
  <si>
    <t>PUDUKKOTTAI</t>
  </si>
  <si>
    <t>SRO THANJAVUR TOTAL</t>
  </si>
  <si>
    <t>28</t>
  </si>
  <si>
    <t>THOOTHUKUDI</t>
  </si>
  <si>
    <t>29</t>
  </si>
  <si>
    <t>TIRUNELVELI</t>
  </si>
  <si>
    <t>30</t>
  </si>
  <si>
    <t>KANNIYAKUMARI</t>
  </si>
  <si>
    <t>37</t>
  </si>
  <si>
    <t>TENKASI</t>
  </si>
  <si>
    <t>SRO TIRUNELVELI TOTAL</t>
  </si>
  <si>
    <t>26</t>
  </si>
  <si>
    <t>VIRUDHUNAGAR</t>
  </si>
  <si>
    <t>27</t>
  </si>
  <si>
    <t>RAMANATHAPURAM</t>
  </si>
  <si>
    <t>SRO VIRUDHNAGAR TOTAL</t>
  </si>
  <si>
    <t>RO MADURAI TOTAL</t>
  </si>
  <si>
    <t>STATE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</si>
</sst>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b/>
      <sz val="12"/>
      <color theme="1"/>
      <name val="Times New Roman"/>
      <family val="1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BE7A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5" fillId="0" borderId="0"/>
    <xf numFmtId="0" fontId="7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</cellXfs>
  <cellStyles count="4">
    <cellStyle name="Normal" xfId="0" builtinId="0"/>
    <cellStyle name="Normal 2" xfId="1" xr:uid="{D8479C91-70C6-491E-ABED-52B317C22105}"/>
    <cellStyle name="Normal 3" xfId="2" xr:uid="{A1CB7F0E-34FB-4FC4-8D78-367CD95E7AE1}"/>
    <cellStyle name="Normal 4" xfId="3" xr:uid="{AE8D71B7-1FD9-4739-83E1-28810721EBAA}"/>
  </cellStyles>
  <dxfs count="0"/>
  <tableStyles count="0" defaultTableStyle="TableStyleMedium2" defaultPivotStyle="PivotStyleMedium9"/>
  <colors>
    <mruColors>
      <color rgb="FF66FFFF"/>
      <color rgb="FFABE7A1"/>
      <color rgb="FFAAFCF8"/>
      <color rgb="FFFFFF99"/>
      <color rgb="FFA3E7FF"/>
      <color rgb="FF85DFFF"/>
      <color rgb="FFACF2C0"/>
      <color rgb="FFDBF5D7"/>
      <color rgb="FF37FF91"/>
      <color rgb="FFE5FF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A63F-78A8-44C9-A2AE-A0C0059BD8D5}">
  <sheetPr>
    <tabColor rgb="FF00B050"/>
  </sheetPr>
  <dimension ref="A1:AL57"/>
  <sheetViews>
    <sheetView view="pageBreakPreview" zoomScale="85" zoomScaleNormal="70" zoomScaleSheetLayoutView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:AL57"/>
    </sheetView>
  </sheetViews>
  <sheetFormatPr defaultColWidth="8.875" defaultRowHeight="13.6" x14ac:dyDescent="0.25"/>
  <cols>
    <col min="1" max="1" width="7.125" style="5" bestFit="1" customWidth="1"/>
    <col min="2" max="2" width="21.25" style="1" bestFit="1" customWidth="1"/>
    <col min="3" max="3" width="4.875" style="2" bestFit="1" customWidth="1"/>
    <col min="4" max="15" width="4.25" style="2" customWidth="1"/>
    <col min="16" max="16" width="6.875" style="2" bestFit="1" customWidth="1"/>
    <col min="17" max="18" width="4.25" style="2" customWidth="1"/>
    <col min="19" max="19" width="6.375" style="2" bestFit="1" customWidth="1"/>
    <col min="20" max="20" width="7.5" style="4" bestFit="1" customWidth="1"/>
    <col min="21" max="33" width="4.25" style="2" customWidth="1"/>
    <col min="34" max="34" width="7" style="2" bestFit="1" customWidth="1"/>
    <col min="35" max="36" width="4.25" style="2" customWidth="1"/>
    <col min="37" max="37" width="7.5" style="4" bestFit="1" customWidth="1"/>
    <col min="38" max="38" width="8.875" style="1" customWidth="1"/>
    <col min="39" max="16384" width="8.875" style="1"/>
  </cols>
  <sheetData>
    <row r="1" spans="1:38" ht="15.65" x14ac:dyDescent="0.3">
      <c r="A1" s="19" t="s">
        <v>23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</row>
    <row r="2" spans="1:38" ht="14.45" customHeight="1" x14ac:dyDescent="0.25">
      <c r="A2" s="6"/>
      <c r="B2" s="6"/>
      <c r="C2" s="20" t="s">
        <v>5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1" t="s">
        <v>6</v>
      </c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2" t="s">
        <v>21</v>
      </c>
    </row>
    <row r="3" spans="1:38" ht="14.3" customHeight="1" x14ac:dyDescent="0.25">
      <c r="A3" s="2"/>
      <c r="B3" s="6"/>
      <c r="C3" s="7" t="s">
        <v>9</v>
      </c>
      <c r="D3" s="23" t="s">
        <v>22</v>
      </c>
      <c r="E3" s="23"/>
      <c r="F3" s="23" t="s">
        <v>10</v>
      </c>
      <c r="G3" s="23"/>
      <c r="H3" s="23" t="s">
        <v>11</v>
      </c>
      <c r="I3" s="23"/>
      <c r="J3" s="23" t="s">
        <v>0</v>
      </c>
      <c r="K3" s="23"/>
      <c r="L3" s="23" t="s">
        <v>4</v>
      </c>
      <c r="M3" s="23"/>
      <c r="N3" s="23" t="s">
        <v>12</v>
      </c>
      <c r="O3" s="23"/>
      <c r="P3" s="23" t="s">
        <v>13</v>
      </c>
      <c r="Q3" s="23" t="s">
        <v>14</v>
      </c>
      <c r="R3" s="23"/>
      <c r="S3" s="23" t="s">
        <v>15</v>
      </c>
      <c r="T3" s="20" t="s">
        <v>3</v>
      </c>
      <c r="U3" s="7" t="s">
        <v>9</v>
      </c>
      <c r="V3" s="23" t="s">
        <v>10</v>
      </c>
      <c r="W3" s="23"/>
      <c r="X3" s="23" t="s">
        <v>4</v>
      </c>
      <c r="Y3" s="23"/>
      <c r="Z3" s="23" t="s">
        <v>18</v>
      </c>
      <c r="AA3" s="23"/>
      <c r="AB3" s="23" t="s">
        <v>19</v>
      </c>
      <c r="AC3" s="23"/>
      <c r="AD3" s="23" t="s">
        <v>12</v>
      </c>
      <c r="AE3" s="23"/>
      <c r="AF3" s="23" t="s">
        <v>11</v>
      </c>
      <c r="AG3" s="23"/>
      <c r="AH3" s="23" t="s">
        <v>20</v>
      </c>
      <c r="AI3" s="23" t="s">
        <v>14</v>
      </c>
      <c r="AJ3" s="23"/>
      <c r="AK3" s="21" t="s">
        <v>3</v>
      </c>
      <c r="AL3" s="22"/>
    </row>
    <row r="4" spans="1:38" x14ac:dyDescent="0.25">
      <c r="A4" s="2"/>
      <c r="B4" s="6"/>
      <c r="C4" s="7" t="s">
        <v>16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0"/>
      <c r="U4" s="7" t="s">
        <v>17</v>
      </c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1"/>
      <c r="AL4" s="22"/>
    </row>
    <row r="5" spans="1:38" x14ac:dyDescent="0.25">
      <c r="A5" s="7" t="s">
        <v>8</v>
      </c>
      <c r="B5" s="11" t="s">
        <v>7</v>
      </c>
      <c r="C5" s="7" t="s">
        <v>1</v>
      </c>
      <c r="D5" s="7" t="s">
        <v>2</v>
      </c>
      <c r="E5" s="7" t="s">
        <v>1</v>
      </c>
      <c r="F5" s="7" t="s">
        <v>2</v>
      </c>
      <c r="G5" s="7" t="s">
        <v>1</v>
      </c>
      <c r="H5" s="7" t="s">
        <v>2</v>
      </c>
      <c r="I5" s="7" t="s">
        <v>1</v>
      </c>
      <c r="J5" s="7" t="s">
        <v>2</v>
      </c>
      <c r="K5" s="7" t="s">
        <v>1</v>
      </c>
      <c r="L5" s="7" t="s">
        <v>2</v>
      </c>
      <c r="M5" s="7" t="s">
        <v>1</v>
      </c>
      <c r="N5" s="7" t="s">
        <v>2</v>
      </c>
      <c r="O5" s="7" t="s">
        <v>1</v>
      </c>
      <c r="P5" s="7" t="s">
        <v>2</v>
      </c>
      <c r="Q5" s="7" t="s">
        <v>2</v>
      </c>
      <c r="R5" s="7" t="s">
        <v>1</v>
      </c>
      <c r="S5" s="23"/>
      <c r="T5" s="20"/>
      <c r="U5" s="7" t="s">
        <v>1</v>
      </c>
      <c r="V5" s="7" t="s">
        <v>2</v>
      </c>
      <c r="W5" s="7" t="s">
        <v>1</v>
      </c>
      <c r="X5" s="7" t="s">
        <v>2</v>
      </c>
      <c r="Y5" s="7" t="s">
        <v>1</v>
      </c>
      <c r="Z5" s="7" t="s">
        <v>2</v>
      </c>
      <c r="AA5" s="7" t="s">
        <v>1</v>
      </c>
      <c r="AB5" s="7" t="s">
        <v>2</v>
      </c>
      <c r="AC5" s="7" t="s">
        <v>1</v>
      </c>
      <c r="AD5" s="7" t="s">
        <v>2</v>
      </c>
      <c r="AE5" s="7" t="s">
        <v>1</v>
      </c>
      <c r="AF5" s="7" t="s">
        <v>2</v>
      </c>
      <c r="AG5" s="7" t="s">
        <v>1</v>
      </c>
      <c r="AH5" s="7" t="s">
        <v>2</v>
      </c>
      <c r="AI5" s="7" t="s">
        <v>2</v>
      </c>
      <c r="AJ5" s="7" t="s">
        <v>1</v>
      </c>
      <c r="AK5" s="21"/>
      <c r="AL5" s="22"/>
    </row>
    <row r="6" spans="1:38" ht="13.25" x14ac:dyDescent="0.25">
      <c r="A6" s="12" t="s">
        <v>26</v>
      </c>
      <c r="B6" s="13" t="s">
        <v>27</v>
      </c>
      <c r="C6" s="8" t="s">
        <v>25</v>
      </c>
      <c r="D6" s="8" t="s">
        <v>25</v>
      </c>
      <c r="E6" s="8" t="s">
        <v>25</v>
      </c>
      <c r="F6" s="8" t="s">
        <v>25</v>
      </c>
      <c r="G6" s="8" t="s">
        <v>25</v>
      </c>
      <c r="H6" s="8" t="s">
        <v>25</v>
      </c>
      <c r="I6" s="8" t="s">
        <v>25</v>
      </c>
      <c r="J6" s="8">
        <v>6</v>
      </c>
      <c r="K6" s="8">
        <v>8</v>
      </c>
      <c r="L6" s="8">
        <v>6</v>
      </c>
      <c r="M6" s="8">
        <v>4</v>
      </c>
      <c r="N6" s="8" t="s">
        <v>25</v>
      </c>
      <c r="O6" s="8" t="s">
        <v>25</v>
      </c>
      <c r="P6" s="8">
        <v>4</v>
      </c>
      <c r="Q6" s="8" t="s">
        <v>25</v>
      </c>
      <c r="R6" s="8" t="s">
        <v>25</v>
      </c>
      <c r="S6" s="8">
        <v>6</v>
      </c>
      <c r="T6" s="9">
        <v>34</v>
      </c>
      <c r="U6" s="8" t="s">
        <v>25</v>
      </c>
      <c r="V6" s="8" t="s">
        <v>25</v>
      </c>
      <c r="W6" s="8" t="s">
        <v>25</v>
      </c>
      <c r="X6" s="8" t="s">
        <v>25</v>
      </c>
      <c r="Y6" s="8">
        <v>4</v>
      </c>
      <c r="Z6" s="8" t="s">
        <v>25</v>
      </c>
      <c r="AA6" s="8" t="s">
        <v>25</v>
      </c>
      <c r="AB6" s="8" t="s">
        <v>25</v>
      </c>
      <c r="AC6" s="8" t="s">
        <v>25</v>
      </c>
      <c r="AD6" s="8" t="s">
        <v>25</v>
      </c>
      <c r="AE6" s="8">
        <v>6</v>
      </c>
      <c r="AF6" s="8" t="s">
        <v>25</v>
      </c>
      <c r="AG6" s="8" t="s">
        <v>25</v>
      </c>
      <c r="AH6" s="8" t="s">
        <v>25</v>
      </c>
      <c r="AI6" s="8" t="s">
        <v>25</v>
      </c>
      <c r="AJ6" s="8" t="s">
        <v>25</v>
      </c>
      <c r="AK6" s="17">
        <v>10</v>
      </c>
      <c r="AL6" s="10">
        <v>44</v>
      </c>
    </row>
    <row r="7" spans="1:38" ht="13.25" x14ac:dyDescent="0.25">
      <c r="A7" s="12" t="s">
        <v>28</v>
      </c>
      <c r="B7" s="13" t="s">
        <v>29</v>
      </c>
      <c r="C7" s="8" t="s">
        <v>25</v>
      </c>
      <c r="D7" s="8" t="s">
        <v>25</v>
      </c>
      <c r="E7" s="8" t="s">
        <v>25</v>
      </c>
      <c r="F7" s="8" t="s">
        <v>25</v>
      </c>
      <c r="G7" s="8" t="s">
        <v>25</v>
      </c>
      <c r="H7" s="8" t="s">
        <v>25</v>
      </c>
      <c r="I7" s="8" t="s">
        <v>25</v>
      </c>
      <c r="J7" s="8" t="s">
        <v>25</v>
      </c>
      <c r="K7" s="8" t="s">
        <v>25</v>
      </c>
      <c r="L7" s="8" t="s">
        <v>25</v>
      </c>
      <c r="M7" s="8" t="s">
        <v>25</v>
      </c>
      <c r="N7" s="8" t="s">
        <v>25</v>
      </c>
      <c r="O7" s="8" t="s">
        <v>25</v>
      </c>
      <c r="P7" s="8" t="s">
        <v>25</v>
      </c>
      <c r="Q7" s="8" t="s">
        <v>25</v>
      </c>
      <c r="R7" s="8" t="s">
        <v>25</v>
      </c>
      <c r="S7" s="8" t="s">
        <v>25</v>
      </c>
      <c r="T7" s="9">
        <v>0</v>
      </c>
      <c r="U7" s="8" t="s">
        <v>25</v>
      </c>
      <c r="V7" s="8" t="s">
        <v>25</v>
      </c>
      <c r="W7" s="8" t="s">
        <v>25</v>
      </c>
      <c r="X7" s="8" t="s">
        <v>25</v>
      </c>
      <c r="Y7" s="8" t="s">
        <v>25</v>
      </c>
      <c r="Z7" s="8" t="s">
        <v>25</v>
      </c>
      <c r="AA7" s="8" t="s">
        <v>25</v>
      </c>
      <c r="AB7" s="8" t="s">
        <v>25</v>
      </c>
      <c r="AC7" s="8" t="s">
        <v>25</v>
      </c>
      <c r="AD7" s="8" t="s">
        <v>25</v>
      </c>
      <c r="AE7" s="8" t="s">
        <v>25</v>
      </c>
      <c r="AF7" s="8" t="s">
        <v>25</v>
      </c>
      <c r="AG7" s="8" t="s">
        <v>25</v>
      </c>
      <c r="AH7" s="8" t="s">
        <v>25</v>
      </c>
      <c r="AI7" s="8" t="s">
        <v>25</v>
      </c>
      <c r="AJ7" s="8" t="s">
        <v>25</v>
      </c>
      <c r="AK7" s="17">
        <v>0</v>
      </c>
      <c r="AL7" s="10">
        <v>0</v>
      </c>
    </row>
    <row r="8" spans="1:38" ht="13.25" x14ac:dyDescent="0.25">
      <c r="A8" s="12" t="s">
        <v>30</v>
      </c>
      <c r="B8" s="13" t="s">
        <v>31</v>
      </c>
      <c r="C8" s="8" t="s">
        <v>25</v>
      </c>
      <c r="D8" s="8" t="s">
        <v>25</v>
      </c>
      <c r="E8" s="8" t="s">
        <v>25</v>
      </c>
      <c r="F8" s="8">
        <v>6</v>
      </c>
      <c r="G8" s="8" t="s">
        <v>25</v>
      </c>
      <c r="H8" s="8" t="s">
        <v>25</v>
      </c>
      <c r="I8" s="8" t="s">
        <v>25</v>
      </c>
      <c r="J8" s="8" t="s">
        <v>25</v>
      </c>
      <c r="K8" s="8" t="s">
        <v>25</v>
      </c>
      <c r="L8" s="8" t="s">
        <v>25</v>
      </c>
      <c r="M8" s="8" t="s">
        <v>25</v>
      </c>
      <c r="N8" s="8" t="s">
        <v>25</v>
      </c>
      <c r="O8" s="8" t="s">
        <v>25</v>
      </c>
      <c r="P8" s="8" t="s">
        <v>25</v>
      </c>
      <c r="Q8" s="8" t="s">
        <v>25</v>
      </c>
      <c r="R8" s="8" t="s">
        <v>25</v>
      </c>
      <c r="S8" s="8" t="s">
        <v>25</v>
      </c>
      <c r="T8" s="9">
        <v>6</v>
      </c>
      <c r="U8" s="8" t="s">
        <v>25</v>
      </c>
      <c r="V8" s="8">
        <v>6</v>
      </c>
      <c r="W8" s="8" t="s">
        <v>25</v>
      </c>
      <c r="X8" s="8" t="s">
        <v>25</v>
      </c>
      <c r="Y8" s="8" t="s">
        <v>25</v>
      </c>
      <c r="Z8" s="8" t="s">
        <v>25</v>
      </c>
      <c r="AA8" s="8" t="s">
        <v>25</v>
      </c>
      <c r="AB8" s="8" t="s">
        <v>25</v>
      </c>
      <c r="AC8" s="8" t="s">
        <v>25</v>
      </c>
      <c r="AD8" s="8" t="s">
        <v>25</v>
      </c>
      <c r="AE8" s="8" t="s">
        <v>25</v>
      </c>
      <c r="AF8" s="8" t="s">
        <v>25</v>
      </c>
      <c r="AG8" s="8" t="s">
        <v>25</v>
      </c>
      <c r="AH8" s="8">
        <v>4</v>
      </c>
      <c r="AI8" s="8" t="s">
        <v>25</v>
      </c>
      <c r="AJ8" s="8" t="s">
        <v>25</v>
      </c>
      <c r="AK8" s="17">
        <v>10</v>
      </c>
      <c r="AL8" s="10">
        <v>16</v>
      </c>
    </row>
    <row r="9" spans="1:38" ht="13.25" x14ac:dyDescent="0.25">
      <c r="A9" s="12" t="s">
        <v>32</v>
      </c>
      <c r="B9" s="13" t="s">
        <v>33</v>
      </c>
      <c r="C9" s="8" t="s">
        <v>25</v>
      </c>
      <c r="D9" s="8" t="s">
        <v>25</v>
      </c>
      <c r="E9" s="8" t="s">
        <v>25</v>
      </c>
      <c r="F9" s="8" t="s">
        <v>25</v>
      </c>
      <c r="G9" s="8" t="s">
        <v>25</v>
      </c>
      <c r="H9" s="8" t="s">
        <v>25</v>
      </c>
      <c r="I9" s="8" t="s">
        <v>25</v>
      </c>
      <c r="J9" s="8" t="s">
        <v>25</v>
      </c>
      <c r="K9" s="8" t="s">
        <v>25</v>
      </c>
      <c r="L9" s="8" t="s">
        <v>25</v>
      </c>
      <c r="M9" s="8" t="s">
        <v>25</v>
      </c>
      <c r="N9" s="8" t="s">
        <v>25</v>
      </c>
      <c r="O9" s="8" t="s">
        <v>25</v>
      </c>
      <c r="P9" s="8" t="s">
        <v>25</v>
      </c>
      <c r="Q9" s="8" t="s">
        <v>25</v>
      </c>
      <c r="R9" s="8" t="s">
        <v>25</v>
      </c>
      <c r="S9" s="8" t="s">
        <v>25</v>
      </c>
      <c r="T9" s="9">
        <v>0</v>
      </c>
      <c r="U9" s="8" t="s">
        <v>25</v>
      </c>
      <c r="V9" s="8" t="s">
        <v>25</v>
      </c>
      <c r="W9" s="8" t="s">
        <v>25</v>
      </c>
      <c r="X9" s="8" t="s">
        <v>25</v>
      </c>
      <c r="Y9" s="8" t="s">
        <v>25</v>
      </c>
      <c r="Z9" s="8" t="s">
        <v>25</v>
      </c>
      <c r="AA9" s="8" t="s">
        <v>25</v>
      </c>
      <c r="AB9" s="8" t="s">
        <v>25</v>
      </c>
      <c r="AC9" s="8" t="s">
        <v>25</v>
      </c>
      <c r="AD9" s="8" t="s">
        <v>25</v>
      </c>
      <c r="AE9" s="8" t="s">
        <v>25</v>
      </c>
      <c r="AF9" s="8" t="s">
        <v>25</v>
      </c>
      <c r="AG9" s="8" t="s">
        <v>25</v>
      </c>
      <c r="AH9" s="8" t="s">
        <v>25</v>
      </c>
      <c r="AI9" s="8" t="s">
        <v>25</v>
      </c>
      <c r="AJ9" s="8" t="s">
        <v>25</v>
      </c>
      <c r="AK9" s="17">
        <v>0</v>
      </c>
      <c r="AL9" s="10">
        <v>0</v>
      </c>
    </row>
    <row r="10" spans="1:38" s="3" customFormat="1" ht="14.45" customHeight="1" x14ac:dyDescent="0.25">
      <c r="A10" s="25" t="s">
        <v>34</v>
      </c>
      <c r="B10" s="25"/>
      <c r="C10" s="14">
        <v>0</v>
      </c>
      <c r="D10" s="14">
        <v>0</v>
      </c>
      <c r="E10" s="14">
        <v>0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8</v>
      </c>
      <c r="L10" s="14">
        <v>6</v>
      </c>
      <c r="M10" s="14">
        <v>4</v>
      </c>
      <c r="N10" s="14">
        <v>0</v>
      </c>
      <c r="O10" s="14">
        <v>0</v>
      </c>
      <c r="P10" s="14">
        <v>4</v>
      </c>
      <c r="Q10" s="14">
        <v>0</v>
      </c>
      <c r="R10" s="14">
        <v>0</v>
      </c>
      <c r="S10" s="14">
        <v>6</v>
      </c>
      <c r="T10" s="9">
        <v>40</v>
      </c>
      <c r="U10" s="14">
        <v>0</v>
      </c>
      <c r="V10" s="14">
        <v>6</v>
      </c>
      <c r="W10" s="14">
        <v>0</v>
      </c>
      <c r="X10" s="14">
        <v>0</v>
      </c>
      <c r="Y10" s="14">
        <v>4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6</v>
      </c>
      <c r="AF10" s="14">
        <v>0</v>
      </c>
      <c r="AG10" s="14">
        <v>0</v>
      </c>
      <c r="AH10" s="14">
        <v>4</v>
      </c>
      <c r="AI10" s="14">
        <v>0</v>
      </c>
      <c r="AJ10" s="14">
        <v>0</v>
      </c>
      <c r="AK10" s="17">
        <v>20</v>
      </c>
      <c r="AL10" s="10">
        <v>60</v>
      </c>
    </row>
    <row r="11" spans="1:38" ht="13.25" x14ac:dyDescent="0.25">
      <c r="A11" s="12" t="s">
        <v>35</v>
      </c>
      <c r="B11" s="13" t="s">
        <v>36</v>
      </c>
      <c r="C11" s="8" t="s">
        <v>25</v>
      </c>
      <c r="D11" s="8" t="s">
        <v>25</v>
      </c>
      <c r="E11" s="8">
        <v>4</v>
      </c>
      <c r="F11" s="8">
        <v>6</v>
      </c>
      <c r="G11" s="8" t="s">
        <v>25</v>
      </c>
      <c r="H11" s="8" t="s">
        <v>25</v>
      </c>
      <c r="I11" s="8" t="s">
        <v>25</v>
      </c>
      <c r="J11" s="8">
        <v>6</v>
      </c>
      <c r="K11" s="8">
        <v>4</v>
      </c>
      <c r="L11" s="8">
        <v>4</v>
      </c>
      <c r="M11" s="8" t="s">
        <v>25</v>
      </c>
      <c r="N11" s="8">
        <v>4</v>
      </c>
      <c r="O11" s="8" t="s">
        <v>25</v>
      </c>
      <c r="P11" s="8">
        <v>14</v>
      </c>
      <c r="Q11" s="8">
        <v>10</v>
      </c>
      <c r="R11" s="8" t="s">
        <v>25</v>
      </c>
      <c r="S11" s="8">
        <v>4</v>
      </c>
      <c r="T11" s="9">
        <v>56</v>
      </c>
      <c r="U11" s="8">
        <v>4</v>
      </c>
      <c r="V11" s="8" t="s">
        <v>25</v>
      </c>
      <c r="W11" s="8" t="s">
        <v>25</v>
      </c>
      <c r="X11" s="8" t="s">
        <v>25</v>
      </c>
      <c r="Y11" s="8">
        <v>4</v>
      </c>
      <c r="Z11" s="8" t="s">
        <v>25</v>
      </c>
      <c r="AA11" s="8" t="s">
        <v>25</v>
      </c>
      <c r="AB11" s="8" t="s">
        <v>25</v>
      </c>
      <c r="AC11" s="8" t="s">
        <v>25</v>
      </c>
      <c r="AD11" s="8" t="s">
        <v>25</v>
      </c>
      <c r="AE11" s="8" t="s">
        <v>25</v>
      </c>
      <c r="AF11" s="8" t="s">
        <v>25</v>
      </c>
      <c r="AG11" s="8" t="s">
        <v>25</v>
      </c>
      <c r="AH11" s="8">
        <v>12</v>
      </c>
      <c r="AI11" s="8" t="s">
        <v>25</v>
      </c>
      <c r="AJ11" s="8" t="s">
        <v>25</v>
      </c>
      <c r="AK11" s="17">
        <v>20</v>
      </c>
      <c r="AL11" s="10">
        <v>76</v>
      </c>
    </row>
    <row r="12" spans="1:38" ht="13.25" x14ac:dyDescent="0.25">
      <c r="A12" s="12" t="s">
        <v>37</v>
      </c>
      <c r="B12" s="13" t="s">
        <v>38</v>
      </c>
      <c r="C12" s="8">
        <v>4</v>
      </c>
      <c r="D12" s="8" t="s">
        <v>25</v>
      </c>
      <c r="E12" s="8" t="s">
        <v>25</v>
      </c>
      <c r="F12" s="8">
        <v>4</v>
      </c>
      <c r="G12" s="8" t="s">
        <v>25</v>
      </c>
      <c r="H12" s="8" t="s">
        <v>25</v>
      </c>
      <c r="I12" s="8" t="s">
        <v>25</v>
      </c>
      <c r="J12" s="8" t="s">
        <v>25</v>
      </c>
      <c r="K12" s="8">
        <v>6</v>
      </c>
      <c r="L12" s="8">
        <v>6</v>
      </c>
      <c r="M12" s="8" t="s">
        <v>25</v>
      </c>
      <c r="N12" s="8">
        <v>6</v>
      </c>
      <c r="O12" s="8" t="s">
        <v>25</v>
      </c>
      <c r="P12" s="8">
        <v>14</v>
      </c>
      <c r="Q12" s="8">
        <v>4</v>
      </c>
      <c r="R12" s="8" t="s">
        <v>25</v>
      </c>
      <c r="S12" s="8" t="s">
        <v>25</v>
      </c>
      <c r="T12" s="9">
        <v>44</v>
      </c>
      <c r="U12" s="8">
        <v>4</v>
      </c>
      <c r="V12" s="8" t="s">
        <v>25</v>
      </c>
      <c r="W12" s="8" t="s">
        <v>25</v>
      </c>
      <c r="X12" s="8" t="s">
        <v>25</v>
      </c>
      <c r="Y12" s="8">
        <v>4</v>
      </c>
      <c r="Z12" s="8" t="s">
        <v>25</v>
      </c>
      <c r="AA12" s="8" t="s">
        <v>25</v>
      </c>
      <c r="AB12" s="8" t="s">
        <v>25</v>
      </c>
      <c r="AC12" s="8" t="s">
        <v>25</v>
      </c>
      <c r="AD12" s="8" t="s">
        <v>25</v>
      </c>
      <c r="AE12" s="8" t="s">
        <v>25</v>
      </c>
      <c r="AF12" s="8" t="s">
        <v>25</v>
      </c>
      <c r="AG12" s="8" t="s">
        <v>25</v>
      </c>
      <c r="AH12" s="8">
        <v>20</v>
      </c>
      <c r="AI12" s="8" t="s">
        <v>25</v>
      </c>
      <c r="AJ12" s="8" t="s">
        <v>25</v>
      </c>
      <c r="AK12" s="17">
        <v>28</v>
      </c>
      <c r="AL12" s="10">
        <v>72</v>
      </c>
    </row>
    <row r="13" spans="1:38" ht="13.25" x14ac:dyDescent="0.25">
      <c r="A13" s="12" t="s">
        <v>39</v>
      </c>
      <c r="B13" s="13" t="s">
        <v>40</v>
      </c>
      <c r="C13" s="8" t="s">
        <v>25</v>
      </c>
      <c r="D13" s="8" t="s">
        <v>25</v>
      </c>
      <c r="E13" s="8" t="s">
        <v>25</v>
      </c>
      <c r="F13" s="8">
        <v>4</v>
      </c>
      <c r="G13" s="8" t="s">
        <v>25</v>
      </c>
      <c r="H13" s="8">
        <v>6</v>
      </c>
      <c r="I13" s="8" t="s">
        <v>25</v>
      </c>
      <c r="J13" s="8" t="s">
        <v>25</v>
      </c>
      <c r="K13" s="8" t="s">
        <v>25</v>
      </c>
      <c r="L13" s="8">
        <v>4</v>
      </c>
      <c r="M13" s="8" t="s">
        <v>25</v>
      </c>
      <c r="N13" s="8" t="s">
        <v>25</v>
      </c>
      <c r="O13" s="8" t="s">
        <v>25</v>
      </c>
      <c r="P13" s="8">
        <v>8</v>
      </c>
      <c r="Q13" s="8">
        <v>6</v>
      </c>
      <c r="R13" s="8" t="s">
        <v>25</v>
      </c>
      <c r="S13" s="8" t="s">
        <v>25</v>
      </c>
      <c r="T13" s="9">
        <v>28</v>
      </c>
      <c r="U13" s="8" t="s">
        <v>25</v>
      </c>
      <c r="V13" s="8" t="s">
        <v>25</v>
      </c>
      <c r="W13" s="8" t="s">
        <v>25</v>
      </c>
      <c r="X13" s="8" t="s">
        <v>25</v>
      </c>
      <c r="Y13" s="8" t="s">
        <v>25</v>
      </c>
      <c r="Z13" s="8" t="s">
        <v>25</v>
      </c>
      <c r="AA13" s="8" t="s">
        <v>25</v>
      </c>
      <c r="AB13" s="8" t="s">
        <v>25</v>
      </c>
      <c r="AC13" s="8" t="s">
        <v>25</v>
      </c>
      <c r="AD13" s="8" t="s">
        <v>25</v>
      </c>
      <c r="AE13" s="8" t="s">
        <v>25</v>
      </c>
      <c r="AF13" s="8" t="s">
        <v>25</v>
      </c>
      <c r="AG13" s="8" t="s">
        <v>25</v>
      </c>
      <c r="AH13" s="8">
        <v>8</v>
      </c>
      <c r="AI13" s="8" t="s">
        <v>25</v>
      </c>
      <c r="AJ13" s="8" t="s">
        <v>25</v>
      </c>
      <c r="AK13" s="17">
        <v>8</v>
      </c>
      <c r="AL13" s="10">
        <v>36</v>
      </c>
    </row>
    <row r="14" spans="1:38" s="3" customFormat="1" ht="14.45" customHeight="1" x14ac:dyDescent="0.25">
      <c r="A14" s="25" t="s">
        <v>41</v>
      </c>
      <c r="B14" s="25"/>
      <c r="C14" s="14">
        <v>4</v>
      </c>
      <c r="D14" s="14">
        <v>0</v>
      </c>
      <c r="E14" s="14">
        <v>4</v>
      </c>
      <c r="F14" s="14">
        <v>14</v>
      </c>
      <c r="G14" s="14">
        <v>0</v>
      </c>
      <c r="H14" s="14">
        <v>6</v>
      </c>
      <c r="I14" s="14">
        <v>0</v>
      </c>
      <c r="J14" s="14">
        <v>6</v>
      </c>
      <c r="K14" s="14">
        <v>10</v>
      </c>
      <c r="L14" s="14">
        <v>14</v>
      </c>
      <c r="M14" s="14">
        <v>0</v>
      </c>
      <c r="N14" s="14">
        <v>10</v>
      </c>
      <c r="O14" s="14">
        <v>0</v>
      </c>
      <c r="P14" s="14">
        <v>36</v>
      </c>
      <c r="Q14" s="14">
        <v>20</v>
      </c>
      <c r="R14" s="14">
        <v>0</v>
      </c>
      <c r="S14" s="14">
        <v>4</v>
      </c>
      <c r="T14" s="9">
        <v>128</v>
      </c>
      <c r="U14" s="14">
        <v>8</v>
      </c>
      <c r="V14" s="14">
        <v>0</v>
      </c>
      <c r="W14" s="14">
        <v>0</v>
      </c>
      <c r="X14" s="14">
        <v>0</v>
      </c>
      <c r="Y14" s="14">
        <v>8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40</v>
      </c>
      <c r="AI14" s="14">
        <v>0</v>
      </c>
      <c r="AJ14" s="14">
        <v>0</v>
      </c>
      <c r="AK14" s="17">
        <v>56</v>
      </c>
      <c r="AL14" s="10">
        <v>184</v>
      </c>
    </row>
    <row r="15" spans="1:38" ht="13.25" x14ac:dyDescent="0.25">
      <c r="A15" s="12" t="s">
        <v>42</v>
      </c>
      <c r="B15" s="13" t="s">
        <v>43</v>
      </c>
      <c r="C15" s="8" t="s">
        <v>25</v>
      </c>
      <c r="D15" s="8" t="s">
        <v>25</v>
      </c>
      <c r="E15" s="8" t="s">
        <v>25</v>
      </c>
      <c r="F15" s="8">
        <v>10</v>
      </c>
      <c r="G15" s="8" t="s">
        <v>25</v>
      </c>
      <c r="H15" s="8" t="s">
        <v>25</v>
      </c>
      <c r="I15" s="8" t="s">
        <v>25</v>
      </c>
      <c r="J15" s="8">
        <v>6</v>
      </c>
      <c r="K15" s="8">
        <v>6</v>
      </c>
      <c r="L15" s="8">
        <v>6</v>
      </c>
      <c r="M15" s="8" t="s">
        <v>25</v>
      </c>
      <c r="N15" s="8">
        <v>4</v>
      </c>
      <c r="O15" s="8">
        <v>6</v>
      </c>
      <c r="P15" s="8">
        <v>6</v>
      </c>
      <c r="Q15" s="8">
        <v>10</v>
      </c>
      <c r="R15" s="8">
        <v>4</v>
      </c>
      <c r="S15" s="8">
        <v>4</v>
      </c>
      <c r="T15" s="9">
        <v>62</v>
      </c>
      <c r="U15" s="8">
        <v>4</v>
      </c>
      <c r="V15" s="8">
        <v>4</v>
      </c>
      <c r="W15" s="8">
        <v>6</v>
      </c>
      <c r="X15" s="8" t="s">
        <v>25</v>
      </c>
      <c r="Y15" s="8">
        <v>4</v>
      </c>
      <c r="Z15" s="8" t="s">
        <v>25</v>
      </c>
      <c r="AA15" s="8" t="s">
        <v>25</v>
      </c>
      <c r="AB15" s="8" t="s">
        <v>25</v>
      </c>
      <c r="AC15" s="8" t="s">
        <v>25</v>
      </c>
      <c r="AD15" s="8" t="s">
        <v>25</v>
      </c>
      <c r="AE15" s="8">
        <v>4</v>
      </c>
      <c r="AF15" s="8" t="s">
        <v>25</v>
      </c>
      <c r="AG15" s="8">
        <v>6</v>
      </c>
      <c r="AH15" s="8">
        <v>8</v>
      </c>
      <c r="AI15" s="8" t="s">
        <v>25</v>
      </c>
      <c r="AJ15" s="8">
        <v>6</v>
      </c>
      <c r="AK15" s="17">
        <v>42</v>
      </c>
      <c r="AL15" s="10">
        <v>104</v>
      </c>
    </row>
    <row r="16" spans="1:38" ht="13.25" x14ac:dyDescent="0.25">
      <c r="A16" s="12" t="s">
        <v>44</v>
      </c>
      <c r="B16" s="13" t="s">
        <v>45</v>
      </c>
      <c r="C16" s="8" t="s">
        <v>25</v>
      </c>
      <c r="D16" s="8" t="s">
        <v>25</v>
      </c>
      <c r="E16" s="8">
        <v>4</v>
      </c>
      <c r="F16" s="8">
        <v>14</v>
      </c>
      <c r="G16" s="8">
        <v>0</v>
      </c>
      <c r="H16" s="8" t="s">
        <v>25</v>
      </c>
      <c r="I16" s="8" t="s">
        <v>25</v>
      </c>
      <c r="J16" s="8" t="s">
        <v>25</v>
      </c>
      <c r="K16" s="8" t="s">
        <v>25</v>
      </c>
      <c r="L16" s="8">
        <v>10</v>
      </c>
      <c r="M16" s="8" t="s">
        <v>25</v>
      </c>
      <c r="N16" s="8" t="s">
        <v>25</v>
      </c>
      <c r="O16" s="8" t="s">
        <v>25</v>
      </c>
      <c r="P16" s="8" t="s">
        <v>25</v>
      </c>
      <c r="Q16" s="8">
        <v>4</v>
      </c>
      <c r="R16" s="8">
        <v>4</v>
      </c>
      <c r="S16" s="8">
        <v>4</v>
      </c>
      <c r="T16" s="9">
        <v>40</v>
      </c>
      <c r="U16" s="8" t="s">
        <v>25</v>
      </c>
      <c r="V16" s="8">
        <v>14</v>
      </c>
      <c r="W16" s="8">
        <v>6</v>
      </c>
      <c r="X16" s="8" t="s">
        <v>25</v>
      </c>
      <c r="Y16" s="8">
        <v>4</v>
      </c>
      <c r="Z16" s="8" t="s">
        <v>25</v>
      </c>
      <c r="AA16" s="8" t="s">
        <v>25</v>
      </c>
      <c r="AB16" s="8" t="s">
        <v>25</v>
      </c>
      <c r="AC16" s="8" t="s">
        <v>25</v>
      </c>
      <c r="AD16" s="8" t="s">
        <v>25</v>
      </c>
      <c r="AE16" s="8">
        <v>4</v>
      </c>
      <c r="AF16" s="8" t="s">
        <v>25</v>
      </c>
      <c r="AG16" s="8" t="s">
        <v>25</v>
      </c>
      <c r="AH16" s="8" t="s">
        <v>25</v>
      </c>
      <c r="AI16" s="8" t="s">
        <v>25</v>
      </c>
      <c r="AJ16" s="8" t="s">
        <v>25</v>
      </c>
      <c r="AK16" s="17">
        <v>28</v>
      </c>
      <c r="AL16" s="10">
        <v>68</v>
      </c>
    </row>
    <row r="17" spans="1:38" s="3" customFormat="1" ht="14.45" customHeight="1" x14ac:dyDescent="0.25">
      <c r="A17" s="25" t="s">
        <v>46</v>
      </c>
      <c r="B17" s="25"/>
      <c r="C17" s="14">
        <v>0</v>
      </c>
      <c r="D17" s="14">
        <v>0</v>
      </c>
      <c r="E17" s="14">
        <v>4</v>
      </c>
      <c r="F17" s="14">
        <v>24</v>
      </c>
      <c r="G17" s="14">
        <v>0</v>
      </c>
      <c r="H17" s="14">
        <v>0</v>
      </c>
      <c r="I17" s="14">
        <v>0</v>
      </c>
      <c r="J17" s="14">
        <v>6</v>
      </c>
      <c r="K17" s="14">
        <v>6</v>
      </c>
      <c r="L17" s="14">
        <v>16</v>
      </c>
      <c r="M17" s="14">
        <v>0</v>
      </c>
      <c r="N17" s="14">
        <v>4</v>
      </c>
      <c r="O17" s="14">
        <v>6</v>
      </c>
      <c r="P17" s="14">
        <v>6</v>
      </c>
      <c r="Q17" s="14">
        <v>14</v>
      </c>
      <c r="R17" s="14">
        <v>8</v>
      </c>
      <c r="S17" s="14">
        <v>8</v>
      </c>
      <c r="T17" s="9">
        <v>102</v>
      </c>
      <c r="U17" s="14">
        <v>4</v>
      </c>
      <c r="V17" s="14">
        <v>18</v>
      </c>
      <c r="W17" s="14">
        <v>12</v>
      </c>
      <c r="X17" s="14">
        <v>0</v>
      </c>
      <c r="Y17" s="14">
        <v>8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8</v>
      </c>
      <c r="AF17" s="14">
        <v>0</v>
      </c>
      <c r="AG17" s="14">
        <v>6</v>
      </c>
      <c r="AH17" s="14">
        <v>8</v>
      </c>
      <c r="AI17" s="14">
        <v>0</v>
      </c>
      <c r="AJ17" s="14">
        <v>6</v>
      </c>
      <c r="AK17" s="17">
        <v>70</v>
      </c>
      <c r="AL17" s="10">
        <v>172</v>
      </c>
    </row>
    <row r="18" spans="1:38" ht="13.25" x14ac:dyDescent="0.25">
      <c r="A18" s="12" t="s">
        <v>47</v>
      </c>
      <c r="B18" s="13" t="s">
        <v>48</v>
      </c>
      <c r="C18" s="8" t="s">
        <v>25</v>
      </c>
      <c r="D18" s="8" t="s">
        <v>25</v>
      </c>
      <c r="E18" s="8" t="s">
        <v>25</v>
      </c>
      <c r="F18" s="8">
        <v>4</v>
      </c>
      <c r="G18" s="8">
        <v>6</v>
      </c>
      <c r="H18" s="8" t="s">
        <v>25</v>
      </c>
      <c r="I18" s="8" t="s">
        <v>25</v>
      </c>
      <c r="J18" s="8" t="s">
        <v>25</v>
      </c>
      <c r="K18" s="8" t="s">
        <v>25</v>
      </c>
      <c r="L18" s="8" t="s">
        <v>25</v>
      </c>
      <c r="M18" s="8" t="s">
        <v>25</v>
      </c>
      <c r="N18" s="8">
        <v>8</v>
      </c>
      <c r="O18" s="8" t="s">
        <v>25</v>
      </c>
      <c r="P18" s="8">
        <v>4</v>
      </c>
      <c r="Q18" s="8" t="s">
        <v>25</v>
      </c>
      <c r="R18" s="8" t="s">
        <v>25</v>
      </c>
      <c r="S18" s="8">
        <v>4</v>
      </c>
      <c r="T18" s="9">
        <v>26</v>
      </c>
      <c r="U18" s="8" t="s">
        <v>25</v>
      </c>
      <c r="V18" s="8">
        <v>4</v>
      </c>
      <c r="W18" s="8">
        <v>4</v>
      </c>
      <c r="X18" s="8" t="s">
        <v>25</v>
      </c>
      <c r="Y18" s="8">
        <v>4</v>
      </c>
      <c r="Z18" s="8" t="s">
        <v>25</v>
      </c>
      <c r="AA18" s="8" t="s">
        <v>25</v>
      </c>
      <c r="AB18" s="8" t="s">
        <v>25</v>
      </c>
      <c r="AC18" s="8" t="s">
        <v>25</v>
      </c>
      <c r="AD18" s="8" t="s">
        <v>25</v>
      </c>
      <c r="AE18" s="8" t="s">
        <v>25</v>
      </c>
      <c r="AF18" s="8">
        <v>6</v>
      </c>
      <c r="AG18" s="8" t="s">
        <v>25</v>
      </c>
      <c r="AH18" s="8">
        <v>4</v>
      </c>
      <c r="AI18" s="8" t="s">
        <v>25</v>
      </c>
      <c r="AJ18" s="8" t="s">
        <v>25</v>
      </c>
      <c r="AK18" s="17">
        <v>22</v>
      </c>
      <c r="AL18" s="10">
        <v>48</v>
      </c>
    </row>
    <row r="19" spans="1:38" ht="13.25" x14ac:dyDescent="0.25">
      <c r="A19" s="12" t="s">
        <v>49</v>
      </c>
      <c r="B19" s="13" t="s">
        <v>50</v>
      </c>
      <c r="C19" s="8" t="s">
        <v>25</v>
      </c>
      <c r="D19" s="8" t="s">
        <v>25</v>
      </c>
      <c r="E19" s="8" t="s">
        <v>25</v>
      </c>
      <c r="F19" s="8" t="s">
        <v>25</v>
      </c>
      <c r="G19" s="8" t="s">
        <v>25</v>
      </c>
      <c r="H19" s="8" t="s">
        <v>25</v>
      </c>
      <c r="I19" s="8" t="s">
        <v>25</v>
      </c>
      <c r="J19" s="8" t="s">
        <v>25</v>
      </c>
      <c r="K19" s="8" t="s">
        <v>25</v>
      </c>
      <c r="L19" s="8" t="s">
        <v>25</v>
      </c>
      <c r="M19" s="8" t="s">
        <v>25</v>
      </c>
      <c r="N19" s="8" t="s">
        <v>25</v>
      </c>
      <c r="O19" s="8" t="s">
        <v>25</v>
      </c>
      <c r="P19" s="8" t="s">
        <v>25</v>
      </c>
      <c r="Q19" s="8" t="s">
        <v>25</v>
      </c>
      <c r="R19" s="8" t="s">
        <v>25</v>
      </c>
      <c r="S19" s="8" t="s">
        <v>25</v>
      </c>
      <c r="T19" s="9">
        <v>0</v>
      </c>
      <c r="U19" s="8" t="s">
        <v>25</v>
      </c>
      <c r="V19" s="8" t="s">
        <v>25</v>
      </c>
      <c r="W19" s="8" t="s">
        <v>25</v>
      </c>
      <c r="X19" s="8" t="s">
        <v>25</v>
      </c>
      <c r="Y19" s="8" t="s">
        <v>25</v>
      </c>
      <c r="Z19" s="8" t="s">
        <v>25</v>
      </c>
      <c r="AA19" s="8" t="s">
        <v>25</v>
      </c>
      <c r="AB19" s="8" t="s">
        <v>25</v>
      </c>
      <c r="AC19" s="8" t="s">
        <v>25</v>
      </c>
      <c r="AD19" s="8" t="s">
        <v>25</v>
      </c>
      <c r="AE19" s="8" t="s">
        <v>25</v>
      </c>
      <c r="AF19" s="8" t="s">
        <v>25</v>
      </c>
      <c r="AG19" s="8" t="s">
        <v>25</v>
      </c>
      <c r="AH19" s="8" t="s">
        <v>25</v>
      </c>
      <c r="AI19" s="8" t="s">
        <v>25</v>
      </c>
      <c r="AJ19" s="8" t="s">
        <v>25</v>
      </c>
      <c r="AK19" s="17">
        <v>0</v>
      </c>
      <c r="AL19" s="10">
        <v>0</v>
      </c>
    </row>
    <row r="20" spans="1:38" ht="13.25" x14ac:dyDescent="0.25">
      <c r="A20" s="12" t="s">
        <v>51</v>
      </c>
      <c r="B20" s="13" t="s">
        <v>52</v>
      </c>
      <c r="C20" s="8" t="s">
        <v>25</v>
      </c>
      <c r="D20" s="8" t="s">
        <v>25</v>
      </c>
      <c r="E20" s="8" t="s">
        <v>25</v>
      </c>
      <c r="F20" s="8" t="s">
        <v>25</v>
      </c>
      <c r="G20" s="8" t="s">
        <v>25</v>
      </c>
      <c r="H20" s="8" t="s">
        <v>25</v>
      </c>
      <c r="I20" s="8" t="s">
        <v>25</v>
      </c>
      <c r="J20" s="8">
        <v>6</v>
      </c>
      <c r="K20" s="8" t="s">
        <v>25</v>
      </c>
      <c r="L20" s="8" t="s">
        <v>25</v>
      </c>
      <c r="M20" s="8" t="s">
        <v>25</v>
      </c>
      <c r="N20" s="8" t="s">
        <v>25</v>
      </c>
      <c r="O20" s="8" t="s">
        <v>25</v>
      </c>
      <c r="P20" s="8">
        <v>4</v>
      </c>
      <c r="Q20" s="8">
        <v>12</v>
      </c>
      <c r="R20" s="8" t="s">
        <v>25</v>
      </c>
      <c r="S20" s="8">
        <v>4</v>
      </c>
      <c r="T20" s="9">
        <v>26</v>
      </c>
      <c r="U20" s="8" t="s">
        <v>25</v>
      </c>
      <c r="V20" s="8" t="s">
        <v>25</v>
      </c>
      <c r="W20" s="8" t="s">
        <v>25</v>
      </c>
      <c r="X20" s="8" t="s">
        <v>25</v>
      </c>
      <c r="Y20" s="8">
        <v>4</v>
      </c>
      <c r="Z20" s="8" t="s">
        <v>25</v>
      </c>
      <c r="AA20" s="8" t="s">
        <v>25</v>
      </c>
      <c r="AB20" s="8" t="s">
        <v>25</v>
      </c>
      <c r="AC20" s="8" t="s">
        <v>25</v>
      </c>
      <c r="AD20" s="8" t="s">
        <v>25</v>
      </c>
      <c r="AE20" s="8" t="s">
        <v>25</v>
      </c>
      <c r="AF20" s="8" t="s">
        <v>25</v>
      </c>
      <c r="AG20" s="8" t="s">
        <v>25</v>
      </c>
      <c r="AH20" s="8" t="s">
        <v>25</v>
      </c>
      <c r="AI20" s="8" t="s">
        <v>25</v>
      </c>
      <c r="AJ20" s="8" t="s">
        <v>25</v>
      </c>
      <c r="AK20" s="17">
        <v>4</v>
      </c>
      <c r="AL20" s="10">
        <v>30</v>
      </c>
    </row>
    <row r="21" spans="1:38" ht="13.25" x14ac:dyDescent="0.25">
      <c r="A21" s="12" t="s">
        <v>53</v>
      </c>
      <c r="B21" s="13" t="s">
        <v>54</v>
      </c>
      <c r="C21" s="8">
        <v>4</v>
      </c>
      <c r="D21" s="8" t="s">
        <v>25</v>
      </c>
      <c r="E21" s="8">
        <v>4</v>
      </c>
      <c r="F21" s="8" t="s">
        <v>25</v>
      </c>
      <c r="G21" s="8" t="s">
        <v>25</v>
      </c>
      <c r="H21" s="8">
        <v>8</v>
      </c>
      <c r="I21" s="8" t="s">
        <v>25</v>
      </c>
      <c r="J21" s="8">
        <v>6</v>
      </c>
      <c r="K21" s="8" t="s">
        <v>25</v>
      </c>
      <c r="L21" s="8" t="s">
        <v>25</v>
      </c>
      <c r="M21" s="8">
        <v>0</v>
      </c>
      <c r="N21" s="8" t="s">
        <v>25</v>
      </c>
      <c r="O21" s="8">
        <v>8</v>
      </c>
      <c r="P21" s="8" t="s">
        <v>25</v>
      </c>
      <c r="Q21" s="8">
        <v>10</v>
      </c>
      <c r="R21" s="8" t="s">
        <v>25</v>
      </c>
      <c r="S21" s="8">
        <v>0</v>
      </c>
      <c r="T21" s="9">
        <v>40</v>
      </c>
      <c r="U21" s="8" t="s">
        <v>25</v>
      </c>
      <c r="V21" s="8" t="s">
        <v>25</v>
      </c>
      <c r="W21" s="8" t="s">
        <v>25</v>
      </c>
      <c r="X21" s="8" t="s">
        <v>25</v>
      </c>
      <c r="Y21" s="8">
        <v>4</v>
      </c>
      <c r="Z21" s="8">
        <v>4</v>
      </c>
      <c r="AA21" s="8" t="s">
        <v>25</v>
      </c>
      <c r="AB21" s="8" t="s">
        <v>25</v>
      </c>
      <c r="AC21" s="8" t="s">
        <v>25</v>
      </c>
      <c r="AD21" s="8" t="s">
        <v>25</v>
      </c>
      <c r="AE21" s="8" t="s">
        <v>25</v>
      </c>
      <c r="AF21" s="8" t="s">
        <v>25</v>
      </c>
      <c r="AG21" s="8" t="s">
        <v>25</v>
      </c>
      <c r="AH21" s="8" t="s">
        <v>25</v>
      </c>
      <c r="AI21" s="8" t="s">
        <v>25</v>
      </c>
      <c r="AJ21" s="8" t="s">
        <v>25</v>
      </c>
      <c r="AK21" s="17">
        <v>8</v>
      </c>
      <c r="AL21" s="10">
        <v>48</v>
      </c>
    </row>
    <row r="22" spans="1:38" s="3" customFormat="1" ht="14.45" customHeight="1" x14ac:dyDescent="0.25">
      <c r="A22" s="25" t="s">
        <v>55</v>
      </c>
      <c r="B22" s="25"/>
      <c r="C22" s="14">
        <v>4</v>
      </c>
      <c r="D22" s="14">
        <v>0</v>
      </c>
      <c r="E22" s="14">
        <v>4</v>
      </c>
      <c r="F22" s="14">
        <v>4</v>
      </c>
      <c r="G22" s="14">
        <v>6</v>
      </c>
      <c r="H22" s="14">
        <v>8</v>
      </c>
      <c r="I22" s="14">
        <v>0</v>
      </c>
      <c r="J22" s="14">
        <v>12</v>
      </c>
      <c r="K22" s="14">
        <v>0</v>
      </c>
      <c r="L22" s="14">
        <v>0</v>
      </c>
      <c r="M22" s="14">
        <v>0</v>
      </c>
      <c r="N22" s="14">
        <v>8</v>
      </c>
      <c r="O22" s="14">
        <v>8</v>
      </c>
      <c r="P22" s="14">
        <v>8</v>
      </c>
      <c r="Q22" s="14">
        <v>22</v>
      </c>
      <c r="R22" s="14">
        <v>0</v>
      </c>
      <c r="S22" s="14">
        <v>8</v>
      </c>
      <c r="T22" s="9">
        <v>92</v>
      </c>
      <c r="U22" s="14">
        <v>0</v>
      </c>
      <c r="V22" s="14">
        <v>4</v>
      </c>
      <c r="W22" s="14">
        <v>4</v>
      </c>
      <c r="X22" s="14">
        <v>0</v>
      </c>
      <c r="Y22" s="14">
        <v>12</v>
      </c>
      <c r="Z22" s="14">
        <v>4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6</v>
      </c>
      <c r="AG22" s="14">
        <v>0</v>
      </c>
      <c r="AH22" s="14">
        <v>4</v>
      </c>
      <c r="AI22" s="14">
        <v>0</v>
      </c>
      <c r="AJ22" s="14">
        <v>0</v>
      </c>
      <c r="AK22" s="17">
        <v>34</v>
      </c>
      <c r="AL22" s="10">
        <v>126</v>
      </c>
    </row>
    <row r="23" spans="1:38" s="3" customFormat="1" ht="14.45" customHeight="1" x14ac:dyDescent="0.25">
      <c r="A23" s="24" t="s">
        <v>56</v>
      </c>
      <c r="B23" s="24"/>
      <c r="C23" s="15">
        <v>8</v>
      </c>
      <c r="D23" s="15">
        <v>0</v>
      </c>
      <c r="E23" s="15">
        <v>12</v>
      </c>
      <c r="F23" s="15">
        <v>48</v>
      </c>
      <c r="G23" s="15">
        <v>6</v>
      </c>
      <c r="H23" s="15">
        <v>14</v>
      </c>
      <c r="I23" s="15">
        <v>0</v>
      </c>
      <c r="J23" s="15">
        <v>30</v>
      </c>
      <c r="K23" s="15">
        <v>24</v>
      </c>
      <c r="L23" s="15">
        <v>36</v>
      </c>
      <c r="M23" s="15">
        <v>4</v>
      </c>
      <c r="N23" s="15">
        <v>22</v>
      </c>
      <c r="O23" s="15">
        <v>14</v>
      </c>
      <c r="P23" s="15">
        <v>54</v>
      </c>
      <c r="Q23" s="15">
        <v>56</v>
      </c>
      <c r="R23" s="15">
        <v>8</v>
      </c>
      <c r="S23" s="15">
        <v>26</v>
      </c>
      <c r="T23" s="9">
        <v>362</v>
      </c>
      <c r="U23" s="15">
        <v>12</v>
      </c>
      <c r="V23" s="15">
        <v>28</v>
      </c>
      <c r="W23" s="15">
        <v>16</v>
      </c>
      <c r="X23" s="15">
        <v>0</v>
      </c>
      <c r="Y23" s="15">
        <v>32</v>
      </c>
      <c r="Z23" s="15">
        <v>4</v>
      </c>
      <c r="AA23" s="15">
        <v>0</v>
      </c>
      <c r="AB23" s="15">
        <v>0</v>
      </c>
      <c r="AC23" s="15">
        <v>0</v>
      </c>
      <c r="AD23" s="15">
        <v>0</v>
      </c>
      <c r="AE23" s="15">
        <v>14</v>
      </c>
      <c r="AF23" s="15">
        <v>6</v>
      </c>
      <c r="AG23" s="15">
        <v>6</v>
      </c>
      <c r="AH23" s="15">
        <v>56</v>
      </c>
      <c r="AI23" s="15">
        <v>0</v>
      </c>
      <c r="AJ23" s="15">
        <v>6</v>
      </c>
      <c r="AK23" s="17">
        <v>180</v>
      </c>
      <c r="AL23" s="10">
        <v>542</v>
      </c>
    </row>
    <row r="24" spans="1:38" ht="13.25" x14ac:dyDescent="0.25">
      <c r="A24" s="12" t="s">
        <v>57</v>
      </c>
      <c r="B24" s="13" t="s">
        <v>58</v>
      </c>
      <c r="C24" s="8">
        <v>8</v>
      </c>
      <c r="D24" s="8" t="s">
        <v>25</v>
      </c>
      <c r="E24" s="8">
        <v>6</v>
      </c>
      <c r="F24" s="8" t="s">
        <v>25</v>
      </c>
      <c r="G24" s="8" t="s">
        <v>25</v>
      </c>
      <c r="H24" s="8" t="s">
        <v>25</v>
      </c>
      <c r="I24" s="8" t="s">
        <v>25</v>
      </c>
      <c r="J24" s="8" t="s">
        <v>25</v>
      </c>
      <c r="K24" s="8" t="s">
        <v>25</v>
      </c>
      <c r="L24" s="8" t="s">
        <v>25</v>
      </c>
      <c r="M24" s="8" t="s">
        <v>25</v>
      </c>
      <c r="N24" s="8" t="s">
        <v>25</v>
      </c>
      <c r="O24" s="8" t="s">
        <v>25</v>
      </c>
      <c r="P24" s="8" t="s">
        <v>25</v>
      </c>
      <c r="Q24" s="8" t="s">
        <v>25</v>
      </c>
      <c r="R24" s="8" t="s">
        <v>25</v>
      </c>
      <c r="S24" s="8">
        <v>4</v>
      </c>
      <c r="T24" s="9">
        <v>18</v>
      </c>
      <c r="U24" s="8">
        <v>6</v>
      </c>
      <c r="V24" s="8" t="s">
        <v>25</v>
      </c>
      <c r="W24" s="8" t="s">
        <v>25</v>
      </c>
      <c r="X24" s="8" t="s">
        <v>25</v>
      </c>
      <c r="Y24" s="8">
        <v>4</v>
      </c>
      <c r="Z24" s="8" t="s">
        <v>25</v>
      </c>
      <c r="AA24" s="8" t="s">
        <v>25</v>
      </c>
      <c r="AB24" s="8" t="s">
        <v>25</v>
      </c>
      <c r="AC24" s="8">
        <v>8</v>
      </c>
      <c r="AD24" s="8" t="s">
        <v>25</v>
      </c>
      <c r="AE24" s="8" t="s">
        <v>25</v>
      </c>
      <c r="AF24" s="8" t="s">
        <v>25</v>
      </c>
      <c r="AG24" s="8" t="s">
        <v>25</v>
      </c>
      <c r="AH24" s="8" t="s">
        <v>25</v>
      </c>
      <c r="AI24" s="8" t="s">
        <v>25</v>
      </c>
      <c r="AJ24" s="8" t="s">
        <v>25</v>
      </c>
      <c r="AK24" s="17">
        <v>18</v>
      </c>
      <c r="AL24" s="10">
        <v>36</v>
      </c>
    </row>
    <row r="25" spans="1:38" ht="13.25" x14ac:dyDescent="0.25">
      <c r="A25" s="12" t="s">
        <v>59</v>
      </c>
      <c r="B25" s="13" t="s">
        <v>60</v>
      </c>
      <c r="C25" s="8">
        <v>4</v>
      </c>
      <c r="D25" s="8" t="s">
        <v>25</v>
      </c>
      <c r="E25" s="8">
        <v>4</v>
      </c>
      <c r="F25" s="8" t="s">
        <v>25</v>
      </c>
      <c r="G25" s="8" t="s">
        <v>25</v>
      </c>
      <c r="H25" s="8" t="s">
        <v>25</v>
      </c>
      <c r="I25" s="8" t="s">
        <v>25</v>
      </c>
      <c r="J25" s="8" t="s">
        <v>25</v>
      </c>
      <c r="K25" s="8" t="s">
        <v>25</v>
      </c>
      <c r="L25" s="8" t="s">
        <v>25</v>
      </c>
      <c r="M25" s="8">
        <v>4</v>
      </c>
      <c r="N25" s="8" t="s">
        <v>25</v>
      </c>
      <c r="O25" s="8">
        <v>0</v>
      </c>
      <c r="P25" s="8" t="s">
        <v>25</v>
      </c>
      <c r="Q25" s="8" t="s">
        <v>25</v>
      </c>
      <c r="R25" s="8" t="s">
        <v>25</v>
      </c>
      <c r="S25" s="8" t="s">
        <v>25</v>
      </c>
      <c r="T25" s="9">
        <v>12</v>
      </c>
      <c r="U25" s="8" t="s">
        <v>25</v>
      </c>
      <c r="V25" s="8" t="s">
        <v>25</v>
      </c>
      <c r="W25" s="8" t="s">
        <v>25</v>
      </c>
      <c r="X25" s="8" t="s">
        <v>25</v>
      </c>
      <c r="Y25" s="8" t="s">
        <v>25</v>
      </c>
      <c r="Z25" s="8" t="s">
        <v>25</v>
      </c>
      <c r="AA25" s="8" t="s">
        <v>25</v>
      </c>
      <c r="AB25" s="8" t="s">
        <v>25</v>
      </c>
      <c r="AC25" s="8" t="s">
        <v>25</v>
      </c>
      <c r="AD25" s="8" t="s">
        <v>25</v>
      </c>
      <c r="AE25" s="8" t="s">
        <v>25</v>
      </c>
      <c r="AF25" s="8" t="s">
        <v>25</v>
      </c>
      <c r="AG25" s="8" t="s">
        <v>25</v>
      </c>
      <c r="AH25" s="8" t="s">
        <v>25</v>
      </c>
      <c r="AI25" s="8" t="s">
        <v>25</v>
      </c>
      <c r="AJ25" s="8" t="s">
        <v>25</v>
      </c>
      <c r="AK25" s="17">
        <v>0</v>
      </c>
      <c r="AL25" s="10">
        <v>12</v>
      </c>
    </row>
    <row r="26" spans="1:38" ht="13.25" x14ac:dyDescent="0.25">
      <c r="A26" s="12" t="s">
        <v>61</v>
      </c>
      <c r="B26" s="13" t="s">
        <v>62</v>
      </c>
      <c r="C26" s="8">
        <v>4</v>
      </c>
      <c r="D26" s="8" t="s">
        <v>25</v>
      </c>
      <c r="E26" s="8">
        <v>4</v>
      </c>
      <c r="F26" s="8" t="s">
        <v>25</v>
      </c>
      <c r="G26" s="8" t="s">
        <v>25</v>
      </c>
      <c r="H26" s="8" t="s">
        <v>25</v>
      </c>
      <c r="I26" s="8" t="s">
        <v>25</v>
      </c>
      <c r="J26" s="8" t="s">
        <v>25</v>
      </c>
      <c r="K26" s="8" t="s">
        <v>25</v>
      </c>
      <c r="L26" s="8" t="s">
        <v>25</v>
      </c>
      <c r="M26" s="8" t="s">
        <v>25</v>
      </c>
      <c r="N26" s="8" t="s">
        <v>25</v>
      </c>
      <c r="O26" s="8">
        <v>4</v>
      </c>
      <c r="P26" s="8" t="s">
        <v>25</v>
      </c>
      <c r="Q26" s="8" t="s">
        <v>25</v>
      </c>
      <c r="R26" s="8" t="s">
        <v>25</v>
      </c>
      <c r="S26" s="8">
        <v>4</v>
      </c>
      <c r="T26" s="9">
        <v>16</v>
      </c>
      <c r="U26" s="8">
        <v>4</v>
      </c>
      <c r="V26" s="8" t="s">
        <v>25</v>
      </c>
      <c r="W26" s="8" t="s">
        <v>25</v>
      </c>
      <c r="X26" s="8" t="s">
        <v>25</v>
      </c>
      <c r="Y26" s="8">
        <v>4</v>
      </c>
      <c r="Z26" s="8" t="s">
        <v>25</v>
      </c>
      <c r="AA26" s="8" t="s">
        <v>25</v>
      </c>
      <c r="AB26" s="8" t="s">
        <v>25</v>
      </c>
      <c r="AC26" s="8" t="s">
        <v>25</v>
      </c>
      <c r="AD26" s="8" t="s">
        <v>25</v>
      </c>
      <c r="AE26" s="8" t="s">
        <v>25</v>
      </c>
      <c r="AF26" s="8" t="s">
        <v>25</v>
      </c>
      <c r="AG26" s="8" t="s">
        <v>25</v>
      </c>
      <c r="AH26" s="8" t="s">
        <v>25</v>
      </c>
      <c r="AI26" s="8" t="s">
        <v>25</v>
      </c>
      <c r="AJ26" s="8" t="s">
        <v>25</v>
      </c>
      <c r="AK26" s="17">
        <v>8</v>
      </c>
      <c r="AL26" s="10">
        <v>24</v>
      </c>
    </row>
    <row r="27" spans="1:38" s="3" customFormat="1" ht="14.45" customHeight="1" x14ac:dyDescent="0.25">
      <c r="A27" s="25" t="s">
        <v>63</v>
      </c>
      <c r="B27" s="25"/>
      <c r="C27" s="14">
        <v>16</v>
      </c>
      <c r="D27" s="14">
        <v>0</v>
      </c>
      <c r="E27" s="14">
        <v>14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4</v>
      </c>
      <c r="N27" s="14">
        <v>0</v>
      </c>
      <c r="O27" s="14">
        <v>4</v>
      </c>
      <c r="P27" s="14">
        <v>0</v>
      </c>
      <c r="Q27" s="14">
        <v>0</v>
      </c>
      <c r="R27" s="14">
        <v>0</v>
      </c>
      <c r="S27" s="14">
        <v>8</v>
      </c>
      <c r="T27" s="9">
        <v>46</v>
      </c>
      <c r="U27" s="14">
        <v>10</v>
      </c>
      <c r="V27" s="14">
        <v>0</v>
      </c>
      <c r="W27" s="14">
        <v>0</v>
      </c>
      <c r="X27" s="14">
        <v>0</v>
      </c>
      <c r="Y27" s="14">
        <v>8</v>
      </c>
      <c r="Z27" s="14">
        <v>0</v>
      </c>
      <c r="AA27" s="14">
        <v>0</v>
      </c>
      <c r="AB27" s="14">
        <v>0</v>
      </c>
      <c r="AC27" s="14">
        <v>8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7">
        <v>26</v>
      </c>
      <c r="AL27" s="10">
        <v>72</v>
      </c>
    </row>
    <row r="28" spans="1:38" ht="13.25" x14ac:dyDescent="0.25">
      <c r="A28" s="12" t="s">
        <v>64</v>
      </c>
      <c r="B28" s="13" t="s">
        <v>65</v>
      </c>
      <c r="C28" s="8" t="s">
        <v>25</v>
      </c>
      <c r="D28" s="8" t="s">
        <v>25</v>
      </c>
      <c r="E28" s="8" t="s">
        <v>25</v>
      </c>
      <c r="F28" s="8" t="s">
        <v>25</v>
      </c>
      <c r="G28" s="8" t="s">
        <v>25</v>
      </c>
      <c r="H28" s="8" t="s">
        <v>25</v>
      </c>
      <c r="I28" s="8" t="s">
        <v>25</v>
      </c>
      <c r="J28" s="8" t="s">
        <v>25</v>
      </c>
      <c r="K28" s="8" t="s">
        <v>25</v>
      </c>
      <c r="L28" s="8" t="s">
        <v>25</v>
      </c>
      <c r="M28" s="8" t="s">
        <v>25</v>
      </c>
      <c r="N28" s="8" t="s">
        <v>25</v>
      </c>
      <c r="O28" s="8" t="s">
        <v>25</v>
      </c>
      <c r="P28" s="8" t="s">
        <v>25</v>
      </c>
      <c r="Q28" s="8" t="s">
        <v>25</v>
      </c>
      <c r="R28" s="8" t="s">
        <v>25</v>
      </c>
      <c r="S28" s="8" t="s">
        <v>25</v>
      </c>
      <c r="T28" s="9">
        <v>0</v>
      </c>
      <c r="U28" s="8" t="s">
        <v>25</v>
      </c>
      <c r="V28" s="8" t="s">
        <v>25</v>
      </c>
      <c r="W28" s="8" t="s">
        <v>25</v>
      </c>
      <c r="X28" s="8" t="s">
        <v>25</v>
      </c>
      <c r="Y28" s="8" t="s">
        <v>25</v>
      </c>
      <c r="Z28" s="8" t="s">
        <v>25</v>
      </c>
      <c r="AA28" s="8" t="s">
        <v>25</v>
      </c>
      <c r="AB28" s="8" t="s">
        <v>25</v>
      </c>
      <c r="AC28" s="8" t="s">
        <v>25</v>
      </c>
      <c r="AD28" s="8" t="s">
        <v>25</v>
      </c>
      <c r="AE28" s="8" t="s">
        <v>25</v>
      </c>
      <c r="AF28" s="8" t="s">
        <v>25</v>
      </c>
      <c r="AG28" s="8" t="s">
        <v>25</v>
      </c>
      <c r="AH28" s="8" t="s">
        <v>25</v>
      </c>
      <c r="AI28" s="8" t="s">
        <v>25</v>
      </c>
      <c r="AJ28" s="8" t="s">
        <v>25</v>
      </c>
      <c r="AK28" s="17">
        <v>0</v>
      </c>
      <c r="AL28" s="10">
        <v>0</v>
      </c>
    </row>
    <row r="29" spans="1:38" ht="13.25" x14ac:dyDescent="0.25">
      <c r="A29" s="12" t="s">
        <v>66</v>
      </c>
      <c r="B29" s="13" t="s">
        <v>67</v>
      </c>
      <c r="C29" s="8">
        <v>8</v>
      </c>
      <c r="D29" s="8" t="s">
        <v>25</v>
      </c>
      <c r="E29" s="8">
        <v>8</v>
      </c>
      <c r="F29" s="8" t="s">
        <v>25</v>
      </c>
      <c r="G29" s="8" t="s">
        <v>25</v>
      </c>
      <c r="H29" s="8">
        <v>8</v>
      </c>
      <c r="I29" s="8">
        <v>12</v>
      </c>
      <c r="J29" s="8">
        <v>6</v>
      </c>
      <c r="K29" s="8" t="s">
        <v>25</v>
      </c>
      <c r="L29" s="8" t="s">
        <v>25</v>
      </c>
      <c r="M29" s="8">
        <v>4</v>
      </c>
      <c r="N29" s="8">
        <v>6</v>
      </c>
      <c r="O29" s="8" t="s">
        <v>25</v>
      </c>
      <c r="P29" s="8" t="s">
        <v>25</v>
      </c>
      <c r="Q29" s="8">
        <v>6</v>
      </c>
      <c r="R29" s="8" t="s">
        <v>25</v>
      </c>
      <c r="S29" s="8">
        <v>6</v>
      </c>
      <c r="T29" s="9">
        <v>64</v>
      </c>
      <c r="U29" s="8">
        <v>4</v>
      </c>
      <c r="V29" s="8" t="s">
        <v>25</v>
      </c>
      <c r="W29" s="8" t="s">
        <v>25</v>
      </c>
      <c r="X29" s="8" t="s">
        <v>25</v>
      </c>
      <c r="Y29" s="8">
        <v>4</v>
      </c>
      <c r="Z29" s="8">
        <v>8</v>
      </c>
      <c r="AA29" s="8" t="s">
        <v>25</v>
      </c>
      <c r="AB29" s="8">
        <v>6</v>
      </c>
      <c r="AC29" s="8" t="s">
        <v>25</v>
      </c>
      <c r="AD29" s="8" t="s">
        <v>25</v>
      </c>
      <c r="AE29" s="8">
        <v>6</v>
      </c>
      <c r="AF29" s="8" t="s">
        <v>25</v>
      </c>
      <c r="AG29" s="8" t="s">
        <v>25</v>
      </c>
      <c r="AH29" s="8" t="s">
        <v>25</v>
      </c>
      <c r="AI29" s="8" t="s">
        <v>25</v>
      </c>
      <c r="AJ29" s="8" t="s">
        <v>25</v>
      </c>
      <c r="AK29" s="17">
        <v>28</v>
      </c>
      <c r="AL29" s="10">
        <v>92</v>
      </c>
    </row>
    <row r="30" spans="1:38" ht="13.25" x14ac:dyDescent="0.25">
      <c r="A30" s="12" t="s">
        <v>68</v>
      </c>
      <c r="B30" s="13" t="s">
        <v>69</v>
      </c>
      <c r="C30" s="8">
        <v>4</v>
      </c>
      <c r="D30" s="8" t="s">
        <v>25</v>
      </c>
      <c r="E30" s="8">
        <v>4</v>
      </c>
      <c r="F30" s="8" t="s">
        <v>25</v>
      </c>
      <c r="G30" s="8" t="s">
        <v>25</v>
      </c>
      <c r="H30" s="8">
        <v>24</v>
      </c>
      <c r="I30" s="8" t="s">
        <v>25</v>
      </c>
      <c r="J30" s="8" t="s">
        <v>25</v>
      </c>
      <c r="K30" s="8">
        <v>6</v>
      </c>
      <c r="L30" s="8" t="s">
        <v>25</v>
      </c>
      <c r="M30" s="8">
        <v>0</v>
      </c>
      <c r="N30" s="8" t="s">
        <v>25</v>
      </c>
      <c r="O30" s="8" t="s">
        <v>25</v>
      </c>
      <c r="P30" s="8" t="s">
        <v>25</v>
      </c>
      <c r="Q30" s="8">
        <v>4</v>
      </c>
      <c r="R30" s="8">
        <v>6</v>
      </c>
      <c r="S30" s="8">
        <v>6</v>
      </c>
      <c r="T30" s="9">
        <v>54</v>
      </c>
      <c r="U30" s="8">
        <v>4</v>
      </c>
      <c r="V30" s="8" t="s">
        <v>25</v>
      </c>
      <c r="W30" s="8" t="s">
        <v>25</v>
      </c>
      <c r="X30" s="8" t="s">
        <v>25</v>
      </c>
      <c r="Y30" s="8" t="s">
        <v>25</v>
      </c>
      <c r="Z30" s="8">
        <v>6</v>
      </c>
      <c r="AA30" s="8" t="s">
        <v>25</v>
      </c>
      <c r="AB30" s="8" t="s">
        <v>25</v>
      </c>
      <c r="AC30" s="8" t="s">
        <v>25</v>
      </c>
      <c r="AD30" s="8">
        <v>4</v>
      </c>
      <c r="AE30" s="8">
        <v>4</v>
      </c>
      <c r="AF30" s="8" t="s">
        <v>25</v>
      </c>
      <c r="AG30" s="8" t="s">
        <v>25</v>
      </c>
      <c r="AH30" s="8" t="s">
        <v>25</v>
      </c>
      <c r="AI30" s="8" t="s">
        <v>25</v>
      </c>
      <c r="AJ30" s="8" t="s">
        <v>25</v>
      </c>
      <c r="AK30" s="17">
        <v>18</v>
      </c>
      <c r="AL30" s="10">
        <v>72</v>
      </c>
    </row>
    <row r="31" spans="1:38" ht="13.25" x14ac:dyDescent="0.25">
      <c r="A31" s="12" t="s">
        <v>70</v>
      </c>
      <c r="B31" s="13" t="s">
        <v>71</v>
      </c>
      <c r="C31" s="8" t="s">
        <v>25</v>
      </c>
      <c r="D31" s="8" t="s">
        <v>25</v>
      </c>
      <c r="E31" s="8" t="s">
        <v>25</v>
      </c>
      <c r="F31" s="8" t="s">
        <v>25</v>
      </c>
      <c r="G31" s="8" t="s">
        <v>25</v>
      </c>
      <c r="H31" s="8" t="s">
        <v>25</v>
      </c>
      <c r="I31" s="8" t="s">
        <v>25</v>
      </c>
      <c r="J31" s="8" t="s">
        <v>25</v>
      </c>
      <c r="K31" s="8" t="s">
        <v>25</v>
      </c>
      <c r="L31" s="8" t="s">
        <v>25</v>
      </c>
      <c r="M31" s="8" t="s">
        <v>25</v>
      </c>
      <c r="N31" s="8" t="s">
        <v>25</v>
      </c>
      <c r="O31" s="8" t="s">
        <v>25</v>
      </c>
      <c r="P31" s="8" t="s">
        <v>25</v>
      </c>
      <c r="Q31" s="8" t="s">
        <v>25</v>
      </c>
      <c r="R31" s="8" t="s">
        <v>25</v>
      </c>
      <c r="S31" s="8" t="s">
        <v>25</v>
      </c>
      <c r="T31" s="9">
        <v>0</v>
      </c>
      <c r="U31" s="8" t="s">
        <v>25</v>
      </c>
      <c r="V31" s="8" t="s">
        <v>25</v>
      </c>
      <c r="W31" s="8" t="s">
        <v>25</v>
      </c>
      <c r="X31" s="8" t="s">
        <v>25</v>
      </c>
      <c r="Y31" s="8" t="s">
        <v>25</v>
      </c>
      <c r="Z31" s="8" t="s">
        <v>25</v>
      </c>
      <c r="AA31" s="8" t="s">
        <v>25</v>
      </c>
      <c r="AB31" s="8" t="s">
        <v>25</v>
      </c>
      <c r="AC31" s="8" t="s">
        <v>25</v>
      </c>
      <c r="AD31" s="8" t="s">
        <v>25</v>
      </c>
      <c r="AE31" s="8" t="s">
        <v>25</v>
      </c>
      <c r="AF31" s="8" t="s">
        <v>25</v>
      </c>
      <c r="AG31" s="8" t="s">
        <v>25</v>
      </c>
      <c r="AH31" s="8" t="s">
        <v>25</v>
      </c>
      <c r="AI31" s="8" t="s">
        <v>25</v>
      </c>
      <c r="AJ31" s="8" t="s">
        <v>25</v>
      </c>
      <c r="AK31" s="17">
        <v>0</v>
      </c>
      <c r="AL31" s="10">
        <v>0</v>
      </c>
    </row>
    <row r="32" spans="1:38" s="3" customFormat="1" ht="14.45" customHeight="1" x14ac:dyDescent="0.25">
      <c r="A32" s="25" t="s">
        <v>72</v>
      </c>
      <c r="B32" s="25"/>
      <c r="C32" s="14">
        <v>12</v>
      </c>
      <c r="D32" s="14">
        <v>0</v>
      </c>
      <c r="E32" s="14">
        <v>12</v>
      </c>
      <c r="F32" s="14">
        <v>0</v>
      </c>
      <c r="G32" s="14">
        <v>0</v>
      </c>
      <c r="H32" s="14">
        <v>32</v>
      </c>
      <c r="I32" s="14">
        <v>12</v>
      </c>
      <c r="J32" s="14">
        <v>6</v>
      </c>
      <c r="K32" s="14">
        <v>6</v>
      </c>
      <c r="L32" s="14">
        <v>0</v>
      </c>
      <c r="M32" s="14">
        <v>4</v>
      </c>
      <c r="N32" s="14">
        <v>6</v>
      </c>
      <c r="O32" s="14">
        <v>0</v>
      </c>
      <c r="P32" s="14">
        <v>0</v>
      </c>
      <c r="Q32" s="14">
        <v>10</v>
      </c>
      <c r="R32" s="14">
        <v>6</v>
      </c>
      <c r="S32" s="14">
        <v>12</v>
      </c>
      <c r="T32" s="9">
        <v>118</v>
      </c>
      <c r="U32" s="14">
        <v>8</v>
      </c>
      <c r="V32" s="14">
        <v>0</v>
      </c>
      <c r="W32" s="14">
        <v>0</v>
      </c>
      <c r="X32" s="14">
        <v>0</v>
      </c>
      <c r="Y32" s="14">
        <v>4</v>
      </c>
      <c r="Z32" s="14">
        <v>14</v>
      </c>
      <c r="AA32" s="14">
        <v>0</v>
      </c>
      <c r="AB32" s="14">
        <v>6</v>
      </c>
      <c r="AC32" s="14">
        <v>0</v>
      </c>
      <c r="AD32" s="14">
        <v>4</v>
      </c>
      <c r="AE32" s="14">
        <v>10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7">
        <v>46</v>
      </c>
      <c r="AL32" s="10">
        <v>164</v>
      </c>
    </row>
    <row r="33" spans="1:38" ht="13.25" x14ac:dyDescent="0.25">
      <c r="A33" s="12" t="s">
        <v>73</v>
      </c>
      <c r="B33" s="13" t="s">
        <v>74</v>
      </c>
      <c r="C33" s="8" t="s">
        <v>25</v>
      </c>
      <c r="D33" s="8" t="s">
        <v>25</v>
      </c>
      <c r="E33" s="8" t="s">
        <v>25</v>
      </c>
      <c r="F33" s="8" t="s">
        <v>25</v>
      </c>
      <c r="G33" s="8" t="s">
        <v>25</v>
      </c>
      <c r="H33" s="8" t="s">
        <v>25</v>
      </c>
      <c r="I33" s="8" t="s">
        <v>25</v>
      </c>
      <c r="J33" s="8" t="s">
        <v>25</v>
      </c>
      <c r="K33" s="8" t="s">
        <v>25</v>
      </c>
      <c r="L33" s="8">
        <v>4</v>
      </c>
      <c r="M33" s="8" t="s">
        <v>25</v>
      </c>
      <c r="N33" s="8" t="s">
        <v>25</v>
      </c>
      <c r="O33" s="8" t="s">
        <v>25</v>
      </c>
      <c r="P33" s="8">
        <v>10</v>
      </c>
      <c r="Q33" s="8" t="s">
        <v>25</v>
      </c>
      <c r="R33" s="8" t="s">
        <v>25</v>
      </c>
      <c r="S33" s="8" t="s">
        <v>25</v>
      </c>
      <c r="T33" s="9">
        <v>14</v>
      </c>
      <c r="U33" s="8" t="s">
        <v>25</v>
      </c>
      <c r="V33" s="8" t="s">
        <v>25</v>
      </c>
      <c r="W33" s="8" t="s">
        <v>25</v>
      </c>
      <c r="X33" s="8" t="s">
        <v>25</v>
      </c>
      <c r="Y33" s="8" t="s">
        <v>25</v>
      </c>
      <c r="Z33" s="8" t="s">
        <v>25</v>
      </c>
      <c r="AA33" s="8" t="s">
        <v>25</v>
      </c>
      <c r="AB33" s="8" t="s">
        <v>25</v>
      </c>
      <c r="AC33" s="8" t="s">
        <v>25</v>
      </c>
      <c r="AD33" s="8" t="s">
        <v>25</v>
      </c>
      <c r="AE33" s="8" t="s">
        <v>25</v>
      </c>
      <c r="AF33" s="8" t="s">
        <v>25</v>
      </c>
      <c r="AG33" s="8" t="s">
        <v>25</v>
      </c>
      <c r="AH33" s="8">
        <v>4</v>
      </c>
      <c r="AI33" s="8" t="s">
        <v>25</v>
      </c>
      <c r="AJ33" s="8" t="s">
        <v>25</v>
      </c>
      <c r="AK33" s="17">
        <v>4</v>
      </c>
      <c r="AL33" s="10">
        <v>18</v>
      </c>
    </row>
    <row r="34" spans="1:38" ht="13.25" x14ac:dyDescent="0.25">
      <c r="A34" s="12" t="s">
        <v>75</v>
      </c>
      <c r="B34" s="13" t="s">
        <v>76</v>
      </c>
      <c r="C34" s="8" t="s">
        <v>25</v>
      </c>
      <c r="D34" s="8" t="s">
        <v>25</v>
      </c>
      <c r="E34" s="8" t="s">
        <v>25</v>
      </c>
      <c r="F34" s="8" t="s">
        <v>25</v>
      </c>
      <c r="G34" s="8" t="s">
        <v>25</v>
      </c>
      <c r="H34" s="8" t="s">
        <v>25</v>
      </c>
      <c r="I34" s="8" t="s">
        <v>25</v>
      </c>
      <c r="J34" s="8" t="s">
        <v>25</v>
      </c>
      <c r="K34" s="8" t="s">
        <v>25</v>
      </c>
      <c r="L34" s="8" t="s">
        <v>25</v>
      </c>
      <c r="M34" s="8" t="s">
        <v>25</v>
      </c>
      <c r="N34" s="8" t="s">
        <v>25</v>
      </c>
      <c r="O34" s="8" t="s">
        <v>25</v>
      </c>
      <c r="P34" s="8" t="s">
        <v>25</v>
      </c>
      <c r="Q34" s="8" t="s">
        <v>25</v>
      </c>
      <c r="R34" s="8" t="s">
        <v>25</v>
      </c>
      <c r="S34" s="8" t="s">
        <v>25</v>
      </c>
      <c r="T34" s="9">
        <v>0</v>
      </c>
      <c r="U34" s="8" t="s">
        <v>25</v>
      </c>
      <c r="V34" s="8" t="s">
        <v>25</v>
      </c>
      <c r="W34" s="8" t="s">
        <v>25</v>
      </c>
      <c r="X34" s="8" t="s">
        <v>25</v>
      </c>
      <c r="Y34" s="8" t="s">
        <v>25</v>
      </c>
      <c r="Z34" s="8" t="s">
        <v>25</v>
      </c>
      <c r="AA34" s="8" t="s">
        <v>25</v>
      </c>
      <c r="AB34" s="8" t="s">
        <v>25</v>
      </c>
      <c r="AC34" s="8" t="s">
        <v>25</v>
      </c>
      <c r="AD34" s="8" t="s">
        <v>25</v>
      </c>
      <c r="AE34" s="8" t="s">
        <v>25</v>
      </c>
      <c r="AF34" s="8" t="s">
        <v>25</v>
      </c>
      <c r="AG34" s="8" t="s">
        <v>25</v>
      </c>
      <c r="AH34" s="8" t="s">
        <v>25</v>
      </c>
      <c r="AI34" s="8" t="s">
        <v>25</v>
      </c>
      <c r="AJ34" s="8" t="s">
        <v>25</v>
      </c>
      <c r="AK34" s="17">
        <v>0</v>
      </c>
      <c r="AL34" s="10">
        <v>0</v>
      </c>
    </row>
    <row r="35" spans="1:38" ht="13.25" x14ac:dyDescent="0.25">
      <c r="A35" s="12" t="s">
        <v>77</v>
      </c>
      <c r="B35" s="13" t="s">
        <v>78</v>
      </c>
      <c r="C35" s="8">
        <v>4</v>
      </c>
      <c r="D35" s="8" t="s">
        <v>25</v>
      </c>
      <c r="E35" s="8" t="s">
        <v>25</v>
      </c>
      <c r="F35" s="8" t="s">
        <v>25</v>
      </c>
      <c r="G35" s="8" t="s">
        <v>25</v>
      </c>
      <c r="H35" s="8" t="s">
        <v>25</v>
      </c>
      <c r="I35" s="8" t="s">
        <v>25</v>
      </c>
      <c r="J35" s="8" t="s">
        <v>25</v>
      </c>
      <c r="K35" s="8" t="s">
        <v>25</v>
      </c>
      <c r="L35" s="8" t="s">
        <v>25</v>
      </c>
      <c r="M35" s="8" t="s">
        <v>25</v>
      </c>
      <c r="N35" s="8" t="s">
        <v>25</v>
      </c>
      <c r="O35" s="8" t="s">
        <v>25</v>
      </c>
      <c r="P35" s="8">
        <v>4</v>
      </c>
      <c r="Q35" s="8" t="s">
        <v>25</v>
      </c>
      <c r="R35" s="8" t="s">
        <v>25</v>
      </c>
      <c r="S35" s="8" t="s">
        <v>25</v>
      </c>
      <c r="T35" s="9">
        <v>8</v>
      </c>
      <c r="U35" s="8">
        <v>4</v>
      </c>
      <c r="V35" s="8" t="s">
        <v>25</v>
      </c>
      <c r="W35" s="8" t="s">
        <v>25</v>
      </c>
      <c r="X35" s="8" t="s">
        <v>25</v>
      </c>
      <c r="Y35" s="8">
        <v>4</v>
      </c>
      <c r="Z35" s="8" t="s">
        <v>25</v>
      </c>
      <c r="AA35" s="8" t="s">
        <v>25</v>
      </c>
      <c r="AB35" s="8" t="s">
        <v>25</v>
      </c>
      <c r="AC35" s="8" t="s">
        <v>25</v>
      </c>
      <c r="AD35" s="8" t="s">
        <v>25</v>
      </c>
      <c r="AE35" s="8" t="s">
        <v>25</v>
      </c>
      <c r="AF35" s="8" t="s">
        <v>25</v>
      </c>
      <c r="AG35" s="8" t="s">
        <v>25</v>
      </c>
      <c r="AH35" s="8" t="s">
        <v>25</v>
      </c>
      <c r="AI35" s="8" t="s">
        <v>25</v>
      </c>
      <c r="AJ35" s="8" t="s">
        <v>25</v>
      </c>
      <c r="AK35" s="17">
        <v>8</v>
      </c>
      <c r="AL35" s="10">
        <v>16</v>
      </c>
    </row>
    <row r="36" spans="1:38" s="3" customFormat="1" ht="14.45" customHeight="1" x14ac:dyDescent="0.25">
      <c r="A36" s="25" t="s">
        <v>79</v>
      </c>
      <c r="B36" s="25"/>
      <c r="C36" s="14">
        <v>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4</v>
      </c>
      <c r="M36" s="14">
        <v>0</v>
      </c>
      <c r="N36" s="14">
        <v>0</v>
      </c>
      <c r="O36" s="14">
        <v>0</v>
      </c>
      <c r="P36" s="14">
        <v>14</v>
      </c>
      <c r="Q36" s="14">
        <v>0</v>
      </c>
      <c r="R36" s="14">
        <v>0</v>
      </c>
      <c r="S36" s="14">
        <v>0</v>
      </c>
      <c r="T36" s="9">
        <v>22</v>
      </c>
      <c r="U36" s="14">
        <v>4</v>
      </c>
      <c r="V36" s="14">
        <v>0</v>
      </c>
      <c r="W36" s="14">
        <v>0</v>
      </c>
      <c r="X36" s="14">
        <v>0</v>
      </c>
      <c r="Y36" s="14">
        <v>4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4</v>
      </c>
      <c r="AI36" s="14">
        <v>0</v>
      </c>
      <c r="AJ36" s="14">
        <v>0</v>
      </c>
      <c r="AK36" s="17">
        <v>12</v>
      </c>
      <c r="AL36" s="10">
        <v>34</v>
      </c>
    </row>
    <row r="37" spans="1:38" s="3" customFormat="1" ht="14.45" customHeight="1" x14ac:dyDescent="0.25">
      <c r="A37" s="24" t="s">
        <v>80</v>
      </c>
      <c r="B37" s="24"/>
      <c r="C37" s="15">
        <v>32</v>
      </c>
      <c r="D37" s="15">
        <v>0</v>
      </c>
      <c r="E37" s="15">
        <v>26</v>
      </c>
      <c r="F37" s="15">
        <v>0</v>
      </c>
      <c r="G37" s="15">
        <v>0</v>
      </c>
      <c r="H37" s="15">
        <v>32</v>
      </c>
      <c r="I37" s="15">
        <v>12</v>
      </c>
      <c r="J37" s="15">
        <v>6</v>
      </c>
      <c r="K37" s="15">
        <v>6</v>
      </c>
      <c r="L37" s="15">
        <v>4</v>
      </c>
      <c r="M37" s="15">
        <v>8</v>
      </c>
      <c r="N37" s="15">
        <v>6</v>
      </c>
      <c r="O37" s="15">
        <v>4</v>
      </c>
      <c r="P37" s="15">
        <v>14</v>
      </c>
      <c r="Q37" s="15">
        <v>10</v>
      </c>
      <c r="R37" s="15">
        <v>6</v>
      </c>
      <c r="S37" s="15">
        <v>20</v>
      </c>
      <c r="T37" s="9">
        <v>186</v>
      </c>
      <c r="U37" s="15">
        <v>22</v>
      </c>
      <c r="V37" s="15">
        <v>0</v>
      </c>
      <c r="W37" s="15">
        <v>0</v>
      </c>
      <c r="X37" s="15">
        <v>0</v>
      </c>
      <c r="Y37" s="15">
        <v>16</v>
      </c>
      <c r="Z37" s="15">
        <v>14</v>
      </c>
      <c r="AA37" s="15">
        <v>0</v>
      </c>
      <c r="AB37" s="15">
        <v>6</v>
      </c>
      <c r="AC37" s="15">
        <v>8</v>
      </c>
      <c r="AD37" s="15">
        <v>4</v>
      </c>
      <c r="AE37" s="15">
        <v>10</v>
      </c>
      <c r="AF37" s="15">
        <v>0</v>
      </c>
      <c r="AG37" s="15">
        <v>0</v>
      </c>
      <c r="AH37" s="15">
        <v>4</v>
      </c>
      <c r="AI37" s="15">
        <v>0</v>
      </c>
      <c r="AJ37" s="15">
        <v>0</v>
      </c>
      <c r="AK37" s="17">
        <v>84</v>
      </c>
      <c r="AL37" s="10">
        <v>270</v>
      </c>
    </row>
    <row r="38" spans="1:38" ht="13.25" x14ac:dyDescent="0.25">
      <c r="A38" s="12" t="s">
        <v>81</v>
      </c>
      <c r="B38" s="13" t="s">
        <v>82</v>
      </c>
      <c r="C38" s="8" t="s">
        <v>25</v>
      </c>
      <c r="D38" s="8" t="s">
        <v>25</v>
      </c>
      <c r="E38" s="8" t="s">
        <v>25</v>
      </c>
      <c r="F38" s="8">
        <v>4</v>
      </c>
      <c r="G38" s="8" t="s">
        <v>25</v>
      </c>
      <c r="H38" s="8" t="s">
        <v>25</v>
      </c>
      <c r="I38" s="8" t="s">
        <v>25</v>
      </c>
      <c r="J38" s="8" t="s">
        <v>25</v>
      </c>
      <c r="K38" s="8" t="s">
        <v>25</v>
      </c>
      <c r="L38" s="8">
        <v>4</v>
      </c>
      <c r="M38" s="8" t="s">
        <v>25</v>
      </c>
      <c r="N38" s="8" t="s">
        <v>25</v>
      </c>
      <c r="O38" s="8" t="s">
        <v>25</v>
      </c>
      <c r="P38" s="8" t="s">
        <v>25</v>
      </c>
      <c r="Q38" s="8" t="s">
        <v>25</v>
      </c>
      <c r="R38" s="8" t="s">
        <v>25</v>
      </c>
      <c r="S38" s="8">
        <v>4</v>
      </c>
      <c r="T38" s="9">
        <v>12</v>
      </c>
      <c r="U38" s="8">
        <v>4</v>
      </c>
      <c r="V38" s="8">
        <v>14</v>
      </c>
      <c r="W38" s="8">
        <v>0</v>
      </c>
      <c r="X38" s="8">
        <v>4</v>
      </c>
      <c r="Y38" s="8">
        <v>4</v>
      </c>
      <c r="Z38" s="8">
        <v>4</v>
      </c>
      <c r="AA38" s="8" t="s">
        <v>25</v>
      </c>
      <c r="AB38" s="8">
        <v>6</v>
      </c>
      <c r="AC38" s="8" t="s">
        <v>25</v>
      </c>
      <c r="AD38" s="8" t="s">
        <v>25</v>
      </c>
      <c r="AE38" s="8" t="s">
        <v>25</v>
      </c>
      <c r="AF38" s="8">
        <v>4</v>
      </c>
      <c r="AG38" s="8" t="s">
        <v>25</v>
      </c>
      <c r="AH38" s="8">
        <v>4</v>
      </c>
      <c r="AI38" s="8">
        <v>4</v>
      </c>
      <c r="AJ38" s="8">
        <v>4</v>
      </c>
      <c r="AK38" s="17">
        <v>52</v>
      </c>
      <c r="AL38" s="10">
        <v>64</v>
      </c>
    </row>
    <row r="39" spans="1:38" ht="13.25" x14ac:dyDescent="0.25">
      <c r="A39" s="12" t="s">
        <v>83</v>
      </c>
      <c r="B39" s="13" t="s">
        <v>84</v>
      </c>
      <c r="C39" s="8" t="s">
        <v>25</v>
      </c>
      <c r="D39" s="8" t="s">
        <v>25</v>
      </c>
      <c r="E39" s="8">
        <v>8</v>
      </c>
      <c r="F39" s="8" t="s">
        <v>25</v>
      </c>
      <c r="G39" s="8" t="s">
        <v>25</v>
      </c>
      <c r="H39" s="8" t="s">
        <v>25</v>
      </c>
      <c r="I39" s="8" t="s">
        <v>25</v>
      </c>
      <c r="J39" s="8" t="s">
        <v>25</v>
      </c>
      <c r="K39" s="8" t="s">
        <v>25</v>
      </c>
      <c r="L39" s="8">
        <v>6</v>
      </c>
      <c r="M39" s="8" t="s">
        <v>25</v>
      </c>
      <c r="N39" s="8" t="s">
        <v>25</v>
      </c>
      <c r="O39" s="8" t="s">
        <v>25</v>
      </c>
      <c r="P39" s="8" t="s">
        <v>25</v>
      </c>
      <c r="Q39" s="8" t="s">
        <v>25</v>
      </c>
      <c r="R39" s="8" t="s">
        <v>25</v>
      </c>
      <c r="S39" s="8">
        <v>4</v>
      </c>
      <c r="T39" s="9">
        <v>18</v>
      </c>
      <c r="U39" s="8" t="s">
        <v>25</v>
      </c>
      <c r="V39" s="8" t="s">
        <v>25</v>
      </c>
      <c r="W39" s="8" t="s">
        <v>25</v>
      </c>
      <c r="X39" s="8" t="s">
        <v>25</v>
      </c>
      <c r="Y39" s="8" t="s">
        <v>25</v>
      </c>
      <c r="Z39" s="8" t="s">
        <v>25</v>
      </c>
      <c r="AA39" s="8" t="s">
        <v>25</v>
      </c>
      <c r="AB39" s="8" t="s">
        <v>25</v>
      </c>
      <c r="AC39" s="8" t="s">
        <v>25</v>
      </c>
      <c r="AD39" s="8" t="s">
        <v>25</v>
      </c>
      <c r="AE39" s="8" t="s">
        <v>25</v>
      </c>
      <c r="AF39" s="8" t="s">
        <v>25</v>
      </c>
      <c r="AG39" s="8" t="s">
        <v>25</v>
      </c>
      <c r="AH39" s="8" t="s">
        <v>25</v>
      </c>
      <c r="AI39" s="8" t="s">
        <v>25</v>
      </c>
      <c r="AJ39" s="8" t="s">
        <v>25</v>
      </c>
      <c r="AK39" s="17">
        <v>0</v>
      </c>
      <c r="AL39" s="10">
        <v>18</v>
      </c>
    </row>
    <row r="40" spans="1:38" ht="13.25" x14ac:dyDescent="0.25">
      <c r="A40" s="12" t="s">
        <v>85</v>
      </c>
      <c r="B40" s="13" t="s">
        <v>86</v>
      </c>
      <c r="C40" s="8" t="s">
        <v>25</v>
      </c>
      <c r="D40" s="8" t="s">
        <v>25</v>
      </c>
      <c r="E40" s="8">
        <v>4</v>
      </c>
      <c r="F40" s="8">
        <v>4</v>
      </c>
      <c r="G40" s="8" t="s">
        <v>25</v>
      </c>
      <c r="H40" s="8">
        <v>8</v>
      </c>
      <c r="I40" s="8" t="s">
        <v>25</v>
      </c>
      <c r="J40" s="8">
        <v>6</v>
      </c>
      <c r="K40" s="8" t="s">
        <v>25</v>
      </c>
      <c r="L40" s="8" t="s">
        <v>25</v>
      </c>
      <c r="M40" s="8" t="s">
        <v>25</v>
      </c>
      <c r="N40" s="8" t="s">
        <v>25</v>
      </c>
      <c r="O40" s="8" t="s">
        <v>25</v>
      </c>
      <c r="P40" s="8">
        <v>4</v>
      </c>
      <c r="Q40" s="8">
        <v>4</v>
      </c>
      <c r="R40" s="8" t="s">
        <v>25</v>
      </c>
      <c r="S40" s="8">
        <v>0</v>
      </c>
      <c r="T40" s="9">
        <v>30</v>
      </c>
      <c r="U40" s="8">
        <v>4</v>
      </c>
      <c r="V40" s="8">
        <v>4</v>
      </c>
      <c r="W40" s="8" t="s">
        <v>25</v>
      </c>
      <c r="X40" s="8" t="s">
        <v>25</v>
      </c>
      <c r="Y40" s="8" t="s">
        <v>25</v>
      </c>
      <c r="Z40" s="8" t="s">
        <v>25</v>
      </c>
      <c r="AA40" s="8" t="s">
        <v>25</v>
      </c>
      <c r="AB40" s="8" t="s">
        <v>25</v>
      </c>
      <c r="AC40" s="8" t="s">
        <v>25</v>
      </c>
      <c r="AD40" s="8" t="s">
        <v>25</v>
      </c>
      <c r="AE40" s="8" t="s">
        <v>25</v>
      </c>
      <c r="AF40" s="8">
        <v>4</v>
      </c>
      <c r="AG40" s="8" t="s">
        <v>25</v>
      </c>
      <c r="AH40" s="8" t="s">
        <v>25</v>
      </c>
      <c r="AI40" s="8">
        <v>4</v>
      </c>
      <c r="AJ40" s="8">
        <v>6</v>
      </c>
      <c r="AK40" s="17">
        <v>22</v>
      </c>
      <c r="AL40" s="10">
        <v>52</v>
      </c>
    </row>
    <row r="41" spans="1:38" ht="13.25" x14ac:dyDescent="0.25">
      <c r="A41" s="12" t="s">
        <v>87</v>
      </c>
      <c r="B41" s="13" t="s">
        <v>88</v>
      </c>
      <c r="C41" s="8">
        <v>4</v>
      </c>
      <c r="D41" s="8" t="s">
        <v>25</v>
      </c>
      <c r="E41" s="8" t="s">
        <v>25</v>
      </c>
      <c r="F41" s="8">
        <v>4</v>
      </c>
      <c r="G41" s="8" t="s">
        <v>25</v>
      </c>
      <c r="H41" s="8" t="s">
        <v>25</v>
      </c>
      <c r="I41" s="8" t="s">
        <v>25</v>
      </c>
      <c r="J41" s="8" t="s">
        <v>25</v>
      </c>
      <c r="K41" s="8" t="s">
        <v>25</v>
      </c>
      <c r="L41" s="8" t="s">
        <v>25</v>
      </c>
      <c r="M41" s="8" t="s">
        <v>25</v>
      </c>
      <c r="N41" s="8">
        <v>4</v>
      </c>
      <c r="O41" s="8" t="s">
        <v>25</v>
      </c>
      <c r="P41" s="8">
        <v>6</v>
      </c>
      <c r="Q41" s="8" t="s">
        <v>25</v>
      </c>
      <c r="R41" s="8">
        <v>4</v>
      </c>
      <c r="S41" s="8">
        <v>0</v>
      </c>
      <c r="T41" s="9">
        <v>22</v>
      </c>
      <c r="U41" s="8" t="s">
        <v>25</v>
      </c>
      <c r="V41" s="8">
        <v>4</v>
      </c>
      <c r="W41" s="8">
        <v>4</v>
      </c>
      <c r="X41" s="8" t="s">
        <v>25</v>
      </c>
      <c r="Y41" s="8" t="s">
        <v>25</v>
      </c>
      <c r="Z41" s="8" t="s">
        <v>25</v>
      </c>
      <c r="AA41" s="8" t="s">
        <v>25</v>
      </c>
      <c r="AB41" s="8">
        <v>6</v>
      </c>
      <c r="AC41" s="8" t="s">
        <v>25</v>
      </c>
      <c r="AD41" s="8" t="s">
        <v>25</v>
      </c>
      <c r="AE41" s="8" t="s">
        <v>25</v>
      </c>
      <c r="AF41" s="8">
        <v>8</v>
      </c>
      <c r="AG41" s="8" t="s">
        <v>25</v>
      </c>
      <c r="AH41" s="8" t="s">
        <v>25</v>
      </c>
      <c r="AI41" s="8" t="s">
        <v>25</v>
      </c>
      <c r="AJ41" s="8">
        <v>4</v>
      </c>
      <c r="AK41" s="17">
        <v>26</v>
      </c>
      <c r="AL41" s="10">
        <v>48</v>
      </c>
    </row>
    <row r="42" spans="1:38" s="3" customFormat="1" ht="14.45" customHeight="1" x14ac:dyDescent="0.25">
      <c r="A42" s="25" t="s">
        <v>89</v>
      </c>
      <c r="B42" s="25"/>
      <c r="C42" s="14">
        <v>4</v>
      </c>
      <c r="D42" s="14">
        <v>0</v>
      </c>
      <c r="E42" s="14">
        <v>12</v>
      </c>
      <c r="F42" s="14">
        <v>12</v>
      </c>
      <c r="G42" s="14">
        <v>0</v>
      </c>
      <c r="H42" s="14">
        <v>8</v>
      </c>
      <c r="I42" s="14">
        <v>0</v>
      </c>
      <c r="J42" s="14">
        <v>6</v>
      </c>
      <c r="K42" s="14">
        <v>0</v>
      </c>
      <c r="L42" s="14">
        <v>10</v>
      </c>
      <c r="M42" s="14">
        <v>0</v>
      </c>
      <c r="N42" s="14">
        <v>4</v>
      </c>
      <c r="O42" s="14">
        <v>0</v>
      </c>
      <c r="P42" s="14">
        <v>10</v>
      </c>
      <c r="Q42" s="14">
        <v>4</v>
      </c>
      <c r="R42" s="14">
        <v>4</v>
      </c>
      <c r="S42" s="14">
        <v>8</v>
      </c>
      <c r="T42" s="9">
        <v>82</v>
      </c>
      <c r="U42" s="14">
        <v>8</v>
      </c>
      <c r="V42" s="14">
        <v>22</v>
      </c>
      <c r="W42" s="14">
        <v>4</v>
      </c>
      <c r="X42" s="14">
        <v>4</v>
      </c>
      <c r="Y42" s="14">
        <v>4</v>
      </c>
      <c r="Z42" s="14">
        <v>4</v>
      </c>
      <c r="AA42" s="14">
        <v>0</v>
      </c>
      <c r="AB42" s="14">
        <v>12</v>
      </c>
      <c r="AC42" s="14">
        <v>0</v>
      </c>
      <c r="AD42" s="14">
        <v>0</v>
      </c>
      <c r="AE42" s="14">
        <v>0</v>
      </c>
      <c r="AF42" s="14">
        <v>16</v>
      </c>
      <c r="AG42" s="14">
        <v>0</v>
      </c>
      <c r="AH42" s="14">
        <v>4</v>
      </c>
      <c r="AI42" s="14">
        <v>8</v>
      </c>
      <c r="AJ42" s="14">
        <v>14</v>
      </c>
      <c r="AK42" s="17">
        <v>100</v>
      </c>
      <c r="AL42" s="10">
        <v>182</v>
      </c>
    </row>
    <row r="43" spans="1:38" ht="13.25" x14ac:dyDescent="0.25">
      <c r="A43" s="12" t="s">
        <v>90</v>
      </c>
      <c r="B43" s="13" t="s">
        <v>91</v>
      </c>
      <c r="C43" s="8" t="s">
        <v>25</v>
      </c>
      <c r="D43" s="8" t="s">
        <v>25</v>
      </c>
      <c r="E43" s="8">
        <v>4</v>
      </c>
      <c r="F43" s="8" t="s">
        <v>25</v>
      </c>
      <c r="G43" s="8" t="s">
        <v>25</v>
      </c>
      <c r="H43" s="8" t="s">
        <v>25</v>
      </c>
      <c r="I43" s="8" t="s">
        <v>25</v>
      </c>
      <c r="J43" s="8" t="s">
        <v>25</v>
      </c>
      <c r="K43" s="8" t="s">
        <v>25</v>
      </c>
      <c r="L43" s="8" t="s">
        <v>25</v>
      </c>
      <c r="M43" s="8" t="s">
        <v>25</v>
      </c>
      <c r="N43" s="8" t="s">
        <v>25</v>
      </c>
      <c r="O43" s="8" t="s">
        <v>25</v>
      </c>
      <c r="P43" s="8" t="s">
        <v>25</v>
      </c>
      <c r="Q43" s="8" t="s">
        <v>25</v>
      </c>
      <c r="R43" s="8" t="s">
        <v>25</v>
      </c>
      <c r="S43" s="8" t="s">
        <v>25</v>
      </c>
      <c r="T43" s="9">
        <v>4</v>
      </c>
      <c r="U43" s="8" t="s">
        <v>25</v>
      </c>
      <c r="V43" s="8" t="s">
        <v>25</v>
      </c>
      <c r="W43" s="8" t="s">
        <v>25</v>
      </c>
      <c r="X43" s="8" t="s">
        <v>25</v>
      </c>
      <c r="Y43" s="8" t="s">
        <v>25</v>
      </c>
      <c r="Z43" s="8">
        <v>4</v>
      </c>
      <c r="AA43" s="8" t="s">
        <v>25</v>
      </c>
      <c r="AB43" s="8">
        <v>8</v>
      </c>
      <c r="AC43" s="8" t="s">
        <v>25</v>
      </c>
      <c r="AD43" s="8" t="s">
        <v>25</v>
      </c>
      <c r="AE43" s="8" t="s">
        <v>25</v>
      </c>
      <c r="AF43" s="8" t="s">
        <v>25</v>
      </c>
      <c r="AG43" s="8" t="s">
        <v>25</v>
      </c>
      <c r="AH43" s="8" t="s">
        <v>25</v>
      </c>
      <c r="AI43" s="8" t="s">
        <v>25</v>
      </c>
      <c r="AJ43" s="8" t="s">
        <v>25</v>
      </c>
      <c r="AK43" s="17">
        <v>12</v>
      </c>
      <c r="AL43" s="10">
        <v>16</v>
      </c>
    </row>
    <row r="44" spans="1:38" ht="13.25" x14ac:dyDescent="0.25">
      <c r="A44" s="12" t="s">
        <v>92</v>
      </c>
      <c r="B44" s="13" t="s">
        <v>93</v>
      </c>
      <c r="C44" s="8">
        <v>8</v>
      </c>
      <c r="D44" s="8" t="s">
        <v>25</v>
      </c>
      <c r="E44" s="8">
        <v>10</v>
      </c>
      <c r="F44" s="8" t="s">
        <v>25</v>
      </c>
      <c r="G44" s="8" t="s">
        <v>25</v>
      </c>
      <c r="H44" s="8" t="s">
        <v>25</v>
      </c>
      <c r="I44" s="8" t="s">
        <v>25</v>
      </c>
      <c r="J44" s="8" t="s">
        <v>25</v>
      </c>
      <c r="K44" s="8" t="s">
        <v>25</v>
      </c>
      <c r="L44" s="8" t="s">
        <v>25</v>
      </c>
      <c r="M44" s="8" t="s">
        <v>25</v>
      </c>
      <c r="N44" s="8" t="s">
        <v>25</v>
      </c>
      <c r="O44" s="8" t="s">
        <v>25</v>
      </c>
      <c r="P44" s="8" t="s">
        <v>25</v>
      </c>
      <c r="Q44" s="8" t="s">
        <v>25</v>
      </c>
      <c r="R44" s="8" t="s">
        <v>25</v>
      </c>
      <c r="S44" s="8" t="s">
        <v>25</v>
      </c>
      <c r="T44" s="9">
        <v>18</v>
      </c>
      <c r="U44" s="8">
        <v>4</v>
      </c>
      <c r="V44" s="8" t="s">
        <v>25</v>
      </c>
      <c r="W44" s="8" t="s">
        <v>25</v>
      </c>
      <c r="X44" s="8" t="s">
        <v>25</v>
      </c>
      <c r="Y44" s="8">
        <v>4</v>
      </c>
      <c r="Z44" s="8">
        <v>10</v>
      </c>
      <c r="AA44" s="8">
        <v>14</v>
      </c>
      <c r="AB44" s="8">
        <v>20</v>
      </c>
      <c r="AC44" s="8" t="s">
        <v>25</v>
      </c>
      <c r="AD44" s="8">
        <v>6</v>
      </c>
      <c r="AE44" s="8" t="s">
        <v>25</v>
      </c>
      <c r="AF44" s="8" t="s">
        <v>25</v>
      </c>
      <c r="AG44" s="8" t="s">
        <v>25</v>
      </c>
      <c r="AH44" s="8" t="s">
        <v>25</v>
      </c>
      <c r="AI44" s="8" t="s">
        <v>25</v>
      </c>
      <c r="AJ44" s="8">
        <v>6</v>
      </c>
      <c r="AK44" s="17">
        <v>64</v>
      </c>
      <c r="AL44" s="10">
        <v>82</v>
      </c>
    </row>
    <row r="45" spans="1:38" ht="13.25" x14ac:dyDescent="0.25">
      <c r="A45" s="12" t="s">
        <v>94</v>
      </c>
      <c r="B45" s="13" t="s">
        <v>95</v>
      </c>
      <c r="C45" s="8">
        <v>8</v>
      </c>
      <c r="D45" s="8" t="s">
        <v>25</v>
      </c>
      <c r="E45" s="8">
        <v>10</v>
      </c>
      <c r="F45" s="8" t="s">
        <v>25</v>
      </c>
      <c r="G45" s="8" t="s">
        <v>25</v>
      </c>
      <c r="H45" s="8" t="s">
        <v>25</v>
      </c>
      <c r="I45" s="8" t="s">
        <v>25</v>
      </c>
      <c r="J45" s="8" t="s">
        <v>25</v>
      </c>
      <c r="K45" s="8" t="s">
        <v>25</v>
      </c>
      <c r="L45" s="8" t="s">
        <v>25</v>
      </c>
      <c r="M45" s="8" t="s">
        <v>25</v>
      </c>
      <c r="N45" s="8" t="s">
        <v>25</v>
      </c>
      <c r="O45" s="8">
        <v>8</v>
      </c>
      <c r="P45" s="8" t="s">
        <v>25</v>
      </c>
      <c r="Q45" s="8" t="s">
        <v>25</v>
      </c>
      <c r="R45" s="8" t="s">
        <v>25</v>
      </c>
      <c r="S45" s="8">
        <v>4</v>
      </c>
      <c r="T45" s="9">
        <v>30</v>
      </c>
      <c r="U45" s="8">
        <v>4</v>
      </c>
      <c r="V45" s="8" t="s">
        <v>25</v>
      </c>
      <c r="W45" s="8" t="s">
        <v>25</v>
      </c>
      <c r="X45" s="8" t="s">
        <v>25</v>
      </c>
      <c r="Y45" s="8">
        <v>4</v>
      </c>
      <c r="Z45" s="8">
        <v>4</v>
      </c>
      <c r="AA45" s="8" t="s">
        <v>25</v>
      </c>
      <c r="AB45" s="8">
        <v>6</v>
      </c>
      <c r="AC45" s="8" t="s">
        <v>25</v>
      </c>
      <c r="AD45" s="8">
        <v>10</v>
      </c>
      <c r="AE45" s="8">
        <v>6</v>
      </c>
      <c r="AF45" s="8" t="s">
        <v>25</v>
      </c>
      <c r="AG45" s="8" t="s">
        <v>25</v>
      </c>
      <c r="AH45" s="8" t="s">
        <v>25</v>
      </c>
      <c r="AI45" s="8" t="s">
        <v>25</v>
      </c>
      <c r="AJ45" s="8" t="s">
        <v>25</v>
      </c>
      <c r="AK45" s="17">
        <v>34</v>
      </c>
      <c r="AL45" s="10">
        <v>64</v>
      </c>
    </row>
    <row r="46" spans="1:38" ht="13.25" x14ac:dyDescent="0.25">
      <c r="A46" s="12" t="s">
        <v>96</v>
      </c>
      <c r="B46" s="13" t="s">
        <v>97</v>
      </c>
      <c r="C46" s="8" t="s">
        <v>25</v>
      </c>
      <c r="D46" s="8" t="s">
        <v>25</v>
      </c>
      <c r="E46" s="8" t="s">
        <v>25</v>
      </c>
      <c r="F46" s="8" t="s">
        <v>25</v>
      </c>
      <c r="G46" s="8" t="s">
        <v>25</v>
      </c>
      <c r="H46" s="8" t="s">
        <v>25</v>
      </c>
      <c r="I46" s="8" t="s">
        <v>25</v>
      </c>
      <c r="J46" s="8" t="s">
        <v>25</v>
      </c>
      <c r="K46" s="8" t="s">
        <v>25</v>
      </c>
      <c r="L46" s="8" t="s">
        <v>25</v>
      </c>
      <c r="M46" s="8" t="s">
        <v>25</v>
      </c>
      <c r="N46" s="8" t="s">
        <v>25</v>
      </c>
      <c r="O46" s="8" t="s">
        <v>25</v>
      </c>
      <c r="P46" s="8" t="s">
        <v>25</v>
      </c>
      <c r="Q46" s="8" t="s">
        <v>25</v>
      </c>
      <c r="R46" s="8" t="s">
        <v>25</v>
      </c>
      <c r="S46" s="8" t="s">
        <v>25</v>
      </c>
      <c r="T46" s="9">
        <v>0</v>
      </c>
      <c r="U46" s="8" t="s">
        <v>25</v>
      </c>
      <c r="V46" s="8" t="s">
        <v>25</v>
      </c>
      <c r="W46" s="8" t="s">
        <v>25</v>
      </c>
      <c r="X46" s="8" t="s">
        <v>25</v>
      </c>
      <c r="Y46" s="8" t="s">
        <v>25</v>
      </c>
      <c r="Z46" s="8" t="s">
        <v>25</v>
      </c>
      <c r="AA46" s="8" t="s">
        <v>25</v>
      </c>
      <c r="AB46" s="8" t="s">
        <v>25</v>
      </c>
      <c r="AC46" s="8" t="s">
        <v>25</v>
      </c>
      <c r="AD46" s="8" t="s">
        <v>25</v>
      </c>
      <c r="AE46" s="8" t="s">
        <v>25</v>
      </c>
      <c r="AF46" s="8" t="s">
        <v>25</v>
      </c>
      <c r="AG46" s="8" t="s">
        <v>25</v>
      </c>
      <c r="AH46" s="8" t="s">
        <v>25</v>
      </c>
      <c r="AI46" s="8" t="s">
        <v>25</v>
      </c>
      <c r="AJ46" s="8" t="s">
        <v>25</v>
      </c>
      <c r="AK46" s="17">
        <v>0</v>
      </c>
      <c r="AL46" s="10">
        <v>0</v>
      </c>
    </row>
    <row r="47" spans="1:38" s="3" customFormat="1" ht="14.45" customHeight="1" x14ac:dyDescent="0.25">
      <c r="A47" s="25" t="s">
        <v>98</v>
      </c>
      <c r="B47" s="25"/>
      <c r="C47" s="14">
        <v>16</v>
      </c>
      <c r="D47" s="14">
        <v>0</v>
      </c>
      <c r="E47" s="14">
        <v>24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8</v>
      </c>
      <c r="P47" s="14">
        <v>0</v>
      </c>
      <c r="Q47" s="14">
        <v>0</v>
      </c>
      <c r="R47" s="14">
        <v>0</v>
      </c>
      <c r="S47" s="14">
        <v>4</v>
      </c>
      <c r="T47" s="9">
        <v>52</v>
      </c>
      <c r="U47" s="14">
        <v>8</v>
      </c>
      <c r="V47" s="14">
        <v>0</v>
      </c>
      <c r="W47" s="14">
        <v>0</v>
      </c>
      <c r="X47" s="14">
        <v>0</v>
      </c>
      <c r="Y47" s="14">
        <v>8</v>
      </c>
      <c r="Z47" s="14">
        <v>18</v>
      </c>
      <c r="AA47" s="14">
        <v>14</v>
      </c>
      <c r="AB47" s="14">
        <v>34</v>
      </c>
      <c r="AC47" s="14">
        <v>0</v>
      </c>
      <c r="AD47" s="14">
        <v>16</v>
      </c>
      <c r="AE47" s="14">
        <v>6</v>
      </c>
      <c r="AF47" s="14">
        <v>0</v>
      </c>
      <c r="AG47" s="14">
        <v>0</v>
      </c>
      <c r="AH47" s="14">
        <v>0</v>
      </c>
      <c r="AI47" s="14">
        <v>0</v>
      </c>
      <c r="AJ47" s="14">
        <v>6</v>
      </c>
      <c r="AK47" s="17">
        <v>110</v>
      </c>
      <c r="AL47" s="10">
        <v>162</v>
      </c>
    </row>
    <row r="48" spans="1:38" x14ac:dyDescent="0.25">
      <c r="A48" s="12" t="s">
        <v>99</v>
      </c>
      <c r="B48" s="13" t="s">
        <v>100</v>
      </c>
      <c r="C48" s="8" t="s">
        <v>25</v>
      </c>
      <c r="D48" s="8" t="s">
        <v>25</v>
      </c>
      <c r="E48" s="8" t="s">
        <v>25</v>
      </c>
      <c r="F48" s="8" t="s">
        <v>25</v>
      </c>
      <c r="G48" s="8" t="s">
        <v>25</v>
      </c>
      <c r="H48" s="8" t="s">
        <v>25</v>
      </c>
      <c r="I48" s="8" t="s">
        <v>25</v>
      </c>
      <c r="J48" s="8" t="s">
        <v>25</v>
      </c>
      <c r="K48" s="8" t="s">
        <v>25</v>
      </c>
      <c r="L48" s="8" t="s">
        <v>25</v>
      </c>
      <c r="M48" s="8" t="s">
        <v>25</v>
      </c>
      <c r="N48" s="8" t="s">
        <v>25</v>
      </c>
      <c r="O48" s="8" t="s">
        <v>25</v>
      </c>
      <c r="P48" s="8" t="s">
        <v>25</v>
      </c>
      <c r="Q48" s="8" t="s">
        <v>25</v>
      </c>
      <c r="R48" s="8" t="s">
        <v>25</v>
      </c>
      <c r="S48" s="8" t="s">
        <v>25</v>
      </c>
      <c r="T48" s="9">
        <v>0</v>
      </c>
      <c r="U48" s="8">
        <v>4</v>
      </c>
      <c r="V48" s="8">
        <v>6</v>
      </c>
      <c r="W48" s="8" t="s">
        <v>25</v>
      </c>
      <c r="X48" s="8" t="s">
        <v>25</v>
      </c>
      <c r="Y48" s="8" t="s">
        <v>25</v>
      </c>
      <c r="Z48" s="8">
        <v>8</v>
      </c>
      <c r="AA48" s="8" t="s">
        <v>25</v>
      </c>
      <c r="AB48" s="8">
        <v>16</v>
      </c>
      <c r="AC48" s="8" t="s">
        <v>25</v>
      </c>
      <c r="AD48" s="8" t="s">
        <v>25</v>
      </c>
      <c r="AE48" s="8" t="s">
        <v>25</v>
      </c>
      <c r="AF48" s="8">
        <v>16</v>
      </c>
      <c r="AG48" s="8" t="s">
        <v>25</v>
      </c>
      <c r="AH48" s="8" t="s">
        <v>25</v>
      </c>
      <c r="AI48" s="8">
        <v>6</v>
      </c>
      <c r="AJ48" s="8" t="s">
        <v>25</v>
      </c>
      <c r="AK48" s="17">
        <v>56</v>
      </c>
      <c r="AL48" s="10">
        <v>56</v>
      </c>
    </row>
    <row r="49" spans="1:38" x14ac:dyDescent="0.25">
      <c r="A49" s="12" t="s">
        <v>101</v>
      </c>
      <c r="B49" s="13" t="s">
        <v>102</v>
      </c>
      <c r="C49" s="8" t="s">
        <v>25</v>
      </c>
      <c r="D49" s="8" t="s">
        <v>25</v>
      </c>
      <c r="E49" s="8">
        <v>4</v>
      </c>
      <c r="F49" s="8" t="s">
        <v>25</v>
      </c>
      <c r="G49" s="8" t="s">
        <v>25</v>
      </c>
      <c r="H49" s="8" t="s">
        <v>25</v>
      </c>
      <c r="I49" s="8" t="s">
        <v>25</v>
      </c>
      <c r="J49" s="8" t="s">
        <v>25</v>
      </c>
      <c r="K49" s="8" t="s">
        <v>25</v>
      </c>
      <c r="L49" s="8" t="s">
        <v>25</v>
      </c>
      <c r="M49" s="8" t="s">
        <v>25</v>
      </c>
      <c r="N49" s="8" t="s">
        <v>25</v>
      </c>
      <c r="O49" s="8" t="s">
        <v>25</v>
      </c>
      <c r="P49" s="8" t="s">
        <v>25</v>
      </c>
      <c r="Q49" s="8" t="s">
        <v>25</v>
      </c>
      <c r="R49" s="8" t="s">
        <v>25</v>
      </c>
      <c r="S49" s="8" t="s">
        <v>25</v>
      </c>
      <c r="T49" s="9">
        <v>4</v>
      </c>
      <c r="U49" s="8">
        <v>4</v>
      </c>
      <c r="V49" s="8" t="s">
        <v>25</v>
      </c>
      <c r="W49" s="8" t="s">
        <v>25</v>
      </c>
      <c r="X49" s="8" t="s">
        <v>25</v>
      </c>
      <c r="Y49" s="8" t="s">
        <v>25</v>
      </c>
      <c r="Z49" s="8" t="s">
        <v>25</v>
      </c>
      <c r="AA49" s="8" t="s">
        <v>25</v>
      </c>
      <c r="AB49" s="8" t="s">
        <v>25</v>
      </c>
      <c r="AC49" s="8" t="s">
        <v>25</v>
      </c>
      <c r="AD49" s="8" t="s">
        <v>25</v>
      </c>
      <c r="AE49" s="8" t="s">
        <v>25</v>
      </c>
      <c r="AF49" s="8" t="s">
        <v>25</v>
      </c>
      <c r="AG49" s="8" t="s">
        <v>25</v>
      </c>
      <c r="AH49" s="8" t="s">
        <v>25</v>
      </c>
      <c r="AI49" s="8" t="s">
        <v>25</v>
      </c>
      <c r="AJ49" s="8" t="s">
        <v>25</v>
      </c>
      <c r="AK49" s="17">
        <v>4</v>
      </c>
      <c r="AL49" s="10">
        <v>8</v>
      </c>
    </row>
    <row r="50" spans="1:38" x14ac:dyDescent="0.25">
      <c r="A50" s="12" t="s">
        <v>103</v>
      </c>
      <c r="B50" s="13" t="s">
        <v>104</v>
      </c>
      <c r="C50" s="8" t="s">
        <v>25</v>
      </c>
      <c r="D50" s="8" t="s">
        <v>25</v>
      </c>
      <c r="E50" s="8" t="s">
        <v>25</v>
      </c>
      <c r="F50" s="8" t="s">
        <v>25</v>
      </c>
      <c r="G50" s="8" t="s">
        <v>25</v>
      </c>
      <c r="H50" s="8" t="s">
        <v>25</v>
      </c>
      <c r="I50" s="8" t="s">
        <v>25</v>
      </c>
      <c r="J50" s="8" t="s">
        <v>25</v>
      </c>
      <c r="K50" s="8" t="s">
        <v>25</v>
      </c>
      <c r="L50" s="8" t="s">
        <v>25</v>
      </c>
      <c r="M50" s="8" t="s">
        <v>25</v>
      </c>
      <c r="N50" s="8" t="s">
        <v>25</v>
      </c>
      <c r="O50" s="8" t="s">
        <v>25</v>
      </c>
      <c r="P50" s="8" t="s">
        <v>25</v>
      </c>
      <c r="Q50" s="8" t="s">
        <v>25</v>
      </c>
      <c r="R50" s="8" t="s">
        <v>25</v>
      </c>
      <c r="S50" s="8" t="s">
        <v>25</v>
      </c>
      <c r="T50" s="9">
        <v>0</v>
      </c>
      <c r="U50" s="8" t="s">
        <v>25</v>
      </c>
      <c r="V50" s="8" t="s">
        <v>25</v>
      </c>
      <c r="W50" s="8" t="s">
        <v>25</v>
      </c>
      <c r="X50" s="8" t="s">
        <v>25</v>
      </c>
      <c r="Y50" s="8" t="s">
        <v>25</v>
      </c>
      <c r="Z50" s="8" t="s">
        <v>25</v>
      </c>
      <c r="AA50" s="8" t="s">
        <v>25</v>
      </c>
      <c r="AB50" s="8" t="s">
        <v>25</v>
      </c>
      <c r="AC50" s="8" t="s">
        <v>25</v>
      </c>
      <c r="AD50" s="8" t="s">
        <v>25</v>
      </c>
      <c r="AE50" s="8" t="s">
        <v>25</v>
      </c>
      <c r="AF50" s="8" t="s">
        <v>25</v>
      </c>
      <c r="AG50" s="8" t="s">
        <v>25</v>
      </c>
      <c r="AH50" s="8" t="s">
        <v>25</v>
      </c>
      <c r="AI50" s="8" t="s">
        <v>25</v>
      </c>
      <c r="AJ50" s="8" t="s">
        <v>25</v>
      </c>
      <c r="AK50" s="17">
        <v>0</v>
      </c>
      <c r="AL50" s="10">
        <v>0</v>
      </c>
    </row>
    <row r="51" spans="1:38" x14ac:dyDescent="0.25">
      <c r="A51" s="12" t="s">
        <v>105</v>
      </c>
      <c r="B51" s="13" t="s">
        <v>106</v>
      </c>
      <c r="C51" s="8">
        <v>4</v>
      </c>
      <c r="D51" s="8" t="s">
        <v>25</v>
      </c>
      <c r="E51" s="8">
        <v>4</v>
      </c>
      <c r="F51" s="8" t="s">
        <v>25</v>
      </c>
      <c r="G51" s="8" t="s">
        <v>25</v>
      </c>
      <c r="H51" s="8" t="s">
        <v>25</v>
      </c>
      <c r="I51" s="8" t="s">
        <v>25</v>
      </c>
      <c r="J51" s="8" t="s">
        <v>25</v>
      </c>
      <c r="K51" s="8" t="s">
        <v>25</v>
      </c>
      <c r="L51" s="8" t="s">
        <v>25</v>
      </c>
      <c r="M51" s="8" t="s">
        <v>25</v>
      </c>
      <c r="N51" s="8">
        <v>6</v>
      </c>
      <c r="O51" s="8" t="s">
        <v>25</v>
      </c>
      <c r="P51" s="8" t="s">
        <v>25</v>
      </c>
      <c r="Q51" s="8" t="s">
        <v>25</v>
      </c>
      <c r="R51" s="8" t="s">
        <v>25</v>
      </c>
      <c r="S51" s="8">
        <v>4</v>
      </c>
      <c r="T51" s="9">
        <v>18</v>
      </c>
      <c r="U51" s="8" t="s">
        <v>25</v>
      </c>
      <c r="V51" s="8" t="s">
        <v>25</v>
      </c>
      <c r="W51" s="8" t="s">
        <v>25</v>
      </c>
      <c r="X51" s="8" t="s">
        <v>25</v>
      </c>
      <c r="Y51" s="8" t="s">
        <v>25</v>
      </c>
      <c r="Z51" s="8">
        <v>4</v>
      </c>
      <c r="AA51" s="8" t="s">
        <v>25</v>
      </c>
      <c r="AB51" s="8">
        <v>6</v>
      </c>
      <c r="AC51" s="8" t="s">
        <v>25</v>
      </c>
      <c r="AD51" s="8" t="s">
        <v>25</v>
      </c>
      <c r="AE51" s="8" t="s">
        <v>25</v>
      </c>
      <c r="AF51" s="8" t="s">
        <v>25</v>
      </c>
      <c r="AG51" s="8" t="s">
        <v>25</v>
      </c>
      <c r="AH51" s="8" t="s">
        <v>25</v>
      </c>
      <c r="AI51" s="8">
        <v>4</v>
      </c>
      <c r="AJ51" s="8" t="s">
        <v>25</v>
      </c>
      <c r="AK51" s="17">
        <v>14</v>
      </c>
      <c r="AL51" s="10">
        <v>32</v>
      </c>
    </row>
    <row r="52" spans="1:38" s="3" customFormat="1" ht="14.45" customHeight="1" x14ac:dyDescent="0.2">
      <c r="A52" s="25" t="s">
        <v>107</v>
      </c>
      <c r="B52" s="25"/>
      <c r="C52" s="14">
        <v>4</v>
      </c>
      <c r="D52" s="14">
        <v>0</v>
      </c>
      <c r="E52" s="14">
        <v>8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6</v>
      </c>
      <c r="O52" s="14">
        <v>0</v>
      </c>
      <c r="P52" s="14">
        <v>0</v>
      </c>
      <c r="Q52" s="14">
        <v>0</v>
      </c>
      <c r="R52" s="14">
        <v>0</v>
      </c>
      <c r="S52" s="14">
        <v>4</v>
      </c>
      <c r="T52" s="9">
        <v>22</v>
      </c>
      <c r="U52" s="14">
        <v>8</v>
      </c>
      <c r="V52" s="14">
        <v>6</v>
      </c>
      <c r="W52" s="14">
        <v>0</v>
      </c>
      <c r="X52" s="14">
        <v>0</v>
      </c>
      <c r="Y52" s="14">
        <v>0</v>
      </c>
      <c r="Z52" s="14">
        <v>12</v>
      </c>
      <c r="AA52" s="14">
        <v>0</v>
      </c>
      <c r="AB52" s="14">
        <v>22</v>
      </c>
      <c r="AC52" s="14">
        <v>0</v>
      </c>
      <c r="AD52" s="14">
        <v>0</v>
      </c>
      <c r="AE52" s="14">
        <v>0</v>
      </c>
      <c r="AF52" s="14">
        <v>16</v>
      </c>
      <c r="AG52" s="14">
        <v>0</v>
      </c>
      <c r="AH52" s="14">
        <v>0</v>
      </c>
      <c r="AI52" s="14">
        <v>10</v>
      </c>
      <c r="AJ52" s="14">
        <v>0</v>
      </c>
      <c r="AK52" s="17">
        <v>74</v>
      </c>
      <c r="AL52" s="10">
        <v>96</v>
      </c>
    </row>
    <row r="53" spans="1:38" x14ac:dyDescent="0.25">
      <c r="A53" s="12" t="s">
        <v>108</v>
      </c>
      <c r="B53" s="13" t="s">
        <v>109</v>
      </c>
      <c r="C53" s="8" t="s">
        <v>25</v>
      </c>
      <c r="D53" s="8" t="s">
        <v>25</v>
      </c>
      <c r="E53" s="8">
        <v>0</v>
      </c>
      <c r="F53" s="8">
        <v>4</v>
      </c>
      <c r="G53" s="8" t="s">
        <v>25</v>
      </c>
      <c r="H53" s="8" t="s">
        <v>25</v>
      </c>
      <c r="I53" s="8" t="s">
        <v>25</v>
      </c>
      <c r="J53" s="8">
        <v>6</v>
      </c>
      <c r="K53" s="8" t="s">
        <v>25</v>
      </c>
      <c r="L53" s="8" t="s">
        <v>25</v>
      </c>
      <c r="M53" s="8" t="s">
        <v>25</v>
      </c>
      <c r="N53" s="8">
        <v>4</v>
      </c>
      <c r="O53" s="8" t="s">
        <v>25</v>
      </c>
      <c r="P53" s="8" t="s">
        <v>25</v>
      </c>
      <c r="Q53" s="8">
        <v>6</v>
      </c>
      <c r="R53" s="8" t="s">
        <v>25</v>
      </c>
      <c r="S53" s="8">
        <v>4</v>
      </c>
      <c r="T53" s="9">
        <v>24</v>
      </c>
      <c r="U53" s="8">
        <v>4</v>
      </c>
      <c r="V53" s="8">
        <v>6</v>
      </c>
      <c r="W53" s="8" t="s">
        <v>25</v>
      </c>
      <c r="X53" s="8">
        <v>6</v>
      </c>
      <c r="Y53" s="8" t="s">
        <v>25</v>
      </c>
      <c r="Z53" s="8" t="s">
        <v>25</v>
      </c>
      <c r="AA53" s="8" t="s">
        <v>25</v>
      </c>
      <c r="AB53" s="8">
        <v>4</v>
      </c>
      <c r="AC53" s="8" t="s">
        <v>25</v>
      </c>
      <c r="AD53" s="8">
        <v>4</v>
      </c>
      <c r="AE53" s="8" t="s">
        <v>25</v>
      </c>
      <c r="AF53" s="8">
        <v>10</v>
      </c>
      <c r="AG53" s="8" t="s">
        <v>25</v>
      </c>
      <c r="AH53" s="8" t="s">
        <v>25</v>
      </c>
      <c r="AI53" s="8">
        <v>10</v>
      </c>
      <c r="AJ53" s="8">
        <v>6</v>
      </c>
      <c r="AK53" s="17">
        <v>50</v>
      </c>
      <c r="AL53" s="10">
        <v>74</v>
      </c>
    </row>
    <row r="54" spans="1:38" x14ac:dyDescent="0.25">
      <c r="A54" s="12" t="s">
        <v>110</v>
      </c>
      <c r="B54" s="13" t="s">
        <v>111</v>
      </c>
      <c r="C54" s="8" t="s">
        <v>25</v>
      </c>
      <c r="D54" s="8">
        <v>6</v>
      </c>
      <c r="E54" s="8" t="s">
        <v>25</v>
      </c>
      <c r="F54" s="8" t="s">
        <v>25</v>
      </c>
      <c r="G54" s="8" t="s">
        <v>25</v>
      </c>
      <c r="H54" s="8" t="s">
        <v>25</v>
      </c>
      <c r="I54" s="8" t="s">
        <v>25</v>
      </c>
      <c r="J54" s="8" t="s">
        <v>25</v>
      </c>
      <c r="K54" s="8" t="s">
        <v>25</v>
      </c>
      <c r="L54" s="8" t="s">
        <v>25</v>
      </c>
      <c r="M54" s="8" t="s">
        <v>25</v>
      </c>
      <c r="N54" s="8" t="s">
        <v>25</v>
      </c>
      <c r="O54" s="8" t="s">
        <v>25</v>
      </c>
      <c r="P54" s="8" t="s">
        <v>25</v>
      </c>
      <c r="Q54" s="8" t="s">
        <v>25</v>
      </c>
      <c r="R54" s="8" t="s">
        <v>25</v>
      </c>
      <c r="S54" s="8" t="s">
        <v>25</v>
      </c>
      <c r="T54" s="9">
        <v>6</v>
      </c>
      <c r="U54" s="8" t="s">
        <v>25</v>
      </c>
      <c r="V54" s="8">
        <v>4</v>
      </c>
      <c r="W54" s="8" t="s">
        <v>25</v>
      </c>
      <c r="X54" s="8">
        <v>6</v>
      </c>
      <c r="Y54" s="8" t="s">
        <v>25</v>
      </c>
      <c r="Z54" s="8">
        <v>4</v>
      </c>
      <c r="AA54" s="8" t="s">
        <v>25</v>
      </c>
      <c r="AB54" s="8" t="s">
        <v>25</v>
      </c>
      <c r="AC54" s="8" t="s">
        <v>25</v>
      </c>
      <c r="AD54" s="8">
        <v>6</v>
      </c>
      <c r="AE54" s="8" t="s">
        <v>25</v>
      </c>
      <c r="AF54" s="8">
        <v>4</v>
      </c>
      <c r="AG54" s="8" t="s">
        <v>25</v>
      </c>
      <c r="AH54" s="8" t="s">
        <v>25</v>
      </c>
      <c r="AI54" s="8">
        <v>4</v>
      </c>
      <c r="AJ54" s="8" t="s">
        <v>25</v>
      </c>
      <c r="AK54" s="17">
        <v>28</v>
      </c>
      <c r="AL54" s="10">
        <v>34</v>
      </c>
    </row>
    <row r="55" spans="1:38" s="3" customFormat="1" ht="14.45" customHeight="1" x14ac:dyDescent="0.2">
      <c r="A55" s="25" t="s">
        <v>112</v>
      </c>
      <c r="B55" s="25"/>
      <c r="C55" s="14">
        <v>0</v>
      </c>
      <c r="D55" s="14">
        <v>6</v>
      </c>
      <c r="E55" s="14">
        <v>0</v>
      </c>
      <c r="F55" s="14">
        <v>4</v>
      </c>
      <c r="G55" s="14">
        <v>0</v>
      </c>
      <c r="H55" s="14">
        <v>0</v>
      </c>
      <c r="I55" s="14">
        <v>0</v>
      </c>
      <c r="J55" s="14">
        <v>6</v>
      </c>
      <c r="K55" s="14">
        <v>0</v>
      </c>
      <c r="L55" s="14">
        <v>0</v>
      </c>
      <c r="M55" s="14">
        <v>0</v>
      </c>
      <c r="N55" s="14">
        <v>4</v>
      </c>
      <c r="O55" s="14">
        <v>0</v>
      </c>
      <c r="P55" s="14">
        <v>0</v>
      </c>
      <c r="Q55" s="14">
        <v>6</v>
      </c>
      <c r="R55" s="14">
        <v>0</v>
      </c>
      <c r="S55" s="14">
        <v>4</v>
      </c>
      <c r="T55" s="9">
        <v>30</v>
      </c>
      <c r="U55" s="14">
        <v>4</v>
      </c>
      <c r="V55" s="14">
        <v>10</v>
      </c>
      <c r="W55" s="14">
        <v>0</v>
      </c>
      <c r="X55" s="14">
        <v>12</v>
      </c>
      <c r="Y55" s="14">
        <v>0</v>
      </c>
      <c r="Z55" s="14">
        <v>4</v>
      </c>
      <c r="AA55" s="14">
        <v>0</v>
      </c>
      <c r="AB55" s="14">
        <v>4</v>
      </c>
      <c r="AC55" s="14">
        <v>0</v>
      </c>
      <c r="AD55" s="14">
        <v>10</v>
      </c>
      <c r="AE55" s="14">
        <v>0</v>
      </c>
      <c r="AF55" s="14">
        <v>14</v>
      </c>
      <c r="AG55" s="14">
        <v>0</v>
      </c>
      <c r="AH55" s="14">
        <v>0</v>
      </c>
      <c r="AI55" s="14">
        <v>14</v>
      </c>
      <c r="AJ55" s="14">
        <v>6</v>
      </c>
      <c r="AK55" s="17">
        <v>78</v>
      </c>
      <c r="AL55" s="10">
        <v>108</v>
      </c>
    </row>
    <row r="56" spans="1:38" s="3" customFormat="1" ht="14.45" customHeight="1" x14ac:dyDescent="0.2">
      <c r="A56" s="24" t="s">
        <v>113</v>
      </c>
      <c r="B56" s="24"/>
      <c r="C56" s="15">
        <v>24</v>
      </c>
      <c r="D56" s="15">
        <v>6</v>
      </c>
      <c r="E56" s="15">
        <v>44</v>
      </c>
      <c r="F56" s="15">
        <v>16</v>
      </c>
      <c r="G56" s="15">
        <v>0</v>
      </c>
      <c r="H56" s="15">
        <v>8</v>
      </c>
      <c r="I56" s="15">
        <v>0</v>
      </c>
      <c r="J56" s="15">
        <v>12</v>
      </c>
      <c r="K56" s="15">
        <v>0</v>
      </c>
      <c r="L56" s="15">
        <v>10</v>
      </c>
      <c r="M56" s="15">
        <v>0</v>
      </c>
      <c r="N56" s="15">
        <v>14</v>
      </c>
      <c r="O56" s="15">
        <v>8</v>
      </c>
      <c r="P56" s="15">
        <v>10</v>
      </c>
      <c r="Q56" s="15">
        <v>10</v>
      </c>
      <c r="R56" s="15">
        <v>4</v>
      </c>
      <c r="S56" s="15">
        <v>20</v>
      </c>
      <c r="T56" s="18">
        <v>186</v>
      </c>
      <c r="U56" s="15">
        <v>28</v>
      </c>
      <c r="V56" s="15">
        <v>38</v>
      </c>
      <c r="W56" s="15">
        <v>4</v>
      </c>
      <c r="X56" s="15">
        <v>16</v>
      </c>
      <c r="Y56" s="15">
        <v>12</v>
      </c>
      <c r="Z56" s="15">
        <v>38</v>
      </c>
      <c r="AA56" s="15">
        <v>14</v>
      </c>
      <c r="AB56" s="15">
        <v>72</v>
      </c>
      <c r="AC56" s="15">
        <v>0</v>
      </c>
      <c r="AD56" s="15">
        <v>26</v>
      </c>
      <c r="AE56" s="15">
        <v>6</v>
      </c>
      <c r="AF56" s="15">
        <v>46</v>
      </c>
      <c r="AG56" s="15">
        <v>0</v>
      </c>
      <c r="AH56" s="15">
        <v>4</v>
      </c>
      <c r="AI56" s="15">
        <v>32</v>
      </c>
      <c r="AJ56" s="15">
        <v>26</v>
      </c>
      <c r="AK56" s="17">
        <v>362</v>
      </c>
      <c r="AL56" s="10">
        <v>548</v>
      </c>
    </row>
    <row r="57" spans="1:38" s="3" customFormat="1" ht="14.95" customHeight="1" x14ac:dyDescent="0.2">
      <c r="A57" s="26" t="s">
        <v>114</v>
      </c>
      <c r="B57" s="26"/>
      <c r="C57" s="16">
        <v>64</v>
      </c>
      <c r="D57" s="16">
        <v>6</v>
      </c>
      <c r="E57" s="16">
        <v>82</v>
      </c>
      <c r="F57" s="16">
        <v>64</v>
      </c>
      <c r="G57" s="16">
        <v>6</v>
      </c>
      <c r="H57" s="16">
        <v>54</v>
      </c>
      <c r="I57" s="16">
        <v>12</v>
      </c>
      <c r="J57" s="16">
        <v>48</v>
      </c>
      <c r="K57" s="16">
        <v>30</v>
      </c>
      <c r="L57" s="16">
        <v>50</v>
      </c>
      <c r="M57" s="16">
        <v>12</v>
      </c>
      <c r="N57" s="16">
        <v>42</v>
      </c>
      <c r="O57" s="16">
        <v>26</v>
      </c>
      <c r="P57" s="16">
        <v>78</v>
      </c>
      <c r="Q57" s="16">
        <v>76</v>
      </c>
      <c r="R57" s="16">
        <v>18</v>
      </c>
      <c r="S57" s="16">
        <v>66</v>
      </c>
      <c r="T57" s="18">
        <v>734</v>
      </c>
      <c r="U57" s="16">
        <v>62</v>
      </c>
      <c r="V57" s="16">
        <v>66</v>
      </c>
      <c r="W57" s="16">
        <v>20</v>
      </c>
      <c r="X57" s="16">
        <v>16</v>
      </c>
      <c r="Y57" s="16">
        <v>60</v>
      </c>
      <c r="Z57" s="16">
        <v>56</v>
      </c>
      <c r="AA57" s="16">
        <v>14</v>
      </c>
      <c r="AB57" s="16">
        <v>78</v>
      </c>
      <c r="AC57" s="16">
        <v>8</v>
      </c>
      <c r="AD57" s="16">
        <v>30</v>
      </c>
      <c r="AE57" s="16">
        <v>30</v>
      </c>
      <c r="AF57" s="16">
        <v>52</v>
      </c>
      <c r="AG57" s="16">
        <v>6</v>
      </c>
      <c r="AH57" s="16">
        <v>64</v>
      </c>
      <c r="AI57" s="16">
        <v>32</v>
      </c>
      <c r="AJ57" s="16">
        <v>32</v>
      </c>
      <c r="AK57" s="17">
        <v>626</v>
      </c>
      <c r="AL57" s="10">
        <v>1360</v>
      </c>
    </row>
  </sheetData>
  <mergeCells count="38">
    <mergeCell ref="A52:B52"/>
    <mergeCell ref="A55:B55"/>
    <mergeCell ref="A56:B56"/>
    <mergeCell ref="A57:B57"/>
    <mergeCell ref="A27:B27"/>
    <mergeCell ref="A32:B32"/>
    <mergeCell ref="A36:B36"/>
    <mergeCell ref="A37:B37"/>
    <mergeCell ref="A42:B42"/>
    <mergeCell ref="A47:B47"/>
    <mergeCell ref="A23:B23"/>
    <mergeCell ref="Z3:AA4"/>
    <mergeCell ref="AB3:AC4"/>
    <mergeCell ref="AD3:AE4"/>
    <mergeCell ref="AF3:AG4"/>
    <mergeCell ref="P3:P4"/>
    <mergeCell ref="Q3:R4"/>
    <mergeCell ref="S3:S5"/>
    <mergeCell ref="T3:T5"/>
    <mergeCell ref="V3:W4"/>
    <mergeCell ref="X3:Y4"/>
    <mergeCell ref="A10:B10"/>
    <mergeCell ref="A14:B14"/>
    <mergeCell ref="A17:B17"/>
    <mergeCell ref="A22:B22"/>
    <mergeCell ref="A1:AL1"/>
    <mergeCell ref="C2:T2"/>
    <mergeCell ref="U2:AK2"/>
    <mergeCell ref="AL2:AL5"/>
    <mergeCell ref="D3:E4"/>
    <mergeCell ref="F3:G4"/>
    <mergeCell ref="H3:I4"/>
    <mergeCell ref="J3:K4"/>
    <mergeCell ref="L3:M4"/>
    <mergeCell ref="N3:O4"/>
    <mergeCell ref="AK3:AK5"/>
    <mergeCell ref="AH3:AH4"/>
    <mergeCell ref="AI3:AJ4"/>
  </mergeCells>
  <printOptions horizontalCentered="1"/>
  <pageMargins left="0" right="0" top="0" bottom="0" header="0" footer="0"/>
  <pageSetup paperSize="9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A6F8-4D65-4987-B68E-EE706515DE1B}">
  <sheetPr>
    <tabColor rgb="FF00B050"/>
  </sheetPr>
  <dimension ref="A1:AL57"/>
  <sheetViews>
    <sheetView view="pageBreakPreview" zoomScale="80" zoomScaleNormal="70" zoomScaleSheetLayoutView="8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F8" sqref="F8"/>
    </sheetView>
  </sheetViews>
  <sheetFormatPr defaultColWidth="8.875" defaultRowHeight="13.6" x14ac:dyDescent="0.25"/>
  <cols>
    <col min="1" max="1" width="7.125" style="5" bestFit="1" customWidth="1"/>
    <col min="2" max="2" width="21.25" style="1" bestFit="1" customWidth="1"/>
    <col min="3" max="3" width="4.875" style="2" bestFit="1" customWidth="1"/>
    <col min="4" max="15" width="4.25" style="2" customWidth="1"/>
    <col min="16" max="16" width="6.875" style="2" bestFit="1" customWidth="1"/>
    <col min="17" max="18" width="4.25" style="2" customWidth="1"/>
    <col min="19" max="19" width="6.375" style="2" bestFit="1" customWidth="1"/>
    <col min="20" max="20" width="7.5" style="4" bestFit="1" customWidth="1"/>
    <col min="21" max="33" width="4.25" style="2" customWidth="1"/>
    <col min="34" max="34" width="7" style="2" bestFit="1" customWidth="1"/>
    <col min="35" max="36" width="4.25" style="2" customWidth="1"/>
    <col min="37" max="37" width="7.5" style="4" bestFit="1" customWidth="1"/>
    <col min="38" max="38" width="8.875" style="1" customWidth="1"/>
    <col min="39" max="16384" width="8.875" style="1"/>
  </cols>
  <sheetData>
    <row r="1" spans="1:38" ht="15.65" x14ac:dyDescent="0.3">
      <c r="A1" s="19" t="s">
        <v>24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</row>
    <row r="2" spans="1:38" ht="14.45" customHeight="1" x14ac:dyDescent="0.25">
      <c r="A2" s="6"/>
      <c r="B2" s="6"/>
      <c r="C2" s="20" t="s">
        <v>5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1" t="s">
        <v>6</v>
      </c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2" t="s">
        <v>21</v>
      </c>
    </row>
    <row r="3" spans="1:38" ht="14.3" customHeight="1" x14ac:dyDescent="0.25">
      <c r="A3" s="2"/>
      <c r="B3" s="6"/>
      <c r="C3" s="7" t="s">
        <v>9</v>
      </c>
      <c r="D3" s="23" t="s">
        <v>22</v>
      </c>
      <c r="E3" s="23"/>
      <c r="F3" s="23" t="s">
        <v>10</v>
      </c>
      <c r="G3" s="23"/>
      <c r="H3" s="23" t="s">
        <v>11</v>
      </c>
      <c r="I3" s="23"/>
      <c r="J3" s="23" t="s">
        <v>0</v>
      </c>
      <c r="K3" s="23"/>
      <c r="L3" s="23" t="s">
        <v>4</v>
      </c>
      <c r="M3" s="23"/>
      <c r="N3" s="23" t="s">
        <v>12</v>
      </c>
      <c r="O3" s="23"/>
      <c r="P3" s="23" t="s">
        <v>13</v>
      </c>
      <c r="Q3" s="23" t="s">
        <v>14</v>
      </c>
      <c r="R3" s="23"/>
      <c r="S3" s="23" t="s">
        <v>15</v>
      </c>
      <c r="T3" s="20" t="s">
        <v>3</v>
      </c>
      <c r="U3" s="7" t="s">
        <v>9</v>
      </c>
      <c r="V3" s="23" t="s">
        <v>10</v>
      </c>
      <c r="W3" s="23"/>
      <c r="X3" s="23" t="s">
        <v>4</v>
      </c>
      <c r="Y3" s="23"/>
      <c r="Z3" s="23" t="s">
        <v>18</v>
      </c>
      <c r="AA3" s="23"/>
      <c r="AB3" s="23" t="s">
        <v>19</v>
      </c>
      <c r="AC3" s="23"/>
      <c r="AD3" s="23" t="s">
        <v>12</v>
      </c>
      <c r="AE3" s="23"/>
      <c r="AF3" s="23" t="s">
        <v>11</v>
      </c>
      <c r="AG3" s="23"/>
      <c r="AH3" s="23" t="s">
        <v>20</v>
      </c>
      <c r="AI3" s="23" t="s">
        <v>14</v>
      </c>
      <c r="AJ3" s="23"/>
      <c r="AK3" s="21" t="s">
        <v>3</v>
      </c>
      <c r="AL3" s="22"/>
    </row>
    <row r="4" spans="1:38" x14ac:dyDescent="0.25">
      <c r="A4" s="2"/>
      <c r="B4" s="6"/>
      <c r="C4" s="7" t="s">
        <v>16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0"/>
      <c r="U4" s="7" t="s">
        <v>17</v>
      </c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1"/>
      <c r="AL4" s="22"/>
    </row>
    <row r="5" spans="1:38" x14ac:dyDescent="0.25">
      <c r="A5" s="7" t="s">
        <v>8</v>
      </c>
      <c r="B5" s="11" t="s">
        <v>7</v>
      </c>
      <c r="C5" s="7" t="s">
        <v>1</v>
      </c>
      <c r="D5" s="7" t="s">
        <v>2</v>
      </c>
      <c r="E5" s="7" t="s">
        <v>1</v>
      </c>
      <c r="F5" s="7" t="s">
        <v>2</v>
      </c>
      <c r="G5" s="7" t="s">
        <v>1</v>
      </c>
      <c r="H5" s="7" t="s">
        <v>2</v>
      </c>
      <c r="I5" s="7" t="s">
        <v>1</v>
      </c>
      <c r="J5" s="7" t="s">
        <v>2</v>
      </c>
      <c r="K5" s="7" t="s">
        <v>1</v>
      </c>
      <c r="L5" s="7" t="s">
        <v>2</v>
      </c>
      <c r="M5" s="7" t="s">
        <v>1</v>
      </c>
      <c r="N5" s="7" t="s">
        <v>2</v>
      </c>
      <c r="O5" s="7" t="s">
        <v>1</v>
      </c>
      <c r="P5" s="7" t="s">
        <v>2</v>
      </c>
      <c r="Q5" s="7" t="s">
        <v>2</v>
      </c>
      <c r="R5" s="7" t="s">
        <v>1</v>
      </c>
      <c r="S5" s="23"/>
      <c r="T5" s="20"/>
      <c r="U5" s="7" t="s">
        <v>1</v>
      </c>
      <c r="V5" s="7" t="s">
        <v>2</v>
      </c>
      <c r="W5" s="7" t="s">
        <v>1</v>
      </c>
      <c r="X5" s="7" t="s">
        <v>2</v>
      </c>
      <c r="Y5" s="7" t="s">
        <v>1</v>
      </c>
      <c r="Z5" s="7" t="s">
        <v>2</v>
      </c>
      <c r="AA5" s="7" t="s">
        <v>1</v>
      </c>
      <c r="AB5" s="7" t="s">
        <v>2</v>
      </c>
      <c r="AC5" s="7" t="s">
        <v>1</v>
      </c>
      <c r="AD5" s="7" t="s">
        <v>2</v>
      </c>
      <c r="AE5" s="7" t="s">
        <v>1</v>
      </c>
      <c r="AF5" s="7" t="s">
        <v>2</v>
      </c>
      <c r="AG5" s="7" t="s">
        <v>1</v>
      </c>
      <c r="AH5" s="7" t="s">
        <v>2</v>
      </c>
      <c r="AI5" s="7" t="s">
        <v>2</v>
      </c>
      <c r="AJ5" s="7" t="s">
        <v>1</v>
      </c>
      <c r="AK5" s="21"/>
      <c r="AL5" s="22"/>
    </row>
    <row r="6" spans="1:38" ht="13.25" x14ac:dyDescent="0.25">
      <c r="A6" s="12" t="s">
        <v>26</v>
      </c>
      <c r="B6" s="13" t="s">
        <v>27</v>
      </c>
      <c r="C6" s="8" t="s">
        <v>25</v>
      </c>
      <c r="D6" s="8" t="s">
        <v>25</v>
      </c>
      <c r="E6" s="8" t="s">
        <v>25</v>
      </c>
      <c r="F6" s="8" t="s">
        <v>25</v>
      </c>
      <c r="G6" s="8" t="s">
        <v>25</v>
      </c>
      <c r="H6" s="8" t="s">
        <v>25</v>
      </c>
      <c r="I6" s="8" t="s">
        <v>25</v>
      </c>
      <c r="J6" s="8">
        <v>4</v>
      </c>
      <c r="K6" s="8">
        <v>4</v>
      </c>
      <c r="L6" s="8">
        <v>4</v>
      </c>
      <c r="M6" s="8">
        <v>4</v>
      </c>
      <c r="N6" s="8" t="s">
        <v>25</v>
      </c>
      <c r="O6" s="8" t="s">
        <v>25</v>
      </c>
      <c r="P6" s="8">
        <v>0</v>
      </c>
      <c r="Q6" s="8" t="s">
        <v>25</v>
      </c>
      <c r="R6" s="8" t="s">
        <v>25</v>
      </c>
      <c r="S6" s="8">
        <v>4</v>
      </c>
      <c r="T6" s="9">
        <v>20</v>
      </c>
      <c r="U6" s="8" t="s">
        <v>25</v>
      </c>
      <c r="V6" s="8" t="s">
        <v>25</v>
      </c>
      <c r="W6" s="8" t="s">
        <v>25</v>
      </c>
      <c r="X6" s="8" t="s">
        <v>25</v>
      </c>
      <c r="Y6" s="8">
        <v>4</v>
      </c>
      <c r="Z6" s="8" t="s">
        <v>25</v>
      </c>
      <c r="AA6" s="8" t="s">
        <v>25</v>
      </c>
      <c r="AB6" s="8" t="s">
        <v>25</v>
      </c>
      <c r="AC6" s="8" t="s">
        <v>25</v>
      </c>
      <c r="AD6" s="8" t="s">
        <v>25</v>
      </c>
      <c r="AE6" s="8">
        <v>4</v>
      </c>
      <c r="AF6" s="8" t="s">
        <v>25</v>
      </c>
      <c r="AG6" s="8" t="s">
        <v>25</v>
      </c>
      <c r="AH6" s="8" t="s">
        <v>25</v>
      </c>
      <c r="AI6" s="8" t="s">
        <v>25</v>
      </c>
      <c r="AJ6" s="8" t="s">
        <v>25</v>
      </c>
      <c r="AK6" s="17">
        <v>8</v>
      </c>
      <c r="AL6" s="10">
        <v>28</v>
      </c>
    </row>
    <row r="7" spans="1:38" ht="13.25" x14ac:dyDescent="0.25">
      <c r="A7" s="12" t="s">
        <v>28</v>
      </c>
      <c r="B7" s="13" t="s">
        <v>29</v>
      </c>
      <c r="C7" s="8" t="s">
        <v>25</v>
      </c>
      <c r="D7" s="8" t="s">
        <v>25</v>
      </c>
      <c r="E7" s="8" t="s">
        <v>25</v>
      </c>
      <c r="F7" s="8" t="s">
        <v>25</v>
      </c>
      <c r="G7" s="8" t="s">
        <v>25</v>
      </c>
      <c r="H7" s="8" t="s">
        <v>25</v>
      </c>
      <c r="I7" s="8" t="s">
        <v>25</v>
      </c>
      <c r="J7" s="8" t="s">
        <v>25</v>
      </c>
      <c r="K7" s="8" t="s">
        <v>25</v>
      </c>
      <c r="L7" s="8" t="s">
        <v>25</v>
      </c>
      <c r="M7" s="8" t="s">
        <v>25</v>
      </c>
      <c r="N7" s="8" t="s">
        <v>25</v>
      </c>
      <c r="O7" s="8" t="s">
        <v>25</v>
      </c>
      <c r="P7" s="8" t="s">
        <v>25</v>
      </c>
      <c r="Q7" s="8" t="s">
        <v>25</v>
      </c>
      <c r="R7" s="8" t="s">
        <v>25</v>
      </c>
      <c r="S7" s="8" t="s">
        <v>25</v>
      </c>
      <c r="T7" s="9">
        <v>0</v>
      </c>
      <c r="U7" s="8" t="s">
        <v>25</v>
      </c>
      <c r="V7" s="8" t="s">
        <v>25</v>
      </c>
      <c r="W7" s="8" t="s">
        <v>25</v>
      </c>
      <c r="X7" s="8" t="s">
        <v>25</v>
      </c>
      <c r="Y7" s="8" t="s">
        <v>25</v>
      </c>
      <c r="Z7" s="8" t="s">
        <v>25</v>
      </c>
      <c r="AA7" s="8" t="s">
        <v>25</v>
      </c>
      <c r="AB7" s="8" t="s">
        <v>25</v>
      </c>
      <c r="AC7" s="8" t="s">
        <v>25</v>
      </c>
      <c r="AD7" s="8" t="s">
        <v>25</v>
      </c>
      <c r="AE7" s="8" t="s">
        <v>25</v>
      </c>
      <c r="AF7" s="8" t="s">
        <v>25</v>
      </c>
      <c r="AG7" s="8" t="s">
        <v>25</v>
      </c>
      <c r="AH7" s="8" t="s">
        <v>25</v>
      </c>
      <c r="AI7" s="8" t="s">
        <v>25</v>
      </c>
      <c r="AJ7" s="8" t="s">
        <v>25</v>
      </c>
      <c r="AK7" s="17">
        <v>0</v>
      </c>
      <c r="AL7" s="10">
        <v>0</v>
      </c>
    </row>
    <row r="8" spans="1:38" ht="13.25" x14ac:dyDescent="0.25">
      <c r="A8" s="12" t="s">
        <v>30</v>
      </c>
      <c r="B8" s="13" t="s">
        <v>31</v>
      </c>
      <c r="C8" s="8" t="s">
        <v>25</v>
      </c>
      <c r="D8" s="8" t="s">
        <v>25</v>
      </c>
      <c r="E8" s="8" t="s">
        <v>25</v>
      </c>
      <c r="F8" s="8">
        <v>4</v>
      </c>
      <c r="G8" s="8" t="s">
        <v>25</v>
      </c>
      <c r="H8" s="8" t="s">
        <v>25</v>
      </c>
      <c r="I8" s="8" t="s">
        <v>25</v>
      </c>
      <c r="J8" s="8" t="s">
        <v>25</v>
      </c>
      <c r="K8" s="8" t="s">
        <v>25</v>
      </c>
      <c r="L8" s="8" t="s">
        <v>25</v>
      </c>
      <c r="M8" s="8" t="s">
        <v>25</v>
      </c>
      <c r="N8" s="8" t="s">
        <v>25</v>
      </c>
      <c r="O8" s="8" t="s">
        <v>25</v>
      </c>
      <c r="P8" s="8" t="s">
        <v>25</v>
      </c>
      <c r="Q8" s="8" t="s">
        <v>25</v>
      </c>
      <c r="R8" s="8" t="s">
        <v>25</v>
      </c>
      <c r="S8" s="8" t="s">
        <v>25</v>
      </c>
      <c r="T8" s="9">
        <v>4</v>
      </c>
      <c r="U8" s="8" t="s">
        <v>25</v>
      </c>
      <c r="V8" s="8">
        <v>4</v>
      </c>
      <c r="W8" s="8" t="s">
        <v>25</v>
      </c>
      <c r="X8" s="8" t="s">
        <v>25</v>
      </c>
      <c r="Y8" s="8" t="s">
        <v>25</v>
      </c>
      <c r="Z8" s="8" t="s">
        <v>25</v>
      </c>
      <c r="AA8" s="8" t="s">
        <v>25</v>
      </c>
      <c r="AB8" s="8" t="s">
        <v>25</v>
      </c>
      <c r="AC8" s="8" t="s">
        <v>25</v>
      </c>
      <c r="AD8" s="8" t="s">
        <v>25</v>
      </c>
      <c r="AE8" s="8" t="s">
        <v>25</v>
      </c>
      <c r="AF8" s="8" t="s">
        <v>25</v>
      </c>
      <c r="AG8" s="8" t="s">
        <v>25</v>
      </c>
      <c r="AH8" s="8">
        <v>4</v>
      </c>
      <c r="AI8" s="8" t="s">
        <v>25</v>
      </c>
      <c r="AJ8" s="8" t="s">
        <v>25</v>
      </c>
      <c r="AK8" s="17">
        <v>8</v>
      </c>
      <c r="AL8" s="10">
        <v>12</v>
      </c>
    </row>
    <row r="9" spans="1:38" ht="13.25" x14ac:dyDescent="0.25">
      <c r="A9" s="12" t="s">
        <v>32</v>
      </c>
      <c r="B9" s="13" t="s">
        <v>33</v>
      </c>
      <c r="C9" s="8" t="s">
        <v>25</v>
      </c>
      <c r="D9" s="8" t="s">
        <v>25</v>
      </c>
      <c r="E9" s="8" t="s">
        <v>25</v>
      </c>
      <c r="F9" s="8" t="s">
        <v>25</v>
      </c>
      <c r="G9" s="8" t="s">
        <v>25</v>
      </c>
      <c r="H9" s="8" t="s">
        <v>25</v>
      </c>
      <c r="I9" s="8" t="s">
        <v>25</v>
      </c>
      <c r="J9" s="8" t="s">
        <v>25</v>
      </c>
      <c r="K9" s="8" t="s">
        <v>25</v>
      </c>
      <c r="L9" s="8" t="s">
        <v>25</v>
      </c>
      <c r="M9" s="8" t="s">
        <v>25</v>
      </c>
      <c r="N9" s="8" t="s">
        <v>25</v>
      </c>
      <c r="O9" s="8" t="s">
        <v>25</v>
      </c>
      <c r="P9" s="8" t="s">
        <v>25</v>
      </c>
      <c r="Q9" s="8" t="s">
        <v>25</v>
      </c>
      <c r="R9" s="8" t="s">
        <v>25</v>
      </c>
      <c r="S9" s="8" t="s">
        <v>25</v>
      </c>
      <c r="T9" s="9">
        <v>0</v>
      </c>
      <c r="U9" s="8" t="s">
        <v>25</v>
      </c>
      <c r="V9" s="8" t="s">
        <v>25</v>
      </c>
      <c r="W9" s="8" t="s">
        <v>25</v>
      </c>
      <c r="X9" s="8" t="s">
        <v>25</v>
      </c>
      <c r="Y9" s="8" t="s">
        <v>25</v>
      </c>
      <c r="Z9" s="8" t="s">
        <v>25</v>
      </c>
      <c r="AA9" s="8" t="s">
        <v>25</v>
      </c>
      <c r="AB9" s="8" t="s">
        <v>25</v>
      </c>
      <c r="AC9" s="8" t="s">
        <v>25</v>
      </c>
      <c r="AD9" s="8" t="s">
        <v>25</v>
      </c>
      <c r="AE9" s="8" t="s">
        <v>25</v>
      </c>
      <c r="AF9" s="8" t="s">
        <v>25</v>
      </c>
      <c r="AG9" s="8" t="s">
        <v>25</v>
      </c>
      <c r="AH9" s="8" t="s">
        <v>25</v>
      </c>
      <c r="AI9" s="8" t="s">
        <v>25</v>
      </c>
      <c r="AJ9" s="8" t="s">
        <v>25</v>
      </c>
      <c r="AK9" s="17">
        <v>0</v>
      </c>
      <c r="AL9" s="10">
        <v>0</v>
      </c>
    </row>
    <row r="10" spans="1:38" s="3" customFormat="1" ht="14.45" customHeight="1" x14ac:dyDescent="0.25">
      <c r="A10" s="25" t="s">
        <v>34</v>
      </c>
      <c r="B10" s="25"/>
      <c r="C10" s="14">
        <v>0</v>
      </c>
      <c r="D10" s="14">
        <v>0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4</v>
      </c>
      <c r="L10" s="14">
        <v>4</v>
      </c>
      <c r="M10" s="14">
        <v>4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4</v>
      </c>
      <c r="T10" s="9">
        <v>24</v>
      </c>
      <c r="U10" s="14">
        <v>0</v>
      </c>
      <c r="V10" s="14">
        <v>4</v>
      </c>
      <c r="W10" s="14">
        <v>0</v>
      </c>
      <c r="X10" s="14">
        <v>0</v>
      </c>
      <c r="Y10" s="14">
        <v>4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4</v>
      </c>
      <c r="AF10" s="14">
        <v>0</v>
      </c>
      <c r="AG10" s="14">
        <v>0</v>
      </c>
      <c r="AH10" s="14">
        <v>4</v>
      </c>
      <c r="AI10" s="14">
        <v>0</v>
      </c>
      <c r="AJ10" s="14">
        <v>0</v>
      </c>
      <c r="AK10" s="17">
        <v>16</v>
      </c>
      <c r="AL10" s="10">
        <v>40</v>
      </c>
    </row>
    <row r="11" spans="1:38" ht="13.25" x14ac:dyDescent="0.25">
      <c r="A11" s="12" t="s">
        <v>35</v>
      </c>
      <c r="B11" s="13" t="s">
        <v>36</v>
      </c>
      <c r="C11" s="8" t="s">
        <v>25</v>
      </c>
      <c r="D11" s="8" t="s">
        <v>25</v>
      </c>
      <c r="E11" s="8">
        <v>4</v>
      </c>
      <c r="F11" s="8">
        <v>4</v>
      </c>
      <c r="G11" s="8" t="s">
        <v>25</v>
      </c>
      <c r="H11" s="8" t="s">
        <v>25</v>
      </c>
      <c r="I11" s="8" t="s">
        <v>25</v>
      </c>
      <c r="J11" s="8">
        <v>4</v>
      </c>
      <c r="K11" s="8">
        <v>0</v>
      </c>
      <c r="L11" s="8">
        <v>4</v>
      </c>
      <c r="M11" s="8" t="s">
        <v>25</v>
      </c>
      <c r="N11" s="8">
        <v>4</v>
      </c>
      <c r="O11" s="8" t="s">
        <v>25</v>
      </c>
      <c r="P11" s="8">
        <v>6</v>
      </c>
      <c r="Q11" s="8">
        <v>4</v>
      </c>
      <c r="R11" s="8" t="s">
        <v>25</v>
      </c>
      <c r="S11" s="8">
        <v>4</v>
      </c>
      <c r="T11" s="9">
        <v>34</v>
      </c>
      <c r="U11" s="8">
        <v>4</v>
      </c>
      <c r="V11" s="8" t="s">
        <v>25</v>
      </c>
      <c r="W11" s="8" t="s">
        <v>25</v>
      </c>
      <c r="X11" s="8" t="s">
        <v>25</v>
      </c>
      <c r="Y11" s="8">
        <v>4</v>
      </c>
      <c r="Z11" s="8" t="s">
        <v>25</v>
      </c>
      <c r="AA11" s="8" t="s">
        <v>25</v>
      </c>
      <c r="AB11" s="8" t="s">
        <v>25</v>
      </c>
      <c r="AC11" s="8" t="s">
        <v>25</v>
      </c>
      <c r="AD11" s="8" t="s">
        <v>25</v>
      </c>
      <c r="AE11" s="8" t="s">
        <v>25</v>
      </c>
      <c r="AF11" s="8" t="s">
        <v>25</v>
      </c>
      <c r="AG11" s="8" t="s">
        <v>25</v>
      </c>
      <c r="AH11" s="8">
        <v>8</v>
      </c>
      <c r="AI11" s="8" t="s">
        <v>25</v>
      </c>
      <c r="AJ11" s="8" t="s">
        <v>25</v>
      </c>
      <c r="AK11" s="17">
        <v>16</v>
      </c>
      <c r="AL11" s="10">
        <v>50</v>
      </c>
    </row>
    <row r="12" spans="1:38" ht="13.25" x14ac:dyDescent="0.25">
      <c r="A12" s="12" t="s">
        <v>37</v>
      </c>
      <c r="B12" s="13" t="s">
        <v>38</v>
      </c>
      <c r="C12" s="8">
        <v>4</v>
      </c>
      <c r="D12" s="8" t="s">
        <v>25</v>
      </c>
      <c r="E12" s="8" t="s">
        <v>25</v>
      </c>
      <c r="F12" s="8" t="s">
        <v>25</v>
      </c>
      <c r="G12" s="8" t="s">
        <v>25</v>
      </c>
      <c r="H12" s="8" t="s">
        <v>25</v>
      </c>
      <c r="I12" s="8" t="s">
        <v>25</v>
      </c>
      <c r="J12" s="8" t="s">
        <v>25</v>
      </c>
      <c r="K12" s="8">
        <v>4</v>
      </c>
      <c r="L12" s="8">
        <v>4</v>
      </c>
      <c r="M12" s="8" t="s">
        <v>25</v>
      </c>
      <c r="N12" s="8">
        <v>4</v>
      </c>
      <c r="O12" s="8" t="s">
        <v>25</v>
      </c>
      <c r="P12" s="8">
        <v>6</v>
      </c>
      <c r="Q12" s="8" t="s">
        <v>25</v>
      </c>
      <c r="R12" s="8" t="s">
        <v>25</v>
      </c>
      <c r="S12" s="8" t="s">
        <v>25</v>
      </c>
      <c r="T12" s="9">
        <v>22</v>
      </c>
      <c r="U12" s="8">
        <v>4</v>
      </c>
      <c r="V12" s="8" t="s">
        <v>25</v>
      </c>
      <c r="W12" s="8" t="s">
        <v>25</v>
      </c>
      <c r="X12" s="8" t="s">
        <v>25</v>
      </c>
      <c r="Y12" s="8">
        <v>0</v>
      </c>
      <c r="Z12" s="8" t="s">
        <v>25</v>
      </c>
      <c r="AA12" s="8" t="s">
        <v>25</v>
      </c>
      <c r="AB12" s="8" t="s">
        <v>25</v>
      </c>
      <c r="AC12" s="8" t="s">
        <v>25</v>
      </c>
      <c r="AD12" s="8" t="s">
        <v>25</v>
      </c>
      <c r="AE12" s="8" t="s">
        <v>25</v>
      </c>
      <c r="AF12" s="8" t="s">
        <v>25</v>
      </c>
      <c r="AG12" s="8" t="s">
        <v>25</v>
      </c>
      <c r="AH12" s="8">
        <v>14</v>
      </c>
      <c r="AI12" s="8" t="s">
        <v>25</v>
      </c>
      <c r="AJ12" s="8" t="s">
        <v>25</v>
      </c>
      <c r="AK12" s="17">
        <v>18</v>
      </c>
      <c r="AL12" s="10">
        <v>40</v>
      </c>
    </row>
    <row r="13" spans="1:38" ht="13.25" x14ac:dyDescent="0.25">
      <c r="A13" s="12" t="s">
        <v>39</v>
      </c>
      <c r="B13" s="13" t="s">
        <v>40</v>
      </c>
      <c r="C13" s="8" t="s">
        <v>25</v>
      </c>
      <c r="D13" s="8" t="s">
        <v>25</v>
      </c>
      <c r="E13" s="8" t="s">
        <v>25</v>
      </c>
      <c r="F13" s="8" t="s">
        <v>25</v>
      </c>
      <c r="G13" s="8" t="s">
        <v>25</v>
      </c>
      <c r="H13" s="8">
        <v>4</v>
      </c>
      <c r="I13" s="8" t="s">
        <v>25</v>
      </c>
      <c r="J13" s="8" t="s">
        <v>25</v>
      </c>
      <c r="K13" s="8" t="s">
        <v>25</v>
      </c>
      <c r="L13" s="8">
        <v>4</v>
      </c>
      <c r="M13" s="8" t="s">
        <v>25</v>
      </c>
      <c r="N13" s="8" t="s">
        <v>25</v>
      </c>
      <c r="O13" s="8" t="s">
        <v>25</v>
      </c>
      <c r="P13" s="8">
        <v>4</v>
      </c>
      <c r="Q13" s="8">
        <v>4</v>
      </c>
      <c r="R13" s="8" t="s">
        <v>25</v>
      </c>
      <c r="S13" s="8" t="s">
        <v>25</v>
      </c>
      <c r="T13" s="9">
        <v>16</v>
      </c>
      <c r="U13" s="8" t="s">
        <v>25</v>
      </c>
      <c r="V13" s="8" t="s">
        <v>25</v>
      </c>
      <c r="W13" s="8" t="s">
        <v>25</v>
      </c>
      <c r="X13" s="8" t="s">
        <v>25</v>
      </c>
      <c r="Y13" s="8" t="s">
        <v>25</v>
      </c>
      <c r="Z13" s="8" t="s">
        <v>25</v>
      </c>
      <c r="AA13" s="8" t="s">
        <v>25</v>
      </c>
      <c r="AB13" s="8" t="s">
        <v>25</v>
      </c>
      <c r="AC13" s="8" t="s">
        <v>25</v>
      </c>
      <c r="AD13" s="8" t="s">
        <v>25</v>
      </c>
      <c r="AE13" s="8" t="s">
        <v>25</v>
      </c>
      <c r="AF13" s="8" t="s">
        <v>25</v>
      </c>
      <c r="AG13" s="8" t="s">
        <v>25</v>
      </c>
      <c r="AH13" s="8">
        <v>4</v>
      </c>
      <c r="AI13" s="8" t="s">
        <v>25</v>
      </c>
      <c r="AJ13" s="8" t="s">
        <v>25</v>
      </c>
      <c r="AK13" s="17">
        <v>4</v>
      </c>
      <c r="AL13" s="10">
        <v>20</v>
      </c>
    </row>
    <row r="14" spans="1:38" s="3" customFormat="1" ht="14.45" customHeight="1" x14ac:dyDescent="0.25">
      <c r="A14" s="25" t="s">
        <v>41</v>
      </c>
      <c r="B14" s="25"/>
      <c r="C14" s="14">
        <v>4</v>
      </c>
      <c r="D14" s="14">
        <v>0</v>
      </c>
      <c r="E14" s="14">
        <v>4</v>
      </c>
      <c r="F14" s="14">
        <v>4</v>
      </c>
      <c r="G14" s="14">
        <v>0</v>
      </c>
      <c r="H14" s="14">
        <v>4</v>
      </c>
      <c r="I14" s="14">
        <v>0</v>
      </c>
      <c r="J14" s="14">
        <v>4</v>
      </c>
      <c r="K14" s="14">
        <v>4</v>
      </c>
      <c r="L14" s="14">
        <v>12</v>
      </c>
      <c r="M14" s="14">
        <v>0</v>
      </c>
      <c r="N14" s="14">
        <v>8</v>
      </c>
      <c r="O14" s="14">
        <v>0</v>
      </c>
      <c r="P14" s="14">
        <v>16</v>
      </c>
      <c r="Q14" s="14">
        <v>8</v>
      </c>
      <c r="R14" s="14">
        <v>0</v>
      </c>
      <c r="S14" s="14">
        <v>4</v>
      </c>
      <c r="T14" s="9">
        <v>72</v>
      </c>
      <c r="U14" s="14">
        <v>8</v>
      </c>
      <c r="V14" s="14">
        <v>0</v>
      </c>
      <c r="W14" s="14">
        <v>0</v>
      </c>
      <c r="X14" s="14">
        <v>0</v>
      </c>
      <c r="Y14" s="14">
        <v>4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26</v>
      </c>
      <c r="AI14" s="14">
        <v>0</v>
      </c>
      <c r="AJ14" s="14">
        <v>0</v>
      </c>
      <c r="AK14" s="17">
        <v>38</v>
      </c>
      <c r="AL14" s="10">
        <v>110</v>
      </c>
    </row>
    <row r="15" spans="1:38" ht="13.25" x14ac:dyDescent="0.25">
      <c r="A15" s="12" t="s">
        <v>42</v>
      </c>
      <c r="B15" s="13" t="s">
        <v>43</v>
      </c>
      <c r="C15" s="8" t="s">
        <v>25</v>
      </c>
      <c r="D15" s="8" t="s">
        <v>25</v>
      </c>
      <c r="E15" s="8" t="s">
        <v>25</v>
      </c>
      <c r="F15" s="8">
        <v>6</v>
      </c>
      <c r="G15" s="8" t="s">
        <v>25</v>
      </c>
      <c r="H15" s="8" t="s">
        <v>25</v>
      </c>
      <c r="I15" s="8" t="s">
        <v>25</v>
      </c>
      <c r="J15" s="8">
        <v>0</v>
      </c>
      <c r="K15" s="8">
        <v>4</v>
      </c>
      <c r="L15" s="8">
        <v>4</v>
      </c>
      <c r="M15" s="8" t="s">
        <v>25</v>
      </c>
      <c r="N15" s="8">
        <v>0</v>
      </c>
      <c r="O15" s="8">
        <v>4</v>
      </c>
      <c r="P15" s="8">
        <v>4</v>
      </c>
      <c r="Q15" s="8">
        <v>4</v>
      </c>
      <c r="R15" s="8" t="s">
        <v>25</v>
      </c>
      <c r="S15" s="8" t="s">
        <v>25</v>
      </c>
      <c r="T15" s="9">
        <v>26</v>
      </c>
      <c r="U15" s="8">
        <v>4</v>
      </c>
      <c r="V15" s="8">
        <v>0</v>
      </c>
      <c r="W15" s="8">
        <v>6</v>
      </c>
      <c r="X15" s="8" t="s">
        <v>25</v>
      </c>
      <c r="Y15" s="8">
        <v>0</v>
      </c>
      <c r="Z15" s="8" t="s">
        <v>25</v>
      </c>
      <c r="AA15" s="8" t="s">
        <v>25</v>
      </c>
      <c r="AB15" s="8" t="s">
        <v>25</v>
      </c>
      <c r="AC15" s="8" t="s">
        <v>25</v>
      </c>
      <c r="AD15" s="8" t="s">
        <v>25</v>
      </c>
      <c r="AE15" s="8">
        <v>0</v>
      </c>
      <c r="AF15" s="8" t="s">
        <v>25</v>
      </c>
      <c r="AG15" s="8">
        <v>4</v>
      </c>
      <c r="AH15" s="8">
        <v>6</v>
      </c>
      <c r="AI15" s="8" t="s">
        <v>25</v>
      </c>
      <c r="AJ15" s="8">
        <v>4</v>
      </c>
      <c r="AK15" s="17">
        <v>24</v>
      </c>
      <c r="AL15" s="10">
        <v>50</v>
      </c>
    </row>
    <row r="16" spans="1:38" ht="13.25" x14ac:dyDescent="0.25">
      <c r="A16" s="12" t="s">
        <v>44</v>
      </c>
      <c r="B16" s="13" t="s">
        <v>45</v>
      </c>
      <c r="C16" s="8" t="s">
        <v>25</v>
      </c>
      <c r="D16" s="8" t="s">
        <v>25</v>
      </c>
      <c r="E16" s="8" t="s">
        <v>25</v>
      </c>
      <c r="F16" s="8">
        <v>10</v>
      </c>
      <c r="G16" s="8" t="s">
        <v>25</v>
      </c>
      <c r="H16" s="8" t="s">
        <v>25</v>
      </c>
      <c r="I16" s="8" t="s">
        <v>25</v>
      </c>
      <c r="J16" s="8" t="s">
        <v>25</v>
      </c>
      <c r="K16" s="8" t="s">
        <v>25</v>
      </c>
      <c r="L16" s="8">
        <v>4</v>
      </c>
      <c r="M16" s="8" t="s">
        <v>25</v>
      </c>
      <c r="N16" s="8" t="s">
        <v>25</v>
      </c>
      <c r="O16" s="8" t="s">
        <v>25</v>
      </c>
      <c r="P16" s="8" t="s">
        <v>25</v>
      </c>
      <c r="Q16" s="8" t="s">
        <v>25</v>
      </c>
      <c r="R16" s="8">
        <v>4</v>
      </c>
      <c r="S16" s="8">
        <v>4</v>
      </c>
      <c r="T16" s="9">
        <v>22</v>
      </c>
      <c r="U16" s="8" t="s">
        <v>25</v>
      </c>
      <c r="V16" s="8">
        <v>6</v>
      </c>
      <c r="W16" s="8">
        <v>4</v>
      </c>
      <c r="X16" s="8" t="s">
        <v>25</v>
      </c>
      <c r="Y16" s="8">
        <v>4</v>
      </c>
      <c r="Z16" s="8" t="s">
        <v>25</v>
      </c>
      <c r="AA16" s="8" t="s">
        <v>25</v>
      </c>
      <c r="AB16" s="8" t="s">
        <v>25</v>
      </c>
      <c r="AC16" s="8" t="s">
        <v>25</v>
      </c>
      <c r="AD16" s="8" t="s">
        <v>25</v>
      </c>
      <c r="AE16" s="8">
        <v>4</v>
      </c>
      <c r="AF16" s="8" t="s">
        <v>25</v>
      </c>
      <c r="AG16" s="8" t="s">
        <v>25</v>
      </c>
      <c r="AH16" s="8" t="s">
        <v>25</v>
      </c>
      <c r="AI16" s="8" t="s">
        <v>25</v>
      </c>
      <c r="AJ16" s="8" t="s">
        <v>25</v>
      </c>
      <c r="AK16" s="17">
        <v>18</v>
      </c>
      <c r="AL16" s="10">
        <v>40</v>
      </c>
    </row>
    <row r="17" spans="1:38" s="3" customFormat="1" ht="14.45" customHeight="1" x14ac:dyDescent="0.25">
      <c r="A17" s="25" t="s">
        <v>46</v>
      </c>
      <c r="B17" s="25"/>
      <c r="C17" s="14">
        <v>0</v>
      </c>
      <c r="D17" s="14">
        <v>0</v>
      </c>
      <c r="E17" s="14">
        <v>0</v>
      </c>
      <c r="F17" s="14">
        <v>16</v>
      </c>
      <c r="G17" s="14">
        <v>0</v>
      </c>
      <c r="H17" s="14">
        <v>0</v>
      </c>
      <c r="I17" s="14">
        <v>0</v>
      </c>
      <c r="J17" s="14">
        <v>0</v>
      </c>
      <c r="K17" s="14">
        <v>4</v>
      </c>
      <c r="L17" s="14">
        <v>8</v>
      </c>
      <c r="M17" s="14">
        <v>0</v>
      </c>
      <c r="N17" s="14">
        <v>0</v>
      </c>
      <c r="O17" s="14">
        <v>4</v>
      </c>
      <c r="P17" s="14">
        <v>4</v>
      </c>
      <c r="Q17" s="14">
        <v>4</v>
      </c>
      <c r="R17" s="14">
        <v>4</v>
      </c>
      <c r="S17" s="14">
        <v>4</v>
      </c>
      <c r="T17" s="9">
        <v>48</v>
      </c>
      <c r="U17" s="14">
        <v>4</v>
      </c>
      <c r="V17" s="14">
        <v>6</v>
      </c>
      <c r="W17" s="14">
        <v>10</v>
      </c>
      <c r="X17" s="14">
        <v>0</v>
      </c>
      <c r="Y17" s="14">
        <v>4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4</v>
      </c>
      <c r="AF17" s="14">
        <v>0</v>
      </c>
      <c r="AG17" s="14">
        <v>4</v>
      </c>
      <c r="AH17" s="14">
        <v>6</v>
      </c>
      <c r="AI17" s="14">
        <v>0</v>
      </c>
      <c r="AJ17" s="14">
        <v>4</v>
      </c>
      <c r="AK17" s="17">
        <v>42</v>
      </c>
      <c r="AL17" s="10">
        <v>90</v>
      </c>
    </row>
    <row r="18" spans="1:38" ht="13.25" x14ac:dyDescent="0.25">
      <c r="A18" s="12" t="s">
        <v>47</v>
      </c>
      <c r="B18" s="13" t="s">
        <v>48</v>
      </c>
      <c r="C18" s="8" t="s">
        <v>25</v>
      </c>
      <c r="D18" s="8" t="s">
        <v>25</v>
      </c>
      <c r="E18" s="8" t="s">
        <v>25</v>
      </c>
      <c r="F18" s="8">
        <v>4</v>
      </c>
      <c r="G18" s="8">
        <v>4</v>
      </c>
      <c r="H18" s="8" t="s">
        <v>25</v>
      </c>
      <c r="I18" s="8" t="s">
        <v>25</v>
      </c>
      <c r="J18" s="8" t="s">
        <v>25</v>
      </c>
      <c r="K18" s="8" t="s">
        <v>25</v>
      </c>
      <c r="L18" s="8" t="s">
        <v>25</v>
      </c>
      <c r="M18" s="8" t="s">
        <v>25</v>
      </c>
      <c r="N18" s="8">
        <v>4</v>
      </c>
      <c r="O18" s="8" t="s">
        <v>25</v>
      </c>
      <c r="P18" s="8">
        <v>4</v>
      </c>
      <c r="Q18" s="8" t="s">
        <v>25</v>
      </c>
      <c r="R18" s="8" t="s">
        <v>25</v>
      </c>
      <c r="S18" s="8" t="s">
        <v>25</v>
      </c>
      <c r="T18" s="9">
        <v>16</v>
      </c>
      <c r="U18" s="8" t="s">
        <v>25</v>
      </c>
      <c r="V18" s="8">
        <v>4</v>
      </c>
      <c r="W18" s="8" t="s">
        <v>25</v>
      </c>
      <c r="X18" s="8" t="s">
        <v>25</v>
      </c>
      <c r="Y18" s="8">
        <v>0</v>
      </c>
      <c r="Z18" s="8" t="s">
        <v>25</v>
      </c>
      <c r="AA18" s="8" t="s">
        <v>25</v>
      </c>
      <c r="AB18" s="8" t="s">
        <v>25</v>
      </c>
      <c r="AC18" s="8" t="s">
        <v>25</v>
      </c>
      <c r="AD18" s="8" t="s">
        <v>25</v>
      </c>
      <c r="AE18" s="8" t="s">
        <v>25</v>
      </c>
      <c r="AF18" s="8">
        <v>4</v>
      </c>
      <c r="AG18" s="8" t="s">
        <v>25</v>
      </c>
      <c r="AH18" s="8">
        <v>4</v>
      </c>
      <c r="AI18" s="8" t="s">
        <v>25</v>
      </c>
      <c r="AJ18" s="8" t="s">
        <v>25</v>
      </c>
      <c r="AK18" s="17">
        <v>12</v>
      </c>
      <c r="AL18" s="10">
        <v>28</v>
      </c>
    </row>
    <row r="19" spans="1:38" ht="13.25" x14ac:dyDescent="0.25">
      <c r="A19" s="12" t="s">
        <v>49</v>
      </c>
      <c r="B19" s="13" t="s">
        <v>50</v>
      </c>
      <c r="C19" s="8" t="s">
        <v>25</v>
      </c>
      <c r="D19" s="8" t="s">
        <v>25</v>
      </c>
      <c r="E19" s="8" t="s">
        <v>25</v>
      </c>
      <c r="F19" s="8" t="s">
        <v>25</v>
      </c>
      <c r="G19" s="8" t="s">
        <v>25</v>
      </c>
      <c r="H19" s="8" t="s">
        <v>25</v>
      </c>
      <c r="I19" s="8" t="s">
        <v>25</v>
      </c>
      <c r="J19" s="8" t="s">
        <v>25</v>
      </c>
      <c r="K19" s="8" t="s">
        <v>25</v>
      </c>
      <c r="L19" s="8" t="s">
        <v>25</v>
      </c>
      <c r="M19" s="8" t="s">
        <v>25</v>
      </c>
      <c r="N19" s="8" t="s">
        <v>25</v>
      </c>
      <c r="O19" s="8" t="s">
        <v>25</v>
      </c>
      <c r="P19" s="8" t="s">
        <v>25</v>
      </c>
      <c r="Q19" s="8" t="s">
        <v>25</v>
      </c>
      <c r="R19" s="8" t="s">
        <v>25</v>
      </c>
      <c r="S19" s="8" t="s">
        <v>25</v>
      </c>
      <c r="T19" s="9">
        <v>0</v>
      </c>
      <c r="U19" s="8" t="s">
        <v>25</v>
      </c>
      <c r="V19" s="8" t="s">
        <v>25</v>
      </c>
      <c r="W19" s="8" t="s">
        <v>25</v>
      </c>
      <c r="X19" s="8" t="s">
        <v>25</v>
      </c>
      <c r="Y19" s="8" t="s">
        <v>25</v>
      </c>
      <c r="Z19" s="8" t="s">
        <v>25</v>
      </c>
      <c r="AA19" s="8" t="s">
        <v>25</v>
      </c>
      <c r="AB19" s="8" t="s">
        <v>25</v>
      </c>
      <c r="AC19" s="8" t="s">
        <v>25</v>
      </c>
      <c r="AD19" s="8" t="s">
        <v>25</v>
      </c>
      <c r="AE19" s="8" t="s">
        <v>25</v>
      </c>
      <c r="AF19" s="8" t="s">
        <v>25</v>
      </c>
      <c r="AG19" s="8" t="s">
        <v>25</v>
      </c>
      <c r="AH19" s="8" t="s">
        <v>25</v>
      </c>
      <c r="AI19" s="8" t="s">
        <v>25</v>
      </c>
      <c r="AJ19" s="8" t="s">
        <v>25</v>
      </c>
      <c r="AK19" s="17">
        <v>0</v>
      </c>
      <c r="AL19" s="10">
        <v>0</v>
      </c>
    </row>
    <row r="20" spans="1:38" ht="13.25" x14ac:dyDescent="0.25">
      <c r="A20" s="12" t="s">
        <v>51</v>
      </c>
      <c r="B20" s="13" t="s">
        <v>52</v>
      </c>
      <c r="C20" s="8" t="s">
        <v>25</v>
      </c>
      <c r="D20" s="8" t="s">
        <v>25</v>
      </c>
      <c r="E20" s="8" t="s">
        <v>25</v>
      </c>
      <c r="F20" s="8" t="s">
        <v>25</v>
      </c>
      <c r="G20" s="8" t="s">
        <v>25</v>
      </c>
      <c r="H20" s="8" t="s">
        <v>25</v>
      </c>
      <c r="I20" s="8" t="s">
        <v>25</v>
      </c>
      <c r="J20" s="8">
        <v>4</v>
      </c>
      <c r="K20" s="8" t="s">
        <v>25</v>
      </c>
      <c r="L20" s="8" t="s">
        <v>25</v>
      </c>
      <c r="M20" s="8" t="s">
        <v>25</v>
      </c>
      <c r="N20" s="8" t="s">
        <v>25</v>
      </c>
      <c r="O20" s="8" t="s">
        <v>25</v>
      </c>
      <c r="P20" s="8">
        <v>4</v>
      </c>
      <c r="Q20" s="8">
        <v>4</v>
      </c>
      <c r="R20" s="8" t="s">
        <v>25</v>
      </c>
      <c r="S20" s="8">
        <v>4</v>
      </c>
      <c r="T20" s="9">
        <v>16</v>
      </c>
      <c r="U20" s="8" t="s">
        <v>25</v>
      </c>
      <c r="V20" s="8" t="s">
        <v>25</v>
      </c>
      <c r="W20" s="8" t="s">
        <v>25</v>
      </c>
      <c r="X20" s="8" t="s">
        <v>25</v>
      </c>
      <c r="Y20" s="8">
        <v>4</v>
      </c>
      <c r="Z20" s="8" t="s">
        <v>25</v>
      </c>
      <c r="AA20" s="8" t="s">
        <v>25</v>
      </c>
      <c r="AB20" s="8" t="s">
        <v>25</v>
      </c>
      <c r="AC20" s="8" t="s">
        <v>25</v>
      </c>
      <c r="AD20" s="8" t="s">
        <v>25</v>
      </c>
      <c r="AE20" s="8" t="s">
        <v>25</v>
      </c>
      <c r="AF20" s="8" t="s">
        <v>25</v>
      </c>
      <c r="AG20" s="8" t="s">
        <v>25</v>
      </c>
      <c r="AH20" s="8" t="s">
        <v>25</v>
      </c>
      <c r="AI20" s="8" t="s">
        <v>25</v>
      </c>
      <c r="AJ20" s="8" t="s">
        <v>25</v>
      </c>
      <c r="AK20" s="17">
        <v>4</v>
      </c>
      <c r="AL20" s="10">
        <v>20</v>
      </c>
    </row>
    <row r="21" spans="1:38" ht="13.25" x14ac:dyDescent="0.25">
      <c r="A21" s="12" t="s">
        <v>53</v>
      </c>
      <c r="B21" s="13" t="s">
        <v>54</v>
      </c>
      <c r="C21" s="8">
        <v>0</v>
      </c>
      <c r="D21" s="8" t="s">
        <v>25</v>
      </c>
      <c r="E21" s="8">
        <v>4</v>
      </c>
      <c r="F21" s="8" t="s">
        <v>25</v>
      </c>
      <c r="G21" s="8" t="s">
        <v>25</v>
      </c>
      <c r="H21" s="8">
        <v>4</v>
      </c>
      <c r="I21" s="8" t="s">
        <v>25</v>
      </c>
      <c r="J21" s="8">
        <v>4</v>
      </c>
      <c r="K21" s="8" t="s">
        <v>25</v>
      </c>
      <c r="L21" s="8" t="s">
        <v>25</v>
      </c>
      <c r="M21" s="8">
        <v>0</v>
      </c>
      <c r="N21" s="8" t="s">
        <v>25</v>
      </c>
      <c r="O21" s="8">
        <v>4</v>
      </c>
      <c r="P21" s="8" t="s">
        <v>25</v>
      </c>
      <c r="Q21" s="8">
        <v>4</v>
      </c>
      <c r="R21" s="8" t="s">
        <v>25</v>
      </c>
      <c r="S21" s="8" t="s">
        <v>25</v>
      </c>
      <c r="T21" s="9">
        <v>20</v>
      </c>
      <c r="U21" s="8" t="s">
        <v>25</v>
      </c>
      <c r="V21" s="8" t="s">
        <v>25</v>
      </c>
      <c r="W21" s="8" t="s">
        <v>25</v>
      </c>
      <c r="X21" s="8" t="s">
        <v>25</v>
      </c>
      <c r="Y21" s="8">
        <v>0</v>
      </c>
      <c r="Z21" s="8">
        <v>4</v>
      </c>
      <c r="AA21" s="8" t="s">
        <v>25</v>
      </c>
      <c r="AB21" s="8" t="s">
        <v>25</v>
      </c>
      <c r="AC21" s="8" t="s">
        <v>25</v>
      </c>
      <c r="AD21" s="8" t="s">
        <v>25</v>
      </c>
      <c r="AE21" s="8" t="s">
        <v>25</v>
      </c>
      <c r="AF21" s="8" t="s">
        <v>25</v>
      </c>
      <c r="AG21" s="8" t="s">
        <v>25</v>
      </c>
      <c r="AH21" s="8" t="s">
        <v>25</v>
      </c>
      <c r="AI21" s="8" t="s">
        <v>25</v>
      </c>
      <c r="AJ21" s="8" t="s">
        <v>25</v>
      </c>
      <c r="AK21" s="17">
        <v>4</v>
      </c>
      <c r="AL21" s="10">
        <v>24</v>
      </c>
    </row>
    <row r="22" spans="1:38" s="3" customFormat="1" ht="14.45" customHeight="1" x14ac:dyDescent="0.25">
      <c r="A22" s="25" t="s">
        <v>55</v>
      </c>
      <c r="B22" s="25"/>
      <c r="C22" s="14">
        <v>0</v>
      </c>
      <c r="D22" s="14">
        <v>0</v>
      </c>
      <c r="E22" s="14">
        <v>4</v>
      </c>
      <c r="F22" s="14">
        <v>4</v>
      </c>
      <c r="G22" s="14">
        <v>4</v>
      </c>
      <c r="H22" s="14">
        <v>4</v>
      </c>
      <c r="I22" s="14">
        <v>0</v>
      </c>
      <c r="J22" s="14">
        <v>8</v>
      </c>
      <c r="K22" s="14">
        <v>0</v>
      </c>
      <c r="L22" s="14">
        <v>0</v>
      </c>
      <c r="M22" s="14">
        <v>0</v>
      </c>
      <c r="N22" s="14">
        <v>4</v>
      </c>
      <c r="O22" s="14">
        <v>4</v>
      </c>
      <c r="P22" s="14">
        <v>8</v>
      </c>
      <c r="Q22" s="14">
        <v>8</v>
      </c>
      <c r="R22" s="14">
        <v>0</v>
      </c>
      <c r="S22" s="14">
        <v>4</v>
      </c>
      <c r="T22" s="9">
        <v>52</v>
      </c>
      <c r="U22" s="14">
        <v>0</v>
      </c>
      <c r="V22" s="14">
        <v>4</v>
      </c>
      <c r="W22" s="14">
        <v>0</v>
      </c>
      <c r="X22" s="14">
        <v>0</v>
      </c>
      <c r="Y22" s="14">
        <v>4</v>
      </c>
      <c r="Z22" s="14">
        <v>4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4</v>
      </c>
      <c r="AG22" s="14">
        <v>0</v>
      </c>
      <c r="AH22" s="14">
        <v>4</v>
      </c>
      <c r="AI22" s="14">
        <v>0</v>
      </c>
      <c r="AJ22" s="14">
        <v>0</v>
      </c>
      <c r="AK22" s="17">
        <v>20</v>
      </c>
      <c r="AL22" s="10">
        <v>72</v>
      </c>
    </row>
    <row r="23" spans="1:38" s="3" customFormat="1" ht="14.45" customHeight="1" x14ac:dyDescent="0.25">
      <c r="A23" s="24" t="s">
        <v>56</v>
      </c>
      <c r="B23" s="24"/>
      <c r="C23" s="15">
        <v>4</v>
      </c>
      <c r="D23" s="15">
        <v>0</v>
      </c>
      <c r="E23" s="15">
        <v>8</v>
      </c>
      <c r="F23" s="15">
        <v>28</v>
      </c>
      <c r="G23" s="15">
        <v>4</v>
      </c>
      <c r="H23" s="15">
        <v>8</v>
      </c>
      <c r="I23" s="15">
        <v>0</v>
      </c>
      <c r="J23" s="15">
        <v>16</v>
      </c>
      <c r="K23" s="15">
        <v>12</v>
      </c>
      <c r="L23" s="15">
        <v>24</v>
      </c>
      <c r="M23" s="15">
        <v>4</v>
      </c>
      <c r="N23" s="15">
        <v>12</v>
      </c>
      <c r="O23" s="15">
        <v>8</v>
      </c>
      <c r="P23" s="15">
        <v>28</v>
      </c>
      <c r="Q23" s="15">
        <v>20</v>
      </c>
      <c r="R23" s="15">
        <v>4</v>
      </c>
      <c r="S23" s="15">
        <v>16</v>
      </c>
      <c r="T23" s="9">
        <v>196</v>
      </c>
      <c r="U23" s="15">
        <v>12</v>
      </c>
      <c r="V23" s="15">
        <v>14</v>
      </c>
      <c r="W23" s="15">
        <v>10</v>
      </c>
      <c r="X23" s="15">
        <v>0</v>
      </c>
      <c r="Y23" s="15">
        <v>16</v>
      </c>
      <c r="Z23" s="15">
        <v>4</v>
      </c>
      <c r="AA23" s="15">
        <v>0</v>
      </c>
      <c r="AB23" s="15">
        <v>0</v>
      </c>
      <c r="AC23" s="15">
        <v>0</v>
      </c>
      <c r="AD23" s="15">
        <v>0</v>
      </c>
      <c r="AE23" s="15">
        <v>8</v>
      </c>
      <c r="AF23" s="15">
        <v>4</v>
      </c>
      <c r="AG23" s="15">
        <v>4</v>
      </c>
      <c r="AH23" s="15">
        <v>40</v>
      </c>
      <c r="AI23" s="15">
        <v>0</v>
      </c>
      <c r="AJ23" s="15">
        <v>4</v>
      </c>
      <c r="AK23" s="17">
        <v>116</v>
      </c>
      <c r="AL23" s="10">
        <v>312</v>
      </c>
    </row>
    <row r="24" spans="1:38" ht="13.25" x14ac:dyDescent="0.25">
      <c r="A24" s="12" t="s">
        <v>57</v>
      </c>
      <c r="B24" s="13" t="s">
        <v>58</v>
      </c>
      <c r="C24" s="8">
        <v>4</v>
      </c>
      <c r="D24" s="8" t="s">
        <v>25</v>
      </c>
      <c r="E24" s="8">
        <v>4</v>
      </c>
      <c r="F24" s="8" t="s">
        <v>25</v>
      </c>
      <c r="G24" s="8" t="s">
        <v>25</v>
      </c>
      <c r="H24" s="8" t="s">
        <v>25</v>
      </c>
      <c r="I24" s="8" t="s">
        <v>25</v>
      </c>
      <c r="J24" s="8" t="s">
        <v>25</v>
      </c>
      <c r="K24" s="8" t="s">
        <v>25</v>
      </c>
      <c r="L24" s="8" t="s">
        <v>25</v>
      </c>
      <c r="M24" s="8" t="s">
        <v>25</v>
      </c>
      <c r="N24" s="8" t="s">
        <v>25</v>
      </c>
      <c r="O24" s="8" t="s">
        <v>25</v>
      </c>
      <c r="P24" s="8" t="s">
        <v>25</v>
      </c>
      <c r="Q24" s="8" t="s">
        <v>25</v>
      </c>
      <c r="R24" s="8" t="s">
        <v>25</v>
      </c>
      <c r="S24" s="8">
        <v>4</v>
      </c>
      <c r="T24" s="9">
        <v>12</v>
      </c>
      <c r="U24" s="8">
        <v>4</v>
      </c>
      <c r="V24" s="8" t="s">
        <v>25</v>
      </c>
      <c r="W24" s="8" t="s">
        <v>25</v>
      </c>
      <c r="X24" s="8" t="s">
        <v>25</v>
      </c>
      <c r="Y24" s="8">
        <v>4</v>
      </c>
      <c r="Z24" s="8" t="s">
        <v>25</v>
      </c>
      <c r="AA24" s="8" t="s">
        <v>25</v>
      </c>
      <c r="AB24" s="8" t="s">
        <v>25</v>
      </c>
      <c r="AC24" s="8">
        <v>4</v>
      </c>
      <c r="AD24" s="8" t="s">
        <v>25</v>
      </c>
      <c r="AE24" s="8" t="s">
        <v>25</v>
      </c>
      <c r="AF24" s="8" t="s">
        <v>25</v>
      </c>
      <c r="AG24" s="8" t="s">
        <v>25</v>
      </c>
      <c r="AH24" s="8" t="s">
        <v>25</v>
      </c>
      <c r="AI24" s="8" t="s">
        <v>25</v>
      </c>
      <c r="AJ24" s="8" t="s">
        <v>25</v>
      </c>
      <c r="AK24" s="17">
        <v>12</v>
      </c>
      <c r="AL24" s="10">
        <v>24</v>
      </c>
    </row>
    <row r="25" spans="1:38" ht="13.25" x14ac:dyDescent="0.25">
      <c r="A25" s="12" t="s">
        <v>59</v>
      </c>
      <c r="B25" s="13" t="s">
        <v>60</v>
      </c>
      <c r="C25" s="8">
        <v>4</v>
      </c>
      <c r="D25" s="8" t="s">
        <v>25</v>
      </c>
      <c r="E25" s="8" t="s">
        <v>25</v>
      </c>
      <c r="F25" s="8" t="s">
        <v>25</v>
      </c>
      <c r="G25" s="8" t="s">
        <v>25</v>
      </c>
      <c r="H25" s="8" t="s">
        <v>25</v>
      </c>
      <c r="I25" s="8" t="s">
        <v>25</v>
      </c>
      <c r="J25" s="8" t="s">
        <v>25</v>
      </c>
      <c r="K25" s="8" t="s">
        <v>25</v>
      </c>
      <c r="L25" s="8" t="s">
        <v>25</v>
      </c>
      <c r="M25" s="8">
        <v>0</v>
      </c>
      <c r="N25" s="8" t="s">
        <v>25</v>
      </c>
      <c r="O25" s="8" t="s">
        <v>25</v>
      </c>
      <c r="P25" s="8" t="s">
        <v>25</v>
      </c>
      <c r="Q25" s="8" t="s">
        <v>25</v>
      </c>
      <c r="R25" s="8" t="s">
        <v>25</v>
      </c>
      <c r="S25" s="8" t="s">
        <v>25</v>
      </c>
      <c r="T25" s="9">
        <v>4</v>
      </c>
      <c r="U25" s="8" t="s">
        <v>25</v>
      </c>
      <c r="V25" s="8" t="s">
        <v>25</v>
      </c>
      <c r="W25" s="8" t="s">
        <v>25</v>
      </c>
      <c r="X25" s="8" t="s">
        <v>25</v>
      </c>
      <c r="Y25" s="8" t="s">
        <v>25</v>
      </c>
      <c r="Z25" s="8" t="s">
        <v>25</v>
      </c>
      <c r="AA25" s="8" t="s">
        <v>25</v>
      </c>
      <c r="AB25" s="8" t="s">
        <v>25</v>
      </c>
      <c r="AC25" s="8" t="s">
        <v>25</v>
      </c>
      <c r="AD25" s="8" t="s">
        <v>25</v>
      </c>
      <c r="AE25" s="8" t="s">
        <v>25</v>
      </c>
      <c r="AF25" s="8" t="s">
        <v>25</v>
      </c>
      <c r="AG25" s="8" t="s">
        <v>25</v>
      </c>
      <c r="AH25" s="8" t="s">
        <v>25</v>
      </c>
      <c r="AI25" s="8" t="s">
        <v>25</v>
      </c>
      <c r="AJ25" s="8" t="s">
        <v>25</v>
      </c>
      <c r="AK25" s="17">
        <v>0</v>
      </c>
      <c r="AL25" s="10">
        <v>4</v>
      </c>
    </row>
    <row r="26" spans="1:38" ht="13.25" x14ac:dyDescent="0.25">
      <c r="A26" s="12" t="s">
        <v>61</v>
      </c>
      <c r="B26" s="13" t="s">
        <v>62</v>
      </c>
      <c r="C26" s="8">
        <v>4</v>
      </c>
      <c r="D26" s="8" t="s">
        <v>25</v>
      </c>
      <c r="E26" s="8">
        <v>4</v>
      </c>
      <c r="F26" s="8" t="s">
        <v>25</v>
      </c>
      <c r="G26" s="8" t="s">
        <v>25</v>
      </c>
      <c r="H26" s="8" t="s">
        <v>25</v>
      </c>
      <c r="I26" s="8" t="s">
        <v>25</v>
      </c>
      <c r="J26" s="8" t="s">
        <v>25</v>
      </c>
      <c r="K26" s="8" t="s">
        <v>25</v>
      </c>
      <c r="L26" s="8" t="s">
        <v>25</v>
      </c>
      <c r="M26" s="8" t="s">
        <v>25</v>
      </c>
      <c r="N26" s="8" t="s">
        <v>25</v>
      </c>
      <c r="O26" s="8">
        <v>4</v>
      </c>
      <c r="P26" s="8" t="s">
        <v>25</v>
      </c>
      <c r="Q26" s="8" t="s">
        <v>25</v>
      </c>
      <c r="R26" s="8" t="s">
        <v>25</v>
      </c>
      <c r="S26" s="8" t="s">
        <v>25</v>
      </c>
      <c r="T26" s="9">
        <v>12</v>
      </c>
      <c r="U26" s="8" t="s">
        <v>25</v>
      </c>
      <c r="V26" s="8" t="s">
        <v>25</v>
      </c>
      <c r="W26" s="8" t="s">
        <v>25</v>
      </c>
      <c r="X26" s="8" t="s">
        <v>25</v>
      </c>
      <c r="Y26" s="8">
        <v>4</v>
      </c>
      <c r="Z26" s="8" t="s">
        <v>25</v>
      </c>
      <c r="AA26" s="8" t="s">
        <v>25</v>
      </c>
      <c r="AB26" s="8" t="s">
        <v>25</v>
      </c>
      <c r="AC26" s="8" t="s">
        <v>25</v>
      </c>
      <c r="AD26" s="8" t="s">
        <v>25</v>
      </c>
      <c r="AE26" s="8" t="s">
        <v>25</v>
      </c>
      <c r="AF26" s="8" t="s">
        <v>25</v>
      </c>
      <c r="AG26" s="8" t="s">
        <v>25</v>
      </c>
      <c r="AH26" s="8" t="s">
        <v>25</v>
      </c>
      <c r="AI26" s="8" t="s">
        <v>25</v>
      </c>
      <c r="AJ26" s="8" t="s">
        <v>25</v>
      </c>
      <c r="AK26" s="17">
        <v>4</v>
      </c>
      <c r="AL26" s="10">
        <v>16</v>
      </c>
    </row>
    <row r="27" spans="1:38" s="3" customFormat="1" ht="14.45" customHeight="1" x14ac:dyDescent="0.25">
      <c r="A27" s="25" t="s">
        <v>63</v>
      </c>
      <c r="B27" s="25"/>
      <c r="C27" s="14">
        <v>12</v>
      </c>
      <c r="D27" s="14">
        <v>0</v>
      </c>
      <c r="E27" s="14">
        <v>8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4</v>
      </c>
      <c r="P27" s="14">
        <v>0</v>
      </c>
      <c r="Q27" s="14">
        <v>0</v>
      </c>
      <c r="R27" s="14">
        <v>0</v>
      </c>
      <c r="S27" s="14">
        <v>4</v>
      </c>
      <c r="T27" s="9">
        <v>28</v>
      </c>
      <c r="U27" s="14">
        <v>4</v>
      </c>
      <c r="V27" s="14">
        <v>0</v>
      </c>
      <c r="W27" s="14">
        <v>0</v>
      </c>
      <c r="X27" s="14">
        <v>0</v>
      </c>
      <c r="Y27" s="14">
        <v>8</v>
      </c>
      <c r="Z27" s="14">
        <v>0</v>
      </c>
      <c r="AA27" s="14">
        <v>0</v>
      </c>
      <c r="AB27" s="14">
        <v>0</v>
      </c>
      <c r="AC27" s="14">
        <v>4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7">
        <v>16</v>
      </c>
      <c r="AL27" s="10">
        <v>44</v>
      </c>
    </row>
    <row r="28" spans="1:38" ht="13.25" x14ac:dyDescent="0.25">
      <c r="A28" s="12" t="s">
        <v>64</v>
      </c>
      <c r="B28" s="13" t="s">
        <v>65</v>
      </c>
      <c r="C28" s="8" t="s">
        <v>25</v>
      </c>
      <c r="D28" s="8" t="s">
        <v>25</v>
      </c>
      <c r="E28" s="8" t="s">
        <v>25</v>
      </c>
      <c r="F28" s="8" t="s">
        <v>25</v>
      </c>
      <c r="G28" s="8" t="s">
        <v>25</v>
      </c>
      <c r="H28" s="8" t="s">
        <v>25</v>
      </c>
      <c r="I28" s="8" t="s">
        <v>25</v>
      </c>
      <c r="J28" s="8" t="s">
        <v>25</v>
      </c>
      <c r="K28" s="8" t="s">
        <v>25</v>
      </c>
      <c r="L28" s="8" t="s">
        <v>25</v>
      </c>
      <c r="M28" s="8" t="s">
        <v>25</v>
      </c>
      <c r="N28" s="8" t="s">
        <v>25</v>
      </c>
      <c r="O28" s="8" t="s">
        <v>25</v>
      </c>
      <c r="P28" s="8" t="s">
        <v>25</v>
      </c>
      <c r="Q28" s="8" t="s">
        <v>25</v>
      </c>
      <c r="R28" s="8" t="s">
        <v>25</v>
      </c>
      <c r="S28" s="8" t="s">
        <v>25</v>
      </c>
      <c r="T28" s="9">
        <v>0</v>
      </c>
      <c r="U28" s="8" t="s">
        <v>25</v>
      </c>
      <c r="V28" s="8" t="s">
        <v>25</v>
      </c>
      <c r="W28" s="8" t="s">
        <v>25</v>
      </c>
      <c r="X28" s="8" t="s">
        <v>25</v>
      </c>
      <c r="Y28" s="8" t="s">
        <v>25</v>
      </c>
      <c r="Z28" s="8" t="s">
        <v>25</v>
      </c>
      <c r="AA28" s="8" t="s">
        <v>25</v>
      </c>
      <c r="AB28" s="8" t="s">
        <v>25</v>
      </c>
      <c r="AC28" s="8" t="s">
        <v>25</v>
      </c>
      <c r="AD28" s="8" t="s">
        <v>25</v>
      </c>
      <c r="AE28" s="8" t="s">
        <v>25</v>
      </c>
      <c r="AF28" s="8" t="s">
        <v>25</v>
      </c>
      <c r="AG28" s="8" t="s">
        <v>25</v>
      </c>
      <c r="AH28" s="8" t="s">
        <v>25</v>
      </c>
      <c r="AI28" s="8" t="s">
        <v>25</v>
      </c>
      <c r="AJ28" s="8" t="s">
        <v>25</v>
      </c>
      <c r="AK28" s="17">
        <v>0</v>
      </c>
      <c r="AL28" s="10">
        <v>0</v>
      </c>
    </row>
    <row r="29" spans="1:38" ht="13.25" x14ac:dyDescent="0.25">
      <c r="A29" s="12" t="s">
        <v>66</v>
      </c>
      <c r="B29" s="13" t="s">
        <v>67</v>
      </c>
      <c r="C29" s="8">
        <v>4</v>
      </c>
      <c r="D29" s="8" t="s">
        <v>25</v>
      </c>
      <c r="E29" s="8">
        <v>6</v>
      </c>
      <c r="F29" s="8" t="s">
        <v>25</v>
      </c>
      <c r="G29" s="8" t="s">
        <v>25</v>
      </c>
      <c r="H29" s="8">
        <v>6</v>
      </c>
      <c r="I29" s="8">
        <v>8</v>
      </c>
      <c r="J29" s="8">
        <v>4</v>
      </c>
      <c r="K29" s="8" t="s">
        <v>25</v>
      </c>
      <c r="L29" s="8" t="s">
        <v>25</v>
      </c>
      <c r="M29" s="8">
        <v>4</v>
      </c>
      <c r="N29" s="8">
        <v>4</v>
      </c>
      <c r="O29" s="8" t="s">
        <v>25</v>
      </c>
      <c r="P29" s="8" t="s">
        <v>25</v>
      </c>
      <c r="Q29" s="8">
        <v>4</v>
      </c>
      <c r="R29" s="8" t="s">
        <v>25</v>
      </c>
      <c r="S29" s="8">
        <v>4</v>
      </c>
      <c r="T29" s="9">
        <v>44</v>
      </c>
      <c r="U29" s="8">
        <v>4</v>
      </c>
      <c r="V29" s="8" t="s">
        <v>25</v>
      </c>
      <c r="W29" s="8" t="s">
        <v>25</v>
      </c>
      <c r="X29" s="8" t="s">
        <v>25</v>
      </c>
      <c r="Y29" s="8">
        <v>0</v>
      </c>
      <c r="Z29" s="8">
        <v>4</v>
      </c>
      <c r="AA29" s="8" t="s">
        <v>25</v>
      </c>
      <c r="AB29" s="8">
        <v>4</v>
      </c>
      <c r="AC29" s="8" t="s">
        <v>25</v>
      </c>
      <c r="AD29" s="8" t="s">
        <v>25</v>
      </c>
      <c r="AE29" s="8">
        <v>4</v>
      </c>
      <c r="AF29" s="8" t="s">
        <v>25</v>
      </c>
      <c r="AG29" s="8" t="s">
        <v>25</v>
      </c>
      <c r="AH29" s="8" t="s">
        <v>25</v>
      </c>
      <c r="AI29" s="8" t="s">
        <v>25</v>
      </c>
      <c r="AJ29" s="8" t="s">
        <v>25</v>
      </c>
      <c r="AK29" s="17">
        <v>16</v>
      </c>
      <c r="AL29" s="10">
        <v>60</v>
      </c>
    </row>
    <row r="30" spans="1:38" ht="13.25" x14ac:dyDescent="0.25">
      <c r="A30" s="12" t="s">
        <v>68</v>
      </c>
      <c r="B30" s="13" t="s">
        <v>69</v>
      </c>
      <c r="C30" s="8">
        <v>0</v>
      </c>
      <c r="D30" s="8" t="s">
        <v>25</v>
      </c>
      <c r="E30" s="8">
        <v>4</v>
      </c>
      <c r="F30" s="8" t="s">
        <v>25</v>
      </c>
      <c r="G30" s="8" t="s">
        <v>25</v>
      </c>
      <c r="H30" s="8">
        <v>14</v>
      </c>
      <c r="I30" s="8" t="s">
        <v>25</v>
      </c>
      <c r="J30" s="8" t="s">
        <v>25</v>
      </c>
      <c r="K30" s="8">
        <v>4</v>
      </c>
      <c r="L30" s="8" t="s">
        <v>25</v>
      </c>
      <c r="M30" s="8" t="s">
        <v>25</v>
      </c>
      <c r="N30" s="8" t="s">
        <v>25</v>
      </c>
      <c r="O30" s="8" t="s">
        <v>25</v>
      </c>
      <c r="P30" s="8" t="s">
        <v>25</v>
      </c>
      <c r="Q30" s="8" t="s">
        <v>25</v>
      </c>
      <c r="R30" s="8">
        <v>4</v>
      </c>
      <c r="S30" s="8">
        <v>4</v>
      </c>
      <c r="T30" s="9">
        <v>30</v>
      </c>
      <c r="U30" s="8" t="s">
        <v>25</v>
      </c>
      <c r="V30" s="8" t="s">
        <v>25</v>
      </c>
      <c r="W30" s="8" t="s">
        <v>25</v>
      </c>
      <c r="X30" s="8" t="s">
        <v>25</v>
      </c>
      <c r="Y30" s="8" t="s">
        <v>25</v>
      </c>
      <c r="Z30" s="8">
        <v>4</v>
      </c>
      <c r="AA30" s="8" t="s">
        <v>25</v>
      </c>
      <c r="AB30" s="8" t="s">
        <v>25</v>
      </c>
      <c r="AC30" s="8" t="s">
        <v>25</v>
      </c>
      <c r="AD30" s="8" t="s">
        <v>25</v>
      </c>
      <c r="AE30" s="8">
        <v>4</v>
      </c>
      <c r="AF30" s="8" t="s">
        <v>25</v>
      </c>
      <c r="AG30" s="8" t="s">
        <v>25</v>
      </c>
      <c r="AH30" s="8" t="s">
        <v>25</v>
      </c>
      <c r="AI30" s="8" t="s">
        <v>25</v>
      </c>
      <c r="AJ30" s="8" t="s">
        <v>25</v>
      </c>
      <c r="AK30" s="17">
        <v>8</v>
      </c>
      <c r="AL30" s="10">
        <v>38</v>
      </c>
    </row>
    <row r="31" spans="1:38" ht="13.25" x14ac:dyDescent="0.25">
      <c r="A31" s="12" t="s">
        <v>70</v>
      </c>
      <c r="B31" s="13" t="s">
        <v>71</v>
      </c>
      <c r="C31" s="8" t="s">
        <v>25</v>
      </c>
      <c r="D31" s="8" t="s">
        <v>25</v>
      </c>
      <c r="E31" s="8" t="s">
        <v>25</v>
      </c>
      <c r="F31" s="8" t="s">
        <v>25</v>
      </c>
      <c r="G31" s="8" t="s">
        <v>25</v>
      </c>
      <c r="H31" s="8" t="s">
        <v>25</v>
      </c>
      <c r="I31" s="8" t="s">
        <v>25</v>
      </c>
      <c r="J31" s="8" t="s">
        <v>25</v>
      </c>
      <c r="K31" s="8" t="s">
        <v>25</v>
      </c>
      <c r="L31" s="8" t="s">
        <v>25</v>
      </c>
      <c r="M31" s="8" t="s">
        <v>25</v>
      </c>
      <c r="N31" s="8" t="s">
        <v>25</v>
      </c>
      <c r="O31" s="8" t="s">
        <v>25</v>
      </c>
      <c r="P31" s="8" t="s">
        <v>25</v>
      </c>
      <c r="Q31" s="8" t="s">
        <v>25</v>
      </c>
      <c r="R31" s="8" t="s">
        <v>25</v>
      </c>
      <c r="S31" s="8" t="s">
        <v>25</v>
      </c>
      <c r="T31" s="9">
        <v>0</v>
      </c>
      <c r="U31" s="8" t="s">
        <v>25</v>
      </c>
      <c r="V31" s="8" t="s">
        <v>25</v>
      </c>
      <c r="W31" s="8" t="s">
        <v>25</v>
      </c>
      <c r="X31" s="8" t="s">
        <v>25</v>
      </c>
      <c r="Y31" s="8" t="s">
        <v>25</v>
      </c>
      <c r="Z31" s="8" t="s">
        <v>25</v>
      </c>
      <c r="AA31" s="8" t="s">
        <v>25</v>
      </c>
      <c r="AB31" s="8" t="s">
        <v>25</v>
      </c>
      <c r="AC31" s="8" t="s">
        <v>25</v>
      </c>
      <c r="AD31" s="8" t="s">
        <v>25</v>
      </c>
      <c r="AE31" s="8" t="s">
        <v>25</v>
      </c>
      <c r="AF31" s="8" t="s">
        <v>25</v>
      </c>
      <c r="AG31" s="8" t="s">
        <v>25</v>
      </c>
      <c r="AH31" s="8" t="s">
        <v>25</v>
      </c>
      <c r="AI31" s="8" t="s">
        <v>25</v>
      </c>
      <c r="AJ31" s="8" t="s">
        <v>25</v>
      </c>
      <c r="AK31" s="17">
        <v>0</v>
      </c>
      <c r="AL31" s="10">
        <v>0</v>
      </c>
    </row>
    <row r="32" spans="1:38" s="3" customFormat="1" ht="14.45" customHeight="1" x14ac:dyDescent="0.25">
      <c r="A32" s="25" t="s">
        <v>72</v>
      </c>
      <c r="B32" s="25"/>
      <c r="C32" s="14">
        <v>4</v>
      </c>
      <c r="D32" s="14">
        <v>0</v>
      </c>
      <c r="E32" s="14">
        <v>10</v>
      </c>
      <c r="F32" s="14">
        <v>0</v>
      </c>
      <c r="G32" s="14">
        <v>0</v>
      </c>
      <c r="H32" s="14">
        <v>20</v>
      </c>
      <c r="I32" s="14">
        <v>8</v>
      </c>
      <c r="J32" s="14">
        <v>4</v>
      </c>
      <c r="K32" s="14">
        <v>4</v>
      </c>
      <c r="L32" s="14">
        <v>0</v>
      </c>
      <c r="M32" s="14">
        <v>4</v>
      </c>
      <c r="N32" s="14">
        <v>4</v>
      </c>
      <c r="O32" s="14">
        <v>0</v>
      </c>
      <c r="P32" s="14">
        <v>0</v>
      </c>
      <c r="Q32" s="14">
        <v>4</v>
      </c>
      <c r="R32" s="14">
        <v>4</v>
      </c>
      <c r="S32" s="14">
        <v>8</v>
      </c>
      <c r="T32" s="9">
        <v>74</v>
      </c>
      <c r="U32" s="14">
        <v>4</v>
      </c>
      <c r="V32" s="14">
        <v>0</v>
      </c>
      <c r="W32" s="14">
        <v>0</v>
      </c>
      <c r="X32" s="14">
        <v>0</v>
      </c>
      <c r="Y32" s="14">
        <v>0</v>
      </c>
      <c r="Z32" s="14">
        <v>8</v>
      </c>
      <c r="AA32" s="14">
        <v>0</v>
      </c>
      <c r="AB32" s="14">
        <v>4</v>
      </c>
      <c r="AC32" s="14">
        <v>0</v>
      </c>
      <c r="AD32" s="14">
        <v>0</v>
      </c>
      <c r="AE32" s="14">
        <v>8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7">
        <v>24</v>
      </c>
      <c r="AL32" s="10">
        <v>98</v>
      </c>
    </row>
    <row r="33" spans="1:38" ht="13.25" x14ac:dyDescent="0.25">
      <c r="A33" s="12" t="s">
        <v>73</v>
      </c>
      <c r="B33" s="13" t="s">
        <v>74</v>
      </c>
      <c r="C33" s="8" t="s">
        <v>25</v>
      </c>
      <c r="D33" s="8" t="s">
        <v>25</v>
      </c>
      <c r="E33" s="8" t="s">
        <v>25</v>
      </c>
      <c r="F33" s="8" t="s">
        <v>25</v>
      </c>
      <c r="G33" s="8" t="s">
        <v>25</v>
      </c>
      <c r="H33" s="8" t="s">
        <v>25</v>
      </c>
      <c r="I33" s="8" t="s">
        <v>25</v>
      </c>
      <c r="J33" s="8" t="s">
        <v>25</v>
      </c>
      <c r="K33" s="8" t="s">
        <v>25</v>
      </c>
      <c r="L33" s="8">
        <v>4</v>
      </c>
      <c r="M33" s="8" t="s">
        <v>25</v>
      </c>
      <c r="N33" s="8" t="s">
        <v>25</v>
      </c>
      <c r="O33" s="8" t="s">
        <v>25</v>
      </c>
      <c r="P33" s="8">
        <v>4</v>
      </c>
      <c r="Q33" s="8" t="s">
        <v>25</v>
      </c>
      <c r="R33" s="8" t="s">
        <v>25</v>
      </c>
      <c r="S33" s="8" t="s">
        <v>25</v>
      </c>
      <c r="T33" s="9">
        <v>8</v>
      </c>
      <c r="U33" s="8" t="s">
        <v>25</v>
      </c>
      <c r="V33" s="8" t="s">
        <v>25</v>
      </c>
      <c r="W33" s="8" t="s">
        <v>25</v>
      </c>
      <c r="X33" s="8" t="s">
        <v>25</v>
      </c>
      <c r="Y33" s="8" t="s">
        <v>25</v>
      </c>
      <c r="Z33" s="8" t="s">
        <v>25</v>
      </c>
      <c r="AA33" s="8" t="s">
        <v>25</v>
      </c>
      <c r="AB33" s="8" t="s">
        <v>25</v>
      </c>
      <c r="AC33" s="8" t="s">
        <v>25</v>
      </c>
      <c r="AD33" s="8" t="s">
        <v>25</v>
      </c>
      <c r="AE33" s="8" t="s">
        <v>25</v>
      </c>
      <c r="AF33" s="8" t="s">
        <v>25</v>
      </c>
      <c r="AG33" s="8" t="s">
        <v>25</v>
      </c>
      <c r="AH33" s="8" t="s">
        <v>25</v>
      </c>
      <c r="AI33" s="8" t="s">
        <v>25</v>
      </c>
      <c r="AJ33" s="8" t="s">
        <v>25</v>
      </c>
      <c r="AK33" s="17">
        <v>0</v>
      </c>
      <c r="AL33" s="10">
        <v>8</v>
      </c>
    </row>
    <row r="34" spans="1:38" ht="13.25" x14ac:dyDescent="0.25">
      <c r="A34" s="12" t="s">
        <v>75</v>
      </c>
      <c r="B34" s="13" t="s">
        <v>76</v>
      </c>
      <c r="C34" s="8" t="s">
        <v>25</v>
      </c>
      <c r="D34" s="8" t="s">
        <v>25</v>
      </c>
      <c r="E34" s="8" t="s">
        <v>25</v>
      </c>
      <c r="F34" s="8" t="s">
        <v>25</v>
      </c>
      <c r="G34" s="8" t="s">
        <v>25</v>
      </c>
      <c r="H34" s="8" t="s">
        <v>25</v>
      </c>
      <c r="I34" s="8" t="s">
        <v>25</v>
      </c>
      <c r="J34" s="8" t="s">
        <v>25</v>
      </c>
      <c r="K34" s="8" t="s">
        <v>25</v>
      </c>
      <c r="L34" s="8" t="s">
        <v>25</v>
      </c>
      <c r="M34" s="8" t="s">
        <v>25</v>
      </c>
      <c r="N34" s="8" t="s">
        <v>25</v>
      </c>
      <c r="O34" s="8" t="s">
        <v>25</v>
      </c>
      <c r="P34" s="8" t="s">
        <v>25</v>
      </c>
      <c r="Q34" s="8" t="s">
        <v>25</v>
      </c>
      <c r="R34" s="8" t="s">
        <v>25</v>
      </c>
      <c r="S34" s="8" t="s">
        <v>25</v>
      </c>
      <c r="T34" s="9">
        <v>0</v>
      </c>
      <c r="U34" s="8" t="s">
        <v>25</v>
      </c>
      <c r="V34" s="8" t="s">
        <v>25</v>
      </c>
      <c r="W34" s="8" t="s">
        <v>25</v>
      </c>
      <c r="X34" s="8" t="s">
        <v>25</v>
      </c>
      <c r="Y34" s="8" t="s">
        <v>25</v>
      </c>
      <c r="Z34" s="8" t="s">
        <v>25</v>
      </c>
      <c r="AA34" s="8" t="s">
        <v>25</v>
      </c>
      <c r="AB34" s="8" t="s">
        <v>25</v>
      </c>
      <c r="AC34" s="8" t="s">
        <v>25</v>
      </c>
      <c r="AD34" s="8" t="s">
        <v>25</v>
      </c>
      <c r="AE34" s="8" t="s">
        <v>25</v>
      </c>
      <c r="AF34" s="8" t="s">
        <v>25</v>
      </c>
      <c r="AG34" s="8" t="s">
        <v>25</v>
      </c>
      <c r="AH34" s="8" t="s">
        <v>25</v>
      </c>
      <c r="AI34" s="8" t="s">
        <v>25</v>
      </c>
      <c r="AJ34" s="8" t="s">
        <v>25</v>
      </c>
      <c r="AK34" s="17">
        <v>0</v>
      </c>
      <c r="AL34" s="10">
        <v>0</v>
      </c>
    </row>
    <row r="35" spans="1:38" ht="13.25" x14ac:dyDescent="0.25">
      <c r="A35" s="12" t="s">
        <v>77</v>
      </c>
      <c r="B35" s="13" t="s">
        <v>78</v>
      </c>
      <c r="C35" s="8">
        <v>4</v>
      </c>
      <c r="D35" s="8" t="s">
        <v>25</v>
      </c>
      <c r="E35" s="8" t="s">
        <v>25</v>
      </c>
      <c r="F35" s="8" t="s">
        <v>25</v>
      </c>
      <c r="G35" s="8" t="s">
        <v>25</v>
      </c>
      <c r="H35" s="8" t="s">
        <v>25</v>
      </c>
      <c r="I35" s="8" t="s">
        <v>25</v>
      </c>
      <c r="J35" s="8" t="s">
        <v>25</v>
      </c>
      <c r="K35" s="8" t="s">
        <v>25</v>
      </c>
      <c r="L35" s="8" t="s">
        <v>25</v>
      </c>
      <c r="M35" s="8" t="s">
        <v>25</v>
      </c>
      <c r="N35" s="8" t="s">
        <v>25</v>
      </c>
      <c r="O35" s="8" t="s">
        <v>25</v>
      </c>
      <c r="P35" s="8">
        <v>4</v>
      </c>
      <c r="Q35" s="8" t="s">
        <v>25</v>
      </c>
      <c r="R35" s="8" t="s">
        <v>25</v>
      </c>
      <c r="S35" s="8" t="s">
        <v>25</v>
      </c>
      <c r="T35" s="9">
        <v>8</v>
      </c>
      <c r="U35" s="8" t="s">
        <v>25</v>
      </c>
      <c r="V35" s="8" t="s">
        <v>25</v>
      </c>
      <c r="W35" s="8" t="s">
        <v>25</v>
      </c>
      <c r="X35" s="8" t="s">
        <v>25</v>
      </c>
      <c r="Y35" s="8">
        <v>4</v>
      </c>
      <c r="Z35" s="8" t="s">
        <v>25</v>
      </c>
      <c r="AA35" s="8" t="s">
        <v>25</v>
      </c>
      <c r="AB35" s="8" t="s">
        <v>25</v>
      </c>
      <c r="AC35" s="8" t="s">
        <v>25</v>
      </c>
      <c r="AD35" s="8" t="s">
        <v>25</v>
      </c>
      <c r="AE35" s="8" t="s">
        <v>25</v>
      </c>
      <c r="AF35" s="8" t="s">
        <v>25</v>
      </c>
      <c r="AG35" s="8" t="s">
        <v>25</v>
      </c>
      <c r="AH35" s="8" t="s">
        <v>25</v>
      </c>
      <c r="AI35" s="8" t="s">
        <v>25</v>
      </c>
      <c r="AJ35" s="8" t="s">
        <v>25</v>
      </c>
      <c r="AK35" s="17">
        <v>4</v>
      </c>
      <c r="AL35" s="10">
        <v>12</v>
      </c>
    </row>
    <row r="36" spans="1:38" s="3" customFormat="1" ht="14.45" customHeight="1" x14ac:dyDescent="0.25">
      <c r="A36" s="25" t="s">
        <v>79</v>
      </c>
      <c r="B36" s="25"/>
      <c r="C36" s="14">
        <v>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4</v>
      </c>
      <c r="M36" s="14">
        <v>0</v>
      </c>
      <c r="N36" s="14">
        <v>0</v>
      </c>
      <c r="O36" s="14">
        <v>0</v>
      </c>
      <c r="P36" s="14">
        <v>8</v>
      </c>
      <c r="Q36" s="14">
        <v>0</v>
      </c>
      <c r="R36" s="14">
        <v>0</v>
      </c>
      <c r="S36" s="14">
        <v>0</v>
      </c>
      <c r="T36" s="9">
        <v>16</v>
      </c>
      <c r="U36" s="14">
        <v>0</v>
      </c>
      <c r="V36" s="14">
        <v>0</v>
      </c>
      <c r="W36" s="14">
        <v>0</v>
      </c>
      <c r="X36" s="14">
        <v>0</v>
      </c>
      <c r="Y36" s="14">
        <v>4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7">
        <v>4</v>
      </c>
      <c r="AL36" s="10">
        <v>20</v>
      </c>
    </row>
    <row r="37" spans="1:38" s="3" customFormat="1" ht="14.45" customHeight="1" x14ac:dyDescent="0.25">
      <c r="A37" s="24" t="s">
        <v>80</v>
      </c>
      <c r="B37" s="24"/>
      <c r="C37" s="15">
        <v>20</v>
      </c>
      <c r="D37" s="15">
        <v>0</v>
      </c>
      <c r="E37" s="15">
        <v>18</v>
      </c>
      <c r="F37" s="15">
        <v>0</v>
      </c>
      <c r="G37" s="15">
        <v>0</v>
      </c>
      <c r="H37" s="15">
        <v>20</v>
      </c>
      <c r="I37" s="15">
        <v>8</v>
      </c>
      <c r="J37" s="15">
        <v>4</v>
      </c>
      <c r="K37" s="15">
        <v>4</v>
      </c>
      <c r="L37" s="15">
        <v>4</v>
      </c>
      <c r="M37" s="15">
        <v>4</v>
      </c>
      <c r="N37" s="15">
        <v>4</v>
      </c>
      <c r="O37" s="15">
        <v>4</v>
      </c>
      <c r="P37" s="15">
        <v>8</v>
      </c>
      <c r="Q37" s="15">
        <v>4</v>
      </c>
      <c r="R37" s="15">
        <v>4</v>
      </c>
      <c r="S37" s="15">
        <v>12</v>
      </c>
      <c r="T37" s="9">
        <v>118</v>
      </c>
      <c r="U37" s="15">
        <v>8</v>
      </c>
      <c r="V37" s="15">
        <v>0</v>
      </c>
      <c r="W37" s="15">
        <v>0</v>
      </c>
      <c r="X37" s="15">
        <v>0</v>
      </c>
      <c r="Y37" s="15">
        <v>12</v>
      </c>
      <c r="Z37" s="15">
        <v>8</v>
      </c>
      <c r="AA37" s="15">
        <v>0</v>
      </c>
      <c r="AB37" s="15">
        <v>4</v>
      </c>
      <c r="AC37" s="15">
        <v>4</v>
      </c>
      <c r="AD37" s="15">
        <v>0</v>
      </c>
      <c r="AE37" s="15">
        <v>8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7">
        <v>44</v>
      </c>
      <c r="AL37" s="10">
        <v>162</v>
      </c>
    </row>
    <row r="38" spans="1:38" ht="13.25" x14ac:dyDescent="0.25">
      <c r="A38" s="12" t="s">
        <v>81</v>
      </c>
      <c r="B38" s="13" t="s">
        <v>82</v>
      </c>
      <c r="C38" s="8" t="s">
        <v>25</v>
      </c>
      <c r="D38" s="8" t="s">
        <v>25</v>
      </c>
      <c r="E38" s="8" t="s">
        <v>25</v>
      </c>
      <c r="F38" s="8">
        <v>4</v>
      </c>
      <c r="G38" s="8" t="s">
        <v>25</v>
      </c>
      <c r="H38" s="8" t="s">
        <v>25</v>
      </c>
      <c r="I38" s="8" t="s">
        <v>25</v>
      </c>
      <c r="J38" s="8" t="s">
        <v>25</v>
      </c>
      <c r="K38" s="8" t="s">
        <v>25</v>
      </c>
      <c r="L38" s="8" t="s">
        <v>25</v>
      </c>
      <c r="M38" s="8" t="s">
        <v>25</v>
      </c>
      <c r="N38" s="8" t="s">
        <v>25</v>
      </c>
      <c r="O38" s="8" t="s">
        <v>25</v>
      </c>
      <c r="P38" s="8" t="s">
        <v>25</v>
      </c>
      <c r="Q38" s="8" t="s">
        <v>25</v>
      </c>
      <c r="R38" s="8" t="s">
        <v>25</v>
      </c>
      <c r="S38" s="8">
        <v>4</v>
      </c>
      <c r="T38" s="9">
        <v>8</v>
      </c>
      <c r="U38" s="8">
        <v>4</v>
      </c>
      <c r="V38" s="8">
        <v>8</v>
      </c>
      <c r="W38" s="8" t="s">
        <v>25</v>
      </c>
      <c r="X38" s="8">
        <v>4</v>
      </c>
      <c r="Y38" s="8">
        <v>0</v>
      </c>
      <c r="Z38" s="8">
        <v>0</v>
      </c>
      <c r="AA38" s="8" t="s">
        <v>25</v>
      </c>
      <c r="AB38" s="8">
        <v>0</v>
      </c>
      <c r="AC38" s="8" t="s">
        <v>25</v>
      </c>
      <c r="AD38" s="8" t="s">
        <v>25</v>
      </c>
      <c r="AE38" s="8" t="s">
        <v>25</v>
      </c>
      <c r="AF38" s="8">
        <v>4</v>
      </c>
      <c r="AG38" s="8" t="s">
        <v>25</v>
      </c>
      <c r="AH38" s="8">
        <v>0</v>
      </c>
      <c r="AI38" s="8">
        <v>0</v>
      </c>
      <c r="AJ38" s="8">
        <v>0</v>
      </c>
      <c r="AK38" s="17">
        <v>20</v>
      </c>
      <c r="AL38" s="10">
        <v>28</v>
      </c>
    </row>
    <row r="39" spans="1:38" ht="13.25" x14ac:dyDescent="0.25">
      <c r="A39" s="12" t="s">
        <v>83</v>
      </c>
      <c r="B39" s="13" t="s">
        <v>84</v>
      </c>
      <c r="C39" s="8" t="s">
        <v>25</v>
      </c>
      <c r="D39" s="8" t="s">
        <v>25</v>
      </c>
      <c r="E39" s="8">
        <v>4</v>
      </c>
      <c r="F39" s="8" t="s">
        <v>25</v>
      </c>
      <c r="G39" s="8" t="s">
        <v>25</v>
      </c>
      <c r="H39" s="8" t="s">
        <v>25</v>
      </c>
      <c r="I39" s="8" t="s">
        <v>25</v>
      </c>
      <c r="J39" s="8" t="s">
        <v>25</v>
      </c>
      <c r="K39" s="8" t="s">
        <v>25</v>
      </c>
      <c r="L39" s="8">
        <v>4</v>
      </c>
      <c r="M39" s="8" t="s">
        <v>25</v>
      </c>
      <c r="N39" s="8" t="s">
        <v>25</v>
      </c>
      <c r="O39" s="8" t="s">
        <v>25</v>
      </c>
      <c r="P39" s="8" t="s">
        <v>25</v>
      </c>
      <c r="Q39" s="8" t="s">
        <v>25</v>
      </c>
      <c r="R39" s="8" t="s">
        <v>25</v>
      </c>
      <c r="S39" s="8">
        <v>4</v>
      </c>
      <c r="T39" s="9">
        <v>12</v>
      </c>
      <c r="U39" s="8" t="s">
        <v>25</v>
      </c>
      <c r="V39" s="8" t="s">
        <v>25</v>
      </c>
      <c r="W39" s="8" t="s">
        <v>25</v>
      </c>
      <c r="X39" s="8" t="s">
        <v>25</v>
      </c>
      <c r="Y39" s="8" t="s">
        <v>25</v>
      </c>
      <c r="Z39" s="8" t="s">
        <v>25</v>
      </c>
      <c r="AA39" s="8" t="s">
        <v>25</v>
      </c>
      <c r="AB39" s="8" t="s">
        <v>25</v>
      </c>
      <c r="AC39" s="8" t="s">
        <v>25</v>
      </c>
      <c r="AD39" s="8" t="s">
        <v>25</v>
      </c>
      <c r="AE39" s="8" t="s">
        <v>25</v>
      </c>
      <c r="AF39" s="8" t="s">
        <v>25</v>
      </c>
      <c r="AG39" s="8" t="s">
        <v>25</v>
      </c>
      <c r="AH39" s="8" t="s">
        <v>25</v>
      </c>
      <c r="AI39" s="8" t="s">
        <v>25</v>
      </c>
      <c r="AJ39" s="8" t="s">
        <v>25</v>
      </c>
      <c r="AK39" s="17">
        <v>0</v>
      </c>
      <c r="AL39" s="10">
        <v>12</v>
      </c>
    </row>
    <row r="40" spans="1:38" ht="13.25" x14ac:dyDescent="0.25">
      <c r="A40" s="12" t="s">
        <v>85</v>
      </c>
      <c r="B40" s="13" t="s">
        <v>86</v>
      </c>
      <c r="C40" s="8" t="s">
        <v>25</v>
      </c>
      <c r="D40" s="8" t="s">
        <v>25</v>
      </c>
      <c r="E40" s="8">
        <v>4</v>
      </c>
      <c r="F40" s="8">
        <v>4</v>
      </c>
      <c r="G40" s="8" t="s">
        <v>25</v>
      </c>
      <c r="H40" s="8">
        <v>4</v>
      </c>
      <c r="I40" s="8" t="s">
        <v>25</v>
      </c>
      <c r="J40" s="8">
        <v>0</v>
      </c>
      <c r="K40" s="8" t="s">
        <v>25</v>
      </c>
      <c r="L40" s="8" t="s">
        <v>25</v>
      </c>
      <c r="M40" s="8" t="s">
        <v>25</v>
      </c>
      <c r="N40" s="8" t="s">
        <v>25</v>
      </c>
      <c r="O40" s="8" t="s">
        <v>25</v>
      </c>
      <c r="P40" s="8">
        <v>0</v>
      </c>
      <c r="Q40" s="8">
        <v>4</v>
      </c>
      <c r="R40" s="8" t="s">
        <v>25</v>
      </c>
      <c r="S40" s="8" t="s">
        <v>25</v>
      </c>
      <c r="T40" s="9">
        <v>16</v>
      </c>
      <c r="U40" s="8">
        <v>4</v>
      </c>
      <c r="V40" s="8" t="s">
        <v>25</v>
      </c>
      <c r="W40" s="8" t="s">
        <v>25</v>
      </c>
      <c r="X40" s="8" t="s">
        <v>25</v>
      </c>
      <c r="Y40" s="8" t="s">
        <v>25</v>
      </c>
      <c r="Z40" s="8" t="s">
        <v>25</v>
      </c>
      <c r="AA40" s="8" t="s">
        <v>25</v>
      </c>
      <c r="AB40" s="8" t="s">
        <v>25</v>
      </c>
      <c r="AC40" s="8" t="s">
        <v>25</v>
      </c>
      <c r="AD40" s="8" t="s">
        <v>25</v>
      </c>
      <c r="AE40" s="8" t="s">
        <v>25</v>
      </c>
      <c r="AF40" s="8">
        <v>4</v>
      </c>
      <c r="AG40" s="8" t="s">
        <v>25</v>
      </c>
      <c r="AH40" s="8" t="s">
        <v>25</v>
      </c>
      <c r="AI40" s="8">
        <v>4</v>
      </c>
      <c r="AJ40" s="8">
        <v>4</v>
      </c>
      <c r="AK40" s="17">
        <v>16</v>
      </c>
      <c r="AL40" s="10">
        <v>32</v>
      </c>
    </row>
    <row r="41" spans="1:38" ht="13.25" x14ac:dyDescent="0.25">
      <c r="A41" s="12" t="s">
        <v>87</v>
      </c>
      <c r="B41" s="13" t="s">
        <v>88</v>
      </c>
      <c r="C41" s="8">
        <v>4</v>
      </c>
      <c r="D41" s="8" t="s">
        <v>25</v>
      </c>
      <c r="E41" s="8" t="s">
        <v>25</v>
      </c>
      <c r="F41" s="8" t="s">
        <v>25</v>
      </c>
      <c r="G41" s="8" t="s">
        <v>25</v>
      </c>
      <c r="H41" s="8" t="s">
        <v>25</v>
      </c>
      <c r="I41" s="8" t="s">
        <v>25</v>
      </c>
      <c r="J41" s="8" t="s">
        <v>25</v>
      </c>
      <c r="K41" s="8" t="s">
        <v>25</v>
      </c>
      <c r="L41" s="8" t="s">
        <v>25</v>
      </c>
      <c r="M41" s="8" t="s">
        <v>25</v>
      </c>
      <c r="N41" s="8">
        <v>4</v>
      </c>
      <c r="O41" s="8" t="s">
        <v>25</v>
      </c>
      <c r="P41" s="8">
        <v>4</v>
      </c>
      <c r="Q41" s="8" t="s">
        <v>25</v>
      </c>
      <c r="R41" s="8" t="s">
        <v>25</v>
      </c>
      <c r="S41" s="8" t="s">
        <v>25</v>
      </c>
      <c r="T41" s="9">
        <v>12</v>
      </c>
      <c r="U41" s="8" t="s">
        <v>25</v>
      </c>
      <c r="V41" s="8" t="s">
        <v>25</v>
      </c>
      <c r="W41" s="8" t="s">
        <v>25</v>
      </c>
      <c r="X41" s="8" t="s">
        <v>25</v>
      </c>
      <c r="Y41" s="8" t="s">
        <v>25</v>
      </c>
      <c r="Z41" s="8" t="s">
        <v>25</v>
      </c>
      <c r="AA41" s="8" t="s">
        <v>25</v>
      </c>
      <c r="AB41" s="8">
        <v>4</v>
      </c>
      <c r="AC41" s="8" t="s">
        <v>25</v>
      </c>
      <c r="AD41" s="8" t="s">
        <v>25</v>
      </c>
      <c r="AE41" s="8" t="s">
        <v>25</v>
      </c>
      <c r="AF41" s="8">
        <v>4</v>
      </c>
      <c r="AG41" s="8" t="s">
        <v>25</v>
      </c>
      <c r="AH41" s="8" t="s">
        <v>25</v>
      </c>
      <c r="AI41" s="8" t="s">
        <v>25</v>
      </c>
      <c r="AJ41" s="8">
        <v>4</v>
      </c>
      <c r="AK41" s="17">
        <v>12</v>
      </c>
      <c r="AL41" s="10">
        <v>24</v>
      </c>
    </row>
    <row r="42" spans="1:38" s="3" customFormat="1" ht="14.45" customHeight="1" x14ac:dyDescent="0.25">
      <c r="A42" s="25" t="s">
        <v>89</v>
      </c>
      <c r="B42" s="25"/>
      <c r="C42" s="14">
        <v>4</v>
      </c>
      <c r="D42" s="14">
        <v>0</v>
      </c>
      <c r="E42" s="14">
        <v>8</v>
      </c>
      <c r="F42" s="14">
        <v>8</v>
      </c>
      <c r="G42" s="14">
        <v>0</v>
      </c>
      <c r="H42" s="14">
        <v>4</v>
      </c>
      <c r="I42" s="14">
        <v>0</v>
      </c>
      <c r="J42" s="14">
        <v>0</v>
      </c>
      <c r="K42" s="14">
        <v>0</v>
      </c>
      <c r="L42" s="14">
        <v>4</v>
      </c>
      <c r="M42" s="14">
        <v>0</v>
      </c>
      <c r="N42" s="14">
        <v>4</v>
      </c>
      <c r="O42" s="14">
        <v>0</v>
      </c>
      <c r="P42" s="14">
        <v>4</v>
      </c>
      <c r="Q42" s="14">
        <v>4</v>
      </c>
      <c r="R42" s="14">
        <v>0</v>
      </c>
      <c r="S42" s="14">
        <v>8</v>
      </c>
      <c r="T42" s="9">
        <v>48</v>
      </c>
      <c r="U42" s="14">
        <v>8</v>
      </c>
      <c r="V42" s="14">
        <v>8</v>
      </c>
      <c r="W42" s="14">
        <v>0</v>
      </c>
      <c r="X42" s="14">
        <v>4</v>
      </c>
      <c r="Y42" s="14">
        <v>0</v>
      </c>
      <c r="Z42" s="14">
        <v>0</v>
      </c>
      <c r="AA42" s="14">
        <v>0</v>
      </c>
      <c r="AB42" s="14">
        <v>4</v>
      </c>
      <c r="AC42" s="14">
        <v>0</v>
      </c>
      <c r="AD42" s="14">
        <v>0</v>
      </c>
      <c r="AE42" s="14">
        <v>0</v>
      </c>
      <c r="AF42" s="14">
        <v>12</v>
      </c>
      <c r="AG42" s="14">
        <v>0</v>
      </c>
      <c r="AH42" s="14">
        <v>0</v>
      </c>
      <c r="AI42" s="14">
        <v>4</v>
      </c>
      <c r="AJ42" s="14">
        <v>8</v>
      </c>
      <c r="AK42" s="17">
        <v>48</v>
      </c>
      <c r="AL42" s="10">
        <v>96</v>
      </c>
    </row>
    <row r="43" spans="1:38" ht="13.25" x14ac:dyDescent="0.25">
      <c r="A43" s="12" t="s">
        <v>90</v>
      </c>
      <c r="B43" s="13" t="s">
        <v>91</v>
      </c>
      <c r="C43" s="8" t="s">
        <v>25</v>
      </c>
      <c r="D43" s="8" t="s">
        <v>25</v>
      </c>
      <c r="E43" s="8">
        <v>4</v>
      </c>
      <c r="F43" s="8" t="s">
        <v>25</v>
      </c>
      <c r="G43" s="8" t="s">
        <v>25</v>
      </c>
      <c r="H43" s="8" t="s">
        <v>25</v>
      </c>
      <c r="I43" s="8" t="s">
        <v>25</v>
      </c>
      <c r="J43" s="8" t="s">
        <v>25</v>
      </c>
      <c r="K43" s="8" t="s">
        <v>25</v>
      </c>
      <c r="L43" s="8" t="s">
        <v>25</v>
      </c>
      <c r="M43" s="8" t="s">
        <v>25</v>
      </c>
      <c r="N43" s="8" t="s">
        <v>25</v>
      </c>
      <c r="O43" s="8" t="s">
        <v>25</v>
      </c>
      <c r="P43" s="8" t="s">
        <v>25</v>
      </c>
      <c r="Q43" s="8" t="s">
        <v>25</v>
      </c>
      <c r="R43" s="8" t="s">
        <v>25</v>
      </c>
      <c r="S43" s="8" t="s">
        <v>25</v>
      </c>
      <c r="T43" s="9">
        <v>4</v>
      </c>
      <c r="U43" s="8" t="s">
        <v>25</v>
      </c>
      <c r="V43" s="8" t="s">
        <v>25</v>
      </c>
      <c r="W43" s="8" t="s">
        <v>25</v>
      </c>
      <c r="X43" s="8" t="s">
        <v>25</v>
      </c>
      <c r="Y43" s="8" t="s">
        <v>25</v>
      </c>
      <c r="Z43" s="8" t="s">
        <v>25</v>
      </c>
      <c r="AA43" s="8" t="s">
        <v>25</v>
      </c>
      <c r="AB43" s="8">
        <v>4</v>
      </c>
      <c r="AC43" s="8" t="s">
        <v>25</v>
      </c>
      <c r="AD43" s="8" t="s">
        <v>25</v>
      </c>
      <c r="AE43" s="8" t="s">
        <v>25</v>
      </c>
      <c r="AF43" s="8" t="s">
        <v>25</v>
      </c>
      <c r="AG43" s="8" t="s">
        <v>25</v>
      </c>
      <c r="AH43" s="8" t="s">
        <v>25</v>
      </c>
      <c r="AI43" s="8" t="s">
        <v>25</v>
      </c>
      <c r="AJ43" s="8" t="s">
        <v>25</v>
      </c>
      <c r="AK43" s="17">
        <v>4</v>
      </c>
      <c r="AL43" s="10">
        <v>8</v>
      </c>
    </row>
    <row r="44" spans="1:38" ht="13.25" x14ac:dyDescent="0.25">
      <c r="A44" s="12" t="s">
        <v>92</v>
      </c>
      <c r="B44" s="13" t="s">
        <v>93</v>
      </c>
      <c r="C44" s="8">
        <v>4</v>
      </c>
      <c r="D44" s="8" t="s">
        <v>25</v>
      </c>
      <c r="E44" s="8">
        <v>6</v>
      </c>
      <c r="F44" s="8" t="s">
        <v>25</v>
      </c>
      <c r="G44" s="8" t="s">
        <v>25</v>
      </c>
      <c r="H44" s="8" t="s">
        <v>25</v>
      </c>
      <c r="I44" s="8" t="s">
        <v>25</v>
      </c>
      <c r="J44" s="8" t="s">
        <v>25</v>
      </c>
      <c r="K44" s="8" t="s">
        <v>25</v>
      </c>
      <c r="L44" s="8" t="s">
        <v>25</v>
      </c>
      <c r="M44" s="8" t="s">
        <v>25</v>
      </c>
      <c r="N44" s="8" t="s">
        <v>25</v>
      </c>
      <c r="O44" s="8" t="s">
        <v>25</v>
      </c>
      <c r="P44" s="8" t="s">
        <v>25</v>
      </c>
      <c r="Q44" s="8" t="s">
        <v>25</v>
      </c>
      <c r="R44" s="8" t="s">
        <v>25</v>
      </c>
      <c r="S44" s="8" t="s">
        <v>25</v>
      </c>
      <c r="T44" s="9">
        <v>10</v>
      </c>
      <c r="U44" s="8">
        <v>0</v>
      </c>
      <c r="V44" s="8" t="s">
        <v>25</v>
      </c>
      <c r="W44" s="8" t="s">
        <v>25</v>
      </c>
      <c r="X44" s="8" t="s">
        <v>25</v>
      </c>
      <c r="Y44" s="8">
        <v>0</v>
      </c>
      <c r="Z44" s="8">
        <v>4</v>
      </c>
      <c r="AA44" s="8">
        <v>8</v>
      </c>
      <c r="AB44" s="8">
        <v>8</v>
      </c>
      <c r="AC44" s="8" t="s">
        <v>25</v>
      </c>
      <c r="AD44" s="8">
        <v>4</v>
      </c>
      <c r="AE44" s="8" t="s">
        <v>25</v>
      </c>
      <c r="AF44" s="8" t="s">
        <v>25</v>
      </c>
      <c r="AG44" s="8" t="s">
        <v>25</v>
      </c>
      <c r="AH44" s="8" t="s">
        <v>25</v>
      </c>
      <c r="AI44" s="8" t="s">
        <v>25</v>
      </c>
      <c r="AJ44" s="8">
        <v>4</v>
      </c>
      <c r="AK44" s="17">
        <v>28</v>
      </c>
      <c r="AL44" s="10">
        <v>38</v>
      </c>
    </row>
    <row r="45" spans="1:38" ht="13.25" x14ac:dyDescent="0.25">
      <c r="A45" s="12" t="s">
        <v>94</v>
      </c>
      <c r="B45" s="13" t="s">
        <v>95</v>
      </c>
      <c r="C45" s="8">
        <v>4</v>
      </c>
      <c r="D45" s="8" t="s">
        <v>25</v>
      </c>
      <c r="E45" s="8">
        <v>4</v>
      </c>
      <c r="F45" s="8" t="s">
        <v>25</v>
      </c>
      <c r="G45" s="8" t="s">
        <v>25</v>
      </c>
      <c r="H45" s="8" t="s">
        <v>25</v>
      </c>
      <c r="I45" s="8" t="s">
        <v>25</v>
      </c>
      <c r="J45" s="8" t="s">
        <v>25</v>
      </c>
      <c r="K45" s="8" t="s">
        <v>25</v>
      </c>
      <c r="L45" s="8" t="s">
        <v>25</v>
      </c>
      <c r="M45" s="8" t="s">
        <v>25</v>
      </c>
      <c r="N45" s="8" t="s">
        <v>25</v>
      </c>
      <c r="O45" s="8">
        <v>4</v>
      </c>
      <c r="P45" s="8" t="s">
        <v>25</v>
      </c>
      <c r="Q45" s="8" t="s">
        <v>25</v>
      </c>
      <c r="R45" s="8" t="s">
        <v>25</v>
      </c>
      <c r="S45" s="8" t="s">
        <v>25</v>
      </c>
      <c r="T45" s="9">
        <v>12</v>
      </c>
      <c r="U45" s="8">
        <v>4</v>
      </c>
      <c r="V45" s="8" t="s">
        <v>25</v>
      </c>
      <c r="W45" s="8" t="s">
        <v>25</v>
      </c>
      <c r="X45" s="8" t="s">
        <v>25</v>
      </c>
      <c r="Y45" s="8">
        <v>4</v>
      </c>
      <c r="Z45" s="8">
        <v>4</v>
      </c>
      <c r="AA45" s="8" t="s">
        <v>25</v>
      </c>
      <c r="AB45" s="8">
        <v>4</v>
      </c>
      <c r="AC45" s="8" t="s">
        <v>25</v>
      </c>
      <c r="AD45" s="8">
        <v>8</v>
      </c>
      <c r="AE45" s="8">
        <v>4</v>
      </c>
      <c r="AF45" s="8" t="s">
        <v>25</v>
      </c>
      <c r="AG45" s="8" t="s">
        <v>25</v>
      </c>
      <c r="AH45" s="8" t="s">
        <v>25</v>
      </c>
      <c r="AI45" s="8" t="s">
        <v>25</v>
      </c>
      <c r="AJ45" s="8" t="s">
        <v>25</v>
      </c>
      <c r="AK45" s="17">
        <v>28</v>
      </c>
      <c r="AL45" s="10">
        <v>40</v>
      </c>
    </row>
    <row r="46" spans="1:38" ht="13.25" x14ac:dyDescent="0.25">
      <c r="A46" s="12" t="s">
        <v>96</v>
      </c>
      <c r="B46" s="13" t="s">
        <v>97</v>
      </c>
      <c r="C46" s="8" t="s">
        <v>25</v>
      </c>
      <c r="D46" s="8" t="s">
        <v>25</v>
      </c>
      <c r="E46" s="8" t="s">
        <v>25</v>
      </c>
      <c r="F46" s="8" t="s">
        <v>25</v>
      </c>
      <c r="G46" s="8" t="s">
        <v>25</v>
      </c>
      <c r="H46" s="8" t="s">
        <v>25</v>
      </c>
      <c r="I46" s="8" t="s">
        <v>25</v>
      </c>
      <c r="J46" s="8" t="s">
        <v>25</v>
      </c>
      <c r="K46" s="8" t="s">
        <v>25</v>
      </c>
      <c r="L46" s="8" t="s">
        <v>25</v>
      </c>
      <c r="M46" s="8" t="s">
        <v>25</v>
      </c>
      <c r="N46" s="8" t="s">
        <v>25</v>
      </c>
      <c r="O46" s="8" t="s">
        <v>25</v>
      </c>
      <c r="P46" s="8" t="s">
        <v>25</v>
      </c>
      <c r="Q46" s="8" t="s">
        <v>25</v>
      </c>
      <c r="R46" s="8" t="s">
        <v>25</v>
      </c>
      <c r="S46" s="8" t="s">
        <v>25</v>
      </c>
      <c r="T46" s="9">
        <v>0</v>
      </c>
      <c r="U46" s="8" t="s">
        <v>25</v>
      </c>
      <c r="V46" s="8" t="s">
        <v>25</v>
      </c>
      <c r="W46" s="8" t="s">
        <v>25</v>
      </c>
      <c r="X46" s="8" t="s">
        <v>25</v>
      </c>
      <c r="Y46" s="8" t="s">
        <v>25</v>
      </c>
      <c r="Z46" s="8" t="s">
        <v>25</v>
      </c>
      <c r="AA46" s="8" t="s">
        <v>25</v>
      </c>
      <c r="AB46" s="8" t="s">
        <v>25</v>
      </c>
      <c r="AC46" s="8" t="s">
        <v>25</v>
      </c>
      <c r="AD46" s="8" t="s">
        <v>25</v>
      </c>
      <c r="AE46" s="8" t="s">
        <v>25</v>
      </c>
      <c r="AF46" s="8" t="s">
        <v>25</v>
      </c>
      <c r="AG46" s="8" t="s">
        <v>25</v>
      </c>
      <c r="AH46" s="8" t="s">
        <v>25</v>
      </c>
      <c r="AI46" s="8" t="s">
        <v>25</v>
      </c>
      <c r="AJ46" s="8" t="s">
        <v>25</v>
      </c>
      <c r="AK46" s="17">
        <v>0</v>
      </c>
      <c r="AL46" s="10">
        <v>0</v>
      </c>
    </row>
    <row r="47" spans="1:38" s="3" customFormat="1" ht="14.45" customHeight="1" x14ac:dyDescent="0.25">
      <c r="A47" s="25" t="s">
        <v>98</v>
      </c>
      <c r="B47" s="25"/>
      <c r="C47" s="14">
        <v>8</v>
      </c>
      <c r="D47" s="14">
        <v>0</v>
      </c>
      <c r="E47" s="14">
        <v>14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4</v>
      </c>
      <c r="P47" s="14">
        <v>0</v>
      </c>
      <c r="Q47" s="14">
        <v>0</v>
      </c>
      <c r="R47" s="14">
        <v>0</v>
      </c>
      <c r="S47" s="14">
        <v>0</v>
      </c>
      <c r="T47" s="9">
        <v>26</v>
      </c>
      <c r="U47" s="14">
        <v>4</v>
      </c>
      <c r="V47" s="14">
        <v>0</v>
      </c>
      <c r="W47" s="14">
        <v>0</v>
      </c>
      <c r="X47" s="14">
        <v>0</v>
      </c>
      <c r="Y47" s="14">
        <v>4</v>
      </c>
      <c r="Z47" s="14">
        <v>8</v>
      </c>
      <c r="AA47" s="14">
        <v>8</v>
      </c>
      <c r="AB47" s="14">
        <v>16</v>
      </c>
      <c r="AC47" s="14">
        <v>0</v>
      </c>
      <c r="AD47" s="14">
        <v>12</v>
      </c>
      <c r="AE47" s="14">
        <v>4</v>
      </c>
      <c r="AF47" s="14">
        <v>0</v>
      </c>
      <c r="AG47" s="14">
        <v>0</v>
      </c>
      <c r="AH47" s="14">
        <v>0</v>
      </c>
      <c r="AI47" s="14">
        <v>0</v>
      </c>
      <c r="AJ47" s="14">
        <v>4</v>
      </c>
      <c r="AK47" s="17">
        <v>60</v>
      </c>
      <c r="AL47" s="10">
        <v>86</v>
      </c>
    </row>
    <row r="48" spans="1:38" ht="13.25" x14ac:dyDescent="0.25">
      <c r="A48" s="12" t="s">
        <v>99</v>
      </c>
      <c r="B48" s="13" t="s">
        <v>100</v>
      </c>
      <c r="C48" s="8" t="s">
        <v>25</v>
      </c>
      <c r="D48" s="8" t="s">
        <v>25</v>
      </c>
      <c r="E48" s="8" t="s">
        <v>25</v>
      </c>
      <c r="F48" s="8" t="s">
        <v>25</v>
      </c>
      <c r="G48" s="8" t="s">
        <v>25</v>
      </c>
      <c r="H48" s="8" t="s">
        <v>25</v>
      </c>
      <c r="I48" s="8" t="s">
        <v>25</v>
      </c>
      <c r="J48" s="8" t="s">
        <v>25</v>
      </c>
      <c r="K48" s="8" t="s">
        <v>25</v>
      </c>
      <c r="L48" s="8" t="s">
        <v>25</v>
      </c>
      <c r="M48" s="8" t="s">
        <v>25</v>
      </c>
      <c r="N48" s="8" t="s">
        <v>25</v>
      </c>
      <c r="O48" s="8" t="s">
        <v>25</v>
      </c>
      <c r="P48" s="8" t="s">
        <v>25</v>
      </c>
      <c r="Q48" s="8" t="s">
        <v>25</v>
      </c>
      <c r="R48" s="8" t="s">
        <v>25</v>
      </c>
      <c r="S48" s="8" t="s">
        <v>25</v>
      </c>
      <c r="T48" s="9">
        <v>0</v>
      </c>
      <c r="U48" s="8">
        <v>4</v>
      </c>
      <c r="V48" s="8">
        <v>4</v>
      </c>
      <c r="W48" s="8" t="s">
        <v>25</v>
      </c>
      <c r="X48" s="8" t="s">
        <v>25</v>
      </c>
      <c r="Y48" s="8" t="s">
        <v>25</v>
      </c>
      <c r="Z48" s="8">
        <v>4</v>
      </c>
      <c r="AA48" s="8" t="s">
        <v>25</v>
      </c>
      <c r="AB48" s="8">
        <v>8</v>
      </c>
      <c r="AC48" s="8" t="s">
        <v>25</v>
      </c>
      <c r="AD48" s="8" t="s">
        <v>25</v>
      </c>
      <c r="AE48" s="8" t="s">
        <v>25</v>
      </c>
      <c r="AF48" s="8">
        <v>10</v>
      </c>
      <c r="AG48" s="8" t="s">
        <v>25</v>
      </c>
      <c r="AH48" s="8" t="s">
        <v>25</v>
      </c>
      <c r="AI48" s="8">
        <v>4</v>
      </c>
      <c r="AJ48" s="8" t="s">
        <v>25</v>
      </c>
      <c r="AK48" s="17">
        <v>34</v>
      </c>
      <c r="AL48" s="10">
        <v>34</v>
      </c>
    </row>
    <row r="49" spans="1:38" ht="13.25" x14ac:dyDescent="0.25">
      <c r="A49" s="12" t="s">
        <v>101</v>
      </c>
      <c r="B49" s="13" t="s">
        <v>102</v>
      </c>
      <c r="C49" s="8" t="s">
        <v>25</v>
      </c>
      <c r="D49" s="8" t="s">
        <v>25</v>
      </c>
      <c r="E49" s="8">
        <v>4</v>
      </c>
      <c r="F49" s="8" t="s">
        <v>25</v>
      </c>
      <c r="G49" s="8" t="s">
        <v>25</v>
      </c>
      <c r="H49" s="8" t="s">
        <v>25</v>
      </c>
      <c r="I49" s="8" t="s">
        <v>25</v>
      </c>
      <c r="J49" s="8" t="s">
        <v>25</v>
      </c>
      <c r="K49" s="8" t="s">
        <v>25</v>
      </c>
      <c r="L49" s="8" t="s">
        <v>25</v>
      </c>
      <c r="M49" s="8" t="s">
        <v>25</v>
      </c>
      <c r="N49" s="8" t="s">
        <v>25</v>
      </c>
      <c r="O49" s="8" t="s">
        <v>25</v>
      </c>
      <c r="P49" s="8" t="s">
        <v>25</v>
      </c>
      <c r="Q49" s="8" t="s">
        <v>25</v>
      </c>
      <c r="R49" s="8" t="s">
        <v>25</v>
      </c>
      <c r="S49" s="8" t="s">
        <v>25</v>
      </c>
      <c r="T49" s="9">
        <v>4</v>
      </c>
      <c r="U49" s="8" t="s">
        <v>25</v>
      </c>
      <c r="V49" s="8" t="s">
        <v>25</v>
      </c>
      <c r="W49" s="8" t="s">
        <v>25</v>
      </c>
      <c r="X49" s="8" t="s">
        <v>25</v>
      </c>
      <c r="Y49" s="8" t="s">
        <v>25</v>
      </c>
      <c r="Z49" s="8" t="s">
        <v>25</v>
      </c>
      <c r="AA49" s="8" t="s">
        <v>25</v>
      </c>
      <c r="AB49" s="8" t="s">
        <v>25</v>
      </c>
      <c r="AC49" s="8" t="s">
        <v>25</v>
      </c>
      <c r="AD49" s="8" t="s">
        <v>25</v>
      </c>
      <c r="AE49" s="8" t="s">
        <v>25</v>
      </c>
      <c r="AF49" s="8" t="s">
        <v>25</v>
      </c>
      <c r="AG49" s="8" t="s">
        <v>25</v>
      </c>
      <c r="AH49" s="8" t="s">
        <v>25</v>
      </c>
      <c r="AI49" s="8" t="s">
        <v>25</v>
      </c>
      <c r="AJ49" s="8" t="s">
        <v>25</v>
      </c>
      <c r="AK49" s="17">
        <v>0</v>
      </c>
      <c r="AL49" s="10">
        <v>4</v>
      </c>
    </row>
    <row r="50" spans="1:38" ht="13.25" x14ac:dyDescent="0.25">
      <c r="A50" s="12" t="s">
        <v>103</v>
      </c>
      <c r="B50" s="13" t="s">
        <v>104</v>
      </c>
      <c r="C50" s="8" t="s">
        <v>25</v>
      </c>
      <c r="D50" s="8" t="s">
        <v>25</v>
      </c>
      <c r="E50" s="8" t="s">
        <v>25</v>
      </c>
      <c r="F50" s="8" t="s">
        <v>25</v>
      </c>
      <c r="G50" s="8" t="s">
        <v>25</v>
      </c>
      <c r="H50" s="8" t="s">
        <v>25</v>
      </c>
      <c r="I50" s="8" t="s">
        <v>25</v>
      </c>
      <c r="J50" s="8" t="s">
        <v>25</v>
      </c>
      <c r="K50" s="8" t="s">
        <v>25</v>
      </c>
      <c r="L50" s="8" t="s">
        <v>25</v>
      </c>
      <c r="M50" s="8" t="s">
        <v>25</v>
      </c>
      <c r="N50" s="8" t="s">
        <v>25</v>
      </c>
      <c r="O50" s="8" t="s">
        <v>25</v>
      </c>
      <c r="P50" s="8" t="s">
        <v>25</v>
      </c>
      <c r="Q50" s="8" t="s">
        <v>25</v>
      </c>
      <c r="R50" s="8" t="s">
        <v>25</v>
      </c>
      <c r="S50" s="8" t="s">
        <v>25</v>
      </c>
      <c r="T50" s="9">
        <v>0</v>
      </c>
      <c r="U50" s="8" t="s">
        <v>25</v>
      </c>
      <c r="V50" s="8" t="s">
        <v>25</v>
      </c>
      <c r="W50" s="8" t="s">
        <v>25</v>
      </c>
      <c r="X50" s="8" t="s">
        <v>25</v>
      </c>
      <c r="Y50" s="8" t="s">
        <v>25</v>
      </c>
      <c r="Z50" s="8" t="s">
        <v>25</v>
      </c>
      <c r="AA50" s="8" t="s">
        <v>25</v>
      </c>
      <c r="AB50" s="8" t="s">
        <v>25</v>
      </c>
      <c r="AC50" s="8" t="s">
        <v>25</v>
      </c>
      <c r="AD50" s="8" t="s">
        <v>25</v>
      </c>
      <c r="AE50" s="8" t="s">
        <v>25</v>
      </c>
      <c r="AF50" s="8" t="s">
        <v>25</v>
      </c>
      <c r="AG50" s="8" t="s">
        <v>25</v>
      </c>
      <c r="AH50" s="8" t="s">
        <v>25</v>
      </c>
      <c r="AI50" s="8" t="s">
        <v>25</v>
      </c>
      <c r="AJ50" s="8" t="s">
        <v>25</v>
      </c>
      <c r="AK50" s="17">
        <v>0</v>
      </c>
      <c r="AL50" s="10">
        <v>0</v>
      </c>
    </row>
    <row r="51" spans="1:38" x14ac:dyDescent="0.25">
      <c r="A51" s="12" t="s">
        <v>105</v>
      </c>
      <c r="B51" s="13" t="s">
        <v>106</v>
      </c>
      <c r="C51" s="8">
        <v>4</v>
      </c>
      <c r="D51" s="8" t="s">
        <v>25</v>
      </c>
      <c r="E51" s="8">
        <v>4</v>
      </c>
      <c r="F51" s="8" t="s">
        <v>25</v>
      </c>
      <c r="G51" s="8" t="s">
        <v>25</v>
      </c>
      <c r="H51" s="8" t="s">
        <v>25</v>
      </c>
      <c r="I51" s="8" t="s">
        <v>25</v>
      </c>
      <c r="J51" s="8" t="s">
        <v>25</v>
      </c>
      <c r="K51" s="8" t="s">
        <v>25</v>
      </c>
      <c r="L51" s="8" t="s">
        <v>25</v>
      </c>
      <c r="M51" s="8" t="s">
        <v>25</v>
      </c>
      <c r="N51" s="8">
        <v>4</v>
      </c>
      <c r="O51" s="8" t="s">
        <v>25</v>
      </c>
      <c r="P51" s="8" t="s">
        <v>25</v>
      </c>
      <c r="Q51" s="8" t="s">
        <v>25</v>
      </c>
      <c r="R51" s="8" t="s">
        <v>25</v>
      </c>
      <c r="S51" s="8" t="s">
        <v>25</v>
      </c>
      <c r="T51" s="9">
        <v>12</v>
      </c>
      <c r="U51" s="8" t="s">
        <v>25</v>
      </c>
      <c r="V51" s="8" t="s">
        <v>25</v>
      </c>
      <c r="W51" s="8" t="s">
        <v>25</v>
      </c>
      <c r="X51" s="8" t="s">
        <v>25</v>
      </c>
      <c r="Y51" s="8" t="s">
        <v>25</v>
      </c>
      <c r="Z51" s="8">
        <v>4</v>
      </c>
      <c r="AA51" s="8" t="s">
        <v>25</v>
      </c>
      <c r="AB51" s="8">
        <v>4</v>
      </c>
      <c r="AC51" s="8" t="s">
        <v>25</v>
      </c>
      <c r="AD51" s="8" t="s">
        <v>25</v>
      </c>
      <c r="AE51" s="8" t="s">
        <v>25</v>
      </c>
      <c r="AF51" s="8" t="s">
        <v>25</v>
      </c>
      <c r="AG51" s="8" t="s">
        <v>25</v>
      </c>
      <c r="AH51" s="8" t="s">
        <v>25</v>
      </c>
      <c r="AI51" s="8">
        <v>4</v>
      </c>
      <c r="AJ51" s="8" t="s">
        <v>25</v>
      </c>
      <c r="AK51" s="17">
        <v>12</v>
      </c>
      <c r="AL51" s="10">
        <v>24</v>
      </c>
    </row>
    <row r="52" spans="1:38" s="3" customFormat="1" ht="14.45" customHeight="1" x14ac:dyDescent="0.2">
      <c r="A52" s="25" t="s">
        <v>107</v>
      </c>
      <c r="B52" s="25"/>
      <c r="C52" s="14">
        <v>4</v>
      </c>
      <c r="D52" s="14">
        <v>0</v>
      </c>
      <c r="E52" s="14">
        <v>8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4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9">
        <v>16</v>
      </c>
      <c r="U52" s="14">
        <v>4</v>
      </c>
      <c r="V52" s="14">
        <v>4</v>
      </c>
      <c r="W52" s="14">
        <v>0</v>
      </c>
      <c r="X52" s="14">
        <v>0</v>
      </c>
      <c r="Y52" s="14">
        <v>0</v>
      </c>
      <c r="Z52" s="14">
        <v>8</v>
      </c>
      <c r="AA52" s="14">
        <v>0</v>
      </c>
      <c r="AB52" s="14">
        <v>12</v>
      </c>
      <c r="AC52" s="14">
        <v>0</v>
      </c>
      <c r="AD52" s="14">
        <v>0</v>
      </c>
      <c r="AE52" s="14">
        <v>0</v>
      </c>
      <c r="AF52" s="14">
        <v>10</v>
      </c>
      <c r="AG52" s="14">
        <v>0</v>
      </c>
      <c r="AH52" s="14">
        <v>0</v>
      </c>
      <c r="AI52" s="14">
        <v>8</v>
      </c>
      <c r="AJ52" s="14">
        <v>0</v>
      </c>
      <c r="AK52" s="17">
        <v>46</v>
      </c>
      <c r="AL52" s="10">
        <v>62</v>
      </c>
    </row>
    <row r="53" spans="1:38" x14ac:dyDescent="0.25">
      <c r="A53" s="12" t="s">
        <v>108</v>
      </c>
      <c r="B53" s="13" t="s">
        <v>109</v>
      </c>
      <c r="C53" s="8" t="s">
        <v>25</v>
      </c>
      <c r="D53" s="8" t="s">
        <v>25</v>
      </c>
      <c r="E53" s="8" t="s">
        <v>25</v>
      </c>
      <c r="F53" s="8" t="s">
        <v>25</v>
      </c>
      <c r="G53" s="8" t="s">
        <v>25</v>
      </c>
      <c r="H53" s="8" t="s">
        <v>25</v>
      </c>
      <c r="I53" s="8" t="s">
        <v>25</v>
      </c>
      <c r="J53" s="8">
        <v>4</v>
      </c>
      <c r="K53" s="8" t="s">
        <v>25</v>
      </c>
      <c r="L53" s="8" t="s">
        <v>25</v>
      </c>
      <c r="M53" s="8" t="s">
        <v>25</v>
      </c>
      <c r="N53" s="8">
        <v>0</v>
      </c>
      <c r="O53" s="8" t="s">
        <v>25</v>
      </c>
      <c r="P53" s="8" t="s">
        <v>25</v>
      </c>
      <c r="Q53" s="8">
        <v>4</v>
      </c>
      <c r="R53" s="8" t="s">
        <v>25</v>
      </c>
      <c r="S53" s="8">
        <v>4</v>
      </c>
      <c r="T53" s="9">
        <v>12</v>
      </c>
      <c r="U53" s="8">
        <v>4</v>
      </c>
      <c r="V53" s="8">
        <v>4</v>
      </c>
      <c r="W53" s="8" t="s">
        <v>25</v>
      </c>
      <c r="X53" s="8">
        <v>0</v>
      </c>
      <c r="Y53" s="8" t="s">
        <v>25</v>
      </c>
      <c r="Z53" s="8" t="s">
        <v>25</v>
      </c>
      <c r="AA53" s="8" t="s">
        <v>25</v>
      </c>
      <c r="AB53" s="8">
        <v>0</v>
      </c>
      <c r="AC53" s="8" t="s">
        <v>25</v>
      </c>
      <c r="AD53" s="8">
        <v>4</v>
      </c>
      <c r="AE53" s="8" t="s">
        <v>25</v>
      </c>
      <c r="AF53" s="8">
        <v>6</v>
      </c>
      <c r="AG53" s="8" t="s">
        <v>25</v>
      </c>
      <c r="AH53" s="8" t="s">
        <v>25</v>
      </c>
      <c r="AI53" s="8">
        <v>4</v>
      </c>
      <c r="AJ53" s="8">
        <v>4</v>
      </c>
      <c r="AK53" s="17">
        <v>26</v>
      </c>
      <c r="AL53" s="10">
        <v>38</v>
      </c>
    </row>
    <row r="54" spans="1:38" x14ac:dyDescent="0.25">
      <c r="A54" s="12" t="s">
        <v>110</v>
      </c>
      <c r="B54" s="13" t="s">
        <v>111</v>
      </c>
      <c r="C54" s="8" t="s">
        <v>25</v>
      </c>
      <c r="D54" s="8">
        <v>4</v>
      </c>
      <c r="E54" s="8" t="s">
        <v>25</v>
      </c>
      <c r="F54" s="8" t="s">
        <v>25</v>
      </c>
      <c r="G54" s="8" t="s">
        <v>25</v>
      </c>
      <c r="H54" s="8" t="s">
        <v>25</v>
      </c>
      <c r="I54" s="8" t="s">
        <v>25</v>
      </c>
      <c r="J54" s="8" t="s">
        <v>25</v>
      </c>
      <c r="K54" s="8" t="s">
        <v>25</v>
      </c>
      <c r="L54" s="8" t="s">
        <v>25</v>
      </c>
      <c r="M54" s="8" t="s">
        <v>25</v>
      </c>
      <c r="N54" s="8" t="s">
        <v>25</v>
      </c>
      <c r="O54" s="8" t="s">
        <v>25</v>
      </c>
      <c r="P54" s="8" t="s">
        <v>25</v>
      </c>
      <c r="Q54" s="8" t="s">
        <v>25</v>
      </c>
      <c r="R54" s="8" t="s">
        <v>25</v>
      </c>
      <c r="S54" s="8" t="s">
        <v>25</v>
      </c>
      <c r="T54" s="9">
        <v>4</v>
      </c>
      <c r="U54" s="8" t="s">
        <v>25</v>
      </c>
      <c r="V54" s="8" t="s">
        <v>25</v>
      </c>
      <c r="W54" s="8" t="s">
        <v>25</v>
      </c>
      <c r="X54" s="8">
        <v>4</v>
      </c>
      <c r="Y54" s="8" t="s">
        <v>25</v>
      </c>
      <c r="Z54" s="8">
        <v>4</v>
      </c>
      <c r="AA54" s="8" t="s">
        <v>25</v>
      </c>
      <c r="AB54" s="8" t="s">
        <v>25</v>
      </c>
      <c r="AC54" s="8" t="s">
        <v>25</v>
      </c>
      <c r="AD54" s="8">
        <v>4</v>
      </c>
      <c r="AE54" s="8" t="s">
        <v>25</v>
      </c>
      <c r="AF54" s="8">
        <v>4</v>
      </c>
      <c r="AG54" s="8" t="s">
        <v>25</v>
      </c>
      <c r="AH54" s="8" t="s">
        <v>25</v>
      </c>
      <c r="AI54" s="8">
        <v>4</v>
      </c>
      <c r="AJ54" s="8" t="s">
        <v>25</v>
      </c>
      <c r="AK54" s="17">
        <v>20</v>
      </c>
      <c r="AL54" s="10">
        <v>24</v>
      </c>
    </row>
    <row r="55" spans="1:38" s="3" customFormat="1" ht="14.45" customHeight="1" x14ac:dyDescent="0.2">
      <c r="A55" s="25" t="s">
        <v>112</v>
      </c>
      <c r="B55" s="25"/>
      <c r="C55" s="14">
        <v>0</v>
      </c>
      <c r="D55" s="14">
        <v>4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4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4</v>
      </c>
      <c r="R55" s="14">
        <v>0</v>
      </c>
      <c r="S55" s="14">
        <v>4</v>
      </c>
      <c r="T55" s="9">
        <v>16</v>
      </c>
      <c r="U55" s="14">
        <v>4</v>
      </c>
      <c r="V55" s="14">
        <v>4</v>
      </c>
      <c r="W55" s="14">
        <v>0</v>
      </c>
      <c r="X55" s="14">
        <v>4</v>
      </c>
      <c r="Y55" s="14">
        <v>0</v>
      </c>
      <c r="Z55" s="14">
        <v>4</v>
      </c>
      <c r="AA55" s="14">
        <v>0</v>
      </c>
      <c r="AB55" s="14">
        <v>0</v>
      </c>
      <c r="AC55" s="14">
        <v>0</v>
      </c>
      <c r="AD55" s="14">
        <v>8</v>
      </c>
      <c r="AE55" s="14">
        <v>0</v>
      </c>
      <c r="AF55" s="14">
        <v>10</v>
      </c>
      <c r="AG55" s="14">
        <v>0</v>
      </c>
      <c r="AH55" s="14">
        <v>0</v>
      </c>
      <c r="AI55" s="14">
        <v>8</v>
      </c>
      <c r="AJ55" s="14">
        <v>4</v>
      </c>
      <c r="AK55" s="17">
        <v>46</v>
      </c>
      <c r="AL55" s="10">
        <v>62</v>
      </c>
    </row>
    <row r="56" spans="1:38" s="3" customFormat="1" ht="14.45" customHeight="1" x14ac:dyDescent="0.2">
      <c r="A56" s="24" t="s">
        <v>113</v>
      </c>
      <c r="B56" s="24"/>
      <c r="C56" s="15">
        <v>16</v>
      </c>
      <c r="D56" s="15">
        <v>4</v>
      </c>
      <c r="E56" s="15">
        <v>30</v>
      </c>
      <c r="F56" s="15">
        <v>8</v>
      </c>
      <c r="G56" s="15">
        <v>0</v>
      </c>
      <c r="H56" s="15">
        <v>4</v>
      </c>
      <c r="I56" s="15">
        <v>0</v>
      </c>
      <c r="J56" s="15">
        <v>4</v>
      </c>
      <c r="K56" s="15">
        <v>0</v>
      </c>
      <c r="L56" s="15">
        <v>4</v>
      </c>
      <c r="M56" s="15">
        <v>0</v>
      </c>
      <c r="N56" s="15">
        <v>8</v>
      </c>
      <c r="O56" s="15">
        <v>4</v>
      </c>
      <c r="P56" s="15">
        <v>4</v>
      </c>
      <c r="Q56" s="15">
        <v>8</v>
      </c>
      <c r="R56" s="15">
        <v>0</v>
      </c>
      <c r="S56" s="15">
        <v>12</v>
      </c>
      <c r="T56" s="18">
        <v>106</v>
      </c>
      <c r="U56" s="15">
        <v>20</v>
      </c>
      <c r="V56" s="15">
        <v>16</v>
      </c>
      <c r="W56" s="15">
        <v>0</v>
      </c>
      <c r="X56" s="15">
        <v>8</v>
      </c>
      <c r="Y56" s="15">
        <v>4</v>
      </c>
      <c r="Z56" s="15">
        <v>20</v>
      </c>
      <c r="AA56" s="15">
        <v>8</v>
      </c>
      <c r="AB56" s="15">
        <v>32</v>
      </c>
      <c r="AC56" s="15">
        <v>0</v>
      </c>
      <c r="AD56" s="15">
        <v>20</v>
      </c>
      <c r="AE56" s="15">
        <v>4</v>
      </c>
      <c r="AF56" s="15">
        <v>32</v>
      </c>
      <c r="AG56" s="15">
        <v>0</v>
      </c>
      <c r="AH56" s="15">
        <v>0</v>
      </c>
      <c r="AI56" s="15">
        <v>20</v>
      </c>
      <c r="AJ56" s="15">
        <v>16</v>
      </c>
      <c r="AK56" s="17">
        <v>200</v>
      </c>
      <c r="AL56" s="10">
        <v>306</v>
      </c>
    </row>
    <row r="57" spans="1:38" s="3" customFormat="1" ht="14.95" customHeight="1" x14ac:dyDescent="0.2">
      <c r="A57" s="26" t="s">
        <v>114</v>
      </c>
      <c r="B57" s="26"/>
      <c r="C57" s="16">
        <v>40</v>
      </c>
      <c r="D57" s="16">
        <v>4</v>
      </c>
      <c r="E57" s="16">
        <v>56</v>
      </c>
      <c r="F57" s="16">
        <v>36</v>
      </c>
      <c r="G57" s="16">
        <v>4</v>
      </c>
      <c r="H57" s="16">
        <v>32</v>
      </c>
      <c r="I57" s="16">
        <v>8</v>
      </c>
      <c r="J57" s="16">
        <v>24</v>
      </c>
      <c r="K57" s="16">
        <v>16</v>
      </c>
      <c r="L57" s="16">
        <v>32</v>
      </c>
      <c r="M57" s="16">
        <v>8</v>
      </c>
      <c r="N57" s="16">
        <v>24</v>
      </c>
      <c r="O57" s="16">
        <v>16</v>
      </c>
      <c r="P57" s="16">
        <v>40</v>
      </c>
      <c r="Q57" s="16">
        <v>32</v>
      </c>
      <c r="R57" s="16">
        <v>8</v>
      </c>
      <c r="S57" s="16">
        <v>40</v>
      </c>
      <c r="T57" s="18">
        <v>420</v>
      </c>
      <c r="U57" s="16">
        <v>40</v>
      </c>
      <c r="V57" s="16">
        <v>30</v>
      </c>
      <c r="W57" s="16">
        <v>10</v>
      </c>
      <c r="X57" s="16">
        <v>8</v>
      </c>
      <c r="Y57" s="16">
        <v>32</v>
      </c>
      <c r="Z57" s="16">
        <v>32</v>
      </c>
      <c r="AA57" s="16">
        <v>8</v>
      </c>
      <c r="AB57" s="16">
        <v>36</v>
      </c>
      <c r="AC57" s="16">
        <v>4</v>
      </c>
      <c r="AD57" s="16">
        <v>20</v>
      </c>
      <c r="AE57" s="16">
        <v>20</v>
      </c>
      <c r="AF57" s="16">
        <v>36</v>
      </c>
      <c r="AG57" s="16">
        <v>4</v>
      </c>
      <c r="AH57" s="16">
        <v>40</v>
      </c>
      <c r="AI57" s="16">
        <v>20</v>
      </c>
      <c r="AJ57" s="16">
        <v>20</v>
      </c>
      <c r="AK57" s="17">
        <v>360</v>
      </c>
      <c r="AL57" s="10">
        <v>780</v>
      </c>
    </row>
  </sheetData>
  <mergeCells count="38">
    <mergeCell ref="A52:B52"/>
    <mergeCell ref="A55:B55"/>
    <mergeCell ref="A56:B56"/>
    <mergeCell ref="A57:B57"/>
    <mergeCell ref="A27:B27"/>
    <mergeCell ref="A32:B32"/>
    <mergeCell ref="A36:B36"/>
    <mergeCell ref="A37:B37"/>
    <mergeCell ref="A42:B42"/>
    <mergeCell ref="A47:B47"/>
    <mergeCell ref="A23:B23"/>
    <mergeCell ref="Z3:AA4"/>
    <mergeCell ref="AB3:AC4"/>
    <mergeCell ref="AD3:AE4"/>
    <mergeCell ref="AF3:AG4"/>
    <mergeCell ref="P3:P4"/>
    <mergeCell ref="Q3:R4"/>
    <mergeCell ref="S3:S5"/>
    <mergeCell ref="T3:T5"/>
    <mergeCell ref="V3:W4"/>
    <mergeCell ref="X3:Y4"/>
    <mergeCell ref="A10:B10"/>
    <mergeCell ref="A14:B14"/>
    <mergeCell ref="A17:B17"/>
    <mergeCell ref="A22:B22"/>
    <mergeCell ref="A1:AL1"/>
    <mergeCell ref="C2:T2"/>
    <mergeCell ref="U2:AK2"/>
    <mergeCell ref="AL2:AL5"/>
    <mergeCell ref="D3:E4"/>
    <mergeCell ref="F3:G4"/>
    <mergeCell ref="H3:I4"/>
    <mergeCell ref="J3:K4"/>
    <mergeCell ref="L3:M4"/>
    <mergeCell ref="N3:O4"/>
    <mergeCell ref="AK3:AK5"/>
    <mergeCell ref="AH3:AH4"/>
    <mergeCell ref="AI3:AJ4"/>
  </mergeCells>
  <printOptions horizontalCentered="1"/>
  <pageMargins left="0" right="0" top="0" bottom="0" header="0" footer="0"/>
  <pageSetup paperSize="9" scale="7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6268B-72B8-43E2-8F39-AA08DE4B3379}">
  <sheetPr>
    <tabColor rgb="FF00B050"/>
  </sheetPr>
  <dimension ref="A1:AL57"/>
  <sheetViews>
    <sheetView view="pageBreakPreview" zoomScale="85" zoomScaleNormal="70" zoomScaleSheetLayoutView="85" workbookViewId="0">
      <pane xSplit="2" ySplit="5" topLeftCell="C27" activePane="bottomRight" state="frozen"/>
      <selection pane="topRight" activeCell="C1" sqref="C1"/>
      <selection pane="bottomLeft" activeCell="A6" sqref="A6"/>
      <selection pane="bottomRight" activeCell="U53" sqref="U53:AJ54"/>
    </sheetView>
  </sheetViews>
  <sheetFormatPr defaultColWidth="8.875" defaultRowHeight="13.6" x14ac:dyDescent="0.25"/>
  <cols>
    <col min="1" max="1" width="7.125" style="5" bestFit="1" customWidth="1"/>
    <col min="2" max="2" width="21.25" style="1" bestFit="1" customWidth="1"/>
    <col min="3" max="3" width="4.875" style="2" bestFit="1" customWidth="1"/>
    <col min="4" max="15" width="4.25" style="2" customWidth="1"/>
    <col min="16" max="16" width="6.875" style="2" bestFit="1" customWidth="1"/>
    <col min="17" max="18" width="4.25" style="2" customWidth="1"/>
    <col min="19" max="19" width="6.375" style="2" bestFit="1" customWidth="1"/>
    <col min="20" max="20" width="7.5" style="4" bestFit="1" customWidth="1"/>
    <col min="21" max="33" width="4.25" style="2" customWidth="1"/>
    <col min="34" max="34" width="7" style="2" bestFit="1" customWidth="1"/>
    <col min="35" max="36" width="4.25" style="2" customWidth="1"/>
    <col min="37" max="37" width="7.5" style="4" bestFit="1" customWidth="1"/>
    <col min="38" max="38" width="8.875" style="1" customWidth="1"/>
    <col min="39" max="16384" width="8.875" style="1"/>
  </cols>
  <sheetData>
    <row r="1" spans="1:38" ht="15.65" x14ac:dyDescent="0.3">
      <c r="A1" s="19" t="s">
        <v>23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</row>
    <row r="2" spans="1:38" ht="14.45" customHeight="1" x14ac:dyDescent="0.25">
      <c r="A2" s="6"/>
      <c r="B2" s="6"/>
      <c r="C2" s="20" t="s">
        <v>5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1" t="s">
        <v>6</v>
      </c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2" t="s">
        <v>21</v>
      </c>
    </row>
    <row r="3" spans="1:38" ht="14.3" customHeight="1" x14ac:dyDescent="0.25">
      <c r="A3" s="2"/>
      <c r="B3" s="6"/>
      <c r="C3" s="7" t="s">
        <v>9</v>
      </c>
      <c r="D3" s="23" t="s">
        <v>22</v>
      </c>
      <c r="E3" s="23"/>
      <c r="F3" s="23" t="s">
        <v>10</v>
      </c>
      <c r="G3" s="23"/>
      <c r="H3" s="23" t="s">
        <v>11</v>
      </c>
      <c r="I3" s="23"/>
      <c r="J3" s="23" t="s">
        <v>0</v>
      </c>
      <c r="K3" s="23"/>
      <c r="L3" s="23" t="s">
        <v>4</v>
      </c>
      <c r="M3" s="23"/>
      <c r="N3" s="23" t="s">
        <v>12</v>
      </c>
      <c r="O3" s="23"/>
      <c r="P3" s="23" t="s">
        <v>13</v>
      </c>
      <c r="Q3" s="23" t="s">
        <v>14</v>
      </c>
      <c r="R3" s="23"/>
      <c r="S3" s="23" t="s">
        <v>15</v>
      </c>
      <c r="T3" s="20" t="s">
        <v>3</v>
      </c>
      <c r="U3" s="7" t="s">
        <v>9</v>
      </c>
      <c r="V3" s="23" t="s">
        <v>10</v>
      </c>
      <c r="W3" s="23"/>
      <c r="X3" s="23" t="s">
        <v>4</v>
      </c>
      <c r="Y3" s="23"/>
      <c r="Z3" s="23" t="s">
        <v>18</v>
      </c>
      <c r="AA3" s="23"/>
      <c r="AB3" s="23" t="s">
        <v>19</v>
      </c>
      <c r="AC3" s="23"/>
      <c r="AD3" s="23" t="s">
        <v>12</v>
      </c>
      <c r="AE3" s="23"/>
      <c r="AF3" s="23" t="s">
        <v>11</v>
      </c>
      <c r="AG3" s="23"/>
      <c r="AH3" s="23" t="s">
        <v>20</v>
      </c>
      <c r="AI3" s="23" t="s">
        <v>14</v>
      </c>
      <c r="AJ3" s="23"/>
      <c r="AK3" s="21" t="s">
        <v>3</v>
      </c>
      <c r="AL3" s="22"/>
    </row>
    <row r="4" spans="1:38" x14ac:dyDescent="0.25">
      <c r="A4" s="2"/>
      <c r="B4" s="6"/>
      <c r="C4" s="7" t="s">
        <v>16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0"/>
      <c r="U4" s="7" t="s">
        <v>17</v>
      </c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1"/>
      <c r="AL4" s="22"/>
    </row>
    <row r="5" spans="1:38" x14ac:dyDescent="0.25">
      <c r="A5" s="7" t="s">
        <v>8</v>
      </c>
      <c r="B5" s="11" t="s">
        <v>7</v>
      </c>
      <c r="C5" s="7" t="s">
        <v>1</v>
      </c>
      <c r="D5" s="7" t="s">
        <v>2</v>
      </c>
      <c r="E5" s="7" t="s">
        <v>1</v>
      </c>
      <c r="F5" s="7" t="s">
        <v>2</v>
      </c>
      <c r="G5" s="7" t="s">
        <v>1</v>
      </c>
      <c r="H5" s="7" t="s">
        <v>2</v>
      </c>
      <c r="I5" s="7" t="s">
        <v>1</v>
      </c>
      <c r="J5" s="7" t="s">
        <v>2</v>
      </c>
      <c r="K5" s="7" t="s">
        <v>1</v>
      </c>
      <c r="L5" s="7" t="s">
        <v>2</v>
      </c>
      <c r="M5" s="7" t="s">
        <v>1</v>
      </c>
      <c r="N5" s="7" t="s">
        <v>2</v>
      </c>
      <c r="O5" s="7" t="s">
        <v>1</v>
      </c>
      <c r="P5" s="7" t="s">
        <v>2</v>
      </c>
      <c r="Q5" s="7" t="s">
        <v>2</v>
      </c>
      <c r="R5" s="7" t="s">
        <v>1</v>
      </c>
      <c r="S5" s="23"/>
      <c r="T5" s="20"/>
      <c r="U5" s="7" t="s">
        <v>1</v>
      </c>
      <c r="V5" s="7" t="s">
        <v>2</v>
      </c>
      <c r="W5" s="7" t="s">
        <v>1</v>
      </c>
      <c r="X5" s="7" t="s">
        <v>2</v>
      </c>
      <c r="Y5" s="7" t="s">
        <v>1</v>
      </c>
      <c r="Z5" s="7" t="s">
        <v>2</v>
      </c>
      <c r="AA5" s="7" t="s">
        <v>1</v>
      </c>
      <c r="AB5" s="7" t="s">
        <v>2</v>
      </c>
      <c r="AC5" s="7" t="s">
        <v>1</v>
      </c>
      <c r="AD5" s="7" t="s">
        <v>2</v>
      </c>
      <c r="AE5" s="7" t="s">
        <v>1</v>
      </c>
      <c r="AF5" s="7" t="s">
        <v>2</v>
      </c>
      <c r="AG5" s="7" t="s">
        <v>1</v>
      </c>
      <c r="AH5" s="7" t="s">
        <v>2</v>
      </c>
      <c r="AI5" s="7" t="s">
        <v>2</v>
      </c>
      <c r="AJ5" s="7" t="s">
        <v>1</v>
      </c>
      <c r="AK5" s="21"/>
      <c r="AL5" s="22"/>
    </row>
    <row r="6" spans="1:38" ht="13.25" x14ac:dyDescent="0.25">
      <c r="A6" s="12" t="s">
        <v>26</v>
      </c>
      <c r="B6" s="13" t="s">
        <v>27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9">
        <f>SUM(C6:S6)</f>
        <v>0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17">
        <f>SUM(U6:AJ6)</f>
        <v>0</v>
      </c>
      <c r="AL6" s="10">
        <f>SUM(T6,AK6)</f>
        <v>0</v>
      </c>
    </row>
    <row r="7" spans="1:38" ht="13.25" x14ac:dyDescent="0.25">
      <c r="A7" s="12" t="s">
        <v>28</v>
      </c>
      <c r="B7" s="13" t="s">
        <v>29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9">
        <f t="shared" ref="T7:T57" si="0">SUM(C7:S7)</f>
        <v>0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17">
        <f t="shared" ref="AK7:AK57" si="1">SUM(U7:AJ7)</f>
        <v>0</v>
      </c>
      <c r="AL7" s="10">
        <f t="shared" ref="AL7:AL57" si="2">SUM(T7,AK7)</f>
        <v>0</v>
      </c>
    </row>
    <row r="8" spans="1:38" ht="13.25" x14ac:dyDescent="0.25">
      <c r="A8" s="12" t="s">
        <v>30</v>
      </c>
      <c r="B8" s="13" t="s">
        <v>31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9">
        <f t="shared" si="0"/>
        <v>0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17">
        <f t="shared" si="1"/>
        <v>0</v>
      </c>
      <c r="AL8" s="10">
        <f t="shared" si="2"/>
        <v>0</v>
      </c>
    </row>
    <row r="9" spans="1:38" ht="13.25" x14ac:dyDescent="0.25">
      <c r="A9" s="12" t="s">
        <v>32</v>
      </c>
      <c r="B9" s="13" t="s">
        <v>33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9">
        <f t="shared" si="0"/>
        <v>0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17">
        <f t="shared" si="1"/>
        <v>0</v>
      </c>
      <c r="AL9" s="10">
        <f t="shared" si="2"/>
        <v>0</v>
      </c>
    </row>
    <row r="10" spans="1:38" s="3" customFormat="1" ht="14.45" customHeight="1" x14ac:dyDescent="0.25">
      <c r="A10" s="25" t="s">
        <v>34</v>
      </c>
      <c r="B10" s="25"/>
      <c r="C10" s="14">
        <f>SUM(C6:C9)</f>
        <v>0</v>
      </c>
      <c r="D10" s="14">
        <f t="shared" ref="D10:S10" si="3">SUM(D6:D9)</f>
        <v>0</v>
      </c>
      <c r="E10" s="14">
        <f t="shared" si="3"/>
        <v>0</v>
      </c>
      <c r="F10" s="14">
        <f t="shared" si="3"/>
        <v>0</v>
      </c>
      <c r="G10" s="14">
        <f t="shared" si="3"/>
        <v>0</v>
      </c>
      <c r="H10" s="14">
        <f t="shared" si="3"/>
        <v>0</v>
      </c>
      <c r="I10" s="14">
        <f t="shared" si="3"/>
        <v>0</v>
      </c>
      <c r="J10" s="14">
        <f t="shared" si="3"/>
        <v>0</v>
      </c>
      <c r="K10" s="14">
        <f t="shared" si="3"/>
        <v>0</v>
      </c>
      <c r="L10" s="14">
        <f t="shared" si="3"/>
        <v>0</v>
      </c>
      <c r="M10" s="14">
        <f t="shared" si="3"/>
        <v>0</v>
      </c>
      <c r="N10" s="14">
        <f t="shared" si="3"/>
        <v>0</v>
      </c>
      <c r="O10" s="14">
        <f t="shared" si="3"/>
        <v>0</v>
      </c>
      <c r="P10" s="14">
        <f t="shared" si="3"/>
        <v>0</v>
      </c>
      <c r="Q10" s="14">
        <f t="shared" si="3"/>
        <v>0</v>
      </c>
      <c r="R10" s="14">
        <f t="shared" si="3"/>
        <v>0</v>
      </c>
      <c r="S10" s="14">
        <f t="shared" si="3"/>
        <v>0</v>
      </c>
      <c r="T10" s="9">
        <f t="shared" si="0"/>
        <v>0</v>
      </c>
      <c r="U10" s="14">
        <f t="shared" ref="U10:AJ10" si="4">SUM(U6:U9)</f>
        <v>0</v>
      </c>
      <c r="V10" s="14">
        <f t="shared" si="4"/>
        <v>0</v>
      </c>
      <c r="W10" s="14">
        <f t="shared" si="4"/>
        <v>0</v>
      </c>
      <c r="X10" s="14">
        <f t="shared" si="4"/>
        <v>0</v>
      </c>
      <c r="Y10" s="14">
        <f t="shared" si="4"/>
        <v>0</v>
      </c>
      <c r="Z10" s="14">
        <f t="shared" si="4"/>
        <v>0</v>
      </c>
      <c r="AA10" s="14">
        <f t="shared" si="4"/>
        <v>0</v>
      </c>
      <c r="AB10" s="14">
        <f t="shared" si="4"/>
        <v>0</v>
      </c>
      <c r="AC10" s="14">
        <f t="shared" si="4"/>
        <v>0</v>
      </c>
      <c r="AD10" s="14">
        <f t="shared" si="4"/>
        <v>0</v>
      </c>
      <c r="AE10" s="14">
        <f t="shared" si="4"/>
        <v>0</v>
      </c>
      <c r="AF10" s="14">
        <f t="shared" si="4"/>
        <v>0</v>
      </c>
      <c r="AG10" s="14">
        <f t="shared" si="4"/>
        <v>0</v>
      </c>
      <c r="AH10" s="14">
        <f t="shared" si="4"/>
        <v>0</v>
      </c>
      <c r="AI10" s="14">
        <f t="shared" si="4"/>
        <v>0</v>
      </c>
      <c r="AJ10" s="14">
        <f t="shared" si="4"/>
        <v>0</v>
      </c>
      <c r="AK10" s="17">
        <f t="shared" si="1"/>
        <v>0</v>
      </c>
      <c r="AL10" s="10">
        <f t="shared" si="2"/>
        <v>0</v>
      </c>
    </row>
    <row r="11" spans="1:38" ht="13.25" x14ac:dyDescent="0.25">
      <c r="A11" s="12" t="s">
        <v>35</v>
      </c>
      <c r="B11" s="13" t="s">
        <v>36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9">
        <f t="shared" si="0"/>
        <v>0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17">
        <f t="shared" si="1"/>
        <v>0</v>
      </c>
      <c r="AL11" s="10">
        <f t="shared" si="2"/>
        <v>0</v>
      </c>
    </row>
    <row r="12" spans="1:38" ht="13.25" x14ac:dyDescent="0.25">
      <c r="A12" s="12" t="s">
        <v>37</v>
      </c>
      <c r="B12" s="13" t="s">
        <v>38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9">
        <f t="shared" si="0"/>
        <v>0</v>
      </c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17">
        <f t="shared" si="1"/>
        <v>0</v>
      </c>
      <c r="AL12" s="10">
        <f t="shared" si="2"/>
        <v>0</v>
      </c>
    </row>
    <row r="13" spans="1:38" ht="13.25" x14ac:dyDescent="0.25">
      <c r="A13" s="12" t="s">
        <v>39</v>
      </c>
      <c r="B13" s="13" t="s">
        <v>40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9">
        <f t="shared" si="0"/>
        <v>0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17">
        <f t="shared" si="1"/>
        <v>0</v>
      </c>
      <c r="AL13" s="10">
        <f t="shared" si="2"/>
        <v>0</v>
      </c>
    </row>
    <row r="14" spans="1:38" s="3" customFormat="1" ht="14.45" customHeight="1" x14ac:dyDescent="0.25">
      <c r="A14" s="25" t="s">
        <v>41</v>
      </c>
      <c r="B14" s="25"/>
      <c r="C14" s="14">
        <f>SUM(C11:C13)</f>
        <v>0</v>
      </c>
      <c r="D14" s="14">
        <f t="shared" ref="D14:S14" si="5">SUM(D11:D13)</f>
        <v>0</v>
      </c>
      <c r="E14" s="14">
        <f t="shared" si="5"/>
        <v>0</v>
      </c>
      <c r="F14" s="14">
        <f t="shared" si="5"/>
        <v>0</v>
      </c>
      <c r="G14" s="14">
        <f t="shared" si="5"/>
        <v>0</v>
      </c>
      <c r="H14" s="14">
        <f t="shared" si="5"/>
        <v>0</v>
      </c>
      <c r="I14" s="14">
        <f t="shared" si="5"/>
        <v>0</v>
      </c>
      <c r="J14" s="14">
        <f t="shared" si="5"/>
        <v>0</v>
      </c>
      <c r="K14" s="14">
        <f t="shared" si="5"/>
        <v>0</v>
      </c>
      <c r="L14" s="14">
        <f t="shared" si="5"/>
        <v>0</v>
      </c>
      <c r="M14" s="14">
        <f t="shared" si="5"/>
        <v>0</v>
      </c>
      <c r="N14" s="14">
        <f t="shared" si="5"/>
        <v>0</v>
      </c>
      <c r="O14" s="14">
        <f t="shared" si="5"/>
        <v>0</v>
      </c>
      <c r="P14" s="14">
        <f t="shared" si="5"/>
        <v>0</v>
      </c>
      <c r="Q14" s="14">
        <f t="shared" si="5"/>
        <v>0</v>
      </c>
      <c r="R14" s="14">
        <f t="shared" si="5"/>
        <v>0</v>
      </c>
      <c r="S14" s="14">
        <f t="shared" si="5"/>
        <v>0</v>
      </c>
      <c r="T14" s="9">
        <f t="shared" si="0"/>
        <v>0</v>
      </c>
      <c r="U14" s="14">
        <f t="shared" ref="U14:AJ14" si="6">SUM(U11:U13)</f>
        <v>0</v>
      </c>
      <c r="V14" s="14">
        <f t="shared" si="6"/>
        <v>0</v>
      </c>
      <c r="W14" s="14">
        <f t="shared" si="6"/>
        <v>0</v>
      </c>
      <c r="X14" s="14">
        <f t="shared" si="6"/>
        <v>0</v>
      </c>
      <c r="Y14" s="14">
        <f t="shared" si="6"/>
        <v>0</v>
      </c>
      <c r="Z14" s="14">
        <f t="shared" si="6"/>
        <v>0</v>
      </c>
      <c r="AA14" s="14">
        <f t="shared" si="6"/>
        <v>0</v>
      </c>
      <c r="AB14" s="14">
        <f t="shared" si="6"/>
        <v>0</v>
      </c>
      <c r="AC14" s="14">
        <f t="shared" si="6"/>
        <v>0</v>
      </c>
      <c r="AD14" s="14">
        <f t="shared" si="6"/>
        <v>0</v>
      </c>
      <c r="AE14" s="14">
        <f t="shared" si="6"/>
        <v>0</v>
      </c>
      <c r="AF14" s="14">
        <f t="shared" si="6"/>
        <v>0</v>
      </c>
      <c r="AG14" s="14">
        <f t="shared" si="6"/>
        <v>0</v>
      </c>
      <c r="AH14" s="14">
        <f t="shared" si="6"/>
        <v>0</v>
      </c>
      <c r="AI14" s="14">
        <f t="shared" si="6"/>
        <v>0</v>
      </c>
      <c r="AJ14" s="14">
        <f t="shared" si="6"/>
        <v>0</v>
      </c>
      <c r="AK14" s="17">
        <f t="shared" si="1"/>
        <v>0</v>
      </c>
      <c r="AL14" s="10">
        <f t="shared" si="2"/>
        <v>0</v>
      </c>
    </row>
    <row r="15" spans="1:38" ht="13.25" x14ac:dyDescent="0.25">
      <c r="A15" s="12" t="s">
        <v>42</v>
      </c>
      <c r="B15" s="13" t="s">
        <v>43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9">
        <f t="shared" si="0"/>
        <v>0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17">
        <f t="shared" si="1"/>
        <v>0</v>
      </c>
      <c r="AL15" s="10">
        <f t="shared" si="2"/>
        <v>0</v>
      </c>
    </row>
    <row r="16" spans="1:38" ht="13.25" x14ac:dyDescent="0.25">
      <c r="A16" s="12" t="s">
        <v>44</v>
      </c>
      <c r="B16" s="13" t="s">
        <v>45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>
        <f t="shared" si="0"/>
        <v>0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17">
        <f t="shared" si="1"/>
        <v>0</v>
      </c>
      <c r="AL16" s="10">
        <f t="shared" si="2"/>
        <v>0</v>
      </c>
    </row>
    <row r="17" spans="1:38" s="3" customFormat="1" ht="14.45" customHeight="1" x14ac:dyDescent="0.25">
      <c r="A17" s="25" t="s">
        <v>46</v>
      </c>
      <c r="B17" s="25"/>
      <c r="C17" s="14">
        <f>SUM(C15:C16)</f>
        <v>0</v>
      </c>
      <c r="D17" s="14">
        <f t="shared" ref="D17:S17" si="7">SUM(D15:D16)</f>
        <v>0</v>
      </c>
      <c r="E17" s="14">
        <f t="shared" si="7"/>
        <v>0</v>
      </c>
      <c r="F17" s="14">
        <f t="shared" si="7"/>
        <v>0</v>
      </c>
      <c r="G17" s="14">
        <f t="shared" si="7"/>
        <v>0</v>
      </c>
      <c r="H17" s="14">
        <f t="shared" si="7"/>
        <v>0</v>
      </c>
      <c r="I17" s="14">
        <f t="shared" si="7"/>
        <v>0</v>
      </c>
      <c r="J17" s="14">
        <f t="shared" si="7"/>
        <v>0</v>
      </c>
      <c r="K17" s="14">
        <f t="shared" si="7"/>
        <v>0</v>
      </c>
      <c r="L17" s="14">
        <f t="shared" si="7"/>
        <v>0</v>
      </c>
      <c r="M17" s="14">
        <f t="shared" si="7"/>
        <v>0</v>
      </c>
      <c r="N17" s="14">
        <f t="shared" si="7"/>
        <v>0</v>
      </c>
      <c r="O17" s="14">
        <f t="shared" si="7"/>
        <v>0</v>
      </c>
      <c r="P17" s="14">
        <f t="shared" si="7"/>
        <v>0</v>
      </c>
      <c r="Q17" s="14">
        <f t="shared" si="7"/>
        <v>0</v>
      </c>
      <c r="R17" s="14">
        <f t="shared" si="7"/>
        <v>0</v>
      </c>
      <c r="S17" s="14">
        <f t="shared" si="7"/>
        <v>0</v>
      </c>
      <c r="T17" s="9">
        <f t="shared" si="0"/>
        <v>0</v>
      </c>
      <c r="U17" s="14">
        <f t="shared" ref="U17:AJ17" si="8">SUM(U15:U16)</f>
        <v>0</v>
      </c>
      <c r="V17" s="14">
        <f t="shared" si="8"/>
        <v>0</v>
      </c>
      <c r="W17" s="14">
        <f t="shared" si="8"/>
        <v>0</v>
      </c>
      <c r="X17" s="14">
        <f t="shared" si="8"/>
        <v>0</v>
      </c>
      <c r="Y17" s="14">
        <f t="shared" si="8"/>
        <v>0</v>
      </c>
      <c r="Z17" s="14">
        <f t="shared" si="8"/>
        <v>0</v>
      </c>
      <c r="AA17" s="14">
        <f t="shared" si="8"/>
        <v>0</v>
      </c>
      <c r="AB17" s="14">
        <f t="shared" si="8"/>
        <v>0</v>
      </c>
      <c r="AC17" s="14">
        <f t="shared" si="8"/>
        <v>0</v>
      </c>
      <c r="AD17" s="14">
        <f t="shared" si="8"/>
        <v>0</v>
      </c>
      <c r="AE17" s="14">
        <f t="shared" si="8"/>
        <v>0</v>
      </c>
      <c r="AF17" s="14">
        <f t="shared" si="8"/>
        <v>0</v>
      </c>
      <c r="AG17" s="14">
        <f t="shared" si="8"/>
        <v>0</v>
      </c>
      <c r="AH17" s="14">
        <f t="shared" si="8"/>
        <v>0</v>
      </c>
      <c r="AI17" s="14">
        <f t="shared" si="8"/>
        <v>0</v>
      </c>
      <c r="AJ17" s="14">
        <f t="shared" si="8"/>
        <v>0</v>
      </c>
      <c r="AK17" s="17">
        <f t="shared" si="1"/>
        <v>0</v>
      </c>
      <c r="AL17" s="10">
        <f t="shared" si="2"/>
        <v>0</v>
      </c>
    </row>
    <row r="18" spans="1:38" ht="13.25" x14ac:dyDescent="0.25">
      <c r="A18" s="12" t="s">
        <v>47</v>
      </c>
      <c r="B18" s="13" t="s">
        <v>48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9">
        <f t="shared" si="0"/>
        <v>0</v>
      </c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17">
        <f t="shared" si="1"/>
        <v>0</v>
      </c>
      <c r="AL18" s="10">
        <f t="shared" si="2"/>
        <v>0</v>
      </c>
    </row>
    <row r="19" spans="1:38" ht="13.25" x14ac:dyDescent="0.25">
      <c r="A19" s="12" t="s">
        <v>49</v>
      </c>
      <c r="B19" s="13" t="s">
        <v>50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9">
        <f t="shared" si="0"/>
        <v>0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17">
        <f t="shared" si="1"/>
        <v>0</v>
      </c>
      <c r="AL19" s="10">
        <f t="shared" si="2"/>
        <v>0</v>
      </c>
    </row>
    <row r="20" spans="1:38" ht="13.25" x14ac:dyDescent="0.25">
      <c r="A20" s="12" t="s">
        <v>51</v>
      </c>
      <c r="B20" s="13" t="s">
        <v>52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9">
        <f t="shared" si="0"/>
        <v>0</v>
      </c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17">
        <f t="shared" si="1"/>
        <v>0</v>
      </c>
      <c r="AL20" s="10">
        <f t="shared" si="2"/>
        <v>0</v>
      </c>
    </row>
    <row r="21" spans="1:38" ht="13.25" x14ac:dyDescent="0.25">
      <c r="A21" s="12" t="s">
        <v>53</v>
      </c>
      <c r="B21" s="13" t="s">
        <v>54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9">
        <f t="shared" si="0"/>
        <v>0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17">
        <f t="shared" si="1"/>
        <v>0</v>
      </c>
      <c r="AL21" s="10">
        <f t="shared" si="2"/>
        <v>0</v>
      </c>
    </row>
    <row r="22" spans="1:38" s="3" customFormat="1" ht="14.45" customHeight="1" x14ac:dyDescent="0.25">
      <c r="A22" s="25" t="s">
        <v>55</v>
      </c>
      <c r="B22" s="25"/>
      <c r="C22" s="14">
        <f t="shared" ref="C22:S22" si="9">SUM(C18:C21)</f>
        <v>0</v>
      </c>
      <c r="D22" s="14">
        <f t="shared" si="9"/>
        <v>0</v>
      </c>
      <c r="E22" s="14">
        <f t="shared" si="9"/>
        <v>0</v>
      </c>
      <c r="F22" s="14">
        <f t="shared" si="9"/>
        <v>0</v>
      </c>
      <c r="G22" s="14">
        <f t="shared" si="9"/>
        <v>0</v>
      </c>
      <c r="H22" s="14">
        <f t="shared" si="9"/>
        <v>0</v>
      </c>
      <c r="I22" s="14">
        <f t="shared" si="9"/>
        <v>0</v>
      </c>
      <c r="J22" s="14">
        <f t="shared" si="9"/>
        <v>0</v>
      </c>
      <c r="K22" s="14">
        <f t="shared" si="9"/>
        <v>0</v>
      </c>
      <c r="L22" s="14">
        <f t="shared" si="9"/>
        <v>0</v>
      </c>
      <c r="M22" s="14">
        <f t="shared" si="9"/>
        <v>0</v>
      </c>
      <c r="N22" s="14">
        <f t="shared" si="9"/>
        <v>0</v>
      </c>
      <c r="O22" s="14">
        <f t="shared" si="9"/>
        <v>0</v>
      </c>
      <c r="P22" s="14">
        <f t="shared" si="9"/>
        <v>0</v>
      </c>
      <c r="Q22" s="14">
        <f t="shared" si="9"/>
        <v>0</v>
      </c>
      <c r="R22" s="14">
        <f t="shared" si="9"/>
        <v>0</v>
      </c>
      <c r="S22" s="14">
        <f t="shared" si="9"/>
        <v>0</v>
      </c>
      <c r="T22" s="9">
        <f t="shared" si="0"/>
        <v>0</v>
      </c>
      <c r="U22" s="14">
        <f t="shared" ref="U22:AJ22" si="10">SUM(U18:U21)</f>
        <v>0</v>
      </c>
      <c r="V22" s="14">
        <f t="shared" si="10"/>
        <v>0</v>
      </c>
      <c r="W22" s="14">
        <f t="shared" si="10"/>
        <v>0</v>
      </c>
      <c r="X22" s="14">
        <f t="shared" si="10"/>
        <v>0</v>
      </c>
      <c r="Y22" s="14">
        <f t="shared" si="10"/>
        <v>0</v>
      </c>
      <c r="Z22" s="14">
        <f t="shared" si="10"/>
        <v>0</v>
      </c>
      <c r="AA22" s="14">
        <f t="shared" si="10"/>
        <v>0</v>
      </c>
      <c r="AB22" s="14">
        <f t="shared" si="10"/>
        <v>0</v>
      </c>
      <c r="AC22" s="14">
        <f t="shared" si="10"/>
        <v>0</v>
      </c>
      <c r="AD22" s="14">
        <f t="shared" si="10"/>
        <v>0</v>
      </c>
      <c r="AE22" s="14">
        <f t="shared" si="10"/>
        <v>0</v>
      </c>
      <c r="AF22" s="14">
        <f t="shared" si="10"/>
        <v>0</v>
      </c>
      <c r="AG22" s="14">
        <f t="shared" si="10"/>
        <v>0</v>
      </c>
      <c r="AH22" s="14">
        <f t="shared" si="10"/>
        <v>0</v>
      </c>
      <c r="AI22" s="14">
        <f t="shared" si="10"/>
        <v>0</v>
      </c>
      <c r="AJ22" s="14">
        <f t="shared" si="10"/>
        <v>0</v>
      </c>
      <c r="AK22" s="17">
        <f t="shared" si="1"/>
        <v>0</v>
      </c>
      <c r="AL22" s="10">
        <f t="shared" si="2"/>
        <v>0</v>
      </c>
    </row>
    <row r="23" spans="1:38" s="3" customFormat="1" ht="14.45" customHeight="1" x14ac:dyDescent="0.25">
      <c r="A23" s="24" t="s">
        <v>56</v>
      </c>
      <c r="B23" s="24"/>
      <c r="C23" s="15">
        <f>SUM(C22,C17,C14,C10)</f>
        <v>0</v>
      </c>
      <c r="D23" s="15">
        <f t="shared" ref="D23:S23" si="11">SUM(D22,D17,D14,D10)</f>
        <v>0</v>
      </c>
      <c r="E23" s="15">
        <f t="shared" si="11"/>
        <v>0</v>
      </c>
      <c r="F23" s="15">
        <f t="shared" si="11"/>
        <v>0</v>
      </c>
      <c r="G23" s="15">
        <f t="shared" si="11"/>
        <v>0</v>
      </c>
      <c r="H23" s="15">
        <f t="shared" si="11"/>
        <v>0</v>
      </c>
      <c r="I23" s="15">
        <f t="shared" si="11"/>
        <v>0</v>
      </c>
      <c r="J23" s="15">
        <f t="shared" si="11"/>
        <v>0</v>
      </c>
      <c r="K23" s="15">
        <f t="shared" si="11"/>
        <v>0</v>
      </c>
      <c r="L23" s="15">
        <f t="shared" si="11"/>
        <v>0</v>
      </c>
      <c r="M23" s="15">
        <f t="shared" si="11"/>
        <v>0</v>
      </c>
      <c r="N23" s="15">
        <f t="shared" si="11"/>
        <v>0</v>
      </c>
      <c r="O23" s="15">
        <f t="shared" si="11"/>
        <v>0</v>
      </c>
      <c r="P23" s="15">
        <f t="shared" si="11"/>
        <v>0</v>
      </c>
      <c r="Q23" s="15">
        <f t="shared" si="11"/>
        <v>0</v>
      </c>
      <c r="R23" s="15">
        <f t="shared" si="11"/>
        <v>0</v>
      </c>
      <c r="S23" s="15">
        <f t="shared" si="11"/>
        <v>0</v>
      </c>
      <c r="T23" s="9">
        <f t="shared" si="0"/>
        <v>0</v>
      </c>
      <c r="U23" s="15">
        <f t="shared" ref="U23:AJ23" si="12">SUM(U22,U17,U14,U10)</f>
        <v>0</v>
      </c>
      <c r="V23" s="15">
        <f t="shared" si="12"/>
        <v>0</v>
      </c>
      <c r="W23" s="15">
        <f t="shared" si="12"/>
        <v>0</v>
      </c>
      <c r="X23" s="15">
        <f t="shared" si="12"/>
        <v>0</v>
      </c>
      <c r="Y23" s="15">
        <f t="shared" si="12"/>
        <v>0</v>
      </c>
      <c r="Z23" s="15">
        <f t="shared" si="12"/>
        <v>0</v>
      </c>
      <c r="AA23" s="15">
        <f t="shared" si="12"/>
        <v>0</v>
      </c>
      <c r="AB23" s="15">
        <f t="shared" si="12"/>
        <v>0</v>
      </c>
      <c r="AC23" s="15">
        <f t="shared" si="12"/>
        <v>0</v>
      </c>
      <c r="AD23" s="15">
        <f t="shared" si="12"/>
        <v>0</v>
      </c>
      <c r="AE23" s="15">
        <f t="shared" si="12"/>
        <v>0</v>
      </c>
      <c r="AF23" s="15">
        <f t="shared" si="12"/>
        <v>0</v>
      </c>
      <c r="AG23" s="15">
        <f t="shared" si="12"/>
        <v>0</v>
      </c>
      <c r="AH23" s="15">
        <f t="shared" si="12"/>
        <v>0</v>
      </c>
      <c r="AI23" s="15">
        <f t="shared" si="12"/>
        <v>0</v>
      </c>
      <c r="AJ23" s="15">
        <f t="shared" si="12"/>
        <v>0</v>
      </c>
      <c r="AK23" s="17">
        <f t="shared" si="1"/>
        <v>0</v>
      </c>
      <c r="AL23" s="10">
        <f t="shared" si="2"/>
        <v>0</v>
      </c>
    </row>
    <row r="24" spans="1:38" ht="13.25" x14ac:dyDescent="0.25">
      <c r="A24" s="12" t="s">
        <v>57</v>
      </c>
      <c r="B24" s="13" t="s">
        <v>58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9">
        <f t="shared" si="0"/>
        <v>0</v>
      </c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17">
        <f t="shared" si="1"/>
        <v>0</v>
      </c>
      <c r="AL24" s="10">
        <f t="shared" si="2"/>
        <v>0</v>
      </c>
    </row>
    <row r="25" spans="1:38" ht="13.25" x14ac:dyDescent="0.25">
      <c r="A25" s="12" t="s">
        <v>59</v>
      </c>
      <c r="B25" s="13" t="s">
        <v>60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9">
        <f t="shared" si="0"/>
        <v>0</v>
      </c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17">
        <f t="shared" si="1"/>
        <v>0</v>
      </c>
      <c r="AL25" s="10">
        <f t="shared" si="2"/>
        <v>0</v>
      </c>
    </row>
    <row r="26" spans="1:38" ht="13.25" x14ac:dyDescent="0.25">
      <c r="A26" s="12" t="s">
        <v>61</v>
      </c>
      <c r="B26" s="13" t="s">
        <v>62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9">
        <f t="shared" si="0"/>
        <v>0</v>
      </c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17">
        <f t="shared" si="1"/>
        <v>0</v>
      </c>
      <c r="AL26" s="10">
        <f t="shared" si="2"/>
        <v>0</v>
      </c>
    </row>
    <row r="27" spans="1:38" s="3" customFormat="1" ht="14.45" customHeight="1" x14ac:dyDescent="0.25">
      <c r="A27" s="25" t="s">
        <v>63</v>
      </c>
      <c r="B27" s="25"/>
      <c r="C27" s="14">
        <f t="shared" ref="C27:S27" si="13">SUM(C24:C26)</f>
        <v>0</v>
      </c>
      <c r="D27" s="14">
        <f t="shared" si="13"/>
        <v>0</v>
      </c>
      <c r="E27" s="14">
        <f t="shared" si="13"/>
        <v>0</v>
      </c>
      <c r="F27" s="14">
        <f t="shared" si="13"/>
        <v>0</v>
      </c>
      <c r="G27" s="14">
        <f t="shared" si="13"/>
        <v>0</v>
      </c>
      <c r="H27" s="14">
        <f t="shared" si="13"/>
        <v>0</v>
      </c>
      <c r="I27" s="14">
        <f t="shared" si="13"/>
        <v>0</v>
      </c>
      <c r="J27" s="14">
        <f t="shared" si="13"/>
        <v>0</v>
      </c>
      <c r="K27" s="14">
        <f t="shared" si="13"/>
        <v>0</v>
      </c>
      <c r="L27" s="14">
        <f t="shared" si="13"/>
        <v>0</v>
      </c>
      <c r="M27" s="14">
        <f t="shared" si="13"/>
        <v>0</v>
      </c>
      <c r="N27" s="14">
        <f t="shared" si="13"/>
        <v>0</v>
      </c>
      <c r="O27" s="14">
        <f t="shared" si="13"/>
        <v>0</v>
      </c>
      <c r="P27" s="14">
        <f t="shared" si="13"/>
        <v>0</v>
      </c>
      <c r="Q27" s="14">
        <f t="shared" si="13"/>
        <v>0</v>
      </c>
      <c r="R27" s="14">
        <f t="shared" si="13"/>
        <v>0</v>
      </c>
      <c r="S27" s="14">
        <f t="shared" si="13"/>
        <v>0</v>
      </c>
      <c r="T27" s="9">
        <f t="shared" si="0"/>
        <v>0</v>
      </c>
      <c r="U27" s="14">
        <f t="shared" ref="U27:AJ27" si="14">SUM(U24:U26)</f>
        <v>0</v>
      </c>
      <c r="V27" s="14">
        <f t="shared" si="14"/>
        <v>0</v>
      </c>
      <c r="W27" s="14">
        <f t="shared" si="14"/>
        <v>0</v>
      </c>
      <c r="X27" s="14">
        <f t="shared" si="14"/>
        <v>0</v>
      </c>
      <c r="Y27" s="14">
        <f t="shared" si="14"/>
        <v>0</v>
      </c>
      <c r="Z27" s="14">
        <f t="shared" si="14"/>
        <v>0</v>
      </c>
      <c r="AA27" s="14">
        <f t="shared" si="14"/>
        <v>0</v>
      </c>
      <c r="AB27" s="14">
        <f t="shared" si="14"/>
        <v>0</v>
      </c>
      <c r="AC27" s="14">
        <f t="shared" si="14"/>
        <v>0</v>
      </c>
      <c r="AD27" s="14">
        <f t="shared" si="14"/>
        <v>0</v>
      </c>
      <c r="AE27" s="14">
        <f t="shared" si="14"/>
        <v>0</v>
      </c>
      <c r="AF27" s="14">
        <f t="shared" si="14"/>
        <v>0</v>
      </c>
      <c r="AG27" s="14">
        <f t="shared" si="14"/>
        <v>0</v>
      </c>
      <c r="AH27" s="14">
        <f t="shared" si="14"/>
        <v>0</v>
      </c>
      <c r="AI27" s="14">
        <f t="shared" si="14"/>
        <v>0</v>
      </c>
      <c r="AJ27" s="14">
        <f t="shared" si="14"/>
        <v>0</v>
      </c>
      <c r="AK27" s="17">
        <f t="shared" si="1"/>
        <v>0</v>
      </c>
      <c r="AL27" s="10">
        <f t="shared" si="2"/>
        <v>0</v>
      </c>
    </row>
    <row r="28" spans="1:38" ht="13.25" x14ac:dyDescent="0.25">
      <c r="A28" s="12" t="s">
        <v>64</v>
      </c>
      <c r="B28" s="13" t="s">
        <v>65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9">
        <f t="shared" si="0"/>
        <v>0</v>
      </c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17">
        <f t="shared" si="1"/>
        <v>0</v>
      </c>
      <c r="AL28" s="10">
        <f t="shared" si="2"/>
        <v>0</v>
      </c>
    </row>
    <row r="29" spans="1:38" ht="13.25" x14ac:dyDescent="0.25">
      <c r="A29" s="12" t="s">
        <v>66</v>
      </c>
      <c r="B29" s="13" t="s">
        <v>67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9">
        <f t="shared" si="0"/>
        <v>0</v>
      </c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17">
        <f t="shared" si="1"/>
        <v>0</v>
      </c>
      <c r="AL29" s="10">
        <f t="shared" si="2"/>
        <v>0</v>
      </c>
    </row>
    <row r="30" spans="1:38" ht="13.25" x14ac:dyDescent="0.25">
      <c r="A30" s="12" t="s">
        <v>68</v>
      </c>
      <c r="B30" s="13" t="s">
        <v>69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9">
        <f t="shared" si="0"/>
        <v>0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17">
        <f t="shared" si="1"/>
        <v>0</v>
      </c>
      <c r="AL30" s="10">
        <f t="shared" si="2"/>
        <v>0</v>
      </c>
    </row>
    <row r="31" spans="1:38" ht="13.25" x14ac:dyDescent="0.25">
      <c r="A31" s="12" t="s">
        <v>70</v>
      </c>
      <c r="B31" s="13" t="s">
        <v>71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9">
        <f t="shared" si="0"/>
        <v>0</v>
      </c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17">
        <f t="shared" si="1"/>
        <v>0</v>
      </c>
      <c r="AL31" s="10">
        <f t="shared" si="2"/>
        <v>0</v>
      </c>
    </row>
    <row r="32" spans="1:38" s="3" customFormat="1" ht="14.45" customHeight="1" x14ac:dyDescent="0.25">
      <c r="A32" s="25" t="s">
        <v>72</v>
      </c>
      <c r="B32" s="25"/>
      <c r="C32" s="14">
        <f t="shared" ref="C32:S32" si="15">SUM(C28:C31)</f>
        <v>0</v>
      </c>
      <c r="D32" s="14">
        <f t="shared" si="15"/>
        <v>0</v>
      </c>
      <c r="E32" s="14">
        <f t="shared" si="15"/>
        <v>0</v>
      </c>
      <c r="F32" s="14">
        <f t="shared" si="15"/>
        <v>0</v>
      </c>
      <c r="G32" s="14">
        <f t="shared" si="15"/>
        <v>0</v>
      </c>
      <c r="H32" s="14">
        <f t="shared" si="15"/>
        <v>0</v>
      </c>
      <c r="I32" s="14">
        <f t="shared" si="15"/>
        <v>0</v>
      </c>
      <c r="J32" s="14">
        <f t="shared" si="15"/>
        <v>0</v>
      </c>
      <c r="K32" s="14">
        <f t="shared" si="15"/>
        <v>0</v>
      </c>
      <c r="L32" s="14">
        <f t="shared" si="15"/>
        <v>0</v>
      </c>
      <c r="M32" s="14">
        <f t="shared" si="15"/>
        <v>0</v>
      </c>
      <c r="N32" s="14">
        <f t="shared" si="15"/>
        <v>0</v>
      </c>
      <c r="O32" s="14">
        <f t="shared" si="15"/>
        <v>0</v>
      </c>
      <c r="P32" s="14">
        <f t="shared" si="15"/>
        <v>0</v>
      </c>
      <c r="Q32" s="14">
        <f t="shared" si="15"/>
        <v>0</v>
      </c>
      <c r="R32" s="14">
        <f t="shared" si="15"/>
        <v>0</v>
      </c>
      <c r="S32" s="14">
        <f t="shared" si="15"/>
        <v>0</v>
      </c>
      <c r="T32" s="9">
        <f t="shared" si="0"/>
        <v>0</v>
      </c>
      <c r="U32" s="14">
        <f t="shared" ref="U32:AJ32" si="16">SUM(U28:U31)</f>
        <v>0</v>
      </c>
      <c r="V32" s="14">
        <f t="shared" si="16"/>
        <v>0</v>
      </c>
      <c r="W32" s="14">
        <f t="shared" si="16"/>
        <v>0</v>
      </c>
      <c r="X32" s="14">
        <f t="shared" si="16"/>
        <v>0</v>
      </c>
      <c r="Y32" s="14">
        <f t="shared" si="16"/>
        <v>0</v>
      </c>
      <c r="Z32" s="14">
        <f t="shared" si="16"/>
        <v>0</v>
      </c>
      <c r="AA32" s="14">
        <f t="shared" si="16"/>
        <v>0</v>
      </c>
      <c r="AB32" s="14">
        <f t="shared" si="16"/>
        <v>0</v>
      </c>
      <c r="AC32" s="14">
        <f t="shared" si="16"/>
        <v>0</v>
      </c>
      <c r="AD32" s="14">
        <f t="shared" si="16"/>
        <v>0</v>
      </c>
      <c r="AE32" s="14">
        <f t="shared" si="16"/>
        <v>0</v>
      </c>
      <c r="AF32" s="14">
        <f t="shared" si="16"/>
        <v>0</v>
      </c>
      <c r="AG32" s="14">
        <f t="shared" si="16"/>
        <v>0</v>
      </c>
      <c r="AH32" s="14">
        <f t="shared" si="16"/>
        <v>0</v>
      </c>
      <c r="AI32" s="14">
        <f t="shared" si="16"/>
        <v>0</v>
      </c>
      <c r="AJ32" s="14">
        <f t="shared" si="16"/>
        <v>0</v>
      </c>
      <c r="AK32" s="17">
        <f t="shared" si="1"/>
        <v>0</v>
      </c>
      <c r="AL32" s="10">
        <f t="shared" si="2"/>
        <v>0</v>
      </c>
    </row>
    <row r="33" spans="1:38" ht="13.25" x14ac:dyDescent="0.25">
      <c r="A33" s="12" t="s">
        <v>73</v>
      </c>
      <c r="B33" s="13" t="s">
        <v>74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9">
        <f t="shared" si="0"/>
        <v>0</v>
      </c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17">
        <f t="shared" si="1"/>
        <v>0</v>
      </c>
      <c r="AL33" s="10">
        <f t="shared" si="2"/>
        <v>0</v>
      </c>
    </row>
    <row r="34" spans="1:38" ht="13.25" x14ac:dyDescent="0.25">
      <c r="A34" s="12" t="s">
        <v>75</v>
      </c>
      <c r="B34" s="13" t="s">
        <v>76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9">
        <f t="shared" si="0"/>
        <v>0</v>
      </c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17">
        <f t="shared" si="1"/>
        <v>0</v>
      </c>
      <c r="AL34" s="10">
        <f t="shared" si="2"/>
        <v>0</v>
      </c>
    </row>
    <row r="35" spans="1:38" ht="13.25" x14ac:dyDescent="0.25">
      <c r="A35" s="12" t="s">
        <v>77</v>
      </c>
      <c r="B35" s="13" t="s">
        <v>78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9">
        <f t="shared" si="0"/>
        <v>0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17">
        <f t="shared" si="1"/>
        <v>0</v>
      </c>
      <c r="AL35" s="10">
        <f t="shared" si="2"/>
        <v>0</v>
      </c>
    </row>
    <row r="36" spans="1:38" s="3" customFormat="1" ht="14.45" customHeight="1" x14ac:dyDescent="0.25">
      <c r="A36" s="25" t="s">
        <v>79</v>
      </c>
      <c r="B36" s="25"/>
      <c r="C36" s="14">
        <f t="shared" ref="C36:S36" si="17">SUM(C33:C35)</f>
        <v>0</v>
      </c>
      <c r="D36" s="14">
        <f t="shared" si="17"/>
        <v>0</v>
      </c>
      <c r="E36" s="14">
        <f t="shared" si="17"/>
        <v>0</v>
      </c>
      <c r="F36" s="14">
        <f t="shared" si="17"/>
        <v>0</v>
      </c>
      <c r="G36" s="14">
        <f t="shared" si="17"/>
        <v>0</v>
      </c>
      <c r="H36" s="14">
        <f t="shared" si="17"/>
        <v>0</v>
      </c>
      <c r="I36" s="14">
        <f t="shared" si="17"/>
        <v>0</v>
      </c>
      <c r="J36" s="14">
        <f t="shared" si="17"/>
        <v>0</v>
      </c>
      <c r="K36" s="14">
        <f t="shared" si="17"/>
        <v>0</v>
      </c>
      <c r="L36" s="14">
        <f t="shared" si="17"/>
        <v>0</v>
      </c>
      <c r="M36" s="14">
        <f t="shared" si="17"/>
        <v>0</v>
      </c>
      <c r="N36" s="14">
        <f t="shared" si="17"/>
        <v>0</v>
      </c>
      <c r="O36" s="14">
        <f t="shared" si="17"/>
        <v>0</v>
      </c>
      <c r="P36" s="14">
        <f t="shared" si="17"/>
        <v>0</v>
      </c>
      <c r="Q36" s="14">
        <f t="shared" si="17"/>
        <v>0</v>
      </c>
      <c r="R36" s="14">
        <f t="shared" si="17"/>
        <v>0</v>
      </c>
      <c r="S36" s="14">
        <f t="shared" si="17"/>
        <v>0</v>
      </c>
      <c r="T36" s="9">
        <f t="shared" si="0"/>
        <v>0</v>
      </c>
      <c r="U36" s="14">
        <f t="shared" ref="U36:AJ36" si="18">SUM(U33:U35)</f>
        <v>0</v>
      </c>
      <c r="V36" s="14">
        <f t="shared" si="18"/>
        <v>0</v>
      </c>
      <c r="W36" s="14">
        <f t="shared" si="18"/>
        <v>0</v>
      </c>
      <c r="X36" s="14">
        <f t="shared" si="18"/>
        <v>0</v>
      </c>
      <c r="Y36" s="14">
        <f t="shared" si="18"/>
        <v>0</v>
      </c>
      <c r="Z36" s="14">
        <f t="shared" si="18"/>
        <v>0</v>
      </c>
      <c r="AA36" s="14">
        <f t="shared" si="18"/>
        <v>0</v>
      </c>
      <c r="AB36" s="14">
        <f t="shared" si="18"/>
        <v>0</v>
      </c>
      <c r="AC36" s="14">
        <f t="shared" si="18"/>
        <v>0</v>
      </c>
      <c r="AD36" s="14">
        <f t="shared" si="18"/>
        <v>0</v>
      </c>
      <c r="AE36" s="14">
        <f t="shared" si="18"/>
        <v>0</v>
      </c>
      <c r="AF36" s="14">
        <f t="shared" si="18"/>
        <v>0</v>
      </c>
      <c r="AG36" s="14">
        <f t="shared" si="18"/>
        <v>0</v>
      </c>
      <c r="AH36" s="14">
        <f t="shared" si="18"/>
        <v>0</v>
      </c>
      <c r="AI36" s="14">
        <f t="shared" si="18"/>
        <v>0</v>
      </c>
      <c r="AJ36" s="14">
        <f t="shared" si="18"/>
        <v>0</v>
      </c>
      <c r="AK36" s="17">
        <f t="shared" si="1"/>
        <v>0</v>
      </c>
      <c r="AL36" s="10">
        <f t="shared" si="2"/>
        <v>0</v>
      </c>
    </row>
    <row r="37" spans="1:38" s="3" customFormat="1" ht="14.45" customHeight="1" x14ac:dyDescent="0.25">
      <c r="A37" s="24" t="s">
        <v>80</v>
      </c>
      <c r="B37" s="24"/>
      <c r="C37" s="15">
        <f>SUM(C36,C32,C27)</f>
        <v>0</v>
      </c>
      <c r="D37" s="15">
        <f t="shared" ref="D37:S37" si="19">SUM(D36,D32,D27)</f>
        <v>0</v>
      </c>
      <c r="E37" s="15">
        <f t="shared" si="19"/>
        <v>0</v>
      </c>
      <c r="F37" s="15">
        <f t="shared" si="19"/>
        <v>0</v>
      </c>
      <c r="G37" s="15">
        <f t="shared" si="19"/>
        <v>0</v>
      </c>
      <c r="H37" s="15">
        <f t="shared" si="19"/>
        <v>0</v>
      </c>
      <c r="I37" s="15">
        <f t="shared" si="19"/>
        <v>0</v>
      </c>
      <c r="J37" s="15">
        <f t="shared" si="19"/>
        <v>0</v>
      </c>
      <c r="K37" s="15">
        <f t="shared" si="19"/>
        <v>0</v>
      </c>
      <c r="L37" s="15">
        <f t="shared" si="19"/>
        <v>0</v>
      </c>
      <c r="M37" s="15">
        <f t="shared" si="19"/>
        <v>0</v>
      </c>
      <c r="N37" s="15">
        <f t="shared" si="19"/>
        <v>0</v>
      </c>
      <c r="O37" s="15">
        <f t="shared" si="19"/>
        <v>0</v>
      </c>
      <c r="P37" s="15">
        <f t="shared" si="19"/>
        <v>0</v>
      </c>
      <c r="Q37" s="15">
        <f t="shared" si="19"/>
        <v>0</v>
      </c>
      <c r="R37" s="15">
        <f t="shared" si="19"/>
        <v>0</v>
      </c>
      <c r="S37" s="15">
        <f t="shared" si="19"/>
        <v>0</v>
      </c>
      <c r="T37" s="9">
        <f t="shared" si="0"/>
        <v>0</v>
      </c>
      <c r="U37" s="15">
        <f t="shared" ref="U37:AJ37" si="20">SUM(U36,U32,U27)</f>
        <v>0</v>
      </c>
      <c r="V37" s="15">
        <f t="shared" si="20"/>
        <v>0</v>
      </c>
      <c r="W37" s="15">
        <f t="shared" si="20"/>
        <v>0</v>
      </c>
      <c r="X37" s="15">
        <f t="shared" si="20"/>
        <v>0</v>
      </c>
      <c r="Y37" s="15">
        <f t="shared" si="20"/>
        <v>0</v>
      </c>
      <c r="Z37" s="15">
        <f t="shared" si="20"/>
        <v>0</v>
      </c>
      <c r="AA37" s="15">
        <f t="shared" si="20"/>
        <v>0</v>
      </c>
      <c r="AB37" s="15">
        <f t="shared" si="20"/>
        <v>0</v>
      </c>
      <c r="AC37" s="15">
        <f t="shared" si="20"/>
        <v>0</v>
      </c>
      <c r="AD37" s="15">
        <f t="shared" si="20"/>
        <v>0</v>
      </c>
      <c r="AE37" s="15">
        <f t="shared" si="20"/>
        <v>0</v>
      </c>
      <c r="AF37" s="15">
        <f t="shared" si="20"/>
        <v>0</v>
      </c>
      <c r="AG37" s="15">
        <f t="shared" si="20"/>
        <v>0</v>
      </c>
      <c r="AH37" s="15">
        <f t="shared" si="20"/>
        <v>0</v>
      </c>
      <c r="AI37" s="15">
        <f t="shared" si="20"/>
        <v>0</v>
      </c>
      <c r="AJ37" s="15">
        <f t="shared" si="20"/>
        <v>0</v>
      </c>
      <c r="AK37" s="17">
        <f t="shared" si="1"/>
        <v>0</v>
      </c>
      <c r="AL37" s="10">
        <f t="shared" si="2"/>
        <v>0</v>
      </c>
    </row>
    <row r="38" spans="1:38" ht="13.25" x14ac:dyDescent="0.25">
      <c r="A38" s="12" t="s">
        <v>81</v>
      </c>
      <c r="B38" s="13" t="s">
        <v>82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9">
        <f t="shared" si="0"/>
        <v>0</v>
      </c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17">
        <f t="shared" si="1"/>
        <v>0</v>
      </c>
      <c r="AL38" s="10">
        <f t="shared" si="2"/>
        <v>0</v>
      </c>
    </row>
    <row r="39" spans="1:38" ht="13.25" x14ac:dyDescent="0.25">
      <c r="A39" s="12" t="s">
        <v>83</v>
      </c>
      <c r="B39" s="13" t="s">
        <v>84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9">
        <f t="shared" si="0"/>
        <v>0</v>
      </c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17">
        <f t="shared" si="1"/>
        <v>0</v>
      </c>
      <c r="AL39" s="10">
        <f t="shared" si="2"/>
        <v>0</v>
      </c>
    </row>
    <row r="40" spans="1:38" ht="13.25" x14ac:dyDescent="0.25">
      <c r="A40" s="12" t="s">
        <v>85</v>
      </c>
      <c r="B40" s="13" t="s">
        <v>86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9">
        <f t="shared" si="0"/>
        <v>0</v>
      </c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17">
        <f t="shared" si="1"/>
        <v>0</v>
      </c>
      <c r="AL40" s="10">
        <f t="shared" si="2"/>
        <v>0</v>
      </c>
    </row>
    <row r="41" spans="1:38" ht="13.25" x14ac:dyDescent="0.25">
      <c r="A41" s="12" t="s">
        <v>87</v>
      </c>
      <c r="B41" s="13" t="s">
        <v>88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>
        <f t="shared" si="0"/>
        <v>0</v>
      </c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17">
        <f t="shared" si="1"/>
        <v>0</v>
      </c>
      <c r="AL41" s="10">
        <f t="shared" si="2"/>
        <v>0</v>
      </c>
    </row>
    <row r="42" spans="1:38" s="3" customFormat="1" ht="14.45" customHeight="1" x14ac:dyDescent="0.25">
      <c r="A42" s="25" t="s">
        <v>89</v>
      </c>
      <c r="B42" s="25"/>
      <c r="C42" s="14">
        <f t="shared" ref="C42:S42" si="21">SUM(C38:C41)</f>
        <v>0</v>
      </c>
      <c r="D42" s="14">
        <f t="shared" si="21"/>
        <v>0</v>
      </c>
      <c r="E42" s="14">
        <f t="shared" si="21"/>
        <v>0</v>
      </c>
      <c r="F42" s="14">
        <f t="shared" si="21"/>
        <v>0</v>
      </c>
      <c r="G42" s="14">
        <f t="shared" si="21"/>
        <v>0</v>
      </c>
      <c r="H42" s="14">
        <f t="shared" si="21"/>
        <v>0</v>
      </c>
      <c r="I42" s="14">
        <f t="shared" si="21"/>
        <v>0</v>
      </c>
      <c r="J42" s="14">
        <f t="shared" si="21"/>
        <v>0</v>
      </c>
      <c r="K42" s="14">
        <f t="shared" si="21"/>
        <v>0</v>
      </c>
      <c r="L42" s="14">
        <f t="shared" si="21"/>
        <v>0</v>
      </c>
      <c r="M42" s="14">
        <f t="shared" si="21"/>
        <v>0</v>
      </c>
      <c r="N42" s="14">
        <f t="shared" si="21"/>
        <v>0</v>
      </c>
      <c r="O42" s="14">
        <f t="shared" si="21"/>
        <v>0</v>
      </c>
      <c r="P42" s="14">
        <f t="shared" si="21"/>
        <v>0</v>
      </c>
      <c r="Q42" s="14">
        <f t="shared" si="21"/>
        <v>0</v>
      </c>
      <c r="R42" s="14">
        <f t="shared" si="21"/>
        <v>0</v>
      </c>
      <c r="S42" s="14">
        <f t="shared" si="21"/>
        <v>0</v>
      </c>
      <c r="T42" s="9">
        <f t="shared" si="0"/>
        <v>0</v>
      </c>
      <c r="U42" s="14">
        <f t="shared" ref="U42:AJ42" si="22">SUM(U38:U41)</f>
        <v>0</v>
      </c>
      <c r="V42" s="14">
        <f t="shared" si="22"/>
        <v>0</v>
      </c>
      <c r="W42" s="14">
        <f t="shared" si="22"/>
        <v>0</v>
      </c>
      <c r="X42" s="14">
        <f t="shared" si="22"/>
        <v>0</v>
      </c>
      <c r="Y42" s="14">
        <f t="shared" si="22"/>
        <v>0</v>
      </c>
      <c r="Z42" s="14">
        <f t="shared" si="22"/>
        <v>0</v>
      </c>
      <c r="AA42" s="14">
        <f t="shared" si="22"/>
        <v>0</v>
      </c>
      <c r="AB42" s="14">
        <f t="shared" si="22"/>
        <v>0</v>
      </c>
      <c r="AC42" s="14">
        <f t="shared" si="22"/>
        <v>0</v>
      </c>
      <c r="AD42" s="14">
        <f t="shared" si="22"/>
        <v>0</v>
      </c>
      <c r="AE42" s="14">
        <f t="shared" si="22"/>
        <v>0</v>
      </c>
      <c r="AF42" s="14">
        <f t="shared" si="22"/>
        <v>0</v>
      </c>
      <c r="AG42" s="14">
        <f t="shared" si="22"/>
        <v>0</v>
      </c>
      <c r="AH42" s="14">
        <f t="shared" si="22"/>
        <v>0</v>
      </c>
      <c r="AI42" s="14">
        <f t="shared" si="22"/>
        <v>0</v>
      </c>
      <c r="AJ42" s="14">
        <f t="shared" si="22"/>
        <v>0</v>
      </c>
      <c r="AK42" s="17">
        <f t="shared" si="1"/>
        <v>0</v>
      </c>
      <c r="AL42" s="10">
        <f t="shared" si="2"/>
        <v>0</v>
      </c>
    </row>
    <row r="43" spans="1:38" ht="13.25" x14ac:dyDescent="0.25">
      <c r="A43" s="12" t="s">
        <v>90</v>
      </c>
      <c r="B43" s="13" t="s">
        <v>91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9">
        <f t="shared" si="0"/>
        <v>0</v>
      </c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17">
        <f t="shared" si="1"/>
        <v>0</v>
      </c>
      <c r="AL43" s="10">
        <f t="shared" si="2"/>
        <v>0</v>
      </c>
    </row>
    <row r="44" spans="1:38" ht="13.25" x14ac:dyDescent="0.25">
      <c r="A44" s="12" t="s">
        <v>92</v>
      </c>
      <c r="B44" s="13" t="s">
        <v>93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9">
        <f t="shared" si="0"/>
        <v>0</v>
      </c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17">
        <f t="shared" si="1"/>
        <v>0</v>
      </c>
      <c r="AL44" s="10">
        <f t="shared" si="2"/>
        <v>0</v>
      </c>
    </row>
    <row r="45" spans="1:38" ht="13.25" x14ac:dyDescent="0.25">
      <c r="A45" s="12" t="s">
        <v>94</v>
      </c>
      <c r="B45" s="13" t="s">
        <v>95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9">
        <f t="shared" si="0"/>
        <v>0</v>
      </c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17">
        <f t="shared" si="1"/>
        <v>0</v>
      </c>
      <c r="AL45" s="10">
        <f t="shared" si="2"/>
        <v>0</v>
      </c>
    </row>
    <row r="46" spans="1:38" ht="13.25" x14ac:dyDescent="0.25">
      <c r="A46" s="12" t="s">
        <v>96</v>
      </c>
      <c r="B46" s="13" t="s">
        <v>97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9">
        <f t="shared" si="0"/>
        <v>0</v>
      </c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17">
        <f t="shared" si="1"/>
        <v>0</v>
      </c>
      <c r="AL46" s="10">
        <f t="shared" si="2"/>
        <v>0</v>
      </c>
    </row>
    <row r="47" spans="1:38" s="3" customFormat="1" ht="14.45" customHeight="1" x14ac:dyDescent="0.25">
      <c r="A47" s="25" t="s">
        <v>98</v>
      </c>
      <c r="B47" s="25"/>
      <c r="C47" s="14">
        <f t="shared" ref="C47:S47" si="23">SUM(C43:C46)</f>
        <v>0</v>
      </c>
      <c r="D47" s="14">
        <f t="shared" si="23"/>
        <v>0</v>
      </c>
      <c r="E47" s="14">
        <f t="shared" si="23"/>
        <v>0</v>
      </c>
      <c r="F47" s="14">
        <f t="shared" si="23"/>
        <v>0</v>
      </c>
      <c r="G47" s="14">
        <f t="shared" si="23"/>
        <v>0</v>
      </c>
      <c r="H47" s="14">
        <f t="shared" si="23"/>
        <v>0</v>
      </c>
      <c r="I47" s="14">
        <f t="shared" si="23"/>
        <v>0</v>
      </c>
      <c r="J47" s="14">
        <f t="shared" si="23"/>
        <v>0</v>
      </c>
      <c r="K47" s="14">
        <f t="shared" si="23"/>
        <v>0</v>
      </c>
      <c r="L47" s="14">
        <f t="shared" si="23"/>
        <v>0</v>
      </c>
      <c r="M47" s="14">
        <f t="shared" si="23"/>
        <v>0</v>
      </c>
      <c r="N47" s="14">
        <f t="shared" si="23"/>
        <v>0</v>
      </c>
      <c r="O47" s="14">
        <f t="shared" si="23"/>
        <v>0</v>
      </c>
      <c r="P47" s="14">
        <f t="shared" si="23"/>
        <v>0</v>
      </c>
      <c r="Q47" s="14">
        <f t="shared" si="23"/>
        <v>0</v>
      </c>
      <c r="R47" s="14">
        <f t="shared" si="23"/>
        <v>0</v>
      </c>
      <c r="S47" s="14">
        <f t="shared" si="23"/>
        <v>0</v>
      </c>
      <c r="T47" s="9">
        <f t="shared" si="0"/>
        <v>0</v>
      </c>
      <c r="U47" s="14">
        <f t="shared" ref="U47:AJ47" si="24">SUM(U43:U46)</f>
        <v>0</v>
      </c>
      <c r="V47" s="14">
        <f t="shared" si="24"/>
        <v>0</v>
      </c>
      <c r="W47" s="14">
        <f t="shared" si="24"/>
        <v>0</v>
      </c>
      <c r="X47" s="14">
        <f t="shared" si="24"/>
        <v>0</v>
      </c>
      <c r="Y47" s="14">
        <f t="shared" si="24"/>
        <v>0</v>
      </c>
      <c r="Z47" s="14">
        <f t="shared" si="24"/>
        <v>0</v>
      </c>
      <c r="AA47" s="14">
        <f t="shared" si="24"/>
        <v>0</v>
      </c>
      <c r="AB47" s="14">
        <f t="shared" si="24"/>
        <v>0</v>
      </c>
      <c r="AC47" s="14">
        <f t="shared" si="24"/>
        <v>0</v>
      </c>
      <c r="AD47" s="14">
        <f t="shared" si="24"/>
        <v>0</v>
      </c>
      <c r="AE47" s="14">
        <f t="shared" si="24"/>
        <v>0</v>
      </c>
      <c r="AF47" s="14">
        <f t="shared" si="24"/>
        <v>0</v>
      </c>
      <c r="AG47" s="14">
        <f t="shared" si="24"/>
        <v>0</v>
      </c>
      <c r="AH47" s="14">
        <f t="shared" si="24"/>
        <v>0</v>
      </c>
      <c r="AI47" s="14">
        <f t="shared" si="24"/>
        <v>0</v>
      </c>
      <c r="AJ47" s="14">
        <f t="shared" si="24"/>
        <v>0</v>
      </c>
      <c r="AK47" s="17">
        <f t="shared" si="1"/>
        <v>0</v>
      </c>
      <c r="AL47" s="10">
        <f t="shared" si="2"/>
        <v>0</v>
      </c>
    </row>
    <row r="48" spans="1:38" x14ac:dyDescent="0.25">
      <c r="A48" s="12" t="s">
        <v>99</v>
      </c>
      <c r="B48" s="13" t="s">
        <v>100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9">
        <f t="shared" si="0"/>
        <v>0</v>
      </c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17">
        <f t="shared" si="1"/>
        <v>0</v>
      </c>
      <c r="AL48" s="10">
        <f t="shared" si="2"/>
        <v>0</v>
      </c>
    </row>
    <row r="49" spans="1:38" x14ac:dyDescent="0.25">
      <c r="A49" s="12" t="s">
        <v>101</v>
      </c>
      <c r="B49" s="13" t="s">
        <v>102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9">
        <f t="shared" si="0"/>
        <v>0</v>
      </c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17">
        <f t="shared" si="1"/>
        <v>0</v>
      </c>
      <c r="AL49" s="10">
        <f t="shared" si="2"/>
        <v>0</v>
      </c>
    </row>
    <row r="50" spans="1:38" x14ac:dyDescent="0.25">
      <c r="A50" s="12" t="s">
        <v>103</v>
      </c>
      <c r="B50" s="13" t="s">
        <v>104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9">
        <f t="shared" si="0"/>
        <v>0</v>
      </c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17">
        <f t="shared" si="1"/>
        <v>0</v>
      </c>
      <c r="AL50" s="10">
        <f t="shared" si="2"/>
        <v>0</v>
      </c>
    </row>
    <row r="51" spans="1:38" x14ac:dyDescent="0.25">
      <c r="A51" s="12" t="s">
        <v>105</v>
      </c>
      <c r="B51" s="13" t="s">
        <v>106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9">
        <f t="shared" si="0"/>
        <v>0</v>
      </c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17">
        <f t="shared" si="1"/>
        <v>0</v>
      </c>
      <c r="AL51" s="10">
        <f t="shared" si="2"/>
        <v>0</v>
      </c>
    </row>
    <row r="52" spans="1:38" s="3" customFormat="1" ht="14.45" customHeight="1" x14ac:dyDescent="0.2">
      <c r="A52" s="25" t="s">
        <v>107</v>
      </c>
      <c r="B52" s="25"/>
      <c r="C52" s="14">
        <f t="shared" ref="C52:S52" si="25">SUM(C48:C51)</f>
        <v>0</v>
      </c>
      <c r="D52" s="14">
        <f t="shared" si="25"/>
        <v>0</v>
      </c>
      <c r="E52" s="14">
        <f t="shared" si="25"/>
        <v>0</v>
      </c>
      <c r="F52" s="14">
        <f t="shared" si="25"/>
        <v>0</v>
      </c>
      <c r="G52" s="14">
        <f t="shared" si="25"/>
        <v>0</v>
      </c>
      <c r="H52" s="14">
        <f t="shared" si="25"/>
        <v>0</v>
      </c>
      <c r="I52" s="14">
        <f t="shared" si="25"/>
        <v>0</v>
      </c>
      <c r="J52" s="14">
        <f t="shared" si="25"/>
        <v>0</v>
      </c>
      <c r="K52" s="14">
        <f t="shared" si="25"/>
        <v>0</v>
      </c>
      <c r="L52" s="14">
        <f t="shared" si="25"/>
        <v>0</v>
      </c>
      <c r="M52" s="14">
        <f t="shared" si="25"/>
        <v>0</v>
      </c>
      <c r="N52" s="14">
        <f t="shared" si="25"/>
        <v>0</v>
      </c>
      <c r="O52" s="14">
        <f t="shared" si="25"/>
        <v>0</v>
      </c>
      <c r="P52" s="14">
        <f t="shared" si="25"/>
        <v>0</v>
      </c>
      <c r="Q52" s="14">
        <f t="shared" si="25"/>
        <v>0</v>
      </c>
      <c r="R52" s="14">
        <f t="shared" si="25"/>
        <v>0</v>
      </c>
      <c r="S52" s="14">
        <f t="shared" si="25"/>
        <v>0</v>
      </c>
      <c r="T52" s="9">
        <f t="shared" si="0"/>
        <v>0</v>
      </c>
      <c r="U52" s="14">
        <f t="shared" ref="U52:AJ52" si="26">SUM(U48:U51)</f>
        <v>0</v>
      </c>
      <c r="V52" s="14">
        <f t="shared" si="26"/>
        <v>0</v>
      </c>
      <c r="W52" s="14">
        <f t="shared" si="26"/>
        <v>0</v>
      </c>
      <c r="X52" s="14">
        <f t="shared" si="26"/>
        <v>0</v>
      </c>
      <c r="Y52" s="14">
        <f t="shared" si="26"/>
        <v>0</v>
      </c>
      <c r="Z52" s="14">
        <f t="shared" si="26"/>
        <v>0</v>
      </c>
      <c r="AA52" s="14">
        <f t="shared" si="26"/>
        <v>0</v>
      </c>
      <c r="AB52" s="14">
        <f t="shared" si="26"/>
        <v>0</v>
      </c>
      <c r="AC52" s="14">
        <f t="shared" si="26"/>
        <v>0</v>
      </c>
      <c r="AD52" s="14">
        <f t="shared" si="26"/>
        <v>0</v>
      </c>
      <c r="AE52" s="14">
        <f t="shared" si="26"/>
        <v>0</v>
      </c>
      <c r="AF52" s="14">
        <f t="shared" si="26"/>
        <v>0</v>
      </c>
      <c r="AG52" s="14">
        <f t="shared" si="26"/>
        <v>0</v>
      </c>
      <c r="AH52" s="14">
        <f t="shared" si="26"/>
        <v>0</v>
      </c>
      <c r="AI52" s="14">
        <f t="shared" si="26"/>
        <v>0</v>
      </c>
      <c r="AJ52" s="14">
        <f t="shared" si="26"/>
        <v>0</v>
      </c>
      <c r="AK52" s="17">
        <f t="shared" si="1"/>
        <v>0</v>
      </c>
      <c r="AL52" s="10">
        <f t="shared" si="2"/>
        <v>0</v>
      </c>
    </row>
    <row r="53" spans="1:38" x14ac:dyDescent="0.25">
      <c r="A53" s="12" t="s">
        <v>108</v>
      </c>
      <c r="B53" s="13" t="s">
        <v>109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9">
        <f t="shared" si="0"/>
        <v>0</v>
      </c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17">
        <f t="shared" si="1"/>
        <v>0</v>
      </c>
      <c r="AL53" s="10">
        <f t="shared" si="2"/>
        <v>0</v>
      </c>
    </row>
    <row r="54" spans="1:38" x14ac:dyDescent="0.25">
      <c r="A54" s="12" t="s">
        <v>110</v>
      </c>
      <c r="B54" s="13" t="s">
        <v>111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9">
        <f t="shared" si="0"/>
        <v>0</v>
      </c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17">
        <f t="shared" si="1"/>
        <v>0</v>
      </c>
      <c r="AL54" s="10">
        <f t="shared" si="2"/>
        <v>0</v>
      </c>
    </row>
    <row r="55" spans="1:38" s="3" customFormat="1" ht="14.45" customHeight="1" x14ac:dyDescent="0.2">
      <c r="A55" s="25" t="s">
        <v>112</v>
      </c>
      <c r="B55" s="25"/>
      <c r="C55" s="14">
        <f t="shared" ref="C55:S55" si="27">SUM(C53:C54)</f>
        <v>0</v>
      </c>
      <c r="D55" s="14">
        <f t="shared" si="27"/>
        <v>0</v>
      </c>
      <c r="E55" s="14">
        <f t="shared" si="27"/>
        <v>0</v>
      </c>
      <c r="F55" s="14">
        <f t="shared" si="27"/>
        <v>0</v>
      </c>
      <c r="G55" s="14">
        <f t="shared" si="27"/>
        <v>0</v>
      </c>
      <c r="H55" s="14">
        <f t="shared" si="27"/>
        <v>0</v>
      </c>
      <c r="I55" s="14">
        <f t="shared" si="27"/>
        <v>0</v>
      </c>
      <c r="J55" s="14">
        <f t="shared" si="27"/>
        <v>0</v>
      </c>
      <c r="K55" s="14">
        <f t="shared" si="27"/>
        <v>0</v>
      </c>
      <c r="L55" s="14">
        <f t="shared" si="27"/>
        <v>0</v>
      </c>
      <c r="M55" s="14">
        <f t="shared" si="27"/>
        <v>0</v>
      </c>
      <c r="N55" s="14">
        <f t="shared" si="27"/>
        <v>0</v>
      </c>
      <c r="O55" s="14">
        <f t="shared" si="27"/>
        <v>0</v>
      </c>
      <c r="P55" s="14">
        <f t="shared" si="27"/>
        <v>0</v>
      </c>
      <c r="Q55" s="14">
        <f t="shared" si="27"/>
        <v>0</v>
      </c>
      <c r="R55" s="14">
        <f t="shared" si="27"/>
        <v>0</v>
      </c>
      <c r="S55" s="14">
        <f t="shared" si="27"/>
        <v>0</v>
      </c>
      <c r="T55" s="9">
        <f t="shared" si="0"/>
        <v>0</v>
      </c>
      <c r="U55" s="14">
        <f t="shared" ref="U55:AJ55" si="28">SUM(U53:U54)</f>
        <v>0</v>
      </c>
      <c r="V55" s="14">
        <f t="shared" si="28"/>
        <v>0</v>
      </c>
      <c r="W55" s="14">
        <f t="shared" si="28"/>
        <v>0</v>
      </c>
      <c r="X55" s="14">
        <f t="shared" si="28"/>
        <v>0</v>
      </c>
      <c r="Y55" s="14">
        <f t="shared" si="28"/>
        <v>0</v>
      </c>
      <c r="Z55" s="14">
        <f t="shared" si="28"/>
        <v>0</v>
      </c>
      <c r="AA55" s="14">
        <f t="shared" si="28"/>
        <v>0</v>
      </c>
      <c r="AB55" s="14">
        <f t="shared" si="28"/>
        <v>0</v>
      </c>
      <c r="AC55" s="14">
        <f t="shared" si="28"/>
        <v>0</v>
      </c>
      <c r="AD55" s="14">
        <f t="shared" si="28"/>
        <v>0</v>
      </c>
      <c r="AE55" s="14">
        <f t="shared" si="28"/>
        <v>0</v>
      </c>
      <c r="AF55" s="14">
        <f t="shared" si="28"/>
        <v>0</v>
      </c>
      <c r="AG55" s="14">
        <f t="shared" si="28"/>
        <v>0</v>
      </c>
      <c r="AH55" s="14">
        <f t="shared" si="28"/>
        <v>0</v>
      </c>
      <c r="AI55" s="14">
        <f t="shared" si="28"/>
        <v>0</v>
      </c>
      <c r="AJ55" s="14">
        <f t="shared" si="28"/>
        <v>0</v>
      </c>
      <c r="AK55" s="17">
        <f t="shared" si="1"/>
        <v>0</v>
      </c>
      <c r="AL55" s="10">
        <f t="shared" si="2"/>
        <v>0</v>
      </c>
    </row>
    <row r="56" spans="1:38" s="3" customFormat="1" ht="14.45" customHeight="1" x14ac:dyDescent="0.2">
      <c r="A56" s="24" t="s">
        <v>113</v>
      </c>
      <c r="B56" s="24"/>
      <c r="C56" s="15">
        <f>SUM(C55,C52,C47,C42)</f>
        <v>0</v>
      </c>
      <c r="D56" s="15">
        <f t="shared" ref="D56:S56" si="29">SUM(D55,D52,D47,D42)</f>
        <v>0</v>
      </c>
      <c r="E56" s="15">
        <f t="shared" si="29"/>
        <v>0</v>
      </c>
      <c r="F56" s="15">
        <f t="shared" si="29"/>
        <v>0</v>
      </c>
      <c r="G56" s="15">
        <f t="shared" si="29"/>
        <v>0</v>
      </c>
      <c r="H56" s="15">
        <f t="shared" si="29"/>
        <v>0</v>
      </c>
      <c r="I56" s="15">
        <f t="shared" si="29"/>
        <v>0</v>
      </c>
      <c r="J56" s="15">
        <f t="shared" si="29"/>
        <v>0</v>
      </c>
      <c r="K56" s="15">
        <f t="shared" si="29"/>
        <v>0</v>
      </c>
      <c r="L56" s="15">
        <f t="shared" si="29"/>
        <v>0</v>
      </c>
      <c r="M56" s="15">
        <f t="shared" si="29"/>
        <v>0</v>
      </c>
      <c r="N56" s="15">
        <f t="shared" si="29"/>
        <v>0</v>
      </c>
      <c r="O56" s="15">
        <f t="shared" si="29"/>
        <v>0</v>
      </c>
      <c r="P56" s="15">
        <f t="shared" si="29"/>
        <v>0</v>
      </c>
      <c r="Q56" s="15">
        <f t="shared" si="29"/>
        <v>0</v>
      </c>
      <c r="R56" s="15">
        <f t="shared" si="29"/>
        <v>0</v>
      </c>
      <c r="S56" s="15">
        <f t="shared" si="29"/>
        <v>0</v>
      </c>
      <c r="T56" s="18">
        <f t="shared" si="0"/>
        <v>0</v>
      </c>
      <c r="U56" s="15">
        <f t="shared" ref="U56:AJ56" si="30">SUM(U55,U52,U47,U42)</f>
        <v>0</v>
      </c>
      <c r="V56" s="15">
        <f t="shared" si="30"/>
        <v>0</v>
      </c>
      <c r="W56" s="15">
        <f t="shared" si="30"/>
        <v>0</v>
      </c>
      <c r="X56" s="15">
        <f t="shared" si="30"/>
        <v>0</v>
      </c>
      <c r="Y56" s="15">
        <f t="shared" si="30"/>
        <v>0</v>
      </c>
      <c r="Z56" s="15">
        <f t="shared" si="30"/>
        <v>0</v>
      </c>
      <c r="AA56" s="15">
        <f t="shared" si="30"/>
        <v>0</v>
      </c>
      <c r="AB56" s="15">
        <f t="shared" si="30"/>
        <v>0</v>
      </c>
      <c r="AC56" s="15">
        <f t="shared" si="30"/>
        <v>0</v>
      </c>
      <c r="AD56" s="15">
        <f t="shared" si="30"/>
        <v>0</v>
      </c>
      <c r="AE56" s="15">
        <f t="shared" si="30"/>
        <v>0</v>
      </c>
      <c r="AF56" s="15">
        <f t="shared" si="30"/>
        <v>0</v>
      </c>
      <c r="AG56" s="15">
        <f t="shared" si="30"/>
        <v>0</v>
      </c>
      <c r="AH56" s="15">
        <f t="shared" si="30"/>
        <v>0</v>
      </c>
      <c r="AI56" s="15">
        <f t="shared" si="30"/>
        <v>0</v>
      </c>
      <c r="AJ56" s="15">
        <f t="shared" si="30"/>
        <v>0</v>
      </c>
      <c r="AK56" s="17">
        <f t="shared" si="1"/>
        <v>0</v>
      </c>
      <c r="AL56" s="10">
        <f t="shared" si="2"/>
        <v>0</v>
      </c>
    </row>
    <row r="57" spans="1:38" s="3" customFormat="1" ht="14.95" customHeight="1" x14ac:dyDescent="0.2">
      <c r="A57" s="26" t="s">
        <v>114</v>
      </c>
      <c r="B57" s="26"/>
      <c r="C57" s="16">
        <f>SUM(C56,C37,C23)</f>
        <v>0</v>
      </c>
      <c r="D57" s="16">
        <f t="shared" ref="D57:S57" si="31">SUM(D56,D37,D23)</f>
        <v>0</v>
      </c>
      <c r="E57" s="16">
        <f t="shared" si="31"/>
        <v>0</v>
      </c>
      <c r="F57" s="16">
        <f t="shared" si="31"/>
        <v>0</v>
      </c>
      <c r="G57" s="16">
        <f t="shared" si="31"/>
        <v>0</v>
      </c>
      <c r="H57" s="16">
        <f t="shared" si="31"/>
        <v>0</v>
      </c>
      <c r="I57" s="16">
        <f t="shared" si="31"/>
        <v>0</v>
      </c>
      <c r="J57" s="16">
        <f t="shared" si="31"/>
        <v>0</v>
      </c>
      <c r="K57" s="16">
        <f t="shared" si="31"/>
        <v>0</v>
      </c>
      <c r="L57" s="16">
        <f t="shared" si="31"/>
        <v>0</v>
      </c>
      <c r="M57" s="16">
        <f t="shared" si="31"/>
        <v>0</v>
      </c>
      <c r="N57" s="16">
        <f t="shared" si="31"/>
        <v>0</v>
      </c>
      <c r="O57" s="16">
        <f t="shared" si="31"/>
        <v>0</v>
      </c>
      <c r="P57" s="16">
        <f t="shared" si="31"/>
        <v>0</v>
      </c>
      <c r="Q57" s="16">
        <f t="shared" si="31"/>
        <v>0</v>
      </c>
      <c r="R57" s="16">
        <f t="shared" si="31"/>
        <v>0</v>
      </c>
      <c r="S57" s="16">
        <f t="shared" si="31"/>
        <v>0</v>
      </c>
      <c r="T57" s="18">
        <f t="shared" si="0"/>
        <v>0</v>
      </c>
      <c r="U57" s="16">
        <f t="shared" ref="U57:AJ57" si="32">SUM(U56,U37,U23)</f>
        <v>0</v>
      </c>
      <c r="V57" s="16">
        <f t="shared" si="32"/>
        <v>0</v>
      </c>
      <c r="W57" s="16">
        <f t="shared" si="32"/>
        <v>0</v>
      </c>
      <c r="X57" s="16">
        <f t="shared" si="32"/>
        <v>0</v>
      </c>
      <c r="Y57" s="16">
        <f t="shared" si="32"/>
        <v>0</v>
      </c>
      <c r="Z57" s="16">
        <f t="shared" si="32"/>
        <v>0</v>
      </c>
      <c r="AA57" s="16">
        <f t="shared" si="32"/>
        <v>0</v>
      </c>
      <c r="AB57" s="16">
        <f t="shared" si="32"/>
        <v>0</v>
      </c>
      <c r="AC57" s="16">
        <f t="shared" si="32"/>
        <v>0</v>
      </c>
      <c r="AD57" s="16">
        <f t="shared" si="32"/>
        <v>0</v>
      </c>
      <c r="AE57" s="16">
        <f t="shared" si="32"/>
        <v>0</v>
      </c>
      <c r="AF57" s="16">
        <f t="shared" si="32"/>
        <v>0</v>
      </c>
      <c r="AG57" s="16">
        <f t="shared" si="32"/>
        <v>0</v>
      </c>
      <c r="AH57" s="16">
        <f t="shared" si="32"/>
        <v>0</v>
      </c>
      <c r="AI57" s="16">
        <f t="shared" si="32"/>
        <v>0</v>
      </c>
      <c r="AJ57" s="16">
        <f t="shared" si="32"/>
        <v>0</v>
      </c>
      <c r="AK57" s="17">
        <f t="shared" si="1"/>
        <v>0</v>
      </c>
      <c r="AL57" s="10">
        <f t="shared" si="2"/>
        <v>0</v>
      </c>
    </row>
  </sheetData>
  <mergeCells count="38">
    <mergeCell ref="A52:B52"/>
    <mergeCell ref="A55:B55"/>
    <mergeCell ref="A56:B56"/>
    <mergeCell ref="A57:B57"/>
    <mergeCell ref="A27:B27"/>
    <mergeCell ref="A32:B32"/>
    <mergeCell ref="A36:B36"/>
    <mergeCell ref="A37:B37"/>
    <mergeCell ref="A42:B42"/>
    <mergeCell ref="A47:B47"/>
    <mergeCell ref="AK3:AK5"/>
    <mergeCell ref="A10:B10"/>
    <mergeCell ref="A14:B14"/>
    <mergeCell ref="A17:B17"/>
    <mergeCell ref="A22:B22"/>
    <mergeCell ref="A23:B23"/>
    <mergeCell ref="Z3:AA4"/>
    <mergeCell ref="AB3:AC4"/>
    <mergeCell ref="AD3:AE4"/>
    <mergeCell ref="AF3:AG4"/>
    <mergeCell ref="AH3:AH4"/>
    <mergeCell ref="AI3:AJ4"/>
    <mergeCell ref="P3:P4"/>
    <mergeCell ref="Q3:R4"/>
    <mergeCell ref="S3:S5"/>
    <mergeCell ref="T3:T5"/>
    <mergeCell ref="V3:W4"/>
    <mergeCell ref="X3:Y4"/>
    <mergeCell ref="A1:AL1"/>
    <mergeCell ref="C2:T2"/>
    <mergeCell ref="U2:AK2"/>
    <mergeCell ref="AL2:AL5"/>
    <mergeCell ref="D3:E4"/>
    <mergeCell ref="F3:G4"/>
    <mergeCell ref="H3:I4"/>
    <mergeCell ref="J3:K4"/>
    <mergeCell ref="L3:M4"/>
    <mergeCell ref="N3:O4"/>
  </mergeCells>
  <printOptions horizontalCentered="1"/>
  <pageMargins left="0" right="0" top="0" bottom="0" header="0" footer="0"/>
  <pageSetup paperSize="9" scale="7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8497D-2F82-45C9-9BB9-35A356C851B9}">
  <sheetPr>
    <tabColor rgb="FF00B050"/>
  </sheetPr>
  <dimension ref="A1:AL57"/>
  <sheetViews>
    <sheetView tabSelected="1" view="pageBreakPreview" zoomScale="85" zoomScaleNormal="70" zoomScaleSheetLayoutView="85" workbookViewId="0">
      <pane xSplit="2" ySplit="5" topLeftCell="C27" activePane="bottomRight" state="frozen"/>
      <selection pane="topRight" activeCell="C1" sqref="C1"/>
      <selection pane="bottomLeft" activeCell="A6" sqref="A6"/>
      <selection pane="bottomRight" activeCell="U53" sqref="U53:AJ54"/>
    </sheetView>
  </sheetViews>
  <sheetFormatPr defaultColWidth="8.875" defaultRowHeight="13.6" x14ac:dyDescent="0.25"/>
  <cols>
    <col min="1" max="1" width="7.125" style="5" bestFit="1" customWidth="1"/>
    <col min="2" max="2" width="21.25" style="1" bestFit="1" customWidth="1"/>
    <col min="3" max="3" width="4.875" style="2" bestFit="1" customWidth="1"/>
    <col min="4" max="15" width="4.25" style="2" customWidth="1"/>
    <col min="16" max="16" width="6.875" style="2" bestFit="1" customWidth="1"/>
    <col min="17" max="18" width="4.25" style="2" customWidth="1"/>
    <col min="19" max="19" width="6.375" style="2" bestFit="1" customWidth="1"/>
    <col min="20" max="20" width="7.5" style="4" bestFit="1" customWidth="1"/>
    <col min="21" max="33" width="4.25" style="2" customWidth="1"/>
    <col min="34" max="34" width="7" style="2" bestFit="1" customWidth="1"/>
    <col min="35" max="36" width="4.25" style="2" customWidth="1"/>
    <col min="37" max="37" width="7.5" style="4" bestFit="1" customWidth="1"/>
    <col min="38" max="38" width="8.875" style="1" customWidth="1"/>
    <col min="39" max="16384" width="8.875" style="1"/>
  </cols>
  <sheetData>
    <row r="1" spans="1:38" ht="15.65" x14ac:dyDescent="0.3">
      <c r="A1" s="19" t="s">
        <v>23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</row>
    <row r="2" spans="1:38" ht="14.45" customHeight="1" x14ac:dyDescent="0.25">
      <c r="A2" s="6"/>
      <c r="B2" s="6"/>
      <c r="C2" s="20" t="s">
        <v>5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1" t="s">
        <v>6</v>
      </c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2" t="s">
        <v>21</v>
      </c>
    </row>
    <row r="3" spans="1:38" ht="14.3" customHeight="1" x14ac:dyDescent="0.25">
      <c r="A3" s="2"/>
      <c r="B3" s="6"/>
      <c r="C3" s="7" t="s">
        <v>9</v>
      </c>
      <c r="D3" s="23" t="s">
        <v>22</v>
      </c>
      <c r="E3" s="23"/>
      <c r="F3" s="23" t="s">
        <v>10</v>
      </c>
      <c r="G3" s="23"/>
      <c r="H3" s="23" t="s">
        <v>11</v>
      </c>
      <c r="I3" s="23"/>
      <c r="J3" s="23" t="s">
        <v>0</v>
      </c>
      <c r="K3" s="23"/>
      <c r="L3" s="23" t="s">
        <v>4</v>
      </c>
      <c r="M3" s="23"/>
      <c r="N3" s="23" t="s">
        <v>12</v>
      </c>
      <c r="O3" s="23"/>
      <c r="P3" s="23" t="s">
        <v>13</v>
      </c>
      <c r="Q3" s="23" t="s">
        <v>14</v>
      </c>
      <c r="R3" s="23"/>
      <c r="S3" s="23" t="s">
        <v>15</v>
      </c>
      <c r="T3" s="20" t="s">
        <v>3</v>
      </c>
      <c r="U3" s="7" t="s">
        <v>9</v>
      </c>
      <c r="V3" s="23" t="s">
        <v>10</v>
      </c>
      <c r="W3" s="23"/>
      <c r="X3" s="23" t="s">
        <v>4</v>
      </c>
      <c r="Y3" s="23"/>
      <c r="Z3" s="23" t="s">
        <v>18</v>
      </c>
      <c r="AA3" s="23"/>
      <c r="AB3" s="23" t="s">
        <v>19</v>
      </c>
      <c r="AC3" s="23"/>
      <c r="AD3" s="23" t="s">
        <v>12</v>
      </c>
      <c r="AE3" s="23"/>
      <c r="AF3" s="23" t="s">
        <v>11</v>
      </c>
      <c r="AG3" s="23"/>
      <c r="AH3" s="23" t="s">
        <v>20</v>
      </c>
      <c r="AI3" s="23" t="s">
        <v>14</v>
      </c>
      <c r="AJ3" s="23"/>
      <c r="AK3" s="21" t="s">
        <v>3</v>
      </c>
      <c r="AL3" s="22"/>
    </row>
    <row r="4" spans="1:38" x14ac:dyDescent="0.25">
      <c r="A4" s="2"/>
      <c r="B4" s="6"/>
      <c r="C4" s="7" t="s">
        <v>16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0"/>
      <c r="U4" s="7" t="s">
        <v>17</v>
      </c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1"/>
      <c r="AL4" s="22"/>
    </row>
    <row r="5" spans="1:38" x14ac:dyDescent="0.25">
      <c r="A5" s="7" t="s">
        <v>8</v>
      </c>
      <c r="B5" s="11" t="s">
        <v>7</v>
      </c>
      <c r="C5" s="7" t="s">
        <v>1</v>
      </c>
      <c r="D5" s="7" t="s">
        <v>2</v>
      </c>
      <c r="E5" s="7" t="s">
        <v>1</v>
      </c>
      <c r="F5" s="7" t="s">
        <v>2</v>
      </c>
      <c r="G5" s="7" t="s">
        <v>1</v>
      </c>
      <c r="H5" s="7" t="s">
        <v>2</v>
      </c>
      <c r="I5" s="7" t="s">
        <v>1</v>
      </c>
      <c r="J5" s="7" t="s">
        <v>2</v>
      </c>
      <c r="K5" s="7" t="s">
        <v>1</v>
      </c>
      <c r="L5" s="7" t="s">
        <v>2</v>
      </c>
      <c r="M5" s="7" t="s">
        <v>1</v>
      </c>
      <c r="N5" s="7" t="s">
        <v>2</v>
      </c>
      <c r="O5" s="7" t="s">
        <v>1</v>
      </c>
      <c r="P5" s="7" t="s">
        <v>2</v>
      </c>
      <c r="Q5" s="7" t="s">
        <v>2</v>
      </c>
      <c r="R5" s="7" t="s">
        <v>1</v>
      </c>
      <c r="S5" s="23"/>
      <c r="T5" s="20"/>
      <c r="U5" s="7" t="s">
        <v>1</v>
      </c>
      <c r="V5" s="7" t="s">
        <v>2</v>
      </c>
      <c r="W5" s="7" t="s">
        <v>1</v>
      </c>
      <c r="X5" s="7" t="s">
        <v>2</v>
      </c>
      <c r="Y5" s="7" t="s">
        <v>1</v>
      </c>
      <c r="Z5" s="7" t="s">
        <v>2</v>
      </c>
      <c r="AA5" s="7" t="s">
        <v>1</v>
      </c>
      <c r="AB5" s="7" t="s">
        <v>2</v>
      </c>
      <c r="AC5" s="7" t="s">
        <v>1</v>
      </c>
      <c r="AD5" s="7" t="s">
        <v>2</v>
      </c>
      <c r="AE5" s="7" t="s">
        <v>1</v>
      </c>
      <c r="AF5" s="7" t="s">
        <v>2</v>
      </c>
      <c r="AG5" s="7" t="s">
        <v>1</v>
      </c>
      <c r="AH5" s="7" t="s">
        <v>2</v>
      </c>
      <c r="AI5" s="7" t="s">
        <v>2</v>
      </c>
      <c r="AJ5" s="7" t="s">
        <v>1</v>
      </c>
      <c r="AK5" s="21"/>
      <c r="AL5" s="22"/>
    </row>
    <row r="6" spans="1:38" ht="13.25" x14ac:dyDescent="0.25">
      <c r="A6" s="12" t="s">
        <v>26</v>
      </c>
      <c r="B6" s="13" t="s">
        <v>27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9">
        <f>SUM(C6:S6)</f>
        <v>0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17">
        <f>SUM(U6:AJ6)</f>
        <v>0</v>
      </c>
      <c r="AL6" s="10">
        <f>SUM(T6,AK6)</f>
        <v>0</v>
      </c>
    </row>
    <row r="7" spans="1:38" ht="13.25" x14ac:dyDescent="0.25">
      <c r="A7" s="12" t="s">
        <v>28</v>
      </c>
      <c r="B7" s="13" t="s">
        <v>29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9">
        <f t="shared" ref="T7:T57" si="0">SUM(C7:S7)</f>
        <v>0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17">
        <f t="shared" ref="AK7:AK57" si="1">SUM(U7:AJ7)</f>
        <v>0</v>
      </c>
      <c r="AL7" s="10">
        <f t="shared" ref="AL7:AL57" si="2">SUM(T7,AK7)</f>
        <v>0</v>
      </c>
    </row>
    <row r="8" spans="1:38" ht="13.25" x14ac:dyDescent="0.25">
      <c r="A8" s="12" t="s">
        <v>30</v>
      </c>
      <c r="B8" s="13" t="s">
        <v>31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9">
        <f t="shared" si="0"/>
        <v>0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17">
        <f t="shared" si="1"/>
        <v>0</v>
      </c>
      <c r="AL8" s="10">
        <f t="shared" si="2"/>
        <v>0</v>
      </c>
    </row>
    <row r="9" spans="1:38" ht="13.25" x14ac:dyDescent="0.25">
      <c r="A9" s="12" t="s">
        <v>32</v>
      </c>
      <c r="B9" s="13" t="s">
        <v>33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9">
        <f t="shared" si="0"/>
        <v>0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17">
        <f t="shared" si="1"/>
        <v>0</v>
      </c>
      <c r="AL9" s="10">
        <f t="shared" si="2"/>
        <v>0</v>
      </c>
    </row>
    <row r="10" spans="1:38" s="3" customFormat="1" ht="14.45" customHeight="1" x14ac:dyDescent="0.25">
      <c r="A10" s="25" t="s">
        <v>34</v>
      </c>
      <c r="B10" s="25"/>
      <c r="C10" s="14">
        <f>SUM(C6:C9)</f>
        <v>0</v>
      </c>
      <c r="D10" s="14">
        <f t="shared" ref="D10:S10" si="3">SUM(D6:D9)</f>
        <v>0</v>
      </c>
      <c r="E10" s="14">
        <f t="shared" si="3"/>
        <v>0</v>
      </c>
      <c r="F10" s="14">
        <f t="shared" si="3"/>
        <v>0</v>
      </c>
      <c r="G10" s="14">
        <f t="shared" si="3"/>
        <v>0</v>
      </c>
      <c r="H10" s="14">
        <f t="shared" si="3"/>
        <v>0</v>
      </c>
      <c r="I10" s="14">
        <f t="shared" si="3"/>
        <v>0</v>
      </c>
      <c r="J10" s="14">
        <f t="shared" si="3"/>
        <v>0</v>
      </c>
      <c r="K10" s="14">
        <f t="shared" si="3"/>
        <v>0</v>
      </c>
      <c r="L10" s="14">
        <f t="shared" si="3"/>
        <v>0</v>
      </c>
      <c r="M10" s="14">
        <f t="shared" si="3"/>
        <v>0</v>
      </c>
      <c r="N10" s="14">
        <f t="shared" si="3"/>
        <v>0</v>
      </c>
      <c r="O10" s="14">
        <f t="shared" si="3"/>
        <v>0</v>
      </c>
      <c r="P10" s="14">
        <f t="shared" si="3"/>
        <v>0</v>
      </c>
      <c r="Q10" s="14">
        <f t="shared" si="3"/>
        <v>0</v>
      </c>
      <c r="R10" s="14">
        <f t="shared" si="3"/>
        <v>0</v>
      </c>
      <c r="S10" s="14">
        <f t="shared" si="3"/>
        <v>0</v>
      </c>
      <c r="T10" s="9">
        <f t="shared" si="0"/>
        <v>0</v>
      </c>
      <c r="U10" s="14">
        <f t="shared" ref="U10:AJ10" si="4">SUM(U6:U9)</f>
        <v>0</v>
      </c>
      <c r="V10" s="14">
        <f t="shared" si="4"/>
        <v>0</v>
      </c>
      <c r="W10" s="14">
        <f t="shared" si="4"/>
        <v>0</v>
      </c>
      <c r="X10" s="14">
        <f t="shared" si="4"/>
        <v>0</v>
      </c>
      <c r="Y10" s="14">
        <f t="shared" si="4"/>
        <v>0</v>
      </c>
      <c r="Z10" s="14">
        <f t="shared" si="4"/>
        <v>0</v>
      </c>
      <c r="AA10" s="14">
        <f t="shared" si="4"/>
        <v>0</v>
      </c>
      <c r="AB10" s="14">
        <f t="shared" si="4"/>
        <v>0</v>
      </c>
      <c r="AC10" s="14">
        <f t="shared" si="4"/>
        <v>0</v>
      </c>
      <c r="AD10" s="14">
        <f t="shared" si="4"/>
        <v>0</v>
      </c>
      <c r="AE10" s="14">
        <f t="shared" si="4"/>
        <v>0</v>
      </c>
      <c r="AF10" s="14">
        <f t="shared" si="4"/>
        <v>0</v>
      </c>
      <c r="AG10" s="14">
        <f t="shared" si="4"/>
        <v>0</v>
      </c>
      <c r="AH10" s="14">
        <f t="shared" si="4"/>
        <v>0</v>
      </c>
      <c r="AI10" s="14">
        <f t="shared" si="4"/>
        <v>0</v>
      </c>
      <c r="AJ10" s="14">
        <f t="shared" si="4"/>
        <v>0</v>
      </c>
      <c r="AK10" s="17">
        <f t="shared" si="1"/>
        <v>0</v>
      </c>
      <c r="AL10" s="10">
        <f t="shared" si="2"/>
        <v>0</v>
      </c>
    </row>
    <row r="11" spans="1:38" ht="13.25" x14ac:dyDescent="0.25">
      <c r="A11" s="12" t="s">
        <v>35</v>
      </c>
      <c r="B11" s="13" t="s">
        <v>36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9">
        <f t="shared" si="0"/>
        <v>0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17">
        <f t="shared" si="1"/>
        <v>0</v>
      </c>
      <c r="AL11" s="10">
        <f t="shared" si="2"/>
        <v>0</v>
      </c>
    </row>
    <row r="12" spans="1:38" ht="13.25" x14ac:dyDescent="0.25">
      <c r="A12" s="12" t="s">
        <v>37</v>
      </c>
      <c r="B12" s="13" t="s">
        <v>38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9">
        <f t="shared" si="0"/>
        <v>0</v>
      </c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17">
        <f t="shared" si="1"/>
        <v>0</v>
      </c>
      <c r="AL12" s="10">
        <f t="shared" si="2"/>
        <v>0</v>
      </c>
    </row>
    <row r="13" spans="1:38" ht="13.25" x14ac:dyDescent="0.25">
      <c r="A13" s="12" t="s">
        <v>39</v>
      </c>
      <c r="B13" s="13" t="s">
        <v>40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9">
        <f t="shared" si="0"/>
        <v>0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17">
        <f t="shared" si="1"/>
        <v>0</v>
      </c>
      <c r="AL13" s="10">
        <f t="shared" si="2"/>
        <v>0</v>
      </c>
    </row>
    <row r="14" spans="1:38" s="3" customFormat="1" ht="14.45" customHeight="1" x14ac:dyDescent="0.25">
      <c r="A14" s="25" t="s">
        <v>41</v>
      </c>
      <c r="B14" s="25"/>
      <c r="C14" s="14">
        <f>SUM(C11:C13)</f>
        <v>0</v>
      </c>
      <c r="D14" s="14">
        <f t="shared" ref="D14:S14" si="5">SUM(D11:D13)</f>
        <v>0</v>
      </c>
      <c r="E14" s="14">
        <f t="shared" si="5"/>
        <v>0</v>
      </c>
      <c r="F14" s="14">
        <f t="shared" si="5"/>
        <v>0</v>
      </c>
      <c r="G14" s="14">
        <f t="shared" si="5"/>
        <v>0</v>
      </c>
      <c r="H14" s="14">
        <f t="shared" si="5"/>
        <v>0</v>
      </c>
      <c r="I14" s="14">
        <f t="shared" si="5"/>
        <v>0</v>
      </c>
      <c r="J14" s="14">
        <f t="shared" si="5"/>
        <v>0</v>
      </c>
      <c r="K14" s="14">
        <f t="shared" si="5"/>
        <v>0</v>
      </c>
      <c r="L14" s="14">
        <f t="shared" si="5"/>
        <v>0</v>
      </c>
      <c r="M14" s="14">
        <f t="shared" si="5"/>
        <v>0</v>
      </c>
      <c r="N14" s="14">
        <f t="shared" si="5"/>
        <v>0</v>
      </c>
      <c r="O14" s="14">
        <f t="shared" si="5"/>
        <v>0</v>
      </c>
      <c r="P14" s="14">
        <f t="shared" si="5"/>
        <v>0</v>
      </c>
      <c r="Q14" s="14">
        <f t="shared" si="5"/>
        <v>0</v>
      </c>
      <c r="R14" s="14">
        <f t="shared" si="5"/>
        <v>0</v>
      </c>
      <c r="S14" s="14">
        <f t="shared" si="5"/>
        <v>0</v>
      </c>
      <c r="T14" s="9">
        <f t="shared" si="0"/>
        <v>0</v>
      </c>
      <c r="U14" s="14">
        <f t="shared" ref="U14:AJ14" si="6">SUM(U11:U13)</f>
        <v>0</v>
      </c>
      <c r="V14" s="14">
        <f t="shared" si="6"/>
        <v>0</v>
      </c>
      <c r="W14" s="14">
        <f t="shared" si="6"/>
        <v>0</v>
      </c>
      <c r="X14" s="14">
        <f t="shared" si="6"/>
        <v>0</v>
      </c>
      <c r="Y14" s="14">
        <f t="shared" si="6"/>
        <v>0</v>
      </c>
      <c r="Z14" s="14">
        <f t="shared" si="6"/>
        <v>0</v>
      </c>
      <c r="AA14" s="14">
        <f t="shared" si="6"/>
        <v>0</v>
      </c>
      <c r="AB14" s="14">
        <f t="shared" si="6"/>
        <v>0</v>
      </c>
      <c r="AC14" s="14">
        <f t="shared" si="6"/>
        <v>0</v>
      </c>
      <c r="AD14" s="14">
        <f t="shared" si="6"/>
        <v>0</v>
      </c>
      <c r="AE14" s="14">
        <f t="shared" si="6"/>
        <v>0</v>
      </c>
      <c r="AF14" s="14">
        <f t="shared" si="6"/>
        <v>0</v>
      </c>
      <c r="AG14" s="14">
        <f t="shared" si="6"/>
        <v>0</v>
      </c>
      <c r="AH14" s="14">
        <f t="shared" si="6"/>
        <v>0</v>
      </c>
      <c r="AI14" s="14">
        <f t="shared" si="6"/>
        <v>0</v>
      </c>
      <c r="AJ14" s="14">
        <f t="shared" si="6"/>
        <v>0</v>
      </c>
      <c r="AK14" s="17">
        <f t="shared" si="1"/>
        <v>0</v>
      </c>
      <c r="AL14" s="10">
        <f t="shared" si="2"/>
        <v>0</v>
      </c>
    </row>
    <row r="15" spans="1:38" ht="13.25" x14ac:dyDescent="0.25">
      <c r="A15" s="12" t="s">
        <v>42</v>
      </c>
      <c r="B15" s="13" t="s">
        <v>43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9">
        <f t="shared" si="0"/>
        <v>0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17">
        <f t="shared" si="1"/>
        <v>0</v>
      </c>
      <c r="AL15" s="10">
        <f t="shared" si="2"/>
        <v>0</v>
      </c>
    </row>
    <row r="16" spans="1:38" ht="13.25" x14ac:dyDescent="0.25">
      <c r="A16" s="12" t="s">
        <v>44</v>
      </c>
      <c r="B16" s="13" t="s">
        <v>45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>
        <f t="shared" si="0"/>
        <v>0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17">
        <f t="shared" si="1"/>
        <v>0</v>
      </c>
      <c r="AL16" s="10">
        <f t="shared" si="2"/>
        <v>0</v>
      </c>
    </row>
    <row r="17" spans="1:38" s="3" customFormat="1" ht="14.45" customHeight="1" x14ac:dyDescent="0.25">
      <c r="A17" s="25" t="s">
        <v>46</v>
      </c>
      <c r="B17" s="25"/>
      <c r="C17" s="14">
        <f>SUM(C15:C16)</f>
        <v>0</v>
      </c>
      <c r="D17" s="14">
        <f t="shared" ref="D17:S17" si="7">SUM(D15:D16)</f>
        <v>0</v>
      </c>
      <c r="E17" s="14">
        <f t="shared" si="7"/>
        <v>0</v>
      </c>
      <c r="F17" s="14">
        <f t="shared" si="7"/>
        <v>0</v>
      </c>
      <c r="G17" s="14">
        <f t="shared" si="7"/>
        <v>0</v>
      </c>
      <c r="H17" s="14">
        <f t="shared" si="7"/>
        <v>0</v>
      </c>
      <c r="I17" s="14">
        <f t="shared" si="7"/>
        <v>0</v>
      </c>
      <c r="J17" s="14">
        <f t="shared" si="7"/>
        <v>0</v>
      </c>
      <c r="K17" s="14">
        <f t="shared" si="7"/>
        <v>0</v>
      </c>
      <c r="L17" s="14">
        <f t="shared" si="7"/>
        <v>0</v>
      </c>
      <c r="M17" s="14">
        <f t="shared" si="7"/>
        <v>0</v>
      </c>
      <c r="N17" s="14">
        <f t="shared" si="7"/>
        <v>0</v>
      </c>
      <c r="O17" s="14">
        <f t="shared" si="7"/>
        <v>0</v>
      </c>
      <c r="P17" s="14">
        <f t="shared" si="7"/>
        <v>0</v>
      </c>
      <c r="Q17" s="14">
        <f t="shared" si="7"/>
        <v>0</v>
      </c>
      <c r="R17" s="14">
        <f t="shared" si="7"/>
        <v>0</v>
      </c>
      <c r="S17" s="14">
        <f t="shared" si="7"/>
        <v>0</v>
      </c>
      <c r="T17" s="9">
        <f t="shared" si="0"/>
        <v>0</v>
      </c>
      <c r="U17" s="14">
        <f t="shared" ref="U17:AJ17" si="8">SUM(U15:U16)</f>
        <v>0</v>
      </c>
      <c r="V17" s="14">
        <f t="shared" si="8"/>
        <v>0</v>
      </c>
      <c r="W17" s="14">
        <f t="shared" si="8"/>
        <v>0</v>
      </c>
      <c r="X17" s="14">
        <f t="shared" si="8"/>
        <v>0</v>
      </c>
      <c r="Y17" s="14">
        <f t="shared" si="8"/>
        <v>0</v>
      </c>
      <c r="Z17" s="14">
        <f t="shared" si="8"/>
        <v>0</v>
      </c>
      <c r="AA17" s="14">
        <f t="shared" si="8"/>
        <v>0</v>
      </c>
      <c r="AB17" s="14">
        <f t="shared" si="8"/>
        <v>0</v>
      </c>
      <c r="AC17" s="14">
        <f t="shared" si="8"/>
        <v>0</v>
      </c>
      <c r="AD17" s="14">
        <f t="shared" si="8"/>
        <v>0</v>
      </c>
      <c r="AE17" s="14">
        <f t="shared" si="8"/>
        <v>0</v>
      </c>
      <c r="AF17" s="14">
        <f t="shared" si="8"/>
        <v>0</v>
      </c>
      <c r="AG17" s="14">
        <f t="shared" si="8"/>
        <v>0</v>
      </c>
      <c r="AH17" s="14">
        <f t="shared" si="8"/>
        <v>0</v>
      </c>
      <c r="AI17" s="14">
        <f t="shared" si="8"/>
        <v>0</v>
      </c>
      <c r="AJ17" s="14">
        <f t="shared" si="8"/>
        <v>0</v>
      </c>
      <c r="AK17" s="17">
        <f t="shared" si="1"/>
        <v>0</v>
      </c>
      <c r="AL17" s="10">
        <f t="shared" si="2"/>
        <v>0</v>
      </c>
    </row>
    <row r="18" spans="1:38" ht="13.25" x14ac:dyDescent="0.25">
      <c r="A18" s="12" t="s">
        <v>47</v>
      </c>
      <c r="B18" s="13" t="s">
        <v>48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9">
        <f t="shared" si="0"/>
        <v>0</v>
      </c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17">
        <f t="shared" si="1"/>
        <v>0</v>
      </c>
      <c r="AL18" s="10">
        <f t="shared" si="2"/>
        <v>0</v>
      </c>
    </row>
    <row r="19" spans="1:38" ht="13.25" x14ac:dyDescent="0.25">
      <c r="A19" s="12" t="s">
        <v>49</v>
      </c>
      <c r="B19" s="13" t="s">
        <v>50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9">
        <f t="shared" si="0"/>
        <v>0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17">
        <f t="shared" si="1"/>
        <v>0</v>
      </c>
      <c r="AL19" s="10">
        <f t="shared" si="2"/>
        <v>0</v>
      </c>
    </row>
    <row r="20" spans="1:38" ht="13.25" x14ac:dyDescent="0.25">
      <c r="A20" s="12" t="s">
        <v>51</v>
      </c>
      <c r="B20" s="13" t="s">
        <v>52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9">
        <f t="shared" si="0"/>
        <v>0</v>
      </c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17">
        <f t="shared" si="1"/>
        <v>0</v>
      </c>
      <c r="AL20" s="10">
        <f t="shared" si="2"/>
        <v>0</v>
      </c>
    </row>
    <row r="21" spans="1:38" ht="13.25" x14ac:dyDescent="0.25">
      <c r="A21" s="12" t="s">
        <v>53</v>
      </c>
      <c r="B21" s="13" t="s">
        <v>54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9">
        <f t="shared" si="0"/>
        <v>0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17">
        <f t="shared" si="1"/>
        <v>0</v>
      </c>
      <c r="AL21" s="10">
        <f t="shared" si="2"/>
        <v>0</v>
      </c>
    </row>
    <row r="22" spans="1:38" s="3" customFormat="1" ht="14.45" customHeight="1" x14ac:dyDescent="0.25">
      <c r="A22" s="25" t="s">
        <v>55</v>
      </c>
      <c r="B22" s="25"/>
      <c r="C22" s="14">
        <f t="shared" ref="C22:S22" si="9">SUM(C18:C21)</f>
        <v>0</v>
      </c>
      <c r="D22" s="14">
        <f t="shared" si="9"/>
        <v>0</v>
      </c>
      <c r="E22" s="14">
        <f t="shared" si="9"/>
        <v>0</v>
      </c>
      <c r="F22" s="14">
        <f t="shared" si="9"/>
        <v>0</v>
      </c>
      <c r="G22" s="14">
        <f t="shared" si="9"/>
        <v>0</v>
      </c>
      <c r="H22" s="14">
        <f t="shared" si="9"/>
        <v>0</v>
      </c>
      <c r="I22" s="14">
        <f t="shared" si="9"/>
        <v>0</v>
      </c>
      <c r="J22" s="14">
        <f t="shared" si="9"/>
        <v>0</v>
      </c>
      <c r="K22" s="14">
        <f t="shared" si="9"/>
        <v>0</v>
      </c>
      <c r="L22" s="14">
        <f t="shared" si="9"/>
        <v>0</v>
      </c>
      <c r="M22" s="14">
        <f t="shared" si="9"/>
        <v>0</v>
      </c>
      <c r="N22" s="14">
        <f t="shared" si="9"/>
        <v>0</v>
      </c>
      <c r="O22" s="14">
        <f t="shared" si="9"/>
        <v>0</v>
      </c>
      <c r="P22" s="14">
        <f t="shared" si="9"/>
        <v>0</v>
      </c>
      <c r="Q22" s="14">
        <f t="shared" si="9"/>
        <v>0</v>
      </c>
      <c r="R22" s="14">
        <f t="shared" si="9"/>
        <v>0</v>
      </c>
      <c r="S22" s="14">
        <f t="shared" si="9"/>
        <v>0</v>
      </c>
      <c r="T22" s="9">
        <f t="shared" si="0"/>
        <v>0</v>
      </c>
      <c r="U22" s="14">
        <f t="shared" ref="U22:AJ22" si="10">SUM(U18:U21)</f>
        <v>0</v>
      </c>
      <c r="V22" s="14">
        <f t="shared" si="10"/>
        <v>0</v>
      </c>
      <c r="W22" s="14">
        <f t="shared" si="10"/>
        <v>0</v>
      </c>
      <c r="X22" s="14">
        <f t="shared" si="10"/>
        <v>0</v>
      </c>
      <c r="Y22" s="14">
        <f t="shared" si="10"/>
        <v>0</v>
      </c>
      <c r="Z22" s="14">
        <f t="shared" si="10"/>
        <v>0</v>
      </c>
      <c r="AA22" s="14">
        <f t="shared" si="10"/>
        <v>0</v>
      </c>
      <c r="AB22" s="14">
        <f t="shared" si="10"/>
        <v>0</v>
      </c>
      <c r="AC22" s="14">
        <f t="shared" si="10"/>
        <v>0</v>
      </c>
      <c r="AD22" s="14">
        <f t="shared" si="10"/>
        <v>0</v>
      </c>
      <c r="AE22" s="14">
        <f t="shared" si="10"/>
        <v>0</v>
      </c>
      <c r="AF22" s="14">
        <f t="shared" si="10"/>
        <v>0</v>
      </c>
      <c r="AG22" s="14">
        <f t="shared" si="10"/>
        <v>0</v>
      </c>
      <c r="AH22" s="14">
        <f t="shared" si="10"/>
        <v>0</v>
      </c>
      <c r="AI22" s="14">
        <f t="shared" si="10"/>
        <v>0</v>
      </c>
      <c r="AJ22" s="14">
        <f t="shared" si="10"/>
        <v>0</v>
      </c>
      <c r="AK22" s="17">
        <f t="shared" si="1"/>
        <v>0</v>
      </c>
      <c r="AL22" s="10">
        <f t="shared" si="2"/>
        <v>0</v>
      </c>
    </row>
    <row r="23" spans="1:38" s="3" customFormat="1" ht="14.45" customHeight="1" x14ac:dyDescent="0.25">
      <c r="A23" s="24" t="s">
        <v>56</v>
      </c>
      <c r="B23" s="24"/>
      <c r="C23" s="15">
        <f>SUM(C22,C17,C14,C10)</f>
        <v>0</v>
      </c>
      <c r="D23" s="15">
        <f t="shared" ref="D23:S23" si="11">SUM(D22,D17,D14,D10)</f>
        <v>0</v>
      </c>
      <c r="E23" s="15">
        <f t="shared" si="11"/>
        <v>0</v>
      </c>
      <c r="F23" s="15">
        <f t="shared" si="11"/>
        <v>0</v>
      </c>
      <c r="G23" s="15">
        <f t="shared" si="11"/>
        <v>0</v>
      </c>
      <c r="H23" s="15">
        <f t="shared" si="11"/>
        <v>0</v>
      </c>
      <c r="I23" s="15">
        <f t="shared" si="11"/>
        <v>0</v>
      </c>
      <c r="J23" s="15">
        <f t="shared" si="11"/>
        <v>0</v>
      </c>
      <c r="K23" s="15">
        <f t="shared" si="11"/>
        <v>0</v>
      </c>
      <c r="L23" s="15">
        <f t="shared" si="11"/>
        <v>0</v>
      </c>
      <c r="M23" s="15">
        <f t="shared" si="11"/>
        <v>0</v>
      </c>
      <c r="N23" s="15">
        <f t="shared" si="11"/>
        <v>0</v>
      </c>
      <c r="O23" s="15">
        <f t="shared" si="11"/>
        <v>0</v>
      </c>
      <c r="P23" s="15">
        <f t="shared" si="11"/>
        <v>0</v>
      </c>
      <c r="Q23" s="15">
        <f t="shared" si="11"/>
        <v>0</v>
      </c>
      <c r="R23" s="15">
        <f t="shared" si="11"/>
        <v>0</v>
      </c>
      <c r="S23" s="15">
        <f t="shared" si="11"/>
        <v>0</v>
      </c>
      <c r="T23" s="9">
        <f t="shared" si="0"/>
        <v>0</v>
      </c>
      <c r="U23" s="15">
        <f t="shared" ref="U23:AJ23" si="12">SUM(U22,U17,U14,U10)</f>
        <v>0</v>
      </c>
      <c r="V23" s="15">
        <f t="shared" si="12"/>
        <v>0</v>
      </c>
      <c r="W23" s="15">
        <f t="shared" si="12"/>
        <v>0</v>
      </c>
      <c r="X23" s="15">
        <f t="shared" si="12"/>
        <v>0</v>
      </c>
      <c r="Y23" s="15">
        <f t="shared" si="12"/>
        <v>0</v>
      </c>
      <c r="Z23" s="15">
        <f t="shared" si="12"/>
        <v>0</v>
      </c>
      <c r="AA23" s="15">
        <f t="shared" si="12"/>
        <v>0</v>
      </c>
      <c r="AB23" s="15">
        <f t="shared" si="12"/>
        <v>0</v>
      </c>
      <c r="AC23" s="15">
        <f t="shared" si="12"/>
        <v>0</v>
      </c>
      <c r="AD23" s="15">
        <f t="shared" si="12"/>
        <v>0</v>
      </c>
      <c r="AE23" s="15">
        <f t="shared" si="12"/>
        <v>0</v>
      </c>
      <c r="AF23" s="15">
        <f t="shared" si="12"/>
        <v>0</v>
      </c>
      <c r="AG23" s="15">
        <f t="shared" si="12"/>
        <v>0</v>
      </c>
      <c r="AH23" s="15">
        <f t="shared" si="12"/>
        <v>0</v>
      </c>
      <c r="AI23" s="15">
        <f t="shared" si="12"/>
        <v>0</v>
      </c>
      <c r="AJ23" s="15">
        <f t="shared" si="12"/>
        <v>0</v>
      </c>
      <c r="AK23" s="17">
        <f t="shared" si="1"/>
        <v>0</v>
      </c>
      <c r="AL23" s="10">
        <f t="shared" si="2"/>
        <v>0</v>
      </c>
    </row>
    <row r="24" spans="1:38" ht="13.25" x14ac:dyDescent="0.25">
      <c r="A24" s="12" t="s">
        <v>57</v>
      </c>
      <c r="B24" s="13" t="s">
        <v>58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9">
        <f t="shared" si="0"/>
        <v>0</v>
      </c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17">
        <f t="shared" si="1"/>
        <v>0</v>
      </c>
      <c r="AL24" s="10">
        <f t="shared" si="2"/>
        <v>0</v>
      </c>
    </row>
    <row r="25" spans="1:38" ht="13.25" x14ac:dyDescent="0.25">
      <c r="A25" s="12" t="s">
        <v>59</v>
      </c>
      <c r="B25" s="13" t="s">
        <v>60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9">
        <f t="shared" si="0"/>
        <v>0</v>
      </c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17">
        <f t="shared" si="1"/>
        <v>0</v>
      </c>
      <c r="AL25" s="10">
        <f t="shared" si="2"/>
        <v>0</v>
      </c>
    </row>
    <row r="26" spans="1:38" ht="13.25" x14ac:dyDescent="0.25">
      <c r="A26" s="12" t="s">
        <v>61</v>
      </c>
      <c r="B26" s="13" t="s">
        <v>62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9">
        <f t="shared" si="0"/>
        <v>0</v>
      </c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17">
        <f t="shared" si="1"/>
        <v>0</v>
      </c>
      <c r="AL26" s="10">
        <f t="shared" si="2"/>
        <v>0</v>
      </c>
    </row>
    <row r="27" spans="1:38" s="3" customFormat="1" ht="14.45" customHeight="1" x14ac:dyDescent="0.25">
      <c r="A27" s="25" t="s">
        <v>63</v>
      </c>
      <c r="B27" s="25"/>
      <c r="C27" s="14">
        <f t="shared" ref="C27:S27" si="13">SUM(C24:C26)</f>
        <v>0</v>
      </c>
      <c r="D27" s="14">
        <f t="shared" si="13"/>
        <v>0</v>
      </c>
      <c r="E27" s="14">
        <f t="shared" si="13"/>
        <v>0</v>
      </c>
      <c r="F27" s="14">
        <f t="shared" si="13"/>
        <v>0</v>
      </c>
      <c r="G27" s="14">
        <f t="shared" si="13"/>
        <v>0</v>
      </c>
      <c r="H27" s="14">
        <f t="shared" si="13"/>
        <v>0</v>
      </c>
      <c r="I27" s="14">
        <f t="shared" si="13"/>
        <v>0</v>
      </c>
      <c r="J27" s="14">
        <f t="shared" si="13"/>
        <v>0</v>
      </c>
      <c r="K27" s="14">
        <f t="shared" si="13"/>
        <v>0</v>
      </c>
      <c r="L27" s="14">
        <f t="shared" si="13"/>
        <v>0</v>
      </c>
      <c r="M27" s="14">
        <f t="shared" si="13"/>
        <v>0</v>
      </c>
      <c r="N27" s="14">
        <f t="shared" si="13"/>
        <v>0</v>
      </c>
      <c r="O27" s="14">
        <f t="shared" si="13"/>
        <v>0</v>
      </c>
      <c r="P27" s="14">
        <f t="shared" si="13"/>
        <v>0</v>
      </c>
      <c r="Q27" s="14">
        <f t="shared" si="13"/>
        <v>0</v>
      </c>
      <c r="R27" s="14">
        <f t="shared" si="13"/>
        <v>0</v>
      </c>
      <c r="S27" s="14">
        <f t="shared" si="13"/>
        <v>0</v>
      </c>
      <c r="T27" s="9">
        <f t="shared" si="0"/>
        <v>0</v>
      </c>
      <c r="U27" s="14">
        <f t="shared" ref="U27:AJ27" si="14">SUM(U24:U26)</f>
        <v>0</v>
      </c>
      <c r="V27" s="14">
        <f t="shared" si="14"/>
        <v>0</v>
      </c>
      <c r="W27" s="14">
        <f t="shared" si="14"/>
        <v>0</v>
      </c>
      <c r="X27" s="14">
        <f t="shared" si="14"/>
        <v>0</v>
      </c>
      <c r="Y27" s="14">
        <f t="shared" si="14"/>
        <v>0</v>
      </c>
      <c r="Z27" s="14">
        <f t="shared" si="14"/>
        <v>0</v>
      </c>
      <c r="AA27" s="14">
        <f t="shared" si="14"/>
        <v>0</v>
      </c>
      <c r="AB27" s="14">
        <f t="shared" si="14"/>
        <v>0</v>
      </c>
      <c r="AC27" s="14">
        <f t="shared" si="14"/>
        <v>0</v>
      </c>
      <c r="AD27" s="14">
        <f t="shared" si="14"/>
        <v>0</v>
      </c>
      <c r="AE27" s="14">
        <f t="shared" si="14"/>
        <v>0</v>
      </c>
      <c r="AF27" s="14">
        <f t="shared" si="14"/>
        <v>0</v>
      </c>
      <c r="AG27" s="14">
        <f t="shared" si="14"/>
        <v>0</v>
      </c>
      <c r="AH27" s="14">
        <f t="shared" si="14"/>
        <v>0</v>
      </c>
      <c r="AI27" s="14">
        <f t="shared" si="14"/>
        <v>0</v>
      </c>
      <c r="AJ27" s="14">
        <f t="shared" si="14"/>
        <v>0</v>
      </c>
      <c r="AK27" s="17">
        <f t="shared" si="1"/>
        <v>0</v>
      </c>
      <c r="AL27" s="10">
        <f t="shared" si="2"/>
        <v>0</v>
      </c>
    </row>
    <row r="28" spans="1:38" ht="13.25" x14ac:dyDescent="0.25">
      <c r="A28" s="12" t="s">
        <v>64</v>
      </c>
      <c r="B28" s="13" t="s">
        <v>65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9">
        <f t="shared" si="0"/>
        <v>0</v>
      </c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17">
        <f t="shared" si="1"/>
        <v>0</v>
      </c>
      <c r="AL28" s="10">
        <f t="shared" si="2"/>
        <v>0</v>
      </c>
    </row>
    <row r="29" spans="1:38" ht="13.25" x14ac:dyDescent="0.25">
      <c r="A29" s="12" t="s">
        <v>66</v>
      </c>
      <c r="B29" s="13" t="s">
        <v>67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9">
        <f t="shared" si="0"/>
        <v>0</v>
      </c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17">
        <f t="shared" si="1"/>
        <v>0</v>
      </c>
      <c r="AL29" s="10">
        <f t="shared" si="2"/>
        <v>0</v>
      </c>
    </row>
    <row r="30" spans="1:38" ht="13.25" x14ac:dyDescent="0.25">
      <c r="A30" s="12" t="s">
        <v>68</v>
      </c>
      <c r="B30" s="13" t="s">
        <v>69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9">
        <f t="shared" si="0"/>
        <v>0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17">
        <f t="shared" si="1"/>
        <v>0</v>
      </c>
      <c r="AL30" s="10">
        <f t="shared" si="2"/>
        <v>0</v>
      </c>
    </row>
    <row r="31" spans="1:38" ht="13.25" x14ac:dyDescent="0.25">
      <c r="A31" s="12" t="s">
        <v>70</v>
      </c>
      <c r="B31" s="13" t="s">
        <v>71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9">
        <f t="shared" si="0"/>
        <v>0</v>
      </c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17">
        <f t="shared" si="1"/>
        <v>0</v>
      </c>
      <c r="AL31" s="10">
        <f t="shared" si="2"/>
        <v>0</v>
      </c>
    </row>
    <row r="32" spans="1:38" s="3" customFormat="1" ht="14.45" customHeight="1" x14ac:dyDescent="0.25">
      <c r="A32" s="25" t="s">
        <v>72</v>
      </c>
      <c r="B32" s="25"/>
      <c r="C32" s="14">
        <f t="shared" ref="C32:S32" si="15">SUM(C28:C31)</f>
        <v>0</v>
      </c>
      <c r="D32" s="14">
        <f t="shared" si="15"/>
        <v>0</v>
      </c>
      <c r="E32" s="14">
        <f t="shared" si="15"/>
        <v>0</v>
      </c>
      <c r="F32" s="14">
        <f t="shared" si="15"/>
        <v>0</v>
      </c>
      <c r="G32" s="14">
        <f t="shared" si="15"/>
        <v>0</v>
      </c>
      <c r="H32" s="14">
        <f t="shared" si="15"/>
        <v>0</v>
      </c>
      <c r="I32" s="14">
        <f t="shared" si="15"/>
        <v>0</v>
      </c>
      <c r="J32" s="14">
        <f t="shared" si="15"/>
        <v>0</v>
      </c>
      <c r="K32" s="14">
        <f t="shared" si="15"/>
        <v>0</v>
      </c>
      <c r="L32" s="14">
        <f t="shared" si="15"/>
        <v>0</v>
      </c>
      <c r="M32" s="14">
        <f t="shared" si="15"/>
        <v>0</v>
      </c>
      <c r="N32" s="14">
        <f t="shared" si="15"/>
        <v>0</v>
      </c>
      <c r="O32" s="14">
        <f t="shared" si="15"/>
        <v>0</v>
      </c>
      <c r="P32" s="14">
        <f t="shared" si="15"/>
        <v>0</v>
      </c>
      <c r="Q32" s="14">
        <f t="shared" si="15"/>
        <v>0</v>
      </c>
      <c r="R32" s="14">
        <f t="shared" si="15"/>
        <v>0</v>
      </c>
      <c r="S32" s="14">
        <f t="shared" si="15"/>
        <v>0</v>
      </c>
      <c r="T32" s="9">
        <f t="shared" si="0"/>
        <v>0</v>
      </c>
      <c r="U32" s="14">
        <f t="shared" ref="U32:AJ32" si="16">SUM(U28:U31)</f>
        <v>0</v>
      </c>
      <c r="V32" s="14">
        <f t="shared" si="16"/>
        <v>0</v>
      </c>
      <c r="W32" s="14">
        <f t="shared" si="16"/>
        <v>0</v>
      </c>
      <c r="X32" s="14">
        <f t="shared" si="16"/>
        <v>0</v>
      </c>
      <c r="Y32" s="14">
        <f t="shared" si="16"/>
        <v>0</v>
      </c>
      <c r="Z32" s="14">
        <f t="shared" si="16"/>
        <v>0</v>
      </c>
      <c r="AA32" s="14">
        <f t="shared" si="16"/>
        <v>0</v>
      </c>
      <c r="AB32" s="14">
        <f t="shared" si="16"/>
        <v>0</v>
      </c>
      <c r="AC32" s="14">
        <f t="shared" si="16"/>
        <v>0</v>
      </c>
      <c r="AD32" s="14">
        <f t="shared" si="16"/>
        <v>0</v>
      </c>
      <c r="AE32" s="14">
        <f t="shared" si="16"/>
        <v>0</v>
      </c>
      <c r="AF32" s="14">
        <f t="shared" si="16"/>
        <v>0</v>
      </c>
      <c r="AG32" s="14">
        <f t="shared" si="16"/>
        <v>0</v>
      </c>
      <c r="AH32" s="14">
        <f t="shared" si="16"/>
        <v>0</v>
      </c>
      <c r="AI32" s="14">
        <f t="shared" si="16"/>
        <v>0</v>
      </c>
      <c r="AJ32" s="14">
        <f t="shared" si="16"/>
        <v>0</v>
      </c>
      <c r="AK32" s="17">
        <f t="shared" si="1"/>
        <v>0</v>
      </c>
      <c r="AL32" s="10">
        <f t="shared" si="2"/>
        <v>0</v>
      </c>
    </row>
    <row r="33" spans="1:38" ht="13.25" x14ac:dyDescent="0.25">
      <c r="A33" s="12" t="s">
        <v>73</v>
      </c>
      <c r="B33" s="13" t="s">
        <v>74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9">
        <f t="shared" si="0"/>
        <v>0</v>
      </c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17">
        <f t="shared" si="1"/>
        <v>0</v>
      </c>
      <c r="AL33" s="10">
        <f t="shared" si="2"/>
        <v>0</v>
      </c>
    </row>
    <row r="34" spans="1:38" ht="13.25" x14ac:dyDescent="0.25">
      <c r="A34" s="12" t="s">
        <v>75</v>
      </c>
      <c r="B34" s="13" t="s">
        <v>76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9">
        <f t="shared" si="0"/>
        <v>0</v>
      </c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17">
        <f t="shared" si="1"/>
        <v>0</v>
      </c>
      <c r="AL34" s="10">
        <f t="shared" si="2"/>
        <v>0</v>
      </c>
    </row>
    <row r="35" spans="1:38" ht="13.25" x14ac:dyDescent="0.25">
      <c r="A35" s="12" t="s">
        <v>77</v>
      </c>
      <c r="B35" s="13" t="s">
        <v>78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9">
        <f t="shared" si="0"/>
        <v>0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17">
        <f t="shared" si="1"/>
        <v>0</v>
      </c>
      <c r="AL35" s="10">
        <f t="shared" si="2"/>
        <v>0</v>
      </c>
    </row>
    <row r="36" spans="1:38" s="3" customFormat="1" ht="14.45" customHeight="1" x14ac:dyDescent="0.25">
      <c r="A36" s="25" t="s">
        <v>79</v>
      </c>
      <c r="B36" s="25"/>
      <c r="C36" s="14">
        <f t="shared" ref="C36:S36" si="17">SUM(C33:C35)</f>
        <v>0</v>
      </c>
      <c r="D36" s="14">
        <f t="shared" si="17"/>
        <v>0</v>
      </c>
      <c r="E36" s="14">
        <f t="shared" si="17"/>
        <v>0</v>
      </c>
      <c r="F36" s="14">
        <f t="shared" si="17"/>
        <v>0</v>
      </c>
      <c r="G36" s="14">
        <f t="shared" si="17"/>
        <v>0</v>
      </c>
      <c r="H36" s="14">
        <f t="shared" si="17"/>
        <v>0</v>
      </c>
      <c r="I36" s="14">
        <f t="shared" si="17"/>
        <v>0</v>
      </c>
      <c r="J36" s="14">
        <f t="shared" si="17"/>
        <v>0</v>
      </c>
      <c r="K36" s="14">
        <f t="shared" si="17"/>
        <v>0</v>
      </c>
      <c r="L36" s="14">
        <f t="shared" si="17"/>
        <v>0</v>
      </c>
      <c r="M36" s="14">
        <f t="shared" si="17"/>
        <v>0</v>
      </c>
      <c r="N36" s="14">
        <f t="shared" si="17"/>
        <v>0</v>
      </c>
      <c r="O36" s="14">
        <f t="shared" si="17"/>
        <v>0</v>
      </c>
      <c r="P36" s="14">
        <f t="shared" si="17"/>
        <v>0</v>
      </c>
      <c r="Q36" s="14">
        <f t="shared" si="17"/>
        <v>0</v>
      </c>
      <c r="R36" s="14">
        <f t="shared" si="17"/>
        <v>0</v>
      </c>
      <c r="S36" s="14">
        <f t="shared" si="17"/>
        <v>0</v>
      </c>
      <c r="T36" s="9">
        <f t="shared" si="0"/>
        <v>0</v>
      </c>
      <c r="U36" s="14">
        <f t="shared" ref="U36:AJ36" si="18">SUM(U33:U35)</f>
        <v>0</v>
      </c>
      <c r="V36" s="14">
        <f t="shared" si="18"/>
        <v>0</v>
      </c>
      <c r="W36" s="14">
        <f t="shared" si="18"/>
        <v>0</v>
      </c>
      <c r="X36" s="14">
        <f t="shared" si="18"/>
        <v>0</v>
      </c>
      <c r="Y36" s="14">
        <f t="shared" si="18"/>
        <v>0</v>
      </c>
      <c r="Z36" s="14">
        <f t="shared" si="18"/>
        <v>0</v>
      </c>
      <c r="AA36" s="14">
        <f t="shared" si="18"/>
        <v>0</v>
      </c>
      <c r="AB36" s="14">
        <f t="shared" si="18"/>
        <v>0</v>
      </c>
      <c r="AC36" s="14">
        <f t="shared" si="18"/>
        <v>0</v>
      </c>
      <c r="AD36" s="14">
        <f t="shared" si="18"/>
        <v>0</v>
      </c>
      <c r="AE36" s="14">
        <f t="shared" si="18"/>
        <v>0</v>
      </c>
      <c r="AF36" s="14">
        <f t="shared" si="18"/>
        <v>0</v>
      </c>
      <c r="AG36" s="14">
        <f t="shared" si="18"/>
        <v>0</v>
      </c>
      <c r="AH36" s="14">
        <f t="shared" si="18"/>
        <v>0</v>
      </c>
      <c r="AI36" s="14">
        <f t="shared" si="18"/>
        <v>0</v>
      </c>
      <c r="AJ36" s="14">
        <f t="shared" si="18"/>
        <v>0</v>
      </c>
      <c r="AK36" s="17">
        <f t="shared" si="1"/>
        <v>0</v>
      </c>
      <c r="AL36" s="10">
        <f t="shared" si="2"/>
        <v>0</v>
      </c>
    </row>
    <row r="37" spans="1:38" s="3" customFormat="1" ht="14.45" customHeight="1" x14ac:dyDescent="0.25">
      <c r="A37" s="24" t="s">
        <v>80</v>
      </c>
      <c r="B37" s="24"/>
      <c r="C37" s="15">
        <f>SUM(C36,C32,C27)</f>
        <v>0</v>
      </c>
      <c r="D37" s="15">
        <f t="shared" ref="D37:S37" si="19">SUM(D36,D32,D27)</f>
        <v>0</v>
      </c>
      <c r="E37" s="15">
        <f t="shared" si="19"/>
        <v>0</v>
      </c>
      <c r="F37" s="15">
        <f t="shared" si="19"/>
        <v>0</v>
      </c>
      <c r="G37" s="15">
        <f t="shared" si="19"/>
        <v>0</v>
      </c>
      <c r="H37" s="15">
        <f t="shared" si="19"/>
        <v>0</v>
      </c>
      <c r="I37" s="15">
        <f t="shared" si="19"/>
        <v>0</v>
      </c>
      <c r="J37" s="15">
        <f t="shared" si="19"/>
        <v>0</v>
      </c>
      <c r="K37" s="15">
        <f t="shared" si="19"/>
        <v>0</v>
      </c>
      <c r="L37" s="15">
        <f t="shared" si="19"/>
        <v>0</v>
      </c>
      <c r="M37" s="15">
        <f t="shared" si="19"/>
        <v>0</v>
      </c>
      <c r="N37" s="15">
        <f t="shared" si="19"/>
        <v>0</v>
      </c>
      <c r="O37" s="15">
        <f t="shared" si="19"/>
        <v>0</v>
      </c>
      <c r="P37" s="15">
        <f t="shared" si="19"/>
        <v>0</v>
      </c>
      <c r="Q37" s="15">
        <f t="shared" si="19"/>
        <v>0</v>
      </c>
      <c r="R37" s="15">
        <f t="shared" si="19"/>
        <v>0</v>
      </c>
      <c r="S37" s="15">
        <f t="shared" si="19"/>
        <v>0</v>
      </c>
      <c r="T37" s="9">
        <f t="shared" si="0"/>
        <v>0</v>
      </c>
      <c r="U37" s="15">
        <f t="shared" ref="U37:AJ37" si="20">SUM(U36,U32,U27)</f>
        <v>0</v>
      </c>
      <c r="V37" s="15">
        <f t="shared" si="20"/>
        <v>0</v>
      </c>
      <c r="W37" s="15">
        <f t="shared" si="20"/>
        <v>0</v>
      </c>
      <c r="X37" s="15">
        <f t="shared" si="20"/>
        <v>0</v>
      </c>
      <c r="Y37" s="15">
        <f t="shared" si="20"/>
        <v>0</v>
      </c>
      <c r="Z37" s="15">
        <f t="shared" si="20"/>
        <v>0</v>
      </c>
      <c r="AA37" s="15">
        <f t="shared" si="20"/>
        <v>0</v>
      </c>
      <c r="AB37" s="15">
        <f t="shared" si="20"/>
        <v>0</v>
      </c>
      <c r="AC37" s="15">
        <f t="shared" si="20"/>
        <v>0</v>
      </c>
      <c r="AD37" s="15">
        <f t="shared" si="20"/>
        <v>0</v>
      </c>
      <c r="AE37" s="15">
        <f t="shared" si="20"/>
        <v>0</v>
      </c>
      <c r="AF37" s="15">
        <f t="shared" si="20"/>
        <v>0</v>
      </c>
      <c r="AG37" s="15">
        <f t="shared" si="20"/>
        <v>0</v>
      </c>
      <c r="AH37" s="15">
        <f t="shared" si="20"/>
        <v>0</v>
      </c>
      <c r="AI37" s="15">
        <f t="shared" si="20"/>
        <v>0</v>
      </c>
      <c r="AJ37" s="15">
        <f t="shared" si="20"/>
        <v>0</v>
      </c>
      <c r="AK37" s="17">
        <f t="shared" si="1"/>
        <v>0</v>
      </c>
      <c r="AL37" s="10">
        <f t="shared" si="2"/>
        <v>0</v>
      </c>
    </row>
    <row r="38" spans="1:38" ht="13.25" x14ac:dyDescent="0.25">
      <c r="A38" s="12" t="s">
        <v>81</v>
      </c>
      <c r="B38" s="13" t="s">
        <v>82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9">
        <f t="shared" si="0"/>
        <v>0</v>
      </c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17">
        <f t="shared" si="1"/>
        <v>0</v>
      </c>
      <c r="AL38" s="10">
        <f t="shared" si="2"/>
        <v>0</v>
      </c>
    </row>
    <row r="39" spans="1:38" ht="13.25" x14ac:dyDescent="0.25">
      <c r="A39" s="12" t="s">
        <v>83</v>
      </c>
      <c r="B39" s="13" t="s">
        <v>84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9">
        <f t="shared" si="0"/>
        <v>0</v>
      </c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17">
        <f t="shared" si="1"/>
        <v>0</v>
      </c>
      <c r="AL39" s="10">
        <f t="shared" si="2"/>
        <v>0</v>
      </c>
    </row>
    <row r="40" spans="1:38" ht="13.25" x14ac:dyDescent="0.25">
      <c r="A40" s="12" t="s">
        <v>85</v>
      </c>
      <c r="B40" s="13" t="s">
        <v>86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9">
        <f t="shared" si="0"/>
        <v>0</v>
      </c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17">
        <f t="shared" si="1"/>
        <v>0</v>
      </c>
      <c r="AL40" s="10">
        <f t="shared" si="2"/>
        <v>0</v>
      </c>
    </row>
    <row r="41" spans="1:38" ht="13.25" x14ac:dyDescent="0.25">
      <c r="A41" s="12" t="s">
        <v>87</v>
      </c>
      <c r="B41" s="13" t="s">
        <v>88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>
        <f t="shared" si="0"/>
        <v>0</v>
      </c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17">
        <f t="shared" si="1"/>
        <v>0</v>
      </c>
      <c r="AL41" s="10">
        <f t="shared" si="2"/>
        <v>0</v>
      </c>
    </row>
    <row r="42" spans="1:38" s="3" customFormat="1" ht="14.45" customHeight="1" x14ac:dyDescent="0.25">
      <c r="A42" s="25" t="s">
        <v>89</v>
      </c>
      <c r="B42" s="25"/>
      <c r="C42" s="14">
        <f t="shared" ref="C42:S42" si="21">SUM(C38:C41)</f>
        <v>0</v>
      </c>
      <c r="D42" s="14">
        <f t="shared" si="21"/>
        <v>0</v>
      </c>
      <c r="E42" s="14">
        <f t="shared" si="21"/>
        <v>0</v>
      </c>
      <c r="F42" s="14">
        <f t="shared" si="21"/>
        <v>0</v>
      </c>
      <c r="G42" s="14">
        <f t="shared" si="21"/>
        <v>0</v>
      </c>
      <c r="H42" s="14">
        <f t="shared" si="21"/>
        <v>0</v>
      </c>
      <c r="I42" s="14">
        <f t="shared" si="21"/>
        <v>0</v>
      </c>
      <c r="J42" s="14">
        <f t="shared" si="21"/>
        <v>0</v>
      </c>
      <c r="K42" s="14">
        <f t="shared" si="21"/>
        <v>0</v>
      </c>
      <c r="L42" s="14">
        <f t="shared" si="21"/>
        <v>0</v>
      </c>
      <c r="M42" s="14">
        <f t="shared" si="21"/>
        <v>0</v>
      </c>
      <c r="N42" s="14">
        <f t="shared" si="21"/>
        <v>0</v>
      </c>
      <c r="O42" s="14">
        <f t="shared" si="21"/>
        <v>0</v>
      </c>
      <c r="P42" s="14">
        <f t="shared" si="21"/>
        <v>0</v>
      </c>
      <c r="Q42" s="14">
        <f t="shared" si="21"/>
        <v>0</v>
      </c>
      <c r="R42" s="14">
        <f t="shared" si="21"/>
        <v>0</v>
      </c>
      <c r="S42" s="14">
        <f t="shared" si="21"/>
        <v>0</v>
      </c>
      <c r="T42" s="9">
        <f t="shared" si="0"/>
        <v>0</v>
      </c>
      <c r="U42" s="14">
        <f t="shared" ref="U42:AJ42" si="22">SUM(U38:U41)</f>
        <v>0</v>
      </c>
      <c r="V42" s="14">
        <f t="shared" si="22"/>
        <v>0</v>
      </c>
      <c r="W42" s="14">
        <f t="shared" si="22"/>
        <v>0</v>
      </c>
      <c r="X42" s="14">
        <f t="shared" si="22"/>
        <v>0</v>
      </c>
      <c r="Y42" s="14">
        <f t="shared" si="22"/>
        <v>0</v>
      </c>
      <c r="Z42" s="14">
        <f t="shared" si="22"/>
        <v>0</v>
      </c>
      <c r="AA42" s="14">
        <f t="shared" si="22"/>
        <v>0</v>
      </c>
      <c r="AB42" s="14">
        <f t="shared" si="22"/>
        <v>0</v>
      </c>
      <c r="AC42" s="14">
        <f t="shared" si="22"/>
        <v>0</v>
      </c>
      <c r="AD42" s="14">
        <f t="shared" si="22"/>
        <v>0</v>
      </c>
      <c r="AE42" s="14">
        <f t="shared" si="22"/>
        <v>0</v>
      </c>
      <c r="AF42" s="14">
        <f t="shared" si="22"/>
        <v>0</v>
      </c>
      <c r="AG42" s="14">
        <f t="shared" si="22"/>
        <v>0</v>
      </c>
      <c r="AH42" s="14">
        <f t="shared" si="22"/>
        <v>0</v>
      </c>
      <c r="AI42" s="14">
        <f t="shared" si="22"/>
        <v>0</v>
      </c>
      <c r="AJ42" s="14">
        <f t="shared" si="22"/>
        <v>0</v>
      </c>
      <c r="AK42" s="17">
        <f t="shared" si="1"/>
        <v>0</v>
      </c>
      <c r="AL42" s="10">
        <f t="shared" si="2"/>
        <v>0</v>
      </c>
    </row>
    <row r="43" spans="1:38" ht="13.25" x14ac:dyDescent="0.25">
      <c r="A43" s="12" t="s">
        <v>90</v>
      </c>
      <c r="B43" s="13" t="s">
        <v>91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9">
        <f t="shared" si="0"/>
        <v>0</v>
      </c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17">
        <f t="shared" si="1"/>
        <v>0</v>
      </c>
      <c r="AL43" s="10">
        <f t="shared" si="2"/>
        <v>0</v>
      </c>
    </row>
    <row r="44" spans="1:38" ht="13.25" x14ac:dyDescent="0.25">
      <c r="A44" s="12" t="s">
        <v>92</v>
      </c>
      <c r="B44" s="13" t="s">
        <v>93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9">
        <f t="shared" si="0"/>
        <v>0</v>
      </c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17">
        <f t="shared" si="1"/>
        <v>0</v>
      </c>
      <c r="AL44" s="10">
        <f t="shared" si="2"/>
        <v>0</v>
      </c>
    </row>
    <row r="45" spans="1:38" ht="13.25" x14ac:dyDescent="0.25">
      <c r="A45" s="12" t="s">
        <v>94</v>
      </c>
      <c r="B45" s="13" t="s">
        <v>95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9">
        <f t="shared" si="0"/>
        <v>0</v>
      </c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17">
        <f t="shared" si="1"/>
        <v>0</v>
      </c>
      <c r="AL45" s="10">
        <f t="shared" si="2"/>
        <v>0</v>
      </c>
    </row>
    <row r="46" spans="1:38" ht="13.25" x14ac:dyDescent="0.25">
      <c r="A46" s="12" t="s">
        <v>96</v>
      </c>
      <c r="B46" s="13" t="s">
        <v>97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9">
        <f t="shared" si="0"/>
        <v>0</v>
      </c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17">
        <f t="shared" si="1"/>
        <v>0</v>
      </c>
      <c r="AL46" s="10">
        <f t="shared" si="2"/>
        <v>0</v>
      </c>
    </row>
    <row r="47" spans="1:38" s="3" customFormat="1" ht="14.45" customHeight="1" x14ac:dyDescent="0.25">
      <c r="A47" s="25" t="s">
        <v>98</v>
      </c>
      <c r="B47" s="25"/>
      <c r="C47" s="14">
        <f t="shared" ref="C47:S47" si="23">SUM(C43:C46)</f>
        <v>0</v>
      </c>
      <c r="D47" s="14">
        <f t="shared" si="23"/>
        <v>0</v>
      </c>
      <c r="E47" s="14">
        <f t="shared" si="23"/>
        <v>0</v>
      </c>
      <c r="F47" s="14">
        <f t="shared" si="23"/>
        <v>0</v>
      </c>
      <c r="G47" s="14">
        <f t="shared" si="23"/>
        <v>0</v>
      </c>
      <c r="H47" s="14">
        <f t="shared" si="23"/>
        <v>0</v>
      </c>
      <c r="I47" s="14">
        <f t="shared" si="23"/>
        <v>0</v>
      </c>
      <c r="J47" s="14">
        <f t="shared" si="23"/>
        <v>0</v>
      </c>
      <c r="K47" s="14">
        <f t="shared" si="23"/>
        <v>0</v>
      </c>
      <c r="L47" s="14">
        <f t="shared" si="23"/>
        <v>0</v>
      </c>
      <c r="M47" s="14">
        <f t="shared" si="23"/>
        <v>0</v>
      </c>
      <c r="N47" s="14">
        <f t="shared" si="23"/>
        <v>0</v>
      </c>
      <c r="O47" s="14">
        <f t="shared" si="23"/>
        <v>0</v>
      </c>
      <c r="P47" s="14">
        <f t="shared" si="23"/>
        <v>0</v>
      </c>
      <c r="Q47" s="14">
        <f t="shared" si="23"/>
        <v>0</v>
      </c>
      <c r="R47" s="14">
        <f t="shared" si="23"/>
        <v>0</v>
      </c>
      <c r="S47" s="14">
        <f t="shared" si="23"/>
        <v>0</v>
      </c>
      <c r="T47" s="9">
        <f t="shared" si="0"/>
        <v>0</v>
      </c>
      <c r="U47" s="14">
        <f t="shared" ref="U47:AJ47" si="24">SUM(U43:U46)</f>
        <v>0</v>
      </c>
      <c r="V47" s="14">
        <f t="shared" si="24"/>
        <v>0</v>
      </c>
      <c r="W47" s="14">
        <f t="shared" si="24"/>
        <v>0</v>
      </c>
      <c r="X47" s="14">
        <f t="shared" si="24"/>
        <v>0</v>
      </c>
      <c r="Y47" s="14">
        <f t="shared" si="24"/>
        <v>0</v>
      </c>
      <c r="Z47" s="14">
        <f t="shared" si="24"/>
        <v>0</v>
      </c>
      <c r="AA47" s="14">
        <f t="shared" si="24"/>
        <v>0</v>
      </c>
      <c r="AB47" s="14">
        <f t="shared" si="24"/>
        <v>0</v>
      </c>
      <c r="AC47" s="14">
        <f t="shared" si="24"/>
        <v>0</v>
      </c>
      <c r="AD47" s="14">
        <f t="shared" si="24"/>
        <v>0</v>
      </c>
      <c r="AE47" s="14">
        <f t="shared" si="24"/>
        <v>0</v>
      </c>
      <c r="AF47" s="14">
        <f t="shared" si="24"/>
        <v>0</v>
      </c>
      <c r="AG47" s="14">
        <f t="shared" si="24"/>
        <v>0</v>
      </c>
      <c r="AH47" s="14">
        <f t="shared" si="24"/>
        <v>0</v>
      </c>
      <c r="AI47" s="14">
        <f t="shared" si="24"/>
        <v>0</v>
      </c>
      <c r="AJ47" s="14">
        <f t="shared" si="24"/>
        <v>0</v>
      </c>
      <c r="AK47" s="17">
        <f t="shared" si="1"/>
        <v>0</v>
      </c>
      <c r="AL47" s="10">
        <f t="shared" si="2"/>
        <v>0</v>
      </c>
    </row>
    <row r="48" spans="1:38" x14ac:dyDescent="0.25">
      <c r="A48" s="12" t="s">
        <v>99</v>
      </c>
      <c r="B48" s="13" t="s">
        <v>100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9">
        <f t="shared" si="0"/>
        <v>0</v>
      </c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17">
        <f t="shared" si="1"/>
        <v>0</v>
      </c>
      <c r="AL48" s="10">
        <f t="shared" si="2"/>
        <v>0</v>
      </c>
    </row>
    <row r="49" spans="1:38" x14ac:dyDescent="0.25">
      <c r="A49" s="12" t="s">
        <v>101</v>
      </c>
      <c r="B49" s="13" t="s">
        <v>102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9">
        <f t="shared" si="0"/>
        <v>0</v>
      </c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17">
        <f t="shared" si="1"/>
        <v>0</v>
      </c>
      <c r="AL49" s="10">
        <f t="shared" si="2"/>
        <v>0</v>
      </c>
    </row>
    <row r="50" spans="1:38" x14ac:dyDescent="0.25">
      <c r="A50" s="12" t="s">
        <v>103</v>
      </c>
      <c r="B50" s="13" t="s">
        <v>104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9">
        <f t="shared" si="0"/>
        <v>0</v>
      </c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17">
        <f t="shared" si="1"/>
        <v>0</v>
      </c>
      <c r="AL50" s="10">
        <f t="shared" si="2"/>
        <v>0</v>
      </c>
    </row>
    <row r="51" spans="1:38" x14ac:dyDescent="0.25">
      <c r="A51" s="12" t="s">
        <v>105</v>
      </c>
      <c r="B51" s="13" t="s">
        <v>106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9">
        <f t="shared" si="0"/>
        <v>0</v>
      </c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17">
        <f t="shared" si="1"/>
        <v>0</v>
      </c>
      <c r="AL51" s="10">
        <f t="shared" si="2"/>
        <v>0</v>
      </c>
    </row>
    <row r="52" spans="1:38" s="3" customFormat="1" ht="14.45" customHeight="1" x14ac:dyDescent="0.2">
      <c r="A52" s="25" t="s">
        <v>107</v>
      </c>
      <c r="B52" s="25"/>
      <c r="C52" s="14">
        <f t="shared" ref="C52:S52" si="25">SUM(C48:C51)</f>
        <v>0</v>
      </c>
      <c r="D52" s="14">
        <f t="shared" si="25"/>
        <v>0</v>
      </c>
      <c r="E52" s="14">
        <f t="shared" si="25"/>
        <v>0</v>
      </c>
      <c r="F52" s="14">
        <f t="shared" si="25"/>
        <v>0</v>
      </c>
      <c r="G52" s="14">
        <f t="shared" si="25"/>
        <v>0</v>
      </c>
      <c r="H52" s="14">
        <f t="shared" si="25"/>
        <v>0</v>
      </c>
      <c r="I52" s="14">
        <f t="shared" si="25"/>
        <v>0</v>
      </c>
      <c r="J52" s="14">
        <f t="shared" si="25"/>
        <v>0</v>
      </c>
      <c r="K52" s="14">
        <f t="shared" si="25"/>
        <v>0</v>
      </c>
      <c r="L52" s="14">
        <f t="shared" si="25"/>
        <v>0</v>
      </c>
      <c r="M52" s="14">
        <f t="shared" si="25"/>
        <v>0</v>
      </c>
      <c r="N52" s="14">
        <f t="shared" si="25"/>
        <v>0</v>
      </c>
      <c r="O52" s="14">
        <f t="shared" si="25"/>
        <v>0</v>
      </c>
      <c r="P52" s="14">
        <f t="shared" si="25"/>
        <v>0</v>
      </c>
      <c r="Q52" s="14">
        <f t="shared" si="25"/>
        <v>0</v>
      </c>
      <c r="R52" s="14">
        <f t="shared" si="25"/>
        <v>0</v>
      </c>
      <c r="S52" s="14">
        <f t="shared" si="25"/>
        <v>0</v>
      </c>
      <c r="T52" s="9">
        <f t="shared" si="0"/>
        <v>0</v>
      </c>
      <c r="U52" s="14">
        <f t="shared" ref="U52:AJ52" si="26">SUM(U48:U51)</f>
        <v>0</v>
      </c>
      <c r="V52" s="14">
        <f t="shared" si="26"/>
        <v>0</v>
      </c>
      <c r="W52" s="14">
        <f t="shared" si="26"/>
        <v>0</v>
      </c>
      <c r="X52" s="14">
        <f t="shared" si="26"/>
        <v>0</v>
      </c>
      <c r="Y52" s="14">
        <f t="shared" si="26"/>
        <v>0</v>
      </c>
      <c r="Z52" s="14">
        <f t="shared" si="26"/>
        <v>0</v>
      </c>
      <c r="AA52" s="14">
        <f t="shared" si="26"/>
        <v>0</v>
      </c>
      <c r="AB52" s="14">
        <f t="shared" si="26"/>
        <v>0</v>
      </c>
      <c r="AC52" s="14">
        <f t="shared" si="26"/>
        <v>0</v>
      </c>
      <c r="AD52" s="14">
        <f t="shared" si="26"/>
        <v>0</v>
      </c>
      <c r="AE52" s="14">
        <f t="shared" si="26"/>
        <v>0</v>
      </c>
      <c r="AF52" s="14">
        <f t="shared" si="26"/>
        <v>0</v>
      </c>
      <c r="AG52" s="14">
        <f t="shared" si="26"/>
        <v>0</v>
      </c>
      <c r="AH52" s="14">
        <f t="shared" si="26"/>
        <v>0</v>
      </c>
      <c r="AI52" s="14">
        <f t="shared" si="26"/>
        <v>0</v>
      </c>
      <c r="AJ52" s="14">
        <f t="shared" si="26"/>
        <v>0</v>
      </c>
      <c r="AK52" s="17">
        <f t="shared" si="1"/>
        <v>0</v>
      </c>
      <c r="AL52" s="10">
        <f t="shared" si="2"/>
        <v>0</v>
      </c>
    </row>
    <row r="53" spans="1:38" x14ac:dyDescent="0.25">
      <c r="A53" s="12" t="s">
        <v>108</v>
      </c>
      <c r="B53" s="13" t="s">
        <v>109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9">
        <f t="shared" si="0"/>
        <v>0</v>
      </c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17">
        <f t="shared" si="1"/>
        <v>0</v>
      </c>
      <c r="AL53" s="10">
        <f t="shared" si="2"/>
        <v>0</v>
      </c>
    </row>
    <row r="54" spans="1:38" x14ac:dyDescent="0.25">
      <c r="A54" s="12" t="s">
        <v>110</v>
      </c>
      <c r="B54" s="13" t="s">
        <v>111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9">
        <f t="shared" si="0"/>
        <v>0</v>
      </c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17">
        <f t="shared" si="1"/>
        <v>0</v>
      </c>
      <c r="AL54" s="10">
        <f t="shared" si="2"/>
        <v>0</v>
      </c>
    </row>
    <row r="55" spans="1:38" s="3" customFormat="1" ht="14.45" customHeight="1" x14ac:dyDescent="0.2">
      <c r="A55" s="25" t="s">
        <v>112</v>
      </c>
      <c r="B55" s="25"/>
      <c r="C55" s="14">
        <f t="shared" ref="C55:S55" si="27">SUM(C53:C54)</f>
        <v>0</v>
      </c>
      <c r="D55" s="14">
        <f t="shared" si="27"/>
        <v>0</v>
      </c>
      <c r="E55" s="14">
        <f t="shared" si="27"/>
        <v>0</v>
      </c>
      <c r="F55" s="14">
        <f t="shared" si="27"/>
        <v>0</v>
      </c>
      <c r="G55" s="14">
        <f t="shared" si="27"/>
        <v>0</v>
      </c>
      <c r="H55" s="14">
        <f t="shared" si="27"/>
        <v>0</v>
      </c>
      <c r="I55" s="14">
        <f t="shared" si="27"/>
        <v>0</v>
      </c>
      <c r="J55" s="14">
        <f t="shared" si="27"/>
        <v>0</v>
      </c>
      <c r="K55" s="14">
        <f t="shared" si="27"/>
        <v>0</v>
      </c>
      <c r="L55" s="14">
        <f t="shared" si="27"/>
        <v>0</v>
      </c>
      <c r="M55" s="14">
        <f t="shared" si="27"/>
        <v>0</v>
      </c>
      <c r="N55" s="14">
        <f t="shared" si="27"/>
        <v>0</v>
      </c>
      <c r="O55" s="14">
        <f t="shared" si="27"/>
        <v>0</v>
      </c>
      <c r="P55" s="14">
        <f t="shared" si="27"/>
        <v>0</v>
      </c>
      <c r="Q55" s="14">
        <f t="shared" si="27"/>
        <v>0</v>
      </c>
      <c r="R55" s="14">
        <f t="shared" si="27"/>
        <v>0</v>
      </c>
      <c r="S55" s="14">
        <f t="shared" si="27"/>
        <v>0</v>
      </c>
      <c r="T55" s="9">
        <f t="shared" si="0"/>
        <v>0</v>
      </c>
      <c r="U55" s="14">
        <f t="shared" ref="U55:AJ55" si="28">SUM(U53:U54)</f>
        <v>0</v>
      </c>
      <c r="V55" s="14">
        <f t="shared" si="28"/>
        <v>0</v>
      </c>
      <c r="W55" s="14">
        <f t="shared" si="28"/>
        <v>0</v>
      </c>
      <c r="X55" s="14">
        <f t="shared" si="28"/>
        <v>0</v>
      </c>
      <c r="Y55" s="14">
        <f t="shared" si="28"/>
        <v>0</v>
      </c>
      <c r="Z55" s="14">
        <f t="shared" si="28"/>
        <v>0</v>
      </c>
      <c r="AA55" s="14">
        <f t="shared" si="28"/>
        <v>0</v>
      </c>
      <c r="AB55" s="14">
        <f t="shared" si="28"/>
        <v>0</v>
      </c>
      <c r="AC55" s="14">
        <f t="shared" si="28"/>
        <v>0</v>
      </c>
      <c r="AD55" s="14">
        <f t="shared" si="28"/>
        <v>0</v>
      </c>
      <c r="AE55" s="14">
        <f t="shared" si="28"/>
        <v>0</v>
      </c>
      <c r="AF55" s="14">
        <f t="shared" si="28"/>
        <v>0</v>
      </c>
      <c r="AG55" s="14">
        <f t="shared" si="28"/>
        <v>0</v>
      </c>
      <c r="AH55" s="14">
        <f t="shared" si="28"/>
        <v>0</v>
      </c>
      <c r="AI55" s="14">
        <f t="shared" si="28"/>
        <v>0</v>
      </c>
      <c r="AJ55" s="14">
        <f t="shared" si="28"/>
        <v>0</v>
      </c>
      <c r="AK55" s="17">
        <f t="shared" si="1"/>
        <v>0</v>
      </c>
      <c r="AL55" s="10">
        <f t="shared" si="2"/>
        <v>0</v>
      </c>
    </row>
    <row r="56" spans="1:38" s="3" customFormat="1" ht="14.45" customHeight="1" x14ac:dyDescent="0.2">
      <c r="A56" s="24" t="s">
        <v>113</v>
      </c>
      <c r="B56" s="24"/>
      <c r="C56" s="15">
        <f>SUM(C55,C52,C47,C42)</f>
        <v>0</v>
      </c>
      <c r="D56" s="15">
        <f t="shared" ref="D56:S56" si="29">SUM(D55,D52,D47,D42)</f>
        <v>0</v>
      </c>
      <c r="E56" s="15">
        <f t="shared" si="29"/>
        <v>0</v>
      </c>
      <c r="F56" s="15">
        <f t="shared" si="29"/>
        <v>0</v>
      </c>
      <c r="G56" s="15">
        <f t="shared" si="29"/>
        <v>0</v>
      </c>
      <c r="H56" s="15">
        <f t="shared" si="29"/>
        <v>0</v>
      </c>
      <c r="I56" s="15">
        <f t="shared" si="29"/>
        <v>0</v>
      </c>
      <c r="J56" s="15">
        <f t="shared" si="29"/>
        <v>0</v>
      </c>
      <c r="K56" s="15">
        <f t="shared" si="29"/>
        <v>0</v>
      </c>
      <c r="L56" s="15">
        <f t="shared" si="29"/>
        <v>0</v>
      </c>
      <c r="M56" s="15">
        <f t="shared" si="29"/>
        <v>0</v>
      </c>
      <c r="N56" s="15">
        <f t="shared" si="29"/>
        <v>0</v>
      </c>
      <c r="O56" s="15">
        <f t="shared" si="29"/>
        <v>0</v>
      </c>
      <c r="P56" s="15">
        <f t="shared" si="29"/>
        <v>0</v>
      </c>
      <c r="Q56" s="15">
        <f t="shared" si="29"/>
        <v>0</v>
      </c>
      <c r="R56" s="15">
        <f t="shared" si="29"/>
        <v>0</v>
      </c>
      <c r="S56" s="15">
        <f t="shared" si="29"/>
        <v>0</v>
      </c>
      <c r="T56" s="18">
        <f t="shared" si="0"/>
        <v>0</v>
      </c>
      <c r="U56" s="15">
        <f t="shared" ref="U56:AJ56" si="30">SUM(U55,U52,U47,U42)</f>
        <v>0</v>
      </c>
      <c r="V56" s="15">
        <f t="shared" si="30"/>
        <v>0</v>
      </c>
      <c r="W56" s="15">
        <f t="shared" si="30"/>
        <v>0</v>
      </c>
      <c r="X56" s="15">
        <f t="shared" si="30"/>
        <v>0</v>
      </c>
      <c r="Y56" s="15">
        <f t="shared" si="30"/>
        <v>0</v>
      </c>
      <c r="Z56" s="15">
        <f t="shared" si="30"/>
        <v>0</v>
      </c>
      <c r="AA56" s="15">
        <f t="shared" si="30"/>
        <v>0</v>
      </c>
      <c r="AB56" s="15">
        <f t="shared" si="30"/>
        <v>0</v>
      </c>
      <c r="AC56" s="15">
        <f t="shared" si="30"/>
        <v>0</v>
      </c>
      <c r="AD56" s="15">
        <f t="shared" si="30"/>
        <v>0</v>
      </c>
      <c r="AE56" s="15">
        <f t="shared" si="30"/>
        <v>0</v>
      </c>
      <c r="AF56" s="15">
        <f t="shared" si="30"/>
        <v>0</v>
      </c>
      <c r="AG56" s="15">
        <f t="shared" si="30"/>
        <v>0</v>
      </c>
      <c r="AH56" s="15">
        <f t="shared" si="30"/>
        <v>0</v>
      </c>
      <c r="AI56" s="15">
        <f t="shared" si="30"/>
        <v>0</v>
      </c>
      <c r="AJ56" s="15">
        <f t="shared" si="30"/>
        <v>0</v>
      </c>
      <c r="AK56" s="17">
        <f t="shared" si="1"/>
        <v>0</v>
      </c>
      <c r="AL56" s="10">
        <f t="shared" si="2"/>
        <v>0</v>
      </c>
    </row>
    <row r="57" spans="1:38" s="3" customFormat="1" ht="14.95" customHeight="1" x14ac:dyDescent="0.2">
      <c r="A57" s="26" t="s">
        <v>114</v>
      </c>
      <c r="B57" s="26"/>
      <c r="C57" s="16">
        <f>SUM(C56,C37,C23)</f>
        <v>0</v>
      </c>
      <c r="D57" s="16">
        <f t="shared" ref="D57:S57" si="31">SUM(D56,D37,D23)</f>
        <v>0</v>
      </c>
      <c r="E57" s="16">
        <f t="shared" si="31"/>
        <v>0</v>
      </c>
      <c r="F57" s="16">
        <f t="shared" si="31"/>
        <v>0</v>
      </c>
      <c r="G57" s="16">
        <f t="shared" si="31"/>
        <v>0</v>
      </c>
      <c r="H57" s="16">
        <f t="shared" si="31"/>
        <v>0</v>
      </c>
      <c r="I57" s="16">
        <f t="shared" si="31"/>
        <v>0</v>
      </c>
      <c r="J57" s="16">
        <f t="shared" si="31"/>
        <v>0</v>
      </c>
      <c r="K57" s="16">
        <f t="shared" si="31"/>
        <v>0</v>
      </c>
      <c r="L57" s="16">
        <f t="shared" si="31"/>
        <v>0</v>
      </c>
      <c r="M57" s="16">
        <f t="shared" si="31"/>
        <v>0</v>
      </c>
      <c r="N57" s="16">
        <f t="shared" si="31"/>
        <v>0</v>
      </c>
      <c r="O57" s="16">
        <f t="shared" si="31"/>
        <v>0</v>
      </c>
      <c r="P57" s="16">
        <f t="shared" si="31"/>
        <v>0</v>
      </c>
      <c r="Q57" s="16">
        <f t="shared" si="31"/>
        <v>0</v>
      </c>
      <c r="R57" s="16">
        <f t="shared" si="31"/>
        <v>0</v>
      </c>
      <c r="S57" s="16">
        <f t="shared" si="31"/>
        <v>0</v>
      </c>
      <c r="T57" s="18">
        <f t="shared" si="0"/>
        <v>0</v>
      </c>
      <c r="U57" s="16">
        <f t="shared" ref="U57:AJ57" si="32">SUM(U56,U37,U23)</f>
        <v>0</v>
      </c>
      <c r="V57" s="16">
        <f t="shared" si="32"/>
        <v>0</v>
      </c>
      <c r="W57" s="16">
        <f t="shared" si="32"/>
        <v>0</v>
      </c>
      <c r="X57" s="16">
        <f t="shared" si="32"/>
        <v>0</v>
      </c>
      <c r="Y57" s="16">
        <f t="shared" si="32"/>
        <v>0</v>
      </c>
      <c r="Z57" s="16">
        <f t="shared" si="32"/>
        <v>0</v>
      </c>
      <c r="AA57" s="16">
        <f t="shared" si="32"/>
        <v>0</v>
      </c>
      <c r="AB57" s="16">
        <f t="shared" si="32"/>
        <v>0</v>
      </c>
      <c r="AC57" s="16">
        <f t="shared" si="32"/>
        <v>0</v>
      </c>
      <c r="AD57" s="16">
        <f t="shared" si="32"/>
        <v>0</v>
      </c>
      <c r="AE57" s="16">
        <f t="shared" si="32"/>
        <v>0</v>
      </c>
      <c r="AF57" s="16">
        <f t="shared" si="32"/>
        <v>0</v>
      </c>
      <c r="AG57" s="16">
        <f t="shared" si="32"/>
        <v>0</v>
      </c>
      <c r="AH57" s="16">
        <f t="shared" si="32"/>
        <v>0</v>
      </c>
      <c r="AI57" s="16">
        <f t="shared" si="32"/>
        <v>0</v>
      </c>
      <c r="AJ57" s="16">
        <f t="shared" si="32"/>
        <v>0</v>
      </c>
      <c r="AK57" s="17">
        <f t="shared" si="1"/>
        <v>0</v>
      </c>
      <c r="AL57" s="10">
        <f t="shared" si="2"/>
        <v>0</v>
      </c>
    </row>
  </sheetData>
  <mergeCells count="38">
    <mergeCell ref="A52:B52"/>
    <mergeCell ref="A55:B55"/>
    <mergeCell ref="A56:B56"/>
    <mergeCell ref="A57:B57"/>
    <mergeCell ref="A27:B27"/>
    <mergeCell ref="A32:B32"/>
    <mergeCell ref="A36:B36"/>
    <mergeCell ref="A37:B37"/>
    <mergeCell ref="A42:B42"/>
    <mergeCell ref="A47:B47"/>
    <mergeCell ref="AK3:AK5"/>
    <mergeCell ref="A10:B10"/>
    <mergeCell ref="A14:B14"/>
    <mergeCell ref="A17:B17"/>
    <mergeCell ref="A22:B22"/>
    <mergeCell ref="A23:B23"/>
    <mergeCell ref="Z3:AA4"/>
    <mergeCell ref="AB3:AC4"/>
    <mergeCell ref="AD3:AE4"/>
    <mergeCell ref="AF3:AG4"/>
    <mergeCell ref="AH3:AH4"/>
    <mergeCell ref="AI3:AJ4"/>
    <mergeCell ref="P3:P4"/>
    <mergeCell ref="Q3:R4"/>
    <mergeCell ref="S3:S5"/>
    <mergeCell ref="T3:T5"/>
    <mergeCell ref="V3:W4"/>
    <mergeCell ref="X3:Y4"/>
    <mergeCell ref="A1:AL1"/>
    <mergeCell ref="C2:T2"/>
    <mergeCell ref="U2:AK2"/>
    <mergeCell ref="AL2:AL5"/>
    <mergeCell ref="D3:E4"/>
    <mergeCell ref="F3:G4"/>
    <mergeCell ref="H3:I4"/>
    <mergeCell ref="J3:K4"/>
    <mergeCell ref="L3:M4"/>
    <mergeCell ref="N3:O4"/>
  </mergeCells>
  <printOptions horizontalCentered="1"/>
  <pageMargins left="0" right="0" top="0" bottom="0" header="0" footer="0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2.0WP - Cen</vt:lpstr>
      <vt:lpstr>2.0WP - State</vt:lpstr>
      <vt:lpstr>SL - Cen</vt:lpstr>
      <vt:lpstr>SL - State</vt:lpstr>
      <vt:lpstr>'2.0WP - Cen'!Print_Area</vt:lpstr>
      <vt:lpstr>'2.0WP - State'!Print_Area</vt:lpstr>
      <vt:lpstr>'SL - Cen'!Print_Area</vt:lpstr>
      <vt:lpstr>'SL - State'!Print_Area</vt:lpstr>
      <vt:lpstr>'2.0WP - Cen'!Print_Titles</vt:lpstr>
      <vt:lpstr>'2.0WP - State'!Print_Titles</vt:lpstr>
      <vt:lpstr>'SL - Cen'!Print_Titles</vt:lpstr>
      <vt:lpstr>'SL - State'!Print_Titles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2026-08-26T12:20:17Z</dcterms:modified>
</cp:coreProperties>
</file>
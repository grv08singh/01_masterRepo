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E8EFC95F-C936-40B6-841E-EF7A6ACE8994}" xr6:coauthVersionLast="47" xr6:coauthVersionMax="47" xr10:uidLastSave="{00000000-0000-0000-0000-000000000000}"/>
  <bookViews>
    <workbookView xWindow="-108" yWindow="-108" windowWidth="23256" windowHeight="12456" tabRatio="742" activeTab="2" xr2:uid="{00000000-000D-0000-FFFF-FFFF00000000}"/>
  </bookViews>
  <sheets>
    <sheet name="Dist-wise" sheetId="25" r:id="rId1"/>
    <sheet name="GCES" sheetId="15" r:id="rId2"/>
    <sheet name="2.0WS" sheetId="2" r:id="rId3"/>
    <sheet name="2.0WP" sheetId="26" r:id="rId4"/>
    <sheet name="KH_COTT" sheetId="23" r:id="rId5"/>
    <sheet name="RB_COTT" sheetId="24" r:id="rId6"/>
  </sheets>
  <definedNames>
    <definedName name="_xlnm._FilterDatabase" localSheetId="3" hidden="1">'2.0WP'!$A$5:$T$57</definedName>
    <definedName name="_xlnm._FilterDatabase" localSheetId="2" hidden="1">'2.0WS'!$A$5:$BB$57</definedName>
    <definedName name="_xlnm.Print_Area" localSheetId="3">'2.0WP'!$A$1:$AL$57</definedName>
    <definedName name="_xlnm.Print_Area" localSheetId="2">'2.0WS'!$A$1:$CZ$57</definedName>
    <definedName name="_xlnm.Print_Area" localSheetId="1">GCES!$A$1:$AZ$42</definedName>
    <definedName name="_xlnm.Print_Area" localSheetId="4">KH_COTT!$A$1:$F$29</definedName>
    <definedName name="_xlnm.Print_Area" localSheetId="5">RB_COTT!$A$1:$F$26</definedName>
    <definedName name="_xlnm.Print_Titles" localSheetId="3">'2.0WP'!$A:$B</definedName>
    <definedName name="_xlnm.Print_Titles" localSheetId="2">'2.0WS'!$A:$B</definedName>
    <definedName name="_xlnm.Print_Titles" localSheetId="1">GCES!$A:$B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C19" i="2"/>
  <c r="D21" i="24"/>
  <c r="D22" i="24"/>
  <c r="D23" i="24"/>
  <c r="D24" i="24"/>
  <c r="D25" i="24"/>
  <c r="D10" i="24"/>
  <c r="D11" i="24"/>
  <c r="D12" i="24"/>
  <c r="D13" i="24"/>
  <c r="D14" i="24"/>
  <c r="D28" i="23"/>
  <c r="D26" i="23"/>
  <c r="D27" i="23"/>
  <c r="D18" i="23"/>
  <c r="D19" i="23"/>
  <c r="D15" i="23"/>
  <c r="D16" i="23"/>
  <c r="D17" i="23"/>
  <c r="AL29" i="26"/>
  <c r="AK57" i="26"/>
  <c r="AK56" i="26"/>
  <c r="AK55" i="26"/>
  <c r="AK54" i="26"/>
  <c r="AK53" i="26"/>
  <c r="AK52" i="26"/>
  <c r="AK51" i="26"/>
  <c r="AK50" i="26"/>
  <c r="AK49" i="26"/>
  <c r="AK48" i="26"/>
  <c r="AK47" i="26"/>
  <c r="AK46" i="26"/>
  <c r="AK45" i="26"/>
  <c r="AK44" i="26"/>
  <c r="AK43" i="26"/>
  <c r="AK42" i="26"/>
  <c r="AK41" i="26"/>
  <c r="AK40" i="26"/>
  <c r="AK39" i="26"/>
  <c r="AK38" i="26"/>
  <c r="AK37" i="26"/>
  <c r="AK36" i="26"/>
  <c r="AK35" i="26"/>
  <c r="AK34" i="26"/>
  <c r="AK33" i="26"/>
  <c r="AK32" i="26"/>
  <c r="AK31" i="26"/>
  <c r="AK30" i="26"/>
  <c r="AK29" i="26"/>
  <c r="AK28" i="26"/>
  <c r="AK27" i="26"/>
  <c r="AK26" i="26"/>
  <c r="AK25" i="26"/>
  <c r="AK24" i="26"/>
  <c r="AK23" i="26"/>
  <c r="AK22" i="26"/>
  <c r="AK21" i="26"/>
  <c r="AK20" i="26"/>
  <c r="AK19" i="26"/>
  <c r="AK18" i="26"/>
  <c r="AK17" i="26"/>
  <c r="AK16" i="26"/>
  <c r="AK15" i="26"/>
  <c r="AK14" i="26"/>
  <c r="AK13" i="26"/>
  <c r="AK12" i="26"/>
  <c r="AK11" i="26"/>
  <c r="AK10" i="26"/>
  <c r="AK9" i="26"/>
  <c r="AK8" i="26"/>
  <c r="AK7" i="26"/>
  <c r="AK6" i="26"/>
  <c r="T29" i="26"/>
  <c r="AJ57" i="26"/>
  <c r="AI57" i="26"/>
  <c r="AH57" i="26"/>
  <c r="AG57" i="26"/>
  <c r="AF57" i="26"/>
  <c r="AE57" i="26"/>
  <c r="AD57" i="26"/>
  <c r="AC57" i="26"/>
  <c r="AB57" i="26"/>
  <c r="AA57" i="26"/>
  <c r="Z57" i="26"/>
  <c r="Y57" i="26"/>
  <c r="X57" i="26"/>
  <c r="W57" i="26"/>
  <c r="V57" i="26"/>
  <c r="U57" i="26"/>
  <c r="S57" i="26"/>
  <c r="R57" i="26"/>
  <c r="Q57" i="26"/>
  <c r="P57" i="26"/>
  <c r="O57" i="26"/>
  <c r="N57" i="26"/>
  <c r="M57" i="26"/>
  <c r="L57" i="26"/>
  <c r="K57" i="26"/>
  <c r="J57" i="26"/>
  <c r="I57" i="26"/>
  <c r="H57" i="26"/>
  <c r="G57" i="26"/>
  <c r="F57" i="26"/>
  <c r="E57" i="26"/>
  <c r="D57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AJ37" i="26"/>
  <c r="AI37" i="26"/>
  <c r="AH37" i="26"/>
  <c r="AG37" i="26"/>
  <c r="AF37" i="26"/>
  <c r="AE37" i="26"/>
  <c r="AD37" i="26"/>
  <c r="AC37" i="26"/>
  <c r="AB37" i="26"/>
  <c r="AA37" i="26"/>
  <c r="Z37" i="26"/>
  <c r="Y37" i="26"/>
  <c r="X37" i="26"/>
  <c r="W37" i="26"/>
  <c r="V37" i="26"/>
  <c r="U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AJ36" i="26"/>
  <c r="AI36" i="26"/>
  <c r="AH36" i="26"/>
  <c r="AG36" i="26"/>
  <c r="AF36" i="26"/>
  <c r="AE36" i="26"/>
  <c r="AD36" i="26"/>
  <c r="AC36" i="26"/>
  <c r="AB36" i="26"/>
  <c r="AA36" i="26"/>
  <c r="Z36" i="26"/>
  <c r="Y36" i="26"/>
  <c r="X36" i="26"/>
  <c r="W36" i="26"/>
  <c r="V36" i="26"/>
  <c r="U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AJ14" i="26"/>
  <c r="AI14" i="26"/>
  <c r="AH14" i="26"/>
  <c r="AG14" i="26"/>
  <c r="AF14" i="26"/>
  <c r="AE14" i="26"/>
  <c r="AD14" i="26"/>
  <c r="AC14" i="26"/>
  <c r="AB14" i="26"/>
  <c r="AA14" i="26"/>
  <c r="Z14" i="26"/>
  <c r="Y14" i="26"/>
  <c r="X14" i="26"/>
  <c r="W14" i="26"/>
  <c r="V14" i="26"/>
  <c r="U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E14" i="26"/>
  <c r="D14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AJ47" i="26"/>
  <c r="AI47" i="26"/>
  <c r="AH47" i="26"/>
  <c r="AG47" i="26"/>
  <c r="AF47" i="26"/>
  <c r="AE47" i="26"/>
  <c r="AD47" i="26"/>
  <c r="AC47" i="26"/>
  <c r="AB47" i="26"/>
  <c r="AA47" i="26"/>
  <c r="Z47" i="26"/>
  <c r="Y47" i="26"/>
  <c r="X47" i="26"/>
  <c r="W47" i="26"/>
  <c r="V47" i="26"/>
  <c r="U47" i="26"/>
  <c r="S47" i="26"/>
  <c r="R47" i="26"/>
  <c r="Q47" i="26"/>
  <c r="P47" i="26"/>
  <c r="O47" i="26"/>
  <c r="N47" i="26"/>
  <c r="M47" i="26"/>
  <c r="L47" i="26"/>
  <c r="K47" i="26"/>
  <c r="J47" i="26"/>
  <c r="I47" i="26"/>
  <c r="H47" i="26"/>
  <c r="G47" i="26"/>
  <c r="F47" i="26"/>
  <c r="E47" i="26"/>
  <c r="D47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AJ10" i="26"/>
  <c r="AI10" i="26"/>
  <c r="AH10" i="26"/>
  <c r="AG10" i="26"/>
  <c r="AF10" i="26"/>
  <c r="AE10" i="26"/>
  <c r="AD10" i="26"/>
  <c r="AC10" i="26"/>
  <c r="AB10" i="26"/>
  <c r="AA10" i="26"/>
  <c r="Z10" i="26"/>
  <c r="Y10" i="26"/>
  <c r="X10" i="26"/>
  <c r="W10" i="26"/>
  <c r="V10" i="26"/>
  <c r="U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T35" i="2"/>
  <c r="CV54" i="2" l="1"/>
  <c r="CX54" i="2" s="1"/>
  <c r="CS54" i="2"/>
  <c r="CP54" i="2"/>
  <c r="CR54" i="2" s="1"/>
  <c r="CM54" i="2"/>
  <c r="CO54" i="2" s="1"/>
  <c r="CJ54" i="2"/>
  <c r="CI54" i="2"/>
  <c r="CG54" i="2"/>
  <c r="CH54" i="2" s="1"/>
  <c r="CD54" i="2"/>
  <c r="CA54" i="2"/>
  <c r="CC54" i="2" s="1"/>
  <c r="BX54" i="2"/>
  <c r="BZ54" i="2" s="1"/>
  <c r="BU54" i="2"/>
  <c r="BW54" i="2" s="1"/>
  <c r="BR54" i="2"/>
  <c r="BQ54" i="2"/>
  <c r="BP54" i="2"/>
  <c r="BO54" i="2"/>
  <c r="BL54" i="2"/>
  <c r="BI54" i="2"/>
  <c r="BK54" i="2" s="1"/>
  <c r="BF54" i="2"/>
  <c r="BE54" i="2"/>
  <c r="BC54" i="2"/>
  <c r="BD54" i="2" s="1"/>
  <c r="BA54" i="2"/>
  <c r="AZ54" i="2"/>
  <c r="AY54" i="2"/>
  <c r="AV54" i="2"/>
  <c r="AX54" i="2" s="1"/>
  <c r="AS54" i="2"/>
  <c r="AU54" i="2" s="1"/>
  <c r="AP54" i="2"/>
  <c r="AR54" i="2" s="1"/>
  <c r="AO54" i="2"/>
  <c r="AM54" i="2"/>
  <c r="AN54" i="2" s="1"/>
  <c r="AJ54" i="2"/>
  <c r="AL54" i="2" s="1"/>
  <c r="AG54" i="2"/>
  <c r="AI54" i="2" s="1"/>
  <c r="AE54" i="2"/>
  <c r="AD54" i="2"/>
  <c r="AF54" i="2" s="1"/>
  <c r="L54" i="26" s="1"/>
  <c r="AA54" i="2"/>
  <c r="AC54" i="2" s="1"/>
  <c r="Y54" i="2"/>
  <c r="X54" i="2"/>
  <c r="Z54" i="2" s="1"/>
  <c r="W54" i="2"/>
  <c r="U54" i="2"/>
  <c r="V54" i="2" s="1"/>
  <c r="T54" i="2"/>
  <c r="R54" i="2"/>
  <c r="S54" i="2" s="1"/>
  <c r="O54" i="2"/>
  <c r="Q54" i="2" s="1"/>
  <c r="M54" i="2"/>
  <c r="L54" i="2"/>
  <c r="N54" i="2" s="1"/>
  <c r="I54" i="2"/>
  <c r="F54" i="2"/>
  <c r="E54" i="2"/>
  <c r="D54" i="2"/>
  <c r="C54" i="2"/>
  <c r="CV53" i="2"/>
  <c r="CS53" i="2"/>
  <c r="CP53" i="2"/>
  <c r="CR53" i="2" s="1"/>
  <c r="CO53" i="2"/>
  <c r="CM53" i="2"/>
  <c r="CN53" i="2" s="1"/>
  <c r="CJ53" i="2"/>
  <c r="CG53" i="2"/>
  <c r="CI53" i="2" s="1"/>
  <c r="CD53" i="2"/>
  <c r="CA53" i="2"/>
  <c r="CC53" i="2" s="1"/>
  <c r="BX53" i="2"/>
  <c r="BW53" i="2"/>
  <c r="BU53" i="2"/>
  <c r="BV53" i="2" s="1"/>
  <c r="BT53" i="2"/>
  <c r="BR53" i="2"/>
  <c r="BS53" i="2" s="1"/>
  <c r="BO53" i="2"/>
  <c r="BQ53" i="2" s="1"/>
  <c r="BL53" i="2"/>
  <c r="BI53" i="2"/>
  <c r="BK53" i="2" s="1"/>
  <c r="W53" i="26" s="1"/>
  <c r="BF53" i="2"/>
  <c r="BC53" i="2"/>
  <c r="AY53" i="2"/>
  <c r="AW53" i="2"/>
  <c r="AV53" i="2"/>
  <c r="AX53" i="2" s="1"/>
  <c r="AS53" i="2"/>
  <c r="AR53" i="2"/>
  <c r="AQ53" i="2"/>
  <c r="AP53" i="2"/>
  <c r="AO53" i="2"/>
  <c r="AN53" i="2"/>
  <c r="AM53" i="2"/>
  <c r="AJ53" i="2"/>
  <c r="AG53" i="2"/>
  <c r="AI53" i="2" s="1"/>
  <c r="AD53" i="2"/>
  <c r="AC53" i="2"/>
  <c r="K53" i="26" s="1"/>
  <c r="AA53" i="2"/>
  <c r="AB53" i="2" s="1"/>
  <c r="X53" i="2"/>
  <c r="U53" i="2"/>
  <c r="W53" i="2" s="1"/>
  <c r="S53" i="2"/>
  <c r="R53" i="2"/>
  <c r="T53" i="2" s="1"/>
  <c r="Q53" i="2"/>
  <c r="O53" i="2"/>
  <c r="P53" i="2" s="1"/>
  <c r="L53" i="2"/>
  <c r="I53" i="2"/>
  <c r="H53" i="2"/>
  <c r="F53" i="2"/>
  <c r="G53" i="2" s="1"/>
  <c r="C53" i="2"/>
  <c r="E53" i="2" s="1"/>
  <c r="CW51" i="2"/>
  <c r="CV51" i="2"/>
  <c r="CX51" i="2" s="1"/>
  <c r="CS51" i="2"/>
  <c r="CR51" i="2"/>
  <c r="CQ51" i="2"/>
  <c r="CP51" i="2"/>
  <c r="CO51" i="2"/>
  <c r="CN51" i="2"/>
  <c r="CM51" i="2"/>
  <c r="CJ51" i="2"/>
  <c r="CL51" i="2" s="1"/>
  <c r="CG51" i="2"/>
  <c r="CI51" i="2" s="1"/>
  <c r="CD51" i="2"/>
  <c r="CF51" i="2" s="1"/>
  <c r="CC51" i="2"/>
  <c r="CA51" i="2"/>
  <c r="CB51" i="2" s="1"/>
  <c r="BX51" i="2"/>
  <c r="BU51" i="2"/>
  <c r="BW51" i="2" s="1"/>
  <c r="BR51" i="2"/>
  <c r="BQ51" i="2"/>
  <c r="BO51" i="2"/>
  <c r="BP51" i="2" s="1"/>
  <c r="BM51" i="2"/>
  <c r="BL51" i="2"/>
  <c r="BN51" i="2" s="1"/>
  <c r="BK51" i="2"/>
  <c r="BI51" i="2"/>
  <c r="BJ51" i="2" s="1"/>
  <c r="BH51" i="2"/>
  <c r="BF51" i="2"/>
  <c r="BG51" i="2" s="1"/>
  <c r="BC51" i="2"/>
  <c r="AY51" i="2"/>
  <c r="AW51" i="2"/>
  <c r="AV51" i="2"/>
  <c r="AX51" i="2" s="1"/>
  <c r="AU51" i="2"/>
  <c r="AS51" i="2"/>
  <c r="AT51" i="2" s="1"/>
  <c r="AR51" i="2"/>
  <c r="AP51" i="2"/>
  <c r="AQ51" i="2" s="1"/>
  <c r="AM51" i="2"/>
  <c r="AO51" i="2" s="1"/>
  <c r="AJ51" i="2"/>
  <c r="AG51" i="2"/>
  <c r="AI51" i="2" s="1"/>
  <c r="M51" i="26" s="1"/>
  <c r="AF51" i="2"/>
  <c r="AE51" i="2"/>
  <c r="AD51" i="2"/>
  <c r="AC51" i="2"/>
  <c r="AB51" i="2"/>
  <c r="AA51" i="2"/>
  <c r="Z51" i="2"/>
  <c r="Y51" i="2"/>
  <c r="X51" i="2"/>
  <c r="U51" i="2"/>
  <c r="W51" i="2" s="1"/>
  <c r="R51" i="2"/>
  <c r="T51" i="2" s="1"/>
  <c r="Q51" i="2"/>
  <c r="O51" i="2"/>
  <c r="P51" i="2" s="1"/>
  <c r="L51" i="2"/>
  <c r="N51" i="2" s="1"/>
  <c r="I51" i="2"/>
  <c r="G51" i="2"/>
  <c r="F51" i="2"/>
  <c r="H51" i="2" s="1"/>
  <c r="C51" i="2"/>
  <c r="CV50" i="2"/>
  <c r="CX50" i="2" s="1"/>
  <c r="CS50" i="2"/>
  <c r="CT50" i="2" s="1"/>
  <c r="CP50" i="2"/>
  <c r="CR50" i="2" s="1"/>
  <c r="CM50" i="2"/>
  <c r="CO50" i="2" s="1"/>
  <c r="CJ50" i="2"/>
  <c r="CL50" i="2" s="1"/>
  <c r="CG50" i="2"/>
  <c r="CI50" i="2" s="1"/>
  <c r="CF50" i="2"/>
  <c r="CD50" i="2"/>
  <c r="CE50" i="2" s="1"/>
  <c r="CC50" i="2"/>
  <c r="CA50" i="2"/>
  <c r="CB50" i="2" s="1"/>
  <c r="BZ50" i="2"/>
  <c r="BX50" i="2"/>
  <c r="BY50" i="2" s="1"/>
  <c r="BW50" i="2"/>
  <c r="BU50" i="2"/>
  <c r="BV50" i="2" s="1"/>
  <c r="BT50" i="2"/>
  <c r="BR50" i="2"/>
  <c r="BS50" i="2" s="1"/>
  <c r="BQ50" i="2"/>
  <c r="BO50" i="2"/>
  <c r="BP50" i="2" s="1"/>
  <c r="BL50" i="2"/>
  <c r="BN50" i="2" s="1"/>
  <c r="BJ50" i="2"/>
  <c r="BI50" i="2"/>
  <c r="BK50" i="2" s="1"/>
  <c r="BH50" i="2"/>
  <c r="BG50" i="2"/>
  <c r="BF50" i="2"/>
  <c r="BE50" i="2"/>
  <c r="BD50" i="2"/>
  <c r="BC50" i="2"/>
  <c r="AY50" i="2"/>
  <c r="BA50" i="2" s="1"/>
  <c r="AV50" i="2"/>
  <c r="AX50" i="2" s="1"/>
  <c r="AS50" i="2"/>
  <c r="AU50" i="2" s="1"/>
  <c r="Q50" i="26" s="1"/>
  <c r="AP50" i="2"/>
  <c r="AR50" i="2" s="1"/>
  <c r="AM50" i="2"/>
  <c r="AO50" i="2" s="1"/>
  <c r="AK50" i="2"/>
  <c r="AJ50" i="2"/>
  <c r="AL50" i="2" s="1"/>
  <c r="AI50" i="2"/>
  <c r="AG50" i="2"/>
  <c r="AH50" i="2" s="1"/>
  <c r="AF50" i="2"/>
  <c r="AD50" i="2"/>
  <c r="AE50" i="2" s="1"/>
  <c r="AA50" i="2"/>
  <c r="AC50" i="2" s="1"/>
  <c r="X50" i="2"/>
  <c r="Z50" i="2" s="1"/>
  <c r="U50" i="2"/>
  <c r="W50" i="2" s="1"/>
  <c r="I50" i="26" s="1"/>
  <c r="T50" i="2"/>
  <c r="S50" i="2"/>
  <c r="R50" i="2"/>
  <c r="O50" i="2"/>
  <c r="Q50" i="2" s="1"/>
  <c r="N50" i="2"/>
  <c r="M50" i="2"/>
  <c r="L50" i="2"/>
  <c r="K50" i="2"/>
  <c r="I50" i="2"/>
  <c r="J50" i="2" s="1"/>
  <c r="G50" i="2"/>
  <c r="F50" i="2"/>
  <c r="H50" i="2" s="1"/>
  <c r="C50" i="2"/>
  <c r="E50" i="2" s="1"/>
  <c r="C50" i="26" s="1"/>
  <c r="T50" i="26" s="1"/>
  <c r="AL50" i="26" s="1"/>
  <c r="CV49" i="2"/>
  <c r="CX49" i="2" s="1"/>
  <c r="CU49" i="2"/>
  <c r="CS49" i="2"/>
  <c r="CT49" i="2" s="1"/>
  <c r="CR49" i="2"/>
  <c r="CQ49" i="2"/>
  <c r="CP49" i="2"/>
  <c r="CO49" i="2"/>
  <c r="CM49" i="2"/>
  <c r="CN49" i="2" s="1"/>
  <c r="CK49" i="2"/>
  <c r="CJ49" i="2"/>
  <c r="CL49" i="2" s="1"/>
  <c r="CI49" i="2"/>
  <c r="CG49" i="2"/>
  <c r="CH49" i="2" s="1"/>
  <c r="CF49" i="2"/>
  <c r="CE49" i="2"/>
  <c r="CD49" i="2"/>
  <c r="CA49" i="2"/>
  <c r="CC49" i="2" s="1"/>
  <c r="BY49" i="2"/>
  <c r="BX49" i="2"/>
  <c r="BZ49" i="2" s="1"/>
  <c r="BU49" i="2"/>
  <c r="BW49" i="2" s="1"/>
  <c r="BR49" i="2"/>
  <c r="BO49" i="2"/>
  <c r="BQ49" i="2" s="1"/>
  <c r="BN49" i="2"/>
  <c r="BM49" i="2"/>
  <c r="BL49" i="2"/>
  <c r="BK49" i="2"/>
  <c r="W49" i="26" s="1"/>
  <c r="BI49" i="2"/>
  <c r="BJ49" i="2" s="1"/>
  <c r="BG49" i="2"/>
  <c r="BF49" i="2"/>
  <c r="BH49" i="2" s="1"/>
  <c r="BC49" i="2"/>
  <c r="AY49" i="2"/>
  <c r="AX49" i="2"/>
  <c r="AW49" i="2"/>
  <c r="AV49" i="2"/>
  <c r="AU49" i="2"/>
  <c r="AS49" i="2"/>
  <c r="AT49" i="2" s="1"/>
  <c r="AQ49" i="2"/>
  <c r="AP49" i="2"/>
  <c r="AR49" i="2" s="1"/>
  <c r="AM49" i="2"/>
  <c r="AO49" i="2" s="1"/>
  <c r="AJ49" i="2"/>
  <c r="AL49" i="2" s="1"/>
  <c r="AI49" i="2"/>
  <c r="AG49" i="2"/>
  <c r="AH49" i="2" s="1"/>
  <c r="AF49" i="2"/>
  <c r="AE49" i="2"/>
  <c r="AD49" i="2"/>
  <c r="AC49" i="2"/>
  <c r="AA49" i="2"/>
  <c r="AB49" i="2" s="1"/>
  <c r="Y49" i="2"/>
  <c r="X49" i="2"/>
  <c r="Z49" i="2" s="1"/>
  <c r="W49" i="2"/>
  <c r="U49" i="2"/>
  <c r="V49" i="2" s="1"/>
  <c r="T49" i="2"/>
  <c r="S49" i="2"/>
  <c r="R49" i="2"/>
  <c r="O49" i="2"/>
  <c r="Q49" i="2" s="1"/>
  <c r="M49" i="2"/>
  <c r="L49" i="2"/>
  <c r="N49" i="2" s="1"/>
  <c r="I49" i="2"/>
  <c r="H49" i="2"/>
  <c r="G49" i="2"/>
  <c r="F49" i="2"/>
  <c r="C49" i="2"/>
  <c r="CX48" i="2"/>
  <c r="CW48" i="2"/>
  <c r="CV48" i="2"/>
  <c r="CS48" i="2"/>
  <c r="CQ48" i="2"/>
  <c r="CP48" i="2"/>
  <c r="CR48" i="2" s="1"/>
  <c r="CM48" i="2"/>
  <c r="CO48" i="2" s="1"/>
  <c r="CJ48" i="2"/>
  <c r="CI48" i="2"/>
  <c r="CG48" i="2"/>
  <c r="CH48" i="2" s="1"/>
  <c r="CF48" i="2"/>
  <c r="CE48" i="2"/>
  <c r="CD48" i="2"/>
  <c r="CC48" i="2"/>
  <c r="CA48" i="2"/>
  <c r="CB48" i="2" s="1"/>
  <c r="BX48" i="2"/>
  <c r="BW48" i="2"/>
  <c r="BU48" i="2"/>
  <c r="BV48" i="2" s="1"/>
  <c r="BR48" i="2"/>
  <c r="BO48" i="2"/>
  <c r="BQ48" i="2" s="1"/>
  <c r="BM48" i="2"/>
  <c r="BL48" i="2"/>
  <c r="BN48" i="2" s="1"/>
  <c r="BI48" i="2"/>
  <c r="BK48" i="2" s="1"/>
  <c r="BF48" i="2"/>
  <c r="BC48" i="2"/>
  <c r="AY48" i="2"/>
  <c r="BA48" i="2" s="1"/>
  <c r="AW48" i="2"/>
  <c r="AV48" i="2"/>
  <c r="AX48" i="2" s="1"/>
  <c r="R48" i="26" s="1"/>
  <c r="AS48" i="2"/>
  <c r="AU48" i="2" s="1"/>
  <c r="AR48" i="2"/>
  <c r="AQ48" i="2"/>
  <c r="AP48" i="2"/>
  <c r="AM48" i="2"/>
  <c r="AO48" i="2" s="1"/>
  <c r="AL48" i="2"/>
  <c r="AK48" i="2"/>
  <c r="AJ48" i="2"/>
  <c r="AI48" i="2"/>
  <c r="AG48" i="2"/>
  <c r="AH48" i="2" s="1"/>
  <c r="AE48" i="2"/>
  <c r="AD48" i="2"/>
  <c r="AF48" i="2" s="1"/>
  <c r="L48" i="26" s="1"/>
  <c r="AA48" i="2"/>
  <c r="AC48" i="2" s="1"/>
  <c r="X48" i="2"/>
  <c r="Z48" i="2" s="1"/>
  <c r="W48" i="2"/>
  <c r="U48" i="2"/>
  <c r="V48" i="2" s="1"/>
  <c r="T48" i="2"/>
  <c r="S48" i="2"/>
  <c r="R48" i="2"/>
  <c r="Q48" i="2"/>
  <c r="O48" i="2"/>
  <c r="P48" i="2" s="1"/>
  <c r="M48" i="2"/>
  <c r="L48" i="2"/>
  <c r="N48" i="2" s="1"/>
  <c r="I48" i="2"/>
  <c r="H48" i="2"/>
  <c r="G48" i="2"/>
  <c r="F48" i="2"/>
  <c r="C48" i="2"/>
  <c r="E48" i="2" s="1"/>
  <c r="CV46" i="2"/>
  <c r="CX46" i="2" s="1"/>
  <c r="CS46" i="2"/>
  <c r="CU46" i="2" s="1"/>
  <c r="CQ46" i="2"/>
  <c r="CP46" i="2"/>
  <c r="CR46" i="2" s="1"/>
  <c r="AH46" i="26" s="1"/>
  <c r="CM46" i="2"/>
  <c r="CO46" i="2" s="1"/>
  <c r="CJ46" i="2"/>
  <c r="CL46" i="2" s="1"/>
  <c r="CG46" i="2"/>
  <c r="CI46" i="2" s="1"/>
  <c r="CD46" i="2"/>
  <c r="CF46" i="2" s="1"/>
  <c r="CA46" i="2"/>
  <c r="CC46" i="2" s="1"/>
  <c r="BX46" i="2"/>
  <c r="BZ46" i="2" s="1"/>
  <c r="AB46" i="26" s="1"/>
  <c r="BW46" i="2"/>
  <c r="BU46" i="2"/>
  <c r="BV46" i="2" s="1"/>
  <c r="BT46" i="2"/>
  <c r="BR46" i="2"/>
  <c r="BS46" i="2" s="1"/>
  <c r="BQ46" i="2"/>
  <c r="BO46" i="2"/>
  <c r="BP46" i="2" s="1"/>
  <c r="BN46" i="2"/>
  <c r="BM46" i="2"/>
  <c r="BL46" i="2"/>
  <c r="BK46" i="2"/>
  <c r="W46" i="26" s="1"/>
  <c r="BI46" i="2"/>
  <c r="BJ46" i="2" s="1"/>
  <c r="BH46" i="2"/>
  <c r="BG46" i="2"/>
  <c r="BF46" i="2"/>
  <c r="BC46" i="2"/>
  <c r="BE46" i="2" s="1"/>
  <c r="AY46" i="2"/>
  <c r="BA46" i="2" s="1"/>
  <c r="AW46" i="2"/>
  <c r="AV46" i="2"/>
  <c r="AX46" i="2" s="1"/>
  <c r="AU46" i="2"/>
  <c r="AS46" i="2"/>
  <c r="AT46" i="2" s="1"/>
  <c r="AP46" i="2"/>
  <c r="AR46" i="2" s="1"/>
  <c r="AM46" i="2"/>
  <c r="AO46" i="2" s="1"/>
  <c r="AJ46" i="2"/>
  <c r="AL46" i="2" s="1"/>
  <c r="AG46" i="2"/>
  <c r="AI46" i="2" s="1"/>
  <c r="AF46" i="2"/>
  <c r="L46" i="26" s="1"/>
  <c r="AE46" i="2"/>
  <c r="AD46" i="2"/>
  <c r="AA46" i="2"/>
  <c r="AC46" i="2" s="1"/>
  <c r="K46" i="26" s="1"/>
  <c r="Z46" i="2"/>
  <c r="X46" i="2"/>
  <c r="Y46" i="2" s="1"/>
  <c r="W46" i="2"/>
  <c r="U46" i="2"/>
  <c r="V46" i="2" s="1"/>
  <c r="R46" i="2"/>
  <c r="T46" i="2" s="1"/>
  <c r="O46" i="2"/>
  <c r="P46" i="2" s="1"/>
  <c r="L46" i="2"/>
  <c r="N46" i="2" s="1"/>
  <c r="K46" i="2"/>
  <c r="I46" i="2"/>
  <c r="J46" i="2" s="1"/>
  <c r="H46" i="2"/>
  <c r="G46" i="2"/>
  <c r="F46" i="2"/>
  <c r="C46" i="2"/>
  <c r="E46" i="2" s="1"/>
  <c r="CX45" i="2"/>
  <c r="CW45" i="2"/>
  <c r="CV45" i="2"/>
  <c r="CU45" i="2"/>
  <c r="CT45" i="2"/>
  <c r="CS45" i="2"/>
  <c r="CR45" i="2"/>
  <c r="CQ45" i="2"/>
  <c r="CP45" i="2"/>
  <c r="CM45" i="2"/>
  <c r="CK45" i="2"/>
  <c r="CJ45" i="2"/>
  <c r="CL45" i="2" s="1"/>
  <c r="CG45" i="2"/>
  <c r="CD45" i="2"/>
  <c r="CA45" i="2"/>
  <c r="CC45" i="2" s="1"/>
  <c r="BX45" i="2"/>
  <c r="BW45" i="2"/>
  <c r="BU45" i="2"/>
  <c r="BV45" i="2" s="1"/>
  <c r="BR45" i="2"/>
  <c r="BO45" i="2"/>
  <c r="BL45" i="2"/>
  <c r="BK45" i="2"/>
  <c r="BI45" i="2"/>
  <c r="BJ45" i="2" s="1"/>
  <c r="BH45" i="2"/>
  <c r="BG45" i="2"/>
  <c r="BF45" i="2"/>
  <c r="BC45" i="2"/>
  <c r="AY45" i="2"/>
  <c r="AV45" i="2"/>
  <c r="AU45" i="2"/>
  <c r="Q45" i="26" s="1"/>
  <c r="AS45" i="2"/>
  <c r="AT45" i="2" s="1"/>
  <c r="AQ45" i="2"/>
  <c r="AP45" i="2"/>
  <c r="AR45" i="2" s="1"/>
  <c r="P45" i="26" s="1"/>
  <c r="AM45" i="2"/>
  <c r="AK45" i="2"/>
  <c r="AJ45" i="2"/>
  <c r="AL45" i="2" s="1"/>
  <c r="AI45" i="2"/>
  <c r="AG45" i="2"/>
  <c r="AH45" i="2" s="1"/>
  <c r="AF45" i="2"/>
  <c r="AE45" i="2"/>
  <c r="AD45" i="2"/>
  <c r="AC45" i="2"/>
  <c r="AA45" i="2"/>
  <c r="AB45" i="2" s="1"/>
  <c r="X45" i="2"/>
  <c r="Z45" i="2" s="1"/>
  <c r="U45" i="2"/>
  <c r="V45" i="2" s="1"/>
  <c r="T45" i="2"/>
  <c r="S45" i="2"/>
  <c r="R45" i="2"/>
  <c r="P45" i="2"/>
  <c r="O45" i="2"/>
  <c r="Q45" i="2" s="1"/>
  <c r="N45" i="2"/>
  <c r="M45" i="2"/>
  <c r="L45" i="2"/>
  <c r="I45" i="2"/>
  <c r="H45" i="2"/>
  <c r="D45" i="26" s="1"/>
  <c r="G45" i="2"/>
  <c r="F45" i="2"/>
  <c r="C45" i="2"/>
  <c r="CV44" i="2"/>
  <c r="CU44" i="2"/>
  <c r="CS44" i="2"/>
  <c r="CT44" i="2" s="1"/>
  <c r="CR44" i="2"/>
  <c r="CQ44" i="2"/>
  <c r="CP44" i="2"/>
  <c r="CO44" i="2"/>
  <c r="AG44" i="26" s="1"/>
  <c r="CN44" i="2"/>
  <c r="CM44" i="2"/>
  <c r="CJ44" i="2"/>
  <c r="CL44" i="2" s="1"/>
  <c r="AF44" i="26" s="1"/>
  <c r="CG44" i="2"/>
  <c r="CI44" i="2" s="1"/>
  <c r="AE44" i="26" s="1"/>
  <c r="CD44" i="2"/>
  <c r="CC44" i="2"/>
  <c r="CA44" i="2"/>
  <c r="CB44" i="2" s="1"/>
  <c r="BX44" i="2"/>
  <c r="BU44" i="2"/>
  <c r="BR44" i="2"/>
  <c r="BO44" i="2"/>
  <c r="BN44" i="2"/>
  <c r="BL44" i="2"/>
  <c r="BM44" i="2" s="1"/>
  <c r="BI44" i="2"/>
  <c r="BJ44" i="2" s="1"/>
  <c r="BF44" i="2"/>
  <c r="BH44" i="2" s="1"/>
  <c r="V44" i="26" s="1"/>
  <c r="BC44" i="2"/>
  <c r="AY44" i="2"/>
  <c r="BA44" i="2" s="1"/>
  <c r="S44" i="26" s="1"/>
  <c r="AW44" i="2"/>
  <c r="AV44" i="2"/>
  <c r="AX44" i="2" s="1"/>
  <c r="R44" i="26" s="1"/>
  <c r="AU44" i="2"/>
  <c r="AS44" i="2"/>
  <c r="AT44" i="2" s="1"/>
  <c r="AQ44" i="2"/>
  <c r="AP44" i="2"/>
  <c r="AR44" i="2" s="1"/>
  <c r="P44" i="26" s="1"/>
  <c r="AO44" i="2"/>
  <c r="AM44" i="2"/>
  <c r="AN44" i="2" s="1"/>
  <c r="AL44" i="2"/>
  <c r="AK44" i="2"/>
  <c r="AJ44" i="2"/>
  <c r="AG44" i="2"/>
  <c r="AI44" i="2" s="1"/>
  <c r="AF44" i="2"/>
  <c r="L44" i="26" s="1"/>
  <c r="AE44" i="2"/>
  <c r="AD44" i="2"/>
  <c r="AA44" i="2"/>
  <c r="AC44" i="2" s="1"/>
  <c r="K44" i="26" s="1"/>
  <c r="Z44" i="2"/>
  <c r="Y44" i="2"/>
  <c r="X44" i="2"/>
  <c r="V44" i="2"/>
  <c r="U44" i="2"/>
  <c r="W44" i="2" s="1"/>
  <c r="I44" i="26" s="1"/>
  <c r="R44" i="2"/>
  <c r="T44" i="2" s="1"/>
  <c r="H44" i="26" s="1"/>
  <c r="P44" i="2"/>
  <c r="O44" i="2"/>
  <c r="Q44" i="2" s="1"/>
  <c r="G44" i="26" s="1"/>
  <c r="M44" i="2"/>
  <c r="L44" i="2"/>
  <c r="N44" i="2" s="1"/>
  <c r="I44" i="2"/>
  <c r="H44" i="2"/>
  <c r="D44" i="26" s="1"/>
  <c r="F44" i="2"/>
  <c r="G44" i="2" s="1"/>
  <c r="C44" i="2"/>
  <c r="CV43" i="2"/>
  <c r="CU43" i="2"/>
  <c r="CS43" i="2"/>
  <c r="CT43" i="2" s="1"/>
  <c r="CP43" i="2"/>
  <c r="CR43" i="2" s="1"/>
  <c r="AH43" i="26" s="1"/>
  <c r="CM43" i="2"/>
  <c r="CM47" i="2" s="1"/>
  <c r="CJ43" i="2"/>
  <c r="CL43" i="2" s="1"/>
  <c r="AF43" i="26" s="1"/>
  <c r="CI43" i="2"/>
  <c r="CG43" i="2"/>
  <c r="CH43" i="2" s="1"/>
  <c r="CF43" i="2"/>
  <c r="CE43" i="2"/>
  <c r="CD43" i="2"/>
  <c r="CC43" i="2"/>
  <c r="CB43" i="2"/>
  <c r="CA43" i="2"/>
  <c r="BX43" i="2"/>
  <c r="BW43" i="2"/>
  <c r="AA43" i="26" s="1"/>
  <c r="BU43" i="2"/>
  <c r="BV43" i="2" s="1"/>
  <c r="BR43" i="2"/>
  <c r="BP43" i="2"/>
  <c r="BO43" i="2"/>
  <c r="BQ43" i="2" s="1"/>
  <c r="Y43" i="26" s="1"/>
  <c r="BM43" i="2"/>
  <c r="BL43" i="2"/>
  <c r="BI43" i="2"/>
  <c r="BK43" i="2" s="1"/>
  <c r="BF43" i="2"/>
  <c r="BH43" i="2" s="1"/>
  <c r="V43" i="26" s="1"/>
  <c r="BC43" i="2"/>
  <c r="BE43" i="2" s="1"/>
  <c r="U43" i="26" s="1"/>
  <c r="AY43" i="2"/>
  <c r="BA43" i="2" s="1"/>
  <c r="S43" i="26" s="1"/>
  <c r="AV43" i="2"/>
  <c r="AX43" i="2" s="1"/>
  <c r="AU43" i="2"/>
  <c r="AS43" i="2"/>
  <c r="AT43" i="2" s="1"/>
  <c r="AQ43" i="2"/>
  <c r="AP43" i="2"/>
  <c r="AR43" i="2" s="1"/>
  <c r="P43" i="26" s="1"/>
  <c r="AO43" i="2"/>
  <c r="O43" i="26" s="1"/>
  <c r="AM43" i="2"/>
  <c r="AN43" i="2" s="1"/>
  <c r="AL43" i="2"/>
  <c r="N43" i="26" s="1"/>
  <c r="AK43" i="2"/>
  <c r="AJ43" i="2"/>
  <c r="AG43" i="2"/>
  <c r="AH43" i="2" s="1"/>
  <c r="AE43" i="2"/>
  <c r="AD43" i="2"/>
  <c r="AF43" i="2" s="1"/>
  <c r="L43" i="26" s="1"/>
  <c r="AA43" i="2"/>
  <c r="AC43" i="2" s="1"/>
  <c r="X43" i="2"/>
  <c r="Z43" i="2" s="1"/>
  <c r="J43" i="26" s="1"/>
  <c r="U43" i="2"/>
  <c r="W43" i="2" s="1"/>
  <c r="I43" i="26" s="1"/>
  <c r="T43" i="2"/>
  <c r="S43" i="2"/>
  <c r="R43" i="2"/>
  <c r="O43" i="2"/>
  <c r="Q43" i="2" s="1"/>
  <c r="G43" i="26" s="1"/>
  <c r="N43" i="2"/>
  <c r="L43" i="2"/>
  <c r="M43" i="2" s="1"/>
  <c r="I43" i="2"/>
  <c r="H43" i="2"/>
  <c r="D43" i="26" s="1"/>
  <c r="F43" i="2"/>
  <c r="G43" i="2" s="1"/>
  <c r="C43" i="2"/>
  <c r="CV41" i="2"/>
  <c r="CT41" i="2"/>
  <c r="CS41" i="2"/>
  <c r="CU41" i="2" s="1"/>
  <c r="CP41" i="2"/>
  <c r="CR41" i="2" s="1"/>
  <c r="AH41" i="26" s="1"/>
  <c r="CM41" i="2"/>
  <c r="CO41" i="2" s="1"/>
  <c r="AG41" i="26" s="1"/>
  <c r="CJ41" i="2"/>
  <c r="CG41" i="2"/>
  <c r="CH41" i="2" s="1"/>
  <c r="CE41" i="2"/>
  <c r="CD41" i="2"/>
  <c r="CF41" i="2" s="1"/>
  <c r="AD41" i="26" s="1"/>
  <c r="CC41" i="2"/>
  <c r="CB41" i="2"/>
  <c r="CA41" i="2"/>
  <c r="BX41" i="2"/>
  <c r="BW41" i="2"/>
  <c r="BV41" i="2"/>
  <c r="BU41" i="2"/>
  <c r="BT41" i="2"/>
  <c r="BS41" i="2"/>
  <c r="BR41" i="2"/>
  <c r="BQ41" i="2"/>
  <c r="BO41" i="2"/>
  <c r="BP41" i="2" s="1"/>
  <c r="BM41" i="2"/>
  <c r="BL41" i="2"/>
  <c r="BN41" i="2" s="1"/>
  <c r="X41" i="26" s="1"/>
  <c r="BI41" i="2"/>
  <c r="BF41" i="2"/>
  <c r="BF42" i="2" s="1"/>
  <c r="BC41" i="2"/>
  <c r="BE41" i="2" s="1"/>
  <c r="U41" i="26" s="1"/>
  <c r="AY41" i="2"/>
  <c r="AV41" i="2"/>
  <c r="AU41" i="2"/>
  <c r="AS41" i="2"/>
  <c r="AT41" i="2" s="1"/>
  <c r="AP41" i="2"/>
  <c r="AO41" i="2"/>
  <c r="O41" i="26" s="1"/>
  <c r="AM41" i="2"/>
  <c r="AN41" i="2" s="1"/>
  <c r="AJ41" i="2"/>
  <c r="AI41" i="2"/>
  <c r="AG41" i="2"/>
  <c r="AH41" i="2" s="1"/>
  <c r="AD41" i="2"/>
  <c r="AA41" i="2"/>
  <c r="AC41" i="2" s="1"/>
  <c r="K41" i="26" s="1"/>
  <c r="X41" i="2"/>
  <c r="Z41" i="2" s="1"/>
  <c r="J41" i="26" s="1"/>
  <c r="U41" i="2"/>
  <c r="V41" i="2" s="1"/>
  <c r="T41" i="2"/>
  <c r="R41" i="2"/>
  <c r="S41" i="2" s="1"/>
  <c r="P41" i="2"/>
  <c r="O41" i="2"/>
  <c r="Q41" i="2" s="1"/>
  <c r="G41" i="26" s="1"/>
  <c r="L41" i="2"/>
  <c r="I41" i="2"/>
  <c r="H41" i="2"/>
  <c r="G41" i="2"/>
  <c r="F41" i="2"/>
  <c r="C41" i="2"/>
  <c r="CV40" i="2"/>
  <c r="CS40" i="2"/>
  <c r="CP40" i="2"/>
  <c r="CR40" i="2" s="1"/>
  <c r="AH40" i="26" s="1"/>
  <c r="CM40" i="2"/>
  <c r="CO40" i="2" s="1"/>
  <c r="AG40" i="26" s="1"/>
  <c r="CJ40" i="2"/>
  <c r="CI40" i="2"/>
  <c r="CG40" i="2"/>
  <c r="CH40" i="2" s="1"/>
  <c r="CE40" i="2"/>
  <c r="CD40" i="2"/>
  <c r="CF40" i="2" s="1"/>
  <c r="AD40" i="26" s="1"/>
  <c r="CC40" i="2"/>
  <c r="CB40" i="2"/>
  <c r="CA40" i="2"/>
  <c r="BX40" i="2"/>
  <c r="BZ40" i="2" s="1"/>
  <c r="AB40" i="26" s="1"/>
  <c r="BU40" i="2"/>
  <c r="BV40" i="2" s="1"/>
  <c r="BR40" i="2"/>
  <c r="BT40" i="2" s="1"/>
  <c r="Z40" i="26" s="1"/>
  <c r="BP40" i="2"/>
  <c r="BO40" i="2"/>
  <c r="BQ40" i="2" s="1"/>
  <c r="Y40" i="26" s="1"/>
  <c r="BL40" i="2"/>
  <c r="BN40" i="2" s="1"/>
  <c r="X40" i="26" s="1"/>
  <c r="BK40" i="2"/>
  <c r="W40" i="26" s="1"/>
  <c r="BI40" i="2"/>
  <c r="BJ40" i="2" s="1"/>
  <c r="BF40" i="2"/>
  <c r="BC40" i="2"/>
  <c r="AY40" i="2"/>
  <c r="AV40" i="2"/>
  <c r="AX40" i="2" s="1"/>
  <c r="R40" i="26" s="1"/>
  <c r="AS40" i="2"/>
  <c r="AP40" i="2"/>
  <c r="AO40" i="2"/>
  <c r="O40" i="26" s="1"/>
  <c r="AM40" i="2"/>
  <c r="AN40" i="2" s="1"/>
  <c r="AL40" i="2"/>
  <c r="N40" i="26" s="1"/>
  <c r="AJ40" i="2"/>
  <c r="AK40" i="2" s="1"/>
  <c r="AH40" i="2"/>
  <c r="AG40" i="2"/>
  <c r="AI40" i="2" s="1"/>
  <c r="M40" i="26" s="1"/>
  <c r="AD40" i="2"/>
  <c r="AA40" i="2"/>
  <c r="AC40" i="2" s="1"/>
  <c r="K40" i="26" s="1"/>
  <c r="X40" i="2"/>
  <c r="U40" i="2"/>
  <c r="W40" i="2" s="1"/>
  <c r="I40" i="26" s="1"/>
  <c r="R40" i="2"/>
  <c r="O40" i="2"/>
  <c r="Q40" i="2" s="1"/>
  <c r="G40" i="26" s="1"/>
  <c r="L40" i="2"/>
  <c r="I40" i="2"/>
  <c r="H40" i="2"/>
  <c r="G40" i="2"/>
  <c r="F40" i="2"/>
  <c r="E40" i="2"/>
  <c r="D40" i="2"/>
  <c r="C40" i="2"/>
  <c r="CX39" i="2"/>
  <c r="CV39" i="2"/>
  <c r="CW39" i="2" s="1"/>
  <c r="CT39" i="2"/>
  <c r="CS39" i="2"/>
  <c r="CU39" i="2" s="1"/>
  <c r="CR39" i="2"/>
  <c r="CQ39" i="2"/>
  <c r="CP39" i="2"/>
  <c r="CM39" i="2"/>
  <c r="CM42" i="2" s="1"/>
  <c r="CJ39" i="2"/>
  <c r="CL39" i="2" s="1"/>
  <c r="CH39" i="2"/>
  <c r="CG39" i="2"/>
  <c r="CI39" i="2" s="1"/>
  <c r="AE39" i="26" s="1"/>
  <c r="CD39" i="2"/>
  <c r="CF39" i="2" s="1"/>
  <c r="CC39" i="2"/>
  <c r="CA39" i="2"/>
  <c r="CB39" i="2" s="1"/>
  <c r="BX39" i="2"/>
  <c r="BZ39" i="2" s="1"/>
  <c r="BW39" i="2"/>
  <c r="BV39" i="2"/>
  <c r="BU39" i="2"/>
  <c r="BT39" i="2"/>
  <c r="BS39" i="2"/>
  <c r="BR39" i="2"/>
  <c r="BQ39" i="2"/>
  <c r="BO39" i="2"/>
  <c r="BP39" i="2" s="1"/>
  <c r="BM39" i="2"/>
  <c r="BL39" i="2"/>
  <c r="BN39" i="2" s="1"/>
  <c r="X39" i="26" s="1"/>
  <c r="BI39" i="2"/>
  <c r="BJ39" i="2" s="1"/>
  <c r="BG39" i="2"/>
  <c r="BF39" i="2"/>
  <c r="BH39" i="2" s="1"/>
  <c r="BE39" i="2"/>
  <c r="BC39" i="2"/>
  <c r="BD39" i="2" s="1"/>
  <c r="AY39" i="2"/>
  <c r="AV39" i="2"/>
  <c r="AX39" i="2" s="1"/>
  <c r="R39" i="26" s="1"/>
  <c r="AU39" i="2"/>
  <c r="AS39" i="2"/>
  <c r="AT39" i="2" s="1"/>
  <c r="AP39" i="2"/>
  <c r="AR39" i="2" s="1"/>
  <c r="AO39" i="2"/>
  <c r="AN39" i="2"/>
  <c r="AM39" i="2"/>
  <c r="AL39" i="2"/>
  <c r="AK39" i="2"/>
  <c r="AJ39" i="2"/>
  <c r="AI39" i="2"/>
  <c r="AG39" i="2"/>
  <c r="AH39" i="2" s="1"/>
  <c r="AD39" i="2"/>
  <c r="AA39" i="2"/>
  <c r="AC39" i="2" s="1"/>
  <c r="X39" i="2"/>
  <c r="Z39" i="2" s="1"/>
  <c r="J39" i="26" s="1"/>
  <c r="U39" i="2"/>
  <c r="W39" i="2" s="1"/>
  <c r="I39" i="26" s="1"/>
  <c r="S39" i="2"/>
  <c r="R39" i="2"/>
  <c r="T39" i="2" s="1"/>
  <c r="H39" i="26" s="1"/>
  <c r="O39" i="2"/>
  <c r="Q39" i="2" s="1"/>
  <c r="M39" i="2"/>
  <c r="L39" i="2"/>
  <c r="N39" i="2" s="1"/>
  <c r="I39" i="2"/>
  <c r="H39" i="2"/>
  <c r="G39" i="2"/>
  <c r="F39" i="2"/>
  <c r="E39" i="2"/>
  <c r="C39" i="26" s="1"/>
  <c r="T39" i="26" s="1"/>
  <c r="AL39" i="26" s="1"/>
  <c r="D39" i="2"/>
  <c r="C39" i="2"/>
  <c r="CV38" i="2"/>
  <c r="CS38" i="2"/>
  <c r="CP38" i="2"/>
  <c r="CN38" i="2"/>
  <c r="CM38" i="2"/>
  <c r="CO38" i="2" s="1"/>
  <c r="AG38" i="26" s="1"/>
  <c r="CJ38" i="2"/>
  <c r="CI38" i="2"/>
  <c r="CG38" i="2"/>
  <c r="CH38" i="2" s="1"/>
  <c r="CF38" i="2"/>
  <c r="CE38" i="2"/>
  <c r="CD38" i="2"/>
  <c r="CC38" i="2"/>
  <c r="CB38" i="2"/>
  <c r="CA38" i="2"/>
  <c r="BX38" i="2"/>
  <c r="BW38" i="2"/>
  <c r="BV38" i="2"/>
  <c r="BU38" i="2"/>
  <c r="BR38" i="2"/>
  <c r="BO38" i="2"/>
  <c r="BL38" i="2"/>
  <c r="BI38" i="2"/>
  <c r="BF38" i="2"/>
  <c r="BC38" i="2"/>
  <c r="AY38" i="2"/>
  <c r="AW38" i="2"/>
  <c r="AV38" i="2"/>
  <c r="AX38" i="2" s="1"/>
  <c r="AU38" i="2"/>
  <c r="AT38" i="2"/>
  <c r="AS38" i="2"/>
  <c r="AP38" i="2"/>
  <c r="AO38" i="2"/>
  <c r="AN38" i="2"/>
  <c r="AM38" i="2"/>
  <c r="AL38" i="2"/>
  <c r="AK38" i="2"/>
  <c r="AJ38" i="2"/>
  <c r="AI38" i="2"/>
  <c r="AG38" i="2"/>
  <c r="AH38" i="2" s="1"/>
  <c r="AD38" i="2"/>
  <c r="AC38" i="2"/>
  <c r="K38" i="26" s="1"/>
  <c r="AA38" i="2"/>
  <c r="AB38" i="2" s="1"/>
  <c r="Y38" i="2"/>
  <c r="X38" i="2"/>
  <c r="Z38" i="2" s="1"/>
  <c r="J38" i="26" s="1"/>
  <c r="W38" i="2"/>
  <c r="I38" i="26" s="1"/>
  <c r="U38" i="2"/>
  <c r="V38" i="2" s="1"/>
  <c r="T38" i="2"/>
  <c r="H38" i="26" s="1"/>
  <c r="S38" i="2"/>
  <c r="R38" i="2"/>
  <c r="Q38" i="2"/>
  <c r="G38" i="26" s="1"/>
  <c r="P38" i="2"/>
  <c r="O38" i="2"/>
  <c r="L38" i="2"/>
  <c r="I38" i="2"/>
  <c r="H38" i="2"/>
  <c r="G38" i="2"/>
  <c r="F38" i="2"/>
  <c r="E38" i="2"/>
  <c r="D38" i="2"/>
  <c r="C38" i="2"/>
  <c r="CV35" i="2"/>
  <c r="CX35" i="2" s="1"/>
  <c r="CT35" i="2"/>
  <c r="CS35" i="2"/>
  <c r="CU35" i="2" s="1"/>
  <c r="CP35" i="2"/>
  <c r="CR35" i="2" s="1"/>
  <c r="CM35" i="2"/>
  <c r="CO35" i="2" s="1"/>
  <c r="CJ35" i="2"/>
  <c r="CL35" i="2" s="1"/>
  <c r="AF35" i="26" s="1"/>
  <c r="CI35" i="2"/>
  <c r="CG35" i="2"/>
  <c r="CH35" i="2" s="1"/>
  <c r="CD35" i="2"/>
  <c r="CF35" i="2" s="1"/>
  <c r="CC35" i="2"/>
  <c r="CA35" i="2"/>
  <c r="CB35" i="2" s="1"/>
  <c r="BX35" i="2"/>
  <c r="BZ35" i="2" s="1"/>
  <c r="AB35" i="26" s="1"/>
  <c r="BU35" i="2"/>
  <c r="BW35" i="2" s="1"/>
  <c r="BT35" i="2"/>
  <c r="Z35" i="26" s="1"/>
  <c r="BS35" i="2"/>
  <c r="BR35" i="2"/>
  <c r="BO35" i="2"/>
  <c r="BN35" i="2"/>
  <c r="BM35" i="2"/>
  <c r="BL35" i="2"/>
  <c r="BI35" i="2"/>
  <c r="BK35" i="2" s="1"/>
  <c r="BF35" i="2"/>
  <c r="BH35" i="2" s="1"/>
  <c r="BC35" i="2"/>
  <c r="AY35" i="2"/>
  <c r="AX35" i="2"/>
  <c r="AW35" i="2"/>
  <c r="AV35" i="2"/>
  <c r="AS35" i="2"/>
  <c r="AU35" i="2" s="1"/>
  <c r="AP35" i="2"/>
  <c r="AM35" i="2"/>
  <c r="AO35" i="2" s="1"/>
  <c r="O35" i="26" s="1"/>
  <c r="AJ35" i="2"/>
  <c r="AL35" i="2" s="1"/>
  <c r="AH35" i="2"/>
  <c r="AG35" i="2"/>
  <c r="AI35" i="2" s="1"/>
  <c r="M35" i="26" s="1"/>
  <c r="AD35" i="2"/>
  <c r="AA35" i="2"/>
  <c r="AC35" i="2" s="1"/>
  <c r="X35" i="2"/>
  <c r="Z35" i="2" s="1"/>
  <c r="W35" i="2"/>
  <c r="U35" i="2"/>
  <c r="V35" i="2" s="1"/>
  <c r="R35" i="2"/>
  <c r="Q35" i="2"/>
  <c r="P35" i="2"/>
  <c r="O35" i="2"/>
  <c r="M35" i="2"/>
  <c r="L35" i="2"/>
  <c r="N35" i="2" s="1"/>
  <c r="F35" i="26" s="1"/>
  <c r="I35" i="2"/>
  <c r="H35" i="2"/>
  <c r="G35" i="2"/>
  <c r="F35" i="2"/>
  <c r="C35" i="2"/>
  <c r="CV34" i="2"/>
  <c r="CX34" i="2" s="1"/>
  <c r="CS34" i="2"/>
  <c r="CU34" i="2" s="1"/>
  <c r="CP34" i="2"/>
  <c r="CR34" i="2" s="1"/>
  <c r="CM34" i="2"/>
  <c r="CO34" i="2" s="1"/>
  <c r="CJ34" i="2"/>
  <c r="CL34" i="2" s="1"/>
  <c r="CG34" i="2"/>
  <c r="CI34" i="2" s="1"/>
  <c r="CF34" i="2"/>
  <c r="CD34" i="2"/>
  <c r="CE34" i="2" s="1"/>
  <c r="CA34" i="2"/>
  <c r="CC34" i="2" s="1"/>
  <c r="AC34" i="26" s="1"/>
  <c r="BX34" i="2"/>
  <c r="BZ34" i="2" s="1"/>
  <c r="BW34" i="2"/>
  <c r="AA34" i="26" s="1"/>
  <c r="BU34" i="2"/>
  <c r="BV34" i="2" s="1"/>
  <c r="BR34" i="2"/>
  <c r="BT34" i="2" s="1"/>
  <c r="Z34" i="26" s="1"/>
  <c r="BQ34" i="2"/>
  <c r="Y34" i="26" s="1"/>
  <c r="BP34" i="2"/>
  <c r="BO34" i="2"/>
  <c r="BN34" i="2"/>
  <c r="BL34" i="2"/>
  <c r="BM34" i="2" s="1"/>
  <c r="BK34" i="2"/>
  <c r="BJ34" i="2"/>
  <c r="BI34" i="2"/>
  <c r="BH34" i="2"/>
  <c r="BG34" i="2"/>
  <c r="BF34" i="2"/>
  <c r="BC34" i="2"/>
  <c r="BE34" i="2" s="1"/>
  <c r="AY34" i="2"/>
  <c r="BA34" i="2" s="1"/>
  <c r="AV34" i="2"/>
  <c r="AX34" i="2" s="1"/>
  <c r="AS34" i="2"/>
  <c r="AU34" i="2" s="1"/>
  <c r="Q34" i="26" s="1"/>
  <c r="AP34" i="2"/>
  <c r="AR34" i="2" s="1"/>
  <c r="AM34" i="2"/>
  <c r="AO34" i="2" s="1"/>
  <c r="O34" i="26" s="1"/>
  <c r="AJ34" i="2"/>
  <c r="AL34" i="2" s="1"/>
  <c r="N34" i="26" s="1"/>
  <c r="AI34" i="2"/>
  <c r="AG34" i="2"/>
  <c r="AH34" i="2" s="1"/>
  <c r="AD34" i="2"/>
  <c r="AF34" i="2" s="1"/>
  <c r="L34" i="26" s="1"/>
  <c r="AA34" i="2"/>
  <c r="AC34" i="2" s="1"/>
  <c r="X34" i="2"/>
  <c r="Z34" i="2" s="1"/>
  <c r="W34" i="2"/>
  <c r="U34" i="2"/>
  <c r="V34" i="2" s="1"/>
  <c r="T34" i="2"/>
  <c r="R34" i="2"/>
  <c r="S34" i="2" s="1"/>
  <c r="P34" i="2"/>
  <c r="O34" i="2"/>
  <c r="Q34" i="2" s="1"/>
  <c r="L34" i="2"/>
  <c r="N34" i="2" s="1"/>
  <c r="F34" i="26" s="1"/>
  <c r="K34" i="2"/>
  <c r="I34" i="2"/>
  <c r="J34" i="2" s="1"/>
  <c r="F34" i="2"/>
  <c r="H34" i="2" s="1"/>
  <c r="D34" i="26" s="1"/>
  <c r="C34" i="2"/>
  <c r="E34" i="2" s="1"/>
  <c r="CX33" i="2"/>
  <c r="CV33" i="2"/>
  <c r="CW33" i="2" s="1"/>
  <c r="CU33" i="2"/>
  <c r="CT33" i="2"/>
  <c r="CS33" i="2"/>
  <c r="CP33" i="2"/>
  <c r="CM33" i="2"/>
  <c r="CO33" i="2" s="1"/>
  <c r="AG33" i="26" s="1"/>
  <c r="CL33" i="2"/>
  <c r="CJ33" i="2"/>
  <c r="CK33" i="2" s="1"/>
  <c r="CI33" i="2"/>
  <c r="AE33" i="26" s="1"/>
  <c r="CH33" i="2"/>
  <c r="CG33" i="2"/>
  <c r="CD33" i="2"/>
  <c r="CF33" i="2" s="1"/>
  <c r="CA33" i="2"/>
  <c r="CC33" i="2" s="1"/>
  <c r="BX33" i="2"/>
  <c r="BZ33" i="2" s="1"/>
  <c r="BW33" i="2"/>
  <c r="AA33" i="26" s="1"/>
  <c r="BV33" i="2"/>
  <c r="BU33" i="2"/>
  <c r="BT33" i="2"/>
  <c r="BS33" i="2"/>
  <c r="BR33" i="2"/>
  <c r="BP33" i="2"/>
  <c r="BO33" i="2"/>
  <c r="BQ33" i="2" s="1"/>
  <c r="BL33" i="2"/>
  <c r="BN33" i="2" s="1"/>
  <c r="BK33" i="2"/>
  <c r="W33" i="26" s="1"/>
  <c r="BI33" i="2"/>
  <c r="BJ33" i="2" s="1"/>
  <c r="BF33" i="2"/>
  <c r="BH33" i="2" s="1"/>
  <c r="BC33" i="2"/>
  <c r="AY33" i="2"/>
  <c r="AV33" i="2"/>
  <c r="AX33" i="2" s="1"/>
  <c r="AS33" i="2"/>
  <c r="AP33" i="2"/>
  <c r="AM33" i="2"/>
  <c r="AO33" i="2" s="1"/>
  <c r="AL33" i="2"/>
  <c r="AJ33" i="2"/>
  <c r="AK33" i="2" s="1"/>
  <c r="AI33" i="2"/>
  <c r="AH33" i="2"/>
  <c r="AG33" i="2"/>
  <c r="AD33" i="2"/>
  <c r="AA33" i="2"/>
  <c r="AC33" i="2" s="1"/>
  <c r="Z33" i="2"/>
  <c r="X33" i="2"/>
  <c r="Y33" i="2" s="1"/>
  <c r="W33" i="2"/>
  <c r="V33" i="2"/>
  <c r="U33" i="2"/>
  <c r="R33" i="2"/>
  <c r="O33" i="2"/>
  <c r="Q33" i="2" s="1"/>
  <c r="L33" i="2"/>
  <c r="K33" i="2"/>
  <c r="J33" i="2"/>
  <c r="I33" i="2"/>
  <c r="H33" i="2"/>
  <c r="G33" i="2"/>
  <c r="F33" i="2"/>
  <c r="D33" i="2"/>
  <c r="C33" i="2"/>
  <c r="E33" i="2" s="1"/>
  <c r="CV31" i="2"/>
  <c r="CX31" i="2" s="1"/>
  <c r="CU31" i="2"/>
  <c r="AI31" i="26" s="1"/>
  <c r="CS31" i="2"/>
  <c r="CT31" i="2" s="1"/>
  <c r="CP31" i="2"/>
  <c r="CR31" i="2" s="1"/>
  <c r="AH31" i="26" s="1"/>
  <c r="CM31" i="2"/>
  <c r="CO31" i="2" s="1"/>
  <c r="CJ31" i="2"/>
  <c r="CL31" i="2" s="1"/>
  <c r="AF31" i="26" s="1"/>
  <c r="CG31" i="2"/>
  <c r="CI31" i="2" s="1"/>
  <c r="AE31" i="26" s="1"/>
  <c r="CF31" i="2"/>
  <c r="AD31" i="26" s="1"/>
  <c r="CE31" i="2"/>
  <c r="CD31" i="2"/>
  <c r="CA31" i="2"/>
  <c r="CC31" i="2" s="1"/>
  <c r="BZ31" i="2"/>
  <c r="BX31" i="2"/>
  <c r="BY31" i="2" s="1"/>
  <c r="BW31" i="2"/>
  <c r="AA31" i="26" s="1"/>
  <c r="BU31" i="2"/>
  <c r="BV31" i="2" s="1"/>
  <c r="BR31" i="2"/>
  <c r="BT31" i="2" s="1"/>
  <c r="BO31" i="2"/>
  <c r="BQ31" i="2" s="1"/>
  <c r="BL31" i="2"/>
  <c r="BN31" i="2" s="1"/>
  <c r="BK31" i="2"/>
  <c r="W31" i="26" s="1"/>
  <c r="BJ31" i="2"/>
  <c r="BI31" i="2"/>
  <c r="BH31" i="2"/>
  <c r="BG31" i="2"/>
  <c r="BF31" i="2"/>
  <c r="BD31" i="2"/>
  <c r="BC31" i="2"/>
  <c r="BE31" i="2" s="1"/>
  <c r="AY31" i="2"/>
  <c r="BA31" i="2" s="1"/>
  <c r="AV31" i="2"/>
  <c r="AX31" i="2" s="1"/>
  <c r="AS31" i="2"/>
  <c r="AU31" i="2" s="1"/>
  <c r="AP31" i="2"/>
  <c r="AR31" i="2" s="1"/>
  <c r="P31" i="26" s="1"/>
  <c r="AM31" i="2"/>
  <c r="AO31" i="2" s="1"/>
  <c r="O31" i="26" s="1"/>
  <c r="AJ31" i="2"/>
  <c r="AL31" i="2" s="1"/>
  <c r="AI31" i="2"/>
  <c r="AG31" i="2"/>
  <c r="AH31" i="2" s="1"/>
  <c r="AD31" i="2"/>
  <c r="AF31" i="2" s="1"/>
  <c r="AA31" i="2"/>
  <c r="AC31" i="2" s="1"/>
  <c r="K31" i="26" s="1"/>
  <c r="Z31" i="2"/>
  <c r="X31" i="2"/>
  <c r="Y31" i="2" s="1"/>
  <c r="W31" i="2"/>
  <c r="V31" i="2"/>
  <c r="U31" i="2"/>
  <c r="T31" i="2"/>
  <c r="S31" i="2"/>
  <c r="R31" i="2"/>
  <c r="O31" i="2"/>
  <c r="Q31" i="2" s="1"/>
  <c r="N31" i="2"/>
  <c r="M31" i="2"/>
  <c r="L31" i="2"/>
  <c r="K31" i="2"/>
  <c r="J31" i="2"/>
  <c r="I31" i="2"/>
  <c r="F31" i="2"/>
  <c r="H31" i="2" s="1"/>
  <c r="D31" i="26" s="1"/>
  <c r="C31" i="2"/>
  <c r="E31" i="2" s="1"/>
  <c r="C31" i="26" s="1"/>
  <c r="T31" i="26" s="1"/>
  <c r="AL31" i="26" s="1"/>
  <c r="CV30" i="2"/>
  <c r="CX30" i="2" s="1"/>
  <c r="CU30" i="2"/>
  <c r="CT30" i="2"/>
  <c r="CS30" i="2"/>
  <c r="CR30" i="2"/>
  <c r="CQ30" i="2"/>
  <c r="CP30" i="2"/>
  <c r="CN30" i="2"/>
  <c r="CM30" i="2"/>
  <c r="CO30" i="2" s="1"/>
  <c r="AG30" i="26" s="1"/>
  <c r="CL30" i="2"/>
  <c r="CJ30" i="2"/>
  <c r="CK30" i="2" s="1"/>
  <c r="CG30" i="2"/>
  <c r="CD30" i="2"/>
  <c r="CA30" i="2"/>
  <c r="CC30" i="2" s="1"/>
  <c r="AC30" i="26" s="1"/>
  <c r="BZ30" i="2"/>
  <c r="AB30" i="26" s="1"/>
  <c r="BX30" i="2"/>
  <c r="BY30" i="2" s="1"/>
  <c r="BU30" i="2"/>
  <c r="BR30" i="2"/>
  <c r="BO30" i="2"/>
  <c r="BN30" i="2"/>
  <c r="BM30" i="2"/>
  <c r="BL30" i="2"/>
  <c r="BK30" i="2"/>
  <c r="BJ30" i="2"/>
  <c r="BI30" i="2"/>
  <c r="BF30" i="2"/>
  <c r="BH30" i="2" s="1"/>
  <c r="V30" i="26" s="1"/>
  <c r="BC30" i="2"/>
  <c r="AY30" i="2"/>
  <c r="AV30" i="2"/>
  <c r="AS30" i="2"/>
  <c r="AP30" i="2"/>
  <c r="AR30" i="2" s="1"/>
  <c r="P30" i="26" s="1"/>
  <c r="AM30" i="2"/>
  <c r="AO30" i="2" s="1"/>
  <c r="AJ30" i="2"/>
  <c r="AL30" i="2" s="1"/>
  <c r="N30" i="26" s="1"/>
  <c r="AG30" i="2"/>
  <c r="AD30" i="2"/>
  <c r="AA30" i="2"/>
  <c r="Z30" i="2"/>
  <c r="X30" i="2"/>
  <c r="Y30" i="2" s="1"/>
  <c r="U30" i="2"/>
  <c r="R30" i="2"/>
  <c r="O30" i="2"/>
  <c r="Q30" i="2" s="1"/>
  <c r="N30" i="2"/>
  <c r="L30" i="2"/>
  <c r="M30" i="2" s="1"/>
  <c r="I30" i="2"/>
  <c r="H30" i="2"/>
  <c r="G30" i="2"/>
  <c r="F30" i="2"/>
  <c r="C30" i="2"/>
  <c r="CX29" i="2"/>
  <c r="AJ29" i="26" s="1"/>
  <c r="CW29" i="2"/>
  <c r="CV29" i="2"/>
  <c r="CU29" i="2"/>
  <c r="CT29" i="2"/>
  <c r="CS29" i="2"/>
  <c r="CP29" i="2"/>
  <c r="CR29" i="2" s="1"/>
  <c r="CM29" i="2"/>
  <c r="CO29" i="2" s="1"/>
  <c r="CJ29" i="2"/>
  <c r="CG29" i="2"/>
  <c r="CF29" i="2"/>
  <c r="CE29" i="2"/>
  <c r="CD29" i="2"/>
  <c r="CB29" i="2"/>
  <c r="CA29" i="2"/>
  <c r="CC29" i="2" s="1"/>
  <c r="AC29" i="26" s="1"/>
  <c r="BX29" i="2"/>
  <c r="BW29" i="2"/>
  <c r="BU29" i="2"/>
  <c r="BV29" i="2" s="1"/>
  <c r="BR29" i="2"/>
  <c r="BO29" i="2"/>
  <c r="BN29" i="2"/>
  <c r="BL29" i="2"/>
  <c r="BM29" i="2" s="1"/>
  <c r="BK29" i="2"/>
  <c r="BJ29" i="2"/>
  <c r="BI29" i="2"/>
  <c r="BH29" i="2"/>
  <c r="BG29" i="2"/>
  <c r="BF29" i="2"/>
  <c r="BC29" i="2"/>
  <c r="AY29" i="2"/>
  <c r="AX29" i="2"/>
  <c r="R29" i="26" s="1"/>
  <c r="AV29" i="2"/>
  <c r="AW29" i="2" s="1"/>
  <c r="AS29" i="2"/>
  <c r="AR29" i="2"/>
  <c r="P29" i="26" s="1"/>
  <c r="AQ29" i="2"/>
  <c r="AP29" i="2"/>
  <c r="AM29" i="2"/>
  <c r="AO29" i="2" s="1"/>
  <c r="AJ29" i="2"/>
  <c r="AG29" i="2"/>
  <c r="AD29" i="2"/>
  <c r="AA29" i="2"/>
  <c r="AC29" i="2" s="1"/>
  <c r="K29" i="26" s="1"/>
  <c r="X29" i="2"/>
  <c r="U29" i="2"/>
  <c r="R29" i="2"/>
  <c r="P29" i="2"/>
  <c r="O29" i="2"/>
  <c r="Q29" i="2" s="1"/>
  <c r="G29" i="26" s="1"/>
  <c r="N29" i="2"/>
  <c r="F29" i="26" s="1"/>
  <c r="L29" i="2"/>
  <c r="M29" i="2" s="1"/>
  <c r="I29" i="2"/>
  <c r="F29" i="2"/>
  <c r="H29" i="2" s="1"/>
  <c r="C29" i="2"/>
  <c r="CV28" i="2"/>
  <c r="CX28" i="2" s="1"/>
  <c r="CT28" i="2"/>
  <c r="CS28" i="2"/>
  <c r="CU28" i="2" s="1"/>
  <c r="CQ28" i="2"/>
  <c r="CP28" i="2"/>
  <c r="CR28" i="2" s="1"/>
  <c r="CM28" i="2"/>
  <c r="CO28" i="2" s="1"/>
  <c r="CJ28" i="2"/>
  <c r="CL28" i="2" s="1"/>
  <c r="CI28" i="2"/>
  <c r="CG28" i="2"/>
  <c r="CH28" i="2" s="1"/>
  <c r="CD28" i="2"/>
  <c r="CF28" i="2" s="1"/>
  <c r="AD28" i="26" s="1"/>
  <c r="CA28" i="2"/>
  <c r="CC28" i="2" s="1"/>
  <c r="BX28" i="2"/>
  <c r="BZ28" i="2" s="1"/>
  <c r="AB28" i="26" s="1"/>
  <c r="BW28" i="2"/>
  <c r="BU28" i="2"/>
  <c r="BV28" i="2" s="1"/>
  <c r="BT28" i="2"/>
  <c r="Z28" i="26" s="1"/>
  <c r="BR28" i="2"/>
  <c r="BS28" i="2" s="1"/>
  <c r="BP28" i="2"/>
  <c r="BO28" i="2"/>
  <c r="BQ28" i="2" s="1"/>
  <c r="BN28" i="2"/>
  <c r="BL28" i="2"/>
  <c r="BM28" i="2" s="1"/>
  <c r="BK28" i="2"/>
  <c r="BI28" i="2"/>
  <c r="BJ28" i="2" s="1"/>
  <c r="BF28" i="2"/>
  <c r="BH28" i="2" s="1"/>
  <c r="BC28" i="2"/>
  <c r="BE28" i="2" s="1"/>
  <c r="AY28" i="2"/>
  <c r="BA28" i="2" s="1"/>
  <c r="AV28" i="2"/>
  <c r="AX28" i="2" s="1"/>
  <c r="R28" i="26" s="1"/>
  <c r="AU28" i="2"/>
  <c r="AS28" i="2"/>
  <c r="AT28" i="2" s="1"/>
  <c r="AP28" i="2"/>
  <c r="AR28" i="2" s="1"/>
  <c r="AM28" i="2"/>
  <c r="AO28" i="2" s="1"/>
  <c r="O28" i="26" s="1"/>
  <c r="AJ28" i="2"/>
  <c r="AL28" i="2" s="1"/>
  <c r="N28" i="26" s="1"/>
  <c r="AI28" i="2"/>
  <c r="M28" i="26" s="1"/>
  <c r="AH28" i="2"/>
  <c r="AG28" i="2"/>
  <c r="AF28" i="2"/>
  <c r="L28" i="26" s="1"/>
  <c r="AE28" i="2"/>
  <c r="AD28" i="2"/>
  <c r="AA28" i="2"/>
  <c r="AC28" i="2" s="1"/>
  <c r="Z28" i="2"/>
  <c r="X28" i="2"/>
  <c r="Y28" i="2" s="1"/>
  <c r="W28" i="2"/>
  <c r="I28" i="26" s="1"/>
  <c r="U28" i="2"/>
  <c r="V28" i="2" s="1"/>
  <c r="R28" i="2"/>
  <c r="T28" i="2" s="1"/>
  <c r="O28" i="2"/>
  <c r="Q28" i="2" s="1"/>
  <c r="L28" i="2"/>
  <c r="N28" i="2" s="1"/>
  <c r="K28" i="2"/>
  <c r="E28" i="26" s="1"/>
  <c r="J28" i="2"/>
  <c r="I28" i="2"/>
  <c r="H28" i="2"/>
  <c r="G28" i="2"/>
  <c r="F28" i="2"/>
  <c r="C28" i="2"/>
  <c r="E28" i="2" s="1"/>
  <c r="CV26" i="2"/>
  <c r="CW26" i="2" s="1"/>
  <c r="CU26" i="2"/>
  <c r="CS26" i="2"/>
  <c r="CT26" i="2" s="1"/>
  <c r="CP26" i="2"/>
  <c r="CR26" i="2" s="1"/>
  <c r="CM26" i="2"/>
  <c r="CL26" i="2"/>
  <c r="AF26" i="26" s="1"/>
  <c r="CJ26" i="2"/>
  <c r="CK26" i="2" s="1"/>
  <c r="CI26" i="2"/>
  <c r="CH26" i="2"/>
  <c r="CG26" i="2"/>
  <c r="CF26" i="2"/>
  <c r="CE26" i="2"/>
  <c r="CD26" i="2"/>
  <c r="CA26" i="2"/>
  <c r="BZ26" i="2"/>
  <c r="BY26" i="2"/>
  <c r="BX26" i="2"/>
  <c r="BW26" i="2"/>
  <c r="BV26" i="2"/>
  <c r="BU26" i="2"/>
  <c r="BR26" i="2"/>
  <c r="BT26" i="2" s="1"/>
  <c r="Z26" i="26" s="1"/>
  <c r="BO26" i="2"/>
  <c r="BL26" i="2"/>
  <c r="BN26" i="2" s="1"/>
  <c r="X26" i="26" s="1"/>
  <c r="BK26" i="2"/>
  <c r="W26" i="26" s="1"/>
  <c r="BJ26" i="2"/>
  <c r="BI26" i="2"/>
  <c r="BH26" i="2"/>
  <c r="V26" i="26" s="1"/>
  <c r="BG26" i="2"/>
  <c r="BF26" i="2"/>
  <c r="BC26" i="2"/>
  <c r="AY26" i="2"/>
  <c r="AV26" i="2"/>
  <c r="AX26" i="2" s="1"/>
  <c r="AU26" i="2"/>
  <c r="AT26" i="2"/>
  <c r="AS26" i="2"/>
  <c r="AQ26" i="2"/>
  <c r="AP26" i="2"/>
  <c r="AR26" i="2" s="1"/>
  <c r="P26" i="26" s="1"/>
  <c r="AM26" i="2"/>
  <c r="AJ26" i="2"/>
  <c r="AK26" i="2" s="1"/>
  <c r="AG26" i="2"/>
  <c r="AD26" i="2"/>
  <c r="AF26" i="2" s="1"/>
  <c r="L26" i="26" s="1"/>
  <c r="AA26" i="2"/>
  <c r="AB26" i="2" s="1"/>
  <c r="Z26" i="2"/>
  <c r="J26" i="26" s="1"/>
  <c r="X26" i="2"/>
  <c r="Y26" i="2" s="1"/>
  <c r="W26" i="2"/>
  <c r="V26" i="2"/>
  <c r="U26" i="2"/>
  <c r="T26" i="2"/>
  <c r="H26" i="26" s="1"/>
  <c r="S26" i="2"/>
  <c r="R26" i="2"/>
  <c r="O26" i="2"/>
  <c r="Q26" i="2" s="1"/>
  <c r="G26" i="26" s="1"/>
  <c r="N26" i="2"/>
  <c r="M26" i="2"/>
  <c r="L26" i="2"/>
  <c r="I26" i="2"/>
  <c r="F26" i="2"/>
  <c r="H26" i="2" s="1"/>
  <c r="D26" i="26" s="1"/>
  <c r="C26" i="2"/>
  <c r="CX25" i="2"/>
  <c r="CW25" i="2"/>
  <c r="CV25" i="2"/>
  <c r="CS25" i="2"/>
  <c r="CU25" i="2" s="1"/>
  <c r="CP25" i="2"/>
  <c r="CR25" i="2" s="1"/>
  <c r="AH25" i="26" s="1"/>
  <c r="CM25" i="2"/>
  <c r="CL25" i="2"/>
  <c r="CJ25" i="2"/>
  <c r="CK25" i="2" s="1"/>
  <c r="CH25" i="2"/>
  <c r="CG25" i="2"/>
  <c r="CI25" i="2" s="1"/>
  <c r="AE25" i="26" s="1"/>
  <c r="CF25" i="2"/>
  <c r="AD25" i="26" s="1"/>
  <c r="CE25" i="2"/>
  <c r="CD25" i="2"/>
  <c r="CC25" i="2"/>
  <c r="CB25" i="2"/>
  <c r="CA25" i="2"/>
  <c r="BZ25" i="2"/>
  <c r="AB25" i="26" s="1"/>
  <c r="BX25" i="2"/>
  <c r="BY25" i="2" s="1"/>
  <c r="BW25" i="2"/>
  <c r="BV25" i="2"/>
  <c r="BU25" i="2"/>
  <c r="BT25" i="2"/>
  <c r="BS25" i="2"/>
  <c r="BR25" i="2"/>
  <c r="BO25" i="2"/>
  <c r="BN25" i="2"/>
  <c r="X25" i="26" s="1"/>
  <c r="BM25" i="2"/>
  <c r="BL25" i="2"/>
  <c r="BK25" i="2"/>
  <c r="W25" i="26" s="1"/>
  <c r="BJ25" i="2"/>
  <c r="BI25" i="2"/>
  <c r="BF25" i="2"/>
  <c r="BH25" i="2" s="1"/>
  <c r="V25" i="26" s="1"/>
  <c r="BC25" i="2"/>
  <c r="AY25" i="2"/>
  <c r="AX25" i="2"/>
  <c r="R25" i="26" s="1"/>
  <c r="AW25" i="2"/>
  <c r="AV25" i="2"/>
  <c r="AU25" i="2"/>
  <c r="AT25" i="2"/>
  <c r="AS25" i="2"/>
  <c r="AQ25" i="2"/>
  <c r="AP25" i="2"/>
  <c r="AR25" i="2" s="1"/>
  <c r="AM25" i="2"/>
  <c r="AL25" i="2"/>
  <c r="AK25" i="2"/>
  <c r="AJ25" i="2"/>
  <c r="AG25" i="2"/>
  <c r="AF25" i="2"/>
  <c r="L25" i="26" s="1"/>
  <c r="AE25" i="2"/>
  <c r="AD25" i="2"/>
  <c r="AA25" i="2"/>
  <c r="Y25" i="2"/>
  <c r="X25" i="2"/>
  <c r="Z25" i="2" s="1"/>
  <c r="J25" i="26" s="1"/>
  <c r="W25" i="2"/>
  <c r="V25" i="2"/>
  <c r="U25" i="2"/>
  <c r="T25" i="2"/>
  <c r="S25" i="2"/>
  <c r="R25" i="2"/>
  <c r="O25" i="2"/>
  <c r="Q25" i="2" s="1"/>
  <c r="N25" i="2"/>
  <c r="F25" i="26" s="1"/>
  <c r="L25" i="2"/>
  <c r="M25" i="2" s="1"/>
  <c r="I25" i="2"/>
  <c r="H25" i="2"/>
  <c r="D25" i="26" s="1"/>
  <c r="F25" i="2"/>
  <c r="G25" i="2" s="1"/>
  <c r="C25" i="2"/>
  <c r="CV24" i="2"/>
  <c r="CV27" i="2" s="1"/>
  <c r="CU24" i="2"/>
  <c r="CT24" i="2"/>
  <c r="CS24" i="2"/>
  <c r="CQ24" i="2"/>
  <c r="CP24" i="2"/>
  <c r="CR24" i="2" s="1"/>
  <c r="CM24" i="2"/>
  <c r="CO24" i="2" s="1"/>
  <c r="AG24" i="26" s="1"/>
  <c r="CK24" i="2"/>
  <c r="CJ24" i="2"/>
  <c r="CH24" i="2"/>
  <c r="CG24" i="2"/>
  <c r="CE24" i="2"/>
  <c r="CD24" i="2"/>
  <c r="CF24" i="2" s="1"/>
  <c r="AD24" i="26" s="1"/>
  <c r="CA24" i="2"/>
  <c r="CA27" i="2" s="1"/>
  <c r="BZ24" i="2"/>
  <c r="AB24" i="26" s="1"/>
  <c r="BX24" i="2"/>
  <c r="BY24" i="2" s="1"/>
  <c r="BU24" i="2"/>
  <c r="BW24" i="2" s="1"/>
  <c r="AA24" i="26" s="1"/>
  <c r="BR24" i="2"/>
  <c r="BT24" i="2" s="1"/>
  <c r="Z24" i="26" s="1"/>
  <c r="BO24" i="2"/>
  <c r="BN24" i="2"/>
  <c r="BL24" i="2"/>
  <c r="BM24" i="2" s="1"/>
  <c r="BI24" i="2"/>
  <c r="BJ24" i="2" s="1"/>
  <c r="BG24" i="2"/>
  <c r="BF24" i="2"/>
  <c r="BH24" i="2" s="1"/>
  <c r="V24" i="26" s="1"/>
  <c r="BC24" i="2"/>
  <c r="AY24" i="2"/>
  <c r="AX24" i="2"/>
  <c r="R24" i="26" s="1"/>
  <c r="AV24" i="2"/>
  <c r="AW24" i="2" s="1"/>
  <c r="AS24" i="2"/>
  <c r="AU24" i="2" s="1"/>
  <c r="AR24" i="2"/>
  <c r="AP24" i="2"/>
  <c r="AQ24" i="2" s="1"/>
  <c r="AM24" i="2"/>
  <c r="AO24" i="2" s="1"/>
  <c r="O24" i="26" s="1"/>
  <c r="AJ24" i="2"/>
  <c r="AL24" i="2" s="1"/>
  <c r="N24" i="26" s="1"/>
  <c r="AI24" i="2"/>
  <c r="AH24" i="2"/>
  <c r="AG24" i="2"/>
  <c r="AD24" i="2"/>
  <c r="AF24" i="2" s="1"/>
  <c r="L24" i="26" s="1"/>
  <c r="AA24" i="2"/>
  <c r="AB24" i="2" s="1"/>
  <c r="Y24" i="2"/>
  <c r="X24" i="2"/>
  <c r="Z24" i="2" s="1"/>
  <c r="J24" i="26" s="1"/>
  <c r="V24" i="2"/>
  <c r="U24" i="2"/>
  <c r="W24" i="2" s="1"/>
  <c r="T24" i="2"/>
  <c r="H24" i="26" s="1"/>
  <c r="S24" i="2"/>
  <c r="R24" i="2"/>
  <c r="O24" i="2"/>
  <c r="L24" i="2"/>
  <c r="N24" i="2" s="1"/>
  <c r="F24" i="26" s="1"/>
  <c r="I24" i="2"/>
  <c r="F24" i="2"/>
  <c r="H24" i="2" s="1"/>
  <c r="D24" i="26" s="1"/>
  <c r="C24" i="2"/>
  <c r="CV21" i="2"/>
  <c r="CX21" i="2" s="1"/>
  <c r="CS21" i="2"/>
  <c r="CU21" i="2" s="1"/>
  <c r="CP21" i="2"/>
  <c r="CR21" i="2" s="1"/>
  <c r="CM21" i="2"/>
  <c r="CO21" i="2" s="1"/>
  <c r="CL21" i="2"/>
  <c r="AF21" i="26" s="1"/>
  <c r="CJ21" i="2"/>
  <c r="CK21" i="2" s="1"/>
  <c r="CI21" i="2"/>
  <c r="AE21" i="26" s="1"/>
  <c r="CG21" i="2"/>
  <c r="CH21" i="2" s="1"/>
  <c r="CF21" i="2"/>
  <c r="AD21" i="26" s="1"/>
  <c r="CD21" i="2"/>
  <c r="CE21" i="2" s="1"/>
  <c r="CC21" i="2"/>
  <c r="AC21" i="26" s="1"/>
  <c r="CA21" i="2"/>
  <c r="CB21" i="2" s="1"/>
  <c r="BX21" i="2"/>
  <c r="BZ21" i="2" s="1"/>
  <c r="AB21" i="26" s="1"/>
  <c r="BW21" i="2"/>
  <c r="AA21" i="26" s="1"/>
  <c r="BV21" i="2"/>
  <c r="BU21" i="2"/>
  <c r="BR21" i="2"/>
  <c r="BO21" i="2"/>
  <c r="BN21" i="2"/>
  <c r="X21" i="26" s="1"/>
  <c r="BM21" i="2"/>
  <c r="BL21" i="2"/>
  <c r="BI21" i="2"/>
  <c r="BK21" i="2" s="1"/>
  <c r="BF21" i="2"/>
  <c r="BH21" i="2" s="1"/>
  <c r="V21" i="26" s="1"/>
  <c r="BC21" i="2"/>
  <c r="BE21" i="2" s="1"/>
  <c r="U21" i="26" s="1"/>
  <c r="AY21" i="2"/>
  <c r="AV21" i="2"/>
  <c r="AX21" i="2" s="1"/>
  <c r="R21" i="26" s="1"/>
  <c r="AS21" i="2"/>
  <c r="AP21" i="2"/>
  <c r="AR21" i="2" s="1"/>
  <c r="P21" i="26" s="1"/>
  <c r="AM21" i="2"/>
  <c r="AJ21" i="2"/>
  <c r="AL21" i="2" s="1"/>
  <c r="N21" i="26" s="1"/>
  <c r="AG21" i="2"/>
  <c r="AD21" i="2"/>
  <c r="AA21" i="2"/>
  <c r="AC21" i="2" s="1"/>
  <c r="X21" i="2"/>
  <c r="W21" i="2"/>
  <c r="U21" i="2"/>
  <c r="V21" i="2" s="1"/>
  <c r="R21" i="2"/>
  <c r="Q21" i="2"/>
  <c r="P21" i="2"/>
  <c r="O21" i="2"/>
  <c r="L21" i="2"/>
  <c r="N21" i="2" s="1"/>
  <c r="F21" i="26" s="1"/>
  <c r="I21" i="2"/>
  <c r="H21" i="2"/>
  <c r="D21" i="26" s="1"/>
  <c r="G21" i="2"/>
  <c r="F21" i="2"/>
  <c r="C21" i="2"/>
  <c r="CV20" i="2"/>
  <c r="CX20" i="2" s="1"/>
  <c r="CS20" i="2"/>
  <c r="CU20" i="2" s="1"/>
  <c r="AI20" i="26" s="1"/>
  <c r="CP20" i="2"/>
  <c r="CR20" i="2" s="1"/>
  <c r="CM20" i="2"/>
  <c r="CO20" i="2" s="1"/>
  <c r="CJ20" i="2"/>
  <c r="CL20" i="2" s="1"/>
  <c r="CI20" i="2"/>
  <c r="CG20" i="2"/>
  <c r="CH20" i="2" s="1"/>
  <c r="CF20" i="2"/>
  <c r="CD20" i="2"/>
  <c r="CE20" i="2" s="1"/>
  <c r="CB20" i="2"/>
  <c r="CA20" i="2"/>
  <c r="CC20" i="2" s="1"/>
  <c r="AC20" i="26" s="1"/>
  <c r="BZ20" i="2"/>
  <c r="AB20" i="26" s="1"/>
  <c r="BX20" i="2"/>
  <c r="BY20" i="2" s="1"/>
  <c r="BW20" i="2"/>
  <c r="BU20" i="2"/>
  <c r="BV20" i="2" s="1"/>
  <c r="BT20" i="2"/>
  <c r="Z20" i="26" s="1"/>
  <c r="BS20" i="2"/>
  <c r="BR20" i="2"/>
  <c r="BO20" i="2"/>
  <c r="BL20" i="2"/>
  <c r="BN20" i="2" s="1"/>
  <c r="BK20" i="2"/>
  <c r="BJ20" i="2"/>
  <c r="BI20" i="2"/>
  <c r="BH20" i="2"/>
  <c r="BG20" i="2"/>
  <c r="BF20" i="2"/>
  <c r="BC20" i="2"/>
  <c r="BE20" i="2" s="1"/>
  <c r="U20" i="26" s="1"/>
  <c r="AY20" i="2"/>
  <c r="AV20" i="2"/>
  <c r="AX20" i="2" s="1"/>
  <c r="R20" i="26" s="1"/>
  <c r="AS20" i="2"/>
  <c r="AP20" i="2"/>
  <c r="AM20" i="2"/>
  <c r="AO20" i="2" s="1"/>
  <c r="O20" i="26" s="1"/>
  <c r="AJ20" i="2"/>
  <c r="AL20" i="2" s="1"/>
  <c r="N20" i="26" s="1"/>
  <c r="AG20" i="2"/>
  <c r="AI20" i="2" s="1"/>
  <c r="M20" i="26" s="1"/>
  <c r="AD20" i="2"/>
  <c r="AF20" i="2" s="1"/>
  <c r="L20" i="26" s="1"/>
  <c r="AA20" i="2"/>
  <c r="AC20" i="2" s="1"/>
  <c r="X20" i="2"/>
  <c r="W20" i="2"/>
  <c r="U20" i="2"/>
  <c r="V20" i="2" s="1"/>
  <c r="T20" i="2"/>
  <c r="R20" i="2"/>
  <c r="S20" i="2" s="1"/>
  <c r="P20" i="2"/>
  <c r="O20" i="2"/>
  <c r="Q20" i="2" s="1"/>
  <c r="G20" i="26" s="1"/>
  <c r="N20" i="2"/>
  <c r="F20" i="26" s="1"/>
  <c r="L20" i="2"/>
  <c r="M20" i="2" s="1"/>
  <c r="I20" i="2"/>
  <c r="G20" i="2"/>
  <c r="F20" i="2"/>
  <c r="H20" i="2" s="1"/>
  <c r="D20" i="26" s="1"/>
  <c r="C20" i="2"/>
  <c r="E20" i="2" s="1"/>
  <c r="CV19" i="2"/>
  <c r="CX19" i="2" s="1"/>
  <c r="CS19" i="2"/>
  <c r="CU19" i="2" s="1"/>
  <c r="CP19" i="2"/>
  <c r="CR19" i="2" s="1"/>
  <c r="CM19" i="2"/>
  <c r="CO19" i="2" s="1"/>
  <c r="CJ19" i="2"/>
  <c r="CL19" i="2" s="1"/>
  <c r="CG19" i="2"/>
  <c r="CI19" i="2" s="1"/>
  <c r="AE19" i="26" s="1"/>
  <c r="CF19" i="2"/>
  <c r="AD19" i="26" s="1"/>
  <c r="CD19" i="2"/>
  <c r="CE19" i="2" s="1"/>
  <c r="CA19" i="2"/>
  <c r="CC19" i="2" s="1"/>
  <c r="AC19" i="26" s="1"/>
  <c r="BZ19" i="2"/>
  <c r="AB19" i="26" s="1"/>
  <c r="BX19" i="2"/>
  <c r="BY19" i="2" s="1"/>
  <c r="BW19" i="2"/>
  <c r="AA19" i="26" s="1"/>
  <c r="BU19" i="2"/>
  <c r="BV19" i="2" s="1"/>
  <c r="BR19" i="2"/>
  <c r="BT19" i="2" s="1"/>
  <c r="Z19" i="26" s="1"/>
  <c r="BP19" i="2"/>
  <c r="BO19" i="2"/>
  <c r="BQ19" i="2" s="1"/>
  <c r="Y19" i="26" s="1"/>
  <c r="BN19" i="2"/>
  <c r="X19" i="26" s="1"/>
  <c r="BM19" i="2"/>
  <c r="BL19" i="2"/>
  <c r="BK19" i="2"/>
  <c r="BI19" i="2"/>
  <c r="BJ19" i="2" s="1"/>
  <c r="BG19" i="2"/>
  <c r="BF19" i="2"/>
  <c r="BH19" i="2" s="1"/>
  <c r="V19" i="26" s="1"/>
  <c r="BC19" i="2"/>
  <c r="BE19" i="2" s="1"/>
  <c r="U19" i="26" s="1"/>
  <c r="AY19" i="2"/>
  <c r="BA19" i="2" s="1"/>
  <c r="AV19" i="2"/>
  <c r="AX19" i="2" s="1"/>
  <c r="R19" i="26" s="1"/>
  <c r="AS19" i="2"/>
  <c r="AT19" i="2" s="1"/>
  <c r="AP19" i="2"/>
  <c r="AR19" i="2" s="1"/>
  <c r="P19" i="26" s="1"/>
  <c r="AM19" i="2"/>
  <c r="AO19" i="2" s="1"/>
  <c r="AJ19" i="2"/>
  <c r="AL19" i="2" s="1"/>
  <c r="N19" i="26" s="1"/>
  <c r="AG19" i="2"/>
  <c r="AI19" i="2" s="1"/>
  <c r="M19" i="26" s="1"/>
  <c r="AD19" i="2"/>
  <c r="AF19" i="2" s="1"/>
  <c r="L19" i="26" s="1"/>
  <c r="AA19" i="2"/>
  <c r="AC19" i="2" s="1"/>
  <c r="Z19" i="2"/>
  <c r="X19" i="2"/>
  <c r="Y19" i="2" s="1"/>
  <c r="W19" i="2"/>
  <c r="U19" i="2"/>
  <c r="V19" i="2" s="1"/>
  <c r="R19" i="2"/>
  <c r="T19" i="2" s="1"/>
  <c r="H19" i="26" s="1"/>
  <c r="O19" i="2"/>
  <c r="Q19" i="2" s="1"/>
  <c r="G19" i="26" s="1"/>
  <c r="N19" i="2"/>
  <c r="M19" i="2"/>
  <c r="L19" i="2"/>
  <c r="K19" i="2"/>
  <c r="E19" i="26" s="1"/>
  <c r="J19" i="2"/>
  <c r="I19" i="2"/>
  <c r="G19" i="2"/>
  <c r="F19" i="2"/>
  <c r="H19" i="2" s="1"/>
  <c r="D19" i="26" s="1"/>
  <c r="CX18" i="2"/>
  <c r="CW18" i="2"/>
  <c r="CV18" i="2"/>
  <c r="CU18" i="2"/>
  <c r="CT18" i="2"/>
  <c r="CS18" i="2"/>
  <c r="CP18" i="2"/>
  <c r="CM18" i="2"/>
  <c r="CJ18" i="2"/>
  <c r="CI18" i="2"/>
  <c r="CH18" i="2"/>
  <c r="CG18" i="2"/>
  <c r="CE18" i="2"/>
  <c r="CD18" i="2"/>
  <c r="CF18" i="2" s="1"/>
  <c r="AD18" i="26" s="1"/>
  <c r="CA18" i="2"/>
  <c r="CC18" i="2" s="1"/>
  <c r="AC18" i="26" s="1"/>
  <c r="BZ18" i="2"/>
  <c r="AB18" i="26" s="1"/>
  <c r="BY18" i="2"/>
  <c r="BX18" i="2"/>
  <c r="BW18" i="2"/>
  <c r="BV18" i="2"/>
  <c r="BU18" i="2"/>
  <c r="BS18" i="2"/>
  <c r="BR18" i="2"/>
  <c r="BT18" i="2" s="1"/>
  <c r="BO18" i="2"/>
  <c r="BN18" i="2"/>
  <c r="BM18" i="2"/>
  <c r="BL18" i="2"/>
  <c r="BI18" i="2"/>
  <c r="BF18" i="2"/>
  <c r="BC18" i="2"/>
  <c r="BC22" i="2" s="1"/>
  <c r="AY18" i="2"/>
  <c r="AX18" i="2"/>
  <c r="R18" i="26" s="1"/>
  <c r="AW18" i="2"/>
  <c r="AV18" i="2"/>
  <c r="AU18" i="2"/>
  <c r="AT18" i="2"/>
  <c r="AS18" i="2"/>
  <c r="AP18" i="2"/>
  <c r="AM18" i="2"/>
  <c r="AJ18" i="2"/>
  <c r="AI18" i="2"/>
  <c r="AH18" i="2"/>
  <c r="AG18" i="2"/>
  <c r="AD18" i="2"/>
  <c r="AF18" i="2" s="1"/>
  <c r="L18" i="26" s="1"/>
  <c r="AA18" i="2"/>
  <c r="Z18" i="2"/>
  <c r="X18" i="2"/>
  <c r="Y18" i="2" s="1"/>
  <c r="W18" i="2"/>
  <c r="V18" i="2"/>
  <c r="U18" i="2"/>
  <c r="S18" i="2"/>
  <c r="R18" i="2"/>
  <c r="T18" i="2" s="1"/>
  <c r="O18" i="2"/>
  <c r="L18" i="2"/>
  <c r="I18" i="2"/>
  <c r="G18" i="2"/>
  <c r="F18" i="2"/>
  <c r="H18" i="2" s="1"/>
  <c r="C18" i="2"/>
  <c r="E18" i="2" s="1"/>
  <c r="CX16" i="2"/>
  <c r="CW16" i="2"/>
  <c r="CV16" i="2"/>
  <c r="CU16" i="2"/>
  <c r="CT16" i="2"/>
  <c r="CS16" i="2"/>
  <c r="CQ16" i="2"/>
  <c r="CP16" i="2"/>
  <c r="CR16" i="2" s="1"/>
  <c r="CM16" i="2"/>
  <c r="CL16" i="2"/>
  <c r="AF16" i="26" s="1"/>
  <c r="CK16" i="2"/>
  <c r="CJ16" i="2"/>
  <c r="CG16" i="2"/>
  <c r="CD16" i="2"/>
  <c r="CF16" i="2" s="1"/>
  <c r="AD16" i="26" s="1"/>
  <c r="CA16" i="2"/>
  <c r="BZ16" i="2"/>
  <c r="AB16" i="26" s="1"/>
  <c r="BX16" i="2"/>
  <c r="BY16" i="2" s="1"/>
  <c r="BY17" i="2" s="1"/>
  <c r="BW16" i="2"/>
  <c r="BV16" i="2"/>
  <c r="BU16" i="2"/>
  <c r="BS16" i="2"/>
  <c r="BR16" i="2"/>
  <c r="BT16" i="2" s="1"/>
  <c r="Z16" i="26" s="1"/>
  <c r="BO16" i="2"/>
  <c r="BN16" i="2"/>
  <c r="BM16" i="2"/>
  <c r="BL16" i="2"/>
  <c r="BI16" i="2"/>
  <c r="BF16" i="2"/>
  <c r="BC16" i="2"/>
  <c r="BE16" i="2" s="1"/>
  <c r="U16" i="26" s="1"/>
  <c r="AY16" i="2"/>
  <c r="AV16" i="2"/>
  <c r="AS16" i="2"/>
  <c r="AQ16" i="2"/>
  <c r="AP16" i="2"/>
  <c r="AR16" i="2" s="1"/>
  <c r="P16" i="26" s="1"/>
  <c r="AM16" i="2"/>
  <c r="AO16" i="2" s="1"/>
  <c r="AL16" i="2"/>
  <c r="N16" i="26" s="1"/>
  <c r="AK16" i="2"/>
  <c r="AJ16" i="2"/>
  <c r="AI16" i="2"/>
  <c r="M16" i="26" s="1"/>
  <c r="AH16" i="2"/>
  <c r="AG16" i="2"/>
  <c r="AD16" i="2"/>
  <c r="AA16" i="2"/>
  <c r="Z16" i="2"/>
  <c r="J16" i="26" s="1"/>
  <c r="Y16" i="2"/>
  <c r="X16" i="2"/>
  <c r="W16" i="2"/>
  <c r="V16" i="2"/>
  <c r="U16" i="2"/>
  <c r="R16" i="2"/>
  <c r="T16" i="2" s="1"/>
  <c r="H16" i="26" s="1"/>
  <c r="O16" i="2"/>
  <c r="L16" i="2"/>
  <c r="I16" i="2"/>
  <c r="G16" i="2"/>
  <c r="F16" i="2"/>
  <c r="H16" i="2" s="1"/>
  <c r="C16" i="2"/>
  <c r="E16" i="2" s="1"/>
  <c r="C16" i="26" s="1"/>
  <c r="T16" i="26" s="1"/>
  <c r="AL16" i="26" s="1"/>
  <c r="CV15" i="2"/>
  <c r="CU15" i="2"/>
  <c r="CT15" i="2"/>
  <c r="CS15" i="2"/>
  <c r="CP15" i="2"/>
  <c r="CM15" i="2"/>
  <c r="CL15" i="2"/>
  <c r="CK15" i="2"/>
  <c r="CJ15" i="2"/>
  <c r="CG15" i="2"/>
  <c r="CE15" i="2"/>
  <c r="CD15" i="2"/>
  <c r="CF15" i="2" s="1"/>
  <c r="AD15" i="26" s="1"/>
  <c r="CA15" i="2"/>
  <c r="BZ15" i="2"/>
  <c r="AB15" i="26" s="1"/>
  <c r="BY15" i="2"/>
  <c r="BX15" i="2"/>
  <c r="BW15" i="2"/>
  <c r="BV15" i="2"/>
  <c r="BU15" i="2"/>
  <c r="BR15" i="2"/>
  <c r="BT15" i="2" s="1"/>
  <c r="Z15" i="26" s="1"/>
  <c r="BO15" i="2"/>
  <c r="BN15" i="2"/>
  <c r="X15" i="26" s="1"/>
  <c r="BL15" i="2"/>
  <c r="BM15" i="2" s="1"/>
  <c r="BI15" i="2"/>
  <c r="BF15" i="2"/>
  <c r="BC15" i="2"/>
  <c r="AY15" i="2"/>
  <c r="AV15" i="2"/>
  <c r="AS15" i="2"/>
  <c r="AP15" i="2"/>
  <c r="AM15" i="2"/>
  <c r="AJ15" i="2"/>
  <c r="AI15" i="2"/>
  <c r="AH15" i="2"/>
  <c r="AG15" i="2"/>
  <c r="AD15" i="2"/>
  <c r="AA15" i="2"/>
  <c r="X15" i="2"/>
  <c r="W15" i="2"/>
  <c r="V15" i="2"/>
  <c r="U15" i="2"/>
  <c r="S15" i="2"/>
  <c r="R15" i="2"/>
  <c r="T15" i="2" s="1"/>
  <c r="O15" i="2"/>
  <c r="L15" i="2"/>
  <c r="I15" i="2"/>
  <c r="F15" i="2"/>
  <c r="H15" i="2" s="1"/>
  <c r="D15" i="26" s="1"/>
  <c r="C15" i="2"/>
  <c r="CX13" i="2"/>
  <c r="CV13" i="2"/>
  <c r="CW13" i="2" s="1"/>
  <c r="CU13" i="2"/>
  <c r="CT13" i="2"/>
  <c r="CS13" i="2"/>
  <c r="CP13" i="2"/>
  <c r="CM13" i="2"/>
  <c r="CO13" i="2" s="1"/>
  <c r="CL13" i="2"/>
  <c r="AF13" i="26" s="1"/>
  <c r="CK13" i="2"/>
  <c r="CJ13" i="2"/>
  <c r="CI13" i="2"/>
  <c r="CH13" i="2"/>
  <c r="CG13" i="2"/>
  <c r="CE13" i="2"/>
  <c r="CD13" i="2"/>
  <c r="CF13" i="2" s="1"/>
  <c r="AD13" i="26" s="1"/>
  <c r="CA13" i="2"/>
  <c r="CC13" i="2" s="1"/>
  <c r="BZ13" i="2"/>
  <c r="BY13" i="2"/>
  <c r="BX13" i="2"/>
  <c r="BW13" i="2"/>
  <c r="AA13" i="26" s="1"/>
  <c r="BV13" i="2"/>
  <c r="BU13" i="2"/>
  <c r="BS13" i="2"/>
  <c r="BR13" i="2"/>
  <c r="BT13" i="2" s="1"/>
  <c r="Z13" i="26" s="1"/>
  <c r="BO13" i="2"/>
  <c r="BN13" i="2"/>
  <c r="BM13" i="2"/>
  <c r="BL13" i="2"/>
  <c r="BK13" i="2"/>
  <c r="BJ13" i="2"/>
  <c r="BI13" i="2"/>
  <c r="BF13" i="2"/>
  <c r="BH13" i="2" s="1"/>
  <c r="BC13" i="2"/>
  <c r="AY13" i="2"/>
  <c r="AX13" i="2"/>
  <c r="AW13" i="2"/>
  <c r="AV13" i="2"/>
  <c r="AS13" i="2"/>
  <c r="AP13" i="2"/>
  <c r="AM13" i="2"/>
  <c r="AL13" i="2"/>
  <c r="N13" i="26" s="1"/>
  <c r="AJ13" i="2"/>
  <c r="AK13" i="2" s="1"/>
  <c r="AI13" i="2"/>
  <c r="AH13" i="2"/>
  <c r="AG13" i="2"/>
  <c r="AD13" i="2"/>
  <c r="AA13" i="2"/>
  <c r="AC13" i="2" s="1"/>
  <c r="Z13" i="2"/>
  <c r="Y13" i="2"/>
  <c r="X13" i="2"/>
  <c r="W13" i="2"/>
  <c r="V13" i="2"/>
  <c r="U13" i="2"/>
  <c r="R13" i="2"/>
  <c r="O13" i="2"/>
  <c r="Q13" i="2" s="1"/>
  <c r="L13" i="2"/>
  <c r="I13" i="2"/>
  <c r="G13" i="2"/>
  <c r="F13" i="2"/>
  <c r="H13" i="2" s="1"/>
  <c r="D13" i="26" s="1"/>
  <c r="C13" i="2"/>
  <c r="CX12" i="2"/>
  <c r="AJ12" i="26" s="1"/>
  <c r="CW12" i="2"/>
  <c r="CV12" i="2"/>
  <c r="CU12" i="2"/>
  <c r="CT12" i="2"/>
  <c r="CS12" i="2"/>
  <c r="CP12" i="2"/>
  <c r="CM12" i="2"/>
  <c r="CL12" i="2"/>
  <c r="CJ12" i="2"/>
  <c r="CK12" i="2" s="1"/>
  <c r="CI12" i="2"/>
  <c r="CH12" i="2"/>
  <c r="CG12" i="2"/>
  <c r="CE12" i="2"/>
  <c r="CD12" i="2"/>
  <c r="CF12" i="2" s="1"/>
  <c r="CA12" i="2"/>
  <c r="BZ12" i="2"/>
  <c r="AB12" i="26" s="1"/>
  <c r="BY12" i="2"/>
  <c r="BX12" i="2"/>
  <c r="BW12" i="2"/>
  <c r="AA12" i="26" s="1"/>
  <c r="BV12" i="2"/>
  <c r="BU12" i="2"/>
  <c r="BS12" i="2"/>
  <c r="BR12" i="2"/>
  <c r="BT12" i="2" s="1"/>
  <c r="BO12" i="2"/>
  <c r="BN12" i="2"/>
  <c r="BM12" i="2"/>
  <c r="BL12" i="2"/>
  <c r="BK12" i="2"/>
  <c r="BJ12" i="2"/>
  <c r="BI12" i="2"/>
  <c r="BG12" i="2"/>
  <c r="BF12" i="2"/>
  <c r="BH12" i="2" s="1"/>
  <c r="V12" i="26" s="1"/>
  <c r="BC12" i="2"/>
  <c r="AY12" i="2"/>
  <c r="BA12" i="2" s="1"/>
  <c r="AV12" i="2"/>
  <c r="AX12" i="2" s="1"/>
  <c r="R12" i="26" s="1"/>
  <c r="AS12" i="2"/>
  <c r="AP12" i="2"/>
  <c r="AM12" i="2"/>
  <c r="AJ12" i="2"/>
  <c r="AG12" i="2"/>
  <c r="AH12" i="2" s="1"/>
  <c r="AD12" i="2"/>
  <c r="AA12" i="2"/>
  <c r="Z12" i="2"/>
  <c r="X12" i="2"/>
  <c r="Y12" i="2" s="1"/>
  <c r="W12" i="2"/>
  <c r="I12" i="26" s="1"/>
  <c r="U12" i="2"/>
  <c r="V12" i="2" s="1"/>
  <c r="R12" i="2"/>
  <c r="T12" i="2" s="1"/>
  <c r="H12" i="26" s="1"/>
  <c r="O12" i="2"/>
  <c r="Q12" i="2" s="1"/>
  <c r="G12" i="26" s="1"/>
  <c r="L12" i="2"/>
  <c r="I12" i="2"/>
  <c r="H12" i="2"/>
  <c r="G12" i="2"/>
  <c r="F12" i="2"/>
  <c r="C12" i="2"/>
  <c r="CX11" i="2"/>
  <c r="CV11" i="2"/>
  <c r="CW11" i="2" s="1"/>
  <c r="CS11" i="2"/>
  <c r="CU11" i="2" s="1"/>
  <c r="CP11" i="2"/>
  <c r="CM11" i="2"/>
  <c r="CO11" i="2" s="1"/>
  <c r="AG11" i="26" s="1"/>
  <c r="CL11" i="2"/>
  <c r="AF11" i="26" s="1"/>
  <c r="CK11" i="2"/>
  <c r="CJ11" i="2"/>
  <c r="CG11" i="2"/>
  <c r="CI11" i="2" s="1"/>
  <c r="AE11" i="26" s="1"/>
  <c r="CD11" i="2"/>
  <c r="CF11" i="2" s="1"/>
  <c r="AD11" i="26" s="1"/>
  <c r="CB11" i="2"/>
  <c r="CA11" i="2"/>
  <c r="CC11" i="2" s="1"/>
  <c r="AC11" i="26" s="1"/>
  <c r="BX11" i="2"/>
  <c r="BZ11" i="2" s="1"/>
  <c r="BU11" i="2"/>
  <c r="BW11" i="2" s="1"/>
  <c r="AA11" i="26" s="1"/>
  <c r="BR11" i="2"/>
  <c r="BO11" i="2"/>
  <c r="BO14" i="2" s="1"/>
  <c r="BL11" i="2"/>
  <c r="BN11" i="2" s="1"/>
  <c r="X11" i="26" s="1"/>
  <c r="BJ11" i="2"/>
  <c r="BI11" i="2"/>
  <c r="BK11" i="2" s="1"/>
  <c r="W11" i="26" s="1"/>
  <c r="BF11" i="2"/>
  <c r="BH11" i="2" s="1"/>
  <c r="V11" i="26" s="1"/>
  <c r="BC11" i="2"/>
  <c r="AY11" i="2"/>
  <c r="AX11" i="2"/>
  <c r="R11" i="26" s="1"/>
  <c r="AV11" i="2"/>
  <c r="AW11" i="2" s="1"/>
  <c r="AS11" i="2"/>
  <c r="AP11" i="2"/>
  <c r="AO11" i="2"/>
  <c r="O11" i="26" s="1"/>
  <c r="AM11" i="2"/>
  <c r="AN11" i="2" s="1"/>
  <c r="AJ11" i="2"/>
  <c r="AI11" i="2"/>
  <c r="M11" i="26" s="1"/>
  <c r="AG11" i="2"/>
  <c r="AH11" i="2" s="1"/>
  <c r="AD11" i="2"/>
  <c r="AA11" i="2"/>
  <c r="X11" i="2"/>
  <c r="U11" i="2"/>
  <c r="W11" i="2" s="1"/>
  <c r="R11" i="2"/>
  <c r="T11" i="2" s="1"/>
  <c r="H11" i="26" s="1"/>
  <c r="Q11" i="2"/>
  <c r="G11" i="26" s="1"/>
  <c r="P11" i="2"/>
  <c r="O11" i="2"/>
  <c r="L11" i="2"/>
  <c r="I11" i="2"/>
  <c r="F11" i="2"/>
  <c r="C11" i="2"/>
  <c r="E11" i="2" s="1"/>
  <c r="CV9" i="2"/>
  <c r="CX9" i="2" s="1"/>
  <c r="AJ9" i="26" s="1"/>
  <c r="CU9" i="2"/>
  <c r="CT9" i="2"/>
  <c r="CS9" i="2"/>
  <c r="CP9" i="2"/>
  <c r="CR9" i="2" s="1"/>
  <c r="AH9" i="26" s="1"/>
  <c r="CO9" i="2"/>
  <c r="AG9" i="26" s="1"/>
  <c r="CM9" i="2"/>
  <c r="CN9" i="2" s="1"/>
  <c r="CJ9" i="2"/>
  <c r="CL9" i="2" s="1"/>
  <c r="AF9" i="26" s="1"/>
  <c r="CG9" i="2"/>
  <c r="CG10" i="2" s="1"/>
  <c r="CE9" i="2"/>
  <c r="CD9" i="2"/>
  <c r="CF9" i="2" s="1"/>
  <c r="CC9" i="2"/>
  <c r="AC9" i="26" s="1"/>
  <c r="CA9" i="2"/>
  <c r="CB9" i="2" s="1"/>
  <c r="BZ9" i="2"/>
  <c r="AB9" i="26" s="1"/>
  <c r="BY9" i="2"/>
  <c r="BX9" i="2"/>
  <c r="BV9" i="2"/>
  <c r="BU9" i="2"/>
  <c r="BW9" i="2" s="1"/>
  <c r="BT9" i="2"/>
  <c r="BS9" i="2"/>
  <c r="BR9" i="2"/>
  <c r="BQ9" i="2"/>
  <c r="BP9" i="2"/>
  <c r="BO9" i="2"/>
  <c r="BN9" i="2"/>
  <c r="X9" i="26" s="1"/>
  <c r="BL9" i="2"/>
  <c r="BL10" i="2" s="1"/>
  <c r="BI9" i="2"/>
  <c r="BK9" i="2" s="1"/>
  <c r="W9" i="26" s="1"/>
  <c r="BF9" i="2"/>
  <c r="BC9" i="2"/>
  <c r="BE9" i="2" s="1"/>
  <c r="U9" i="26" s="1"/>
  <c r="AY9" i="2"/>
  <c r="BA9" i="2" s="1"/>
  <c r="S9" i="26" s="1"/>
  <c r="AV9" i="2"/>
  <c r="AX9" i="2" s="1"/>
  <c r="AU9" i="2"/>
  <c r="Q9" i="26" s="1"/>
  <c r="AT9" i="2"/>
  <c r="AS9" i="2"/>
  <c r="AP9" i="2"/>
  <c r="AM9" i="2"/>
  <c r="AO9" i="2" s="1"/>
  <c r="O9" i="26" s="1"/>
  <c r="AJ9" i="2"/>
  <c r="AL9" i="2" s="1"/>
  <c r="N9" i="26" s="1"/>
  <c r="AG9" i="2"/>
  <c r="AI9" i="2" s="1"/>
  <c r="M9" i="26" s="1"/>
  <c r="AD9" i="2"/>
  <c r="AF9" i="2" s="1"/>
  <c r="AC9" i="2"/>
  <c r="K9" i="26" s="1"/>
  <c r="AA9" i="2"/>
  <c r="AB9" i="2" s="1"/>
  <c r="X9" i="2"/>
  <c r="Z9" i="2" s="1"/>
  <c r="J9" i="26" s="1"/>
  <c r="U9" i="2"/>
  <c r="W9" i="2" s="1"/>
  <c r="I9" i="26" s="1"/>
  <c r="S9" i="2"/>
  <c r="R9" i="2"/>
  <c r="T9" i="2" s="1"/>
  <c r="O9" i="2"/>
  <c r="Q9" i="2" s="1"/>
  <c r="G9" i="26" s="1"/>
  <c r="N9" i="2"/>
  <c r="F9" i="26" s="1"/>
  <c r="M9" i="2"/>
  <c r="L9" i="2"/>
  <c r="J9" i="2"/>
  <c r="I9" i="2"/>
  <c r="K9" i="2" s="1"/>
  <c r="G9" i="2"/>
  <c r="F9" i="2"/>
  <c r="H9" i="2" s="1"/>
  <c r="D9" i="26" s="1"/>
  <c r="C9" i="2"/>
  <c r="E9" i="2" s="1"/>
  <c r="CX8" i="2"/>
  <c r="CW8" i="2"/>
  <c r="CV8" i="2"/>
  <c r="CU8" i="2"/>
  <c r="CT8" i="2"/>
  <c r="CS8" i="2"/>
  <c r="CP8" i="2"/>
  <c r="CO8" i="2"/>
  <c r="CN8" i="2"/>
  <c r="CM8" i="2"/>
  <c r="CJ8" i="2"/>
  <c r="CG8" i="2"/>
  <c r="CI8" i="2" s="1"/>
  <c r="AE8" i="26" s="1"/>
  <c r="CF8" i="2"/>
  <c r="AD8" i="26" s="1"/>
  <c r="CE8" i="2"/>
  <c r="CD8" i="2"/>
  <c r="CC8" i="2"/>
  <c r="AC8" i="26" s="1"/>
  <c r="CA8" i="2"/>
  <c r="CB8" i="2" s="1"/>
  <c r="BY8" i="2"/>
  <c r="BX8" i="2"/>
  <c r="BZ8" i="2" s="1"/>
  <c r="AB8" i="26" s="1"/>
  <c r="BW8" i="2"/>
  <c r="AA8" i="26" s="1"/>
  <c r="BU8" i="2"/>
  <c r="BV8" i="2" s="1"/>
  <c r="BR8" i="2"/>
  <c r="BT8" i="2" s="1"/>
  <c r="BO8" i="2"/>
  <c r="BQ8" i="2" s="1"/>
  <c r="Y8" i="26" s="1"/>
  <c r="BN8" i="2"/>
  <c r="BM8" i="2"/>
  <c r="BL8" i="2"/>
  <c r="BJ8" i="2"/>
  <c r="BI8" i="2"/>
  <c r="BK8" i="2" s="1"/>
  <c r="W8" i="26" s="1"/>
  <c r="BF8" i="2"/>
  <c r="BF10" i="2" s="1"/>
  <c r="BC8" i="2"/>
  <c r="BE8" i="2" s="1"/>
  <c r="U8" i="26" s="1"/>
  <c r="AY8" i="2"/>
  <c r="BA8" i="2" s="1"/>
  <c r="AX8" i="2"/>
  <c r="AW8" i="2"/>
  <c r="AV8" i="2"/>
  <c r="AS8" i="2"/>
  <c r="AU8" i="2" s="1"/>
  <c r="AQ8" i="2"/>
  <c r="AP8" i="2"/>
  <c r="AR8" i="2" s="1"/>
  <c r="P8" i="26" s="1"/>
  <c r="AO8" i="2"/>
  <c r="O8" i="26" s="1"/>
  <c r="AM8" i="2"/>
  <c r="AN8" i="2" s="1"/>
  <c r="AJ8" i="2"/>
  <c r="AL8" i="2" s="1"/>
  <c r="N8" i="26" s="1"/>
  <c r="AG8" i="2"/>
  <c r="AI8" i="2" s="1"/>
  <c r="M8" i="26" s="1"/>
  <c r="AD8" i="2"/>
  <c r="AA8" i="2"/>
  <c r="AC8" i="2" s="1"/>
  <c r="K8" i="26" s="1"/>
  <c r="Y8" i="2"/>
  <c r="X8" i="2"/>
  <c r="Z8" i="2" s="1"/>
  <c r="W8" i="2"/>
  <c r="U8" i="2"/>
  <c r="V8" i="2" s="1"/>
  <c r="R8" i="2"/>
  <c r="T8" i="2" s="1"/>
  <c r="H8" i="26" s="1"/>
  <c r="Q8" i="2"/>
  <c r="O8" i="2"/>
  <c r="P8" i="2" s="1"/>
  <c r="L8" i="2"/>
  <c r="J8" i="2"/>
  <c r="I8" i="2"/>
  <c r="K8" i="2" s="1"/>
  <c r="E8" i="26" s="1"/>
  <c r="H8" i="2"/>
  <c r="D8" i="26" s="1"/>
  <c r="F8" i="2"/>
  <c r="G8" i="2" s="1"/>
  <c r="C8" i="2"/>
  <c r="E8" i="2" s="1"/>
  <c r="CX7" i="2"/>
  <c r="CW7" i="2"/>
  <c r="CV7" i="2"/>
  <c r="CS7" i="2"/>
  <c r="CU7" i="2" s="1"/>
  <c r="CP7" i="2"/>
  <c r="CP10" i="2" s="1"/>
  <c r="CM7" i="2"/>
  <c r="CM10" i="2" s="1"/>
  <c r="CL7" i="2"/>
  <c r="CK7" i="2"/>
  <c r="CJ7" i="2"/>
  <c r="CG7" i="2"/>
  <c r="CI7" i="2" s="1"/>
  <c r="AE7" i="26" s="1"/>
  <c r="CD7" i="2"/>
  <c r="CA7" i="2"/>
  <c r="CC7" i="2" s="1"/>
  <c r="AC7" i="26" s="1"/>
  <c r="BX7" i="2"/>
  <c r="BX10" i="2" s="1"/>
  <c r="BU7" i="2"/>
  <c r="BU10" i="2" s="1"/>
  <c r="BT7" i="2"/>
  <c r="BS7" i="2"/>
  <c r="BR7" i="2"/>
  <c r="BQ7" i="2"/>
  <c r="Y7" i="26" s="1"/>
  <c r="BO7" i="2"/>
  <c r="BP7" i="2" s="1"/>
  <c r="BN7" i="2"/>
  <c r="BM7" i="2"/>
  <c r="BL7" i="2"/>
  <c r="BJ7" i="2"/>
  <c r="BI7" i="2"/>
  <c r="BK7" i="2" s="1"/>
  <c r="W7" i="26" s="1"/>
  <c r="BF7" i="2"/>
  <c r="BH7" i="2" s="1"/>
  <c r="V7" i="26" s="1"/>
  <c r="BD7" i="2"/>
  <c r="BC7" i="2"/>
  <c r="BE7" i="2" s="1"/>
  <c r="U7" i="26" s="1"/>
  <c r="BA7" i="2"/>
  <c r="S7" i="26" s="1"/>
  <c r="AY7" i="2"/>
  <c r="AZ7" i="2" s="1"/>
  <c r="AV7" i="2"/>
  <c r="AX7" i="2" s="1"/>
  <c r="R7" i="26" s="1"/>
  <c r="AS7" i="2"/>
  <c r="AU7" i="2" s="1"/>
  <c r="Q7" i="26" s="1"/>
  <c r="AP7" i="2"/>
  <c r="AR7" i="2" s="1"/>
  <c r="P7" i="26" s="1"/>
  <c r="AM7" i="2"/>
  <c r="AO7" i="2" s="1"/>
  <c r="O7" i="26" s="1"/>
  <c r="AL7" i="2"/>
  <c r="AK7" i="2"/>
  <c r="AJ7" i="2"/>
  <c r="AG7" i="2"/>
  <c r="AI7" i="2" s="1"/>
  <c r="AF7" i="2"/>
  <c r="AE7" i="2"/>
  <c r="AD7" i="2"/>
  <c r="AB7" i="2"/>
  <c r="AA7" i="2"/>
  <c r="AC7" i="2" s="1"/>
  <c r="K7" i="26" s="1"/>
  <c r="X7" i="2"/>
  <c r="Z7" i="2" s="1"/>
  <c r="J7" i="26" s="1"/>
  <c r="V7" i="2"/>
  <c r="U7" i="2"/>
  <c r="W7" i="2" s="1"/>
  <c r="I7" i="26" s="1"/>
  <c r="S7" i="2"/>
  <c r="R7" i="2"/>
  <c r="T7" i="2" s="1"/>
  <c r="O7" i="2"/>
  <c r="Q7" i="2" s="1"/>
  <c r="G7" i="26" s="1"/>
  <c r="N7" i="2"/>
  <c r="F7" i="26" s="1"/>
  <c r="L7" i="2"/>
  <c r="M7" i="2" s="1"/>
  <c r="K7" i="2"/>
  <c r="E7" i="26" s="1"/>
  <c r="J7" i="2"/>
  <c r="I7" i="2"/>
  <c r="H7" i="2"/>
  <c r="G7" i="2"/>
  <c r="F7" i="2"/>
  <c r="E7" i="2"/>
  <c r="C7" i="2"/>
  <c r="D7" i="2" s="1"/>
  <c r="BS65" i="2"/>
  <c r="BM65" i="2"/>
  <c r="M65" i="2"/>
  <c r="G65" i="2"/>
  <c r="CK65" i="2"/>
  <c r="CE65" i="2"/>
  <c r="BY65" i="2"/>
  <c r="AT65" i="2"/>
  <c r="AK65" i="2"/>
  <c r="Y65" i="2"/>
  <c r="F4" i="23"/>
  <c r="CV55" i="2"/>
  <c r="CS55" i="2"/>
  <c r="CP55" i="2"/>
  <c r="CM55" i="2"/>
  <c r="CJ55" i="2"/>
  <c r="CG55" i="2"/>
  <c r="CD55" i="2"/>
  <c r="CA55" i="2"/>
  <c r="BX55" i="2"/>
  <c r="BU55" i="2"/>
  <c r="BR55" i="2"/>
  <c r="BO55" i="2"/>
  <c r="BL55" i="2"/>
  <c r="BI55" i="2"/>
  <c r="BF55" i="2"/>
  <c r="BC55" i="2"/>
  <c r="CV52" i="2"/>
  <c r="CS52" i="2"/>
  <c r="CP52" i="2"/>
  <c r="CM52" i="2"/>
  <c r="CJ52" i="2"/>
  <c r="CG52" i="2"/>
  <c r="CD52" i="2"/>
  <c r="CA52" i="2"/>
  <c r="BX52" i="2"/>
  <c r="BU52" i="2"/>
  <c r="BR52" i="2"/>
  <c r="BO52" i="2"/>
  <c r="BL52" i="2"/>
  <c r="BI52" i="2"/>
  <c r="BF52" i="2"/>
  <c r="BC52" i="2"/>
  <c r="CV47" i="2"/>
  <c r="CS47" i="2"/>
  <c r="CP47" i="2"/>
  <c r="CG47" i="2"/>
  <c r="CD47" i="2"/>
  <c r="CA47" i="2"/>
  <c r="BX47" i="2"/>
  <c r="BU47" i="2"/>
  <c r="BR47" i="2"/>
  <c r="BO47" i="2"/>
  <c r="BI47" i="2"/>
  <c r="CV42" i="2"/>
  <c r="CS42" i="2"/>
  <c r="CS56" i="2" s="1"/>
  <c r="CP42" i="2"/>
  <c r="CG42" i="2"/>
  <c r="CD42" i="2"/>
  <c r="CA42" i="2"/>
  <c r="CA56" i="2" s="1"/>
  <c r="BU42" i="2"/>
  <c r="BO42" i="2"/>
  <c r="BI42" i="2"/>
  <c r="BI56" i="2" s="1"/>
  <c r="CV36" i="2"/>
  <c r="CS36" i="2"/>
  <c r="CP36" i="2"/>
  <c r="CM36" i="2"/>
  <c r="CJ36" i="2"/>
  <c r="CG36" i="2"/>
  <c r="CD36" i="2"/>
  <c r="CA36" i="2"/>
  <c r="BX36" i="2"/>
  <c r="BU36" i="2"/>
  <c r="BR36" i="2"/>
  <c r="BO36" i="2"/>
  <c r="BL36" i="2"/>
  <c r="BI36" i="2"/>
  <c r="BF36" i="2"/>
  <c r="BC36" i="2"/>
  <c r="CV32" i="2"/>
  <c r="CS32" i="2"/>
  <c r="CP32" i="2"/>
  <c r="CM32" i="2"/>
  <c r="CJ32" i="2"/>
  <c r="CG32" i="2"/>
  <c r="CD32" i="2"/>
  <c r="CA32" i="2"/>
  <c r="BX32" i="2"/>
  <c r="BU32" i="2"/>
  <c r="BR32" i="2"/>
  <c r="BO32" i="2"/>
  <c r="BL32" i="2"/>
  <c r="BI32" i="2"/>
  <c r="BF32" i="2"/>
  <c r="BC32" i="2"/>
  <c r="CP27" i="2"/>
  <c r="CD27" i="2"/>
  <c r="BX27" i="2"/>
  <c r="BL27" i="2"/>
  <c r="BF27" i="2"/>
  <c r="BF37" i="2" s="1"/>
  <c r="BC27" i="2"/>
  <c r="BC37" i="2" s="1"/>
  <c r="CV22" i="2"/>
  <c r="CS22" i="2"/>
  <c r="CP22" i="2"/>
  <c r="CM22" i="2"/>
  <c r="CJ22" i="2"/>
  <c r="CG22" i="2"/>
  <c r="CD22" i="2"/>
  <c r="CA22" i="2"/>
  <c r="BX22" i="2"/>
  <c r="BU22" i="2"/>
  <c r="BR22" i="2"/>
  <c r="BO22" i="2"/>
  <c r="BL22" i="2"/>
  <c r="BI22" i="2"/>
  <c r="BF22" i="2"/>
  <c r="CV17" i="2"/>
  <c r="CS17" i="2"/>
  <c r="CP17" i="2"/>
  <c r="CM17" i="2"/>
  <c r="CJ17" i="2"/>
  <c r="CG17" i="2"/>
  <c r="CD17" i="2"/>
  <c r="CA17" i="2"/>
  <c r="BX17" i="2"/>
  <c r="BU17" i="2"/>
  <c r="BR17" i="2"/>
  <c r="BL17" i="2"/>
  <c r="BI17" i="2"/>
  <c r="BF17" i="2"/>
  <c r="BC17" i="2"/>
  <c r="CV14" i="2"/>
  <c r="CS14" i="2"/>
  <c r="CP14" i="2"/>
  <c r="CM14" i="2"/>
  <c r="CJ14" i="2"/>
  <c r="CD14" i="2"/>
  <c r="CA14" i="2"/>
  <c r="BX14" i="2"/>
  <c r="BU14" i="2"/>
  <c r="BR14" i="2"/>
  <c r="BL14" i="2"/>
  <c r="BI14" i="2"/>
  <c r="BF14" i="2"/>
  <c r="BC14" i="2"/>
  <c r="CS10" i="2"/>
  <c r="CJ10" i="2"/>
  <c r="CD10" i="2"/>
  <c r="CD23" i="2" s="1"/>
  <c r="BR10" i="2"/>
  <c r="BR23" i="2" s="1"/>
  <c r="BI10" i="2"/>
  <c r="A6" i="26"/>
  <c r="B6" i="26"/>
  <c r="A7" i="26"/>
  <c r="B7" i="26"/>
  <c r="A8" i="26"/>
  <c r="B8" i="26"/>
  <c r="A9" i="26"/>
  <c r="B9" i="26"/>
  <c r="A10" i="26"/>
  <c r="A11" i="26"/>
  <c r="B11" i="26"/>
  <c r="A12" i="26"/>
  <c r="B12" i="26"/>
  <c r="A13" i="26"/>
  <c r="B13" i="26"/>
  <c r="A14" i="26"/>
  <c r="A15" i="26"/>
  <c r="B15" i="26"/>
  <c r="A16" i="26"/>
  <c r="B16" i="26"/>
  <c r="A17" i="26"/>
  <c r="A18" i="26"/>
  <c r="B18" i="26"/>
  <c r="A19" i="26"/>
  <c r="B19" i="26"/>
  <c r="A20" i="26"/>
  <c r="B20" i="26"/>
  <c r="A21" i="26"/>
  <c r="B21" i="26"/>
  <c r="A22" i="26"/>
  <c r="A23" i="26"/>
  <c r="A24" i="26"/>
  <c r="B24" i="26"/>
  <c r="A25" i="26"/>
  <c r="B25" i="26"/>
  <c r="A26" i="26"/>
  <c r="B26" i="26"/>
  <c r="A27" i="26"/>
  <c r="A28" i="26"/>
  <c r="B28" i="26"/>
  <c r="A29" i="26"/>
  <c r="B29" i="26"/>
  <c r="A30" i="26"/>
  <c r="B30" i="26"/>
  <c r="A31" i="26"/>
  <c r="B31" i="26"/>
  <c r="A32" i="26"/>
  <c r="A33" i="26"/>
  <c r="B33" i="26"/>
  <c r="A34" i="26"/>
  <c r="B34" i="26"/>
  <c r="A35" i="26"/>
  <c r="B35" i="26"/>
  <c r="A36" i="26"/>
  <c r="A37" i="26"/>
  <c r="A38" i="26"/>
  <c r="B38" i="26"/>
  <c r="A39" i="26"/>
  <c r="B39" i="26"/>
  <c r="A40" i="26"/>
  <c r="B40" i="26"/>
  <c r="A41" i="26"/>
  <c r="B41" i="26"/>
  <c r="A42" i="26"/>
  <c r="A43" i="26"/>
  <c r="B43" i="26"/>
  <c r="A44" i="26"/>
  <c r="B44" i="26"/>
  <c r="A45" i="26"/>
  <c r="B45" i="26"/>
  <c r="A46" i="26"/>
  <c r="B46" i="26"/>
  <c r="A47" i="26"/>
  <c r="A48" i="26"/>
  <c r="B48" i="26"/>
  <c r="A49" i="26"/>
  <c r="B49" i="26"/>
  <c r="A50" i="26"/>
  <c r="B50" i="26"/>
  <c r="A51" i="26"/>
  <c r="B51" i="26"/>
  <c r="A52" i="26"/>
  <c r="A53" i="26"/>
  <c r="B53" i="26"/>
  <c r="A54" i="26"/>
  <c r="B54" i="26"/>
  <c r="A55" i="26"/>
  <c r="A56" i="26"/>
  <c r="A57" i="26"/>
  <c r="AJ54" i="26"/>
  <c r="AH54" i="26"/>
  <c r="AG54" i="26"/>
  <c r="AE54" i="26"/>
  <c r="AC54" i="26"/>
  <c r="AB54" i="26"/>
  <c r="AA54" i="26"/>
  <c r="Y54" i="26"/>
  <c r="W54" i="26"/>
  <c r="U54" i="26"/>
  <c r="S54" i="26"/>
  <c r="R54" i="26"/>
  <c r="Q54" i="26"/>
  <c r="P54" i="26"/>
  <c r="O54" i="26"/>
  <c r="N54" i="26"/>
  <c r="M54" i="26"/>
  <c r="K54" i="26"/>
  <c r="J54" i="26"/>
  <c r="I54" i="26"/>
  <c r="H54" i="26"/>
  <c r="G54" i="26"/>
  <c r="F54" i="26"/>
  <c r="AH53" i="26"/>
  <c r="AG53" i="26"/>
  <c r="AE53" i="26"/>
  <c r="AC53" i="26"/>
  <c r="AA53" i="26"/>
  <c r="Z53" i="26"/>
  <c r="Y53" i="26"/>
  <c r="R53" i="26"/>
  <c r="P53" i="26"/>
  <c r="O53" i="26"/>
  <c r="M53" i="26"/>
  <c r="I53" i="26"/>
  <c r="H53" i="26"/>
  <c r="G53" i="26"/>
  <c r="D53" i="26"/>
  <c r="AH51" i="26"/>
  <c r="AG51" i="26"/>
  <c r="AF51" i="26"/>
  <c r="AE51" i="26"/>
  <c r="AD51" i="26"/>
  <c r="AC51" i="26"/>
  <c r="AA51" i="26"/>
  <c r="Y51" i="26"/>
  <c r="X51" i="26"/>
  <c r="W51" i="26"/>
  <c r="V51" i="26"/>
  <c r="R51" i="26"/>
  <c r="Q51" i="26"/>
  <c r="P51" i="26"/>
  <c r="O51" i="26"/>
  <c r="L51" i="26"/>
  <c r="K51" i="26"/>
  <c r="J51" i="26"/>
  <c r="I51" i="26"/>
  <c r="H51" i="26"/>
  <c r="G51" i="26"/>
  <c r="F51" i="26"/>
  <c r="D51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S50" i="26"/>
  <c r="R50" i="26"/>
  <c r="P50" i="26"/>
  <c r="O50" i="26"/>
  <c r="N50" i="26"/>
  <c r="M50" i="26"/>
  <c r="L50" i="26"/>
  <c r="K50" i="26"/>
  <c r="J50" i="26"/>
  <c r="H50" i="26"/>
  <c r="G50" i="26"/>
  <c r="F50" i="26"/>
  <c r="E50" i="26"/>
  <c r="D50" i="26"/>
  <c r="AH49" i="26"/>
  <c r="AG49" i="26"/>
  <c r="AF49" i="26"/>
  <c r="AE49" i="26"/>
  <c r="AD49" i="26"/>
  <c r="AC49" i="26"/>
  <c r="AB49" i="26"/>
  <c r="AA49" i="26"/>
  <c r="Y49" i="26"/>
  <c r="X49" i="26"/>
  <c r="V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D49" i="26"/>
  <c r="AJ48" i="26"/>
  <c r="AH48" i="26"/>
  <c r="AG48" i="26"/>
  <c r="AE48" i="26"/>
  <c r="AD48" i="26"/>
  <c r="AC48" i="26"/>
  <c r="AA48" i="26"/>
  <c r="Y48" i="26"/>
  <c r="X48" i="26"/>
  <c r="W48" i="26"/>
  <c r="S48" i="26"/>
  <c r="Q48" i="26"/>
  <c r="P48" i="26"/>
  <c r="O48" i="26"/>
  <c r="N48" i="26"/>
  <c r="M48" i="26"/>
  <c r="K48" i="26"/>
  <c r="J48" i="26"/>
  <c r="I48" i="26"/>
  <c r="H48" i="26"/>
  <c r="G48" i="26"/>
  <c r="F48" i="26"/>
  <c r="D48" i="26"/>
  <c r="AG46" i="26"/>
  <c r="AF46" i="26"/>
  <c r="AE46" i="26"/>
  <c r="AD46" i="26"/>
  <c r="AC46" i="26"/>
  <c r="AA46" i="26"/>
  <c r="Z46" i="26"/>
  <c r="Y46" i="26"/>
  <c r="X46" i="26"/>
  <c r="V46" i="26"/>
  <c r="U46" i="26"/>
  <c r="S46" i="26"/>
  <c r="R46" i="26"/>
  <c r="Q46" i="26"/>
  <c r="P46" i="26"/>
  <c r="O46" i="26"/>
  <c r="N46" i="26"/>
  <c r="M46" i="26"/>
  <c r="J46" i="26"/>
  <c r="H46" i="26"/>
  <c r="F46" i="26"/>
  <c r="E46" i="26"/>
  <c r="D46" i="26"/>
  <c r="AH45" i="26"/>
  <c r="AF45" i="26"/>
  <c r="AC45" i="26"/>
  <c r="W45" i="26"/>
  <c r="V45" i="26"/>
  <c r="N45" i="26"/>
  <c r="L45" i="26"/>
  <c r="K45" i="26"/>
  <c r="J45" i="26"/>
  <c r="H45" i="26"/>
  <c r="F45" i="26"/>
  <c r="AH44" i="26"/>
  <c r="AC44" i="26"/>
  <c r="X44" i="26"/>
  <c r="Q44" i="26"/>
  <c r="N44" i="26"/>
  <c r="J44" i="26"/>
  <c r="F44" i="26"/>
  <c r="AI43" i="26"/>
  <c r="AE43" i="26"/>
  <c r="AD43" i="26"/>
  <c r="AC43" i="26"/>
  <c r="R43" i="26"/>
  <c r="H43" i="26"/>
  <c r="F43" i="26"/>
  <c r="AA41" i="26"/>
  <c r="Z41" i="26"/>
  <c r="Y41" i="26"/>
  <c r="M41" i="26"/>
  <c r="D41" i="26"/>
  <c r="AE40" i="26"/>
  <c r="AC40" i="26"/>
  <c r="AH39" i="26"/>
  <c r="AA39" i="26"/>
  <c r="Z39" i="26"/>
  <c r="Y39" i="26"/>
  <c r="Q39" i="26"/>
  <c r="N39" i="26"/>
  <c r="F39" i="26"/>
  <c r="D39" i="26"/>
  <c r="AD38" i="26"/>
  <c r="AC38" i="26"/>
  <c r="AA38" i="26"/>
  <c r="R38" i="26"/>
  <c r="O38" i="26"/>
  <c r="N38" i="26"/>
  <c r="D38" i="26"/>
  <c r="AH35" i="26"/>
  <c r="AD35" i="26"/>
  <c r="AC35" i="26"/>
  <c r="AA35" i="26"/>
  <c r="W35" i="26"/>
  <c r="R35" i="26"/>
  <c r="I35" i="26"/>
  <c r="G35" i="26"/>
  <c r="D35" i="26"/>
  <c r="AJ34" i="26"/>
  <c r="AI34" i="26"/>
  <c r="AH34" i="26"/>
  <c r="AG34" i="26"/>
  <c r="AE34" i="26"/>
  <c r="AD34" i="26"/>
  <c r="AB34" i="26"/>
  <c r="X34" i="26"/>
  <c r="W34" i="26"/>
  <c r="V34" i="26"/>
  <c r="S34" i="26"/>
  <c r="P34" i="26"/>
  <c r="K34" i="26"/>
  <c r="J34" i="26"/>
  <c r="H34" i="26"/>
  <c r="E34" i="26"/>
  <c r="AI33" i="26"/>
  <c r="AF33" i="26"/>
  <c r="AB33" i="26"/>
  <c r="Z33" i="26"/>
  <c r="X33" i="26"/>
  <c r="V33" i="26"/>
  <c r="N33" i="26"/>
  <c r="K33" i="26"/>
  <c r="J33" i="26"/>
  <c r="I33" i="26"/>
  <c r="E33" i="26"/>
  <c r="AJ31" i="26"/>
  <c r="AG31" i="26"/>
  <c r="AC31" i="26"/>
  <c r="AB31" i="26"/>
  <c r="Z31" i="26"/>
  <c r="X31" i="26"/>
  <c r="U31" i="26"/>
  <c r="S31" i="26"/>
  <c r="R31" i="26"/>
  <c r="Q31" i="26"/>
  <c r="N31" i="26"/>
  <c r="L31" i="26"/>
  <c r="J31" i="26"/>
  <c r="H31" i="26"/>
  <c r="G31" i="26"/>
  <c r="F31" i="26"/>
  <c r="E31" i="26"/>
  <c r="X30" i="26"/>
  <c r="W30" i="26"/>
  <c r="J30" i="26"/>
  <c r="F30" i="26"/>
  <c r="AI29" i="26"/>
  <c r="AH29" i="26"/>
  <c r="AD29" i="26"/>
  <c r="X29" i="26"/>
  <c r="V29" i="26"/>
  <c r="D29" i="26"/>
  <c r="AJ28" i="26"/>
  <c r="AI28" i="26"/>
  <c r="AH28" i="26"/>
  <c r="AE28" i="26"/>
  <c r="AA28" i="26"/>
  <c r="X28" i="26"/>
  <c r="V28" i="26"/>
  <c r="U28" i="26"/>
  <c r="P28" i="26"/>
  <c r="H28" i="26"/>
  <c r="F28" i="26"/>
  <c r="D28" i="26"/>
  <c r="AD26" i="26"/>
  <c r="AB26" i="26"/>
  <c r="R26" i="26"/>
  <c r="Q26" i="26"/>
  <c r="F26" i="26"/>
  <c r="AF25" i="26"/>
  <c r="Z25" i="26"/>
  <c r="Q25" i="26"/>
  <c r="P25" i="26"/>
  <c r="N25" i="26"/>
  <c r="I25" i="26"/>
  <c r="H25" i="26"/>
  <c r="AH24" i="26"/>
  <c r="X24" i="26"/>
  <c r="AH21" i="26"/>
  <c r="AG21" i="26"/>
  <c r="W21" i="26"/>
  <c r="K21" i="26"/>
  <c r="I21" i="26"/>
  <c r="G21" i="26"/>
  <c r="AH20" i="26"/>
  <c r="AG20" i="26"/>
  <c r="AF20" i="26"/>
  <c r="AE20" i="26"/>
  <c r="AD20" i="26"/>
  <c r="AA20" i="26"/>
  <c r="X20" i="26"/>
  <c r="W20" i="26"/>
  <c r="V20" i="26"/>
  <c r="K20" i="26"/>
  <c r="I20" i="26"/>
  <c r="H20" i="26"/>
  <c r="AH19" i="26"/>
  <c r="AG19" i="26"/>
  <c r="AF19" i="26"/>
  <c r="W19" i="26"/>
  <c r="O19" i="26"/>
  <c r="K19" i="26"/>
  <c r="J19" i="26"/>
  <c r="I19" i="26"/>
  <c r="F19" i="26"/>
  <c r="AA18" i="26"/>
  <c r="Z18" i="26"/>
  <c r="X18" i="26"/>
  <c r="M18" i="26"/>
  <c r="J18" i="26"/>
  <c r="H18" i="26"/>
  <c r="D18" i="26"/>
  <c r="AH16" i="26"/>
  <c r="X16" i="26"/>
  <c r="O16" i="26"/>
  <c r="I16" i="26"/>
  <c r="D16" i="26"/>
  <c r="AF15" i="26"/>
  <c r="AA15" i="26"/>
  <c r="I15" i="26"/>
  <c r="H15" i="26"/>
  <c r="AG13" i="26"/>
  <c r="AE13" i="26"/>
  <c r="AC13" i="26"/>
  <c r="AB13" i="26"/>
  <c r="V13" i="26"/>
  <c r="M13" i="26"/>
  <c r="K13" i="26"/>
  <c r="J13" i="26"/>
  <c r="G13" i="26"/>
  <c r="AF12" i="26"/>
  <c r="AE12" i="26"/>
  <c r="AD12" i="26"/>
  <c r="X12" i="26"/>
  <c r="J12" i="26"/>
  <c r="I11" i="26"/>
  <c r="I14" i="2"/>
  <c r="AI9" i="26"/>
  <c r="Z9" i="26"/>
  <c r="Y9" i="26"/>
  <c r="Q8" i="26"/>
  <c r="I8" i="26"/>
  <c r="G8" i="26"/>
  <c r="AF7" i="26"/>
  <c r="X7" i="26"/>
  <c r="M7" i="26"/>
  <c r="CR6" i="2"/>
  <c r="AH6" i="26" s="1"/>
  <c r="F42" i="2"/>
  <c r="F6" i="2"/>
  <c r="I6" i="2"/>
  <c r="I22" i="2"/>
  <c r="I55" i="2"/>
  <c r="I36" i="2"/>
  <c r="CV6" i="2"/>
  <c r="CW6" i="2" s="1"/>
  <c r="CS6" i="2"/>
  <c r="CT6" i="2" s="1"/>
  <c r="CP6" i="2"/>
  <c r="CM6" i="2"/>
  <c r="CO6" i="2" s="1"/>
  <c r="AG6" i="26" s="1"/>
  <c r="CJ6" i="2"/>
  <c r="CG6" i="2"/>
  <c r="CD6" i="2"/>
  <c r="CF6" i="2" s="1"/>
  <c r="CA6" i="2"/>
  <c r="CC6" i="2" s="1"/>
  <c r="BX6" i="2"/>
  <c r="BZ6" i="2" s="1"/>
  <c r="BU6" i="2"/>
  <c r="BR6" i="2"/>
  <c r="BS6" i="2" s="1"/>
  <c r="BO6" i="2"/>
  <c r="BL6" i="2"/>
  <c r="BI6" i="2"/>
  <c r="BJ6" i="2" s="1"/>
  <c r="BF6" i="2"/>
  <c r="BC6" i="2"/>
  <c r="BD6" i="2" s="1"/>
  <c r="AS42" i="2"/>
  <c r="C42" i="2"/>
  <c r="AY6" i="2"/>
  <c r="AV6" i="2"/>
  <c r="AX6" i="2" s="1"/>
  <c r="R6" i="26" s="1"/>
  <c r="AS6" i="2"/>
  <c r="AT6" i="2" s="1"/>
  <c r="AP6" i="2"/>
  <c r="AM6" i="2"/>
  <c r="AJ6" i="2"/>
  <c r="AL6" i="2" s="1"/>
  <c r="N6" i="26" s="1"/>
  <c r="AG6" i="2"/>
  <c r="AD6" i="2"/>
  <c r="AA6" i="2"/>
  <c r="X6" i="2"/>
  <c r="U6" i="2"/>
  <c r="V6" i="2" s="1"/>
  <c r="R6" i="2"/>
  <c r="S6" i="2" s="1"/>
  <c r="O6" i="2"/>
  <c r="L6" i="2"/>
  <c r="E6" i="2"/>
  <c r="L32" i="2"/>
  <c r="AZ4" i="15"/>
  <c r="AZ5" i="15"/>
  <c r="AZ6" i="15"/>
  <c r="AZ7" i="15"/>
  <c r="AZ8" i="15"/>
  <c r="AZ9" i="15"/>
  <c r="AZ10" i="15"/>
  <c r="AZ11" i="15"/>
  <c r="AZ12" i="15"/>
  <c r="AZ13" i="15"/>
  <c r="AZ14" i="15"/>
  <c r="AZ15" i="15"/>
  <c r="AZ16" i="15"/>
  <c r="AZ17" i="15"/>
  <c r="AZ18" i="15"/>
  <c r="AZ19" i="15"/>
  <c r="AZ20" i="15"/>
  <c r="AZ21" i="15"/>
  <c r="AZ22" i="15"/>
  <c r="AZ23" i="15"/>
  <c r="AZ24" i="15"/>
  <c r="AZ25" i="15"/>
  <c r="AZ26" i="15"/>
  <c r="AZ27" i="15"/>
  <c r="AZ28" i="15"/>
  <c r="AZ29" i="15"/>
  <c r="AZ30" i="15"/>
  <c r="AZ31" i="15"/>
  <c r="AZ32" i="15"/>
  <c r="AZ33" i="15"/>
  <c r="AZ34" i="15"/>
  <c r="AZ35" i="15"/>
  <c r="AZ36" i="15"/>
  <c r="AZ37" i="15"/>
  <c r="AZ38" i="15"/>
  <c r="AZ39" i="15"/>
  <c r="AZ40" i="15"/>
  <c r="F45" i="15"/>
  <c r="C41" i="15"/>
  <c r="D41" i="15"/>
  <c r="C45" i="15"/>
  <c r="D45" i="15"/>
  <c r="AH45" i="15"/>
  <c r="AI45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AD45" i="15"/>
  <c r="AE45" i="15"/>
  <c r="AF45" i="15"/>
  <c r="AG45" i="15"/>
  <c r="G45" i="15"/>
  <c r="CM56" i="2" l="1"/>
  <c r="BO56" i="2"/>
  <c r="CP56" i="2"/>
  <c r="BU56" i="2"/>
  <c r="CD56" i="2"/>
  <c r="CV56" i="2"/>
  <c r="BF56" i="2"/>
  <c r="BB46" i="2"/>
  <c r="BX42" i="2"/>
  <c r="BX56" i="2" s="1"/>
  <c r="Y39" i="2"/>
  <c r="CN39" i="2"/>
  <c r="BW40" i="2"/>
  <c r="AA40" i="26" s="1"/>
  <c r="CN40" i="2"/>
  <c r="Y41" i="2"/>
  <c r="CN41" i="2"/>
  <c r="CN42" i="2" s="1"/>
  <c r="Y43" i="2"/>
  <c r="BG43" i="2"/>
  <c r="CN43" i="2"/>
  <c r="BG44" i="2"/>
  <c r="CO43" i="2"/>
  <c r="AG43" i="26" s="1"/>
  <c r="AQ39" i="2"/>
  <c r="BY39" i="2"/>
  <c r="AB40" i="2"/>
  <c r="BY40" i="2"/>
  <c r="AB44" i="2"/>
  <c r="CG56" i="2"/>
  <c r="CJ47" i="2"/>
  <c r="CJ56" i="2" s="1"/>
  <c r="AB39" i="2"/>
  <c r="CQ40" i="2"/>
  <c r="AB41" i="2"/>
  <c r="CQ41" i="2"/>
  <c r="AB43" i="2"/>
  <c r="BJ43" i="2"/>
  <c r="CQ43" i="2"/>
  <c r="BK44" i="2"/>
  <c r="W44" i="26" s="1"/>
  <c r="CO39" i="2"/>
  <c r="AG39" i="26" s="1"/>
  <c r="CJ42" i="2"/>
  <c r="BK39" i="2"/>
  <c r="W39" i="26" s="1"/>
  <c r="BN43" i="2"/>
  <c r="X43" i="26" s="1"/>
  <c r="BL47" i="2"/>
  <c r="BN45" i="2"/>
  <c r="X45" i="26" s="1"/>
  <c r="BM45" i="2"/>
  <c r="CO45" i="2"/>
  <c r="AG45" i="26" s="1"/>
  <c r="CN45" i="2"/>
  <c r="BL42" i="2"/>
  <c r="P39" i="2"/>
  <c r="AW39" i="2"/>
  <c r="CE39" i="2"/>
  <c r="P40" i="2"/>
  <c r="AW40" i="2"/>
  <c r="BM40" i="2"/>
  <c r="P43" i="2"/>
  <c r="AW43" i="2"/>
  <c r="Q46" i="2"/>
  <c r="G46" i="26" s="1"/>
  <c r="AH44" i="2"/>
  <c r="BB50" i="2"/>
  <c r="BC47" i="2"/>
  <c r="AI43" i="2"/>
  <c r="M43" i="26" s="1"/>
  <c r="AZ43" i="2"/>
  <c r="S44" i="2"/>
  <c r="AZ44" i="2"/>
  <c r="CH44" i="2"/>
  <c r="BC42" i="2"/>
  <c r="BF47" i="2"/>
  <c r="C46" i="26"/>
  <c r="T46" i="26" s="1"/>
  <c r="AL46" i="26" s="1"/>
  <c r="CI41" i="2"/>
  <c r="AE41" i="26" s="1"/>
  <c r="CK44" i="2"/>
  <c r="W45" i="2"/>
  <c r="AX45" i="2"/>
  <c r="R45" i="26" s="1"/>
  <c r="AW45" i="2"/>
  <c r="V39" i="2"/>
  <c r="CK39" i="2"/>
  <c r="V40" i="2"/>
  <c r="BS40" i="2"/>
  <c r="BD41" i="2"/>
  <c r="V43" i="2"/>
  <c r="BD43" i="2"/>
  <c r="CK43" i="2"/>
  <c r="CK47" i="2" s="1"/>
  <c r="BR42" i="2"/>
  <c r="BR56" i="2" s="1"/>
  <c r="W41" i="2"/>
  <c r="CB45" i="2"/>
  <c r="CU50" i="2"/>
  <c r="CB46" i="2"/>
  <c r="AB48" i="2"/>
  <c r="CN48" i="2"/>
  <c r="AN49" i="2"/>
  <c r="D50" i="2"/>
  <c r="AZ50" i="2"/>
  <c r="CW50" i="2"/>
  <c r="AH46" i="2"/>
  <c r="CT46" i="2"/>
  <c r="AT48" i="2"/>
  <c r="BJ48" i="2"/>
  <c r="BJ52" i="2" s="1"/>
  <c r="BV49" i="2"/>
  <c r="V50" i="2"/>
  <c r="CH50" i="2"/>
  <c r="AH51" i="2"/>
  <c r="BJ53" i="2"/>
  <c r="BV54" i="2"/>
  <c r="S46" i="2"/>
  <c r="CE46" i="2"/>
  <c r="S51" i="2"/>
  <c r="CE51" i="2"/>
  <c r="CQ53" i="2"/>
  <c r="AQ54" i="2"/>
  <c r="D46" i="2"/>
  <c r="AZ46" i="2"/>
  <c r="AN50" i="2"/>
  <c r="CB53" i="2"/>
  <c r="AB54" i="2"/>
  <c r="CN54" i="2"/>
  <c r="Y45" i="2"/>
  <c r="AK46" i="2"/>
  <c r="CW46" i="2"/>
  <c r="Y50" i="2"/>
  <c r="CK50" i="2"/>
  <c r="BY54" i="2"/>
  <c r="CH46" i="2"/>
  <c r="V51" i="2"/>
  <c r="CH51" i="2"/>
  <c r="AH53" i="2"/>
  <c r="AT54" i="2"/>
  <c r="BJ54" i="2"/>
  <c r="AQ50" i="2"/>
  <c r="CQ54" i="2"/>
  <c r="CQ55" i="2" s="1"/>
  <c r="AN46" i="2"/>
  <c r="BD46" i="2"/>
  <c r="D48" i="2"/>
  <c r="AZ48" i="2"/>
  <c r="BP48" i="2"/>
  <c r="P49" i="2"/>
  <c r="CB49" i="2"/>
  <c r="AB50" i="2"/>
  <c r="CN50" i="2"/>
  <c r="AN51" i="2"/>
  <c r="D53" i="2"/>
  <c r="BP53" i="2"/>
  <c r="P54" i="2"/>
  <c r="CB54" i="2"/>
  <c r="CK46" i="2"/>
  <c r="CK51" i="2"/>
  <c r="AW54" i="2"/>
  <c r="AT50" i="2"/>
  <c r="BV51" i="2"/>
  <c r="V53" i="2"/>
  <c r="CH53" i="2"/>
  <c r="AH54" i="2"/>
  <c r="AQ46" i="2"/>
  <c r="CQ50" i="2"/>
  <c r="AB46" i="2"/>
  <c r="CN46" i="2"/>
  <c r="AN48" i="2"/>
  <c r="BP49" i="2"/>
  <c r="P50" i="2"/>
  <c r="M46" i="2"/>
  <c r="BY46" i="2"/>
  <c r="Y48" i="2"/>
  <c r="AK49" i="2"/>
  <c r="CW49" i="2"/>
  <c r="AW50" i="2"/>
  <c r="BM50" i="2"/>
  <c r="M51" i="2"/>
  <c r="AK54" i="2"/>
  <c r="CW54" i="2"/>
  <c r="CA37" i="2"/>
  <c r="BB31" i="2"/>
  <c r="CD37" i="2"/>
  <c r="CP37" i="2"/>
  <c r="BL37" i="2"/>
  <c r="BI27" i="2"/>
  <c r="BI37" i="2" s="1"/>
  <c r="AC24" i="2"/>
  <c r="K24" i="26" s="1"/>
  <c r="AT24" i="2"/>
  <c r="BK24" i="2"/>
  <c r="P25" i="2"/>
  <c r="BO27" i="2"/>
  <c r="BO37" i="2" s="1"/>
  <c r="CV37" i="2"/>
  <c r="M24" i="2"/>
  <c r="AE24" i="2"/>
  <c r="CW24" i="2"/>
  <c r="G26" i="2"/>
  <c r="BS26" i="2"/>
  <c r="CO26" i="2"/>
  <c r="AG26" i="26" s="1"/>
  <c r="CN26" i="2"/>
  <c r="P28" i="2"/>
  <c r="BR27" i="2"/>
  <c r="BR37" i="2" s="1"/>
  <c r="CG27" i="2"/>
  <c r="CG37" i="2" s="1"/>
  <c r="CX24" i="2"/>
  <c r="AJ24" i="26" s="1"/>
  <c r="BU27" i="2"/>
  <c r="BU37" i="2" s="1"/>
  <c r="Q24" i="2"/>
  <c r="G24" i="26" s="1"/>
  <c r="P24" i="2"/>
  <c r="CQ26" i="2"/>
  <c r="CI24" i="2"/>
  <c r="CO25" i="2"/>
  <c r="AG25" i="26" s="1"/>
  <c r="CN25" i="2"/>
  <c r="AC26" i="2"/>
  <c r="K26" i="26" s="1"/>
  <c r="BB34" i="2"/>
  <c r="CJ27" i="2"/>
  <c r="AK24" i="2"/>
  <c r="BS24" i="2"/>
  <c r="CQ25" i="2"/>
  <c r="AE26" i="2"/>
  <c r="CM27" i="2"/>
  <c r="CM37" i="2" s="1"/>
  <c r="CL24" i="2"/>
  <c r="AF24" i="26" s="1"/>
  <c r="BG25" i="2"/>
  <c r="BG27" i="2" s="1"/>
  <c r="CX26" i="2"/>
  <c r="AJ26" i="26" s="1"/>
  <c r="CC26" i="2"/>
  <c r="AC26" i="26" s="1"/>
  <c r="CB26" i="2"/>
  <c r="BB28" i="2"/>
  <c r="CS27" i="2"/>
  <c r="CS37" i="2" s="1"/>
  <c r="AN24" i="2"/>
  <c r="BV24" i="2"/>
  <c r="CN24" i="2"/>
  <c r="CT25" i="2"/>
  <c r="P26" i="2"/>
  <c r="AC25" i="2"/>
  <c r="AB25" i="2"/>
  <c r="CJ37" i="2"/>
  <c r="G24" i="2"/>
  <c r="AL26" i="2"/>
  <c r="N26" i="26" s="1"/>
  <c r="AQ34" i="2"/>
  <c r="CB28" i="2"/>
  <c r="AB29" i="2"/>
  <c r="CN29" i="2"/>
  <c r="AN30" i="2"/>
  <c r="D31" i="2"/>
  <c r="AZ31" i="2"/>
  <c r="BP31" i="2"/>
  <c r="P33" i="2"/>
  <c r="CB33" i="2"/>
  <c r="AB34" i="2"/>
  <c r="CN34" i="2"/>
  <c r="AN35" i="2"/>
  <c r="AW28" i="2"/>
  <c r="AK31" i="2"/>
  <c r="CW31" i="2"/>
  <c r="AW33" i="2"/>
  <c r="BM33" i="2"/>
  <c r="BM36" i="2" s="1"/>
  <c r="M34" i="2"/>
  <c r="BY34" i="2"/>
  <c r="Y35" i="2"/>
  <c r="CK35" i="2"/>
  <c r="CH31" i="2"/>
  <c r="AT34" i="2"/>
  <c r="BV35" i="2"/>
  <c r="S28" i="2"/>
  <c r="CE28" i="2"/>
  <c r="CQ29" i="2"/>
  <c r="AQ30" i="2"/>
  <c r="BG30" i="2"/>
  <c r="G31" i="2"/>
  <c r="BS31" i="2"/>
  <c r="CE33" i="2"/>
  <c r="CE36" i="2" s="1"/>
  <c r="AE34" i="2"/>
  <c r="CQ34" i="2"/>
  <c r="BG35" i="2"/>
  <c r="D28" i="2"/>
  <c r="AZ28" i="2"/>
  <c r="AN31" i="2"/>
  <c r="CB34" i="2"/>
  <c r="AB35" i="2"/>
  <c r="CN35" i="2"/>
  <c r="BX37" i="2"/>
  <c r="AK28" i="2"/>
  <c r="CW28" i="2"/>
  <c r="CK31" i="2"/>
  <c r="AW34" i="2"/>
  <c r="BY35" i="2"/>
  <c r="BY36" i="2" s="1"/>
  <c r="CT34" i="2"/>
  <c r="AT35" i="2"/>
  <c r="BJ35" i="2"/>
  <c r="BJ36" i="2" s="1"/>
  <c r="AQ31" i="2"/>
  <c r="CQ35" i="2"/>
  <c r="AN28" i="2"/>
  <c r="BD28" i="2"/>
  <c r="P30" i="2"/>
  <c r="CB30" i="2"/>
  <c r="AB31" i="2"/>
  <c r="CN31" i="2"/>
  <c r="AN33" i="2"/>
  <c r="D34" i="2"/>
  <c r="AZ34" i="2"/>
  <c r="CK28" i="2"/>
  <c r="AK34" i="2"/>
  <c r="CW34" i="2"/>
  <c r="AT31" i="2"/>
  <c r="CH34" i="2"/>
  <c r="CH36" i="2" s="1"/>
  <c r="AQ28" i="2"/>
  <c r="BG28" i="2"/>
  <c r="G29" i="2"/>
  <c r="AE31" i="2"/>
  <c r="CQ31" i="2"/>
  <c r="BG33" i="2"/>
  <c r="G34" i="2"/>
  <c r="BS34" i="2"/>
  <c r="CE35" i="2"/>
  <c r="AB28" i="2"/>
  <c r="CN28" i="2"/>
  <c r="AN29" i="2"/>
  <c r="P31" i="2"/>
  <c r="CB31" i="2"/>
  <c r="AB33" i="2"/>
  <c r="CN33" i="2"/>
  <c r="AN34" i="2"/>
  <c r="BD34" i="2"/>
  <c r="AW26" i="2"/>
  <c r="BM26" i="2"/>
  <c r="M28" i="2"/>
  <c r="BY28" i="2"/>
  <c r="AK30" i="2"/>
  <c r="CW30" i="2"/>
  <c r="AW31" i="2"/>
  <c r="BM31" i="2"/>
  <c r="BY33" i="2"/>
  <c r="Y34" i="2"/>
  <c r="CK34" i="2"/>
  <c r="CK36" i="2" s="1"/>
  <c r="AK35" i="2"/>
  <c r="CW35" i="2"/>
  <c r="BI23" i="2"/>
  <c r="CS23" i="2"/>
  <c r="BU23" i="2"/>
  <c r="CJ23" i="2"/>
  <c r="CM23" i="2"/>
  <c r="CP23" i="2"/>
  <c r="BF23" i="2"/>
  <c r="C8" i="26"/>
  <c r="T8" i="26" s="1"/>
  <c r="AL8" i="26" s="1"/>
  <c r="BB7" i="2"/>
  <c r="C9" i="26"/>
  <c r="T9" i="26" s="1"/>
  <c r="AL9" i="26" s="1"/>
  <c r="CV10" i="2"/>
  <c r="CV23" i="2" s="1"/>
  <c r="BM9" i="2"/>
  <c r="CH11" i="2"/>
  <c r="BO17" i="2"/>
  <c r="BC10" i="2"/>
  <c r="BC23" i="2" s="1"/>
  <c r="BL23" i="2"/>
  <c r="AN7" i="2"/>
  <c r="BV7" i="2"/>
  <c r="CN7" i="2"/>
  <c r="AE9" i="2"/>
  <c r="AW9" i="2"/>
  <c r="CW9" i="2"/>
  <c r="CW10" i="2" s="1"/>
  <c r="S11" i="2"/>
  <c r="BT11" i="2"/>
  <c r="Z11" i="26" s="1"/>
  <c r="BS11" i="2"/>
  <c r="E15" i="2"/>
  <c r="D15" i="2"/>
  <c r="CC12" i="2"/>
  <c r="AC12" i="26" s="1"/>
  <c r="CB12" i="2"/>
  <c r="BW7" i="2"/>
  <c r="AA7" i="26" s="1"/>
  <c r="CO7" i="2"/>
  <c r="AG7" i="26" s="1"/>
  <c r="Y7" i="2"/>
  <c r="BG7" i="2"/>
  <c r="AB8" i="2"/>
  <c r="AT8" i="2"/>
  <c r="P9" i="2"/>
  <c r="CH9" i="2"/>
  <c r="BV11" i="2"/>
  <c r="BV14" i="2" s="1"/>
  <c r="E13" i="2"/>
  <c r="D13" i="2"/>
  <c r="AC16" i="2"/>
  <c r="AB16" i="2"/>
  <c r="CC16" i="2"/>
  <c r="AC16" i="26" s="1"/>
  <c r="CB16" i="2"/>
  <c r="BE18" i="2"/>
  <c r="U18" i="26" s="1"/>
  <c r="BD18" i="2"/>
  <c r="AQ7" i="2"/>
  <c r="BY7" i="2"/>
  <c r="CQ7" i="2"/>
  <c r="AH9" i="2"/>
  <c r="AZ9" i="2"/>
  <c r="CI9" i="2"/>
  <c r="AE9" i="26" s="1"/>
  <c r="D11" i="2"/>
  <c r="V11" i="2"/>
  <c r="CN11" i="2"/>
  <c r="BZ7" i="2"/>
  <c r="CR7" i="2"/>
  <c r="AH7" i="26" s="1"/>
  <c r="Q15" i="2"/>
  <c r="P15" i="2"/>
  <c r="CK9" i="2"/>
  <c r="H11" i="2"/>
  <c r="D11" i="26" s="1"/>
  <c r="G11" i="2"/>
  <c r="BG11" i="2"/>
  <c r="BY11" i="2"/>
  <c r="AO18" i="2"/>
  <c r="O18" i="26" s="1"/>
  <c r="AN18" i="2"/>
  <c r="BX23" i="2"/>
  <c r="AT7" i="2"/>
  <c r="CB7" i="2"/>
  <c r="CT7" i="2"/>
  <c r="AH8" i="2"/>
  <c r="BP8" i="2"/>
  <c r="AK9" i="2"/>
  <c r="CC15" i="2"/>
  <c r="CB15" i="2"/>
  <c r="CO18" i="2"/>
  <c r="CN18" i="2"/>
  <c r="AC18" i="2"/>
  <c r="K18" i="26" s="1"/>
  <c r="AB18" i="2"/>
  <c r="CA10" i="2"/>
  <c r="CA23" i="2" s="1"/>
  <c r="AZ8" i="2"/>
  <c r="CH8" i="2"/>
  <c r="D9" i="2"/>
  <c r="BD9" i="2"/>
  <c r="BQ13" i="2"/>
  <c r="Y13" i="26" s="1"/>
  <c r="BP13" i="2"/>
  <c r="CG14" i="2"/>
  <c r="CG23" i="2" s="1"/>
  <c r="CF7" i="2"/>
  <c r="AD7" i="26" s="1"/>
  <c r="CE7" i="2"/>
  <c r="V9" i="2"/>
  <c r="AO12" i="2"/>
  <c r="O12" i="26" s="1"/>
  <c r="AN12" i="2"/>
  <c r="AO13" i="2"/>
  <c r="O13" i="26" s="1"/>
  <c r="AN13" i="2"/>
  <c r="CO16" i="2"/>
  <c r="AG16" i="26" s="1"/>
  <c r="CN16" i="2"/>
  <c r="AW7" i="2"/>
  <c r="S8" i="2"/>
  <c r="AK8" i="2"/>
  <c r="BS8" i="2"/>
  <c r="AN9" i="2"/>
  <c r="BH9" i="2"/>
  <c r="V9" i="26" s="1"/>
  <c r="BG9" i="2"/>
  <c r="CT11" i="2"/>
  <c r="CO12" i="2"/>
  <c r="AG12" i="26" s="1"/>
  <c r="CN12" i="2"/>
  <c r="BE13" i="2"/>
  <c r="U13" i="26" s="1"/>
  <c r="BD13" i="2"/>
  <c r="P7" i="2"/>
  <c r="CH7" i="2"/>
  <c r="CQ9" i="2"/>
  <c r="P12" i="2"/>
  <c r="AH7" i="2"/>
  <c r="D8" i="2"/>
  <c r="BD8" i="2"/>
  <c r="Y9" i="2"/>
  <c r="AR9" i="2"/>
  <c r="P9" i="26" s="1"/>
  <c r="AQ9" i="2"/>
  <c r="BJ9" i="2"/>
  <c r="BJ10" i="2" s="1"/>
  <c r="BM11" i="2"/>
  <c r="CE11" i="2"/>
  <c r="AE19" i="2"/>
  <c r="AU19" i="2"/>
  <c r="Q19" i="26" s="1"/>
  <c r="CQ19" i="2"/>
  <c r="S12" i="2"/>
  <c r="AI12" i="2"/>
  <c r="M12" i="26" s="1"/>
  <c r="BO10" i="2"/>
  <c r="BO23" i="2" s="1"/>
  <c r="AZ12" i="2"/>
  <c r="P13" i="2"/>
  <c r="CB13" i="2"/>
  <c r="AN16" i="2"/>
  <c r="BD16" i="2"/>
  <c r="D18" i="2"/>
  <c r="P19" i="2"/>
  <c r="CB19" i="2"/>
  <c r="AB20" i="2"/>
  <c r="CN20" i="2"/>
  <c r="BD21" i="2"/>
  <c r="AW19" i="2"/>
  <c r="AH19" i="2"/>
  <c r="CT19" i="2"/>
  <c r="S19" i="2"/>
  <c r="AE20" i="2"/>
  <c r="CQ20" i="2"/>
  <c r="AQ21" i="2"/>
  <c r="BG21" i="2"/>
  <c r="AZ19" i="2"/>
  <c r="AB21" i="2"/>
  <c r="CN21" i="2"/>
  <c r="AK19" i="2"/>
  <c r="CW19" i="2"/>
  <c r="AW20" i="2"/>
  <c r="BM20" i="2"/>
  <c r="BM22" i="2" s="1"/>
  <c r="M21" i="2"/>
  <c r="BY21" i="2"/>
  <c r="BY22" i="2" s="1"/>
  <c r="CH19" i="2"/>
  <c r="AH20" i="2"/>
  <c r="CT20" i="2"/>
  <c r="BJ21" i="2"/>
  <c r="BS19" i="2"/>
  <c r="CQ21" i="2"/>
  <c r="AN19" i="2"/>
  <c r="BD19" i="2"/>
  <c r="D20" i="2"/>
  <c r="CK19" i="2"/>
  <c r="AK20" i="2"/>
  <c r="CW20" i="2"/>
  <c r="AW21" i="2"/>
  <c r="CT21" i="2"/>
  <c r="BG13" i="2"/>
  <c r="G15" i="2"/>
  <c r="BS15" i="2"/>
  <c r="BS17" i="2" s="1"/>
  <c r="S16" i="2"/>
  <c r="CE16" i="2"/>
  <c r="CE17" i="2" s="1"/>
  <c r="AE18" i="2"/>
  <c r="AQ19" i="2"/>
  <c r="AB13" i="2"/>
  <c r="CN13" i="2"/>
  <c r="D16" i="2"/>
  <c r="CB18" i="2"/>
  <c r="AB19" i="2"/>
  <c r="CN19" i="2"/>
  <c r="AN20" i="2"/>
  <c r="BD20" i="2"/>
  <c r="AW12" i="2"/>
  <c r="CK20" i="2"/>
  <c r="AK21" i="2"/>
  <c r="CW21" i="2"/>
  <c r="S65" i="2"/>
  <c r="AE65" i="2"/>
  <c r="CT65" i="2"/>
  <c r="BG65" i="2"/>
  <c r="CI55" i="2"/>
  <c r="BW55" i="2"/>
  <c r="C7" i="26"/>
  <c r="T7" i="26" s="1"/>
  <c r="AL7" i="26" s="1"/>
  <c r="C53" i="26"/>
  <c r="C34" i="26"/>
  <c r="T34" i="26" s="1"/>
  <c r="AL34" i="26" s="1"/>
  <c r="C38" i="26"/>
  <c r="C6" i="26"/>
  <c r="C48" i="26"/>
  <c r="C33" i="26"/>
  <c r="C20" i="26"/>
  <c r="T20" i="26" s="1"/>
  <c r="AL20" i="26" s="1"/>
  <c r="C54" i="26"/>
  <c r="T54" i="26" s="1"/>
  <c r="AL54" i="26" s="1"/>
  <c r="CO55" i="2"/>
  <c r="CR55" i="2"/>
  <c r="CC55" i="2"/>
  <c r="BQ55" i="2"/>
  <c r="BK55" i="2"/>
  <c r="CO52" i="2"/>
  <c r="CR52" i="2"/>
  <c r="CX52" i="2"/>
  <c r="CC52" i="2"/>
  <c r="CF52" i="2"/>
  <c r="CI52" i="2"/>
  <c r="BQ52" i="2"/>
  <c r="BW52" i="2"/>
  <c r="BK52" i="2"/>
  <c r="BN52" i="2"/>
  <c r="CO47" i="2"/>
  <c r="CR47" i="2"/>
  <c r="CU47" i="2"/>
  <c r="CH42" i="2"/>
  <c r="CC47" i="2"/>
  <c r="CL47" i="2"/>
  <c r="BH47" i="2"/>
  <c r="CO42" i="2"/>
  <c r="CE27" i="2"/>
  <c r="BW42" i="2"/>
  <c r="BW36" i="2"/>
  <c r="BM32" i="2"/>
  <c r="BK36" i="2"/>
  <c r="CT32" i="2"/>
  <c r="BZ36" i="2"/>
  <c r="BT36" i="2"/>
  <c r="CW27" i="2"/>
  <c r="CU32" i="2"/>
  <c r="CX32" i="2"/>
  <c r="BJ27" i="2"/>
  <c r="BN32" i="2"/>
  <c r="CU22" i="2"/>
  <c r="CF27" i="2"/>
  <c r="BT27" i="2"/>
  <c r="BZ27" i="2"/>
  <c r="BH27" i="2"/>
  <c r="BN27" i="2"/>
  <c r="CX22" i="2"/>
  <c r="CK14" i="2"/>
  <c r="CK17" i="2"/>
  <c r="CC22" i="2"/>
  <c r="CF22" i="2"/>
  <c r="BW22" i="2"/>
  <c r="BZ22" i="2"/>
  <c r="BN22" i="2"/>
  <c r="CF17" i="2"/>
  <c r="CL17" i="2"/>
  <c r="BT17" i="2"/>
  <c r="BZ17" i="2"/>
  <c r="BN17" i="2"/>
  <c r="AI41" i="26"/>
  <c r="AJ49" i="26"/>
  <c r="AJ39" i="26"/>
  <c r="CX14" i="2"/>
  <c r="CC10" i="2"/>
  <c r="CC14" i="2"/>
  <c r="CF14" i="2"/>
  <c r="CI14" i="2"/>
  <c r="CL14" i="2"/>
  <c r="BW14" i="2"/>
  <c r="BH14" i="2"/>
  <c r="AI49" i="26"/>
  <c r="AI39" i="26"/>
  <c r="AJ35" i="26"/>
  <c r="AJ20" i="26"/>
  <c r="AI44" i="26"/>
  <c r="AJ25" i="26"/>
  <c r="AJ13" i="26"/>
  <c r="AJ30" i="26"/>
  <c r="AI25" i="26"/>
  <c r="AJ21" i="26"/>
  <c r="AI13" i="26"/>
  <c r="AJ7" i="26"/>
  <c r="AI30" i="26"/>
  <c r="AI21" i="26"/>
  <c r="AJ11" i="26"/>
  <c r="AI7" i="26"/>
  <c r="AJ50" i="26"/>
  <c r="AI11" i="26"/>
  <c r="AI50" i="26"/>
  <c r="AI45" i="26"/>
  <c r="AJ18" i="26"/>
  <c r="AJ16" i="26"/>
  <c r="AI18" i="26"/>
  <c r="AJ46" i="26"/>
  <c r="AJ51" i="26"/>
  <c r="AI46" i="26"/>
  <c r="AJ8" i="26"/>
  <c r="AJ19" i="26"/>
  <c r="AI8" i="26"/>
  <c r="AI19" i="26"/>
  <c r="AD6" i="26"/>
  <c r="AC6" i="26"/>
  <c r="AB6" i="26"/>
  <c r="BY27" i="2"/>
  <c r="AE26" i="26"/>
  <c r="Y31" i="26"/>
  <c r="I34" i="26"/>
  <c r="V36" i="2"/>
  <c r="X35" i="26"/>
  <c r="D40" i="26"/>
  <c r="CB42" i="2"/>
  <c r="AC41" i="26"/>
  <c r="M44" i="26"/>
  <c r="AA25" i="26"/>
  <c r="G33" i="26"/>
  <c r="Q38" i="26"/>
  <c r="K39" i="26"/>
  <c r="U39" i="26"/>
  <c r="AA29" i="26"/>
  <c r="AD39" i="26"/>
  <c r="CX36" i="2"/>
  <c r="R34" i="26"/>
  <c r="AG35" i="26"/>
  <c r="CK27" i="2"/>
  <c r="M24" i="26"/>
  <c r="K25" i="26"/>
  <c r="CU36" i="2"/>
  <c r="M39" i="26"/>
  <c r="V39" i="26"/>
  <c r="AC25" i="26"/>
  <c r="I26" i="26"/>
  <c r="AF39" i="26"/>
  <c r="AA26" i="26"/>
  <c r="BV27" i="2"/>
  <c r="AH26" i="26"/>
  <c r="G28" i="26"/>
  <c r="AF30" i="26"/>
  <c r="R33" i="26"/>
  <c r="U34" i="26"/>
  <c r="Q35" i="26"/>
  <c r="O33" i="26"/>
  <c r="W29" i="26"/>
  <c r="M31" i="26"/>
  <c r="CB36" i="2"/>
  <c r="O30" i="26"/>
  <c r="AH30" i="26"/>
  <c r="I24" i="26"/>
  <c r="P24" i="26"/>
  <c r="G25" i="26"/>
  <c r="Q28" i="26"/>
  <c r="O29" i="26"/>
  <c r="G30" i="26"/>
  <c r="V31" i="26"/>
  <c r="J35" i="26"/>
  <c r="P39" i="26"/>
  <c r="K43" i="26"/>
  <c r="G45" i="26"/>
  <c r="CT27" i="2"/>
  <c r="Q24" i="26"/>
  <c r="J28" i="26"/>
  <c r="D33" i="26"/>
  <c r="G34" i="26"/>
  <c r="I42" i="2"/>
  <c r="M38" i="26"/>
  <c r="G39" i="26"/>
  <c r="AG29" i="26"/>
  <c r="S28" i="26"/>
  <c r="V35" i="26"/>
  <c r="Q41" i="26"/>
  <c r="K28" i="26"/>
  <c r="M33" i="26"/>
  <c r="AE35" i="26"/>
  <c r="BV42" i="2"/>
  <c r="H41" i="26"/>
  <c r="I31" i="26"/>
  <c r="N35" i="26"/>
  <c r="I41" i="26"/>
  <c r="BM27" i="2"/>
  <c r="CW32" i="2"/>
  <c r="Q43" i="26"/>
  <c r="BM47" i="2"/>
  <c r="CY50" i="2"/>
  <c r="CY46" i="2"/>
  <c r="I46" i="26"/>
  <c r="AA45" i="26"/>
  <c r="M45" i="26"/>
  <c r="M34" i="26"/>
  <c r="AC39" i="26"/>
  <c r="O44" i="26"/>
  <c r="I45" i="26"/>
  <c r="CN55" i="2"/>
  <c r="CT47" i="2"/>
  <c r="BJ55" i="2"/>
  <c r="BM52" i="2"/>
  <c r="CH55" i="2"/>
  <c r="BG47" i="2"/>
  <c r="S12" i="26"/>
  <c r="CU14" i="2"/>
  <c r="I18" i="26"/>
  <c r="Q18" i="26"/>
  <c r="E9" i="26"/>
  <c r="AB7" i="26"/>
  <c r="CT10" i="2"/>
  <c r="AG8" i="26"/>
  <c r="L9" i="26"/>
  <c r="K16" i="26"/>
  <c r="AA16" i="26"/>
  <c r="R8" i="26"/>
  <c r="M15" i="26"/>
  <c r="R9" i="26"/>
  <c r="H7" i="26"/>
  <c r="S8" i="26"/>
  <c r="AA9" i="26"/>
  <c r="G15" i="26"/>
  <c r="CY19" i="2"/>
  <c r="N7" i="26"/>
  <c r="R13" i="26"/>
  <c r="I10" i="2"/>
  <c r="I23" i="2" s="1"/>
  <c r="D7" i="26"/>
  <c r="CB17" i="2"/>
  <c r="W12" i="26"/>
  <c r="BJ14" i="2"/>
  <c r="D12" i="26"/>
  <c r="Z8" i="26"/>
  <c r="H9" i="26"/>
  <c r="CH14" i="2"/>
  <c r="L7" i="26"/>
  <c r="J8" i="26"/>
  <c r="X8" i="26"/>
  <c r="AD9" i="26"/>
  <c r="BV17" i="2"/>
  <c r="Z7" i="26"/>
  <c r="CT17" i="2"/>
  <c r="BM17" i="2"/>
  <c r="F14" i="2"/>
  <c r="Z12" i="26"/>
  <c r="BS14" i="2"/>
  <c r="W13" i="26"/>
  <c r="X13" i="26"/>
  <c r="S19" i="26"/>
  <c r="CT14" i="2"/>
  <c r="CE22" i="2"/>
  <c r="CW14" i="2"/>
  <c r="I52" i="2"/>
  <c r="I47" i="2"/>
  <c r="L42" i="2"/>
  <c r="AD42" i="2"/>
  <c r="R42" i="2"/>
  <c r="AY42" i="2"/>
  <c r="AY36" i="2"/>
  <c r="AD36" i="2"/>
  <c r="I32" i="2"/>
  <c r="I27" i="2"/>
  <c r="I17" i="2"/>
  <c r="AS14" i="2"/>
  <c r="C32" i="2"/>
  <c r="O32" i="2"/>
  <c r="F32" i="2"/>
  <c r="L36" i="2"/>
  <c r="AP42" i="2"/>
  <c r="AD32" i="2"/>
  <c r="X42" i="2"/>
  <c r="O42" i="2"/>
  <c r="AG32" i="2"/>
  <c r="W42" i="2"/>
  <c r="U42" i="2"/>
  <c r="AA42" i="2"/>
  <c r="AG42" i="2"/>
  <c r="AJ42" i="2"/>
  <c r="AM42" i="2"/>
  <c r="R32" i="2"/>
  <c r="X32" i="2"/>
  <c r="R36" i="2"/>
  <c r="AA14" i="2"/>
  <c r="AV42" i="2"/>
  <c r="AM32" i="2"/>
  <c r="AP14" i="2"/>
  <c r="AS32" i="2"/>
  <c r="AY32" i="2"/>
  <c r="AM36" i="2"/>
  <c r="AJ32" i="2"/>
  <c r="U32" i="2"/>
  <c r="X14" i="2"/>
  <c r="L14" i="2"/>
  <c r="AA32" i="2"/>
  <c r="AY14" i="2"/>
  <c r="AP32" i="2"/>
  <c r="AV32" i="2"/>
  <c r="AS36" i="2"/>
  <c r="O14" i="2"/>
  <c r="AP36" i="2"/>
  <c r="AD14" i="2"/>
  <c r="O36" i="2"/>
  <c r="AJ14" i="2"/>
  <c r="AM14" i="2"/>
  <c r="F36" i="2"/>
  <c r="R14" i="2"/>
  <c r="U14" i="2"/>
  <c r="U36" i="2"/>
  <c r="X36" i="2"/>
  <c r="AG14" i="2"/>
  <c r="AA36" i="2"/>
  <c r="AG36" i="2"/>
  <c r="AJ36" i="2"/>
  <c r="AV14" i="2"/>
  <c r="C14" i="2"/>
  <c r="C36" i="2"/>
  <c r="AV36" i="2"/>
  <c r="CX6" i="2"/>
  <c r="D6" i="2"/>
  <c r="BK6" i="2"/>
  <c r="W6" i="2"/>
  <c r="I6" i="26" s="1"/>
  <c r="BT6" i="2"/>
  <c r="CE6" i="2"/>
  <c r="AK6" i="2"/>
  <c r="CU6" i="2"/>
  <c r="AR32" i="2"/>
  <c r="T6" i="2"/>
  <c r="H6" i="26" s="1"/>
  <c r="CB6" i="2"/>
  <c r="AU6" i="2"/>
  <c r="Q6" i="26" s="1"/>
  <c r="BE6" i="2"/>
  <c r="BN6" i="2"/>
  <c r="BM6" i="2"/>
  <c r="BW6" i="2"/>
  <c r="BV6" i="2"/>
  <c r="CN6" i="2"/>
  <c r="CN10" i="2" s="1"/>
  <c r="BY6" i="2"/>
  <c r="Q14" i="2"/>
  <c r="N32" i="2"/>
  <c r="Q6" i="2"/>
  <c r="G6" i="26" s="1"/>
  <c r="P6" i="2"/>
  <c r="AO6" i="2"/>
  <c r="O6" i="26" s="1"/>
  <c r="AN6" i="2"/>
  <c r="AW6" i="2"/>
  <c r="A17" i="24"/>
  <c r="A6" i="24"/>
  <c r="A4" i="24"/>
  <c r="C26" i="24"/>
  <c r="D20" i="24"/>
  <c r="C15" i="24"/>
  <c r="D9" i="24"/>
  <c r="C29" i="23"/>
  <c r="D25" i="23"/>
  <c r="C20" i="23"/>
  <c r="D14" i="23"/>
  <c r="D13" i="23"/>
  <c r="D12" i="23"/>
  <c r="D11" i="23"/>
  <c r="D10" i="23"/>
  <c r="D9" i="23"/>
  <c r="T33" i="26" l="1"/>
  <c r="AL33" i="26" s="1"/>
  <c r="C10" i="26"/>
  <c r="T10" i="26" s="1"/>
  <c r="AL10" i="26" s="1"/>
  <c r="T6" i="26"/>
  <c r="AL6" i="26" s="1"/>
  <c r="T53" i="26"/>
  <c r="AL53" i="26" s="1"/>
  <c r="C55" i="26"/>
  <c r="T48" i="26"/>
  <c r="AL48" i="26" s="1"/>
  <c r="T38" i="26"/>
  <c r="AL38" i="26" s="1"/>
  <c r="D29" i="23"/>
  <c r="BL56" i="2"/>
  <c r="CL27" i="2"/>
  <c r="CX27" i="2"/>
  <c r="BG32" i="2"/>
  <c r="BY10" i="2"/>
  <c r="CQ27" i="2"/>
  <c r="BD10" i="2"/>
  <c r="BC56" i="2"/>
  <c r="BN47" i="2"/>
  <c r="CN27" i="2"/>
  <c r="CW36" i="2"/>
  <c r="BG14" i="2"/>
  <c r="BD22" i="2"/>
  <c r="I37" i="2"/>
  <c r="BE22" i="2"/>
  <c r="AI14" i="2"/>
  <c r="Z36" i="2"/>
  <c r="BM37" i="2"/>
  <c r="BB9" i="2"/>
  <c r="CO56" i="2"/>
  <c r="C13" i="26"/>
  <c r="T13" i="26" s="1"/>
  <c r="AL13" i="26" s="1"/>
  <c r="C15" i="26"/>
  <c r="AL36" i="2"/>
  <c r="AI42" i="2"/>
  <c r="CQ47" i="2"/>
  <c r="BJ32" i="2"/>
  <c r="BJ37" i="2" s="1"/>
  <c r="AC36" i="2"/>
  <c r="K35" i="26"/>
  <c r="W14" i="2"/>
  <c r="I13" i="26"/>
  <c r="P42" i="2"/>
  <c r="CN36" i="2"/>
  <c r="D30" i="26"/>
  <c r="CW52" i="2"/>
  <c r="AX14" i="2"/>
  <c r="BV55" i="2"/>
  <c r="AO42" i="2"/>
  <c r="O39" i="26"/>
  <c r="C28" i="26"/>
  <c r="C40" i="26"/>
  <c r="T40" i="26" s="1"/>
  <c r="AL40" i="26" s="1"/>
  <c r="C18" i="26"/>
  <c r="C11" i="26"/>
  <c r="CQ52" i="2"/>
  <c r="CN52" i="2"/>
  <c r="CN47" i="2"/>
  <c r="CN56" i="2" s="1"/>
  <c r="CE52" i="2"/>
  <c r="CB55" i="2"/>
  <c r="CH52" i="2"/>
  <c r="BP55" i="2"/>
  <c r="BP52" i="2"/>
  <c r="CB52" i="2"/>
  <c r="CB47" i="2"/>
  <c r="CH27" i="2"/>
  <c r="BV52" i="2"/>
  <c r="BJ47" i="2"/>
  <c r="CE42" i="2"/>
  <c r="W43" i="26"/>
  <c r="BK47" i="2"/>
  <c r="BG36" i="2"/>
  <c r="CX37" i="2"/>
  <c r="CQ32" i="2"/>
  <c r="CT36" i="2"/>
  <c r="CT37" i="2" s="1"/>
  <c r="CN32" i="2"/>
  <c r="AE38" i="26"/>
  <c r="CI42" i="2"/>
  <c r="CF42" i="2"/>
  <c r="CC42" i="2"/>
  <c r="CC56" i="2" s="1"/>
  <c r="BS36" i="2"/>
  <c r="AB39" i="26"/>
  <c r="BS27" i="2"/>
  <c r="CW37" i="2"/>
  <c r="CU27" i="2"/>
  <c r="CU37" i="2" s="1"/>
  <c r="CO36" i="2"/>
  <c r="AD33" i="26"/>
  <c r="CF36" i="2"/>
  <c r="CI36" i="2"/>
  <c r="AC33" i="26"/>
  <c r="CC36" i="2"/>
  <c r="AF34" i="26"/>
  <c r="CL36" i="2"/>
  <c r="Y33" i="26"/>
  <c r="BV36" i="2"/>
  <c r="BH36" i="2"/>
  <c r="BN36" i="2"/>
  <c r="BN37" i="2" s="1"/>
  <c r="CN22" i="2"/>
  <c r="AG28" i="26"/>
  <c r="CO32" i="2"/>
  <c r="CR32" i="2"/>
  <c r="AF28" i="26"/>
  <c r="CB32" i="2"/>
  <c r="AC28" i="26"/>
  <c r="CC32" i="2"/>
  <c r="Y28" i="26"/>
  <c r="W28" i="26"/>
  <c r="BK32" i="2"/>
  <c r="BH32" i="2"/>
  <c r="CW22" i="2"/>
  <c r="CT22" i="2"/>
  <c r="CT23" i="2" s="1"/>
  <c r="CO10" i="2"/>
  <c r="CR27" i="2"/>
  <c r="CO27" i="2"/>
  <c r="AE24" i="26"/>
  <c r="CI27" i="2"/>
  <c r="CB14" i="2"/>
  <c r="CB22" i="2"/>
  <c r="BW27" i="2"/>
  <c r="W24" i="26"/>
  <c r="BK27" i="2"/>
  <c r="AG18" i="26"/>
  <c r="CO22" i="2"/>
  <c r="AE18" i="26"/>
  <c r="CI22" i="2"/>
  <c r="CH22" i="2"/>
  <c r="BV10" i="2"/>
  <c r="BV22" i="2"/>
  <c r="CU17" i="2"/>
  <c r="CE14" i="2"/>
  <c r="AC15" i="26"/>
  <c r="CC17" i="2"/>
  <c r="CC23" i="2" s="1"/>
  <c r="BW17" i="2"/>
  <c r="CO14" i="2"/>
  <c r="CN14" i="2"/>
  <c r="CY28" i="2"/>
  <c r="CE10" i="2"/>
  <c r="BS10" i="2"/>
  <c r="BY14" i="2"/>
  <c r="BT14" i="2"/>
  <c r="AB11" i="26"/>
  <c r="BZ14" i="2"/>
  <c r="BM14" i="2"/>
  <c r="BN14" i="2"/>
  <c r="BK14" i="2"/>
  <c r="AJ45" i="26"/>
  <c r="AI12" i="26"/>
  <c r="AI16" i="26"/>
  <c r="AI15" i="26"/>
  <c r="CX10" i="2"/>
  <c r="AJ6" i="26"/>
  <c r="AJ33" i="26"/>
  <c r="AI24" i="26"/>
  <c r="AI26" i="26"/>
  <c r="AI35" i="26"/>
  <c r="AI6" i="26"/>
  <c r="CU10" i="2"/>
  <c r="CB10" i="2"/>
  <c r="CF10" i="2"/>
  <c r="BW10" i="2"/>
  <c r="AA6" i="26"/>
  <c r="BT10" i="2"/>
  <c r="Z6" i="26"/>
  <c r="BZ10" i="2"/>
  <c r="BK10" i="2"/>
  <c r="W6" i="26"/>
  <c r="BM10" i="2"/>
  <c r="U6" i="26"/>
  <c r="BE10" i="2"/>
  <c r="BN10" i="2"/>
  <c r="X6" i="26"/>
  <c r="CZ46" i="2"/>
  <c r="CZ50" i="2"/>
  <c r="CY31" i="2"/>
  <c r="I56" i="2"/>
  <c r="CY9" i="2"/>
  <c r="CY7" i="2"/>
  <c r="CY34" i="2"/>
  <c r="CY39" i="2"/>
  <c r="I57" i="2"/>
  <c r="V42" i="2"/>
  <c r="AH42" i="2"/>
  <c r="Q42" i="2"/>
  <c r="AC42" i="2"/>
  <c r="AN42" i="2"/>
  <c r="AB42" i="2"/>
  <c r="Q32" i="2"/>
  <c r="P32" i="2"/>
  <c r="AN32" i="2"/>
  <c r="AO14" i="2"/>
  <c r="M32" i="2"/>
  <c r="AQ32" i="2"/>
  <c r="AO32" i="2"/>
  <c r="AN14" i="2"/>
  <c r="Y36" i="2"/>
  <c r="AB36" i="2"/>
  <c r="W36" i="2"/>
  <c r="AK36" i="2"/>
  <c r="V14" i="2"/>
  <c r="P36" i="2"/>
  <c r="Q36" i="2"/>
  <c r="AW14" i="2"/>
  <c r="AH14" i="2"/>
  <c r="P14" i="2"/>
  <c r="D26" i="24"/>
  <c r="D15" i="24"/>
  <c r="D20" i="23"/>
  <c r="F4" i="24"/>
  <c r="T18" i="26" l="1"/>
  <c r="AL18" i="26" s="1"/>
  <c r="T11" i="26"/>
  <c r="AL11" i="26" s="1"/>
  <c r="T28" i="26"/>
  <c r="AL28" i="26" s="1"/>
  <c r="T15" i="26"/>
  <c r="AL15" i="26" s="1"/>
  <c r="C17" i="26"/>
  <c r="T17" i="26" s="1"/>
  <c r="AL17" i="26" s="1"/>
  <c r="T55" i="26"/>
  <c r="AL55" i="26" s="1"/>
  <c r="BY23" i="2"/>
  <c r="BG37" i="2"/>
  <c r="J43" i="2"/>
  <c r="K43" i="2" s="1"/>
  <c r="J44" i="2"/>
  <c r="J45" i="2"/>
  <c r="E45" i="26" s="1"/>
  <c r="J41" i="2"/>
  <c r="K41" i="2" s="1"/>
  <c r="J49" i="2"/>
  <c r="K49" i="2" s="1"/>
  <c r="E49" i="26" s="1"/>
  <c r="J51" i="2"/>
  <c r="K51" i="2" s="1"/>
  <c r="J38" i="2"/>
  <c r="K38" i="2" s="1"/>
  <c r="J40" i="2"/>
  <c r="K40" i="2" s="1"/>
  <c r="J53" i="2"/>
  <c r="J48" i="2"/>
  <c r="K48" i="2" s="1"/>
  <c r="BB48" i="2" s="1"/>
  <c r="J39" i="2"/>
  <c r="J54" i="2"/>
  <c r="K54" i="2" s="1"/>
  <c r="J30" i="2"/>
  <c r="K30" i="2" s="1"/>
  <c r="J25" i="2"/>
  <c r="K25" i="2" s="1"/>
  <c r="E25" i="26" s="1"/>
  <c r="J26" i="2"/>
  <c r="K26" i="2" s="1"/>
  <c r="E26" i="26" s="1"/>
  <c r="J29" i="2"/>
  <c r="K29" i="2" s="1"/>
  <c r="J35" i="2"/>
  <c r="K35" i="2" s="1"/>
  <c r="J24" i="2"/>
  <c r="CB56" i="2"/>
  <c r="J15" i="2"/>
  <c r="K15" i="2" s="1"/>
  <c r="J13" i="2"/>
  <c r="K13" i="2" s="1"/>
  <c r="J18" i="2"/>
  <c r="K18" i="2" s="1"/>
  <c r="J21" i="2"/>
  <c r="K21" i="2" s="1"/>
  <c r="J16" i="2"/>
  <c r="J11" i="2"/>
  <c r="K11" i="2" s="1"/>
  <c r="J12" i="2"/>
  <c r="K12" i="2" s="1"/>
  <c r="E12" i="26" s="1"/>
  <c r="J20" i="2"/>
  <c r="K20" i="2" s="1"/>
  <c r="CN37" i="2"/>
  <c r="CB23" i="2"/>
  <c r="BH37" i="2"/>
  <c r="BM23" i="2"/>
  <c r="CE23" i="2"/>
  <c r="CO37" i="2"/>
  <c r="BK37" i="2"/>
  <c r="BV23" i="2"/>
  <c r="CU23" i="2"/>
  <c r="CF23" i="2"/>
  <c r="BW23" i="2"/>
  <c r="BZ23" i="2"/>
  <c r="BN23" i="2"/>
  <c r="CZ28" i="2"/>
  <c r="CZ31" i="2"/>
  <c r="CZ7" i="2"/>
  <c r="CZ9" i="2"/>
  <c r="CZ34" i="2"/>
  <c r="E43" i="26"/>
  <c r="E35" i="26"/>
  <c r="E24" i="26"/>
  <c r="E41" i="26"/>
  <c r="E51" i="26"/>
  <c r="E54" i="26"/>
  <c r="J6" i="2"/>
  <c r="K6" i="2" s="1"/>
  <c r="E6" i="26" s="1"/>
  <c r="X17" i="2"/>
  <c r="AY52" i="2"/>
  <c r="AA52" i="2"/>
  <c r="F52" i="2"/>
  <c r="AY47" i="2"/>
  <c r="AA47" i="2"/>
  <c r="AY55" i="2"/>
  <c r="AA55" i="2"/>
  <c r="O55" i="2"/>
  <c r="J17" i="2" l="1"/>
  <c r="E39" i="26"/>
  <c r="E21" i="26"/>
  <c r="K47" i="2"/>
  <c r="E44" i="26"/>
  <c r="E38" i="26"/>
  <c r="E20" i="26"/>
  <c r="E29" i="26"/>
  <c r="K10" i="2"/>
  <c r="K36" i="2"/>
  <c r="E48" i="26"/>
  <c r="E40" i="26"/>
  <c r="K17" i="2"/>
  <c r="E15" i="26"/>
  <c r="E53" i="26"/>
  <c r="K14" i="2"/>
  <c r="E13" i="26"/>
  <c r="E16" i="26"/>
  <c r="E11" i="26"/>
  <c r="E30" i="26"/>
  <c r="E18" i="26"/>
  <c r="J47" i="2"/>
  <c r="J14" i="2"/>
  <c r="J10" i="2"/>
  <c r="J42" i="2"/>
  <c r="J55" i="2"/>
  <c r="K55" i="2"/>
  <c r="J27" i="2"/>
  <c r="K27" i="2"/>
  <c r="K32" i="2"/>
  <c r="K52" i="2"/>
  <c r="J32" i="2"/>
  <c r="J52" i="2"/>
  <c r="K42" i="2"/>
  <c r="J22" i="2"/>
  <c r="J36" i="2"/>
  <c r="K22" i="2"/>
  <c r="AV10" i="2"/>
  <c r="AJ17" i="2"/>
  <c r="L17" i="2"/>
  <c r="AV17" i="2"/>
  <c r="AJ55" i="2"/>
  <c r="X55" i="2"/>
  <c r="AS17" i="2"/>
  <c r="F55" i="2"/>
  <c r="AD17" i="2"/>
  <c r="R17" i="2"/>
  <c r="F47" i="2"/>
  <c r="AS55" i="2"/>
  <c r="U55" i="2"/>
  <c r="AP10" i="2"/>
  <c r="AP55" i="2"/>
  <c r="AY17" i="2"/>
  <c r="AM27" i="2"/>
  <c r="AS52" i="2"/>
  <c r="O52" i="2"/>
  <c r="O47" i="2"/>
  <c r="R55" i="2"/>
  <c r="AJ10" i="2"/>
  <c r="AY27" i="2"/>
  <c r="R10" i="2"/>
  <c r="AD47" i="2"/>
  <c r="AP17" i="2"/>
  <c r="U10" i="2"/>
  <c r="AG10" i="2"/>
  <c r="C47" i="2"/>
  <c r="C52" i="2"/>
  <c r="AG47" i="2"/>
  <c r="AG22" i="2"/>
  <c r="AS47" i="2"/>
  <c r="U52" i="2"/>
  <c r="U22" i="2"/>
  <c r="AA10" i="2"/>
  <c r="AM55" i="2"/>
  <c r="AP22" i="2"/>
  <c r="R52" i="2"/>
  <c r="AD52" i="2"/>
  <c r="AD55" i="2"/>
  <c r="C55" i="2"/>
  <c r="AG52" i="2"/>
  <c r="F10" i="2"/>
  <c r="F22" i="2"/>
  <c r="AS22" i="2"/>
  <c r="U47" i="2"/>
  <c r="O17" i="2"/>
  <c r="AJ47" i="2"/>
  <c r="AJ22" i="2"/>
  <c r="X47" i="2"/>
  <c r="AJ52" i="2"/>
  <c r="AG55" i="2"/>
  <c r="AS10" i="2"/>
  <c r="AP47" i="2"/>
  <c r="U17" i="2"/>
  <c r="AV22" i="2"/>
  <c r="AD10" i="2"/>
  <c r="AP52" i="2"/>
  <c r="AY10" i="2"/>
  <c r="AA17" i="2"/>
  <c r="AG17" i="2"/>
  <c r="C10" i="2"/>
  <c r="L55" i="2"/>
  <c r="AV55" i="2"/>
  <c r="O10" i="2"/>
  <c r="R22" i="2"/>
  <c r="R47" i="2"/>
  <c r="L52" i="2"/>
  <c r="X22" i="2"/>
  <c r="AD27" i="2"/>
  <c r="X27" i="2"/>
  <c r="R27" i="2"/>
  <c r="L10" i="2"/>
  <c r="AG27" i="2"/>
  <c r="X10" i="2"/>
  <c r="AY22" i="2"/>
  <c r="AV27" i="2"/>
  <c r="O27" i="2"/>
  <c r="L47" i="2"/>
  <c r="X52" i="2"/>
  <c r="AV47" i="2"/>
  <c r="AV52" i="2"/>
  <c r="AJ27" i="2"/>
  <c r="U27" i="2"/>
  <c r="C17" i="2"/>
  <c r="AA27" i="2"/>
  <c r="C27" i="2"/>
  <c r="AP27" i="2"/>
  <c r="AM17" i="2"/>
  <c r="AS27" i="2"/>
  <c r="F17" i="2"/>
  <c r="AM47" i="2"/>
  <c r="AM52" i="2"/>
  <c r="AM22" i="2"/>
  <c r="AM10" i="2"/>
  <c r="AA22" i="2"/>
  <c r="O22" i="2"/>
  <c r="L22" i="2"/>
  <c r="AA56" i="2"/>
  <c r="AY56" i="2"/>
  <c r="AD22" i="2"/>
  <c r="L27" i="2"/>
  <c r="J56" i="2" l="1"/>
  <c r="K56" i="2"/>
  <c r="K23" i="2"/>
  <c r="J23" i="2"/>
  <c r="K37" i="2"/>
  <c r="J37" i="2"/>
  <c r="J57" i="2" s="1"/>
  <c r="X56" i="2"/>
  <c r="AP56" i="2"/>
  <c r="X37" i="2"/>
  <c r="AJ23" i="2"/>
  <c r="AV23" i="2"/>
  <c r="L37" i="2"/>
  <c r="AD23" i="2"/>
  <c r="AJ37" i="2"/>
  <c r="AY23" i="2"/>
  <c r="AY37" i="2"/>
  <c r="U56" i="2"/>
  <c r="U23" i="2"/>
  <c r="AV37" i="2"/>
  <c r="AA23" i="2"/>
  <c r="R56" i="2"/>
  <c r="R23" i="2"/>
  <c r="AA37" i="2"/>
  <c r="AP23" i="2"/>
  <c r="F23" i="2"/>
  <c r="O37" i="2"/>
  <c r="O56" i="2"/>
  <c r="AG23" i="2"/>
  <c r="AS37" i="2"/>
  <c r="C56" i="2"/>
  <c r="F56" i="2"/>
  <c r="AM37" i="2"/>
  <c r="AJ56" i="2"/>
  <c r="AG37" i="2"/>
  <c r="AS23" i="2"/>
  <c r="AD56" i="2"/>
  <c r="O23" i="2"/>
  <c r="L23" i="2"/>
  <c r="L56" i="2"/>
  <c r="AG56" i="2"/>
  <c r="AM56" i="2"/>
  <c r="AS56" i="2"/>
  <c r="U37" i="2"/>
  <c r="AD37" i="2"/>
  <c r="BX57" i="2"/>
  <c r="AP37" i="2"/>
  <c r="AV56" i="2"/>
  <c r="CJ57" i="2"/>
  <c r="X23" i="2"/>
  <c r="R37" i="2"/>
  <c r="AM23" i="2"/>
  <c r="BY29" i="2" l="1"/>
  <c r="BZ29" i="2" s="1"/>
  <c r="BY45" i="2"/>
  <c r="BZ45" i="2" s="1"/>
  <c r="BY53" i="2"/>
  <c r="BY48" i="2"/>
  <c r="BZ48" i="2" s="1"/>
  <c r="BY43" i="2"/>
  <c r="BZ43" i="2" s="1"/>
  <c r="BY44" i="2"/>
  <c r="AB44" i="26" s="1"/>
  <c r="BY41" i="2"/>
  <c r="BZ41" i="2" s="1"/>
  <c r="BY38" i="2"/>
  <c r="BZ38" i="2" s="1"/>
  <c r="AB38" i="26" s="1"/>
  <c r="BY51" i="2"/>
  <c r="BZ51" i="2" s="1"/>
  <c r="AB51" i="26" s="1"/>
  <c r="CK29" i="2"/>
  <c r="CL29" i="2" s="1"/>
  <c r="CK54" i="2"/>
  <c r="CL54" i="2" s="1"/>
  <c r="CK53" i="2"/>
  <c r="CK40" i="2"/>
  <c r="CL40" i="2" s="1"/>
  <c r="AF40" i="26" s="1"/>
  <c r="CK38" i="2"/>
  <c r="CL38" i="2" s="1"/>
  <c r="CK41" i="2"/>
  <c r="AF41" i="26" s="1"/>
  <c r="CK48" i="2"/>
  <c r="CK8" i="2"/>
  <c r="CL8" i="2" s="1"/>
  <c r="AF8" i="26" s="1"/>
  <c r="CK18" i="2"/>
  <c r="CL18" i="2" s="1"/>
  <c r="K57" i="2"/>
  <c r="AB45" i="26"/>
  <c r="CK6" i="2"/>
  <c r="L57" i="2"/>
  <c r="X57" i="2"/>
  <c r="AJ57" i="2"/>
  <c r="BL57" i="2"/>
  <c r="AA57" i="2"/>
  <c r="AB30" i="2" s="1"/>
  <c r="AC30" i="2" s="1"/>
  <c r="CG57" i="2"/>
  <c r="CH45" i="2" s="1"/>
  <c r="CI45" i="2" s="1"/>
  <c r="CD57" i="2"/>
  <c r="CM57" i="2"/>
  <c r="CN15" i="2" s="1"/>
  <c r="CO15" i="2" s="1"/>
  <c r="AY57" i="2"/>
  <c r="AP57" i="2"/>
  <c r="AV57" i="2"/>
  <c r="R57" i="2"/>
  <c r="S40" i="2" s="1"/>
  <c r="T40" i="2" s="1"/>
  <c r="O57" i="2"/>
  <c r="U57" i="2"/>
  <c r="BC57" i="2"/>
  <c r="BF57" i="2"/>
  <c r="BI57" i="2"/>
  <c r="CA57" i="2"/>
  <c r="CB24" i="2" s="1"/>
  <c r="CC24" i="2" s="1"/>
  <c r="CS57" i="2"/>
  <c r="CV57" i="2"/>
  <c r="AS57" i="2"/>
  <c r="AD57" i="2"/>
  <c r="BR57" i="2"/>
  <c r="AG57" i="2"/>
  <c r="BU57" i="2"/>
  <c r="CP57" i="2"/>
  <c r="AM57" i="2"/>
  <c r="AN45" i="2" s="1"/>
  <c r="AO45" i="2" s="1"/>
  <c r="BO57" i="2"/>
  <c r="Y29" i="2" l="1"/>
  <c r="Z29" i="2" s="1"/>
  <c r="Y40" i="2"/>
  <c r="Z40" i="2" s="1"/>
  <c r="J40" i="26" s="1"/>
  <c r="Y53" i="2"/>
  <c r="Z53" i="2" s="1"/>
  <c r="BS48" i="2"/>
  <c r="BT48" i="2" s="1"/>
  <c r="BS51" i="2"/>
  <c r="BT51" i="2" s="1"/>
  <c r="BS54" i="2"/>
  <c r="BT54" i="2" s="1"/>
  <c r="BS49" i="2"/>
  <c r="BT49" i="2" s="1"/>
  <c r="BS38" i="2"/>
  <c r="BT38" i="2" s="1"/>
  <c r="BS44" i="2"/>
  <c r="Z44" i="26" s="1"/>
  <c r="BS43" i="2"/>
  <c r="BT43" i="2" s="1"/>
  <c r="BS45" i="2"/>
  <c r="BT45" i="2" s="1"/>
  <c r="AK29" i="2"/>
  <c r="N29" i="26" s="1"/>
  <c r="AK51" i="2"/>
  <c r="N51" i="26" s="1"/>
  <c r="AK41" i="2"/>
  <c r="AL41" i="2" s="1"/>
  <c r="N41" i="26" s="1"/>
  <c r="AK53" i="2"/>
  <c r="AL53" i="2" s="1"/>
  <c r="N53" i="26" s="1"/>
  <c r="CE30" i="2"/>
  <c r="CF30" i="2" s="1"/>
  <c r="CE53" i="2"/>
  <c r="CE44" i="2"/>
  <c r="CF44" i="2" s="1"/>
  <c r="CE45" i="2"/>
  <c r="CF45" i="2" s="1"/>
  <c r="AD45" i="26" s="1"/>
  <c r="CE54" i="2"/>
  <c r="CF54" i="2" s="1"/>
  <c r="AE41" i="2"/>
  <c r="AF41" i="2" s="1"/>
  <c r="AE39" i="2"/>
  <c r="AE40" i="2"/>
  <c r="AF40" i="2" s="1"/>
  <c r="AE53" i="2"/>
  <c r="AF53" i="2" s="1"/>
  <c r="AE38" i="2"/>
  <c r="AT40" i="2"/>
  <c r="AU40" i="2" s="1"/>
  <c r="AT53" i="2"/>
  <c r="AU53" i="2" s="1"/>
  <c r="BJ38" i="2"/>
  <c r="BJ41" i="2"/>
  <c r="BK41" i="2" s="1"/>
  <c r="W41" i="26" s="1"/>
  <c r="M33" i="2"/>
  <c r="N33" i="2" s="1"/>
  <c r="M53" i="2"/>
  <c r="N53" i="2" s="1"/>
  <c r="BB53" i="2" s="1"/>
  <c r="M41" i="2"/>
  <c r="N41" i="2" s="1"/>
  <c r="F41" i="26" s="1"/>
  <c r="M38" i="2"/>
  <c r="N38" i="2" s="1"/>
  <c r="M40" i="2"/>
  <c r="N40" i="2" s="1"/>
  <c r="BD53" i="2"/>
  <c r="BE53" i="2" s="1"/>
  <c r="BD40" i="2"/>
  <c r="BE40" i="2" s="1"/>
  <c r="BD48" i="2"/>
  <c r="BE48" i="2" s="1"/>
  <c r="BD51" i="2"/>
  <c r="BE51" i="2" s="1"/>
  <c r="BD44" i="2"/>
  <c r="BE44" i="2" s="1"/>
  <c r="U44" i="26" s="1"/>
  <c r="BD45" i="2"/>
  <c r="BE45" i="2" s="1"/>
  <c r="BD49" i="2"/>
  <c r="BD38" i="2"/>
  <c r="BE38" i="2" s="1"/>
  <c r="CW15" i="2"/>
  <c r="CX15" i="2" s="1"/>
  <c r="CW43" i="2"/>
  <c r="CX43" i="2" s="1"/>
  <c r="CW40" i="2"/>
  <c r="CX40" i="2" s="1"/>
  <c r="CW53" i="2"/>
  <c r="CX53" i="2" s="1"/>
  <c r="CW44" i="2"/>
  <c r="CX44" i="2" s="1"/>
  <c r="CW38" i="2"/>
  <c r="CW41" i="2"/>
  <c r="BM54" i="2"/>
  <c r="BN54" i="2" s="1"/>
  <c r="BM53" i="2"/>
  <c r="BN53" i="2" s="1"/>
  <c r="X53" i="26" s="1"/>
  <c r="BM38" i="2"/>
  <c r="BN38" i="2" s="1"/>
  <c r="CT38" i="2"/>
  <c r="CU38" i="2" s="1"/>
  <c r="AI38" i="26" s="1"/>
  <c r="CT40" i="2"/>
  <c r="CU40" i="2" s="1"/>
  <c r="CT51" i="2"/>
  <c r="CU51" i="2" s="1"/>
  <c r="CT53" i="2"/>
  <c r="CU53" i="2" s="1"/>
  <c r="AI53" i="26" s="1"/>
  <c r="CT54" i="2"/>
  <c r="CU54" i="2" s="1"/>
  <c r="CT48" i="2"/>
  <c r="CU48" i="2" s="1"/>
  <c r="BG53" i="2"/>
  <c r="BG48" i="2"/>
  <c r="BH48" i="2" s="1"/>
  <c r="BG40" i="2"/>
  <c r="BH40" i="2" s="1"/>
  <c r="V40" i="26" s="1"/>
  <c r="BG38" i="2"/>
  <c r="BG54" i="2"/>
  <c r="BH54" i="2" s="1"/>
  <c r="V54" i="26" s="1"/>
  <c r="BG41" i="2"/>
  <c r="BH41" i="2" s="1"/>
  <c r="BP44" i="2"/>
  <c r="BQ44" i="2" s="1"/>
  <c r="Y44" i="26" s="1"/>
  <c r="BP38" i="2"/>
  <c r="BQ38" i="2" s="1"/>
  <c r="BP45" i="2"/>
  <c r="BQ45" i="2" s="1"/>
  <c r="AW30" i="2"/>
  <c r="AX30" i="2" s="1"/>
  <c r="AW41" i="2"/>
  <c r="AX41" i="2" s="1"/>
  <c r="CQ33" i="2"/>
  <c r="CR33" i="2" s="1"/>
  <c r="CQ38" i="2"/>
  <c r="CR38" i="2" s="1"/>
  <c r="AQ40" i="2"/>
  <c r="AR40" i="2" s="1"/>
  <c r="P40" i="26" s="1"/>
  <c r="AQ41" i="2"/>
  <c r="AQ38" i="2"/>
  <c r="AR38" i="2" s="1"/>
  <c r="BV30" i="2"/>
  <c r="BW30" i="2" s="1"/>
  <c r="BV44" i="2"/>
  <c r="BW44" i="2" s="1"/>
  <c r="AZ41" i="2"/>
  <c r="S41" i="26" s="1"/>
  <c r="AZ40" i="2"/>
  <c r="AZ39" i="2"/>
  <c r="BA39" i="2" s="1"/>
  <c r="S39" i="26" s="1"/>
  <c r="AZ38" i="2"/>
  <c r="BA38" i="2" s="1"/>
  <c r="S38" i="26" s="1"/>
  <c r="AZ49" i="2"/>
  <c r="BA49" i="2" s="1"/>
  <c r="AZ51" i="2"/>
  <c r="BA51" i="2" s="1"/>
  <c r="AZ53" i="2"/>
  <c r="BA53" i="2" s="1"/>
  <c r="S53" i="26" s="1"/>
  <c r="AZ45" i="2"/>
  <c r="BA45" i="2" s="1"/>
  <c r="AN25" i="2"/>
  <c r="AN26" i="2"/>
  <c r="AO26" i="2" s="1"/>
  <c r="O26" i="26" s="1"/>
  <c r="S29" i="2"/>
  <c r="T29" i="2" s="1"/>
  <c r="H29" i="26" s="1"/>
  <c r="S30" i="2"/>
  <c r="S33" i="2"/>
  <c r="T33" i="2" s="1"/>
  <c r="S35" i="2"/>
  <c r="AQ33" i="2"/>
  <c r="AR33" i="2" s="1"/>
  <c r="P33" i="26" s="1"/>
  <c r="AQ35" i="2"/>
  <c r="AR35" i="2" s="1"/>
  <c r="P35" i="26" s="1"/>
  <c r="BS21" i="2"/>
  <c r="BT21" i="2" s="1"/>
  <c r="BS30" i="2"/>
  <c r="BT30" i="2" s="1"/>
  <c r="BS29" i="2"/>
  <c r="BT29" i="2" s="1"/>
  <c r="CH29" i="2"/>
  <c r="CI29" i="2" s="1"/>
  <c r="CH30" i="2"/>
  <c r="CI30" i="2" s="1"/>
  <c r="AE30" i="2"/>
  <c r="AF30" i="2" s="1"/>
  <c r="L30" i="26" s="1"/>
  <c r="AE33" i="2"/>
  <c r="AF33" i="2" s="1"/>
  <c r="AE35" i="2"/>
  <c r="AF35" i="2" s="1"/>
  <c r="L35" i="26" s="1"/>
  <c r="AE29" i="2"/>
  <c r="AF29" i="2" s="1"/>
  <c r="AT30" i="2"/>
  <c r="AU30" i="2" s="1"/>
  <c r="AT29" i="2"/>
  <c r="AU29" i="2" s="1"/>
  <c r="AT33" i="2"/>
  <c r="AU33" i="2" s="1"/>
  <c r="AH21" i="2"/>
  <c r="M21" i="26" s="1"/>
  <c r="AH30" i="2"/>
  <c r="AH29" i="2"/>
  <c r="AI29" i="2" s="1"/>
  <c r="AH25" i="2"/>
  <c r="AI25" i="2" s="1"/>
  <c r="M25" i="26" s="1"/>
  <c r="AH26" i="2"/>
  <c r="AI26" i="2" s="1"/>
  <c r="M26" i="26" s="1"/>
  <c r="BD24" i="2"/>
  <c r="BE24" i="2" s="1"/>
  <c r="BD29" i="2"/>
  <c r="BE29" i="2" s="1"/>
  <c r="BD30" i="2"/>
  <c r="U30" i="26" s="1"/>
  <c r="BD33" i="2"/>
  <c r="BE33" i="2" s="1"/>
  <c r="BD25" i="2"/>
  <c r="BE25" i="2" s="1"/>
  <c r="U25" i="26" s="1"/>
  <c r="BD26" i="2"/>
  <c r="BE26" i="2" s="1"/>
  <c r="BD35" i="2"/>
  <c r="BE35" i="2" s="1"/>
  <c r="BP24" i="2"/>
  <c r="BQ24" i="2" s="1"/>
  <c r="BP26" i="2"/>
  <c r="BQ26" i="2" s="1"/>
  <c r="BP29" i="2"/>
  <c r="BQ29" i="2" s="1"/>
  <c r="Y29" i="26" s="1"/>
  <c r="BP30" i="2"/>
  <c r="BQ30" i="2" s="1"/>
  <c r="BP25" i="2"/>
  <c r="BQ25" i="2" s="1"/>
  <c r="BP35" i="2"/>
  <c r="BQ35" i="2" s="1"/>
  <c r="AZ33" i="2"/>
  <c r="BA33" i="2" s="1"/>
  <c r="AZ25" i="2"/>
  <c r="BA25" i="2" s="1"/>
  <c r="S25" i="26" s="1"/>
  <c r="AZ29" i="2"/>
  <c r="BA29" i="2" s="1"/>
  <c r="S29" i="26" s="1"/>
  <c r="AZ30" i="2"/>
  <c r="BA30" i="2" s="1"/>
  <c r="S30" i="26" s="1"/>
  <c r="AZ24" i="2"/>
  <c r="BA24" i="2" s="1"/>
  <c r="S24" i="26" s="1"/>
  <c r="AZ35" i="2"/>
  <c r="BA35" i="2" s="1"/>
  <c r="AZ26" i="2"/>
  <c r="BA26" i="2" s="1"/>
  <c r="S26" i="26" s="1"/>
  <c r="V29" i="2"/>
  <c r="W29" i="2" s="1"/>
  <c r="V30" i="2"/>
  <c r="W30" i="2" s="1"/>
  <c r="I30" i="26" s="1"/>
  <c r="AE13" i="2"/>
  <c r="AF13" i="2" s="1"/>
  <c r="L13" i="26" s="1"/>
  <c r="AE16" i="2"/>
  <c r="L16" i="26" s="1"/>
  <c r="AE12" i="2"/>
  <c r="L12" i="26" s="1"/>
  <c r="AE15" i="2"/>
  <c r="AF15" i="2" s="1"/>
  <c r="AE21" i="2"/>
  <c r="AF21" i="2" s="1"/>
  <c r="AE8" i="2"/>
  <c r="AF8" i="2" s="1"/>
  <c r="AE11" i="2"/>
  <c r="AF11" i="2" s="1"/>
  <c r="L11" i="26" s="1"/>
  <c r="CQ13" i="2"/>
  <c r="CR13" i="2" s="1"/>
  <c r="CQ12" i="2"/>
  <c r="AH12" i="26" s="1"/>
  <c r="CQ15" i="2"/>
  <c r="CR15" i="2" s="1"/>
  <c r="CQ11" i="2"/>
  <c r="CR11" i="2" s="1"/>
  <c r="CQ18" i="2"/>
  <c r="CR18" i="2" s="1"/>
  <c r="CQ8" i="2"/>
  <c r="CR8" i="2" s="1"/>
  <c r="AZ20" i="2"/>
  <c r="BA20" i="2" s="1"/>
  <c r="S20" i="26" s="1"/>
  <c r="AZ11" i="2"/>
  <c r="BA11" i="2" s="1"/>
  <c r="S11" i="26" s="1"/>
  <c r="AZ18" i="2"/>
  <c r="BA18" i="2" s="1"/>
  <c r="S18" i="26" s="1"/>
  <c r="AZ21" i="2"/>
  <c r="S21" i="26" s="1"/>
  <c r="AZ13" i="2"/>
  <c r="BA13" i="2" s="1"/>
  <c r="AZ15" i="2"/>
  <c r="BA15" i="2" s="1"/>
  <c r="AZ16" i="2"/>
  <c r="BA16" i="2" s="1"/>
  <c r="BJ18" i="2"/>
  <c r="BK18" i="2" s="1"/>
  <c r="BJ16" i="2"/>
  <c r="BK16" i="2" s="1"/>
  <c r="BJ15" i="2"/>
  <c r="BK15" i="2" s="1"/>
  <c r="W15" i="26" s="1"/>
  <c r="M13" i="2"/>
  <c r="N13" i="2" s="1"/>
  <c r="M18" i="2"/>
  <c r="N18" i="2" s="1"/>
  <c r="M15" i="2"/>
  <c r="M11" i="2"/>
  <c r="N11" i="2" s="1"/>
  <c r="M12" i="2"/>
  <c r="N12" i="2" s="1"/>
  <c r="F12" i="26" s="1"/>
  <c r="M8" i="2"/>
  <c r="N8" i="2" s="1"/>
  <c r="BB8" i="2" s="1"/>
  <c r="M16" i="2"/>
  <c r="K30" i="26"/>
  <c r="AB11" i="2"/>
  <c r="AC11" i="2" s="1"/>
  <c r="K11" i="26" s="1"/>
  <c r="AB15" i="2"/>
  <c r="AC15" i="2" s="1"/>
  <c r="K15" i="26" s="1"/>
  <c r="AB12" i="2"/>
  <c r="AC12" i="2" s="1"/>
  <c r="Y15" i="2"/>
  <c r="Z15" i="2" s="1"/>
  <c r="J15" i="26" s="1"/>
  <c r="Y11" i="2"/>
  <c r="J11" i="26" s="1"/>
  <c r="Y21" i="2"/>
  <c r="Z21" i="2" s="1"/>
  <c r="J21" i="26" s="1"/>
  <c r="Y20" i="2"/>
  <c r="BD11" i="2"/>
  <c r="BE11" i="2" s="1"/>
  <c r="BD12" i="2"/>
  <c r="BE12" i="2" s="1"/>
  <c r="BD15" i="2"/>
  <c r="BE15" i="2" s="1"/>
  <c r="P16" i="2"/>
  <c r="P18" i="2"/>
  <c r="G18" i="26" s="1"/>
  <c r="AT13" i="2"/>
  <c r="AU13" i="2" s="1"/>
  <c r="Q13" i="26" s="1"/>
  <c r="AT16" i="2"/>
  <c r="AU16" i="2" s="1"/>
  <c r="Q16" i="26" s="1"/>
  <c r="AT20" i="2"/>
  <c r="AU20" i="2" s="1"/>
  <c r="Q20" i="26" s="1"/>
  <c r="AT15" i="2"/>
  <c r="AU15" i="2" s="1"/>
  <c r="Q15" i="26" s="1"/>
  <c r="AT11" i="2"/>
  <c r="AU11" i="2" s="1"/>
  <c r="Q11" i="26" s="1"/>
  <c r="AT12" i="2"/>
  <c r="AU12" i="2" s="1"/>
  <c r="Q12" i="26" s="1"/>
  <c r="AT21" i="2"/>
  <c r="AU21" i="2" s="1"/>
  <c r="AK15" i="2"/>
  <c r="AL15" i="2" s="1"/>
  <c r="N15" i="26" s="1"/>
  <c r="AK18" i="2"/>
  <c r="AL18" i="2" s="1"/>
  <c r="N18" i="26" s="1"/>
  <c r="AK11" i="2"/>
  <c r="AL11" i="2" s="1"/>
  <c r="N11" i="26" s="1"/>
  <c r="AK12" i="2"/>
  <c r="BP21" i="2"/>
  <c r="BQ21" i="2" s="1"/>
  <c r="Y21" i="26" s="1"/>
  <c r="BP20" i="2"/>
  <c r="BQ20" i="2" s="1"/>
  <c r="BP11" i="2"/>
  <c r="BQ11" i="2" s="1"/>
  <c r="BP18" i="2"/>
  <c r="BQ18" i="2" s="1"/>
  <c r="Y18" i="26" s="1"/>
  <c r="BP15" i="2"/>
  <c r="BQ15" i="2" s="1"/>
  <c r="Y15" i="26" s="1"/>
  <c r="BP12" i="2"/>
  <c r="BQ12" i="2" s="1"/>
  <c r="Y12" i="26" s="1"/>
  <c r="BP16" i="2"/>
  <c r="BQ16" i="2" s="1"/>
  <c r="AQ20" i="2"/>
  <c r="AR20" i="2" s="1"/>
  <c r="P20" i="26" s="1"/>
  <c r="AQ15" i="2"/>
  <c r="AR15" i="2" s="1"/>
  <c r="P15" i="26" s="1"/>
  <c r="AQ12" i="2"/>
  <c r="AR12" i="2" s="1"/>
  <c r="P12" i="26" s="1"/>
  <c r="AQ18" i="2"/>
  <c r="AR18" i="2" s="1"/>
  <c r="P18" i="26" s="1"/>
  <c r="AQ13" i="2"/>
  <c r="AR13" i="2" s="1"/>
  <c r="AQ11" i="2"/>
  <c r="AR11" i="2" s="1"/>
  <c r="P11" i="26" s="1"/>
  <c r="CH16" i="2"/>
  <c r="CH15" i="2"/>
  <c r="AE15" i="26" s="1"/>
  <c r="BG15" i="2"/>
  <c r="BH15" i="2" s="1"/>
  <c r="V15" i="26" s="1"/>
  <c r="BG16" i="2"/>
  <c r="BH16" i="2" s="1"/>
  <c r="BG18" i="2"/>
  <c r="BH18" i="2" s="1"/>
  <c r="BG8" i="2"/>
  <c r="BH8" i="2" s="1"/>
  <c r="S21" i="2"/>
  <c r="T21" i="2" s="1"/>
  <c r="S13" i="2"/>
  <c r="T13" i="2" s="1"/>
  <c r="AN15" i="2"/>
  <c r="AO15" i="2" s="1"/>
  <c r="O15" i="26" s="1"/>
  <c r="AN21" i="2"/>
  <c r="AO21" i="2" s="1"/>
  <c r="O21" i="26" s="1"/>
  <c r="AW16" i="2"/>
  <c r="AX16" i="2" s="1"/>
  <c r="R16" i="26" s="1"/>
  <c r="AW15" i="2"/>
  <c r="AX15" i="2" s="1"/>
  <c r="R15" i="26" s="1"/>
  <c r="BY42" i="2"/>
  <c r="CK55" i="2"/>
  <c r="AF53" i="26"/>
  <c r="AF54" i="26"/>
  <c r="BY55" i="2"/>
  <c r="CK52" i="2"/>
  <c r="BY52" i="2"/>
  <c r="BY47" i="2"/>
  <c r="CK42" i="2"/>
  <c r="AB41" i="26"/>
  <c r="BZ42" i="2"/>
  <c r="CK32" i="2"/>
  <c r="CK37" i="2" s="1"/>
  <c r="BY32" i="2"/>
  <c r="BY37" i="2" s="1"/>
  <c r="CB27" i="2"/>
  <c r="CB37" i="2" s="1"/>
  <c r="CK22" i="2"/>
  <c r="CN17" i="2"/>
  <c r="CN23" i="2" s="1"/>
  <c r="CL6" i="2"/>
  <c r="CK10" i="2"/>
  <c r="CU55" i="2"/>
  <c r="CU42" i="2"/>
  <c r="J29" i="26"/>
  <c r="J53" i="26"/>
  <c r="O45" i="26"/>
  <c r="O25" i="26"/>
  <c r="Q30" i="26"/>
  <c r="Q40" i="26"/>
  <c r="Q33" i="26"/>
  <c r="Q29" i="26"/>
  <c r="Q53" i="26"/>
  <c r="U49" i="26"/>
  <c r="U51" i="26"/>
  <c r="U40" i="26"/>
  <c r="H33" i="26"/>
  <c r="H40" i="26"/>
  <c r="H35" i="26"/>
  <c r="Y25" i="26"/>
  <c r="BP42" i="2"/>
  <c r="Y26" i="26"/>
  <c r="BP47" i="2"/>
  <c r="S33" i="26"/>
  <c r="S40" i="26"/>
  <c r="S35" i="26"/>
  <c r="S45" i="26"/>
  <c r="S49" i="26"/>
  <c r="S51" i="26"/>
  <c r="R41" i="26"/>
  <c r="R30" i="26"/>
  <c r="M29" i="26"/>
  <c r="M30" i="26"/>
  <c r="Z49" i="26"/>
  <c r="Z45" i="26"/>
  <c r="BS42" i="2"/>
  <c r="Z30" i="26"/>
  <c r="Z51" i="26"/>
  <c r="AE30" i="26"/>
  <c r="P38" i="26"/>
  <c r="P41" i="26"/>
  <c r="L53" i="26"/>
  <c r="L40" i="26"/>
  <c r="L41" i="26"/>
  <c r="L29" i="26"/>
  <c r="L38" i="26"/>
  <c r="AD54" i="26"/>
  <c r="Q21" i="26"/>
  <c r="P13" i="26"/>
  <c r="AB6" i="2"/>
  <c r="K6" i="26" s="1"/>
  <c r="K12" i="26"/>
  <c r="N12" i="26"/>
  <c r="S13" i="26"/>
  <c r="S16" i="26"/>
  <c r="S15" i="26"/>
  <c r="L15" i="26"/>
  <c r="L21" i="26"/>
  <c r="L8" i="26"/>
  <c r="CH6" i="2"/>
  <c r="Y6" i="2"/>
  <c r="Z6" i="2" s="1"/>
  <c r="J6" i="26" s="1"/>
  <c r="Z32" i="2"/>
  <c r="AH6" i="2"/>
  <c r="AI6" i="2" s="1"/>
  <c r="M6" i="26" s="1"/>
  <c r="BP6" i="2"/>
  <c r="AZ6" i="2"/>
  <c r="BA6" i="2" s="1"/>
  <c r="S6" i="26" s="1"/>
  <c r="AQ6" i="2"/>
  <c r="AR6" i="2" s="1"/>
  <c r="P6" i="26" s="1"/>
  <c r="CQ6" i="2"/>
  <c r="BG6" i="2"/>
  <c r="AE6" i="2"/>
  <c r="AF6" i="2" s="1"/>
  <c r="L6" i="26" s="1"/>
  <c r="M6" i="2"/>
  <c r="N6" i="2" s="1"/>
  <c r="F6" i="26" s="1"/>
  <c r="N27" i="2"/>
  <c r="BQ22" i="2" l="1"/>
  <c r="Z38" i="26"/>
  <c r="BT42" i="2"/>
  <c r="L39" i="26"/>
  <c r="BB39" i="2"/>
  <c r="BB33" i="2"/>
  <c r="Y38" i="26"/>
  <c r="BQ42" i="2"/>
  <c r="BB40" i="2"/>
  <c r="BB38" i="2"/>
  <c r="L33" i="26"/>
  <c r="CK56" i="2"/>
  <c r="CT55" i="2"/>
  <c r="F16" i="26"/>
  <c r="BB16" i="2"/>
  <c r="BB11" i="2"/>
  <c r="BY56" i="2"/>
  <c r="BB15" i="2"/>
  <c r="BB18" i="2"/>
  <c r="BB13" i="2"/>
  <c r="BB20" i="2"/>
  <c r="BD47" i="2"/>
  <c r="F33" i="26"/>
  <c r="F40" i="26"/>
  <c r="F15" i="26"/>
  <c r="F38" i="26"/>
  <c r="J20" i="26"/>
  <c r="T14" i="2"/>
  <c r="H13" i="26"/>
  <c r="I29" i="26"/>
  <c r="CL55" i="2"/>
  <c r="H21" i="26"/>
  <c r="F8" i="26"/>
  <c r="H30" i="26"/>
  <c r="F53" i="26"/>
  <c r="F18" i="26"/>
  <c r="G16" i="26"/>
  <c r="F11" i="26"/>
  <c r="F13" i="26"/>
  <c r="CX55" i="2"/>
  <c r="CW55" i="2"/>
  <c r="CE55" i="2"/>
  <c r="CY54" i="2"/>
  <c r="BS55" i="2"/>
  <c r="BP56" i="2"/>
  <c r="AB53" i="26"/>
  <c r="BZ55" i="2"/>
  <c r="BM55" i="2"/>
  <c r="BG55" i="2"/>
  <c r="X54" i="26"/>
  <c r="BN55" i="2"/>
  <c r="BD55" i="2"/>
  <c r="CU52" i="2"/>
  <c r="CU56" i="2" s="1"/>
  <c r="CT52" i="2"/>
  <c r="CT42" i="2"/>
  <c r="CT56" i="2" s="1"/>
  <c r="AF48" i="26"/>
  <c r="CL52" i="2"/>
  <c r="BS52" i="2"/>
  <c r="AB48" i="26"/>
  <c r="BZ52" i="2"/>
  <c r="BE52" i="2"/>
  <c r="BD52" i="2"/>
  <c r="BG52" i="2"/>
  <c r="CX47" i="2"/>
  <c r="CW47" i="2"/>
  <c r="CY45" i="2"/>
  <c r="CH47" i="2"/>
  <c r="CH56" i="2" s="1"/>
  <c r="CE47" i="2"/>
  <c r="CK23" i="2"/>
  <c r="BT47" i="2"/>
  <c r="BS47" i="2"/>
  <c r="BV47" i="2"/>
  <c r="BV56" i="2" s="1"/>
  <c r="Y45" i="26"/>
  <c r="BQ47" i="2"/>
  <c r="BQ56" i="2" s="1"/>
  <c r="AB43" i="26"/>
  <c r="BZ47" i="2"/>
  <c r="U45" i="26"/>
  <c r="BE47" i="2"/>
  <c r="CX42" i="2"/>
  <c r="CW42" i="2"/>
  <c r="CQ42" i="2"/>
  <c r="CQ56" i="2" s="1"/>
  <c r="AF38" i="26"/>
  <c r="CL42" i="2"/>
  <c r="BD42" i="2"/>
  <c r="BM42" i="2"/>
  <c r="BJ42" i="2"/>
  <c r="BJ56" i="2" s="1"/>
  <c r="BG42" i="2"/>
  <c r="CQ36" i="2"/>
  <c r="CQ37" i="2" s="1"/>
  <c r="CY35" i="2"/>
  <c r="BP36" i="2"/>
  <c r="BE36" i="2"/>
  <c r="BD36" i="2"/>
  <c r="CE32" i="2"/>
  <c r="CE37" i="2" s="1"/>
  <c r="CH32" i="2"/>
  <c r="CH37" i="2" s="1"/>
  <c r="AF29" i="26"/>
  <c r="CL32" i="2"/>
  <c r="CL37" i="2" s="1"/>
  <c r="BV32" i="2"/>
  <c r="BV37" i="2" s="1"/>
  <c r="Y30" i="26"/>
  <c r="BQ32" i="2"/>
  <c r="BS32" i="2"/>
  <c r="BS37" i="2" s="1"/>
  <c r="BP32" i="2"/>
  <c r="AB29" i="26"/>
  <c r="BZ32" i="2"/>
  <c r="BZ37" i="2" s="1"/>
  <c r="BD32" i="2"/>
  <c r="AC24" i="26"/>
  <c r="CC27" i="2"/>
  <c r="CC37" i="2" s="1"/>
  <c r="BP27" i="2"/>
  <c r="BD27" i="2"/>
  <c r="CQ22" i="2"/>
  <c r="AF18" i="26"/>
  <c r="CL22" i="2"/>
  <c r="CY21" i="2"/>
  <c r="BS22" i="2"/>
  <c r="BS23" i="2" s="1"/>
  <c r="BP22" i="2"/>
  <c r="BJ17" i="2"/>
  <c r="BG22" i="2"/>
  <c r="BJ22" i="2"/>
  <c r="CX17" i="2"/>
  <c r="CX23" i="2" s="1"/>
  <c r="CW17" i="2"/>
  <c r="CW23" i="2" s="1"/>
  <c r="CQ17" i="2"/>
  <c r="CQ10" i="2"/>
  <c r="AG15" i="26"/>
  <c r="CO17" i="2"/>
  <c r="CO23" i="2" s="1"/>
  <c r="AE16" i="26"/>
  <c r="CI17" i="2"/>
  <c r="CH17" i="2"/>
  <c r="Y16" i="26"/>
  <c r="BQ17" i="2"/>
  <c r="BP17" i="2"/>
  <c r="V16" i="26"/>
  <c r="BH17" i="2"/>
  <c r="BD17" i="2"/>
  <c r="W16" i="26"/>
  <c r="BK17" i="2"/>
  <c r="BG17" i="2"/>
  <c r="CQ14" i="2"/>
  <c r="BP14" i="2"/>
  <c r="BD14" i="2"/>
  <c r="AH8" i="26"/>
  <c r="CR10" i="2"/>
  <c r="AI40" i="26"/>
  <c r="AJ40" i="26"/>
  <c r="AI54" i="26"/>
  <c r="AI51" i="26"/>
  <c r="AJ44" i="26"/>
  <c r="CY13" i="2"/>
  <c r="AH13" i="26"/>
  <c r="AJ41" i="26"/>
  <c r="CI6" i="2"/>
  <c r="CH10" i="2"/>
  <c r="CL10" i="2"/>
  <c r="AF6" i="26"/>
  <c r="BQ6" i="2"/>
  <c r="BP10" i="2"/>
  <c r="CY20" i="2"/>
  <c r="Y20" i="26"/>
  <c r="CY8" i="2"/>
  <c r="V8" i="26"/>
  <c r="CY12" i="2"/>
  <c r="U12" i="26"/>
  <c r="CY41" i="2"/>
  <c r="V41" i="26"/>
  <c r="BH6" i="2"/>
  <c r="BG10" i="2"/>
  <c r="U35" i="26"/>
  <c r="CY26" i="2"/>
  <c r="U26" i="26"/>
  <c r="CZ39" i="2"/>
  <c r="CY40" i="2"/>
  <c r="CY16" i="2"/>
  <c r="CY51" i="2"/>
  <c r="CY25" i="2"/>
  <c r="CY49" i="2"/>
  <c r="S14" i="2"/>
  <c r="W32" i="2"/>
  <c r="AQ42" i="2"/>
  <c r="AT42" i="2"/>
  <c r="AZ42" i="2"/>
  <c r="AW42" i="2"/>
  <c r="AK42" i="2"/>
  <c r="AE42" i="2"/>
  <c r="S42" i="2"/>
  <c r="Y42" i="2"/>
  <c r="M42" i="2"/>
  <c r="AT32" i="2"/>
  <c r="AZ32" i="2"/>
  <c r="AW32" i="2"/>
  <c r="AK32" i="2"/>
  <c r="AE32" i="2"/>
  <c r="AH32" i="2"/>
  <c r="V32" i="2"/>
  <c r="S32" i="2"/>
  <c r="AB32" i="2"/>
  <c r="Y32" i="2"/>
  <c r="AZ36" i="2"/>
  <c r="AT36" i="2"/>
  <c r="AQ36" i="2"/>
  <c r="AW36" i="2"/>
  <c r="AN36" i="2"/>
  <c r="AH36" i="2"/>
  <c r="AE36" i="2"/>
  <c r="S36" i="2"/>
  <c r="M36" i="2"/>
  <c r="AZ14" i="2"/>
  <c r="AQ14" i="2"/>
  <c r="AT14" i="2"/>
  <c r="AK14" i="2"/>
  <c r="AE14" i="2"/>
  <c r="AB14" i="2"/>
  <c r="Y14" i="2"/>
  <c r="M14" i="2"/>
  <c r="N10" i="2"/>
  <c r="M10" i="2"/>
  <c r="N17" i="2"/>
  <c r="M17" i="2"/>
  <c r="M47" i="2"/>
  <c r="AB47" i="2"/>
  <c r="Y55" i="2"/>
  <c r="Z47" i="2"/>
  <c r="AK52" i="2"/>
  <c r="AL17" i="2"/>
  <c r="Z55" i="2"/>
  <c r="AB27" i="2"/>
  <c r="M22" i="2"/>
  <c r="Y22" i="2"/>
  <c r="M27" i="2"/>
  <c r="Y47" i="2"/>
  <c r="AK17" i="2"/>
  <c r="AB22" i="2"/>
  <c r="M55" i="2"/>
  <c r="Y17" i="2"/>
  <c r="Y27" i="2"/>
  <c r="Y52" i="2"/>
  <c r="AB55" i="2"/>
  <c r="N22" i="2"/>
  <c r="AK47" i="2"/>
  <c r="N47" i="2"/>
  <c r="M52" i="2"/>
  <c r="AK55" i="2"/>
  <c r="Y10" i="2"/>
  <c r="AZ52" i="2"/>
  <c r="AW52" i="2"/>
  <c r="AT47" i="2"/>
  <c r="AB10" i="2"/>
  <c r="AK27" i="2"/>
  <c r="AE27" i="2"/>
  <c r="AZ47" i="2"/>
  <c r="AU22" i="2"/>
  <c r="S17" i="2"/>
  <c r="AK22" i="2"/>
  <c r="AL22" i="2"/>
  <c r="S27" i="2"/>
  <c r="AW10" i="2"/>
  <c r="AW47" i="2"/>
  <c r="AZ22" i="2"/>
  <c r="AT10" i="2"/>
  <c r="AK10" i="2"/>
  <c r="AH52" i="2"/>
  <c r="AW27" i="2"/>
  <c r="AU10" i="2"/>
  <c r="AW22" i="2"/>
  <c r="AH17" i="2"/>
  <c r="AI22" i="2"/>
  <c r="AZ10" i="2"/>
  <c r="AZ17" i="2"/>
  <c r="AH55" i="2"/>
  <c r="AH47" i="2"/>
  <c r="AE55" i="2"/>
  <c r="AE17" i="2"/>
  <c r="AE52" i="2"/>
  <c r="AZ27" i="2"/>
  <c r="AW55" i="2"/>
  <c r="P47" i="2"/>
  <c r="V10" i="2"/>
  <c r="V22" i="2"/>
  <c r="P55" i="2"/>
  <c r="W10" i="2"/>
  <c r="V17" i="2"/>
  <c r="V27" i="2"/>
  <c r="AQ27" i="2"/>
  <c r="AB52" i="2"/>
  <c r="Q52" i="2"/>
  <c r="S10" i="2"/>
  <c r="AQ52" i="2"/>
  <c r="AH22" i="2"/>
  <c r="S52" i="2"/>
  <c r="V52" i="2"/>
  <c r="S55" i="2"/>
  <c r="V47" i="2"/>
  <c r="AQ55" i="2"/>
  <c r="P27" i="2"/>
  <c r="BA55" i="2"/>
  <c r="V55" i="2"/>
  <c r="P10" i="2"/>
  <c r="AT22" i="2"/>
  <c r="S47" i="2"/>
  <c r="AZ55" i="2"/>
  <c r="AE47" i="2"/>
  <c r="P52" i="2"/>
  <c r="AB17" i="2"/>
  <c r="BA17" i="2"/>
  <c r="AW17" i="2"/>
  <c r="AQ22" i="2"/>
  <c r="AE10" i="2"/>
  <c r="AQ47" i="2"/>
  <c r="Q27" i="2"/>
  <c r="AE22" i="2"/>
  <c r="P17" i="2"/>
  <c r="AH27" i="2"/>
  <c r="AQ10" i="2"/>
  <c r="AQ17" i="2"/>
  <c r="S22" i="2"/>
  <c r="P22" i="2"/>
  <c r="AN27" i="2"/>
  <c r="T47" i="2"/>
  <c r="AH10" i="2"/>
  <c r="T52" i="2"/>
  <c r="AT55" i="2"/>
  <c r="AO27" i="2"/>
  <c r="AT52" i="2"/>
  <c r="AT17" i="2"/>
  <c r="AC52" i="2"/>
  <c r="AL10" i="2"/>
  <c r="AX10" i="2"/>
  <c r="AT27" i="2"/>
  <c r="W55" i="2"/>
  <c r="AI55" i="2"/>
  <c r="Z52" i="2"/>
  <c r="AC22" i="2"/>
  <c r="Q10" i="2"/>
  <c r="N55" i="2"/>
  <c r="Z10" i="2"/>
  <c r="AR52" i="2"/>
  <c r="AR47" i="2"/>
  <c r="T55" i="2"/>
  <c r="AC10" i="2"/>
  <c r="AR22" i="2"/>
  <c r="AR27" i="2"/>
  <c r="Q47" i="2"/>
  <c r="W52" i="2"/>
  <c r="W47" i="2"/>
  <c r="Z27" i="2"/>
  <c r="W17" i="2"/>
  <c r="N52" i="2"/>
  <c r="T17" i="2"/>
  <c r="W27" i="2"/>
  <c r="Z22" i="2"/>
  <c r="W22" i="2"/>
  <c r="AC55" i="2"/>
  <c r="AR55" i="2"/>
  <c r="T10" i="2"/>
  <c r="T27" i="2"/>
  <c r="Z17" i="2"/>
  <c r="Q55" i="2"/>
  <c r="AC47" i="2"/>
  <c r="AU47" i="2"/>
  <c r="AX22" i="2"/>
  <c r="AN47" i="2"/>
  <c r="AX55" i="2"/>
  <c r="AF52" i="2"/>
  <c r="AX17" i="2"/>
  <c r="AF55" i="2"/>
  <c r="BA52" i="2"/>
  <c r="AO22" i="2"/>
  <c r="AU17" i="2"/>
  <c r="AN22" i="2"/>
  <c r="AF27" i="2"/>
  <c r="AL52" i="2"/>
  <c r="AN52" i="2"/>
  <c r="AX27" i="2"/>
  <c r="AL47" i="2"/>
  <c r="AI52" i="2"/>
  <c r="AI47" i="2"/>
  <c r="AL27" i="2"/>
  <c r="AN10" i="2"/>
  <c r="AU52" i="2"/>
  <c r="AI17" i="2"/>
  <c r="AX47" i="2"/>
  <c r="BA10" i="2"/>
  <c r="BA27" i="2"/>
  <c r="AU55" i="2"/>
  <c r="AX52" i="2"/>
  <c r="AU27" i="2"/>
  <c r="AF10" i="2"/>
  <c r="BA47" i="2"/>
  <c r="AO47" i="2"/>
  <c r="AF22" i="2"/>
  <c r="AN17" i="2"/>
  <c r="AO52" i="2"/>
  <c r="AF17" i="2"/>
  <c r="BA22" i="2"/>
  <c r="AI27" i="2"/>
  <c r="AI10" i="2"/>
  <c r="AN55" i="2"/>
  <c r="AL55" i="2"/>
  <c r="AO10" i="2"/>
  <c r="AF47" i="2"/>
  <c r="CY24" i="2" l="1"/>
  <c r="BS56" i="2"/>
  <c r="CY53" i="2"/>
  <c r="AI48" i="26"/>
  <c r="CX56" i="2"/>
  <c r="BG56" i="2"/>
  <c r="BM56" i="2"/>
  <c r="U48" i="26"/>
  <c r="CY48" i="2"/>
  <c r="BD56" i="2"/>
  <c r="AJ53" i="26"/>
  <c r="CY44" i="2"/>
  <c r="CW56" i="2"/>
  <c r="CL56" i="2"/>
  <c r="CE56" i="2"/>
  <c r="AD53" i="26"/>
  <c r="CF55" i="2"/>
  <c r="Z54" i="26"/>
  <c r="BT55" i="2"/>
  <c r="BZ56" i="2"/>
  <c r="U53" i="26"/>
  <c r="BE55" i="2"/>
  <c r="V53" i="26"/>
  <c r="BH55" i="2"/>
  <c r="AJ43" i="26"/>
  <c r="AJ38" i="26"/>
  <c r="CY30" i="2"/>
  <c r="Z43" i="26"/>
  <c r="CY43" i="2"/>
  <c r="Z48" i="26"/>
  <c r="BT52" i="2"/>
  <c r="V48" i="26"/>
  <c r="BH52" i="2"/>
  <c r="CY38" i="2"/>
  <c r="CY29" i="2"/>
  <c r="AD44" i="26"/>
  <c r="CF47" i="2"/>
  <c r="AE45" i="26"/>
  <c r="CI47" i="2"/>
  <c r="AA44" i="26"/>
  <c r="BW47" i="2"/>
  <c r="AH38" i="26"/>
  <c r="CR42" i="2"/>
  <c r="BP37" i="2"/>
  <c r="V38" i="26"/>
  <c r="BH42" i="2"/>
  <c r="BD37" i="2"/>
  <c r="W38" i="26"/>
  <c r="BK42" i="2"/>
  <c r="U33" i="26"/>
  <c r="CY33" i="2"/>
  <c r="X38" i="26"/>
  <c r="BN42" i="2"/>
  <c r="U38" i="26"/>
  <c r="BE42" i="2"/>
  <c r="AH33" i="26"/>
  <c r="CR36" i="2"/>
  <c r="Y35" i="26"/>
  <c r="BQ36" i="2"/>
  <c r="AE29" i="26"/>
  <c r="CI32" i="2"/>
  <c r="AD30" i="26"/>
  <c r="CF32" i="2"/>
  <c r="Z29" i="26"/>
  <c r="BT32" i="2"/>
  <c r="AA30" i="26"/>
  <c r="BW32" i="2"/>
  <c r="U29" i="26"/>
  <c r="BE32" i="2"/>
  <c r="AJ15" i="26"/>
  <c r="CY18" i="2"/>
  <c r="CH23" i="2"/>
  <c r="Y24" i="26"/>
  <c r="BQ27" i="2"/>
  <c r="BD23" i="2"/>
  <c r="BG23" i="2"/>
  <c r="U24" i="26"/>
  <c r="BE27" i="2"/>
  <c r="CQ23" i="2"/>
  <c r="AH18" i="26"/>
  <c r="CR22" i="2"/>
  <c r="CL23" i="2"/>
  <c r="BP23" i="2"/>
  <c r="CY6" i="2"/>
  <c r="CY11" i="2"/>
  <c r="Z21" i="26"/>
  <c r="BT22" i="2"/>
  <c r="W18" i="26"/>
  <c r="BK22" i="2"/>
  <c r="V18" i="26"/>
  <c r="BH22" i="2"/>
  <c r="BJ23" i="2"/>
  <c r="AH15" i="26"/>
  <c r="CR17" i="2"/>
  <c r="U15" i="26"/>
  <c r="BE17" i="2"/>
  <c r="CY15" i="2"/>
  <c r="CZ8" i="2"/>
  <c r="AH11" i="26"/>
  <c r="CR14" i="2"/>
  <c r="CZ13" i="2"/>
  <c r="Y11" i="26"/>
  <c r="BQ14" i="2"/>
  <c r="U11" i="26"/>
  <c r="BE14" i="2"/>
  <c r="CZ40" i="2"/>
  <c r="CZ20" i="2"/>
  <c r="CI10" i="2"/>
  <c r="AE6" i="26"/>
  <c r="CZ16" i="2"/>
  <c r="Y6" i="26"/>
  <c r="BQ10" i="2"/>
  <c r="BH10" i="2"/>
  <c r="V6" i="26"/>
  <c r="CZ48" i="2"/>
  <c r="AX42" i="2"/>
  <c r="BA42" i="2"/>
  <c r="AU42" i="2"/>
  <c r="AR42" i="2"/>
  <c r="AF42" i="2"/>
  <c r="AL42" i="2"/>
  <c r="Z42" i="2"/>
  <c r="T42" i="2"/>
  <c r="N42" i="2"/>
  <c r="BA32" i="2"/>
  <c r="AX32" i="2"/>
  <c r="AU32" i="2"/>
  <c r="AI32" i="2"/>
  <c r="AF32" i="2"/>
  <c r="AL32" i="2"/>
  <c r="AC32" i="2"/>
  <c r="T32" i="2"/>
  <c r="BA36" i="2"/>
  <c r="AO36" i="2"/>
  <c r="AX36" i="2"/>
  <c r="AR36" i="2"/>
  <c r="AU36" i="2"/>
  <c r="AI36" i="2"/>
  <c r="AF36" i="2"/>
  <c r="T36" i="2"/>
  <c r="N36" i="2"/>
  <c r="BA14" i="2"/>
  <c r="AU14" i="2"/>
  <c r="AR14" i="2"/>
  <c r="AL14" i="2"/>
  <c r="AF14" i="2"/>
  <c r="Z14" i="2"/>
  <c r="AC14" i="2"/>
  <c r="N14" i="2"/>
  <c r="M23" i="2"/>
  <c r="AK56" i="2"/>
  <c r="AB56" i="2"/>
  <c r="AB37" i="2"/>
  <c r="AH23" i="2"/>
  <c r="AC27" i="2"/>
  <c r="Y56" i="2"/>
  <c r="Q22" i="2"/>
  <c r="M37" i="2"/>
  <c r="Y37" i="2"/>
  <c r="M56" i="2"/>
  <c r="Y23" i="2"/>
  <c r="S37" i="2"/>
  <c r="AZ56" i="2"/>
  <c r="P56" i="2"/>
  <c r="AH56" i="2"/>
  <c r="AE56" i="2"/>
  <c r="AR17" i="2"/>
  <c r="Q17" i="2"/>
  <c r="AE37" i="2"/>
  <c r="AE23" i="2"/>
  <c r="AB23" i="2"/>
  <c r="AK37" i="2"/>
  <c r="AK23" i="2"/>
  <c r="AT23" i="2"/>
  <c r="BY57" i="2"/>
  <c r="S23" i="2"/>
  <c r="AQ37" i="2"/>
  <c r="AW56" i="2"/>
  <c r="AH37" i="2"/>
  <c r="AZ23" i="2"/>
  <c r="AW37" i="2"/>
  <c r="AW23" i="2"/>
  <c r="AZ37" i="2"/>
  <c r="AQ23" i="2"/>
  <c r="S56" i="2"/>
  <c r="V23" i="2"/>
  <c r="V37" i="2"/>
  <c r="AQ56" i="2"/>
  <c r="V56" i="2"/>
  <c r="P37" i="2"/>
  <c r="AT37" i="2"/>
  <c r="AC17" i="2"/>
  <c r="CK57" i="2"/>
  <c r="AN37" i="2"/>
  <c r="T22" i="2"/>
  <c r="AT56" i="2"/>
  <c r="AR10" i="2"/>
  <c r="P23" i="2"/>
  <c r="W37" i="2"/>
  <c r="Q37" i="2"/>
  <c r="W23" i="2"/>
  <c r="N56" i="2"/>
  <c r="W56" i="2"/>
  <c r="AC56" i="2"/>
  <c r="Q56" i="2"/>
  <c r="Z37" i="2"/>
  <c r="AI23" i="2"/>
  <c r="AN56" i="2"/>
  <c r="AN23" i="2"/>
  <c r="AX23" i="2"/>
  <c r="AO17" i="2"/>
  <c r="AI56" i="2"/>
  <c r="AO55" i="2"/>
  <c r="CZ53" i="2" l="1"/>
  <c r="AU56" i="2"/>
  <c r="Z23" i="2"/>
  <c r="BA37" i="2"/>
  <c r="BA23" i="2"/>
  <c r="N23" i="2"/>
  <c r="BA56" i="2"/>
  <c r="T56" i="2"/>
  <c r="AL23" i="2"/>
  <c r="AU23" i="2"/>
  <c r="N37" i="2"/>
  <c r="Z56" i="2"/>
  <c r="AX56" i="2"/>
  <c r="AF23" i="2"/>
  <c r="AR37" i="2"/>
  <c r="AF56" i="2"/>
  <c r="T23" i="2"/>
  <c r="AX37" i="2"/>
  <c r="AR56" i="2"/>
  <c r="CR56" i="2"/>
  <c r="CI56" i="2"/>
  <c r="CF56" i="2"/>
  <c r="BW56" i="2"/>
  <c r="BT56" i="2"/>
  <c r="BN56" i="2"/>
  <c r="BN57" i="2" s="1"/>
  <c r="BE56" i="2"/>
  <c r="BH56" i="2"/>
  <c r="BK56" i="2"/>
  <c r="CZ38" i="2"/>
  <c r="CY47" i="2"/>
  <c r="CZ33" i="2"/>
  <c r="CR37" i="2"/>
  <c r="CF37" i="2"/>
  <c r="CI37" i="2"/>
  <c r="BW37" i="2"/>
  <c r="BT37" i="2"/>
  <c r="BQ37" i="2"/>
  <c r="CY32" i="2"/>
  <c r="BE37" i="2"/>
  <c r="CZ18" i="2"/>
  <c r="CY14" i="2"/>
  <c r="CZ11" i="2"/>
  <c r="CR23" i="2"/>
  <c r="CI23" i="2"/>
  <c r="BT23" i="2"/>
  <c r="BQ23" i="2"/>
  <c r="BH23" i="2"/>
  <c r="BE23" i="2"/>
  <c r="CZ15" i="2"/>
  <c r="BK23" i="2"/>
  <c r="CY10" i="2"/>
  <c r="CY17" i="2"/>
  <c r="AU37" i="2"/>
  <c r="AI37" i="2"/>
  <c r="AF37" i="2"/>
  <c r="T37" i="2"/>
  <c r="AH57" i="2"/>
  <c r="AC37" i="2"/>
  <c r="BM57" i="2"/>
  <c r="AB57" i="2"/>
  <c r="Y57" i="2"/>
  <c r="M57" i="2"/>
  <c r="CH57" i="2"/>
  <c r="CQ57" i="2"/>
  <c r="BS57" i="2"/>
  <c r="BV57" i="2"/>
  <c r="BG57" i="2"/>
  <c r="BJ57" i="2"/>
  <c r="CY55" i="2"/>
  <c r="CY36" i="2"/>
  <c r="CW57" i="2"/>
  <c r="CB57" i="2"/>
  <c r="Q23" i="2"/>
  <c r="AZ57" i="2"/>
  <c r="AE57" i="2"/>
  <c r="AL37" i="2"/>
  <c r="AL56" i="2"/>
  <c r="BD57" i="2"/>
  <c r="CY27" i="2"/>
  <c r="N57" i="2"/>
  <c r="BP57" i="2"/>
  <c r="S57" i="2"/>
  <c r="AQ57" i="2"/>
  <c r="AK57" i="2"/>
  <c r="AW57" i="2"/>
  <c r="AT57" i="2"/>
  <c r="CN57" i="2"/>
  <c r="CE57" i="2"/>
  <c r="CY22" i="2"/>
  <c r="P57" i="2"/>
  <c r="V57" i="2"/>
  <c r="CT57" i="2"/>
  <c r="AC23" i="2"/>
  <c r="W57" i="2"/>
  <c r="CU57" i="2"/>
  <c r="CY42" i="2"/>
  <c r="AR23" i="2"/>
  <c r="CC57" i="2"/>
  <c r="AN57" i="2"/>
  <c r="CL57" i="2"/>
  <c r="AO23" i="2"/>
  <c r="CY52" i="2"/>
  <c r="AO37" i="2"/>
  <c r="AI57" i="2"/>
  <c r="BZ57" i="2"/>
  <c r="AO56" i="2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BA57" i="2" l="1"/>
  <c r="Z57" i="2"/>
  <c r="AX57" i="2"/>
  <c r="AF57" i="2"/>
  <c r="T57" i="2"/>
  <c r="AU57" i="2"/>
  <c r="CF57" i="2"/>
  <c r="BT57" i="2"/>
  <c r="BW57" i="2"/>
  <c r="BK57" i="2"/>
  <c r="CR57" i="2"/>
  <c r="BH57" i="2"/>
  <c r="CI57" i="2"/>
  <c r="Q57" i="2"/>
  <c r="AL57" i="2"/>
  <c r="CO57" i="2"/>
  <c r="BE57" i="2"/>
  <c r="AC57" i="2"/>
  <c r="CY23" i="2"/>
  <c r="CX57" i="2"/>
  <c r="CY37" i="2"/>
  <c r="AR57" i="2"/>
  <c r="AO57" i="2"/>
  <c r="BQ57" i="2"/>
  <c r="CY56" i="2"/>
  <c r="AZ41" i="15"/>
  <c r="CY57" i="2" l="1"/>
  <c r="C22" i="2"/>
  <c r="C23" i="2" l="1"/>
  <c r="C37" i="2"/>
  <c r="C57" i="2" l="1"/>
  <c r="D19" i="2" s="1"/>
  <c r="E19" i="2" s="1"/>
  <c r="C19" i="26" l="1"/>
  <c r="T19" i="26" s="1"/>
  <c r="AL19" i="26" s="1"/>
  <c r="BB19" i="2"/>
  <c r="CZ19" i="2" s="1"/>
  <c r="D41" i="2"/>
  <c r="E41" i="2" s="1"/>
  <c r="BB41" i="2" s="1"/>
  <c r="D45" i="2"/>
  <c r="E45" i="2" s="1"/>
  <c r="BB45" i="2" s="1"/>
  <c r="D44" i="2"/>
  <c r="E44" i="2" s="1"/>
  <c r="BB44" i="2" s="1"/>
  <c r="D49" i="2"/>
  <c r="E49" i="2" s="1"/>
  <c r="BB49" i="2" s="1"/>
  <c r="D43" i="2"/>
  <c r="E43" i="2" s="1"/>
  <c r="BB43" i="2" s="1"/>
  <c r="D51" i="2"/>
  <c r="E51" i="2" s="1"/>
  <c r="BB51" i="2" s="1"/>
  <c r="D24" i="2"/>
  <c r="E24" i="2" s="1"/>
  <c r="BB24" i="2" s="1"/>
  <c r="D30" i="2"/>
  <c r="E30" i="2" s="1"/>
  <c r="D26" i="2"/>
  <c r="E26" i="2" s="1"/>
  <c r="BB26" i="2" s="1"/>
  <c r="D25" i="2"/>
  <c r="E25" i="2" s="1"/>
  <c r="BB25" i="2" s="1"/>
  <c r="D35" i="2"/>
  <c r="E35" i="2" s="1"/>
  <c r="BB35" i="2" s="1"/>
  <c r="D29" i="2"/>
  <c r="D21" i="2"/>
  <c r="E21" i="2" s="1"/>
  <c r="D12" i="2"/>
  <c r="E12" i="2" s="1"/>
  <c r="BB12" i="2" s="1"/>
  <c r="F27" i="2"/>
  <c r="F37" i="2" s="1"/>
  <c r="F57" i="2" s="1"/>
  <c r="G54" i="2" s="1"/>
  <c r="H54" i="2" s="1"/>
  <c r="BB54" i="2" s="1"/>
  <c r="BB29" i="2" l="1"/>
  <c r="C29" i="26"/>
  <c r="BB30" i="2"/>
  <c r="C30" i="26"/>
  <c r="BB21" i="2"/>
  <c r="C21" i="26"/>
  <c r="D54" i="26"/>
  <c r="C43" i="26"/>
  <c r="C45" i="26"/>
  <c r="T45" i="26" s="1"/>
  <c r="AL45" i="26" s="1"/>
  <c r="C44" i="26"/>
  <c r="T44" i="26" s="1"/>
  <c r="AL44" i="26" s="1"/>
  <c r="C51" i="26"/>
  <c r="T51" i="26" s="1"/>
  <c r="AL51" i="26" s="1"/>
  <c r="C12" i="26"/>
  <c r="C49" i="26"/>
  <c r="C25" i="26"/>
  <c r="T25" i="26" s="1"/>
  <c r="AL25" i="26" s="1"/>
  <c r="C26" i="26"/>
  <c r="T26" i="26" s="1"/>
  <c r="AL26" i="26" s="1"/>
  <c r="C41" i="26"/>
  <c r="C35" i="26"/>
  <c r="C24" i="26"/>
  <c r="D42" i="2"/>
  <c r="D32" i="2"/>
  <c r="D36" i="2"/>
  <c r="D14" i="2"/>
  <c r="G6" i="2"/>
  <c r="H6" i="2" s="1"/>
  <c r="D52" i="2"/>
  <c r="D17" i="2"/>
  <c r="D22" i="2"/>
  <c r="D55" i="2"/>
  <c r="D10" i="2"/>
  <c r="E27" i="2"/>
  <c r="D47" i="2"/>
  <c r="D27" i="2"/>
  <c r="E47" i="2"/>
  <c r="E22" i="2"/>
  <c r="E52" i="2"/>
  <c r="C27" i="26" l="1"/>
  <c r="T27" i="26" s="1"/>
  <c r="AL27" i="26" s="1"/>
  <c r="T24" i="26"/>
  <c r="AL24" i="26" s="1"/>
  <c r="T35" i="26"/>
  <c r="AL35" i="26" s="1"/>
  <c r="C36" i="26"/>
  <c r="T41" i="26"/>
  <c r="AL41" i="26" s="1"/>
  <c r="C42" i="26"/>
  <c r="T42" i="26" s="1"/>
  <c r="AL42" i="26" s="1"/>
  <c r="T43" i="26"/>
  <c r="AL43" i="26" s="1"/>
  <c r="C47" i="26"/>
  <c r="T47" i="26" s="1"/>
  <c r="AL47" i="26" s="1"/>
  <c r="T30" i="26"/>
  <c r="AL30" i="26" s="1"/>
  <c r="C32" i="26"/>
  <c r="T32" i="26" s="1"/>
  <c r="AL32" i="26" s="1"/>
  <c r="T49" i="26"/>
  <c r="AL49" i="26" s="1"/>
  <c r="C52" i="26"/>
  <c r="T12" i="26"/>
  <c r="AL12" i="26" s="1"/>
  <c r="C14" i="26"/>
  <c r="T14" i="26" s="1"/>
  <c r="AL14" i="26" s="1"/>
  <c r="T21" i="26"/>
  <c r="AL21" i="26" s="1"/>
  <c r="C22" i="26"/>
  <c r="CZ30" i="2"/>
  <c r="CZ29" i="2"/>
  <c r="CZ21" i="2"/>
  <c r="CZ49" i="2"/>
  <c r="D6" i="26"/>
  <c r="BB6" i="2"/>
  <c r="CZ54" i="2"/>
  <c r="CZ24" i="2"/>
  <c r="CZ43" i="2"/>
  <c r="CZ35" i="2"/>
  <c r="CZ51" i="2"/>
  <c r="CZ12" i="2"/>
  <c r="CZ26" i="2"/>
  <c r="CZ45" i="2"/>
  <c r="CZ44" i="2"/>
  <c r="CZ25" i="2"/>
  <c r="CZ41" i="2"/>
  <c r="H14" i="2"/>
  <c r="E42" i="2"/>
  <c r="H42" i="2"/>
  <c r="G42" i="2"/>
  <c r="E32" i="2"/>
  <c r="H32" i="2"/>
  <c r="G32" i="2"/>
  <c r="E36" i="2"/>
  <c r="H36" i="2"/>
  <c r="G36" i="2"/>
  <c r="E14" i="2"/>
  <c r="G14" i="2"/>
  <c r="D23" i="2"/>
  <c r="D56" i="2"/>
  <c r="D37" i="2"/>
  <c r="E55" i="2"/>
  <c r="E10" i="2"/>
  <c r="E17" i="2"/>
  <c r="G17" i="2"/>
  <c r="G10" i="2"/>
  <c r="G55" i="2"/>
  <c r="G52" i="2"/>
  <c r="G22" i="2"/>
  <c r="G27" i="2"/>
  <c r="G47" i="2"/>
  <c r="C23" i="26" l="1"/>
  <c r="T23" i="26" s="1"/>
  <c r="AL23" i="26" s="1"/>
  <c r="T22" i="26"/>
  <c r="AL22" i="26" s="1"/>
  <c r="T52" i="26"/>
  <c r="AL52" i="26" s="1"/>
  <c r="C56" i="26"/>
  <c r="T36" i="26"/>
  <c r="AL36" i="26" s="1"/>
  <c r="C37" i="26"/>
  <c r="T37" i="26" s="1"/>
  <c r="AL37" i="26" s="1"/>
  <c r="BB14" i="2"/>
  <c r="E37" i="2"/>
  <c r="BB36" i="2"/>
  <c r="BB32" i="2"/>
  <c r="BB17" i="2"/>
  <c r="BB42" i="2"/>
  <c r="BB10" i="2"/>
  <c r="E56" i="2"/>
  <c r="CZ6" i="2"/>
  <c r="D57" i="2"/>
  <c r="E23" i="2"/>
  <c r="G23" i="2"/>
  <c r="G56" i="2"/>
  <c r="G37" i="2"/>
  <c r="H17" i="2"/>
  <c r="H47" i="2"/>
  <c r="H10" i="2"/>
  <c r="H52" i="2"/>
  <c r="H55" i="2"/>
  <c r="H22" i="2"/>
  <c r="H27" i="2"/>
  <c r="C57" i="26" l="1"/>
  <c r="T57" i="26" s="1"/>
  <c r="AL57" i="26" s="1"/>
  <c r="T56" i="26"/>
  <c r="AL56" i="26" s="1"/>
  <c r="BB55" i="2"/>
  <c r="BB27" i="2"/>
  <c r="BB52" i="2"/>
  <c r="BB22" i="2"/>
  <c r="BB47" i="2"/>
  <c r="BB56" i="2"/>
  <c r="BB37" i="2"/>
  <c r="E57" i="2"/>
  <c r="G57" i="2"/>
  <c r="H56" i="2"/>
  <c r="H37" i="2"/>
  <c r="H23" i="2"/>
  <c r="BB23" i="2" l="1"/>
  <c r="CZ32" i="2"/>
  <c r="CZ17" i="2"/>
  <c r="CZ14" i="2"/>
  <c r="CZ42" i="2"/>
  <c r="CZ36" i="2"/>
  <c r="CZ47" i="2"/>
  <c r="CZ55" i="2"/>
  <c r="CZ10" i="2"/>
  <c r="CZ27" i="2"/>
  <c r="CZ52" i="2"/>
  <c r="CZ22" i="2"/>
  <c r="H57" i="2"/>
  <c r="BB57" i="2" l="1"/>
  <c r="CZ37" i="2"/>
  <c r="CZ56" i="2"/>
  <c r="CZ23" i="2"/>
  <c r="CZ57" i="2" l="1"/>
</calcChain>
</file>

<file path=xl/sharedStrings.xml><?xml version="1.0" encoding="utf-8"?>
<sst xmlns="http://schemas.openxmlformats.org/spreadsheetml/2006/main" count="3534" uniqueCount="269">
  <si>
    <t>JOWAR</t>
  </si>
  <si>
    <t>BAJRA</t>
  </si>
  <si>
    <t>MAIZE</t>
  </si>
  <si>
    <t>BLACKGRAM</t>
  </si>
  <si>
    <t>GROUNDNUT</t>
  </si>
  <si>
    <t>GINGELLY</t>
  </si>
  <si>
    <t>SUGARCANE</t>
  </si>
  <si>
    <t>COTTON</t>
  </si>
  <si>
    <t>IR</t>
  </si>
  <si>
    <t>UI</t>
  </si>
  <si>
    <t>ICS</t>
  </si>
  <si>
    <t>ADJ</t>
  </si>
  <si>
    <t>CES</t>
  </si>
  <si>
    <t>TOTAL</t>
  </si>
  <si>
    <t>HORSEGRAM</t>
  </si>
  <si>
    <t>GREENGRAM</t>
  </si>
  <si>
    <t>(1)</t>
  </si>
  <si>
    <t>(2)</t>
  </si>
  <si>
    <t>(3)</t>
  </si>
  <si>
    <t>(4)</t>
  </si>
  <si>
    <t>(5)</t>
  </si>
  <si>
    <t>(6)</t>
  </si>
  <si>
    <t>1,2</t>
  </si>
  <si>
    <t>16</t>
  </si>
  <si>
    <t>GNUT</t>
  </si>
  <si>
    <t>REDGRAM</t>
  </si>
  <si>
    <t>KHARIF</t>
  </si>
  <si>
    <t>RABI</t>
  </si>
  <si>
    <t>District</t>
  </si>
  <si>
    <t>STATE TOTAL</t>
  </si>
  <si>
    <t>SL. NO</t>
  </si>
  <si>
    <t>CHLM_K</t>
  </si>
  <si>
    <t>CHLM_R</t>
  </si>
  <si>
    <t>CMBU_K</t>
  </si>
  <si>
    <t>CMBU_R</t>
  </si>
  <si>
    <t>MAIZE_K</t>
  </si>
  <si>
    <t>MAIZE_R</t>
  </si>
  <si>
    <t>RGRM_K</t>
  </si>
  <si>
    <t>BGRM_K</t>
  </si>
  <si>
    <t>BGRM_R</t>
  </si>
  <si>
    <t>GGRM_K</t>
  </si>
  <si>
    <t>GGRM_R</t>
  </si>
  <si>
    <t>HGRM_R</t>
  </si>
  <si>
    <t>VRGU_K</t>
  </si>
  <si>
    <t>SMAI_K</t>
  </si>
  <si>
    <t>COTT_K</t>
  </si>
  <si>
    <t>COTT_R</t>
  </si>
  <si>
    <t>GNUT_K</t>
  </si>
  <si>
    <t>GNUT_R</t>
  </si>
  <si>
    <t>SCAN_K</t>
  </si>
  <si>
    <t>GNGL_K</t>
  </si>
  <si>
    <t>GNGL_R</t>
  </si>
  <si>
    <t>SUNF_K</t>
  </si>
  <si>
    <t>SUNF_R</t>
  </si>
  <si>
    <t>COWP_K</t>
  </si>
  <si>
    <t>COWP_R</t>
  </si>
  <si>
    <t>G. Total</t>
  </si>
  <si>
    <t>KANCHEEPURAM</t>
  </si>
  <si>
    <t>THIRUVALLUR</t>
  </si>
  <si>
    <t>CUDDALORE</t>
  </si>
  <si>
    <t>VILLUPURAM</t>
  </si>
  <si>
    <t>VELLORE</t>
  </si>
  <si>
    <t>THIRUVANNAMALAI</t>
  </si>
  <si>
    <t>SALEM</t>
  </si>
  <si>
    <t>NAMAKKAL</t>
  </si>
  <si>
    <t>DHARMAPURI</t>
  </si>
  <si>
    <t>COIMBATORE</t>
  </si>
  <si>
    <t>ERODE</t>
  </si>
  <si>
    <t>KARUR</t>
  </si>
  <si>
    <t>PERAMBALUR</t>
  </si>
  <si>
    <t>THANJAVUR</t>
  </si>
  <si>
    <t>THIRUVARUR</t>
  </si>
  <si>
    <t>NAGAPATTINAM</t>
  </si>
  <si>
    <t>PUDUKOTTAI</t>
  </si>
  <si>
    <t>MADURAI</t>
  </si>
  <si>
    <t>THENI</t>
  </si>
  <si>
    <t>DINDIGUL</t>
  </si>
  <si>
    <t>RAMANATHAPURAM</t>
  </si>
  <si>
    <t>VIRUDHUNAGAR</t>
  </si>
  <si>
    <t>SIVAGANGAI</t>
  </si>
  <si>
    <t>TIRUNELVELI</t>
  </si>
  <si>
    <t>THOOTHUKUDI</t>
  </si>
  <si>
    <t>KANYAKUMARI</t>
  </si>
  <si>
    <t>THE NILGIRIS</t>
  </si>
  <si>
    <t>KRISHNAGIRI</t>
  </si>
  <si>
    <t>ARIYALUR</t>
  </si>
  <si>
    <t>THIRUPPUR</t>
  </si>
  <si>
    <t>KALLAKURICHI</t>
  </si>
  <si>
    <t>RANIPET</t>
  </si>
  <si>
    <t>MYLADUTHURAI</t>
  </si>
  <si>
    <t>01</t>
  </si>
  <si>
    <t>03</t>
  </si>
  <si>
    <t>33</t>
  </si>
  <si>
    <t>36</t>
  </si>
  <si>
    <t>04</t>
  </si>
  <si>
    <t>06</t>
  </si>
  <si>
    <t>35</t>
  </si>
  <si>
    <t>18</t>
  </si>
  <si>
    <t>07</t>
  </si>
  <si>
    <t>34</t>
  </si>
  <si>
    <t>12</t>
  </si>
  <si>
    <t>10</t>
  </si>
  <si>
    <t>32</t>
  </si>
  <si>
    <t>11</t>
  </si>
  <si>
    <t>05</t>
  </si>
  <si>
    <t>31</t>
  </si>
  <si>
    <t>08</t>
  </si>
  <si>
    <t>09</t>
  </si>
  <si>
    <t>15</t>
  </si>
  <si>
    <t>14</t>
  </si>
  <si>
    <t>22</t>
  </si>
  <si>
    <t>17</t>
  </si>
  <si>
    <t>24</t>
  </si>
  <si>
    <t>25</t>
  </si>
  <si>
    <t>13</t>
  </si>
  <si>
    <t>21</t>
  </si>
  <si>
    <t>20</t>
  </si>
  <si>
    <t>38</t>
  </si>
  <si>
    <t>19</t>
  </si>
  <si>
    <t>29</t>
  </si>
  <si>
    <t>28</t>
  </si>
  <si>
    <t>37</t>
  </si>
  <si>
    <t>30</t>
  </si>
  <si>
    <t>27</t>
  </si>
  <si>
    <t>26</t>
  </si>
  <si>
    <t>23</t>
  </si>
  <si>
    <t>SRO CHENNAI TOTAL</t>
  </si>
  <si>
    <t>SRO VELLORE TOTAL</t>
  </si>
  <si>
    <t>SRO CUDDALORE TOTAL</t>
  </si>
  <si>
    <t>RO CHENNAI TOTAL</t>
  </si>
  <si>
    <t>SRO COIMBATORE TOTAL</t>
  </si>
  <si>
    <t>SRO DHARMAPURI TOTAL</t>
  </si>
  <si>
    <t>SRO SALEM TOTAL</t>
  </si>
  <si>
    <t>SRO TIRUCHIRAPALLI TOTAL</t>
  </si>
  <si>
    <t>RO COIMBATORE TOTAL</t>
  </si>
  <si>
    <t>SRO MADURAI TOTAL</t>
  </si>
  <si>
    <t>SRO THANJAVUR TOTAL</t>
  </si>
  <si>
    <t>SRO TIRUNELVELI TOTAL</t>
  </si>
  <si>
    <t>SRO VIRUDHNAGAR TOTAL</t>
  </si>
  <si>
    <t>RO MADURAI TOTAL</t>
  </si>
  <si>
    <t>DIST_NM</t>
  </si>
  <si>
    <t>TIRUCHIRAPALLI</t>
  </si>
  <si>
    <t>CHENGALPATTU</t>
  </si>
  <si>
    <t>TIRUPATHUR</t>
  </si>
  <si>
    <t>TENKASI</t>
  </si>
  <si>
    <t/>
  </si>
  <si>
    <t>D_CD</t>
  </si>
  <si>
    <t>PAD</t>
  </si>
  <si>
    <t>JWAR</t>
  </si>
  <si>
    <t>BJRA</t>
  </si>
  <si>
    <t>GNGL</t>
  </si>
  <si>
    <t>RGRM</t>
  </si>
  <si>
    <t>COTT</t>
  </si>
  <si>
    <t>SCAN</t>
  </si>
  <si>
    <t>I</t>
  </si>
  <si>
    <t>III</t>
  </si>
  <si>
    <t>BGRM</t>
  </si>
  <si>
    <t>GGRM</t>
  </si>
  <si>
    <t>HGRM</t>
  </si>
  <si>
    <t xml:space="preserve">                PLAN OF WORK  FOR SELECTION OF SAMPLE VILLAGE ON COTTON</t>
  </si>
  <si>
    <t>DISTRICT</t>
  </si>
  <si>
    <t>Distt. Code</t>
  </si>
  <si>
    <t>No. of Expts.</t>
  </si>
  <si>
    <t>No. of Villages</t>
  </si>
  <si>
    <t>Group "B"
Order of Selection</t>
  </si>
  <si>
    <t>CROP: COTTON (UI)</t>
  </si>
  <si>
    <t>CROP: COTTON (IR)</t>
  </si>
  <si>
    <t>STATE:  TAMIL NADU</t>
  </si>
  <si>
    <t>SEASON: KHARIF</t>
  </si>
  <si>
    <t>SEASON: RABI</t>
  </si>
  <si>
    <t>*K Kharif</t>
  </si>
  <si>
    <t>*R Rabi</t>
  </si>
  <si>
    <t>*1 Irrigated</t>
  </si>
  <si>
    <t>*2  Unirrigated</t>
  </si>
  <si>
    <t>PAD-KK</t>
  </si>
  <si>
    <t>PAD-NK</t>
  </si>
  <si>
    <t>RAGI-K</t>
  </si>
  <si>
    <t>RAGI-R</t>
  </si>
  <si>
    <t>(1-1)</t>
  </si>
  <si>
    <t>(2-1)</t>
  </si>
  <si>
    <t>(3-1)</t>
  </si>
  <si>
    <t>(4-1)</t>
  </si>
  <si>
    <t>(4-2)</t>
  </si>
  <si>
    <t>(5-1)</t>
  </si>
  <si>
    <t>(5-2)</t>
  </si>
  <si>
    <t>(6-1)</t>
  </si>
  <si>
    <t>(6-2)</t>
  </si>
  <si>
    <t>(7-1)</t>
  </si>
  <si>
    <t>(7-2)</t>
  </si>
  <si>
    <t>(8-1)</t>
  </si>
  <si>
    <t xml:space="preserve"> (8-2)</t>
  </si>
  <si>
    <t xml:space="preserve"> (9-1)</t>
  </si>
  <si>
    <t>(10-1)</t>
  </si>
  <si>
    <t>(10-2)</t>
  </si>
  <si>
    <t>(11-1)</t>
  </si>
  <si>
    <t>(11-2)</t>
  </si>
  <si>
    <t>(12-2)</t>
  </si>
  <si>
    <t>(14-1)</t>
  </si>
  <si>
    <t>(14-2)</t>
  </si>
  <si>
    <t>(15-1)</t>
  </si>
  <si>
    <t>(15-2)</t>
  </si>
  <si>
    <t>(16-2)</t>
  </si>
  <si>
    <t>(17-1)</t>
  </si>
  <si>
    <t>(17-2)</t>
  </si>
  <si>
    <t>(19-2)</t>
  </si>
  <si>
    <t>(20-2)</t>
  </si>
  <si>
    <t>(22-2)</t>
  </si>
  <si>
    <t>(24-1)</t>
  </si>
  <si>
    <t>(24-2)</t>
  </si>
  <si>
    <t>(25-1)</t>
  </si>
  <si>
    <t>(25-2)</t>
  </si>
  <si>
    <t>(26-1)</t>
  </si>
  <si>
    <t>(26-2)</t>
  </si>
  <si>
    <t>(27-1)</t>
  </si>
  <si>
    <t>(27-2)</t>
  </si>
  <si>
    <t>(28-1)</t>
  </si>
  <si>
    <t>(29-1)</t>
  </si>
  <si>
    <t>(29-2)</t>
  </si>
  <si>
    <t>(30-1)</t>
  </si>
  <si>
    <t>(30-2)</t>
  </si>
  <si>
    <t>(31-1)</t>
  </si>
  <si>
    <t>(31-2)</t>
  </si>
  <si>
    <t>(32-1)</t>
  </si>
  <si>
    <t>(32-2)</t>
  </si>
  <si>
    <t>(33-2)</t>
  </si>
  <si>
    <t>(34-2)</t>
  </si>
  <si>
    <t>GRAND TOTAL</t>
  </si>
  <si>
    <t>PLAN INPUT</t>
  </si>
  <si>
    <t>CROP ESTIMATION SURVEY FASLI 1435 (2025- 2026) DISTRICT WISE ALLOCATION</t>
  </si>
  <si>
    <r>
      <t xml:space="preserve">           </t>
    </r>
    <r>
      <rPr>
        <b/>
        <u/>
        <sz val="11"/>
        <rFont val="Times New Roman"/>
        <family val="1"/>
      </rPr>
      <t xml:space="preserve">FOR GROUP "A" AND GROUP "B" UNDER THE SCHEME OF ICS </t>
    </r>
  </si>
  <si>
    <t>Group "A"
Order of Selection</t>
  </si>
  <si>
    <t>PAD-S</t>
  </si>
  <si>
    <t>THINAI</t>
  </si>
  <si>
    <t>KUDIRAI VALI</t>
  </si>
  <si>
    <t>PANI VARAGU</t>
  </si>
  <si>
    <r>
      <rPr>
        <sz val="8"/>
        <color rgb="FF000000"/>
        <rFont val="Verdana"/>
        <family val="2"/>
      </rPr>
      <t>BENGAL GRAM</t>
    </r>
  </si>
  <si>
    <t>MOCHAI</t>
  </si>
  <si>
    <t>SOYA BEAN</t>
  </si>
  <si>
    <t>CASTOR</t>
  </si>
  <si>
    <t>(2-2)</t>
  </si>
  <si>
    <t>(8-2)</t>
  </si>
  <si>
    <t>(9-1)</t>
  </si>
  <si>
    <t>-</t>
  </si>
  <si>
    <t>TIRUCHIRAPPALLI</t>
  </si>
  <si>
    <t>CHANGALPATTU</t>
  </si>
  <si>
    <t>TIRUPPATHUR</t>
  </si>
  <si>
    <t>THENKASI</t>
  </si>
  <si>
    <t>TIRUPPUR</t>
  </si>
  <si>
    <t>VILUPPURAM</t>
  </si>
  <si>
    <t>MAYILADUTHURAI</t>
  </si>
  <si>
    <t>TIRUVANNAMALAI</t>
  </si>
  <si>
    <t>PUDUKKOTTAI</t>
  </si>
  <si>
    <t>KANNIYAKUMARI</t>
  </si>
  <si>
    <t>PADDY-II (S)</t>
  </si>
  <si>
    <t>PADDY-III (N)</t>
  </si>
  <si>
    <t>PADDY-I (K)</t>
  </si>
  <si>
    <t>PAD-II</t>
  </si>
  <si>
    <t>CENTRAL WORKING SHEET FOR AS2.0 OF TAMIL NADU BASED ON CES PLANNING 2026-27</t>
  </si>
  <si>
    <t>CENTRAL WORK PROGRAMME FOR AS2.0 OF TAMIL NADU BASED ON CES PLANNING 2026-27</t>
  </si>
  <si>
    <t>CENTRAL SAMPLE</t>
  </si>
  <si>
    <t>2,3,4</t>
  </si>
  <si>
    <t>1,5</t>
  </si>
  <si>
    <t>1,3</t>
  </si>
  <si>
    <t>1,2,4,5</t>
  </si>
  <si>
    <t>1,2,3,5,6</t>
  </si>
  <si>
    <t>1,3,4,5</t>
  </si>
  <si>
    <t>2,3</t>
  </si>
  <si>
    <t>1,2,3,5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</si>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</sst>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_)"/>
    <numFmt numFmtId="166" formatCode="0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i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Times New Roman"/>
      <family val="1"/>
    </font>
    <font>
      <b/>
      <sz val="12"/>
      <color theme="1"/>
      <name val="Cambria"/>
      <family val="1"/>
      <scheme val="major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u/>
      <sz val="11"/>
      <name val="Times New Roman"/>
      <family val="1"/>
    </font>
    <font>
      <sz val="1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Calibri"/>
      <family val="2"/>
    </font>
    <font>
      <sz val="8"/>
      <name val="Verdana"/>
      <family val="2"/>
    </font>
    <font>
      <sz val="8"/>
      <color rgb="FF000000"/>
      <name val="Verdana"/>
      <family val="2"/>
    </font>
    <font>
      <sz val="6"/>
      <name val="Verdana"/>
      <family val="2"/>
    </font>
    <font>
      <sz val="6"/>
      <color rgb="FF00000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5FFF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BE7A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0" fontId="6" fillId="0" borderId="0"/>
    <xf numFmtId="165" fontId="7" fillId="0" borderId="0"/>
    <xf numFmtId="0" fontId="15" fillId="0" borderId="0"/>
  </cellStyleXfs>
  <cellXfs count="1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4" fillId="3" borderId="19" xfId="0" applyFont="1" applyFill="1" applyBorder="1"/>
    <xf numFmtId="0" fontId="4" fillId="3" borderId="0" xfId="0" applyFont="1" applyFill="1"/>
    <xf numFmtId="0" fontId="4" fillId="3" borderId="1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4" fontId="1" fillId="6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vertical="center"/>
    </xf>
    <xf numFmtId="165" fontId="11" fillId="0" borderId="1" xfId="3" applyFont="1" applyBorder="1" applyAlignment="1">
      <alignment horizontal="center" vertical="center"/>
    </xf>
    <xf numFmtId="165" fontId="11" fillId="0" borderId="1" xfId="3" applyFont="1" applyBorder="1" applyAlignment="1">
      <alignment horizontal="center" vertical="center" wrapText="1"/>
    </xf>
    <xf numFmtId="166" fontId="11" fillId="0" borderId="1" xfId="3" quotePrefix="1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left" vertical="center"/>
    </xf>
    <xf numFmtId="49" fontId="11" fillId="0" borderId="1" xfId="3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1" fillId="0" borderId="1" xfId="3" applyNumberFormat="1" applyFont="1" applyBorder="1" applyAlignment="1">
      <alignment horizontal="center" vertical="center"/>
    </xf>
    <xf numFmtId="0" fontId="14" fillId="3" borderId="1" xfId="3" applyNumberFormat="1" applyFont="1" applyFill="1" applyBorder="1" applyAlignment="1">
      <alignment horizontal="center" vertical="center"/>
    </xf>
    <xf numFmtId="1" fontId="11" fillId="0" borderId="1" xfId="3" applyNumberFormat="1" applyFont="1" applyBorder="1" applyAlignment="1">
      <alignment horizontal="center" vertical="center"/>
    </xf>
    <xf numFmtId="165" fontId="11" fillId="0" borderId="0" xfId="3" applyFont="1" applyAlignment="1">
      <alignment horizontal="center" vertical="center"/>
    </xf>
    <xf numFmtId="0" fontId="11" fillId="0" borderId="0" xfId="3" applyNumberFormat="1" applyFont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65" fontId="11" fillId="0" borderId="2" xfId="3" applyFont="1" applyBorder="1" applyAlignment="1">
      <alignment horizontal="center" vertical="center" wrapText="1"/>
    </xf>
    <xf numFmtId="0" fontId="16" fillId="0" borderId="24" xfId="4" applyFont="1" applyBorder="1" applyAlignment="1">
      <alignment horizontal="left" textRotation="90" wrapText="1"/>
    </xf>
    <xf numFmtId="0" fontId="15" fillId="0" borderId="0" xfId="4" applyAlignment="1">
      <alignment horizontal="left" vertical="top"/>
    </xf>
    <xf numFmtId="0" fontId="16" fillId="0" borderId="24" xfId="4" applyFont="1" applyBorder="1" applyAlignment="1">
      <alignment horizontal="left" wrapText="1"/>
    </xf>
    <xf numFmtId="0" fontId="18" fillId="0" borderId="24" xfId="4" applyFont="1" applyBorder="1" applyAlignment="1">
      <alignment horizontal="left" textRotation="90" wrapText="1"/>
    </xf>
    <xf numFmtId="0" fontId="20" fillId="0" borderId="24" xfId="4" applyFont="1" applyBorder="1" applyAlignment="1">
      <alignment horizontal="right" vertical="top" wrapText="1"/>
    </xf>
    <xf numFmtId="0" fontId="20" fillId="0" borderId="24" xfId="4" applyFont="1" applyBorder="1" applyAlignment="1">
      <alignment horizontal="left" vertical="top" wrapText="1"/>
    </xf>
    <xf numFmtId="0" fontId="20" fillId="0" borderId="24" xfId="4" applyFont="1" applyBorder="1" applyAlignment="1">
      <alignment horizontal="center" vertical="top" wrapText="1"/>
    </xf>
    <xf numFmtId="1" fontId="21" fillId="0" borderId="24" xfId="4" applyNumberFormat="1" applyFont="1" applyBorder="1" applyAlignment="1">
      <alignment horizontal="center" vertical="top" shrinkToFit="1"/>
    </xf>
    <xf numFmtId="1" fontId="19" fillId="0" borderId="24" xfId="4" applyNumberFormat="1" applyFont="1" applyBorder="1" applyAlignment="1">
      <alignment horizontal="right" vertical="top" shrinkToFit="1"/>
    </xf>
    <xf numFmtId="0" fontId="18" fillId="0" borderId="24" xfId="4" applyFont="1" applyBorder="1" applyAlignment="1">
      <alignment horizontal="left" vertical="top" wrapText="1"/>
    </xf>
    <xf numFmtId="1" fontId="19" fillId="0" borderId="24" xfId="4" applyNumberFormat="1" applyFont="1" applyBorder="1" applyAlignment="1">
      <alignment horizontal="left" vertical="top" shrinkToFit="1"/>
    </xf>
    <xf numFmtId="0" fontId="18" fillId="0" borderId="24" xfId="4" applyFont="1" applyBorder="1" applyAlignment="1">
      <alignment horizontal="right" vertical="top" wrapText="1"/>
    </xf>
    <xf numFmtId="1" fontId="19" fillId="0" borderId="24" xfId="4" applyNumberFormat="1" applyFont="1" applyBorder="1" applyAlignment="1">
      <alignment horizontal="center" vertical="top" shrinkToFit="1"/>
    </xf>
    <xf numFmtId="0" fontId="18" fillId="0" borderId="24" xfId="4" applyFont="1" applyBorder="1" applyAlignment="1">
      <alignment horizontal="center" vertical="top" wrapText="1"/>
    </xf>
    <xf numFmtId="0" fontId="2" fillId="9" borderId="1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164" fontId="5" fillId="11" borderId="8" xfId="0" applyNumberFormat="1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1" fillId="0" borderId="4" xfId="0" applyFont="1" applyBorder="1"/>
    <xf numFmtId="0" fontId="2" fillId="5" borderId="27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/>
    </xf>
    <xf numFmtId="0" fontId="5" fillId="11" borderId="2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7" borderId="10" xfId="0" applyFont="1" applyFill="1" applyBorder="1"/>
    <xf numFmtId="0" fontId="2" fillId="7" borderId="20" xfId="0" applyFont="1" applyFill="1" applyBorder="1"/>
    <xf numFmtId="0" fontId="2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horizontal="center" vertical="center"/>
    </xf>
    <xf numFmtId="0" fontId="11" fillId="0" borderId="0" xfId="2" applyFont="1" applyAlignment="1">
      <alignment horizontal="right" vertical="center"/>
    </xf>
    <xf numFmtId="0" fontId="11" fillId="0" borderId="0" xfId="2" applyFont="1" applyAlignment="1">
      <alignment horizontal="center" vertical="center"/>
    </xf>
    <xf numFmtId="0" fontId="18" fillId="0" borderId="23" xfId="4" applyFont="1" applyBorder="1" applyAlignment="1">
      <alignment horizontal="left" textRotation="90" wrapText="1"/>
    </xf>
    <xf numFmtId="0" fontId="17" fillId="0" borderId="25" xfId="4" applyFont="1" applyBorder="1" applyAlignment="1">
      <alignment horizontal="left" vertical="top"/>
    </xf>
    <xf numFmtId="0" fontId="16" fillId="0" borderId="23" xfId="4" applyFont="1" applyBorder="1" applyAlignment="1">
      <alignment horizontal="left" vertical="top" wrapText="1"/>
    </xf>
    <xf numFmtId="0" fontId="18" fillId="0" borderId="23" xfId="4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textRotation="91" wrapText="1"/>
    </xf>
    <xf numFmtId="0" fontId="1" fillId="3" borderId="3" xfId="0" applyFont="1" applyFill="1" applyBorder="1" applyAlignment="1">
      <alignment horizontal="center" vertical="center" textRotation="91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textRotation="90"/>
    </xf>
    <xf numFmtId="0" fontId="1" fillId="3" borderId="3" xfId="0" applyFont="1" applyFill="1" applyBorder="1" applyAlignment="1">
      <alignment horizontal="center" vertical="center" textRotation="90"/>
    </xf>
    <xf numFmtId="0" fontId="9" fillId="8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7" borderId="26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9" borderId="11" xfId="0" applyFont="1" applyFill="1" applyBorder="1" applyAlignment="1">
      <alignment horizontal="left"/>
    </xf>
    <xf numFmtId="0" fontId="2" fillId="9" borderId="4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horizontal="left"/>
    </xf>
    <xf numFmtId="0" fontId="5" fillId="11" borderId="9" xfId="0" applyFont="1" applyFill="1" applyBorder="1" applyAlignment="1">
      <alignment horizontal="left"/>
    </xf>
    <xf numFmtId="0" fontId="2" fillId="10" borderId="11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left"/>
    </xf>
    <xf numFmtId="0" fontId="2" fillId="12" borderId="10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13" fillId="0" borderId="0" xfId="2" applyFont="1" applyAlignment="1">
      <alignment horizontal="center" vertical="center"/>
    </xf>
  </cellXfs>
  <cellStyles count="5">
    <cellStyle name="Normal" xfId="0" builtinId="0"/>
    <cellStyle name="Normal 2" xfId="1" xr:uid="{D8479C91-70C6-491E-ABED-52B317C22105}"/>
    <cellStyle name="Normal 3" xfId="2" xr:uid="{A1CB7F0E-34FB-4FC4-8D78-367CD95E7AE1}"/>
    <cellStyle name="Normal 4" xfId="4" xr:uid="{AE8D71B7-1FD9-4739-83E1-28810721EBAA}"/>
    <cellStyle name="Normal_Sheet2" xfId="3" xr:uid="{F4930DA6-73C3-4C46-BA85-DEBEE3FB5203}"/>
  </cellStyles>
  <dxfs count="0"/>
  <tableStyles count="0" defaultTableStyle="TableStyleMedium2" defaultPivotStyle="PivotStyleMedium9"/>
  <colors>
    <mruColors>
      <color rgb="FF66FFFF"/>
      <color rgb="FFABE7A1"/>
      <color rgb="FFAAFCF8"/>
      <color rgb="FFFFFF99"/>
      <color rgb="FFA3E7FF"/>
      <color rgb="FF85DFFF"/>
      <color rgb="FFACF2C0"/>
      <color rgb="FFDBF5D7"/>
      <color rgb="FF37FF91"/>
      <color rgb="FFE5F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761C-2740-4338-9D90-D49F5F62F2AF}">
  <dimension ref="A1:BG100"/>
  <sheetViews>
    <sheetView zoomScale="85" zoomScaleNormal="85" workbookViewId="0">
      <selection activeCell="E3" sqref="E3:E39"/>
    </sheetView>
  </sheetViews>
  <sheetFormatPr defaultColWidth="12.6640625" defaultRowHeight="15" customHeight="1" x14ac:dyDescent="0.3"/>
  <cols>
    <col min="1" max="1" width="4.109375" style="58" customWidth="1"/>
    <col min="2" max="2" width="21.33203125" style="58" customWidth="1"/>
    <col min="3" max="3" width="6" style="58" customWidth="1"/>
    <col min="4" max="4" width="7.6640625" style="58" customWidth="1"/>
    <col min="5" max="5" width="5.88671875" style="58" customWidth="1"/>
    <col min="6" max="6" width="6" style="58" customWidth="1"/>
    <col min="7" max="9" width="5.88671875" style="58" customWidth="1"/>
    <col min="10" max="10" width="6" style="58" customWidth="1"/>
    <col min="11" max="13" width="5.88671875" style="58" customWidth="1"/>
    <col min="14" max="14" width="6" style="58" customWidth="1"/>
    <col min="15" max="17" width="5.88671875" style="58" customWidth="1"/>
    <col min="18" max="18" width="6" style="58" customWidth="1"/>
    <col min="19" max="21" width="5.88671875" style="58" customWidth="1"/>
    <col min="22" max="22" width="6" style="58" customWidth="1"/>
    <col min="23" max="23" width="5.88671875" style="58" customWidth="1"/>
    <col min="24" max="24" width="6" style="58" customWidth="1"/>
    <col min="25" max="27" width="5.88671875" style="58" customWidth="1"/>
    <col min="28" max="28" width="6" style="58" customWidth="1"/>
    <col min="29" max="31" width="5.88671875" style="58" customWidth="1"/>
    <col min="32" max="32" width="6" style="58" customWidth="1"/>
    <col min="33" max="35" width="5.88671875" style="58" customWidth="1"/>
    <col min="36" max="51" width="6.21875" style="58" customWidth="1"/>
    <col min="52" max="52" width="6" style="58" customWidth="1"/>
    <col min="53" max="58" width="6.21875" style="58" customWidth="1"/>
    <col min="59" max="59" width="8.77734375" style="58" customWidth="1"/>
    <col min="60" max="16384" width="12.6640625" style="58"/>
  </cols>
  <sheetData>
    <row r="1" spans="1:59" ht="45.75" customHeight="1" x14ac:dyDescent="0.3">
      <c r="A1" s="106"/>
      <c r="B1" s="107" t="s">
        <v>28</v>
      </c>
      <c r="C1" s="60" t="s">
        <v>174</v>
      </c>
      <c r="D1" s="60" t="s">
        <v>231</v>
      </c>
      <c r="E1" s="60" t="s">
        <v>231</v>
      </c>
      <c r="F1" s="60" t="s">
        <v>175</v>
      </c>
      <c r="G1" s="60" t="s">
        <v>31</v>
      </c>
      <c r="H1" s="60" t="s">
        <v>31</v>
      </c>
      <c r="I1" s="60" t="s">
        <v>32</v>
      </c>
      <c r="J1" s="60" t="s">
        <v>32</v>
      </c>
      <c r="K1" s="60" t="s">
        <v>33</v>
      </c>
      <c r="L1" s="60" t="s">
        <v>33</v>
      </c>
      <c r="M1" s="60" t="s">
        <v>34</v>
      </c>
      <c r="N1" s="60" t="s">
        <v>34</v>
      </c>
      <c r="O1" s="60" t="s">
        <v>176</v>
      </c>
      <c r="P1" s="60" t="s">
        <v>176</v>
      </c>
      <c r="Q1" s="60" t="s">
        <v>177</v>
      </c>
      <c r="R1" s="60" t="s">
        <v>35</v>
      </c>
      <c r="S1" s="60" t="s">
        <v>35</v>
      </c>
      <c r="T1" s="60" t="s">
        <v>36</v>
      </c>
      <c r="U1" s="60" t="s">
        <v>36</v>
      </c>
      <c r="V1" s="60" t="s">
        <v>37</v>
      </c>
      <c r="W1" s="60" t="s">
        <v>38</v>
      </c>
      <c r="X1" s="60" t="s">
        <v>38</v>
      </c>
      <c r="Y1" s="60" t="s">
        <v>39</v>
      </c>
      <c r="Z1" s="60" t="s">
        <v>39</v>
      </c>
      <c r="AA1" s="60" t="s">
        <v>40</v>
      </c>
      <c r="AB1" s="60" t="s">
        <v>41</v>
      </c>
      <c r="AC1" s="60" t="s">
        <v>41</v>
      </c>
      <c r="AD1" s="60" t="s">
        <v>42</v>
      </c>
      <c r="AE1" s="60" t="s">
        <v>43</v>
      </c>
      <c r="AF1" s="60" t="s">
        <v>44</v>
      </c>
      <c r="AG1" s="60" t="s">
        <v>45</v>
      </c>
      <c r="AH1" s="60" t="s">
        <v>45</v>
      </c>
      <c r="AI1" s="60" t="s">
        <v>46</v>
      </c>
      <c r="AJ1" s="60" t="s">
        <v>46</v>
      </c>
      <c r="AK1" s="60" t="s">
        <v>47</v>
      </c>
      <c r="AL1" s="60" t="s">
        <v>47</v>
      </c>
      <c r="AM1" s="60" t="s">
        <v>48</v>
      </c>
      <c r="AN1" s="60" t="s">
        <v>48</v>
      </c>
      <c r="AO1" s="60" t="s">
        <v>49</v>
      </c>
      <c r="AP1" s="60" t="s">
        <v>50</v>
      </c>
      <c r="AQ1" s="60" t="s">
        <v>50</v>
      </c>
      <c r="AR1" s="60" t="s">
        <v>51</v>
      </c>
      <c r="AS1" s="60" t="s">
        <v>51</v>
      </c>
      <c r="AT1" s="60" t="s">
        <v>52</v>
      </c>
      <c r="AU1" s="60" t="s">
        <v>52</v>
      </c>
      <c r="AV1" s="60" t="s">
        <v>53</v>
      </c>
      <c r="AW1" s="60" t="s">
        <v>53</v>
      </c>
      <c r="AX1" s="60" t="s">
        <v>54</v>
      </c>
      <c r="AY1" s="60" t="s">
        <v>55</v>
      </c>
      <c r="AZ1" s="60" t="s">
        <v>232</v>
      </c>
      <c r="BA1" s="60" t="s">
        <v>233</v>
      </c>
      <c r="BB1" s="60" t="s">
        <v>234</v>
      </c>
      <c r="BC1" s="57" t="s">
        <v>235</v>
      </c>
      <c r="BD1" s="60" t="s">
        <v>236</v>
      </c>
      <c r="BE1" s="60" t="s">
        <v>237</v>
      </c>
      <c r="BF1" s="60" t="s">
        <v>238</v>
      </c>
      <c r="BG1" s="104" t="s">
        <v>56</v>
      </c>
    </row>
    <row r="2" spans="1:59" ht="11.25" customHeight="1" x14ac:dyDescent="0.3">
      <c r="A2" s="105"/>
      <c r="B2" s="105"/>
      <c r="C2" s="61" t="s">
        <v>178</v>
      </c>
      <c r="D2" s="62" t="s">
        <v>179</v>
      </c>
      <c r="E2" s="61" t="s">
        <v>239</v>
      </c>
      <c r="F2" s="62" t="s">
        <v>180</v>
      </c>
      <c r="G2" s="61" t="s">
        <v>181</v>
      </c>
      <c r="H2" s="62" t="s">
        <v>182</v>
      </c>
      <c r="I2" s="62" t="s">
        <v>183</v>
      </c>
      <c r="J2" s="61" t="s">
        <v>184</v>
      </c>
      <c r="K2" s="61" t="s">
        <v>185</v>
      </c>
      <c r="L2" s="62" t="s">
        <v>186</v>
      </c>
      <c r="M2" s="62" t="s">
        <v>187</v>
      </c>
      <c r="N2" s="63" t="s">
        <v>188</v>
      </c>
      <c r="O2" s="61" t="s">
        <v>189</v>
      </c>
      <c r="P2" s="63" t="s">
        <v>240</v>
      </c>
      <c r="Q2" s="63" t="s">
        <v>241</v>
      </c>
      <c r="R2" s="63" t="s">
        <v>192</v>
      </c>
      <c r="S2" s="63" t="s">
        <v>193</v>
      </c>
      <c r="T2" s="63" t="s">
        <v>194</v>
      </c>
      <c r="U2" s="63" t="s">
        <v>195</v>
      </c>
      <c r="V2" s="63" t="s">
        <v>196</v>
      </c>
      <c r="W2" s="63" t="s">
        <v>197</v>
      </c>
      <c r="X2" s="63" t="s">
        <v>198</v>
      </c>
      <c r="Y2" s="63" t="s">
        <v>199</v>
      </c>
      <c r="Z2" s="63" t="s">
        <v>200</v>
      </c>
      <c r="AA2" s="63" t="s">
        <v>201</v>
      </c>
      <c r="AB2" s="63" t="s">
        <v>202</v>
      </c>
      <c r="AC2" s="63" t="s">
        <v>203</v>
      </c>
      <c r="AD2" s="63" t="s">
        <v>204</v>
      </c>
      <c r="AE2" s="63" t="s">
        <v>205</v>
      </c>
      <c r="AF2" s="63" t="s">
        <v>206</v>
      </c>
      <c r="AG2" s="63" t="s">
        <v>207</v>
      </c>
      <c r="AH2" s="63" t="s">
        <v>208</v>
      </c>
      <c r="AI2" s="63" t="s">
        <v>209</v>
      </c>
      <c r="AJ2" s="61" t="s">
        <v>210</v>
      </c>
      <c r="AK2" s="61" t="s">
        <v>211</v>
      </c>
      <c r="AL2" s="63" t="s">
        <v>212</v>
      </c>
      <c r="AM2" s="61" t="s">
        <v>213</v>
      </c>
      <c r="AN2" s="63" t="s">
        <v>214</v>
      </c>
      <c r="AO2" s="61" t="s">
        <v>215</v>
      </c>
      <c r="AP2" s="63" t="s">
        <v>216</v>
      </c>
      <c r="AQ2" s="63" t="s">
        <v>217</v>
      </c>
      <c r="AR2" s="63" t="s">
        <v>218</v>
      </c>
      <c r="AS2" s="63" t="s">
        <v>219</v>
      </c>
      <c r="AT2" s="63" t="s">
        <v>220</v>
      </c>
      <c r="AU2" s="63" t="s">
        <v>221</v>
      </c>
      <c r="AV2" s="63" t="s">
        <v>222</v>
      </c>
      <c r="AW2" s="63" t="s">
        <v>223</v>
      </c>
      <c r="AX2" s="61" t="s">
        <v>224</v>
      </c>
      <c r="AY2" s="61" t="s">
        <v>225</v>
      </c>
      <c r="AZ2" s="64">
        <v>35</v>
      </c>
      <c r="BA2" s="64">
        <v>36</v>
      </c>
      <c r="BB2" s="64">
        <v>37</v>
      </c>
      <c r="BC2" s="64">
        <v>38</v>
      </c>
      <c r="BD2" s="64">
        <v>39</v>
      </c>
      <c r="BE2" s="64">
        <v>40</v>
      </c>
      <c r="BF2" s="64">
        <v>41</v>
      </c>
      <c r="BG2" s="105"/>
    </row>
    <row r="3" spans="1:59" ht="12.75" customHeight="1" x14ac:dyDescent="0.25">
      <c r="A3" s="65">
        <v>1</v>
      </c>
      <c r="B3" s="66" t="s">
        <v>57</v>
      </c>
      <c r="C3" s="65">
        <v>20</v>
      </c>
      <c r="D3" s="67">
        <v>20</v>
      </c>
      <c r="E3" s="68" t="s">
        <v>242</v>
      </c>
      <c r="F3" s="69">
        <v>8</v>
      </c>
      <c r="G3" s="70" t="s">
        <v>242</v>
      </c>
      <c r="H3" s="70" t="s">
        <v>242</v>
      </c>
      <c r="I3" s="70" t="s">
        <v>242</v>
      </c>
      <c r="J3" s="70" t="s">
        <v>242</v>
      </c>
      <c r="K3" s="68" t="s">
        <v>242</v>
      </c>
      <c r="L3" s="70" t="s">
        <v>242</v>
      </c>
      <c r="M3" s="70" t="s">
        <v>242</v>
      </c>
      <c r="N3" s="70" t="s">
        <v>242</v>
      </c>
      <c r="O3" s="70" t="s">
        <v>242</v>
      </c>
      <c r="P3" s="70" t="s">
        <v>242</v>
      </c>
      <c r="Q3" s="70" t="s">
        <v>242</v>
      </c>
      <c r="R3" s="70" t="s">
        <v>242</v>
      </c>
      <c r="S3" s="70" t="s">
        <v>242</v>
      </c>
      <c r="T3" s="70" t="s">
        <v>242</v>
      </c>
      <c r="U3" s="70" t="s">
        <v>242</v>
      </c>
      <c r="V3" s="70" t="s">
        <v>242</v>
      </c>
      <c r="W3" s="70" t="s">
        <v>242</v>
      </c>
      <c r="X3" s="70" t="s">
        <v>242</v>
      </c>
      <c r="Y3" s="70" t="s">
        <v>242</v>
      </c>
      <c r="Z3" s="70" t="s">
        <v>242</v>
      </c>
      <c r="AA3" s="70" t="s">
        <v>242</v>
      </c>
      <c r="AB3" s="70" t="s">
        <v>242</v>
      </c>
      <c r="AC3" s="70" t="s">
        <v>242</v>
      </c>
      <c r="AD3" s="70" t="s">
        <v>242</v>
      </c>
      <c r="AE3" s="70" t="s">
        <v>242</v>
      </c>
      <c r="AF3" s="70" t="s">
        <v>242</v>
      </c>
      <c r="AG3" s="70" t="s">
        <v>242</v>
      </c>
      <c r="AH3" s="70" t="s">
        <v>242</v>
      </c>
      <c r="AI3" s="70" t="s">
        <v>242</v>
      </c>
      <c r="AJ3" s="70" t="s">
        <v>242</v>
      </c>
      <c r="AK3" s="65">
        <v>12</v>
      </c>
      <c r="AL3" s="70" t="s">
        <v>242</v>
      </c>
      <c r="AM3" s="69">
        <v>4</v>
      </c>
      <c r="AN3" s="70" t="s">
        <v>242</v>
      </c>
      <c r="AO3" s="69">
        <v>4</v>
      </c>
      <c r="AP3" s="69">
        <v>8</v>
      </c>
      <c r="AQ3" s="70" t="s">
        <v>242</v>
      </c>
      <c r="AR3" s="70" t="s">
        <v>242</v>
      </c>
      <c r="AS3" s="70" t="s">
        <v>242</v>
      </c>
      <c r="AT3" s="70" t="s">
        <v>242</v>
      </c>
      <c r="AU3" s="70" t="s">
        <v>242</v>
      </c>
      <c r="AV3" s="70" t="s">
        <v>242</v>
      </c>
      <c r="AW3" s="70" t="s">
        <v>242</v>
      </c>
      <c r="AX3" s="70" t="s">
        <v>242</v>
      </c>
      <c r="AY3" s="70" t="s">
        <v>242</v>
      </c>
      <c r="AZ3" s="70" t="s">
        <v>242</v>
      </c>
      <c r="BA3" s="70" t="s">
        <v>242</v>
      </c>
      <c r="BB3" s="59"/>
      <c r="BC3" s="59"/>
      <c r="BD3" s="59"/>
      <c r="BE3" s="59"/>
      <c r="BF3" s="59"/>
      <c r="BG3" s="69">
        <v>76</v>
      </c>
    </row>
    <row r="4" spans="1:59" ht="12.75" customHeight="1" x14ac:dyDescent="0.25">
      <c r="A4" s="65">
        <v>2</v>
      </c>
      <c r="B4" s="66" t="s">
        <v>58</v>
      </c>
      <c r="C4" s="65">
        <v>36</v>
      </c>
      <c r="D4" s="67">
        <v>52</v>
      </c>
      <c r="E4" s="68" t="s">
        <v>242</v>
      </c>
      <c r="F4" s="67">
        <v>20</v>
      </c>
      <c r="G4" s="70" t="s">
        <v>242</v>
      </c>
      <c r="H4" s="70" t="s">
        <v>242</v>
      </c>
      <c r="I4" s="70" t="s">
        <v>242</v>
      </c>
      <c r="J4" s="70" t="s">
        <v>242</v>
      </c>
      <c r="K4" s="68" t="s">
        <v>242</v>
      </c>
      <c r="L4" s="70" t="s">
        <v>242</v>
      </c>
      <c r="M4" s="70" t="s">
        <v>242</v>
      </c>
      <c r="N4" s="70" t="s">
        <v>242</v>
      </c>
      <c r="O4" s="70" t="s">
        <v>242</v>
      </c>
      <c r="P4" s="70" t="s">
        <v>242</v>
      </c>
      <c r="Q4" s="70" t="s">
        <v>242</v>
      </c>
      <c r="R4" s="70" t="s">
        <v>242</v>
      </c>
      <c r="S4" s="70" t="s">
        <v>242</v>
      </c>
      <c r="T4" s="70" t="s">
        <v>242</v>
      </c>
      <c r="U4" s="70" t="s">
        <v>242</v>
      </c>
      <c r="V4" s="70" t="s">
        <v>242</v>
      </c>
      <c r="W4" s="70" t="s">
        <v>242</v>
      </c>
      <c r="X4" s="70" t="s">
        <v>242</v>
      </c>
      <c r="Y4" s="70" t="s">
        <v>242</v>
      </c>
      <c r="Z4" s="70" t="s">
        <v>242</v>
      </c>
      <c r="AA4" s="70" t="s">
        <v>242</v>
      </c>
      <c r="AB4" s="69">
        <v>16</v>
      </c>
      <c r="AC4" s="70" t="s">
        <v>242</v>
      </c>
      <c r="AD4" s="70" t="s">
        <v>242</v>
      </c>
      <c r="AE4" s="70" t="s">
        <v>242</v>
      </c>
      <c r="AF4" s="70" t="s">
        <v>242</v>
      </c>
      <c r="AG4" s="70" t="s">
        <v>242</v>
      </c>
      <c r="AH4" s="70" t="s">
        <v>242</v>
      </c>
      <c r="AI4" s="70" t="s">
        <v>242</v>
      </c>
      <c r="AJ4" s="70" t="s">
        <v>242</v>
      </c>
      <c r="AK4" s="70" t="s">
        <v>242</v>
      </c>
      <c r="AL4" s="70" t="s">
        <v>242</v>
      </c>
      <c r="AM4" s="65">
        <v>16</v>
      </c>
      <c r="AN4" s="70" t="s">
        <v>242</v>
      </c>
      <c r="AO4" s="65">
        <v>16</v>
      </c>
      <c r="AP4" s="70" t="s">
        <v>242</v>
      </c>
      <c r="AQ4" s="70" t="s">
        <v>242</v>
      </c>
      <c r="AR4" s="70" t="s">
        <v>242</v>
      </c>
      <c r="AS4" s="70" t="s">
        <v>242</v>
      </c>
      <c r="AT4" s="70" t="s">
        <v>242</v>
      </c>
      <c r="AU4" s="70" t="s">
        <v>242</v>
      </c>
      <c r="AV4" s="70" t="s">
        <v>242</v>
      </c>
      <c r="AW4" s="70" t="s">
        <v>242</v>
      </c>
      <c r="AX4" s="70" t="s">
        <v>242</v>
      </c>
      <c r="AY4" s="70" t="s">
        <v>242</v>
      </c>
      <c r="AZ4" s="70" t="s">
        <v>242</v>
      </c>
      <c r="BA4" s="70" t="s">
        <v>242</v>
      </c>
      <c r="BB4" s="59"/>
      <c r="BC4" s="59"/>
      <c r="BD4" s="59"/>
      <c r="BE4" s="69">
        <v>4</v>
      </c>
      <c r="BF4" s="59"/>
      <c r="BG4" s="69">
        <v>160</v>
      </c>
    </row>
    <row r="5" spans="1:59" ht="12.75" customHeight="1" x14ac:dyDescent="0.25">
      <c r="A5" s="65">
        <v>3</v>
      </c>
      <c r="B5" s="66" t="s">
        <v>59</v>
      </c>
      <c r="C5" s="65">
        <v>48</v>
      </c>
      <c r="D5" s="67">
        <v>84</v>
      </c>
      <c r="E5" s="68" t="s">
        <v>242</v>
      </c>
      <c r="F5" s="67">
        <v>16</v>
      </c>
      <c r="G5" s="70" t="s">
        <v>242</v>
      </c>
      <c r="H5" s="70" t="s">
        <v>242</v>
      </c>
      <c r="I5" s="70" t="s">
        <v>242</v>
      </c>
      <c r="J5" s="70" t="s">
        <v>242</v>
      </c>
      <c r="K5" s="65">
        <v>20</v>
      </c>
      <c r="L5" s="67">
        <v>16</v>
      </c>
      <c r="M5" s="70" t="s">
        <v>242</v>
      </c>
      <c r="N5" s="69">
        <v>8</v>
      </c>
      <c r="O5" s="70" t="s">
        <v>242</v>
      </c>
      <c r="P5" s="70" t="s">
        <v>242</v>
      </c>
      <c r="Q5" s="70" t="s">
        <v>242</v>
      </c>
      <c r="R5" s="70" t="s">
        <v>242</v>
      </c>
      <c r="S5" s="69">
        <v>16</v>
      </c>
      <c r="T5" s="70" t="s">
        <v>242</v>
      </c>
      <c r="U5" s="70" t="s">
        <v>242</v>
      </c>
      <c r="V5" s="70" t="s">
        <v>242</v>
      </c>
      <c r="W5" s="70" t="s">
        <v>242</v>
      </c>
      <c r="X5" s="70" t="s">
        <v>242</v>
      </c>
      <c r="Y5" s="70" t="s">
        <v>242</v>
      </c>
      <c r="Z5" s="69">
        <v>28</v>
      </c>
      <c r="AA5" s="70" t="s">
        <v>242</v>
      </c>
      <c r="AB5" s="70" t="s">
        <v>242</v>
      </c>
      <c r="AC5" s="69">
        <v>20</v>
      </c>
      <c r="AD5" s="70" t="s">
        <v>242</v>
      </c>
      <c r="AE5" s="69">
        <v>48</v>
      </c>
      <c r="AF5" s="70" t="s">
        <v>242</v>
      </c>
      <c r="AG5" s="70" t="s">
        <v>242</v>
      </c>
      <c r="AH5" s="69">
        <v>36</v>
      </c>
      <c r="AI5" s="70" t="s">
        <v>242</v>
      </c>
      <c r="AJ5" s="70" t="s">
        <v>242</v>
      </c>
      <c r="AK5" s="65">
        <v>16</v>
      </c>
      <c r="AL5" s="70" t="s">
        <v>242</v>
      </c>
      <c r="AM5" s="65">
        <v>16</v>
      </c>
      <c r="AN5" s="70" t="s">
        <v>242</v>
      </c>
      <c r="AO5" s="65">
        <v>32</v>
      </c>
      <c r="AP5" s="70" t="s">
        <v>242</v>
      </c>
      <c r="AQ5" s="69">
        <v>16</v>
      </c>
      <c r="AR5" s="69">
        <v>16</v>
      </c>
      <c r="AS5" s="70" t="s">
        <v>242</v>
      </c>
      <c r="AT5" s="70" t="s">
        <v>242</v>
      </c>
      <c r="AU5" s="70" t="s">
        <v>242</v>
      </c>
      <c r="AV5" s="70" t="s">
        <v>242</v>
      </c>
      <c r="AW5" s="70" t="s">
        <v>242</v>
      </c>
      <c r="AX5" s="70" t="s">
        <v>242</v>
      </c>
      <c r="AY5" s="70" t="s">
        <v>242</v>
      </c>
      <c r="AZ5" s="69">
        <v>4</v>
      </c>
      <c r="BA5" s="70" t="s">
        <v>242</v>
      </c>
      <c r="BB5" s="59"/>
      <c r="BC5" s="59"/>
      <c r="BD5" s="59"/>
      <c r="BE5" s="59"/>
      <c r="BF5" s="59"/>
      <c r="BG5" s="69">
        <v>440</v>
      </c>
    </row>
    <row r="6" spans="1:59" ht="12.75" customHeight="1" x14ac:dyDescent="0.25">
      <c r="A6" s="65">
        <v>4</v>
      </c>
      <c r="B6" s="66" t="s">
        <v>60</v>
      </c>
      <c r="C6" s="65">
        <v>24</v>
      </c>
      <c r="D6" s="67">
        <v>52</v>
      </c>
      <c r="E6" s="68" t="s">
        <v>242</v>
      </c>
      <c r="F6" s="69">
        <v>8</v>
      </c>
      <c r="G6" s="70" t="s">
        <v>242</v>
      </c>
      <c r="H6" s="70" t="s">
        <v>242</v>
      </c>
      <c r="I6" s="70" t="s">
        <v>242</v>
      </c>
      <c r="J6" s="70" t="s">
        <v>242</v>
      </c>
      <c r="K6" s="65">
        <v>12</v>
      </c>
      <c r="L6" s="67">
        <v>48</v>
      </c>
      <c r="M6" s="70" t="s">
        <v>242</v>
      </c>
      <c r="N6" s="70" t="s">
        <v>242</v>
      </c>
      <c r="O6" s="70" t="s">
        <v>242</v>
      </c>
      <c r="P6" s="70" t="s">
        <v>242</v>
      </c>
      <c r="Q6" s="69">
        <v>20</v>
      </c>
      <c r="R6" s="70" t="s">
        <v>242</v>
      </c>
      <c r="S6" s="70" t="s">
        <v>242</v>
      </c>
      <c r="T6" s="70" t="s">
        <v>242</v>
      </c>
      <c r="U6" s="70" t="s">
        <v>242</v>
      </c>
      <c r="V6" s="70" t="s">
        <v>242</v>
      </c>
      <c r="W6" s="70" t="s">
        <v>242</v>
      </c>
      <c r="X6" s="69">
        <v>16</v>
      </c>
      <c r="Y6" s="69">
        <v>24</v>
      </c>
      <c r="Z6" s="69">
        <v>8</v>
      </c>
      <c r="AA6" s="70" t="s">
        <v>242</v>
      </c>
      <c r="AB6" s="70" t="s">
        <v>242</v>
      </c>
      <c r="AC6" s="70" t="s">
        <v>242</v>
      </c>
      <c r="AD6" s="70" t="s">
        <v>242</v>
      </c>
      <c r="AE6" s="70" t="s">
        <v>242</v>
      </c>
      <c r="AF6" s="70" t="s">
        <v>242</v>
      </c>
      <c r="AG6" s="70" t="s">
        <v>242</v>
      </c>
      <c r="AH6" s="70" t="s">
        <v>242</v>
      </c>
      <c r="AI6" s="70" t="s">
        <v>242</v>
      </c>
      <c r="AJ6" s="70" t="s">
        <v>242</v>
      </c>
      <c r="AK6" s="65">
        <v>12</v>
      </c>
      <c r="AL6" s="69">
        <v>36</v>
      </c>
      <c r="AM6" s="65">
        <v>28</v>
      </c>
      <c r="AN6" s="70" t="s">
        <v>242</v>
      </c>
      <c r="AO6" s="65">
        <v>24</v>
      </c>
      <c r="AP6" s="70" t="s">
        <v>242</v>
      </c>
      <c r="AQ6" s="70" t="s">
        <v>242</v>
      </c>
      <c r="AR6" s="69">
        <v>8</v>
      </c>
      <c r="AS6" s="69">
        <v>8</v>
      </c>
      <c r="AT6" s="70" t="s">
        <v>242</v>
      </c>
      <c r="AU6" s="70" t="s">
        <v>242</v>
      </c>
      <c r="AV6" s="70" t="s">
        <v>242</v>
      </c>
      <c r="AW6" s="70" t="s">
        <v>242</v>
      </c>
      <c r="AX6" s="70" t="s">
        <v>242</v>
      </c>
      <c r="AY6" s="70" t="s">
        <v>242</v>
      </c>
      <c r="AZ6" s="69">
        <v>4</v>
      </c>
      <c r="BA6" s="70" t="s">
        <v>242</v>
      </c>
      <c r="BB6" s="59"/>
      <c r="BC6" s="59"/>
      <c r="BD6" s="59"/>
      <c r="BE6" s="59"/>
      <c r="BF6" s="59"/>
      <c r="BG6" s="69">
        <v>332</v>
      </c>
    </row>
    <row r="7" spans="1:59" ht="12.75" customHeight="1" x14ac:dyDescent="0.25">
      <c r="A7" s="65">
        <v>5</v>
      </c>
      <c r="B7" s="66" t="s">
        <v>61</v>
      </c>
      <c r="C7" s="70" t="s">
        <v>242</v>
      </c>
      <c r="D7" s="70" t="s">
        <v>242</v>
      </c>
      <c r="E7" s="68" t="s">
        <v>242</v>
      </c>
      <c r="F7" s="69">
        <v>4</v>
      </c>
      <c r="G7" s="70" t="s">
        <v>242</v>
      </c>
      <c r="H7" s="69">
        <v>4</v>
      </c>
      <c r="I7" s="70" t="s">
        <v>242</v>
      </c>
      <c r="J7" s="70" t="s">
        <v>242</v>
      </c>
      <c r="K7" s="68" t="s">
        <v>242</v>
      </c>
      <c r="L7" s="69">
        <v>4</v>
      </c>
      <c r="M7" s="70" t="s">
        <v>242</v>
      </c>
      <c r="N7" s="70" t="s">
        <v>242</v>
      </c>
      <c r="O7" s="70" t="s">
        <v>242</v>
      </c>
      <c r="P7" s="70" t="s">
        <v>242</v>
      </c>
      <c r="Q7" s="69">
        <v>20</v>
      </c>
      <c r="R7" s="70" t="s">
        <v>242</v>
      </c>
      <c r="S7" s="70" t="s">
        <v>242</v>
      </c>
      <c r="T7" s="70" t="s">
        <v>242</v>
      </c>
      <c r="U7" s="70" t="s">
        <v>242</v>
      </c>
      <c r="V7" s="69">
        <v>36</v>
      </c>
      <c r="W7" s="70" t="s">
        <v>242</v>
      </c>
      <c r="X7" s="69">
        <v>4</v>
      </c>
      <c r="Y7" s="70" t="s">
        <v>242</v>
      </c>
      <c r="Z7" s="70" t="s">
        <v>242</v>
      </c>
      <c r="AA7" s="69">
        <v>4</v>
      </c>
      <c r="AB7" s="70" t="s">
        <v>242</v>
      </c>
      <c r="AC7" s="70" t="s">
        <v>242</v>
      </c>
      <c r="AD7" s="69">
        <v>10</v>
      </c>
      <c r="AE7" s="70" t="s">
        <v>242</v>
      </c>
      <c r="AF7" s="69">
        <v>4</v>
      </c>
      <c r="AG7" s="70" t="s">
        <v>242</v>
      </c>
      <c r="AH7" s="69">
        <v>4</v>
      </c>
      <c r="AI7" s="70" t="s">
        <v>242</v>
      </c>
      <c r="AJ7" s="70" t="s">
        <v>242</v>
      </c>
      <c r="AK7" s="70" t="s">
        <v>242</v>
      </c>
      <c r="AL7" s="69">
        <v>28</v>
      </c>
      <c r="AM7" s="70" t="s">
        <v>242</v>
      </c>
      <c r="AN7" s="70" t="s">
        <v>242</v>
      </c>
      <c r="AO7" s="69">
        <v>4</v>
      </c>
      <c r="AP7" s="70" t="s">
        <v>242</v>
      </c>
      <c r="AQ7" s="70" t="s">
        <v>242</v>
      </c>
      <c r="AR7" s="70" t="s">
        <v>242</v>
      </c>
      <c r="AS7" s="70" t="s">
        <v>242</v>
      </c>
      <c r="AT7" s="70" t="s">
        <v>242</v>
      </c>
      <c r="AU7" s="70" t="s">
        <v>242</v>
      </c>
      <c r="AV7" s="70" t="s">
        <v>242</v>
      </c>
      <c r="AW7" s="70" t="s">
        <v>242</v>
      </c>
      <c r="AX7" s="69">
        <v>6</v>
      </c>
      <c r="AY7" s="70" t="s">
        <v>242</v>
      </c>
      <c r="AZ7" s="70" t="s">
        <v>242</v>
      </c>
      <c r="BA7" s="70" t="s">
        <v>242</v>
      </c>
      <c r="BB7" s="59"/>
      <c r="BC7" s="59"/>
      <c r="BD7" s="69">
        <v>4</v>
      </c>
      <c r="BE7" s="59"/>
      <c r="BF7" s="59"/>
      <c r="BG7" s="69">
        <v>136</v>
      </c>
    </row>
    <row r="8" spans="1:59" ht="12.75" customHeight="1" x14ac:dyDescent="0.25">
      <c r="A8" s="65">
        <v>6</v>
      </c>
      <c r="B8" s="66" t="s">
        <v>62</v>
      </c>
      <c r="C8" s="65">
        <v>24</v>
      </c>
      <c r="D8" s="67">
        <v>52</v>
      </c>
      <c r="E8" s="68" t="s">
        <v>242</v>
      </c>
      <c r="F8" s="67">
        <v>20</v>
      </c>
      <c r="G8" s="70" t="s">
        <v>242</v>
      </c>
      <c r="H8" s="70" t="s">
        <v>242</v>
      </c>
      <c r="I8" s="70" t="s">
        <v>242</v>
      </c>
      <c r="J8" s="70" t="s">
        <v>242</v>
      </c>
      <c r="K8" s="68" t="s">
        <v>242</v>
      </c>
      <c r="L8" s="67">
        <v>44</v>
      </c>
      <c r="M8" s="70" t="s">
        <v>242</v>
      </c>
      <c r="N8" s="70" t="s">
        <v>242</v>
      </c>
      <c r="O8" s="70" t="s">
        <v>242</v>
      </c>
      <c r="P8" s="70" t="s">
        <v>242</v>
      </c>
      <c r="Q8" s="69">
        <v>32</v>
      </c>
      <c r="R8" s="70" t="s">
        <v>242</v>
      </c>
      <c r="S8" s="70" t="s">
        <v>242</v>
      </c>
      <c r="T8" s="70" t="s">
        <v>242</v>
      </c>
      <c r="U8" s="70" t="s">
        <v>242</v>
      </c>
      <c r="V8" s="69">
        <v>16</v>
      </c>
      <c r="W8" s="70" t="s">
        <v>242</v>
      </c>
      <c r="X8" s="69">
        <v>16</v>
      </c>
      <c r="Y8" s="69">
        <v>16</v>
      </c>
      <c r="Z8" s="69">
        <v>16</v>
      </c>
      <c r="AA8" s="70" t="s">
        <v>242</v>
      </c>
      <c r="AB8" s="70" t="s">
        <v>242</v>
      </c>
      <c r="AC8" s="70" t="s">
        <v>242</v>
      </c>
      <c r="AD8" s="69">
        <v>16</v>
      </c>
      <c r="AE8" s="70" t="s">
        <v>242</v>
      </c>
      <c r="AF8" s="69">
        <v>16</v>
      </c>
      <c r="AG8" s="69">
        <v>24</v>
      </c>
      <c r="AH8" s="70" t="s">
        <v>242</v>
      </c>
      <c r="AI8" s="70" t="s">
        <v>242</v>
      </c>
      <c r="AJ8" s="70" t="s">
        <v>242</v>
      </c>
      <c r="AK8" s="65">
        <v>24</v>
      </c>
      <c r="AL8" s="69">
        <v>72</v>
      </c>
      <c r="AM8" s="65">
        <v>48</v>
      </c>
      <c r="AN8" s="69">
        <v>16</v>
      </c>
      <c r="AO8" s="65">
        <v>36</v>
      </c>
      <c r="AP8" s="69">
        <v>16</v>
      </c>
      <c r="AQ8" s="70" t="s">
        <v>242</v>
      </c>
      <c r="AR8" s="70" t="s">
        <v>242</v>
      </c>
      <c r="AS8" s="69">
        <v>32</v>
      </c>
      <c r="AT8" s="70" t="s">
        <v>242</v>
      </c>
      <c r="AU8" s="70" t="s">
        <v>242</v>
      </c>
      <c r="AV8" s="70" t="s">
        <v>242</v>
      </c>
      <c r="AW8" s="70" t="s">
        <v>242</v>
      </c>
      <c r="AX8" s="70" t="s">
        <v>242</v>
      </c>
      <c r="AY8" s="65">
        <v>10</v>
      </c>
      <c r="AZ8" s="70" t="s">
        <v>242</v>
      </c>
      <c r="BA8" s="70" t="s">
        <v>242</v>
      </c>
      <c r="BB8" s="59"/>
      <c r="BC8" s="59"/>
      <c r="BD8" s="59"/>
      <c r="BE8" s="69">
        <v>4</v>
      </c>
      <c r="BF8" s="59"/>
      <c r="BG8" s="69">
        <v>550</v>
      </c>
    </row>
    <row r="9" spans="1:59" ht="12.75" customHeight="1" x14ac:dyDescent="0.25">
      <c r="A9" s="65">
        <v>7</v>
      </c>
      <c r="B9" s="66" t="s">
        <v>63</v>
      </c>
      <c r="C9" s="70" t="s">
        <v>242</v>
      </c>
      <c r="D9" s="67">
        <v>16</v>
      </c>
      <c r="E9" s="68" t="s">
        <v>242</v>
      </c>
      <c r="F9" s="67">
        <v>16</v>
      </c>
      <c r="G9" s="70" t="s">
        <v>242</v>
      </c>
      <c r="H9" s="65">
        <v>60</v>
      </c>
      <c r="I9" s="67">
        <v>36</v>
      </c>
      <c r="J9" s="65">
        <v>24</v>
      </c>
      <c r="K9" s="68" t="s">
        <v>242</v>
      </c>
      <c r="L9" s="70" t="s">
        <v>242</v>
      </c>
      <c r="M9" s="69">
        <v>8</v>
      </c>
      <c r="N9" s="70" t="s">
        <v>242</v>
      </c>
      <c r="O9" s="70" t="s">
        <v>242</v>
      </c>
      <c r="P9" s="69">
        <v>20</v>
      </c>
      <c r="Q9" s="69">
        <v>28</v>
      </c>
      <c r="R9" s="69">
        <v>20</v>
      </c>
      <c r="S9" s="69">
        <v>16</v>
      </c>
      <c r="T9" s="69">
        <v>16</v>
      </c>
      <c r="U9" s="70" t="s">
        <v>242</v>
      </c>
      <c r="V9" s="69">
        <v>24</v>
      </c>
      <c r="W9" s="70" t="s">
        <v>242</v>
      </c>
      <c r="X9" s="69">
        <v>16</v>
      </c>
      <c r="Y9" s="70" t="s">
        <v>242</v>
      </c>
      <c r="Z9" s="70" t="s">
        <v>242</v>
      </c>
      <c r="AA9" s="69">
        <v>32</v>
      </c>
      <c r="AB9" s="70" t="s">
        <v>242</v>
      </c>
      <c r="AC9" s="70" t="s">
        <v>242</v>
      </c>
      <c r="AD9" s="69">
        <v>32</v>
      </c>
      <c r="AE9" s="70" t="s">
        <v>242</v>
      </c>
      <c r="AF9" s="69">
        <v>16</v>
      </c>
      <c r="AG9" s="69">
        <v>16</v>
      </c>
      <c r="AH9" s="69">
        <v>48</v>
      </c>
      <c r="AI9" s="69">
        <v>16</v>
      </c>
      <c r="AJ9" s="70" t="s">
        <v>242</v>
      </c>
      <c r="AK9" s="70" t="s">
        <v>242</v>
      </c>
      <c r="AL9" s="69">
        <v>56</v>
      </c>
      <c r="AM9" s="65">
        <v>16</v>
      </c>
      <c r="AN9" s="70" t="s">
        <v>242</v>
      </c>
      <c r="AO9" s="65">
        <v>16</v>
      </c>
      <c r="AP9" s="69">
        <v>16</v>
      </c>
      <c r="AQ9" s="69">
        <v>16</v>
      </c>
      <c r="AR9" s="69">
        <v>16</v>
      </c>
      <c r="AS9" s="70" t="s">
        <v>242</v>
      </c>
      <c r="AT9" s="70" t="s">
        <v>242</v>
      </c>
      <c r="AU9" s="70" t="s">
        <v>242</v>
      </c>
      <c r="AV9" s="70" t="s">
        <v>242</v>
      </c>
      <c r="AW9" s="70" t="s">
        <v>242</v>
      </c>
      <c r="AX9" s="67">
        <v>16</v>
      </c>
      <c r="AY9" s="65">
        <v>16</v>
      </c>
      <c r="AZ9" s="69">
        <v>4</v>
      </c>
      <c r="BA9" s="70" t="s">
        <v>242</v>
      </c>
      <c r="BB9" s="69">
        <v>4</v>
      </c>
      <c r="BC9" s="59"/>
      <c r="BD9" s="69">
        <v>16</v>
      </c>
      <c r="BE9" s="69">
        <v>4</v>
      </c>
      <c r="BF9" s="69">
        <v>4</v>
      </c>
      <c r="BG9" s="69">
        <v>660</v>
      </c>
    </row>
    <row r="10" spans="1:59" ht="12.75" customHeight="1" x14ac:dyDescent="0.25">
      <c r="A10" s="65">
        <v>8</v>
      </c>
      <c r="B10" s="66" t="s">
        <v>64</v>
      </c>
      <c r="C10" s="70" t="s">
        <v>242</v>
      </c>
      <c r="D10" s="67">
        <v>16</v>
      </c>
      <c r="E10" s="68" t="s">
        <v>242</v>
      </c>
      <c r="F10" s="70" t="s">
        <v>242</v>
      </c>
      <c r="G10" s="65">
        <v>16</v>
      </c>
      <c r="H10" s="65">
        <v>80</v>
      </c>
      <c r="I10" s="67">
        <v>30</v>
      </c>
      <c r="J10" s="65">
        <v>86</v>
      </c>
      <c r="K10" s="68" t="s">
        <v>242</v>
      </c>
      <c r="L10" s="70" t="s">
        <v>242</v>
      </c>
      <c r="M10" s="70" t="s">
        <v>242</v>
      </c>
      <c r="N10" s="70" t="s">
        <v>242</v>
      </c>
      <c r="O10" s="65">
        <v>16</v>
      </c>
      <c r="P10" s="70" t="s">
        <v>242</v>
      </c>
      <c r="Q10" s="70" t="s">
        <v>242</v>
      </c>
      <c r="R10" s="70" t="s">
        <v>242</v>
      </c>
      <c r="S10" s="70" t="s">
        <v>242</v>
      </c>
      <c r="T10" s="69">
        <v>16</v>
      </c>
      <c r="U10" s="70" t="s">
        <v>242</v>
      </c>
      <c r="V10" s="70" t="s">
        <v>242</v>
      </c>
      <c r="W10" s="70" t="s">
        <v>242</v>
      </c>
      <c r="X10" s="70" t="s">
        <v>242</v>
      </c>
      <c r="Y10" s="70" t="s">
        <v>242</v>
      </c>
      <c r="Z10" s="70" t="s">
        <v>242</v>
      </c>
      <c r="AA10" s="69">
        <v>20</v>
      </c>
      <c r="AB10" s="70" t="s">
        <v>242</v>
      </c>
      <c r="AC10" s="70" t="s">
        <v>242</v>
      </c>
      <c r="AD10" s="70" t="s">
        <v>242</v>
      </c>
      <c r="AE10" s="70" t="s">
        <v>242</v>
      </c>
      <c r="AF10" s="70" t="s">
        <v>242</v>
      </c>
      <c r="AG10" s="69">
        <v>16</v>
      </c>
      <c r="AH10" s="69">
        <v>16</v>
      </c>
      <c r="AI10" s="70" t="s">
        <v>242</v>
      </c>
      <c r="AJ10" s="70" t="s">
        <v>242</v>
      </c>
      <c r="AK10" s="70" t="s">
        <v>242</v>
      </c>
      <c r="AL10" s="69">
        <v>68</v>
      </c>
      <c r="AM10" s="65">
        <v>16</v>
      </c>
      <c r="AN10" s="70" t="s">
        <v>242</v>
      </c>
      <c r="AO10" s="65">
        <v>20</v>
      </c>
      <c r="AP10" s="70" t="s">
        <v>242</v>
      </c>
      <c r="AQ10" s="70" t="s">
        <v>242</v>
      </c>
      <c r="AR10" s="69">
        <v>16</v>
      </c>
      <c r="AS10" s="70" t="s">
        <v>242</v>
      </c>
      <c r="AT10" s="70" t="s">
        <v>242</v>
      </c>
      <c r="AU10" s="70" t="s">
        <v>242</v>
      </c>
      <c r="AV10" s="70" t="s">
        <v>242</v>
      </c>
      <c r="AW10" s="70" t="s">
        <v>242</v>
      </c>
      <c r="AX10" s="70" t="s">
        <v>242</v>
      </c>
      <c r="AY10" s="70" t="s">
        <v>242</v>
      </c>
      <c r="AZ10" s="69">
        <v>4</v>
      </c>
      <c r="BA10" s="70" t="s">
        <v>242</v>
      </c>
      <c r="BB10" s="59"/>
      <c r="BC10" s="69">
        <v>4</v>
      </c>
      <c r="BD10" s="59"/>
      <c r="BE10" s="59"/>
      <c r="BF10" s="69">
        <v>4</v>
      </c>
      <c r="BG10" s="69">
        <v>444</v>
      </c>
    </row>
    <row r="11" spans="1:59" ht="12.75" customHeight="1" x14ac:dyDescent="0.25">
      <c r="A11" s="65">
        <v>9</v>
      </c>
      <c r="B11" s="66" t="s">
        <v>65</v>
      </c>
      <c r="C11" s="70" t="s">
        <v>242</v>
      </c>
      <c r="D11" s="67">
        <v>28</v>
      </c>
      <c r="E11" s="68" t="s">
        <v>242</v>
      </c>
      <c r="F11" s="67">
        <v>16</v>
      </c>
      <c r="G11" s="70" t="s">
        <v>242</v>
      </c>
      <c r="H11" s="65">
        <v>32</v>
      </c>
      <c r="I11" s="70" t="s">
        <v>242</v>
      </c>
      <c r="J11" s="70" t="s">
        <v>242</v>
      </c>
      <c r="K11" s="68" t="s">
        <v>242</v>
      </c>
      <c r="L11" s="70" t="s">
        <v>242</v>
      </c>
      <c r="M11" s="70" t="s">
        <v>242</v>
      </c>
      <c r="N11" s="70" t="s">
        <v>242</v>
      </c>
      <c r="O11" s="70" t="s">
        <v>242</v>
      </c>
      <c r="P11" s="69">
        <v>32</v>
      </c>
      <c r="Q11" s="69">
        <v>40</v>
      </c>
      <c r="R11" s="69">
        <v>12</v>
      </c>
      <c r="S11" s="69">
        <v>20</v>
      </c>
      <c r="T11" s="70" t="s">
        <v>242</v>
      </c>
      <c r="U11" s="70" t="s">
        <v>242</v>
      </c>
      <c r="V11" s="69">
        <v>48</v>
      </c>
      <c r="W11" s="70" t="s">
        <v>242</v>
      </c>
      <c r="X11" s="69">
        <v>16</v>
      </c>
      <c r="Y11" s="70" t="s">
        <v>242</v>
      </c>
      <c r="Z11" s="70" t="s">
        <v>242</v>
      </c>
      <c r="AA11" s="69">
        <v>16</v>
      </c>
      <c r="AB11" s="70" t="s">
        <v>242</v>
      </c>
      <c r="AC11" s="70" t="s">
        <v>242</v>
      </c>
      <c r="AD11" s="69">
        <v>50</v>
      </c>
      <c r="AE11" s="70" t="s">
        <v>242</v>
      </c>
      <c r="AF11" s="69">
        <v>36</v>
      </c>
      <c r="AG11" s="70" t="s">
        <v>242</v>
      </c>
      <c r="AH11" s="69">
        <v>56</v>
      </c>
      <c r="AI11" s="70" t="s">
        <v>242</v>
      </c>
      <c r="AJ11" s="70" t="s">
        <v>242</v>
      </c>
      <c r="AK11" s="70" t="s">
        <v>242</v>
      </c>
      <c r="AL11" s="69">
        <v>20</v>
      </c>
      <c r="AM11" s="65">
        <v>16</v>
      </c>
      <c r="AN11" s="70" t="s">
        <v>242</v>
      </c>
      <c r="AO11" s="65">
        <v>16</v>
      </c>
      <c r="AP11" s="70" t="s">
        <v>242</v>
      </c>
      <c r="AQ11" s="69">
        <v>16</v>
      </c>
      <c r="AR11" s="70" t="s">
        <v>242</v>
      </c>
      <c r="AS11" s="70" t="s">
        <v>242</v>
      </c>
      <c r="AT11" s="70" t="s">
        <v>242</v>
      </c>
      <c r="AU11" s="70" t="s">
        <v>242</v>
      </c>
      <c r="AV11" s="70" t="s">
        <v>242</v>
      </c>
      <c r="AW11" s="70" t="s">
        <v>242</v>
      </c>
      <c r="AX11" s="67">
        <v>16</v>
      </c>
      <c r="AY11" s="70" t="s">
        <v>242</v>
      </c>
      <c r="AZ11" s="69">
        <v>4</v>
      </c>
      <c r="BA11" s="70" t="s">
        <v>242</v>
      </c>
      <c r="BB11" s="69">
        <v>4</v>
      </c>
      <c r="BC11" s="69">
        <v>4</v>
      </c>
      <c r="BD11" s="69">
        <v>16</v>
      </c>
      <c r="BE11" s="59"/>
      <c r="BF11" s="69">
        <v>4</v>
      </c>
      <c r="BG11" s="69">
        <v>518</v>
      </c>
    </row>
    <row r="12" spans="1:59" ht="12.75" customHeight="1" x14ac:dyDescent="0.25">
      <c r="A12" s="65">
        <v>10</v>
      </c>
      <c r="B12" s="66" t="s">
        <v>66</v>
      </c>
      <c r="C12" s="70" t="s">
        <v>242</v>
      </c>
      <c r="D12" s="70" t="s">
        <v>242</v>
      </c>
      <c r="E12" s="68" t="s">
        <v>242</v>
      </c>
      <c r="F12" s="70" t="s">
        <v>242</v>
      </c>
      <c r="G12" s="70" t="s">
        <v>242</v>
      </c>
      <c r="H12" s="65">
        <v>32</v>
      </c>
      <c r="I12" s="70" t="s">
        <v>242</v>
      </c>
      <c r="J12" s="65">
        <v>36</v>
      </c>
      <c r="K12" s="68" t="s">
        <v>242</v>
      </c>
      <c r="L12" s="70" t="s">
        <v>242</v>
      </c>
      <c r="M12" s="70" t="s">
        <v>242</v>
      </c>
      <c r="N12" s="69">
        <v>8</v>
      </c>
      <c r="O12" s="70" t="s">
        <v>242</v>
      </c>
      <c r="P12" s="70" t="s">
        <v>242</v>
      </c>
      <c r="Q12" s="70" t="s">
        <v>242</v>
      </c>
      <c r="R12" s="70" t="s">
        <v>242</v>
      </c>
      <c r="S12" s="70" t="s">
        <v>242</v>
      </c>
      <c r="T12" s="70" t="s">
        <v>242</v>
      </c>
      <c r="U12" s="70" t="s">
        <v>242</v>
      </c>
      <c r="V12" s="70" t="s">
        <v>242</v>
      </c>
      <c r="W12" s="70" t="s">
        <v>242</v>
      </c>
      <c r="X12" s="70" t="s">
        <v>242</v>
      </c>
      <c r="Y12" s="70" t="s">
        <v>242</v>
      </c>
      <c r="Z12" s="70" t="s">
        <v>242</v>
      </c>
      <c r="AA12" s="70" t="s">
        <v>242</v>
      </c>
      <c r="AB12" s="70" t="s">
        <v>242</v>
      </c>
      <c r="AC12" s="70" t="s">
        <v>242</v>
      </c>
      <c r="AD12" s="69">
        <v>16</v>
      </c>
      <c r="AE12" s="70" t="s">
        <v>242</v>
      </c>
      <c r="AF12" s="70" t="s">
        <v>242</v>
      </c>
      <c r="AG12" s="70" t="s">
        <v>242</v>
      </c>
      <c r="AH12" s="70" t="s">
        <v>242</v>
      </c>
      <c r="AI12" s="70" t="s">
        <v>242</v>
      </c>
      <c r="AJ12" s="70" t="s">
        <v>242</v>
      </c>
      <c r="AK12" s="70" t="s">
        <v>242</v>
      </c>
      <c r="AL12" s="69">
        <v>16</v>
      </c>
      <c r="AM12" s="70" t="s">
        <v>242</v>
      </c>
      <c r="AN12" s="70" t="s">
        <v>242</v>
      </c>
      <c r="AO12" s="70" t="s">
        <v>242</v>
      </c>
      <c r="AP12" s="70" t="s">
        <v>242</v>
      </c>
      <c r="AQ12" s="70" t="s">
        <v>242</v>
      </c>
      <c r="AR12" s="70" t="s">
        <v>242</v>
      </c>
      <c r="AS12" s="70" t="s">
        <v>242</v>
      </c>
      <c r="AT12" s="70" t="s">
        <v>242</v>
      </c>
      <c r="AU12" s="70" t="s">
        <v>242</v>
      </c>
      <c r="AV12" s="70" t="s">
        <v>242</v>
      </c>
      <c r="AW12" s="70" t="s">
        <v>242</v>
      </c>
      <c r="AX12" s="67">
        <v>16</v>
      </c>
      <c r="AY12" s="65">
        <v>16</v>
      </c>
      <c r="AZ12" s="70" t="s">
        <v>242</v>
      </c>
      <c r="BA12" s="70" t="s">
        <v>242</v>
      </c>
      <c r="BB12" s="59"/>
      <c r="BC12" s="69">
        <v>4</v>
      </c>
      <c r="BD12" s="59"/>
      <c r="BE12" s="59"/>
      <c r="BF12" s="59"/>
      <c r="BG12" s="69">
        <v>144</v>
      </c>
    </row>
    <row r="13" spans="1:59" ht="12.75" customHeight="1" x14ac:dyDescent="0.25">
      <c r="A13" s="65">
        <v>11</v>
      </c>
      <c r="B13" s="66" t="s">
        <v>67</v>
      </c>
      <c r="C13" s="70" t="s">
        <v>242</v>
      </c>
      <c r="D13" s="67">
        <v>16</v>
      </c>
      <c r="E13" s="68" t="s">
        <v>242</v>
      </c>
      <c r="F13" s="70" t="s">
        <v>242</v>
      </c>
      <c r="G13" s="70" t="s">
        <v>242</v>
      </c>
      <c r="H13" s="70" t="s">
        <v>242</v>
      </c>
      <c r="I13" s="70" t="s">
        <v>242</v>
      </c>
      <c r="J13" s="70" t="s">
        <v>242</v>
      </c>
      <c r="K13" s="68" t="s">
        <v>242</v>
      </c>
      <c r="L13" s="70" t="s">
        <v>242</v>
      </c>
      <c r="M13" s="70" t="s">
        <v>242</v>
      </c>
      <c r="N13" s="70" t="s">
        <v>242</v>
      </c>
      <c r="O13" s="70" t="s">
        <v>242</v>
      </c>
      <c r="P13" s="69">
        <v>16</v>
      </c>
      <c r="Q13" s="70" t="s">
        <v>242</v>
      </c>
      <c r="R13" s="69">
        <v>20</v>
      </c>
      <c r="S13" s="69">
        <v>16</v>
      </c>
      <c r="T13" s="69">
        <v>16</v>
      </c>
      <c r="U13" s="70" t="s">
        <v>242</v>
      </c>
      <c r="V13" s="69">
        <v>16</v>
      </c>
      <c r="W13" s="70" t="s">
        <v>242</v>
      </c>
      <c r="X13" s="70" t="s">
        <v>242</v>
      </c>
      <c r="Y13" s="70" t="s">
        <v>242</v>
      </c>
      <c r="Z13" s="70" t="s">
        <v>242</v>
      </c>
      <c r="AA13" s="70" t="s">
        <v>242</v>
      </c>
      <c r="AB13" s="70" t="s">
        <v>242</v>
      </c>
      <c r="AC13" s="70" t="s">
        <v>242</v>
      </c>
      <c r="AD13" s="70" t="s">
        <v>242</v>
      </c>
      <c r="AE13" s="69">
        <v>8</v>
      </c>
      <c r="AF13" s="70" t="s">
        <v>242</v>
      </c>
      <c r="AG13" s="70" t="s">
        <v>242</v>
      </c>
      <c r="AH13" s="70" t="s">
        <v>242</v>
      </c>
      <c r="AI13" s="70" t="s">
        <v>242</v>
      </c>
      <c r="AJ13" s="70" t="s">
        <v>242</v>
      </c>
      <c r="AK13" s="65">
        <v>16</v>
      </c>
      <c r="AL13" s="69">
        <v>44</v>
      </c>
      <c r="AM13" s="65">
        <v>16</v>
      </c>
      <c r="AN13" s="70" t="s">
        <v>242</v>
      </c>
      <c r="AO13" s="65">
        <v>36</v>
      </c>
      <c r="AP13" s="70" t="s">
        <v>242</v>
      </c>
      <c r="AQ13" s="70" t="s">
        <v>242</v>
      </c>
      <c r="AR13" s="69">
        <v>16</v>
      </c>
      <c r="AS13" s="70" t="s">
        <v>242</v>
      </c>
      <c r="AT13" s="70" t="s">
        <v>242</v>
      </c>
      <c r="AU13" s="69">
        <v>4</v>
      </c>
      <c r="AV13" s="70" t="s">
        <v>242</v>
      </c>
      <c r="AW13" s="70" t="s">
        <v>242</v>
      </c>
      <c r="AX13" s="70" t="s">
        <v>242</v>
      </c>
      <c r="AY13" s="70" t="s">
        <v>242</v>
      </c>
      <c r="AZ13" s="70" t="s">
        <v>242</v>
      </c>
      <c r="BA13" s="70" t="s">
        <v>242</v>
      </c>
      <c r="BB13" s="59"/>
      <c r="BC13" s="59"/>
      <c r="BD13" s="59"/>
      <c r="BE13" s="59"/>
      <c r="BF13" s="59"/>
      <c r="BG13" s="69">
        <v>240</v>
      </c>
    </row>
    <row r="14" spans="1:59" ht="12.75" customHeight="1" x14ac:dyDescent="0.25">
      <c r="A14" s="65">
        <v>12</v>
      </c>
      <c r="B14" s="66" t="s">
        <v>243</v>
      </c>
      <c r="C14" s="65">
        <v>16</v>
      </c>
      <c r="D14" s="67">
        <v>48</v>
      </c>
      <c r="E14" s="68" t="s">
        <v>242</v>
      </c>
      <c r="F14" s="67">
        <v>16</v>
      </c>
      <c r="G14" s="70" t="s">
        <v>242</v>
      </c>
      <c r="H14" s="65">
        <v>44</v>
      </c>
      <c r="I14" s="67">
        <v>16</v>
      </c>
      <c r="J14" s="65">
        <v>20</v>
      </c>
      <c r="K14" s="68" t="s">
        <v>242</v>
      </c>
      <c r="L14" s="70" t="s">
        <v>242</v>
      </c>
      <c r="M14" s="70" t="s">
        <v>242</v>
      </c>
      <c r="N14" s="70" t="s">
        <v>242</v>
      </c>
      <c r="O14" s="70" t="s">
        <v>242</v>
      </c>
      <c r="P14" s="70" t="s">
        <v>242</v>
      </c>
      <c r="Q14" s="70" t="s">
        <v>242</v>
      </c>
      <c r="R14" s="70" t="s">
        <v>242</v>
      </c>
      <c r="S14" s="69">
        <v>16</v>
      </c>
      <c r="T14" s="70" t="s">
        <v>242</v>
      </c>
      <c r="U14" s="70" t="s">
        <v>242</v>
      </c>
      <c r="V14" s="69">
        <v>16</v>
      </c>
      <c r="W14" s="70" t="s">
        <v>242</v>
      </c>
      <c r="X14" s="70" t="s">
        <v>242</v>
      </c>
      <c r="Y14" s="70" t="s">
        <v>242</v>
      </c>
      <c r="Z14" s="69">
        <v>16</v>
      </c>
      <c r="AA14" s="70" t="s">
        <v>242</v>
      </c>
      <c r="AB14" s="70" t="s">
        <v>242</v>
      </c>
      <c r="AC14" s="70" t="s">
        <v>242</v>
      </c>
      <c r="AD14" s="70" t="s">
        <v>242</v>
      </c>
      <c r="AE14" s="70" t="s">
        <v>242</v>
      </c>
      <c r="AF14" s="70" t="s">
        <v>242</v>
      </c>
      <c r="AG14" s="70" t="s">
        <v>242</v>
      </c>
      <c r="AH14" s="69">
        <v>72</v>
      </c>
      <c r="AI14" s="70" t="s">
        <v>242</v>
      </c>
      <c r="AJ14" s="70" t="s">
        <v>242</v>
      </c>
      <c r="AK14" s="70" t="s">
        <v>242</v>
      </c>
      <c r="AL14" s="69">
        <v>20</v>
      </c>
      <c r="AM14" s="65">
        <v>16</v>
      </c>
      <c r="AN14" s="70" t="s">
        <v>242</v>
      </c>
      <c r="AO14" s="65">
        <v>16</v>
      </c>
      <c r="AP14" s="70" t="s">
        <v>242</v>
      </c>
      <c r="AQ14" s="70" t="s">
        <v>242</v>
      </c>
      <c r="AR14" s="69">
        <v>16</v>
      </c>
      <c r="AS14" s="70" t="s">
        <v>242</v>
      </c>
      <c r="AT14" s="69">
        <v>16</v>
      </c>
      <c r="AU14" s="69">
        <v>8</v>
      </c>
      <c r="AV14" s="70" t="s">
        <v>242</v>
      </c>
      <c r="AW14" s="69">
        <v>8</v>
      </c>
      <c r="AX14" s="70" t="s">
        <v>242</v>
      </c>
      <c r="AY14" s="70" t="s">
        <v>242</v>
      </c>
      <c r="AZ14" s="70" t="s">
        <v>242</v>
      </c>
      <c r="BA14" s="70" t="s">
        <v>242</v>
      </c>
      <c r="BB14" s="59"/>
      <c r="BC14" s="59"/>
      <c r="BD14" s="59"/>
      <c r="BE14" s="59"/>
      <c r="BF14" s="69">
        <v>4</v>
      </c>
      <c r="BG14" s="69">
        <v>384</v>
      </c>
    </row>
    <row r="15" spans="1:59" ht="12.75" customHeight="1" x14ac:dyDescent="0.25">
      <c r="A15" s="65">
        <v>13</v>
      </c>
      <c r="B15" s="66" t="s">
        <v>68</v>
      </c>
      <c r="C15" s="70" t="s">
        <v>242</v>
      </c>
      <c r="D15" s="67">
        <v>16</v>
      </c>
      <c r="E15" s="68" t="s">
        <v>242</v>
      </c>
      <c r="F15" s="70" t="s">
        <v>242</v>
      </c>
      <c r="G15" s="65">
        <v>20</v>
      </c>
      <c r="H15" s="65">
        <v>24</v>
      </c>
      <c r="I15" s="67">
        <v>16</v>
      </c>
      <c r="J15" s="65">
        <v>24</v>
      </c>
      <c r="K15" s="68" t="s">
        <v>242</v>
      </c>
      <c r="L15" s="70" t="s">
        <v>242</v>
      </c>
      <c r="M15" s="70" t="s">
        <v>242</v>
      </c>
      <c r="N15" s="69">
        <v>20</v>
      </c>
      <c r="O15" s="70" t="s">
        <v>242</v>
      </c>
      <c r="P15" s="70" t="s">
        <v>242</v>
      </c>
      <c r="Q15" s="70" t="s">
        <v>242</v>
      </c>
      <c r="R15" s="70" t="s">
        <v>242</v>
      </c>
      <c r="S15" s="70" t="s">
        <v>242</v>
      </c>
      <c r="T15" s="70" t="s">
        <v>242</v>
      </c>
      <c r="U15" s="70" t="s">
        <v>242</v>
      </c>
      <c r="V15" s="69">
        <v>16</v>
      </c>
      <c r="W15" s="70" t="s">
        <v>242</v>
      </c>
      <c r="X15" s="70" t="s">
        <v>242</v>
      </c>
      <c r="Y15" s="70" t="s">
        <v>242</v>
      </c>
      <c r="Z15" s="70" t="s">
        <v>242</v>
      </c>
      <c r="AA15" s="70" t="s">
        <v>242</v>
      </c>
      <c r="AB15" s="70" t="s">
        <v>242</v>
      </c>
      <c r="AC15" s="70" t="s">
        <v>242</v>
      </c>
      <c r="AD15" s="69">
        <v>16</v>
      </c>
      <c r="AE15" s="70" t="s">
        <v>242</v>
      </c>
      <c r="AF15" s="70" t="s">
        <v>242</v>
      </c>
      <c r="AG15" s="70" t="s">
        <v>242</v>
      </c>
      <c r="AH15" s="70" t="s">
        <v>242</v>
      </c>
      <c r="AI15" s="70" t="s">
        <v>242</v>
      </c>
      <c r="AJ15" s="70" t="s">
        <v>242</v>
      </c>
      <c r="AK15" s="70" t="s">
        <v>242</v>
      </c>
      <c r="AL15" s="70" t="s">
        <v>242</v>
      </c>
      <c r="AM15" s="65">
        <v>16</v>
      </c>
      <c r="AN15" s="70" t="s">
        <v>242</v>
      </c>
      <c r="AO15" s="65">
        <v>16</v>
      </c>
      <c r="AP15" s="70" t="s">
        <v>242</v>
      </c>
      <c r="AQ15" s="69">
        <v>24</v>
      </c>
      <c r="AR15" s="70" t="s">
        <v>242</v>
      </c>
      <c r="AS15" s="70" t="s">
        <v>242</v>
      </c>
      <c r="AT15" s="69">
        <v>36</v>
      </c>
      <c r="AU15" s="70" t="s">
        <v>242</v>
      </c>
      <c r="AV15" s="69">
        <v>16</v>
      </c>
      <c r="AW15" s="70" t="s">
        <v>242</v>
      </c>
      <c r="AX15" s="70" t="s">
        <v>242</v>
      </c>
      <c r="AY15" s="70" t="s">
        <v>242</v>
      </c>
      <c r="AZ15" s="70" t="s">
        <v>242</v>
      </c>
      <c r="BA15" s="70" t="s">
        <v>242</v>
      </c>
      <c r="BB15" s="59"/>
      <c r="BC15" s="59"/>
      <c r="BD15" s="59"/>
      <c r="BE15" s="59"/>
      <c r="BF15" s="59"/>
      <c r="BG15" s="69">
        <v>260</v>
      </c>
    </row>
    <row r="16" spans="1:59" ht="12.75" customHeight="1" x14ac:dyDescent="0.25">
      <c r="A16" s="65">
        <v>14</v>
      </c>
      <c r="B16" s="66" t="s">
        <v>69</v>
      </c>
      <c r="C16" s="70" t="s">
        <v>242</v>
      </c>
      <c r="D16" s="67">
        <v>16</v>
      </c>
      <c r="E16" s="68" t="s">
        <v>242</v>
      </c>
      <c r="F16" s="70" t="s">
        <v>242</v>
      </c>
      <c r="G16" s="70" t="s">
        <v>242</v>
      </c>
      <c r="H16" s="70" t="s">
        <v>242</v>
      </c>
      <c r="I16" s="70" t="s">
        <v>242</v>
      </c>
      <c r="J16" s="70" t="s">
        <v>242</v>
      </c>
      <c r="K16" s="68" t="s">
        <v>242</v>
      </c>
      <c r="L16" s="70" t="s">
        <v>242</v>
      </c>
      <c r="M16" s="70" t="s">
        <v>242</v>
      </c>
      <c r="N16" s="70" t="s">
        <v>242</v>
      </c>
      <c r="O16" s="70" t="s">
        <v>242</v>
      </c>
      <c r="P16" s="70" t="s">
        <v>242</v>
      </c>
      <c r="Q16" s="70" t="s">
        <v>242</v>
      </c>
      <c r="R16" s="70" t="s">
        <v>242</v>
      </c>
      <c r="S16" s="69">
        <v>20</v>
      </c>
      <c r="T16" s="70" t="s">
        <v>242</v>
      </c>
      <c r="U16" s="70" t="s">
        <v>242</v>
      </c>
      <c r="V16" s="69">
        <v>16</v>
      </c>
      <c r="W16" s="70" t="s">
        <v>242</v>
      </c>
      <c r="X16" s="70" t="s">
        <v>242</v>
      </c>
      <c r="Y16" s="70" t="s">
        <v>242</v>
      </c>
      <c r="Z16" s="70" t="s">
        <v>242</v>
      </c>
      <c r="AA16" s="70" t="s">
        <v>242</v>
      </c>
      <c r="AB16" s="70" t="s">
        <v>242</v>
      </c>
      <c r="AC16" s="70" t="s">
        <v>242</v>
      </c>
      <c r="AD16" s="70" t="s">
        <v>242</v>
      </c>
      <c r="AE16" s="69">
        <v>16</v>
      </c>
      <c r="AF16" s="70" t="s">
        <v>242</v>
      </c>
      <c r="AG16" s="70" t="s">
        <v>242</v>
      </c>
      <c r="AH16" s="69">
        <v>64</v>
      </c>
      <c r="AI16" s="70" t="s">
        <v>242</v>
      </c>
      <c r="AJ16" s="70" t="s">
        <v>242</v>
      </c>
      <c r="AK16" s="70" t="s">
        <v>242</v>
      </c>
      <c r="AL16" s="70" t="s">
        <v>242</v>
      </c>
      <c r="AM16" s="65">
        <v>16</v>
      </c>
      <c r="AN16" s="70" t="s">
        <v>242</v>
      </c>
      <c r="AO16" s="65">
        <v>16</v>
      </c>
      <c r="AP16" s="70" t="s">
        <v>242</v>
      </c>
      <c r="AQ16" s="70" t="s">
        <v>242</v>
      </c>
      <c r="AR16" s="70" t="s">
        <v>242</v>
      </c>
      <c r="AS16" s="70" t="s">
        <v>242</v>
      </c>
      <c r="AT16" s="70" t="s">
        <v>242</v>
      </c>
      <c r="AU16" s="69">
        <v>4</v>
      </c>
      <c r="AV16" s="70" t="s">
        <v>242</v>
      </c>
      <c r="AW16" s="70" t="s">
        <v>242</v>
      </c>
      <c r="AX16" s="70" t="s">
        <v>242</v>
      </c>
      <c r="AY16" s="70" t="s">
        <v>242</v>
      </c>
      <c r="AZ16" s="70" t="s">
        <v>242</v>
      </c>
      <c r="BA16" s="70" t="s">
        <v>242</v>
      </c>
      <c r="BB16" s="59"/>
      <c r="BC16" s="59"/>
      <c r="BD16" s="59"/>
      <c r="BE16" s="59"/>
      <c r="BF16" s="59"/>
      <c r="BG16" s="69">
        <v>168</v>
      </c>
    </row>
    <row r="17" spans="1:59" ht="12.75" customHeight="1" x14ac:dyDescent="0.25">
      <c r="A17" s="65">
        <v>15</v>
      </c>
      <c r="B17" s="66" t="s">
        <v>70</v>
      </c>
      <c r="C17" s="65">
        <v>36</v>
      </c>
      <c r="D17" s="67">
        <v>92</v>
      </c>
      <c r="E17" s="68" t="s">
        <v>242</v>
      </c>
      <c r="F17" s="67">
        <v>16</v>
      </c>
      <c r="G17" s="70" t="s">
        <v>242</v>
      </c>
      <c r="H17" s="70" t="s">
        <v>242</v>
      </c>
      <c r="I17" s="70" t="s">
        <v>242</v>
      </c>
      <c r="J17" s="70" t="s">
        <v>242</v>
      </c>
      <c r="K17" s="68" t="s">
        <v>242</v>
      </c>
      <c r="L17" s="70" t="s">
        <v>242</v>
      </c>
      <c r="M17" s="70" t="s">
        <v>242</v>
      </c>
      <c r="N17" s="70" t="s">
        <v>242</v>
      </c>
      <c r="O17" s="70" t="s">
        <v>242</v>
      </c>
      <c r="P17" s="70" t="s">
        <v>242</v>
      </c>
      <c r="Q17" s="70" t="s">
        <v>242</v>
      </c>
      <c r="R17" s="70" t="s">
        <v>242</v>
      </c>
      <c r="S17" s="70" t="s">
        <v>242</v>
      </c>
      <c r="T17" s="70" t="s">
        <v>242</v>
      </c>
      <c r="U17" s="70" t="s">
        <v>242</v>
      </c>
      <c r="V17" s="70" t="s">
        <v>242</v>
      </c>
      <c r="W17" s="69">
        <v>32</v>
      </c>
      <c r="X17" s="70" t="s">
        <v>242</v>
      </c>
      <c r="Y17" s="70" t="s">
        <v>242</v>
      </c>
      <c r="Z17" s="69">
        <v>16</v>
      </c>
      <c r="AA17" s="70" t="s">
        <v>242</v>
      </c>
      <c r="AB17" s="70" t="s">
        <v>242</v>
      </c>
      <c r="AC17" s="69">
        <v>16</v>
      </c>
      <c r="AD17" s="70" t="s">
        <v>242</v>
      </c>
      <c r="AE17" s="70" t="s">
        <v>242</v>
      </c>
      <c r="AF17" s="70" t="s">
        <v>242</v>
      </c>
      <c r="AG17" s="70" t="s">
        <v>242</v>
      </c>
      <c r="AH17" s="70" t="s">
        <v>242</v>
      </c>
      <c r="AI17" s="70" t="s">
        <v>242</v>
      </c>
      <c r="AJ17" s="70" t="s">
        <v>242</v>
      </c>
      <c r="AK17" s="70" t="s">
        <v>242</v>
      </c>
      <c r="AL17" s="70" t="s">
        <v>242</v>
      </c>
      <c r="AM17" s="65">
        <v>16</v>
      </c>
      <c r="AN17" s="70" t="s">
        <v>242</v>
      </c>
      <c r="AO17" s="65">
        <v>16</v>
      </c>
      <c r="AP17" s="69">
        <v>20</v>
      </c>
      <c r="AQ17" s="70" t="s">
        <v>242</v>
      </c>
      <c r="AR17" s="69">
        <v>16</v>
      </c>
      <c r="AS17" s="69">
        <v>28</v>
      </c>
      <c r="AT17" s="70" t="s">
        <v>242</v>
      </c>
      <c r="AU17" s="70" t="s">
        <v>242</v>
      </c>
      <c r="AV17" s="70" t="s">
        <v>242</v>
      </c>
      <c r="AW17" s="70" t="s">
        <v>242</v>
      </c>
      <c r="AX17" s="70" t="s">
        <v>242</v>
      </c>
      <c r="AY17" s="70" t="s">
        <v>242</v>
      </c>
      <c r="AZ17" s="70" t="s">
        <v>242</v>
      </c>
      <c r="BA17" s="70" t="s">
        <v>242</v>
      </c>
      <c r="BB17" s="59"/>
      <c r="BC17" s="59"/>
      <c r="BD17" s="59"/>
      <c r="BE17" s="69">
        <v>4</v>
      </c>
      <c r="BF17" s="59"/>
      <c r="BG17" s="69">
        <v>308</v>
      </c>
    </row>
    <row r="18" spans="1:59" ht="12.75" customHeight="1" x14ac:dyDescent="0.25">
      <c r="A18" s="65">
        <v>16</v>
      </c>
      <c r="B18" s="66" t="s">
        <v>71</v>
      </c>
      <c r="C18" s="65">
        <v>36</v>
      </c>
      <c r="D18" s="67">
        <v>92</v>
      </c>
      <c r="E18" s="68" t="s">
        <v>242</v>
      </c>
      <c r="F18" s="67">
        <v>16</v>
      </c>
      <c r="G18" s="70" t="s">
        <v>242</v>
      </c>
      <c r="H18" s="70" t="s">
        <v>242</v>
      </c>
      <c r="I18" s="70" t="s">
        <v>242</v>
      </c>
      <c r="J18" s="70" t="s">
        <v>242</v>
      </c>
      <c r="K18" s="68" t="s">
        <v>242</v>
      </c>
      <c r="L18" s="70" t="s">
        <v>242</v>
      </c>
      <c r="M18" s="70" t="s">
        <v>242</v>
      </c>
      <c r="N18" s="70" t="s">
        <v>242</v>
      </c>
      <c r="O18" s="70" t="s">
        <v>242</v>
      </c>
      <c r="P18" s="70" t="s">
        <v>242</v>
      </c>
      <c r="Q18" s="70" t="s">
        <v>242</v>
      </c>
      <c r="R18" s="70" t="s">
        <v>242</v>
      </c>
      <c r="S18" s="70" t="s">
        <v>242</v>
      </c>
      <c r="T18" s="70" t="s">
        <v>242</v>
      </c>
      <c r="U18" s="70" t="s">
        <v>242</v>
      </c>
      <c r="V18" s="70" t="s">
        <v>242</v>
      </c>
      <c r="W18" s="70" t="s">
        <v>242</v>
      </c>
      <c r="X18" s="70" t="s">
        <v>242</v>
      </c>
      <c r="Y18" s="69">
        <v>12</v>
      </c>
      <c r="Z18" s="69">
        <v>32</v>
      </c>
      <c r="AA18" s="70" t="s">
        <v>242</v>
      </c>
      <c r="AB18" s="70" t="s">
        <v>242</v>
      </c>
      <c r="AC18" s="69">
        <v>68</v>
      </c>
      <c r="AD18" s="70" t="s">
        <v>242</v>
      </c>
      <c r="AE18" s="70" t="s">
        <v>242</v>
      </c>
      <c r="AF18" s="70" t="s">
        <v>242</v>
      </c>
      <c r="AG18" s="70" t="s">
        <v>242</v>
      </c>
      <c r="AH18" s="70" t="s">
        <v>242</v>
      </c>
      <c r="AI18" s="69">
        <v>16</v>
      </c>
      <c r="AJ18" s="70" t="s">
        <v>242</v>
      </c>
      <c r="AK18" s="70" t="s">
        <v>242</v>
      </c>
      <c r="AL18" s="70" t="s">
        <v>242</v>
      </c>
      <c r="AM18" s="65">
        <v>16</v>
      </c>
      <c r="AN18" s="70" t="s">
        <v>242</v>
      </c>
      <c r="AO18" s="70" t="s">
        <v>242</v>
      </c>
      <c r="AP18" s="70" t="s">
        <v>242</v>
      </c>
      <c r="AQ18" s="70" t="s">
        <v>242</v>
      </c>
      <c r="AR18" s="70" t="s">
        <v>242</v>
      </c>
      <c r="AS18" s="69">
        <v>16</v>
      </c>
      <c r="AT18" s="70" t="s">
        <v>242</v>
      </c>
      <c r="AU18" s="70" t="s">
        <v>242</v>
      </c>
      <c r="AV18" s="70" t="s">
        <v>242</v>
      </c>
      <c r="AW18" s="70" t="s">
        <v>242</v>
      </c>
      <c r="AX18" s="70" t="s">
        <v>242</v>
      </c>
      <c r="AY18" s="70" t="s">
        <v>242</v>
      </c>
      <c r="AZ18" s="70" t="s">
        <v>242</v>
      </c>
      <c r="BA18" s="70" t="s">
        <v>242</v>
      </c>
      <c r="BB18" s="59"/>
      <c r="BC18" s="59"/>
      <c r="BD18" s="59"/>
      <c r="BE18" s="59"/>
      <c r="BF18" s="59"/>
      <c r="BG18" s="69">
        <v>304</v>
      </c>
    </row>
    <row r="19" spans="1:59" ht="12.75" customHeight="1" x14ac:dyDescent="0.25">
      <c r="A19" s="65">
        <v>17</v>
      </c>
      <c r="B19" s="66" t="s">
        <v>72</v>
      </c>
      <c r="C19" s="69">
        <v>4</v>
      </c>
      <c r="D19" s="67">
        <v>48</v>
      </c>
      <c r="E19" s="68" t="s">
        <v>242</v>
      </c>
      <c r="F19" s="70" t="s">
        <v>242</v>
      </c>
      <c r="G19" s="70" t="s">
        <v>242</v>
      </c>
      <c r="H19" s="70" t="s">
        <v>242</v>
      </c>
      <c r="I19" s="70" t="s">
        <v>242</v>
      </c>
      <c r="J19" s="70" t="s">
        <v>242</v>
      </c>
      <c r="K19" s="68" t="s">
        <v>242</v>
      </c>
      <c r="L19" s="70" t="s">
        <v>242</v>
      </c>
      <c r="M19" s="70" t="s">
        <v>242</v>
      </c>
      <c r="N19" s="70" t="s">
        <v>242</v>
      </c>
      <c r="O19" s="70" t="s">
        <v>242</v>
      </c>
      <c r="P19" s="70" t="s">
        <v>242</v>
      </c>
      <c r="Q19" s="70" t="s">
        <v>242</v>
      </c>
      <c r="R19" s="70" t="s">
        <v>242</v>
      </c>
      <c r="S19" s="70" t="s">
        <v>242</v>
      </c>
      <c r="T19" s="70" t="s">
        <v>242</v>
      </c>
      <c r="U19" s="70" t="s">
        <v>242</v>
      </c>
      <c r="V19" s="70" t="s">
        <v>242</v>
      </c>
      <c r="W19" s="70" t="s">
        <v>242</v>
      </c>
      <c r="X19" s="70" t="s">
        <v>242</v>
      </c>
      <c r="Y19" s="70" t="s">
        <v>242</v>
      </c>
      <c r="Z19" s="69">
        <v>8</v>
      </c>
      <c r="AA19" s="70" t="s">
        <v>242</v>
      </c>
      <c r="AB19" s="70" t="s">
        <v>242</v>
      </c>
      <c r="AC19" s="69">
        <v>28</v>
      </c>
      <c r="AD19" s="70" t="s">
        <v>242</v>
      </c>
      <c r="AE19" s="70" t="s">
        <v>242</v>
      </c>
      <c r="AF19" s="70" t="s">
        <v>242</v>
      </c>
      <c r="AG19" s="70" t="s">
        <v>242</v>
      </c>
      <c r="AH19" s="70" t="s">
        <v>242</v>
      </c>
      <c r="AI19" s="69">
        <v>4</v>
      </c>
      <c r="AJ19" s="70" t="s">
        <v>242</v>
      </c>
      <c r="AK19" s="70" t="s">
        <v>242</v>
      </c>
      <c r="AL19" s="70" t="s">
        <v>242</v>
      </c>
      <c r="AM19" s="70" t="s">
        <v>242</v>
      </c>
      <c r="AN19" s="70" t="s">
        <v>242</v>
      </c>
      <c r="AO19" s="70" t="s">
        <v>242</v>
      </c>
      <c r="AP19" s="70" t="s">
        <v>242</v>
      </c>
      <c r="AQ19" s="70" t="s">
        <v>242</v>
      </c>
      <c r="AR19" s="70" t="s">
        <v>242</v>
      </c>
      <c r="AS19" s="70" t="s">
        <v>242</v>
      </c>
      <c r="AT19" s="70" t="s">
        <v>242</v>
      </c>
      <c r="AU19" s="70" t="s">
        <v>242</v>
      </c>
      <c r="AV19" s="70" t="s">
        <v>242</v>
      </c>
      <c r="AW19" s="70" t="s">
        <v>242</v>
      </c>
      <c r="AX19" s="70" t="s">
        <v>242</v>
      </c>
      <c r="AY19" s="70" t="s">
        <v>242</v>
      </c>
      <c r="AZ19" s="70" t="s">
        <v>242</v>
      </c>
      <c r="BA19" s="70" t="s">
        <v>242</v>
      </c>
      <c r="BB19" s="59"/>
      <c r="BC19" s="59"/>
      <c r="BD19" s="59"/>
      <c r="BE19" s="59"/>
      <c r="BF19" s="59"/>
      <c r="BG19" s="69">
        <v>92</v>
      </c>
    </row>
    <row r="20" spans="1:59" ht="12.75" customHeight="1" x14ac:dyDescent="0.25">
      <c r="A20" s="65">
        <v>18</v>
      </c>
      <c r="B20" s="66" t="s">
        <v>73</v>
      </c>
      <c r="C20" s="65">
        <v>16</v>
      </c>
      <c r="D20" s="67">
        <v>72</v>
      </c>
      <c r="E20" s="68" t="s">
        <v>242</v>
      </c>
      <c r="F20" s="67">
        <v>16</v>
      </c>
      <c r="G20" s="70" t="s">
        <v>242</v>
      </c>
      <c r="H20" s="70" t="s">
        <v>242</v>
      </c>
      <c r="I20" s="70" t="s">
        <v>242</v>
      </c>
      <c r="J20" s="70" t="s">
        <v>242</v>
      </c>
      <c r="K20" s="68" t="s">
        <v>242</v>
      </c>
      <c r="L20" s="70" t="s">
        <v>242</v>
      </c>
      <c r="M20" s="70" t="s">
        <v>242</v>
      </c>
      <c r="N20" s="70" t="s">
        <v>242</v>
      </c>
      <c r="O20" s="70" t="s">
        <v>242</v>
      </c>
      <c r="P20" s="70" t="s">
        <v>242</v>
      </c>
      <c r="Q20" s="70" t="s">
        <v>242</v>
      </c>
      <c r="R20" s="70" t="s">
        <v>242</v>
      </c>
      <c r="S20" s="70" t="s">
        <v>242</v>
      </c>
      <c r="T20" s="70" t="s">
        <v>242</v>
      </c>
      <c r="U20" s="70" t="s">
        <v>242</v>
      </c>
      <c r="V20" s="69">
        <v>24</v>
      </c>
      <c r="W20" s="70" t="s">
        <v>242</v>
      </c>
      <c r="X20" s="70" t="s">
        <v>242</v>
      </c>
      <c r="Y20" s="70" t="s">
        <v>242</v>
      </c>
      <c r="Z20" s="70" t="s">
        <v>242</v>
      </c>
      <c r="AA20" s="70" t="s">
        <v>242</v>
      </c>
      <c r="AB20" s="70" t="s">
        <v>242</v>
      </c>
      <c r="AC20" s="70" t="s">
        <v>242</v>
      </c>
      <c r="AD20" s="70" t="s">
        <v>242</v>
      </c>
      <c r="AE20" s="70" t="s">
        <v>242</v>
      </c>
      <c r="AF20" s="70" t="s">
        <v>242</v>
      </c>
      <c r="AG20" s="70" t="s">
        <v>242</v>
      </c>
      <c r="AH20" s="70" t="s">
        <v>242</v>
      </c>
      <c r="AI20" s="70" t="s">
        <v>242</v>
      </c>
      <c r="AJ20" s="70" t="s">
        <v>242</v>
      </c>
      <c r="AK20" s="65">
        <v>16</v>
      </c>
      <c r="AL20" s="69">
        <v>16</v>
      </c>
      <c r="AM20" s="65">
        <v>16</v>
      </c>
      <c r="AN20" s="70" t="s">
        <v>242</v>
      </c>
      <c r="AO20" s="65">
        <v>16</v>
      </c>
      <c r="AP20" s="70" t="s">
        <v>242</v>
      </c>
      <c r="AQ20" s="70" t="s">
        <v>242</v>
      </c>
      <c r="AR20" s="70" t="s">
        <v>242</v>
      </c>
      <c r="AS20" s="69">
        <v>16</v>
      </c>
      <c r="AT20" s="70" t="s">
        <v>242</v>
      </c>
      <c r="AU20" s="70" t="s">
        <v>242</v>
      </c>
      <c r="AV20" s="70" t="s">
        <v>242</v>
      </c>
      <c r="AW20" s="70" t="s">
        <v>242</v>
      </c>
      <c r="AX20" s="70" t="s">
        <v>242</v>
      </c>
      <c r="AY20" s="70" t="s">
        <v>242</v>
      </c>
      <c r="AZ20" s="70" t="s">
        <v>242</v>
      </c>
      <c r="BA20" s="70" t="s">
        <v>242</v>
      </c>
      <c r="BB20" s="59"/>
      <c r="BC20" s="59"/>
      <c r="BD20" s="59"/>
      <c r="BE20" s="59"/>
      <c r="BF20" s="59"/>
      <c r="BG20" s="69">
        <v>208</v>
      </c>
    </row>
    <row r="21" spans="1:59" ht="12.75" customHeight="1" x14ac:dyDescent="0.25">
      <c r="A21" s="65">
        <v>19</v>
      </c>
      <c r="B21" s="66" t="s">
        <v>74</v>
      </c>
      <c r="C21" s="70" t="s">
        <v>242</v>
      </c>
      <c r="D21" s="67">
        <v>40</v>
      </c>
      <c r="E21" s="68" t="s">
        <v>242</v>
      </c>
      <c r="F21" s="67">
        <v>16</v>
      </c>
      <c r="G21" s="70" t="s">
        <v>242</v>
      </c>
      <c r="H21" s="65">
        <v>20</v>
      </c>
      <c r="I21" s="70" t="s">
        <v>242</v>
      </c>
      <c r="J21" s="65">
        <v>16</v>
      </c>
      <c r="K21" s="68" t="s">
        <v>242</v>
      </c>
      <c r="L21" s="67">
        <v>16</v>
      </c>
      <c r="M21" s="70" t="s">
        <v>242</v>
      </c>
      <c r="N21" s="69">
        <v>16</v>
      </c>
      <c r="O21" s="70" t="s">
        <v>242</v>
      </c>
      <c r="P21" s="70" t="s">
        <v>242</v>
      </c>
      <c r="Q21" s="70" t="s">
        <v>242</v>
      </c>
      <c r="R21" s="70" t="s">
        <v>242</v>
      </c>
      <c r="S21" s="69">
        <v>16</v>
      </c>
      <c r="T21" s="70" t="s">
        <v>242</v>
      </c>
      <c r="U21" s="70" t="s">
        <v>242</v>
      </c>
      <c r="V21" s="69">
        <v>16</v>
      </c>
      <c r="W21" s="70" t="s">
        <v>242</v>
      </c>
      <c r="X21" s="70" t="s">
        <v>242</v>
      </c>
      <c r="Y21" s="70" t="s">
        <v>242</v>
      </c>
      <c r="Z21" s="70" t="s">
        <v>242</v>
      </c>
      <c r="AA21" s="69">
        <v>16</v>
      </c>
      <c r="AB21" s="70" t="s">
        <v>242</v>
      </c>
      <c r="AC21" s="70" t="s">
        <v>242</v>
      </c>
      <c r="AD21" s="70" t="s">
        <v>242</v>
      </c>
      <c r="AE21" s="69">
        <v>24</v>
      </c>
      <c r="AF21" s="70" t="s">
        <v>242</v>
      </c>
      <c r="AG21" s="70" t="s">
        <v>242</v>
      </c>
      <c r="AH21" s="69">
        <v>24</v>
      </c>
      <c r="AI21" s="69">
        <v>16</v>
      </c>
      <c r="AJ21" s="67">
        <v>16</v>
      </c>
      <c r="AK21" s="70" t="s">
        <v>242</v>
      </c>
      <c r="AL21" s="69">
        <v>16</v>
      </c>
      <c r="AM21" s="70" t="s">
        <v>242</v>
      </c>
      <c r="AN21" s="70" t="s">
        <v>242</v>
      </c>
      <c r="AO21" s="65">
        <v>16</v>
      </c>
      <c r="AP21" s="70" t="s">
        <v>242</v>
      </c>
      <c r="AQ21" s="70" t="s">
        <v>242</v>
      </c>
      <c r="AR21" s="70" t="s">
        <v>242</v>
      </c>
      <c r="AS21" s="70" t="s">
        <v>242</v>
      </c>
      <c r="AT21" s="70" t="s">
        <v>242</v>
      </c>
      <c r="AU21" s="70" t="s">
        <v>242</v>
      </c>
      <c r="AV21" s="70" t="s">
        <v>242</v>
      </c>
      <c r="AW21" s="70" t="s">
        <v>242</v>
      </c>
      <c r="AX21" s="67">
        <v>16</v>
      </c>
      <c r="AY21" s="65">
        <v>16</v>
      </c>
      <c r="AZ21" s="70" t="s">
        <v>242</v>
      </c>
      <c r="BA21" s="69">
        <v>4</v>
      </c>
      <c r="BB21" s="69">
        <v>4</v>
      </c>
      <c r="BC21" s="59"/>
      <c r="BD21" s="69">
        <v>4</v>
      </c>
      <c r="BE21" s="59"/>
      <c r="BF21" s="59"/>
      <c r="BG21" s="69">
        <v>328</v>
      </c>
    </row>
    <row r="22" spans="1:59" ht="12.75" customHeight="1" x14ac:dyDescent="0.25">
      <c r="A22" s="65">
        <v>20</v>
      </c>
      <c r="B22" s="66" t="s">
        <v>75</v>
      </c>
      <c r="C22" s="65">
        <v>16</v>
      </c>
      <c r="D22" s="67">
        <v>16</v>
      </c>
      <c r="E22" s="68" t="s">
        <v>242</v>
      </c>
      <c r="F22" s="70" t="s">
        <v>242</v>
      </c>
      <c r="G22" s="70" t="s">
        <v>242</v>
      </c>
      <c r="H22" s="65">
        <v>16</v>
      </c>
      <c r="I22" s="67">
        <v>16</v>
      </c>
      <c r="J22" s="65">
        <v>16</v>
      </c>
      <c r="K22" s="68" t="s">
        <v>242</v>
      </c>
      <c r="L22" s="70" t="s">
        <v>242</v>
      </c>
      <c r="M22" s="70" t="s">
        <v>242</v>
      </c>
      <c r="N22" s="69">
        <v>24</v>
      </c>
      <c r="O22" s="70" t="s">
        <v>242</v>
      </c>
      <c r="P22" s="70" t="s">
        <v>242</v>
      </c>
      <c r="Q22" s="70" t="s">
        <v>242</v>
      </c>
      <c r="R22" s="70" t="s">
        <v>242</v>
      </c>
      <c r="S22" s="70" t="s">
        <v>242</v>
      </c>
      <c r="T22" s="70" t="s">
        <v>242</v>
      </c>
      <c r="U22" s="70" t="s">
        <v>242</v>
      </c>
      <c r="V22" s="69">
        <v>16</v>
      </c>
      <c r="W22" s="70" t="s">
        <v>242</v>
      </c>
      <c r="X22" s="70" t="s">
        <v>242</v>
      </c>
      <c r="Y22" s="70" t="s">
        <v>242</v>
      </c>
      <c r="Z22" s="70" t="s">
        <v>242</v>
      </c>
      <c r="AA22" s="69">
        <v>16</v>
      </c>
      <c r="AB22" s="70" t="s">
        <v>242</v>
      </c>
      <c r="AC22" s="69">
        <v>16</v>
      </c>
      <c r="AD22" s="70" t="s">
        <v>242</v>
      </c>
      <c r="AE22" s="70" t="s">
        <v>242</v>
      </c>
      <c r="AF22" s="70" t="s">
        <v>242</v>
      </c>
      <c r="AG22" s="69">
        <v>16</v>
      </c>
      <c r="AH22" s="70" t="s">
        <v>242</v>
      </c>
      <c r="AI22" s="69">
        <v>16</v>
      </c>
      <c r="AJ22" s="70" t="s">
        <v>242</v>
      </c>
      <c r="AK22" s="70" t="s">
        <v>242</v>
      </c>
      <c r="AL22" s="69">
        <v>16</v>
      </c>
      <c r="AM22" s="70" t="s">
        <v>242</v>
      </c>
      <c r="AN22" s="70" t="s">
        <v>242</v>
      </c>
      <c r="AO22" s="65">
        <v>16</v>
      </c>
      <c r="AP22" s="70" t="s">
        <v>242</v>
      </c>
      <c r="AQ22" s="69">
        <v>16</v>
      </c>
      <c r="AR22" s="70" t="s">
        <v>242</v>
      </c>
      <c r="AS22" s="70" t="s">
        <v>242</v>
      </c>
      <c r="AT22" s="70" t="s">
        <v>242</v>
      </c>
      <c r="AU22" s="70" t="s">
        <v>242</v>
      </c>
      <c r="AV22" s="70" t="s">
        <v>242</v>
      </c>
      <c r="AW22" s="70" t="s">
        <v>242</v>
      </c>
      <c r="AX22" s="67">
        <v>16</v>
      </c>
      <c r="AY22" s="65">
        <v>16</v>
      </c>
      <c r="AZ22" s="70" t="s">
        <v>242</v>
      </c>
      <c r="BA22" s="70" t="s">
        <v>242</v>
      </c>
      <c r="BB22" s="59"/>
      <c r="BC22" s="59"/>
      <c r="BD22" s="69">
        <v>16</v>
      </c>
      <c r="BE22" s="59"/>
      <c r="BF22" s="59"/>
      <c r="BG22" s="69">
        <v>280</v>
      </c>
    </row>
    <row r="23" spans="1:59" ht="12.75" customHeight="1" x14ac:dyDescent="0.25">
      <c r="A23" s="65">
        <v>21</v>
      </c>
      <c r="B23" s="66" t="s">
        <v>76</v>
      </c>
      <c r="C23" s="70" t="s">
        <v>242</v>
      </c>
      <c r="D23" s="67">
        <v>16</v>
      </c>
      <c r="E23" s="68" t="s">
        <v>242</v>
      </c>
      <c r="F23" s="67">
        <v>16</v>
      </c>
      <c r="G23" s="70" t="s">
        <v>242</v>
      </c>
      <c r="H23" s="65">
        <v>24</v>
      </c>
      <c r="I23" s="67">
        <v>16</v>
      </c>
      <c r="J23" s="65">
        <v>92</v>
      </c>
      <c r="K23" s="68" t="s">
        <v>242</v>
      </c>
      <c r="L23" s="70" t="s">
        <v>242</v>
      </c>
      <c r="M23" s="70" t="s">
        <v>242</v>
      </c>
      <c r="N23" s="69">
        <v>16</v>
      </c>
      <c r="O23" s="70" t="s">
        <v>242</v>
      </c>
      <c r="P23" s="70" t="s">
        <v>242</v>
      </c>
      <c r="Q23" s="70" t="s">
        <v>242</v>
      </c>
      <c r="R23" s="70" t="s">
        <v>242</v>
      </c>
      <c r="S23" s="70" t="s">
        <v>242</v>
      </c>
      <c r="T23" s="69">
        <v>16</v>
      </c>
      <c r="U23" s="69">
        <v>16</v>
      </c>
      <c r="V23" s="70" t="s">
        <v>242</v>
      </c>
      <c r="W23" s="70" t="s">
        <v>242</v>
      </c>
      <c r="X23" s="70" t="s">
        <v>242</v>
      </c>
      <c r="Y23" s="70" t="s">
        <v>242</v>
      </c>
      <c r="Z23" s="69">
        <v>16</v>
      </c>
      <c r="AA23" s="70" t="s">
        <v>242</v>
      </c>
      <c r="AB23" s="70" t="s">
        <v>242</v>
      </c>
      <c r="AC23" s="69">
        <v>16</v>
      </c>
      <c r="AD23" s="69">
        <v>16</v>
      </c>
      <c r="AE23" s="70" t="s">
        <v>242</v>
      </c>
      <c r="AF23" s="70" t="s">
        <v>242</v>
      </c>
      <c r="AG23" s="70" t="s">
        <v>242</v>
      </c>
      <c r="AH23" s="70" t="s">
        <v>242</v>
      </c>
      <c r="AI23" s="69">
        <v>16</v>
      </c>
      <c r="AJ23" s="67">
        <v>16</v>
      </c>
      <c r="AK23" s="70" t="s">
        <v>242</v>
      </c>
      <c r="AL23" s="69">
        <v>16</v>
      </c>
      <c r="AM23" s="65">
        <v>16</v>
      </c>
      <c r="AN23" s="69">
        <v>16</v>
      </c>
      <c r="AO23" s="65">
        <v>16</v>
      </c>
      <c r="AP23" s="70" t="s">
        <v>242</v>
      </c>
      <c r="AQ23" s="70" t="s">
        <v>242</v>
      </c>
      <c r="AR23" s="70" t="s">
        <v>242</v>
      </c>
      <c r="AS23" s="70" t="s">
        <v>242</v>
      </c>
      <c r="AT23" s="69">
        <v>12</v>
      </c>
      <c r="AU23" s="70" t="s">
        <v>242</v>
      </c>
      <c r="AV23" s="69">
        <v>32</v>
      </c>
      <c r="AW23" s="70" t="s">
        <v>242</v>
      </c>
      <c r="AX23" s="67">
        <v>16</v>
      </c>
      <c r="AY23" s="65">
        <v>32</v>
      </c>
      <c r="AZ23" s="70" t="s">
        <v>242</v>
      </c>
      <c r="BA23" s="70" t="s">
        <v>242</v>
      </c>
      <c r="BB23" s="59"/>
      <c r="BC23" s="69">
        <v>4</v>
      </c>
      <c r="BD23" s="69">
        <v>8</v>
      </c>
      <c r="BE23" s="59"/>
      <c r="BF23" s="59"/>
      <c r="BG23" s="69">
        <v>460</v>
      </c>
    </row>
    <row r="24" spans="1:59" ht="12.75" customHeight="1" x14ac:dyDescent="0.25">
      <c r="A24" s="65">
        <v>22</v>
      </c>
      <c r="B24" s="66" t="s">
        <v>77</v>
      </c>
      <c r="C24" s="70" t="s">
        <v>242</v>
      </c>
      <c r="D24" s="70" t="s">
        <v>242</v>
      </c>
      <c r="E24" s="65">
        <v>92</v>
      </c>
      <c r="F24" s="70" t="s">
        <v>242</v>
      </c>
      <c r="G24" s="70" t="s">
        <v>242</v>
      </c>
      <c r="H24" s="70" t="s">
        <v>242</v>
      </c>
      <c r="I24" s="70" t="s">
        <v>242</v>
      </c>
      <c r="J24" s="65">
        <v>16</v>
      </c>
      <c r="K24" s="68" t="s">
        <v>242</v>
      </c>
      <c r="L24" s="70" t="s">
        <v>242</v>
      </c>
      <c r="M24" s="70" t="s">
        <v>242</v>
      </c>
      <c r="N24" s="69">
        <v>16</v>
      </c>
      <c r="O24" s="70" t="s">
        <v>242</v>
      </c>
      <c r="P24" s="70" t="s">
        <v>242</v>
      </c>
      <c r="Q24" s="70" t="s">
        <v>242</v>
      </c>
      <c r="R24" s="70" t="s">
        <v>242</v>
      </c>
      <c r="S24" s="70" t="s">
        <v>242</v>
      </c>
      <c r="T24" s="70" t="s">
        <v>242</v>
      </c>
      <c r="U24" s="70" t="s">
        <v>242</v>
      </c>
      <c r="V24" s="70" t="s">
        <v>242</v>
      </c>
      <c r="W24" s="70" t="s">
        <v>242</v>
      </c>
      <c r="X24" s="70" t="s">
        <v>242</v>
      </c>
      <c r="Y24" s="70" t="s">
        <v>242</v>
      </c>
      <c r="Z24" s="69">
        <v>16</v>
      </c>
      <c r="AA24" s="70" t="s">
        <v>242</v>
      </c>
      <c r="AB24" s="70" t="s">
        <v>242</v>
      </c>
      <c r="AC24" s="70" t="s">
        <v>242</v>
      </c>
      <c r="AD24" s="70" t="s">
        <v>242</v>
      </c>
      <c r="AE24" s="70" t="s">
        <v>242</v>
      </c>
      <c r="AF24" s="70" t="s">
        <v>242</v>
      </c>
      <c r="AG24" s="70" t="s">
        <v>242</v>
      </c>
      <c r="AH24" s="70" t="s">
        <v>242</v>
      </c>
      <c r="AI24" s="70" t="s">
        <v>242</v>
      </c>
      <c r="AJ24" s="67">
        <v>16</v>
      </c>
      <c r="AK24" s="70" t="s">
        <v>242</v>
      </c>
      <c r="AL24" s="70" t="s">
        <v>242</v>
      </c>
      <c r="AM24" s="70" t="s">
        <v>242</v>
      </c>
      <c r="AN24" s="69">
        <v>20</v>
      </c>
      <c r="AO24" s="70" t="s">
        <v>242</v>
      </c>
      <c r="AP24" s="70" t="s">
        <v>242</v>
      </c>
      <c r="AQ24" s="70" t="s">
        <v>242</v>
      </c>
      <c r="AR24" s="70" t="s">
        <v>242</v>
      </c>
      <c r="AS24" s="69">
        <v>16</v>
      </c>
      <c r="AT24" s="70" t="s">
        <v>242</v>
      </c>
      <c r="AU24" s="70" t="s">
        <v>242</v>
      </c>
      <c r="AV24" s="70" t="s">
        <v>242</v>
      </c>
      <c r="AW24" s="69">
        <v>32</v>
      </c>
      <c r="AX24" s="70" t="s">
        <v>242</v>
      </c>
      <c r="AY24" s="70" t="s">
        <v>242</v>
      </c>
      <c r="AZ24" s="70" t="s">
        <v>242</v>
      </c>
      <c r="BA24" s="69">
        <v>4</v>
      </c>
      <c r="BB24" s="69">
        <v>4</v>
      </c>
      <c r="BC24" s="59"/>
      <c r="BD24" s="59"/>
      <c r="BE24" s="59"/>
      <c r="BF24" s="59"/>
      <c r="BG24" s="69">
        <v>232</v>
      </c>
    </row>
    <row r="25" spans="1:59" ht="12.75" customHeight="1" x14ac:dyDescent="0.25">
      <c r="A25" s="65">
        <v>23</v>
      </c>
      <c r="B25" s="66" t="s">
        <v>78</v>
      </c>
      <c r="C25" s="70" t="s">
        <v>242</v>
      </c>
      <c r="D25" s="67">
        <v>24</v>
      </c>
      <c r="E25" s="68" t="s">
        <v>242</v>
      </c>
      <c r="F25" s="67">
        <v>16</v>
      </c>
      <c r="G25" s="70" t="s">
        <v>242</v>
      </c>
      <c r="H25" s="65">
        <v>16</v>
      </c>
      <c r="I25" s="70" t="s">
        <v>242</v>
      </c>
      <c r="J25" s="65">
        <v>44</v>
      </c>
      <c r="K25" s="68" t="s">
        <v>242</v>
      </c>
      <c r="L25" s="70" t="s">
        <v>242</v>
      </c>
      <c r="M25" s="70" t="s">
        <v>242</v>
      </c>
      <c r="N25" s="69">
        <v>32</v>
      </c>
      <c r="O25" s="70" t="s">
        <v>242</v>
      </c>
      <c r="P25" s="70" t="s">
        <v>242</v>
      </c>
      <c r="Q25" s="70" t="s">
        <v>242</v>
      </c>
      <c r="R25" s="70" t="s">
        <v>242</v>
      </c>
      <c r="S25" s="69">
        <v>16</v>
      </c>
      <c r="T25" s="69">
        <v>16</v>
      </c>
      <c r="U25" s="69">
        <v>16</v>
      </c>
      <c r="V25" s="70" t="s">
        <v>242</v>
      </c>
      <c r="W25" s="70" t="s">
        <v>242</v>
      </c>
      <c r="X25" s="70" t="s">
        <v>242</v>
      </c>
      <c r="Y25" s="70" t="s">
        <v>242</v>
      </c>
      <c r="Z25" s="70" t="s">
        <v>242</v>
      </c>
      <c r="AA25" s="69">
        <v>16</v>
      </c>
      <c r="AB25" s="70" t="s">
        <v>242</v>
      </c>
      <c r="AC25" s="69">
        <v>16</v>
      </c>
      <c r="AD25" s="70" t="s">
        <v>242</v>
      </c>
      <c r="AE25" s="70" t="s">
        <v>242</v>
      </c>
      <c r="AF25" s="70" t="s">
        <v>242</v>
      </c>
      <c r="AG25" s="70" t="s">
        <v>242</v>
      </c>
      <c r="AH25" s="69">
        <v>28</v>
      </c>
      <c r="AI25" s="69">
        <v>16</v>
      </c>
      <c r="AJ25" s="67">
        <v>40</v>
      </c>
      <c r="AK25" s="70" t="s">
        <v>242</v>
      </c>
      <c r="AL25" s="69">
        <v>16</v>
      </c>
      <c r="AM25" s="70" t="s">
        <v>242</v>
      </c>
      <c r="AN25" s="69">
        <v>20</v>
      </c>
      <c r="AO25" s="65">
        <v>16</v>
      </c>
      <c r="AP25" s="70" t="s">
        <v>242</v>
      </c>
      <c r="AQ25" s="69">
        <v>16</v>
      </c>
      <c r="AR25" s="70" t="s">
        <v>242</v>
      </c>
      <c r="AS25" s="69">
        <v>16</v>
      </c>
      <c r="AT25" s="70" t="s">
        <v>242</v>
      </c>
      <c r="AU25" s="69">
        <v>4</v>
      </c>
      <c r="AV25" s="70" t="s">
        <v>242</v>
      </c>
      <c r="AW25" s="69">
        <v>52</v>
      </c>
      <c r="AX25" s="70" t="s">
        <v>242</v>
      </c>
      <c r="AY25" s="70" t="s">
        <v>242</v>
      </c>
      <c r="AZ25" s="70" t="s">
        <v>242</v>
      </c>
      <c r="BA25" s="69">
        <v>4</v>
      </c>
      <c r="BB25" s="69">
        <v>4</v>
      </c>
      <c r="BC25" s="59"/>
      <c r="BD25" s="59"/>
      <c r="BE25" s="59"/>
      <c r="BF25" s="59"/>
      <c r="BG25" s="69">
        <v>444</v>
      </c>
    </row>
    <row r="26" spans="1:59" ht="12.75" customHeight="1" x14ac:dyDescent="0.25">
      <c r="A26" s="65">
        <v>24</v>
      </c>
      <c r="B26" s="66" t="s">
        <v>79</v>
      </c>
      <c r="C26" s="70" t="s">
        <v>242</v>
      </c>
      <c r="D26" s="67">
        <v>72</v>
      </c>
      <c r="E26" s="68" t="s">
        <v>242</v>
      </c>
      <c r="F26" s="70" t="s">
        <v>242</v>
      </c>
      <c r="G26" s="70" t="s">
        <v>242</v>
      </c>
      <c r="H26" s="70" t="s">
        <v>242</v>
      </c>
      <c r="I26" s="70" t="s">
        <v>242</v>
      </c>
      <c r="J26" s="70" t="s">
        <v>242</v>
      </c>
      <c r="K26" s="68" t="s">
        <v>242</v>
      </c>
      <c r="L26" s="70" t="s">
        <v>242</v>
      </c>
      <c r="M26" s="70" t="s">
        <v>242</v>
      </c>
      <c r="N26" s="70" t="s">
        <v>242</v>
      </c>
      <c r="O26" s="70" t="s">
        <v>242</v>
      </c>
      <c r="P26" s="70" t="s">
        <v>242</v>
      </c>
      <c r="Q26" s="70" t="s">
        <v>242</v>
      </c>
      <c r="R26" s="70" t="s">
        <v>242</v>
      </c>
      <c r="S26" s="70" t="s">
        <v>242</v>
      </c>
      <c r="T26" s="70" t="s">
        <v>242</v>
      </c>
      <c r="U26" s="70" t="s">
        <v>242</v>
      </c>
      <c r="V26" s="70" t="s">
        <v>242</v>
      </c>
      <c r="W26" s="70" t="s">
        <v>242</v>
      </c>
      <c r="X26" s="70" t="s">
        <v>242</v>
      </c>
      <c r="Y26" s="70" t="s">
        <v>242</v>
      </c>
      <c r="Z26" s="70" t="s">
        <v>242</v>
      </c>
      <c r="AA26" s="70" t="s">
        <v>242</v>
      </c>
      <c r="AB26" s="70" t="s">
        <v>242</v>
      </c>
      <c r="AC26" s="70" t="s">
        <v>242</v>
      </c>
      <c r="AD26" s="70" t="s">
        <v>242</v>
      </c>
      <c r="AE26" s="70" t="s">
        <v>242</v>
      </c>
      <c r="AF26" s="70" t="s">
        <v>242</v>
      </c>
      <c r="AG26" s="70" t="s">
        <v>242</v>
      </c>
      <c r="AH26" s="70" t="s">
        <v>242</v>
      </c>
      <c r="AI26" s="70" t="s">
        <v>242</v>
      </c>
      <c r="AJ26" s="70" t="s">
        <v>242</v>
      </c>
      <c r="AK26" s="70" t="s">
        <v>242</v>
      </c>
      <c r="AL26" s="69">
        <v>16</v>
      </c>
      <c r="AM26" s="70" t="s">
        <v>242</v>
      </c>
      <c r="AN26" s="70" t="s">
        <v>242</v>
      </c>
      <c r="AO26" s="65">
        <v>16</v>
      </c>
      <c r="AP26" s="70" t="s">
        <v>242</v>
      </c>
      <c r="AQ26" s="70" t="s">
        <v>242</v>
      </c>
      <c r="AR26" s="70" t="s">
        <v>242</v>
      </c>
      <c r="AS26" s="70" t="s">
        <v>242</v>
      </c>
      <c r="AT26" s="70" t="s">
        <v>242</v>
      </c>
      <c r="AU26" s="70" t="s">
        <v>242</v>
      </c>
      <c r="AV26" s="70" t="s">
        <v>242</v>
      </c>
      <c r="AW26" s="70" t="s">
        <v>242</v>
      </c>
      <c r="AX26" s="70" t="s">
        <v>242</v>
      </c>
      <c r="AY26" s="70" t="s">
        <v>242</v>
      </c>
      <c r="AZ26" s="70" t="s">
        <v>242</v>
      </c>
      <c r="BA26" s="69">
        <v>4</v>
      </c>
      <c r="BB26" s="59"/>
      <c r="BC26" s="59"/>
      <c r="BD26" s="59"/>
      <c r="BE26" s="59"/>
      <c r="BF26" s="59"/>
      <c r="BG26" s="69">
        <v>108</v>
      </c>
    </row>
    <row r="27" spans="1:59" ht="12.75" customHeight="1" x14ac:dyDescent="0.25">
      <c r="A27" s="65">
        <v>25</v>
      </c>
      <c r="B27" s="66" t="s">
        <v>80</v>
      </c>
      <c r="C27" s="69">
        <v>4</v>
      </c>
      <c r="D27" s="67">
        <v>36</v>
      </c>
      <c r="E27" s="68" t="s">
        <v>242</v>
      </c>
      <c r="F27" s="69">
        <v>8</v>
      </c>
      <c r="G27" s="70" t="s">
        <v>242</v>
      </c>
      <c r="H27" s="70" t="s">
        <v>242</v>
      </c>
      <c r="I27" s="70" t="s">
        <v>242</v>
      </c>
      <c r="J27" s="70" t="s">
        <v>242</v>
      </c>
      <c r="K27" s="68" t="s">
        <v>242</v>
      </c>
      <c r="L27" s="70" t="s">
        <v>242</v>
      </c>
      <c r="M27" s="70" t="s">
        <v>242</v>
      </c>
      <c r="N27" s="70" t="s">
        <v>242</v>
      </c>
      <c r="O27" s="70" t="s">
        <v>242</v>
      </c>
      <c r="P27" s="70" t="s">
        <v>242</v>
      </c>
      <c r="Q27" s="70" t="s">
        <v>242</v>
      </c>
      <c r="R27" s="70" t="s">
        <v>242</v>
      </c>
      <c r="S27" s="70" t="s">
        <v>242</v>
      </c>
      <c r="T27" s="70" t="s">
        <v>242</v>
      </c>
      <c r="U27" s="70" t="s">
        <v>242</v>
      </c>
      <c r="V27" s="70" t="s">
        <v>242</v>
      </c>
      <c r="W27" s="70" t="s">
        <v>242</v>
      </c>
      <c r="X27" s="70" t="s">
        <v>242</v>
      </c>
      <c r="Y27" s="70" t="s">
        <v>242</v>
      </c>
      <c r="Z27" s="69">
        <v>4</v>
      </c>
      <c r="AA27" s="70" t="s">
        <v>242</v>
      </c>
      <c r="AB27" s="70" t="s">
        <v>242</v>
      </c>
      <c r="AC27" s="70" t="s">
        <v>242</v>
      </c>
      <c r="AD27" s="70" t="s">
        <v>242</v>
      </c>
      <c r="AE27" s="70" t="s">
        <v>242</v>
      </c>
      <c r="AF27" s="70" t="s">
        <v>242</v>
      </c>
      <c r="AG27" s="70" t="s">
        <v>242</v>
      </c>
      <c r="AH27" s="70" t="s">
        <v>242</v>
      </c>
      <c r="AI27" s="70" t="s">
        <v>242</v>
      </c>
      <c r="AJ27" s="70" t="s">
        <v>242</v>
      </c>
      <c r="AK27" s="70" t="s">
        <v>242</v>
      </c>
      <c r="AL27" s="70" t="s">
        <v>242</v>
      </c>
      <c r="AM27" s="70" t="s">
        <v>242</v>
      </c>
      <c r="AN27" s="70" t="s">
        <v>242</v>
      </c>
      <c r="AO27" s="70" t="s">
        <v>242</v>
      </c>
      <c r="AP27" s="70" t="s">
        <v>242</v>
      </c>
      <c r="AQ27" s="70" t="s">
        <v>242</v>
      </c>
      <c r="AR27" s="70" t="s">
        <v>242</v>
      </c>
      <c r="AS27" s="70" t="s">
        <v>242</v>
      </c>
      <c r="AT27" s="70" t="s">
        <v>242</v>
      </c>
      <c r="AU27" s="69">
        <v>4</v>
      </c>
      <c r="AV27" s="70" t="s">
        <v>242</v>
      </c>
      <c r="AW27" s="70" t="s">
        <v>242</v>
      </c>
      <c r="AX27" s="70" t="s">
        <v>242</v>
      </c>
      <c r="AY27" s="70" t="s">
        <v>242</v>
      </c>
      <c r="AZ27" s="70" t="s">
        <v>242</v>
      </c>
      <c r="BA27" s="70" t="s">
        <v>242</v>
      </c>
      <c r="BB27" s="59"/>
      <c r="BC27" s="59"/>
      <c r="BD27" s="59"/>
      <c r="BE27" s="59"/>
      <c r="BF27" s="59"/>
      <c r="BG27" s="69">
        <v>56</v>
      </c>
    </row>
    <row r="28" spans="1:59" ht="12.75" customHeight="1" x14ac:dyDescent="0.25">
      <c r="A28" s="65">
        <v>26</v>
      </c>
      <c r="B28" s="66" t="s">
        <v>81</v>
      </c>
      <c r="C28" s="70" t="s">
        <v>242</v>
      </c>
      <c r="D28" s="67">
        <v>16</v>
      </c>
      <c r="E28" s="68" t="s">
        <v>242</v>
      </c>
      <c r="F28" s="67">
        <v>16</v>
      </c>
      <c r="G28" s="70" t="s">
        <v>242</v>
      </c>
      <c r="H28" s="70" t="s">
        <v>242</v>
      </c>
      <c r="I28" s="70" t="s">
        <v>242</v>
      </c>
      <c r="J28" s="65">
        <v>32</v>
      </c>
      <c r="K28" s="68" t="s">
        <v>242</v>
      </c>
      <c r="L28" s="70" t="s">
        <v>242</v>
      </c>
      <c r="M28" s="70" t="s">
        <v>242</v>
      </c>
      <c r="N28" s="69">
        <v>56</v>
      </c>
      <c r="O28" s="70" t="s">
        <v>242</v>
      </c>
      <c r="P28" s="70" t="s">
        <v>242</v>
      </c>
      <c r="Q28" s="70" t="s">
        <v>242</v>
      </c>
      <c r="R28" s="70" t="s">
        <v>242</v>
      </c>
      <c r="S28" s="70" t="s">
        <v>242</v>
      </c>
      <c r="T28" s="70" t="s">
        <v>242</v>
      </c>
      <c r="U28" s="69">
        <v>16</v>
      </c>
      <c r="V28" s="70" t="s">
        <v>242</v>
      </c>
      <c r="W28" s="70" t="s">
        <v>242</v>
      </c>
      <c r="X28" s="70" t="s">
        <v>242</v>
      </c>
      <c r="Y28" s="70" t="s">
        <v>242</v>
      </c>
      <c r="Z28" s="69">
        <v>28</v>
      </c>
      <c r="AA28" s="70" t="s">
        <v>242</v>
      </c>
      <c r="AB28" s="70" t="s">
        <v>242</v>
      </c>
      <c r="AC28" s="69">
        <v>52</v>
      </c>
      <c r="AD28" s="70" t="s">
        <v>242</v>
      </c>
      <c r="AE28" s="70" t="s">
        <v>242</v>
      </c>
      <c r="AF28" s="70" t="s">
        <v>242</v>
      </c>
      <c r="AG28" s="70" t="s">
        <v>242</v>
      </c>
      <c r="AH28" s="70" t="s">
        <v>242</v>
      </c>
      <c r="AI28" s="70" t="s">
        <v>242</v>
      </c>
      <c r="AJ28" s="67">
        <v>24</v>
      </c>
      <c r="AK28" s="70" t="s">
        <v>242</v>
      </c>
      <c r="AL28" s="70" t="s">
        <v>242</v>
      </c>
      <c r="AM28" s="70" t="s">
        <v>242</v>
      </c>
      <c r="AN28" s="70" t="s">
        <v>242</v>
      </c>
      <c r="AO28" s="70" t="s">
        <v>242</v>
      </c>
      <c r="AP28" s="70" t="s">
        <v>242</v>
      </c>
      <c r="AQ28" s="70" t="s">
        <v>242</v>
      </c>
      <c r="AR28" s="70" t="s">
        <v>242</v>
      </c>
      <c r="AS28" s="70" t="s">
        <v>242</v>
      </c>
      <c r="AT28" s="70" t="s">
        <v>242</v>
      </c>
      <c r="AU28" s="70" t="s">
        <v>242</v>
      </c>
      <c r="AV28" s="70" t="s">
        <v>242</v>
      </c>
      <c r="AW28" s="69">
        <v>48</v>
      </c>
      <c r="AX28" s="70" t="s">
        <v>242</v>
      </c>
      <c r="AY28" s="70" t="s">
        <v>242</v>
      </c>
      <c r="AZ28" s="70" t="s">
        <v>242</v>
      </c>
      <c r="BA28" s="59"/>
      <c r="BB28" s="59"/>
      <c r="BC28" s="59"/>
      <c r="BD28" s="59"/>
      <c r="BE28" s="59"/>
      <c r="BF28" s="59"/>
      <c r="BG28" s="69">
        <v>288</v>
      </c>
    </row>
    <row r="29" spans="1:59" ht="12.75" customHeight="1" x14ac:dyDescent="0.25">
      <c r="A29" s="65">
        <v>27</v>
      </c>
      <c r="B29" s="66" t="s">
        <v>82</v>
      </c>
      <c r="C29" s="65">
        <v>16</v>
      </c>
      <c r="D29" s="67">
        <v>16</v>
      </c>
      <c r="E29" s="68" t="s">
        <v>242</v>
      </c>
      <c r="F29" s="70" t="s">
        <v>242</v>
      </c>
      <c r="G29" s="70" t="s">
        <v>242</v>
      </c>
      <c r="H29" s="70" t="s">
        <v>242</v>
      </c>
      <c r="I29" s="70" t="s">
        <v>242</v>
      </c>
      <c r="J29" s="70" t="s">
        <v>242</v>
      </c>
      <c r="K29" s="68" t="s">
        <v>242</v>
      </c>
      <c r="L29" s="70" t="s">
        <v>242</v>
      </c>
      <c r="M29" s="70" t="s">
        <v>242</v>
      </c>
      <c r="N29" s="70" t="s">
        <v>242</v>
      </c>
      <c r="O29" s="70" t="s">
        <v>242</v>
      </c>
      <c r="P29" s="70" t="s">
        <v>242</v>
      </c>
      <c r="Q29" s="70" t="s">
        <v>242</v>
      </c>
      <c r="R29" s="70" t="s">
        <v>242</v>
      </c>
      <c r="S29" s="70" t="s">
        <v>242</v>
      </c>
      <c r="T29" s="70" t="s">
        <v>242</v>
      </c>
      <c r="U29" s="70" t="s">
        <v>242</v>
      </c>
      <c r="V29" s="70" t="s">
        <v>242</v>
      </c>
      <c r="W29" s="70" t="s">
        <v>242</v>
      </c>
      <c r="X29" s="70" t="s">
        <v>242</v>
      </c>
      <c r="Y29" s="70" t="s">
        <v>242</v>
      </c>
      <c r="Z29" s="70" t="s">
        <v>242</v>
      </c>
      <c r="AA29" s="70" t="s">
        <v>242</v>
      </c>
      <c r="AB29" s="70" t="s">
        <v>242</v>
      </c>
      <c r="AC29" s="70" t="s">
        <v>242</v>
      </c>
      <c r="AD29" s="70" t="s">
        <v>242</v>
      </c>
      <c r="AE29" s="70" t="s">
        <v>242</v>
      </c>
      <c r="AF29" s="70" t="s">
        <v>242</v>
      </c>
      <c r="AG29" s="70" t="s">
        <v>242</v>
      </c>
      <c r="AH29" s="70" t="s">
        <v>242</v>
      </c>
      <c r="AI29" s="70" t="s">
        <v>242</v>
      </c>
      <c r="AJ29" s="70" t="s">
        <v>242</v>
      </c>
      <c r="AK29" s="70" t="s">
        <v>242</v>
      </c>
      <c r="AL29" s="70" t="s">
        <v>242</v>
      </c>
      <c r="AM29" s="70" t="s">
        <v>242</v>
      </c>
      <c r="AN29" s="70" t="s">
        <v>242</v>
      </c>
      <c r="AO29" s="70" t="s">
        <v>242</v>
      </c>
      <c r="AP29" s="70" t="s">
        <v>242</v>
      </c>
      <c r="AQ29" s="70" t="s">
        <v>242</v>
      </c>
      <c r="AR29" s="70" t="s">
        <v>242</v>
      </c>
      <c r="AS29" s="70" t="s">
        <v>242</v>
      </c>
      <c r="AT29" s="70" t="s">
        <v>242</v>
      </c>
      <c r="AU29" s="70" t="s">
        <v>242</v>
      </c>
      <c r="AV29" s="70" t="s">
        <v>242</v>
      </c>
      <c r="AW29" s="70" t="s">
        <v>242</v>
      </c>
      <c r="AX29" s="70" t="s">
        <v>242</v>
      </c>
      <c r="AY29" s="70" t="s">
        <v>242</v>
      </c>
      <c r="AZ29" s="70" t="s">
        <v>242</v>
      </c>
      <c r="BA29" s="59"/>
      <c r="BB29" s="59"/>
      <c r="BC29" s="59"/>
      <c r="BD29" s="59"/>
      <c r="BE29" s="59"/>
      <c r="BF29" s="59"/>
      <c r="BG29" s="69">
        <v>32</v>
      </c>
    </row>
    <row r="30" spans="1:59" ht="12.75" customHeight="1" x14ac:dyDescent="0.25">
      <c r="A30" s="65">
        <v>28</v>
      </c>
      <c r="B30" s="66" t="s">
        <v>83</v>
      </c>
      <c r="C30" s="70" t="s">
        <v>242</v>
      </c>
      <c r="D30" s="70" t="s">
        <v>242</v>
      </c>
      <c r="E30" s="68" t="s">
        <v>242</v>
      </c>
      <c r="F30" s="70" t="s">
        <v>242</v>
      </c>
      <c r="G30" s="70" t="s">
        <v>242</v>
      </c>
      <c r="H30" s="70" t="s">
        <v>242</v>
      </c>
      <c r="I30" s="70" t="s">
        <v>242</v>
      </c>
      <c r="J30" s="70" t="s">
        <v>242</v>
      </c>
      <c r="K30" s="68" t="s">
        <v>242</v>
      </c>
      <c r="L30" s="70" t="s">
        <v>242</v>
      </c>
      <c r="M30" s="70" t="s">
        <v>242</v>
      </c>
      <c r="N30" s="70" t="s">
        <v>242</v>
      </c>
      <c r="O30" s="70" t="s">
        <v>242</v>
      </c>
      <c r="P30" s="70" t="s">
        <v>242</v>
      </c>
      <c r="Q30" s="70" t="s">
        <v>242</v>
      </c>
      <c r="R30" s="70" t="s">
        <v>242</v>
      </c>
      <c r="S30" s="70" t="s">
        <v>242</v>
      </c>
      <c r="T30" s="70" t="s">
        <v>242</v>
      </c>
      <c r="U30" s="70" t="s">
        <v>242</v>
      </c>
      <c r="V30" s="70" t="s">
        <v>242</v>
      </c>
      <c r="W30" s="70" t="s">
        <v>242</v>
      </c>
      <c r="X30" s="70" t="s">
        <v>242</v>
      </c>
      <c r="Y30" s="70" t="s">
        <v>242</v>
      </c>
      <c r="Z30" s="70" t="s">
        <v>242</v>
      </c>
      <c r="AA30" s="70" t="s">
        <v>242</v>
      </c>
      <c r="AB30" s="70" t="s">
        <v>242</v>
      </c>
      <c r="AC30" s="70" t="s">
        <v>242</v>
      </c>
      <c r="AD30" s="70" t="s">
        <v>242</v>
      </c>
      <c r="AE30" s="70" t="s">
        <v>242</v>
      </c>
      <c r="AF30" s="70" t="s">
        <v>242</v>
      </c>
      <c r="AG30" s="70" t="s">
        <v>242</v>
      </c>
      <c r="AH30" s="70" t="s">
        <v>242</v>
      </c>
      <c r="AI30" s="70" t="s">
        <v>242</v>
      </c>
      <c r="AJ30" s="70" t="s">
        <v>242</v>
      </c>
      <c r="AK30" s="70" t="s">
        <v>242</v>
      </c>
      <c r="AL30" s="70" t="s">
        <v>242</v>
      </c>
      <c r="AM30" s="70" t="s">
        <v>242</v>
      </c>
      <c r="AN30" s="70" t="s">
        <v>242</v>
      </c>
      <c r="AO30" s="70" t="s">
        <v>242</v>
      </c>
      <c r="AP30" s="70" t="s">
        <v>242</v>
      </c>
      <c r="AQ30" s="70" t="s">
        <v>242</v>
      </c>
      <c r="AR30" s="70" t="s">
        <v>242</v>
      </c>
      <c r="AS30" s="70" t="s">
        <v>242</v>
      </c>
      <c r="AT30" s="70" t="s">
        <v>242</v>
      </c>
      <c r="AU30" s="70" t="s">
        <v>242</v>
      </c>
      <c r="AV30" s="70" t="s">
        <v>242</v>
      </c>
      <c r="AW30" s="70" t="s">
        <v>242</v>
      </c>
      <c r="AX30" s="70" t="s">
        <v>242</v>
      </c>
      <c r="AY30" s="70" t="s">
        <v>242</v>
      </c>
      <c r="AZ30" s="70" t="s">
        <v>242</v>
      </c>
      <c r="BA30" s="59"/>
      <c r="BB30" s="59"/>
      <c r="BC30" s="59"/>
      <c r="BD30" s="59"/>
      <c r="BE30" s="59"/>
      <c r="BF30" s="59"/>
      <c r="BG30" s="69">
        <v>0</v>
      </c>
    </row>
    <row r="31" spans="1:59" ht="12.75" customHeight="1" x14ac:dyDescent="0.25">
      <c r="A31" s="65">
        <v>29</v>
      </c>
      <c r="B31" s="66" t="s">
        <v>84</v>
      </c>
      <c r="C31" s="65">
        <v>16</v>
      </c>
      <c r="D31" s="67">
        <v>16</v>
      </c>
      <c r="E31" s="68" t="s">
        <v>242</v>
      </c>
      <c r="F31" s="67">
        <v>16</v>
      </c>
      <c r="G31" s="70" t="s">
        <v>242</v>
      </c>
      <c r="H31" s="65">
        <v>16</v>
      </c>
      <c r="I31" s="70" t="s">
        <v>242</v>
      </c>
      <c r="J31" s="70" t="s">
        <v>242</v>
      </c>
      <c r="K31" s="68" t="s">
        <v>242</v>
      </c>
      <c r="L31" s="70" t="s">
        <v>242</v>
      </c>
      <c r="M31" s="70" t="s">
        <v>242</v>
      </c>
      <c r="N31" s="70" t="s">
        <v>242</v>
      </c>
      <c r="O31" s="70" t="s">
        <v>242</v>
      </c>
      <c r="P31" s="69">
        <v>60</v>
      </c>
      <c r="Q31" s="69">
        <v>40</v>
      </c>
      <c r="R31" s="69">
        <v>16</v>
      </c>
      <c r="S31" s="70" t="s">
        <v>242</v>
      </c>
      <c r="T31" s="70" t="s">
        <v>242</v>
      </c>
      <c r="U31" s="70" t="s">
        <v>242</v>
      </c>
      <c r="V31" s="69">
        <v>48</v>
      </c>
      <c r="W31" s="70" t="s">
        <v>242</v>
      </c>
      <c r="X31" s="70" t="s">
        <v>242</v>
      </c>
      <c r="Y31" s="70" t="s">
        <v>242</v>
      </c>
      <c r="Z31" s="70" t="s">
        <v>242</v>
      </c>
      <c r="AA31" s="70" t="s">
        <v>242</v>
      </c>
      <c r="AB31" s="70" t="s">
        <v>242</v>
      </c>
      <c r="AC31" s="70" t="s">
        <v>242</v>
      </c>
      <c r="AD31" s="69">
        <v>88</v>
      </c>
      <c r="AE31" s="70" t="s">
        <v>242</v>
      </c>
      <c r="AF31" s="69">
        <v>16</v>
      </c>
      <c r="AG31" s="70" t="s">
        <v>242</v>
      </c>
      <c r="AH31" s="69">
        <v>16</v>
      </c>
      <c r="AI31" s="70" t="s">
        <v>242</v>
      </c>
      <c r="AJ31" s="70" t="s">
        <v>242</v>
      </c>
      <c r="AK31" s="70" t="s">
        <v>242</v>
      </c>
      <c r="AL31" s="69">
        <v>36</v>
      </c>
      <c r="AM31" s="65">
        <v>16</v>
      </c>
      <c r="AN31" s="70" t="s">
        <v>242</v>
      </c>
      <c r="AO31" s="70" t="s">
        <v>242</v>
      </c>
      <c r="AP31" s="70" t="s">
        <v>242</v>
      </c>
      <c r="AQ31" s="69">
        <v>16</v>
      </c>
      <c r="AR31" s="70" t="s">
        <v>242</v>
      </c>
      <c r="AS31" s="70" t="s">
        <v>242</v>
      </c>
      <c r="AT31" s="70" t="s">
        <v>242</v>
      </c>
      <c r="AU31" s="70" t="s">
        <v>242</v>
      </c>
      <c r="AV31" s="70" t="s">
        <v>242</v>
      </c>
      <c r="AW31" s="70" t="s">
        <v>242</v>
      </c>
      <c r="AX31" s="67">
        <v>16</v>
      </c>
      <c r="AY31" s="70" t="s">
        <v>242</v>
      </c>
      <c r="AZ31" s="70" t="s">
        <v>242</v>
      </c>
      <c r="BA31" s="59"/>
      <c r="BB31" s="59"/>
      <c r="BC31" s="59"/>
      <c r="BD31" s="69">
        <v>16</v>
      </c>
      <c r="BE31" s="59"/>
      <c r="BF31" s="69">
        <v>4</v>
      </c>
      <c r="BG31" s="69">
        <v>452</v>
      </c>
    </row>
    <row r="32" spans="1:59" ht="12.75" customHeight="1" x14ac:dyDescent="0.25">
      <c r="A32" s="65">
        <v>30</v>
      </c>
      <c r="B32" s="66" t="s">
        <v>85</v>
      </c>
      <c r="C32" s="65">
        <v>16</v>
      </c>
      <c r="D32" s="67">
        <v>28</v>
      </c>
      <c r="E32" s="68" t="s">
        <v>242</v>
      </c>
      <c r="F32" s="70" t="s">
        <v>242</v>
      </c>
      <c r="G32" s="70" t="s">
        <v>242</v>
      </c>
      <c r="H32" s="70" t="s">
        <v>242</v>
      </c>
      <c r="I32" s="70" t="s">
        <v>242</v>
      </c>
      <c r="J32" s="70" t="s">
        <v>242</v>
      </c>
      <c r="K32" s="68" t="s">
        <v>242</v>
      </c>
      <c r="L32" s="67">
        <v>16</v>
      </c>
      <c r="M32" s="70" t="s">
        <v>242</v>
      </c>
      <c r="N32" s="70" t="s">
        <v>242</v>
      </c>
      <c r="O32" s="70" t="s">
        <v>242</v>
      </c>
      <c r="P32" s="70" t="s">
        <v>242</v>
      </c>
      <c r="Q32" s="70" t="s">
        <v>242</v>
      </c>
      <c r="R32" s="70" t="s">
        <v>242</v>
      </c>
      <c r="S32" s="69">
        <v>16</v>
      </c>
      <c r="T32" s="70" t="s">
        <v>242</v>
      </c>
      <c r="U32" s="70" t="s">
        <v>242</v>
      </c>
      <c r="V32" s="70" t="s">
        <v>242</v>
      </c>
      <c r="W32" s="70" t="s">
        <v>242</v>
      </c>
      <c r="X32" s="70" t="s">
        <v>242</v>
      </c>
      <c r="Y32" s="70" t="s">
        <v>242</v>
      </c>
      <c r="Z32" s="69">
        <v>16</v>
      </c>
      <c r="AA32" s="70" t="s">
        <v>242</v>
      </c>
      <c r="AB32" s="70" t="s">
        <v>242</v>
      </c>
      <c r="AC32" s="70" t="s">
        <v>242</v>
      </c>
      <c r="AD32" s="70" t="s">
        <v>242</v>
      </c>
      <c r="AE32" s="69">
        <v>8</v>
      </c>
      <c r="AF32" s="70" t="s">
        <v>242</v>
      </c>
      <c r="AG32" s="70" t="s">
        <v>242</v>
      </c>
      <c r="AH32" s="69">
        <v>48</v>
      </c>
      <c r="AI32" s="70" t="s">
        <v>242</v>
      </c>
      <c r="AJ32" s="70" t="s">
        <v>242</v>
      </c>
      <c r="AK32" s="65">
        <v>16</v>
      </c>
      <c r="AL32" s="69">
        <v>16</v>
      </c>
      <c r="AM32" s="65">
        <v>16</v>
      </c>
      <c r="AN32" s="70" t="s">
        <v>242</v>
      </c>
      <c r="AO32" s="65">
        <v>16</v>
      </c>
      <c r="AP32" s="69">
        <v>20</v>
      </c>
      <c r="AQ32" s="70" t="s">
        <v>242</v>
      </c>
      <c r="AR32" s="70" t="s">
        <v>242</v>
      </c>
      <c r="AS32" s="70" t="s">
        <v>242</v>
      </c>
      <c r="AT32" s="69">
        <v>4</v>
      </c>
      <c r="AU32" s="69">
        <v>16</v>
      </c>
      <c r="AV32" s="70" t="s">
        <v>242</v>
      </c>
      <c r="AW32" s="70" t="s">
        <v>242</v>
      </c>
      <c r="AX32" s="70" t="s">
        <v>242</v>
      </c>
      <c r="AY32" s="70" t="s">
        <v>242</v>
      </c>
      <c r="AZ32" s="70" t="s">
        <v>242</v>
      </c>
      <c r="BA32" s="59"/>
      <c r="BB32" s="59"/>
      <c r="BC32" s="59"/>
      <c r="BD32" s="59"/>
      <c r="BE32" s="59"/>
      <c r="BF32" s="59"/>
      <c r="BG32" s="69">
        <v>252</v>
      </c>
    </row>
    <row r="33" spans="1:59" ht="12.75" customHeight="1" x14ac:dyDescent="0.25">
      <c r="A33" s="65">
        <v>31</v>
      </c>
      <c r="B33" s="66" t="s">
        <v>86</v>
      </c>
      <c r="C33" s="70" t="s">
        <v>242</v>
      </c>
      <c r="D33" s="67">
        <v>16</v>
      </c>
      <c r="E33" s="68" t="s">
        <v>242</v>
      </c>
      <c r="F33" s="70" t="s">
        <v>242</v>
      </c>
      <c r="G33" s="70" t="s">
        <v>242</v>
      </c>
      <c r="H33" s="65">
        <v>24</v>
      </c>
      <c r="I33" s="70" t="s">
        <v>242</v>
      </c>
      <c r="J33" s="65">
        <v>104</v>
      </c>
      <c r="K33" s="68" t="s">
        <v>242</v>
      </c>
      <c r="L33" s="70" t="s">
        <v>242</v>
      </c>
      <c r="M33" s="70" t="s">
        <v>242</v>
      </c>
      <c r="N33" s="70" t="s">
        <v>242</v>
      </c>
      <c r="O33" s="70" t="s">
        <v>242</v>
      </c>
      <c r="P33" s="70" t="s">
        <v>242</v>
      </c>
      <c r="Q33" s="70" t="s">
        <v>242</v>
      </c>
      <c r="R33" s="69">
        <v>16</v>
      </c>
      <c r="S33" s="70" t="s">
        <v>242</v>
      </c>
      <c r="T33" s="69">
        <v>16</v>
      </c>
      <c r="U33" s="70" t="s">
        <v>242</v>
      </c>
      <c r="V33" s="70" t="s">
        <v>242</v>
      </c>
      <c r="W33" s="70" t="s">
        <v>242</v>
      </c>
      <c r="X33" s="70" t="s">
        <v>242</v>
      </c>
      <c r="Y33" s="70" t="s">
        <v>242</v>
      </c>
      <c r="Z33" s="70" t="s">
        <v>242</v>
      </c>
      <c r="AA33" s="70" t="s">
        <v>242</v>
      </c>
      <c r="AB33" s="70" t="s">
        <v>242</v>
      </c>
      <c r="AC33" s="69">
        <v>16</v>
      </c>
      <c r="AD33" s="69">
        <v>28</v>
      </c>
      <c r="AE33" s="70" t="s">
        <v>242</v>
      </c>
      <c r="AF33" s="70" t="s">
        <v>242</v>
      </c>
      <c r="AG33" s="70" t="s">
        <v>242</v>
      </c>
      <c r="AH33" s="70" t="s">
        <v>242</v>
      </c>
      <c r="AI33" s="69">
        <v>16</v>
      </c>
      <c r="AJ33" s="70" t="s">
        <v>242</v>
      </c>
      <c r="AK33" s="70" t="s">
        <v>242</v>
      </c>
      <c r="AL33" s="69">
        <v>16</v>
      </c>
      <c r="AM33" s="65">
        <v>16</v>
      </c>
      <c r="AN33" s="70" t="s">
        <v>242</v>
      </c>
      <c r="AO33" s="65">
        <v>16</v>
      </c>
      <c r="AP33" s="70" t="s">
        <v>242</v>
      </c>
      <c r="AQ33" s="70" t="s">
        <v>242</v>
      </c>
      <c r="AR33" s="70" t="s">
        <v>242</v>
      </c>
      <c r="AS33" s="70" t="s">
        <v>242</v>
      </c>
      <c r="AT33" s="70" t="s">
        <v>242</v>
      </c>
      <c r="AU33" s="70" t="s">
        <v>242</v>
      </c>
      <c r="AV33" s="70" t="s">
        <v>242</v>
      </c>
      <c r="AW33" s="70" t="s">
        <v>242</v>
      </c>
      <c r="AX33" s="70" t="s">
        <v>242</v>
      </c>
      <c r="AY33" s="65">
        <v>16</v>
      </c>
      <c r="AZ33" s="70" t="s">
        <v>242</v>
      </c>
      <c r="BA33" s="59"/>
      <c r="BB33" s="59"/>
      <c r="BC33" s="69">
        <v>4</v>
      </c>
      <c r="BD33" s="59"/>
      <c r="BE33" s="59"/>
      <c r="BF33" s="59"/>
      <c r="BG33" s="69">
        <v>304</v>
      </c>
    </row>
    <row r="34" spans="1:59" ht="12.75" customHeight="1" x14ac:dyDescent="0.25">
      <c r="A34" s="65">
        <v>32</v>
      </c>
      <c r="B34" s="66" t="s">
        <v>244</v>
      </c>
      <c r="C34" s="65">
        <v>16</v>
      </c>
      <c r="D34" s="67">
        <v>28</v>
      </c>
      <c r="E34" s="68" t="s">
        <v>242</v>
      </c>
      <c r="F34" s="67">
        <v>12</v>
      </c>
      <c r="G34" s="70" t="s">
        <v>242</v>
      </c>
      <c r="H34" s="70" t="s">
        <v>242</v>
      </c>
      <c r="I34" s="70" t="s">
        <v>242</v>
      </c>
      <c r="J34" s="70" t="s">
        <v>242</v>
      </c>
      <c r="K34" s="68" t="s">
        <v>242</v>
      </c>
      <c r="L34" s="70" t="s">
        <v>242</v>
      </c>
      <c r="M34" s="70" t="s">
        <v>242</v>
      </c>
      <c r="N34" s="70" t="s">
        <v>242</v>
      </c>
      <c r="O34" s="70" t="s">
        <v>242</v>
      </c>
      <c r="P34" s="70" t="s">
        <v>242</v>
      </c>
      <c r="Q34" s="70" t="s">
        <v>242</v>
      </c>
      <c r="R34" s="70" t="s">
        <v>242</v>
      </c>
      <c r="S34" s="70" t="s">
        <v>242</v>
      </c>
      <c r="T34" s="70" t="s">
        <v>242</v>
      </c>
      <c r="U34" s="70" t="s">
        <v>242</v>
      </c>
      <c r="V34" s="70" t="s">
        <v>242</v>
      </c>
      <c r="W34" s="70" t="s">
        <v>242</v>
      </c>
      <c r="X34" s="70" t="s">
        <v>242</v>
      </c>
      <c r="Y34" s="70" t="s">
        <v>242</v>
      </c>
      <c r="Z34" s="70" t="s">
        <v>242</v>
      </c>
      <c r="AA34" s="70" t="s">
        <v>242</v>
      </c>
      <c r="AB34" s="70" t="s">
        <v>242</v>
      </c>
      <c r="AC34" s="70" t="s">
        <v>242</v>
      </c>
      <c r="AD34" s="70" t="s">
        <v>242</v>
      </c>
      <c r="AE34" s="70" t="s">
        <v>242</v>
      </c>
      <c r="AF34" s="70" t="s">
        <v>242</v>
      </c>
      <c r="AG34" s="70" t="s">
        <v>242</v>
      </c>
      <c r="AH34" s="70" t="s">
        <v>242</v>
      </c>
      <c r="AI34" s="70" t="s">
        <v>242</v>
      </c>
      <c r="AJ34" s="70" t="s">
        <v>242</v>
      </c>
      <c r="AK34" s="69">
        <v>4</v>
      </c>
      <c r="AL34" s="70" t="s">
        <v>242</v>
      </c>
      <c r="AM34" s="65">
        <v>16</v>
      </c>
      <c r="AN34" s="70" t="s">
        <v>242</v>
      </c>
      <c r="AO34" s="65">
        <v>12</v>
      </c>
      <c r="AP34" s="69">
        <v>8</v>
      </c>
      <c r="AQ34" s="70" t="s">
        <v>242</v>
      </c>
      <c r="AR34" s="70" t="s">
        <v>242</v>
      </c>
      <c r="AS34" s="70" t="s">
        <v>242</v>
      </c>
      <c r="AT34" s="70" t="s">
        <v>242</v>
      </c>
      <c r="AU34" s="70" t="s">
        <v>242</v>
      </c>
      <c r="AV34" s="70" t="s">
        <v>242</v>
      </c>
      <c r="AW34" s="70" t="s">
        <v>242</v>
      </c>
      <c r="AX34" s="70" t="s">
        <v>242</v>
      </c>
      <c r="AY34" s="70" t="s">
        <v>242</v>
      </c>
      <c r="AZ34" s="70" t="s">
        <v>242</v>
      </c>
      <c r="BA34" s="59"/>
      <c r="BB34" s="59"/>
      <c r="BC34" s="59"/>
      <c r="BD34" s="59"/>
      <c r="BE34" s="59"/>
      <c r="BF34" s="59"/>
      <c r="BG34" s="69">
        <v>96</v>
      </c>
    </row>
    <row r="35" spans="1:59" ht="12.75" customHeight="1" x14ac:dyDescent="0.25">
      <c r="A35" s="65">
        <v>33</v>
      </c>
      <c r="B35" s="66" t="s">
        <v>87</v>
      </c>
      <c r="C35" s="65">
        <v>12</v>
      </c>
      <c r="D35" s="67">
        <v>36</v>
      </c>
      <c r="E35" s="68" t="s">
        <v>242</v>
      </c>
      <c r="F35" s="69">
        <v>8</v>
      </c>
      <c r="G35" s="70" t="s">
        <v>242</v>
      </c>
      <c r="H35" s="70" t="s">
        <v>242</v>
      </c>
      <c r="I35" s="70" t="s">
        <v>242</v>
      </c>
      <c r="J35" s="70" t="s">
        <v>242</v>
      </c>
      <c r="K35" s="68" t="s">
        <v>242</v>
      </c>
      <c r="L35" s="67">
        <v>48</v>
      </c>
      <c r="M35" s="70" t="s">
        <v>242</v>
      </c>
      <c r="N35" s="70" t="s">
        <v>242</v>
      </c>
      <c r="O35" s="70" t="s">
        <v>242</v>
      </c>
      <c r="P35" s="70" t="s">
        <v>242</v>
      </c>
      <c r="Q35" s="70" t="s">
        <v>242</v>
      </c>
      <c r="R35" s="69">
        <v>20</v>
      </c>
      <c r="S35" s="70" t="s">
        <v>242</v>
      </c>
      <c r="T35" s="69">
        <v>16</v>
      </c>
      <c r="U35" s="70" t="s">
        <v>242</v>
      </c>
      <c r="V35" s="70" t="s">
        <v>242</v>
      </c>
      <c r="W35" s="70" t="s">
        <v>242</v>
      </c>
      <c r="X35" s="70" t="s">
        <v>242</v>
      </c>
      <c r="Y35" s="70" t="s">
        <v>242</v>
      </c>
      <c r="Z35" s="69">
        <v>20</v>
      </c>
      <c r="AA35" s="70" t="s">
        <v>242</v>
      </c>
      <c r="AB35" s="70" t="s">
        <v>242</v>
      </c>
      <c r="AC35" s="70" t="s">
        <v>242</v>
      </c>
      <c r="AD35" s="70" t="s">
        <v>242</v>
      </c>
      <c r="AE35" s="69">
        <v>20</v>
      </c>
      <c r="AF35" s="70" t="s">
        <v>242</v>
      </c>
      <c r="AG35" s="69">
        <v>28</v>
      </c>
      <c r="AH35" s="69">
        <v>20</v>
      </c>
      <c r="AI35" s="70" t="s">
        <v>242</v>
      </c>
      <c r="AJ35" s="70" t="s">
        <v>242</v>
      </c>
      <c r="AK35" s="69">
        <v>8</v>
      </c>
      <c r="AL35" s="69">
        <v>8</v>
      </c>
      <c r="AM35" s="69">
        <v>4</v>
      </c>
      <c r="AN35" s="70" t="s">
        <v>242</v>
      </c>
      <c r="AO35" s="65">
        <v>32</v>
      </c>
      <c r="AP35" s="70" t="s">
        <v>242</v>
      </c>
      <c r="AQ35" s="70" t="s">
        <v>242</v>
      </c>
      <c r="AR35" s="69">
        <v>12</v>
      </c>
      <c r="AS35" s="69">
        <v>8</v>
      </c>
      <c r="AT35" s="70" t="s">
        <v>242</v>
      </c>
      <c r="AU35" s="70" t="s">
        <v>242</v>
      </c>
      <c r="AV35" s="70" t="s">
        <v>242</v>
      </c>
      <c r="AW35" s="70" t="s">
        <v>242</v>
      </c>
      <c r="AX35" s="70" t="s">
        <v>242</v>
      </c>
      <c r="AY35" s="70" t="s">
        <v>242</v>
      </c>
      <c r="AZ35" s="70" t="s">
        <v>242</v>
      </c>
      <c r="BA35" s="59"/>
      <c r="BB35" s="59"/>
      <c r="BC35" s="59"/>
      <c r="BD35" s="59"/>
      <c r="BE35" s="59"/>
      <c r="BF35" s="59"/>
      <c r="BG35" s="69">
        <v>300</v>
      </c>
    </row>
    <row r="36" spans="1:59" ht="12.75" customHeight="1" x14ac:dyDescent="0.25">
      <c r="A36" s="65">
        <v>34</v>
      </c>
      <c r="B36" s="66" t="s">
        <v>88</v>
      </c>
      <c r="C36" s="65">
        <v>16</v>
      </c>
      <c r="D36" s="67">
        <v>12</v>
      </c>
      <c r="E36" s="68" t="s">
        <v>242</v>
      </c>
      <c r="F36" s="67">
        <v>12</v>
      </c>
      <c r="G36" s="70" t="s">
        <v>242</v>
      </c>
      <c r="H36" s="70" t="s">
        <v>242</v>
      </c>
      <c r="I36" s="70" t="s">
        <v>242</v>
      </c>
      <c r="J36" s="70" t="s">
        <v>242</v>
      </c>
      <c r="K36" s="68" t="s">
        <v>242</v>
      </c>
      <c r="L36" s="69">
        <v>4</v>
      </c>
      <c r="M36" s="70" t="s">
        <v>242</v>
      </c>
      <c r="N36" s="70" t="s">
        <v>242</v>
      </c>
      <c r="O36" s="70" t="s">
        <v>242</v>
      </c>
      <c r="P36" s="70" t="s">
        <v>242</v>
      </c>
      <c r="Q36" s="70" t="s">
        <v>242</v>
      </c>
      <c r="R36" s="70" t="s">
        <v>242</v>
      </c>
      <c r="S36" s="70" t="s">
        <v>242</v>
      </c>
      <c r="T36" s="70" t="s">
        <v>242</v>
      </c>
      <c r="U36" s="70" t="s">
        <v>242</v>
      </c>
      <c r="V36" s="69">
        <v>16</v>
      </c>
      <c r="W36" s="70" t="s">
        <v>242</v>
      </c>
      <c r="X36" s="69">
        <v>4</v>
      </c>
      <c r="Y36" s="70" t="s">
        <v>242</v>
      </c>
      <c r="Z36" s="70" t="s">
        <v>242</v>
      </c>
      <c r="AA36" s="70" t="s">
        <v>242</v>
      </c>
      <c r="AB36" s="70" t="s">
        <v>242</v>
      </c>
      <c r="AC36" s="70" t="s">
        <v>242</v>
      </c>
      <c r="AD36" s="70" t="s">
        <v>242</v>
      </c>
      <c r="AE36" s="70" t="s">
        <v>242</v>
      </c>
      <c r="AF36" s="70" t="s">
        <v>242</v>
      </c>
      <c r="AG36" s="70" t="s">
        <v>242</v>
      </c>
      <c r="AH36" s="70" t="s">
        <v>242</v>
      </c>
      <c r="AI36" s="70" t="s">
        <v>242</v>
      </c>
      <c r="AJ36" s="70" t="s">
        <v>242</v>
      </c>
      <c r="AK36" s="70" t="s">
        <v>242</v>
      </c>
      <c r="AL36" s="69">
        <v>16</v>
      </c>
      <c r="AM36" s="65">
        <v>16</v>
      </c>
      <c r="AN36" s="70" t="s">
        <v>242</v>
      </c>
      <c r="AO36" s="69">
        <v>8</v>
      </c>
      <c r="AP36" s="70" t="s">
        <v>242</v>
      </c>
      <c r="AQ36" s="70" t="s">
        <v>242</v>
      </c>
      <c r="AR36" s="70" t="s">
        <v>242</v>
      </c>
      <c r="AS36" s="70" t="s">
        <v>242</v>
      </c>
      <c r="AT36" s="70" t="s">
        <v>242</v>
      </c>
      <c r="AU36" s="70" t="s">
        <v>242</v>
      </c>
      <c r="AV36" s="70" t="s">
        <v>242</v>
      </c>
      <c r="AW36" s="70" t="s">
        <v>242</v>
      </c>
      <c r="AX36" s="69">
        <v>4</v>
      </c>
      <c r="AY36" s="70" t="s">
        <v>242</v>
      </c>
      <c r="AZ36" s="70" t="s">
        <v>242</v>
      </c>
      <c r="BA36" s="59"/>
      <c r="BB36" s="59"/>
      <c r="BC36" s="59"/>
      <c r="BD36" s="59"/>
      <c r="BE36" s="59"/>
      <c r="BF36" s="59"/>
      <c r="BG36" s="69">
        <v>108</v>
      </c>
    </row>
    <row r="37" spans="1:59" ht="12.75" customHeight="1" x14ac:dyDescent="0.25">
      <c r="A37" s="65">
        <v>35</v>
      </c>
      <c r="B37" s="66" t="s">
        <v>245</v>
      </c>
      <c r="C37" s="70" t="s">
        <v>242</v>
      </c>
      <c r="D37" s="69">
        <v>4</v>
      </c>
      <c r="E37" s="68" t="s">
        <v>242</v>
      </c>
      <c r="F37" s="70" t="s">
        <v>242</v>
      </c>
      <c r="G37" s="70" t="s">
        <v>242</v>
      </c>
      <c r="H37" s="65">
        <v>12</v>
      </c>
      <c r="I37" s="70" t="s">
        <v>242</v>
      </c>
      <c r="J37" s="70" t="s">
        <v>242</v>
      </c>
      <c r="K37" s="68" t="s">
        <v>242</v>
      </c>
      <c r="L37" s="67">
        <v>12</v>
      </c>
      <c r="M37" s="70" t="s">
        <v>242</v>
      </c>
      <c r="N37" s="70" t="s">
        <v>242</v>
      </c>
      <c r="O37" s="70" t="s">
        <v>242</v>
      </c>
      <c r="P37" s="69">
        <v>16</v>
      </c>
      <c r="Q37" s="69">
        <v>20</v>
      </c>
      <c r="R37" s="70" t="s">
        <v>242</v>
      </c>
      <c r="S37" s="70" t="s">
        <v>242</v>
      </c>
      <c r="T37" s="70" t="s">
        <v>242</v>
      </c>
      <c r="U37" s="70" t="s">
        <v>242</v>
      </c>
      <c r="V37" s="69">
        <v>28</v>
      </c>
      <c r="W37" s="70" t="s">
        <v>242</v>
      </c>
      <c r="X37" s="69">
        <v>8</v>
      </c>
      <c r="Y37" s="70" t="s">
        <v>242</v>
      </c>
      <c r="Z37" s="70" t="s">
        <v>242</v>
      </c>
      <c r="AA37" s="69">
        <v>12</v>
      </c>
      <c r="AB37" s="70" t="s">
        <v>242</v>
      </c>
      <c r="AC37" s="70" t="s">
        <v>242</v>
      </c>
      <c r="AD37" s="69">
        <v>28</v>
      </c>
      <c r="AE37" s="70" t="s">
        <v>242</v>
      </c>
      <c r="AF37" s="69">
        <v>12</v>
      </c>
      <c r="AG37" s="70" t="s">
        <v>242</v>
      </c>
      <c r="AH37" s="69">
        <v>32</v>
      </c>
      <c r="AI37" s="70" t="s">
        <v>242</v>
      </c>
      <c r="AJ37" s="70" t="s">
        <v>242</v>
      </c>
      <c r="AK37" s="70" t="s">
        <v>242</v>
      </c>
      <c r="AL37" s="69">
        <v>28</v>
      </c>
      <c r="AM37" s="70" t="s">
        <v>242</v>
      </c>
      <c r="AN37" s="70" t="s">
        <v>242</v>
      </c>
      <c r="AO37" s="69">
        <v>4</v>
      </c>
      <c r="AP37" s="70" t="s">
        <v>242</v>
      </c>
      <c r="AQ37" s="70" t="s">
        <v>242</v>
      </c>
      <c r="AR37" s="70" t="s">
        <v>242</v>
      </c>
      <c r="AS37" s="70" t="s">
        <v>242</v>
      </c>
      <c r="AT37" s="70" t="s">
        <v>242</v>
      </c>
      <c r="AU37" s="70" t="s">
        <v>242</v>
      </c>
      <c r="AV37" s="70" t="s">
        <v>242</v>
      </c>
      <c r="AW37" s="70" t="s">
        <v>242</v>
      </c>
      <c r="AX37" s="70" t="s">
        <v>242</v>
      </c>
      <c r="AY37" s="70" t="s">
        <v>242</v>
      </c>
      <c r="AZ37" s="70" t="s">
        <v>242</v>
      </c>
      <c r="BA37" s="59"/>
      <c r="BB37" s="59"/>
      <c r="BC37" s="59"/>
      <c r="BD37" s="59"/>
      <c r="BE37" s="59"/>
      <c r="BF37" s="59"/>
      <c r="BG37" s="69">
        <v>216</v>
      </c>
    </row>
    <row r="38" spans="1:59" ht="12.75" customHeight="1" x14ac:dyDescent="0.25">
      <c r="A38" s="65">
        <v>36</v>
      </c>
      <c r="B38" s="66" t="s">
        <v>246</v>
      </c>
      <c r="C38" s="65">
        <v>16</v>
      </c>
      <c r="D38" s="67">
        <v>28</v>
      </c>
      <c r="E38" s="68" t="s">
        <v>242</v>
      </c>
      <c r="F38" s="69">
        <v>8</v>
      </c>
      <c r="G38" s="70" t="s">
        <v>242</v>
      </c>
      <c r="H38" s="70" t="s">
        <v>242</v>
      </c>
      <c r="I38" s="70" t="s">
        <v>242</v>
      </c>
      <c r="J38" s="70" t="s">
        <v>242</v>
      </c>
      <c r="K38" s="68" t="s">
        <v>242</v>
      </c>
      <c r="L38" s="70" t="s">
        <v>242</v>
      </c>
      <c r="M38" s="70" t="s">
        <v>242</v>
      </c>
      <c r="N38" s="70" t="s">
        <v>242</v>
      </c>
      <c r="O38" s="70" t="s">
        <v>242</v>
      </c>
      <c r="P38" s="70" t="s">
        <v>242</v>
      </c>
      <c r="Q38" s="70" t="s">
        <v>242</v>
      </c>
      <c r="R38" s="70" t="s">
        <v>242</v>
      </c>
      <c r="S38" s="70" t="s">
        <v>242</v>
      </c>
      <c r="T38" s="70" t="s">
        <v>242</v>
      </c>
      <c r="U38" s="69">
        <v>16</v>
      </c>
      <c r="V38" s="70" t="s">
        <v>242</v>
      </c>
      <c r="W38" s="70" t="s">
        <v>242</v>
      </c>
      <c r="X38" s="70" t="s">
        <v>242</v>
      </c>
      <c r="Y38" s="70" t="s">
        <v>242</v>
      </c>
      <c r="Z38" s="69">
        <v>16</v>
      </c>
      <c r="AA38" s="70" t="s">
        <v>242</v>
      </c>
      <c r="AB38" s="70" t="s">
        <v>242</v>
      </c>
      <c r="AC38" s="69">
        <v>16</v>
      </c>
      <c r="AD38" s="70" t="s">
        <v>242</v>
      </c>
      <c r="AE38" s="70" t="s">
        <v>242</v>
      </c>
      <c r="AF38" s="70" t="s">
        <v>242</v>
      </c>
      <c r="AG38" s="70" t="s">
        <v>242</v>
      </c>
      <c r="AH38" s="70" t="s">
        <v>242</v>
      </c>
      <c r="AI38" s="70" t="s">
        <v>242</v>
      </c>
      <c r="AJ38" s="67">
        <v>16</v>
      </c>
      <c r="AK38" s="70" t="s">
        <v>242</v>
      </c>
      <c r="AL38" s="70" t="s">
        <v>242</v>
      </c>
      <c r="AM38" s="70" t="s">
        <v>242</v>
      </c>
      <c r="AN38" s="70" t="s">
        <v>242</v>
      </c>
      <c r="AO38" s="65">
        <v>16</v>
      </c>
      <c r="AP38" s="70" t="s">
        <v>242</v>
      </c>
      <c r="AQ38" s="69">
        <v>16</v>
      </c>
      <c r="AR38" s="70" t="s">
        <v>242</v>
      </c>
      <c r="AS38" s="70" t="s">
        <v>242</v>
      </c>
      <c r="AT38" s="69">
        <v>12</v>
      </c>
      <c r="AU38" s="70" t="s">
        <v>242</v>
      </c>
      <c r="AV38" s="70" t="s">
        <v>242</v>
      </c>
      <c r="AW38" s="69">
        <v>16</v>
      </c>
      <c r="AX38" s="70" t="s">
        <v>242</v>
      </c>
      <c r="AY38" s="70" t="s">
        <v>242</v>
      </c>
      <c r="AZ38" s="70" t="s">
        <v>242</v>
      </c>
      <c r="BA38" s="69">
        <v>4</v>
      </c>
      <c r="BB38" s="59"/>
      <c r="BC38" s="59"/>
      <c r="BD38" s="59"/>
      <c r="BE38" s="59"/>
      <c r="BF38" s="59"/>
      <c r="BG38" s="69">
        <v>180</v>
      </c>
    </row>
    <row r="39" spans="1:59" ht="12.75" customHeight="1" x14ac:dyDescent="0.25">
      <c r="A39" s="65">
        <v>37</v>
      </c>
      <c r="B39" s="66" t="s">
        <v>89</v>
      </c>
      <c r="C39" s="65">
        <v>40</v>
      </c>
      <c r="D39" s="67">
        <v>44</v>
      </c>
      <c r="E39" s="68" t="s">
        <v>242</v>
      </c>
      <c r="F39" s="70" t="s">
        <v>242</v>
      </c>
      <c r="G39" s="70" t="s">
        <v>242</v>
      </c>
      <c r="H39" s="70" t="s">
        <v>242</v>
      </c>
      <c r="I39" s="70" t="s">
        <v>242</v>
      </c>
      <c r="J39" s="70" t="s">
        <v>242</v>
      </c>
      <c r="K39" s="68" t="s">
        <v>242</v>
      </c>
      <c r="L39" s="70" t="s">
        <v>242</v>
      </c>
      <c r="M39" s="70" t="s">
        <v>242</v>
      </c>
      <c r="N39" s="70" t="s">
        <v>242</v>
      </c>
      <c r="O39" s="70" t="s">
        <v>242</v>
      </c>
      <c r="P39" s="70" t="s">
        <v>242</v>
      </c>
      <c r="Q39" s="70" t="s">
        <v>242</v>
      </c>
      <c r="R39" s="70" t="s">
        <v>242</v>
      </c>
      <c r="S39" s="70" t="s">
        <v>242</v>
      </c>
      <c r="T39" s="70" t="s">
        <v>242</v>
      </c>
      <c r="U39" s="70" t="s">
        <v>242</v>
      </c>
      <c r="V39" s="70" t="s">
        <v>242</v>
      </c>
      <c r="W39" s="70" t="s">
        <v>242</v>
      </c>
      <c r="X39" s="70" t="s">
        <v>242</v>
      </c>
      <c r="Y39" s="70" t="s">
        <v>242</v>
      </c>
      <c r="Z39" s="69">
        <v>20</v>
      </c>
      <c r="AA39" s="70" t="s">
        <v>242</v>
      </c>
      <c r="AB39" s="70" t="s">
        <v>242</v>
      </c>
      <c r="AC39" s="69">
        <v>28</v>
      </c>
      <c r="AD39" s="70" t="s">
        <v>242</v>
      </c>
      <c r="AE39" s="70" t="s">
        <v>242</v>
      </c>
      <c r="AF39" s="70" t="s">
        <v>242</v>
      </c>
      <c r="AG39" s="70" t="s">
        <v>242</v>
      </c>
      <c r="AH39" s="70" t="s">
        <v>242</v>
      </c>
      <c r="AI39" s="69">
        <v>12</v>
      </c>
      <c r="AJ39" s="70" t="s">
        <v>242</v>
      </c>
      <c r="AK39" s="70" t="s">
        <v>242</v>
      </c>
      <c r="AL39" s="70" t="s">
        <v>242</v>
      </c>
      <c r="AM39" s="65">
        <v>16</v>
      </c>
      <c r="AN39" s="70" t="s">
        <v>242</v>
      </c>
      <c r="AO39" s="70" t="s">
        <v>242</v>
      </c>
      <c r="AP39" s="70" t="s">
        <v>242</v>
      </c>
      <c r="AQ39" s="70" t="s">
        <v>242</v>
      </c>
      <c r="AR39" s="70" t="s">
        <v>242</v>
      </c>
      <c r="AS39" s="70" t="s">
        <v>242</v>
      </c>
      <c r="AT39" s="70" t="s">
        <v>242</v>
      </c>
      <c r="AU39" s="70" t="s">
        <v>242</v>
      </c>
      <c r="AV39" s="70" t="s">
        <v>242</v>
      </c>
      <c r="AW39" s="70" t="s">
        <v>242</v>
      </c>
      <c r="AX39" s="70" t="s">
        <v>242</v>
      </c>
      <c r="AY39" s="70" t="s">
        <v>242</v>
      </c>
      <c r="AZ39" s="70" t="s">
        <v>242</v>
      </c>
      <c r="BA39" s="59"/>
      <c r="BB39" s="59"/>
      <c r="BC39" s="59"/>
      <c r="BD39" s="59"/>
      <c r="BE39" s="69">
        <v>4</v>
      </c>
      <c r="BF39" s="59"/>
      <c r="BG39" s="69">
        <v>164</v>
      </c>
    </row>
    <row r="40" spans="1:59" ht="12.75" customHeight="1" x14ac:dyDescent="0.25">
      <c r="A40" s="59"/>
      <c r="B40" s="66" t="s">
        <v>13</v>
      </c>
      <c r="C40" s="65">
        <v>428</v>
      </c>
      <c r="D40" s="67">
        <v>1168</v>
      </c>
      <c r="E40" s="65">
        <v>92</v>
      </c>
      <c r="F40" s="67">
        <v>300</v>
      </c>
      <c r="G40" s="65">
        <v>36</v>
      </c>
      <c r="H40" s="65">
        <v>404</v>
      </c>
      <c r="I40" s="67">
        <v>130</v>
      </c>
      <c r="J40" s="65">
        <v>510</v>
      </c>
      <c r="K40" s="65">
        <v>32</v>
      </c>
      <c r="L40" s="67">
        <v>208</v>
      </c>
      <c r="M40" s="69">
        <v>8</v>
      </c>
      <c r="N40" s="69">
        <v>196</v>
      </c>
      <c r="O40" s="65">
        <v>16</v>
      </c>
      <c r="P40" s="69">
        <v>144</v>
      </c>
      <c r="Q40" s="69">
        <v>200</v>
      </c>
      <c r="R40" s="69">
        <v>104</v>
      </c>
      <c r="S40" s="69">
        <v>152</v>
      </c>
      <c r="T40" s="69">
        <v>112</v>
      </c>
      <c r="U40" s="69">
        <v>64</v>
      </c>
      <c r="V40" s="69">
        <v>336</v>
      </c>
      <c r="W40" s="69">
        <v>32</v>
      </c>
      <c r="X40" s="69">
        <v>80</v>
      </c>
      <c r="Y40" s="69">
        <v>52</v>
      </c>
      <c r="Z40" s="69">
        <v>260</v>
      </c>
      <c r="AA40" s="69">
        <v>132</v>
      </c>
      <c r="AB40" s="69">
        <v>16</v>
      </c>
      <c r="AC40" s="69">
        <v>292</v>
      </c>
      <c r="AD40" s="69">
        <v>300</v>
      </c>
      <c r="AE40" s="69">
        <v>124</v>
      </c>
      <c r="AF40" s="69">
        <v>100</v>
      </c>
      <c r="AG40" s="69">
        <v>100</v>
      </c>
      <c r="AH40" s="69">
        <v>464</v>
      </c>
      <c r="AI40" s="69">
        <v>128</v>
      </c>
      <c r="AJ40" s="65">
        <v>128</v>
      </c>
      <c r="AK40" s="65">
        <v>124</v>
      </c>
      <c r="AL40" s="69">
        <v>576</v>
      </c>
      <c r="AM40" s="65">
        <v>388</v>
      </c>
      <c r="AN40" s="69">
        <v>72</v>
      </c>
      <c r="AO40" s="65">
        <v>468</v>
      </c>
      <c r="AP40" s="69">
        <v>88</v>
      </c>
      <c r="AQ40" s="69">
        <v>136</v>
      </c>
      <c r="AR40" s="69">
        <v>116</v>
      </c>
      <c r="AS40" s="69">
        <v>140</v>
      </c>
      <c r="AT40" s="69">
        <v>80</v>
      </c>
      <c r="AU40" s="69">
        <v>40</v>
      </c>
      <c r="AV40" s="69">
        <v>48</v>
      </c>
      <c r="AW40" s="69">
        <v>156</v>
      </c>
      <c r="AX40" s="65">
        <v>122</v>
      </c>
      <c r="AY40" s="65">
        <v>122</v>
      </c>
      <c r="AZ40" s="69">
        <v>20</v>
      </c>
      <c r="BA40" s="69">
        <v>20</v>
      </c>
      <c r="BB40" s="69">
        <v>20</v>
      </c>
      <c r="BC40" s="69">
        <v>20</v>
      </c>
      <c r="BD40" s="69">
        <v>80</v>
      </c>
      <c r="BE40" s="69">
        <v>20</v>
      </c>
      <c r="BF40" s="69">
        <v>20</v>
      </c>
      <c r="BG40" s="69">
        <v>9724</v>
      </c>
    </row>
    <row r="41" spans="1:59" ht="12.75" customHeight="1" x14ac:dyDescent="0.3"/>
    <row r="42" spans="1:59" ht="12.75" customHeight="1" x14ac:dyDescent="0.3"/>
    <row r="43" spans="1:59" ht="12.75" customHeight="1" x14ac:dyDescent="0.3"/>
    <row r="44" spans="1:59" ht="12.75" customHeight="1" x14ac:dyDescent="0.3"/>
    <row r="45" spans="1:59" ht="12.75" customHeight="1" x14ac:dyDescent="0.3"/>
    <row r="46" spans="1:59" ht="12.75" customHeight="1" x14ac:dyDescent="0.3"/>
    <row r="47" spans="1:59" ht="12.75" customHeight="1" x14ac:dyDescent="0.3"/>
    <row r="48" spans="1:59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</sheetData>
  <mergeCells count="3">
    <mergeCell ref="BG1:BG2"/>
    <mergeCell ref="A1:A2"/>
    <mergeCell ref="B1:B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C11E-19A7-456C-9543-60867D292F42}">
  <sheetPr>
    <tabColor rgb="FF00B0F0"/>
  </sheetPr>
  <dimension ref="A1:AZ45"/>
  <sheetViews>
    <sheetView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5" sqref="A15:XFD15"/>
    </sheetView>
  </sheetViews>
  <sheetFormatPr defaultColWidth="7.44140625" defaultRowHeight="13.2" x14ac:dyDescent="0.25"/>
  <cols>
    <col min="1" max="1" width="7.44140625" style="8"/>
    <col min="2" max="2" width="20.109375" style="8" bestFit="1" customWidth="1"/>
    <col min="3" max="16384" width="7.44140625" style="8"/>
  </cols>
  <sheetData>
    <row r="1" spans="1:52" ht="15" x14ac:dyDescent="0.25">
      <c r="A1" s="114" t="s">
        <v>228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</row>
    <row r="2" spans="1:52" ht="48.6" x14ac:dyDescent="0.25">
      <c r="A2" s="108" t="s">
        <v>30</v>
      </c>
      <c r="B2" s="110" t="s">
        <v>28</v>
      </c>
      <c r="C2" s="13" t="s">
        <v>174</v>
      </c>
      <c r="D2" s="13" t="s">
        <v>231</v>
      </c>
      <c r="E2" s="13" t="s">
        <v>231</v>
      </c>
      <c r="F2" s="13" t="s">
        <v>175</v>
      </c>
      <c r="G2" s="13" t="s">
        <v>31</v>
      </c>
      <c r="H2" s="13" t="s">
        <v>31</v>
      </c>
      <c r="I2" s="13" t="s">
        <v>32</v>
      </c>
      <c r="J2" s="13" t="s">
        <v>32</v>
      </c>
      <c r="K2" s="13" t="s">
        <v>33</v>
      </c>
      <c r="L2" s="13" t="s">
        <v>33</v>
      </c>
      <c r="M2" s="13" t="s">
        <v>34</v>
      </c>
      <c r="N2" s="13" t="s">
        <v>34</v>
      </c>
      <c r="O2" s="13" t="s">
        <v>176</v>
      </c>
      <c r="P2" s="13" t="s">
        <v>176</v>
      </c>
      <c r="Q2" s="13" t="s">
        <v>177</v>
      </c>
      <c r="R2" s="13" t="s">
        <v>35</v>
      </c>
      <c r="S2" s="13" t="s">
        <v>35</v>
      </c>
      <c r="T2" s="13" t="s">
        <v>36</v>
      </c>
      <c r="U2" s="13" t="s">
        <v>36</v>
      </c>
      <c r="V2" s="13" t="s">
        <v>37</v>
      </c>
      <c r="W2" s="13" t="s">
        <v>38</v>
      </c>
      <c r="X2" s="13" t="s">
        <v>38</v>
      </c>
      <c r="Y2" s="13" t="s">
        <v>39</v>
      </c>
      <c r="Z2" s="13" t="s">
        <v>39</v>
      </c>
      <c r="AA2" s="13" t="s">
        <v>40</v>
      </c>
      <c r="AB2" s="13" t="s">
        <v>41</v>
      </c>
      <c r="AC2" s="13" t="s">
        <v>41</v>
      </c>
      <c r="AD2" s="13" t="s">
        <v>42</v>
      </c>
      <c r="AE2" s="13" t="s">
        <v>43</v>
      </c>
      <c r="AF2" s="13" t="s">
        <v>44</v>
      </c>
      <c r="AG2" s="13" t="s">
        <v>45</v>
      </c>
      <c r="AH2" s="13" t="s">
        <v>45</v>
      </c>
      <c r="AI2" s="13" t="s">
        <v>46</v>
      </c>
      <c r="AJ2" s="13" t="s">
        <v>46</v>
      </c>
      <c r="AK2" s="13" t="s">
        <v>47</v>
      </c>
      <c r="AL2" s="13" t="s">
        <v>47</v>
      </c>
      <c r="AM2" s="13" t="s">
        <v>48</v>
      </c>
      <c r="AN2" s="13" t="s">
        <v>48</v>
      </c>
      <c r="AO2" s="13" t="s">
        <v>49</v>
      </c>
      <c r="AP2" s="13" t="s">
        <v>50</v>
      </c>
      <c r="AQ2" s="13" t="s">
        <v>50</v>
      </c>
      <c r="AR2" s="13" t="s">
        <v>51</v>
      </c>
      <c r="AS2" s="13" t="s">
        <v>51</v>
      </c>
      <c r="AT2" s="13" t="s">
        <v>52</v>
      </c>
      <c r="AU2" s="13" t="s">
        <v>52</v>
      </c>
      <c r="AV2" s="13" t="s">
        <v>53</v>
      </c>
      <c r="AW2" s="13" t="s">
        <v>53</v>
      </c>
      <c r="AX2" s="13" t="s">
        <v>54</v>
      </c>
      <c r="AY2" s="13" t="s">
        <v>55</v>
      </c>
      <c r="AZ2" s="112" t="s">
        <v>56</v>
      </c>
    </row>
    <row r="3" spans="1:52" x14ac:dyDescent="0.25">
      <c r="A3" s="109"/>
      <c r="B3" s="111"/>
      <c r="C3" s="14" t="s">
        <v>178</v>
      </c>
      <c r="D3" s="14" t="s">
        <v>179</v>
      </c>
      <c r="E3" s="14" t="s">
        <v>239</v>
      </c>
      <c r="F3" s="14" t="s">
        <v>180</v>
      </c>
      <c r="G3" s="14" t="s">
        <v>181</v>
      </c>
      <c r="H3" s="14" t="s">
        <v>182</v>
      </c>
      <c r="I3" s="14" t="s">
        <v>183</v>
      </c>
      <c r="J3" s="14" t="s">
        <v>184</v>
      </c>
      <c r="K3" s="14" t="s">
        <v>185</v>
      </c>
      <c r="L3" s="14" t="s">
        <v>186</v>
      </c>
      <c r="M3" s="14" t="s">
        <v>187</v>
      </c>
      <c r="N3" s="14" t="s">
        <v>188</v>
      </c>
      <c r="O3" s="14" t="s">
        <v>189</v>
      </c>
      <c r="P3" s="14" t="s">
        <v>190</v>
      </c>
      <c r="Q3" s="14" t="s">
        <v>191</v>
      </c>
      <c r="R3" s="14" t="s">
        <v>192</v>
      </c>
      <c r="S3" s="14" t="s">
        <v>193</v>
      </c>
      <c r="T3" s="14" t="s">
        <v>194</v>
      </c>
      <c r="U3" s="14" t="s">
        <v>195</v>
      </c>
      <c r="V3" s="14" t="s">
        <v>196</v>
      </c>
      <c r="W3" s="14" t="s">
        <v>197</v>
      </c>
      <c r="X3" s="14" t="s">
        <v>198</v>
      </c>
      <c r="Y3" s="14" t="s">
        <v>199</v>
      </c>
      <c r="Z3" s="14" t="s">
        <v>200</v>
      </c>
      <c r="AA3" s="14" t="s">
        <v>201</v>
      </c>
      <c r="AB3" s="14" t="s">
        <v>202</v>
      </c>
      <c r="AC3" s="14" t="s">
        <v>203</v>
      </c>
      <c r="AD3" s="14" t="s">
        <v>204</v>
      </c>
      <c r="AE3" s="14" t="s">
        <v>205</v>
      </c>
      <c r="AF3" s="14" t="s">
        <v>206</v>
      </c>
      <c r="AG3" s="14" t="s">
        <v>207</v>
      </c>
      <c r="AH3" s="14" t="s">
        <v>208</v>
      </c>
      <c r="AI3" s="14" t="s">
        <v>209</v>
      </c>
      <c r="AJ3" s="14" t="s">
        <v>210</v>
      </c>
      <c r="AK3" s="14" t="s">
        <v>211</v>
      </c>
      <c r="AL3" s="14" t="s">
        <v>212</v>
      </c>
      <c r="AM3" s="14" t="s">
        <v>213</v>
      </c>
      <c r="AN3" s="14" t="s">
        <v>214</v>
      </c>
      <c r="AO3" s="14" t="s">
        <v>215</v>
      </c>
      <c r="AP3" s="14" t="s">
        <v>216</v>
      </c>
      <c r="AQ3" s="14" t="s">
        <v>217</v>
      </c>
      <c r="AR3" s="14" t="s">
        <v>218</v>
      </c>
      <c r="AS3" s="14" t="s">
        <v>219</v>
      </c>
      <c r="AT3" s="14" t="s">
        <v>220</v>
      </c>
      <c r="AU3" s="14" t="s">
        <v>221</v>
      </c>
      <c r="AV3" s="14" t="s">
        <v>222</v>
      </c>
      <c r="AW3" s="14" t="s">
        <v>223</v>
      </c>
      <c r="AX3" s="14" t="s">
        <v>224</v>
      </c>
      <c r="AY3" s="14" t="s">
        <v>225</v>
      </c>
      <c r="AZ3" s="113"/>
    </row>
    <row r="4" spans="1:52" x14ac:dyDescent="0.25">
      <c r="A4" s="14">
        <v>1</v>
      </c>
      <c r="B4" s="14" t="s">
        <v>57</v>
      </c>
      <c r="C4" s="15">
        <v>20</v>
      </c>
      <c r="D4" s="15">
        <v>20</v>
      </c>
      <c r="E4" s="16" t="s">
        <v>145</v>
      </c>
      <c r="F4" s="15">
        <v>8</v>
      </c>
      <c r="G4" s="16" t="s">
        <v>145</v>
      </c>
      <c r="H4" s="16" t="s">
        <v>145</v>
      </c>
      <c r="I4" s="16" t="s">
        <v>145</v>
      </c>
      <c r="J4" s="16" t="s">
        <v>145</v>
      </c>
      <c r="K4" s="16" t="s">
        <v>145</v>
      </c>
      <c r="L4" s="16" t="s">
        <v>145</v>
      </c>
      <c r="M4" s="16" t="s">
        <v>145</v>
      </c>
      <c r="N4" s="16" t="s">
        <v>145</v>
      </c>
      <c r="O4" s="16" t="s">
        <v>145</v>
      </c>
      <c r="P4" s="16" t="s">
        <v>145</v>
      </c>
      <c r="Q4" s="16" t="s">
        <v>145</v>
      </c>
      <c r="R4" s="16" t="s">
        <v>145</v>
      </c>
      <c r="S4" s="16" t="s">
        <v>145</v>
      </c>
      <c r="T4" s="16" t="s">
        <v>145</v>
      </c>
      <c r="U4" s="16" t="s">
        <v>145</v>
      </c>
      <c r="V4" s="16" t="s">
        <v>145</v>
      </c>
      <c r="W4" s="16" t="s">
        <v>145</v>
      </c>
      <c r="X4" s="16" t="s">
        <v>145</v>
      </c>
      <c r="Y4" s="16" t="s">
        <v>145</v>
      </c>
      <c r="Z4" s="16" t="s">
        <v>145</v>
      </c>
      <c r="AA4" s="16" t="s">
        <v>145</v>
      </c>
      <c r="AB4" s="16" t="s">
        <v>145</v>
      </c>
      <c r="AC4" s="16" t="s">
        <v>145</v>
      </c>
      <c r="AD4" s="16" t="s">
        <v>145</v>
      </c>
      <c r="AE4" s="16" t="s">
        <v>145</v>
      </c>
      <c r="AF4" s="16" t="s">
        <v>145</v>
      </c>
      <c r="AG4" s="16" t="s">
        <v>145</v>
      </c>
      <c r="AH4" s="16" t="s">
        <v>145</v>
      </c>
      <c r="AI4" s="16" t="s">
        <v>145</v>
      </c>
      <c r="AJ4" s="16" t="s">
        <v>145</v>
      </c>
      <c r="AK4" s="15">
        <v>12</v>
      </c>
      <c r="AL4" s="16" t="s">
        <v>145</v>
      </c>
      <c r="AM4" s="15">
        <v>4</v>
      </c>
      <c r="AN4" s="16" t="s">
        <v>145</v>
      </c>
      <c r="AO4" s="15">
        <v>4</v>
      </c>
      <c r="AP4" s="15">
        <v>8</v>
      </c>
      <c r="AQ4" s="16" t="s">
        <v>145</v>
      </c>
      <c r="AR4" s="16" t="s">
        <v>145</v>
      </c>
      <c r="AS4" s="16" t="s">
        <v>145</v>
      </c>
      <c r="AT4" s="16" t="s">
        <v>145</v>
      </c>
      <c r="AU4" s="16" t="s">
        <v>145</v>
      </c>
      <c r="AV4" s="16" t="s">
        <v>145</v>
      </c>
      <c r="AW4" s="16" t="s">
        <v>145</v>
      </c>
      <c r="AX4" s="16" t="s">
        <v>145</v>
      </c>
      <c r="AY4" s="16" t="s">
        <v>145</v>
      </c>
      <c r="AZ4" s="16">
        <f>SUM(C4:AY4)</f>
        <v>76</v>
      </c>
    </row>
    <row r="5" spans="1:52" x14ac:dyDescent="0.25">
      <c r="A5" s="14">
        <v>2</v>
      </c>
      <c r="B5" s="14" t="s">
        <v>58</v>
      </c>
      <c r="C5" s="15">
        <v>36</v>
      </c>
      <c r="D5" s="15">
        <v>52</v>
      </c>
      <c r="E5" s="16" t="s">
        <v>145</v>
      </c>
      <c r="F5" s="15">
        <v>20</v>
      </c>
      <c r="G5" s="16" t="s">
        <v>145</v>
      </c>
      <c r="H5" s="16" t="s">
        <v>145</v>
      </c>
      <c r="I5" s="16" t="s">
        <v>145</v>
      </c>
      <c r="J5" s="16" t="s">
        <v>145</v>
      </c>
      <c r="K5" s="16" t="s">
        <v>145</v>
      </c>
      <c r="L5" s="16" t="s">
        <v>145</v>
      </c>
      <c r="M5" s="16" t="s">
        <v>145</v>
      </c>
      <c r="N5" s="16" t="s">
        <v>145</v>
      </c>
      <c r="O5" s="16" t="s">
        <v>145</v>
      </c>
      <c r="P5" s="16" t="s">
        <v>145</v>
      </c>
      <c r="Q5" s="16" t="s">
        <v>145</v>
      </c>
      <c r="R5" s="16" t="s">
        <v>145</v>
      </c>
      <c r="S5" s="16" t="s">
        <v>145</v>
      </c>
      <c r="T5" s="16" t="s">
        <v>145</v>
      </c>
      <c r="U5" s="16" t="s">
        <v>145</v>
      </c>
      <c r="V5" s="16" t="s">
        <v>145</v>
      </c>
      <c r="W5" s="16" t="s">
        <v>145</v>
      </c>
      <c r="X5" s="16" t="s">
        <v>145</v>
      </c>
      <c r="Y5" s="16" t="s">
        <v>145</v>
      </c>
      <c r="Z5" s="16" t="s">
        <v>145</v>
      </c>
      <c r="AA5" s="16" t="s">
        <v>145</v>
      </c>
      <c r="AB5" s="15">
        <v>16</v>
      </c>
      <c r="AC5" s="16" t="s">
        <v>145</v>
      </c>
      <c r="AD5" s="16" t="s">
        <v>145</v>
      </c>
      <c r="AE5" s="16" t="s">
        <v>145</v>
      </c>
      <c r="AF5" s="16" t="s">
        <v>145</v>
      </c>
      <c r="AG5" s="16" t="s">
        <v>145</v>
      </c>
      <c r="AH5" s="16" t="s">
        <v>145</v>
      </c>
      <c r="AI5" s="16" t="s">
        <v>145</v>
      </c>
      <c r="AJ5" s="16" t="s">
        <v>145</v>
      </c>
      <c r="AK5" s="16" t="s">
        <v>145</v>
      </c>
      <c r="AL5" s="16" t="s">
        <v>145</v>
      </c>
      <c r="AM5" s="15">
        <v>16</v>
      </c>
      <c r="AN5" s="16" t="s">
        <v>145</v>
      </c>
      <c r="AO5" s="15">
        <v>16</v>
      </c>
      <c r="AP5" s="16" t="s">
        <v>145</v>
      </c>
      <c r="AQ5" s="16" t="s">
        <v>145</v>
      </c>
      <c r="AR5" s="16" t="s">
        <v>145</v>
      </c>
      <c r="AS5" s="16" t="s">
        <v>145</v>
      </c>
      <c r="AT5" s="16" t="s">
        <v>145</v>
      </c>
      <c r="AU5" s="16" t="s">
        <v>145</v>
      </c>
      <c r="AV5" s="16" t="s">
        <v>145</v>
      </c>
      <c r="AW5" s="16" t="s">
        <v>145</v>
      </c>
      <c r="AX5" s="16" t="s">
        <v>145</v>
      </c>
      <c r="AY5" s="16" t="s">
        <v>145</v>
      </c>
      <c r="AZ5" s="16">
        <f t="shared" ref="AZ5:AZ41" si="0">SUM(C5:AY5)</f>
        <v>156</v>
      </c>
    </row>
    <row r="6" spans="1:52" x14ac:dyDescent="0.25">
      <c r="A6" s="14">
        <v>3</v>
      </c>
      <c r="B6" s="14" t="s">
        <v>59</v>
      </c>
      <c r="C6" s="15">
        <v>48</v>
      </c>
      <c r="D6" s="15">
        <v>84</v>
      </c>
      <c r="E6" s="16" t="s">
        <v>145</v>
      </c>
      <c r="F6" s="15">
        <v>16</v>
      </c>
      <c r="G6" s="16" t="s">
        <v>145</v>
      </c>
      <c r="H6" s="16" t="s">
        <v>145</v>
      </c>
      <c r="I6" s="16" t="s">
        <v>145</v>
      </c>
      <c r="J6" s="16" t="s">
        <v>145</v>
      </c>
      <c r="K6" s="15">
        <v>20</v>
      </c>
      <c r="L6" s="15">
        <v>16</v>
      </c>
      <c r="M6" s="16" t="s">
        <v>145</v>
      </c>
      <c r="N6" s="16">
        <v>8</v>
      </c>
      <c r="O6" s="16" t="s">
        <v>145</v>
      </c>
      <c r="P6" s="16" t="s">
        <v>145</v>
      </c>
      <c r="Q6" s="16" t="s">
        <v>145</v>
      </c>
      <c r="R6" s="16" t="s">
        <v>145</v>
      </c>
      <c r="S6" s="15">
        <v>16</v>
      </c>
      <c r="T6" s="16" t="s">
        <v>145</v>
      </c>
      <c r="U6" s="16" t="s">
        <v>145</v>
      </c>
      <c r="V6" s="16" t="s">
        <v>145</v>
      </c>
      <c r="W6" s="16" t="s">
        <v>145</v>
      </c>
      <c r="X6" s="16" t="s">
        <v>145</v>
      </c>
      <c r="Y6" s="16" t="s">
        <v>145</v>
      </c>
      <c r="Z6" s="15">
        <v>28</v>
      </c>
      <c r="AA6" s="16" t="s">
        <v>145</v>
      </c>
      <c r="AB6" s="16" t="s">
        <v>145</v>
      </c>
      <c r="AC6" s="15">
        <v>20</v>
      </c>
      <c r="AD6" s="16" t="s">
        <v>145</v>
      </c>
      <c r="AE6" s="15">
        <v>48</v>
      </c>
      <c r="AF6" s="16" t="s">
        <v>145</v>
      </c>
      <c r="AG6" s="16" t="s">
        <v>145</v>
      </c>
      <c r="AH6" s="15">
        <v>36</v>
      </c>
      <c r="AI6" s="16" t="s">
        <v>145</v>
      </c>
      <c r="AJ6" s="16" t="s">
        <v>145</v>
      </c>
      <c r="AK6" s="16">
        <v>16</v>
      </c>
      <c r="AL6" s="15"/>
      <c r="AM6" s="15">
        <v>16</v>
      </c>
      <c r="AN6" s="16" t="s">
        <v>145</v>
      </c>
      <c r="AO6" s="15">
        <v>32</v>
      </c>
      <c r="AP6" s="16" t="s">
        <v>145</v>
      </c>
      <c r="AQ6" s="15">
        <v>16</v>
      </c>
      <c r="AR6" s="15">
        <v>16</v>
      </c>
      <c r="AS6" s="16" t="s">
        <v>145</v>
      </c>
      <c r="AT6" s="16" t="s">
        <v>145</v>
      </c>
      <c r="AU6" s="16" t="s">
        <v>145</v>
      </c>
      <c r="AV6" s="16" t="s">
        <v>145</v>
      </c>
      <c r="AW6" s="16" t="s">
        <v>145</v>
      </c>
      <c r="AX6" s="16" t="s">
        <v>145</v>
      </c>
      <c r="AY6" s="16" t="s">
        <v>145</v>
      </c>
      <c r="AZ6" s="16">
        <f t="shared" si="0"/>
        <v>436</v>
      </c>
    </row>
    <row r="7" spans="1:52" x14ac:dyDescent="0.25">
      <c r="A7" s="14">
        <v>4</v>
      </c>
      <c r="B7" s="14" t="s">
        <v>60</v>
      </c>
      <c r="C7" s="15">
        <v>24</v>
      </c>
      <c r="D7" s="15">
        <v>52</v>
      </c>
      <c r="E7" s="16" t="s">
        <v>145</v>
      </c>
      <c r="F7" s="15">
        <v>8</v>
      </c>
      <c r="G7" s="16" t="s">
        <v>145</v>
      </c>
      <c r="H7" s="16" t="s">
        <v>145</v>
      </c>
      <c r="I7" s="16" t="s">
        <v>145</v>
      </c>
      <c r="J7" s="16" t="s">
        <v>145</v>
      </c>
      <c r="K7" s="15">
        <v>12</v>
      </c>
      <c r="L7" s="15">
        <v>48</v>
      </c>
      <c r="M7" s="16" t="s">
        <v>145</v>
      </c>
      <c r="N7" s="16" t="s">
        <v>145</v>
      </c>
      <c r="O7" s="16" t="s">
        <v>145</v>
      </c>
      <c r="P7" s="16" t="s">
        <v>145</v>
      </c>
      <c r="Q7" s="15">
        <v>20</v>
      </c>
      <c r="R7" s="16" t="s">
        <v>145</v>
      </c>
      <c r="S7" s="16" t="s">
        <v>145</v>
      </c>
      <c r="T7" s="16" t="s">
        <v>145</v>
      </c>
      <c r="U7" s="16" t="s">
        <v>145</v>
      </c>
      <c r="V7" s="16" t="s">
        <v>145</v>
      </c>
      <c r="W7" s="16" t="s">
        <v>145</v>
      </c>
      <c r="X7" s="15">
        <v>16</v>
      </c>
      <c r="Y7" s="15">
        <v>24</v>
      </c>
      <c r="Z7" s="15">
        <v>8</v>
      </c>
      <c r="AA7" s="16" t="s">
        <v>145</v>
      </c>
      <c r="AB7" s="16" t="s">
        <v>145</v>
      </c>
      <c r="AC7" s="16" t="s">
        <v>145</v>
      </c>
      <c r="AD7" s="16" t="s">
        <v>145</v>
      </c>
      <c r="AE7" s="16" t="s">
        <v>145</v>
      </c>
      <c r="AF7" s="16" t="s">
        <v>145</v>
      </c>
      <c r="AG7" s="16" t="s">
        <v>145</v>
      </c>
      <c r="AH7" s="16" t="s">
        <v>145</v>
      </c>
      <c r="AI7" s="16" t="s">
        <v>145</v>
      </c>
      <c r="AJ7" s="16" t="s">
        <v>145</v>
      </c>
      <c r="AK7" s="15">
        <v>12</v>
      </c>
      <c r="AL7" s="15">
        <v>36</v>
      </c>
      <c r="AM7" s="15">
        <v>28</v>
      </c>
      <c r="AN7" s="16" t="s">
        <v>145</v>
      </c>
      <c r="AO7" s="15">
        <v>24</v>
      </c>
      <c r="AP7" s="16" t="s">
        <v>145</v>
      </c>
      <c r="AQ7" s="16" t="s">
        <v>145</v>
      </c>
      <c r="AR7" s="15">
        <v>8</v>
      </c>
      <c r="AS7" s="15">
        <v>8</v>
      </c>
      <c r="AT7" s="16" t="s">
        <v>145</v>
      </c>
      <c r="AU7" s="16" t="s">
        <v>145</v>
      </c>
      <c r="AV7" s="16" t="s">
        <v>145</v>
      </c>
      <c r="AW7" s="16" t="s">
        <v>145</v>
      </c>
      <c r="AX7" s="16" t="s">
        <v>145</v>
      </c>
      <c r="AY7" s="16" t="s">
        <v>145</v>
      </c>
      <c r="AZ7" s="16">
        <f t="shared" si="0"/>
        <v>328</v>
      </c>
    </row>
    <row r="8" spans="1:52" x14ac:dyDescent="0.25">
      <c r="A8" s="14">
        <v>5</v>
      </c>
      <c r="B8" s="14" t="s">
        <v>61</v>
      </c>
      <c r="C8" s="16" t="s">
        <v>145</v>
      </c>
      <c r="D8" s="16" t="s">
        <v>145</v>
      </c>
      <c r="E8" s="16" t="s">
        <v>145</v>
      </c>
      <c r="F8" s="16">
        <v>4</v>
      </c>
      <c r="G8" s="16" t="s">
        <v>145</v>
      </c>
      <c r="H8" s="15">
        <v>4</v>
      </c>
      <c r="I8" s="16" t="s">
        <v>145</v>
      </c>
      <c r="J8" s="16" t="s">
        <v>145</v>
      </c>
      <c r="K8" s="16" t="s">
        <v>145</v>
      </c>
      <c r="L8" s="15">
        <v>4</v>
      </c>
      <c r="M8" s="16" t="s">
        <v>145</v>
      </c>
      <c r="N8" s="16" t="s">
        <v>145</v>
      </c>
      <c r="O8" s="16" t="s">
        <v>145</v>
      </c>
      <c r="P8" s="16" t="s">
        <v>145</v>
      </c>
      <c r="Q8" s="15">
        <v>20</v>
      </c>
      <c r="R8" s="16" t="s">
        <v>145</v>
      </c>
      <c r="S8" s="16" t="s">
        <v>145</v>
      </c>
      <c r="T8" s="16" t="s">
        <v>145</v>
      </c>
      <c r="U8" s="16" t="s">
        <v>145</v>
      </c>
      <c r="V8" s="15">
        <v>36</v>
      </c>
      <c r="W8" s="16" t="s">
        <v>145</v>
      </c>
      <c r="X8" s="15">
        <v>4</v>
      </c>
      <c r="Y8" s="16" t="s">
        <v>145</v>
      </c>
      <c r="Z8" s="16" t="s">
        <v>145</v>
      </c>
      <c r="AA8" s="15">
        <v>4</v>
      </c>
      <c r="AB8" s="16" t="s">
        <v>145</v>
      </c>
      <c r="AC8" s="16" t="s">
        <v>145</v>
      </c>
      <c r="AD8" s="15">
        <v>10</v>
      </c>
      <c r="AE8" s="16" t="s">
        <v>145</v>
      </c>
      <c r="AF8" s="15">
        <v>4</v>
      </c>
      <c r="AG8" s="16" t="s">
        <v>145</v>
      </c>
      <c r="AH8" s="15">
        <v>4</v>
      </c>
      <c r="AI8" s="16" t="s">
        <v>145</v>
      </c>
      <c r="AJ8" s="16" t="s">
        <v>145</v>
      </c>
      <c r="AK8" s="16" t="s">
        <v>145</v>
      </c>
      <c r="AL8" s="15">
        <v>28</v>
      </c>
      <c r="AM8" s="16" t="s">
        <v>145</v>
      </c>
      <c r="AN8" s="16" t="s">
        <v>145</v>
      </c>
      <c r="AO8" s="15">
        <v>4</v>
      </c>
      <c r="AP8" s="16" t="s">
        <v>145</v>
      </c>
      <c r="AQ8" s="16" t="s">
        <v>145</v>
      </c>
      <c r="AR8" s="16" t="s">
        <v>145</v>
      </c>
      <c r="AS8" s="16" t="s">
        <v>145</v>
      </c>
      <c r="AT8" s="16" t="s">
        <v>145</v>
      </c>
      <c r="AU8" s="16" t="s">
        <v>145</v>
      </c>
      <c r="AV8" s="16" t="s">
        <v>145</v>
      </c>
      <c r="AW8" s="16" t="s">
        <v>145</v>
      </c>
      <c r="AX8" s="16">
        <v>6</v>
      </c>
      <c r="AY8" s="16" t="s">
        <v>145</v>
      </c>
      <c r="AZ8" s="16">
        <f t="shared" si="0"/>
        <v>132</v>
      </c>
    </row>
    <row r="9" spans="1:52" x14ac:dyDescent="0.25">
      <c r="A9" s="14">
        <v>6</v>
      </c>
      <c r="B9" s="14" t="s">
        <v>62</v>
      </c>
      <c r="C9" s="15">
        <v>24</v>
      </c>
      <c r="D9" s="15">
        <v>52</v>
      </c>
      <c r="E9" s="16" t="s">
        <v>145</v>
      </c>
      <c r="F9" s="15">
        <v>20</v>
      </c>
      <c r="G9" s="16" t="s">
        <v>145</v>
      </c>
      <c r="H9" s="16" t="s">
        <v>145</v>
      </c>
      <c r="I9" s="16" t="s">
        <v>145</v>
      </c>
      <c r="J9" s="16" t="s">
        <v>145</v>
      </c>
      <c r="K9" s="16" t="s">
        <v>145</v>
      </c>
      <c r="L9" s="15">
        <v>44</v>
      </c>
      <c r="M9" s="16" t="s">
        <v>145</v>
      </c>
      <c r="N9" s="16" t="s">
        <v>145</v>
      </c>
      <c r="O9" s="16" t="s">
        <v>145</v>
      </c>
      <c r="P9" s="16" t="s">
        <v>145</v>
      </c>
      <c r="Q9" s="15">
        <v>32</v>
      </c>
      <c r="R9" s="16" t="s">
        <v>145</v>
      </c>
      <c r="S9" s="16" t="s">
        <v>145</v>
      </c>
      <c r="T9" s="16" t="s">
        <v>145</v>
      </c>
      <c r="U9" s="16" t="s">
        <v>145</v>
      </c>
      <c r="V9" s="15">
        <v>16</v>
      </c>
      <c r="W9" s="16" t="s">
        <v>145</v>
      </c>
      <c r="X9" s="15">
        <v>16</v>
      </c>
      <c r="Y9" s="15">
        <v>16</v>
      </c>
      <c r="Z9" s="15">
        <v>16</v>
      </c>
      <c r="AA9" s="16" t="s">
        <v>145</v>
      </c>
      <c r="AB9" s="16" t="s">
        <v>145</v>
      </c>
      <c r="AC9" s="16" t="s">
        <v>145</v>
      </c>
      <c r="AD9" s="15">
        <v>16</v>
      </c>
      <c r="AE9" s="16" t="s">
        <v>145</v>
      </c>
      <c r="AF9" s="15">
        <v>16</v>
      </c>
      <c r="AG9" s="15">
        <v>24</v>
      </c>
      <c r="AH9" s="16" t="s">
        <v>145</v>
      </c>
      <c r="AI9" s="16" t="s">
        <v>145</v>
      </c>
      <c r="AJ9" s="16" t="s">
        <v>145</v>
      </c>
      <c r="AK9" s="15">
        <v>24</v>
      </c>
      <c r="AL9" s="15">
        <v>72</v>
      </c>
      <c r="AM9" s="15">
        <v>48</v>
      </c>
      <c r="AN9" s="15">
        <v>16</v>
      </c>
      <c r="AO9" s="15">
        <v>36</v>
      </c>
      <c r="AP9" s="15">
        <v>16</v>
      </c>
      <c r="AQ9" s="16" t="s">
        <v>145</v>
      </c>
      <c r="AR9" s="15"/>
      <c r="AS9" s="15">
        <v>32</v>
      </c>
      <c r="AT9" s="16" t="s">
        <v>145</v>
      </c>
      <c r="AU9" s="16" t="s">
        <v>145</v>
      </c>
      <c r="AV9" s="16" t="s">
        <v>145</v>
      </c>
      <c r="AW9" s="16" t="s">
        <v>145</v>
      </c>
      <c r="AX9" s="16" t="s">
        <v>145</v>
      </c>
      <c r="AY9" s="16">
        <v>10</v>
      </c>
      <c r="AZ9" s="16">
        <f t="shared" si="0"/>
        <v>546</v>
      </c>
    </row>
    <row r="10" spans="1:52" x14ac:dyDescent="0.25">
      <c r="A10" s="14">
        <v>7</v>
      </c>
      <c r="B10" s="14" t="s">
        <v>63</v>
      </c>
      <c r="C10" s="16" t="s">
        <v>145</v>
      </c>
      <c r="D10" s="15">
        <v>16</v>
      </c>
      <c r="E10" s="16" t="s">
        <v>145</v>
      </c>
      <c r="F10" s="15">
        <v>16</v>
      </c>
      <c r="G10" s="16" t="s">
        <v>145</v>
      </c>
      <c r="H10" s="15">
        <v>60</v>
      </c>
      <c r="I10" s="15">
        <v>36</v>
      </c>
      <c r="J10" s="15">
        <v>24</v>
      </c>
      <c r="K10" s="16" t="s">
        <v>145</v>
      </c>
      <c r="L10" s="16" t="s">
        <v>145</v>
      </c>
      <c r="M10" s="16">
        <v>8</v>
      </c>
      <c r="N10" s="16" t="s">
        <v>145</v>
      </c>
      <c r="O10" s="16" t="s">
        <v>145</v>
      </c>
      <c r="P10" s="15">
        <v>20</v>
      </c>
      <c r="Q10" s="15">
        <v>28</v>
      </c>
      <c r="R10" s="15">
        <v>20</v>
      </c>
      <c r="S10" s="15">
        <v>16</v>
      </c>
      <c r="T10" s="15">
        <v>16</v>
      </c>
      <c r="U10" s="16" t="s">
        <v>145</v>
      </c>
      <c r="V10" s="15">
        <v>24</v>
      </c>
      <c r="W10" s="16" t="s">
        <v>145</v>
      </c>
      <c r="X10" s="15">
        <v>16</v>
      </c>
      <c r="Y10" s="16" t="s">
        <v>145</v>
      </c>
      <c r="Z10" s="16" t="s">
        <v>145</v>
      </c>
      <c r="AA10" s="15">
        <v>32</v>
      </c>
      <c r="AB10" s="16" t="s">
        <v>145</v>
      </c>
      <c r="AC10" s="16" t="s">
        <v>145</v>
      </c>
      <c r="AD10" s="15">
        <v>32</v>
      </c>
      <c r="AE10" s="16" t="s">
        <v>145</v>
      </c>
      <c r="AF10" s="15">
        <v>16</v>
      </c>
      <c r="AG10" s="15">
        <v>16</v>
      </c>
      <c r="AH10" s="15">
        <v>48</v>
      </c>
      <c r="AI10" s="15">
        <v>16</v>
      </c>
      <c r="AJ10" s="16" t="s">
        <v>145</v>
      </c>
      <c r="AK10" s="16" t="s">
        <v>145</v>
      </c>
      <c r="AL10" s="15">
        <v>56</v>
      </c>
      <c r="AM10" s="15">
        <v>16</v>
      </c>
      <c r="AN10" s="16" t="s">
        <v>145</v>
      </c>
      <c r="AO10" s="15">
        <v>16</v>
      </c>
      <c r="AP10" s="16">
        <v>16</v>
      </c>
      <c r="AQ10" s="15">
        <v>16</v>
      </c>
      <c r="AR10" s="15">
        <v>16</v>
      </c>
      <c r="AS10" s="16" t="s">
        <v>145</v>
      </c>
      <c r="AT10" s="16" t="s">
        <v>145</v>
      </c>
      <c r="AU10" s="16" t="s">
        <v>145</v>
      </c>
      <c r="AV10" s="16" t="s">
        <v>145</v>
      </c>
      <c r="AW10" s="16" t="s">
        <v>145</v>
      </c>
      <c r="AX10" s="15">
        <v>16</v>
      </c>
      <c r="AY10" s="15">
        <v>16</v>
      </c>
      <c r="AZ10" s="16">
        <f t="shared" si="0"/>
        <v>628</v>
      </c>
    </row>
    <row r="11" spans="1:52" x14ac:dyDescent="0.25">
      <c r="A11" s="14">
        <v>8</v>
      </c>
      <c r="B11" s="14" t="s">
        <v>64</v>
      </c>
      <c r="C11" s="16" t="s">
        <v>145</v>
      </c>
      <c r="D11" s="15">
        <v>16</v>
      </c>
      <c r="E11" s="16" t="s">
        <v>145</v>
      </c>
      <c r="F11" s="16" t="s">
        <v>145</v>
      </c>
      <c r="G11" s="15">
        <v>16</v>
      </c>
      <c r="H11" s="15">
        <v>80</v>
      </c>
      <c r="I11" s="15">
        <v>30</v>
      </c>
      <c r="J11" s="15">
        <v>86</v>
      </c>
      <c r="K11" s="16" t="s">
        <v>145</v>
      </c>
      <c r="L11" s="16" t="s">
        <v>145</v>
      </c>
      <c r="M11" s="16" t="s">
        <v>145</v>
      </c>
      <c r="N11" s="16" t="s">
        <v>145</v>
      </c>
      <c r="O11" s="15">
        <v>16</v>
      </c>
      <c r="P11" s="16" t="s">
        <v>145</v>
      </c>
      <c r="Q11" s="16" t="s">
        <v>145</v>
      </c>
      <c r="R11" s="16" t="s">
        <v>145</v>
      </c>
      <c r="S11" s="16" t="s">
        <v>145</v>
      </c>
      <c r="T11" s="15">
        <v>16</v>
      </c>
      <c r="U11" s="16" t="s">
        <v>145</v>
      </c>
      <c r="V11" s="16" t="s">
        <v>145</v>
      </c>
      <c r="W11" s="16" t="s">
        <v>145</v>
      </c>
      <c r="X11" s="16" t="s">
        <v>145</v>
      </c>
      <c r="Y11" s="16" t="s">
        <v>145</v>
      </c>
      <c r="Z11" s="16" t="s">
        <v>145</v>
      </c>
      <c r="AA11" s="15">
        <v>20</v>
      </c>
      <c r="AB11" s="16" t="s">
        <v>145</v>
      </c>
      <c r="AC11" s="16" t="s">
        <v>145</v>
      </c>
      <c r="AD11" s="16" t="s">
        <v>145</v>
      </c>
      <c r="AE11" s="16" t="s">
        <v>145</v>
      </c>
      <c r="AF11" s="16" t="s">
        <v>145</v>
      </c>
      <c r="AG11" s="15">
        <v>16</v>
      </c>
      <c r="AH11" s="15">
        <v>16</v>
      </c>
      <c r="AI11" s="16" t="s">
        <v>145</v>
      </c>
      <c r="AJ11" s="16" t="s">
        <v>145</v>
      </c>
      <c r="AK11" s="16" t="s">
        <v>145</v>
      </c>
      <c r="AL11" s="15">
        <v>68</v>
      </c>
      <c r="AM11" s="15">
        <v>16</v>
      </c>
      <c r="AN11" s="16" t="s">
        <v>145</v>
      </c>
      <c r="AO11" s="15">
        <v>20</v>
      </c>
      <c r="AP11" s="16" t="s">
        <v>145</v>
      </c>
      <c r="AQ11" s="16" t="s">
        <v>145</v>
      </c>
      <c r="AR11" s="15">
        <v>16</v>
      </c>
      <c r="AS11" s="16" t="s">
        <v>145</v>
      </c>
      <c r="AT11" s="16" t="s">
        <v>145</v>
      </c>
      <c r="AU11" s="16" t="s">
        <v>145</v>
      </c>
      <c r="AV11" s="16" t="s">
        <v>145</v>
      </c>
      <c r="AW11" s="16" t="s">
        <v>145</v>
      </c>
      <c r="AX11" s="16" t="s">
        <v>145</v>
      </c>
      <c r="AY11" s="16" t="s">
        <v>145</v>
      </c>
      <c r="AZ11" s="16">
        <f t="shared" si="0"/>
        <v>432</v>
      </c>
    </row>
    <row r="12" spans="1:52" x14ac:dyDescent="0.25">
      <c r="A12" s="14">
        <v>9</v>
      </c>
      <c r="B12" s="14" t="s">
        <v>65</v>
      </c>
      <c r="C12" s="16" t="s">
        <v>145</v>
      </c>
      <c r="D12" s="15">
        <v>28</v>
      </c>
      <c r="E12" s="16" t="s">
        <v>145</v>
      </c>
      <c r="F12" s="15">
        <v>16</v>
      </c>
      <c r="G12" s="16" t="s">
        <v>145</v>
      </c>
      <c r="H12" s="15">
        <v>32</v>
      </c>
      <c r="I12" s="16" t="s">
        <v>145</v>
      </c>
      <c r="J12" s="16" t="s">
        <v>145</v>
      </c>
      <c r="K12" s="16" t="s">
        <v>145</v>
      </c>
      <c r="L12" s="16" t="s">
        <v>145</v>
      </c>
      <c r="M12" s="16" t="s">
        <v>145</v>
      </c>
      <c r="N12" s="16" t="s">
        <v>145</v>
      </c>
      <c r="O12" s="16" t="s">
        <v>145</v>
      </c>
      <c r="P12" s="15">
        <v>32</v>
      </c>
      <c r="Q12" s="15">
        <v>40</v>
      </c>
      <c r="R12" s="15">
        <v>12</v>
      </c>
      <c r="S12" s="15">
        <v>20</v>
      </c>
      <c r="T12" s="16" t="s">
        <v>145</v>
      </c>
      <c r="U12" s="16" t="s">
        <v>145</v>
      </c>
      <c r="V12" s="15">
        <v>48</v>
      </c>
      <c r="W12" s="16" t="s">
        <v>145</v>
      </c>
      <c r="X12" s="15">
        <v>16</v>
      </c>
      <c r="Y12" s="16" t="s">
        <v>145</v>
      </c>
      <c r="Z12" s="16" t="s">
        <v>145</v>
      </c>
      <c r="AA12" s="15">
        <v>16</v>
      </c>
      <c r="AB12" s="16" t="s">
        <v>145</v>
      </c>
      <c r="AC12" s="16" t="s">
        <v>145</v>
      </c>
      <c r="AD12" s="15">
        <v>50</v>
      </c>
      <c r="AE12" s="16" t="s">
        <v>145</v>
      </c>
      <c r="AF12" s="15">
        <v>36</v>
      </c>
      <c r="AG12" s="16" t="s">
        <v>145</v>
      </c>
      <c r="AH12" s="15">
        <v>56</v>
      </c>
      <c r="AI12" s="16" t="s">
        <v>145</v>
      </c>
      <c r="AJ12" s="16" t="s">
        <v>145</v>
      </c>
      <c r="AK12" s="16" t="s">
        <v>145</v>
      </c>
      <c r="AL12" s="15">
        <v>20</v>
      </c>
      <c r="AM12" s="15">
        <v>16</v>
      </c>
      <c r="AN12" s="16" t="s">
        <v>145</v>
      </c>
      <c r="AO12" s="15">
        <v>16</v>
      </c>
      <c r="AP12" s="16" t="s">
        <v>145</v>
      </c>
      <c r="AQ12" s="15">
        <v>16</v>
      </c>
      <c r="AR12" s="16" t="s">
        <v>145</v>
      </c>
      <c r="AS12" s="16" t="s">
        <v>145</v>
      </c>
      <c r="AT12" s="16" t="s">
        <v>145</v>
      </c>
      <c r="AU12" s="16" t="s">
        <v>145</v>
      </c>
      <c r="AV12" s="16" t="s">
        <v>145</v>
      </c>
      <c r="AW12" s="16" t="s">
        <v>145</v>
      </c>
      <c r="AX12" s="15">
        <v>16</v>
      </c>
      <c r="AY12" s="16" t="s">
        <v>145</v>
      </c>
      <c r="AZ12" s="16">
        <f t="shared" si="0"/>
        <v>486</v>
      </c>
    </row>
    <row r="13" spans="1:52" x14ac:dyDescent="0.25">
      <c r="A13" s="14">
        <v>10</v>
      </c>
      <c r="B13" s="14" t="s">
        <v>66</v>
      </c>
      <c r="C13" s="16" t="s">
        <v>145</v>
      </c>
      <c r="D13" s="16" t="s">
        <v>145</v>
      </c>
      <c r="E13" s="16" t="s">
        <v>145</v>
      </c>
      <c r="F13" s="16" t="s">
        <v>145</v>
      </c>
      <c r="G13" s="16" t="s">
        <v>145</v>
      </c>
      <c r="H13" s="15">
        <v>32</v>
      </c>
      <c r="I13" s="16" t="s">
        <v>145</v>
      </c>
      <c r="J13" s="15">
        <v>36</v>
      </c>
      <c r="K13" s="16" t="s">
        <v>145</v>
      </c>
      <c r="L13" s="16" t="s">
        <v>145</v>
      </c>
      <c r="M13" s="16" t="s">
        <v>145</v>
      </c>
      <c r="N13" s="16">
        <v>8</v>
      </c>
      <c r="O13" s="16" t="s">
        <v>145</v>
      </c>
      <c r="P13" s="16" t="s">
        <v>145</v>
      </c>
      <c r="Q13" s="16" t="s">
        <v>145</v>
      </c>
      <c r="R13" s="16" t="s">
        <v>145</v>
      </c>
      <c r="S13" s="16" t="s">
        <v>145</v>
      </c>
      <c r="T13" s="16" t="s">
        <v>145</v>
      </c>
      <c r="U13" s="16" t="s">
        <v>145</v>
      </c>
      <c r="V13" s="16" t="s">
        <v>145</v>
      </c>
      <c r="W13" s="16" t="s">
        <v>145</v>
      </c>
      <c r="X13" s="16" t="s">
        <v>145</v>
      </c>
      <c r="Y13" s="16" t="s">
        <v>145</v>
      </c>
      <c r="Z13" s="16" t="s">
        <v>145</v>
      </c>
      <c r="AA13" s="16" t="s">
        <v>145</v>
      </c>
      <c r="AB13" s="16" t="s">
        <v>145</v>
      </c>
      <c r="AC13" s="16" t="s">
        <v>145</v>
      </c>
      <c r="AD13" s="15">
        <v>16</v>
      </c>
      <c r="AE13" s="16" t="s">
        <v>145</v>
      </c>
      <c r="AF13" s="16" t="s">
        <v>145</v>
      </c>
      <c r="AG13" s="16" t="s">
        <v>145</v>
      </c>
      <c r="AH13" s="16" t="s">
        <v>145</v>
      </c>
      <c r="AI13" s="16" t="s">
        <v>145</v>
      </c>
      <c r="AJ13" s="16" t="s">
        <v>145</v>
      </c>
      <c r="AK13" s="16" t="s">
        <v>145</v>
      </c>
      <c r="AL13" s="15">
        <v>16</v>
      </c>
      <c r="AM13" s="16" t="s">
        <v>145</v>
      </c>
      <c r="AN13" s="16" t="s">
        <v>145</v>
      </c>
      <c r="AO13" s="16" t="s">
        <v>145</v>
      </c>
      <c r="AP13" s="16" t="s">
        <v>145</v>
      </c>
      <c r="AQ13" s="16" t="s">
        <v>145</v>
      </c>
      <c r="AR13" s="16" t="s">
        <v>145</v>
      </c>
      <c r="AS13" s="16" t="s">
        <v>145</v>
      </c>
      <c r="AT13" s="16" t="s">
        <v>145</v>
      </c>
      <c r="AU13" s="16" t="s">
        <v>145</v>
      </c>
      <c r="AV13" s="16" t="s">
        <v>145</v>
      </c>
      <c r="AW13" s="16" t="s">
        <v>145</v>
      </c>
      <c r="AX13" s="15">
        <v>16</v>
      </c>
      <c r="AY13" s="15">
        <v>16</v>
      </c>
      <c r="AZ13" s="16">
        <f t="shared" si="0"/>
        <v>140</v>
      </c>
    </row>
    <row r="14" spans="1:52" x14ac:dyDescent="0.25">
      <c r="A14" s="14">
        <v>11</v>
      </c>
      <c r="B14" s="14" t="s">
        <v>67</v>
      </c>
      <c r="C14" s="16" t="s">
        <v>145</v>
      </c>
      <c r="D14" s="15">
        <v>16</v>
      </c>
      <c r="E14" s="16" t="s">
        <v>145</v>
      </c>
      <c r="F14" s="16" t="s">
        <v>145</v>
      </c>
      <c r="G14" s="16" t="s">
        <v>145</v>
      </c>
      <c r="H14" s="16" t="s">
        <v>145</v>
      </c>
      <c r="I14" s="16" t="s">
        <v>145</v>
      </c>
      <c r="J14" s="16" t="s">
        <v>145</v>
      </c>
      <c r="K14" s="16" t="s">
        <v>145</v>
      </c>
      <c r="L14" s="16" t="s">
        <v>145</v>
      </c>
      <c r="M14" s="16" t="s">
        <v>145</v>
      </c>
      <c r="N14" s="16" t="s">
        <v>145</v>
      </c>
      <c r="O14" s="16" t="s">
        <v>145</v>
      </c>
      <c r="P14" s="15">
        <v>16</v>
      </c>
      <c r="Q14" s="16" t="s">
        <v>145</v>
      </c>
      <c r="R14" s="15">
        <v>20</v>
      </c>
      <c r="S14" s="15">
        <v>16</v>
      </c>
      <c r="T14" s="15">
        <v>16</v>
      </c>
      <c r="U14" s="16" t="s">
        <v>145</v>
      </c>
      <c r="V14" s="15">
        <v>16</v>
      </c>
      <c r="W14" s="16" t="s">
        <v>145</v>
      </c>
      <c r="X14" s="16" t="s">
        <v>145</v>
      </c>
      <c r="Y14" s="16" t="s">
        <v>145</v>
      </c>
      <c r="Z14" s="16" t="s">
        <v>145</v>
      </c>
      <c r="AA14" s="16" t="s">
        <v>145</v>
      </c>
      <c r="AB14" s="16" t="s">
        <v>145</v>
      </c>
      <c r="AC14" s="16" t="s">
        <v>145</v>
      </c>
      <c r="AD14" s="16" t="s">
        <v>145</v>
      </c>
      <c r="AE14" s="16">
        <v>8</v>
      </c>
      <c r="AF14" s="16" t="s">
        <v>145</v>
      </c>
      <c r="AG14" s="16" t="s">
        <v>145</v>
      </c>
      <c r="AH14" s="16" t="s">
        <v>145</v>
      </c>
      <c r="AI14" s="16" t="s">
        <v>145</v>
      </c>
      <c r="AJ14" s="16" t="s">
        <v>145</v>
      </c>
      <c r="AK14" s="15">
        <v>16</v>
      </c>
      <c r="AL14" s="15">
        <v>44</v>
      </c>
      <c r="AM14" s="15">
        <v>16</v>
      </c>
      <c r="AN14" s="16" t="s">
        <v>145</v>
      </c>
      <c r="AO14" s="15">
        <v>36</v>
      </c>
      <c r="AP14" s="16" t="s">
        <v>145</v>
      </c>
      <c r="AQ14" s="16" t="s">
        <v>145</v>
      </c>
      <c r="AR14" s="15">
        <v>16</v>
      </c>
      <c r="AS14" s="16" t="s">
        <v>145</v>
      </c>
      <c r="AT14" s="16" t="s">
        <v>145</v>
      </c>
      <c r="AU14" s="16">
        <v>4</v>
      </c>
      <c r="AV14" s="16" t="s">
        <v>145</v>
      </c>
      <c r="AW14" s="16" t="s">
        <v>145</v>
      </c>
      <c r="AX14" s="16" t="s">
        <v>145</v>
      </c>
      <c r="AY14" s="16" t="s">
        <v>145</v>
      </c>
      <c r="AZ14" s="16">
        <f t="shared" si="0"/>
        <v>240</v>
      </c>
    </row>
    <row r="15" spans="1:52" x14ac:dyDescent="0.25">
      <c r="A15" s="14">
        <v>12</v>
      </c>
      <c r="B15" s="14" t="s">
        <v>141</v>
      </c>
      <c r="C15" s="15">
        <v>16</v>
      </c>
      <c r="D15" s="15">
        <v>48</v>
      </c>
      <c r="E15" s="16" t="s">
        <v>145</v>
      </c>
      <c r="F15" s="15">
        <v>16</v>
      </c>
      <c r="G15" s="16" t="s">
        <v>145</v>
      </c>
      <c r="H15" s="15">
        <v>44</v>
      </c>
      <c r="I15" s="15">
        <v>16</v>
      </c>
      <c r="J15" s="15">
        <v>20</v>
      </c>
      <c r="K15" s="16" t="s">
        <v>145</v>
      </c>
      <c r="L15" s="16" t="s">
        <v>145</v>
      </c>
      <c r="M15" s="16" t="s">
        <v>145</v>
      </c>
      <c r="N15" s="16" t="s">
        <v>145</v>
      </c>
      <c r="O15" s="16" t="s">
        <v>145</v>
      </c>
      <c r="P15" s="16" t="s">
        <v>145</v>
      </c>
      <c r="Q15" s="16" t="s">
        <v>145</v>
      </c>
      <c r="R15" s="16" t="s">
        <v>145</v>
      </c>
      <c r="S15" s="15">
        <v>16</v>
      </c>
      <c r="T15" s="16" t="s">
        <v>145</v>
      </c>
      <c r="U15" s="16" t="s">
        <v>145</v>
      </c>
      <c r="V15" s="15">
        <v>16</v>
      </c>
      <c r="W15" s="16" t="s">
        <v>145</v>
      </c>
      <c r="X15" s="16" t="s">
        <v>145</v>
      </c>
      <c r="Y15" s="16" t="s">
        <v>145</v>
      </c>
      <c r="Z15" s="15">
        <v>16</v>
      </c>
      <c r="AA15" s="16" t="s">
        <v>145</v>
      </c>
      <c r="AB15" s="16" t="s">
        <v>145</v>
      </c>
      <c r="AC15" s="16" t="s">
        <v>145</v>
      </c>
      <c r="AD15" s="16" t="s">
        <v>145</v>
      </c>
      <c r="AE15" s="16" t="s">
        <v>145</v>
      </c>
      <c r="AF15" s="16" t="s">
        <v>145</v>
      </c>
      <c r="AG15" s="16" t="s">
        <v>145</v>
      </c>
      <c r="AH15" s="15">
        <v>72</v>
      </c>
      <c r="AI15" s="16" t="s">
        <v>145</v>
      </c>
      <c r="AJ15" s="16" t="s">
        <v>145</v>
      </c>
      <c r="AK15" s="16" t="s">
        <v>145</v>
      </c>
      <c r="AL15" s="15">
        <v>20</v>
      </c>
      <c r="AM15" s="15">
        <v>16</v>
      </c>
      <c r="AN15" s="16" t="s">
        <v>145</v>
      </c>
      <c r="AO15" s="15">
        <v>16</v>
      </c>
      <c r="AP15" s="16" t="s">
        <v>145</v>
      </c>
      <c r="AQ15" s="16" t="s">
        <v>145</v>
      </c>
      <c r="AR15" s="15">
        <v>16</v>
      </c>
      <c r="AS15" s="16" t="s">
        <v>145</v>
      </c>
      <c r="AT15" s="15">
        <v>16</v>
      </c>
      <c r="AU15" s="16">
        <v>8</v>
      </c>
      <c r="AV15" s="15"/>
      <c r="AW15" s="16">
        <v>8</v>
      </c>
      <c r="AX15" s="16" t="s">
        <v>145</v>
      </c>
      <c r="AY15" s="16" t="s">
        <v>145</v>
      </c>
      <c r="AZ15" s="16">
        <f t="shared" si="0"/>
        <v>380</v>
      </c>
    </row>
    <row r="16" spans="1:52" x14ac:dyDescent="0.25">
      <c r="A16" s="14">
        <v>13</v>
      </c>
      <c r="B16" s="14" t="s">
        <v>68</v>
      </c>
      <c r="C16" s="16" t="s">
        <v>145</v>
      </c>
      <c r="D16" s="15">
        <v>16</v>
      </c>
      <c r="E16" s="16" t="s">
        <v>145</v>
      </c>
      <c r="F16" s="16" t="s">
        <v>145</v>
      </c>
      <c r="G16" s="15">
        <v>20</v>
      </c>
      <c r="H16" s="15">
        <v>24</v>
      </c>
      <c r="I16" s="15">
        <v>16</v>
      </c>
      <c r="J16" s="15">
        <v>24</v>
      </c>
      <c r="K16" s="16" t="s">
        <v>145</v>
      </c>
      <c r="L16" s="16" t="s">
        <v>145</v>
      </c>
      <c r="M16" s="16" t="s">
        <v>145</v>
      </c>
      <c r="N16" s="16">
        <v>20</v>
      </c>
      <c r="O16" s="16" t="s">
        <v>145</v>
      </c>
      <c r="P16" s="16" t="s">
        <v>145</v>
      </c>
      <c r="Q16" s="16" t="s">
        <v>145</v>
      </c>
      <c r="R16" s="16" t="s">
        <v>145</v>
      </c>
      <c r="S16" s="16" t="s">
        <v>145</v>
      </c>
      <c r="T16" s="16" t="s">
        <v>145</v>
      </c>
      <c r="U16" s="16" t="s">
        <v>145</v>
      </c>
      <c r="V16" s="15">
        <v>16</v>
      </c>
      <c r="W16" s="16" t="s">
        <v>145</v>
      </c>
      <c r="X16" s="16" t="s">
        <v>145</v>
      </c>
      <c r="Y16" s="16" t="s">
        <v>145</v>
      </c>
      <c r="Z16" s="16" t="s">
        <v>145</v>
      </c>
      <c r="AA16" s="16" t="s">
        <v>145</v>
      </c>
      <c r="AB16" s="16" t="s">
        <v>145</v>
      </c>
      <c r="AC16" s="16" t="s">
        <v>145</v>
      </c>
      <c r="AD16" s="15">
        <v>16</v>
      </c>
      <c r="AE16" s="16" t="s">
        <v>145</v>
      </c>
      <c r="AF16" s="16" t="s">
        <v>145</v>
      </c>
      <c r="AG16" s="16" t="s">
        <v>145</v>
      </c>
      <c r="AH16" s="16" t="s">
        <v>145</v>
      </c>
      <c r="AI16" s="16" t="s">
        <v>145</v>
      </c>
      <c r="AJ16" s="16" t="s">
        <v>145</v>
      </c>
      <c r="AK16" s="16" t="s">
        <v>145</v>
      </c>
      <c r="AL16" s="16" t="s">
        <v>145</v>
      </c>
      <c r="AM16" s="15">
        <v>16</v>
      </c>
      <c r="AN16" s="16" t="s">
        <v>145</v>
      </c>
      <c r="AO16" s="15">
        <v>16</v>
      </c>
      <c r="AP16" s="16" t="s">
        <v>145</v>
      </c>
      <c r="AQ16" s="15">
        <v>24</v>
      </c>
      <c r="AR16" s="16" t="s">
        <v>145</v>
      </c>
      <c r="AS16" s="16" t="s">
        <v>145</v>
      </c>
      <c r="AT16" s="15">
        <v>36</v>
      </c>
      <c r="AU16" s="15"/>
      <c r="AV16" s="15">
        <v>16</v>
      </c>
      <c r="AW16" s="16" t="s">
        <v>145</v>
      </c>
      <c r="AX16" s="16" t="s">
        <v>145</v>
      </c>
      <c r="AY16" s="16" t="s">
        <v>145</v>
      </c>
      <c r="AZ16" s="16">
        <f t="shared" si="0"/>
        <v>260</v>
      </c>
    </row>
    <row r="17" spans="1:52" x14ac:dyDescent="0.25">
      <c r="A17" s="14">
        <v>14</v>
      </c>
      <c r="B17" s="14" t="s">
        <v>69</v>
      </c>
      <c r="C17" s="16" t="s">
        <v>145</v>
      </c>
      <c r="D17" s="15">
        <v>16</v>
      </c>
      <c r="E17" s="16" t="s">
        <v>145</v>
      </c>
      <c r="F17" s="16" t="s">
        <v>145</v>
      </c>
      <c r="G17" s="16" t="s">
        <v>145</v>
      </c>
      <c r="H17" s="16" t="s">
        <v>145</v>
      </c>
      <c r="I17" s="16" t="s">
        <v>145</v>
      </c>
      <c r="J17" s="16" t="s">
        <v>145</v>
      </c>
      <c r="K17" s="16" t="s">
        <v>145</v>
      </c>
      <c r="L17" s="16" t="s">
        <v>145</v>
      </c>
      <c r="M17" s="16" t="s">
        <v>145</v>
      </c>
      <c r="N17" s="16" t="s">
        <v>145</v>
      </c>
      <c r="O17" s="16" t="s">
        <v>145</v>
      </c>
      <c r="P17" s="16" t="s">
        <v>145</v>
      </c>
      <c r="Q17" s="16" t="s">
        <v>145</v>
      </c>
      <c r="R17" s="16" t="s">
        <v>145</v>
      </c>
      <c r="S17" s="15">
        <v>20</v>
      </c>
      <c r="T17" s="16" t="s">
        <v>145</v>
      </c>
      <c r="U17" s="16" t="s">
        <v>145</v>
      </c>
      <c r="V17" s="15">
        <v>16</v>
      </c>
      <c r="W17" s="16" t="s">
        <v>145</v>
      </c>
      <c r="X17" s="16" t="s">
        <v>145</v>
      </c>
      <c r="Y17" s="16" t="s">
        <v>145</v>
      </c>
      <c r="Z17" s="16" t="s">
        <v>145</v>
      </c>
      <c r="AA17" s="16" t="s">
        <v>145</v>
      </c>
      <c r="AB17" s="16" t="s">
        <v>145</v>
      </c>
      <c r="AC17" s="16" t="s">
        <v>145</v>
      </c>
      <c r="AD17" s="16" t="s">
        <v>145</v>
      </c>
      <c r="AE17" s="15">
        <v>16</v>
      </c>
      <c r="AF17" s="16" t="s">
        <v>145</v>
      </c>
      <c r="AG17" s="16" t="s">
        <v>145</v>
      </c>
      <c r="AH17" s="15">
        <v>64</v>
      </c>
      <c r="AI17" s="16" t="s">
        <v>145</v>
      </c>
      <c r="AJ17" s="16" t="s">
        <v>145</v>
      </c>
      <c r="AK17" s="16" t="s">
        <v>145</v>
      </c>
      <c r="AL17" s="16" t="s">
        <v>145</v>
      </c>
      <c r="AM17" s="15">
        <v>16</v>
      </c>
      <c r="AN17" s="16" t="s">
        <v>145</v>
      </c>
      <c r="AO17" s="15">
        <v>16</v>
      </c>
      <c r="AP17" s="16" t="s">
        <v>145</v>
      </c>
      <c r="AQ17" s="16" t="s">
        <v>145</v>
      </c>
      <c r="AR17" s="16" t="s">
        <v>145</v>
      </c>
      <c r="AS17" s="16" t="s">
        <v>145</v>
      </c>
      <c r="AT17" s="16" t="s">
        <v>145</v>
      </c>
      <c r="AU17" s="16">
        <v>4</v>
      </c>
      <c r="AV17" s="16" t="s">
        <v>145</v>
      </c>
      <c r="AW17" s="16" t="s">
        <v>145</v>
      </c>
      <c r="AX17" s="16" t="s">
        <v>145</v>
      </c>
      <c r="AY17" s="16" t="s">
        <v>145</v>
      </c>
      <c r="AZ17" s="16">
        <f t="shared" si="0"/>
        <v>168</v>
      </c>
    </row>
    <row r="18" spans="1:52" x14ac:dyDescent="0.25">
      <c r="A18" s="14">
        <v>15</v>
      </c>
      <c r="B18" s="14" t="s">
        <v>70</v>
      </c>
      <c r="C18" s="15">
        <v>36</v>
      </c>
      <c r="D18" s="15">
        <v>92</v>
      </c>
      <c r="E18" s="16" t="s">
        <v>145</v>
      </c>
      <c r="F18" s="15">
        <v>16</v>
      </c>
      <c r="G18" s="16" t="s">
        <v>145</v>
      </c>
      <c r="H18" s="16" t="s">
        <v>145</v>
      </c>
      <c r="I18" s="16" t="s">
        <v>145</v>
      </c>
      <c r="J18" s="16" t="s">
        <v>145</v>
      </c>
      <c r="K18" s="16" t="s">
        <v>145</v>
      </c>
      <c r="L18" s="16" t="s">
        <v>145</v>
      </c>
      <c r="M18" s="16" t="s">
        <v>145</v>
      </c>
      <c r="N18" s="16" t="s">
        <v>145</v>
      </c>
      <c r="O18" s="16" t="s">
        <v>145</v>
      </c>
      <c r="P18" s="16" t="s">
        <v>145</v>
      </c>
      <c r="Q18" s="16" t="s">
        <v>145</v>
      </c>
      <c r="R18" s="16" t="s">
        <v>145</v>
      </c>
      <c r="S18" s="16" t="s">
        <v>145</v>
      </c>
      <c r="T18" s="16" t="s">
        <v>145</v>
      </c>
      <c r="U18" s="16" t="s">
        <v>145</v>
      </c>
      <c r="V18" s="16" t="s">
        <v>145</v>
      </c>
      <c r="W18" s="15">
        <v>32</v>
      </c>
      <c r="X18" s="15"/>
      <c r="Y18" s="16" t="s">
        <v>145</v>
      </c>
      <c r="Z18" s="15">
        <v>16</v>
      </c>
      <c r="AA18" s="16" t="s">
        <v>145</v>
      </c>
      <c r="AB18" s="16" t="s">
        <v>145</v>
      </c>
      <c r="AC18" s="15">
        <v>16</v>
      </c>
      <c r="AD18" s="16" t="s">
        <v>145</v>
      </c>
      <c r="AE18" s="16" t="s">
        <v>145</v>
      </c>
      <c r="AF18" s="16" t="s">
        <v>145</v>
      </c>
      <c r="AG18" s="16" t="s">
        <v>145</v>
      </c>
      <c r="AH18" s="16" t="s">
        <v>145</v>
      </c>
      <c r="AI18" s="16" t="s">
        <v>145</v>
      </c>
      <c r="AJ18" s="16" t="s">
        <v>145</v>
      </c>
      <c r="AK18" s="16" t="s">
        <v>145</v>
      </c>
      <c r="AL18" s="16" t="s">
        <v>145</v>
      </c>
      <c r="AM18" s="15">
        <v>16</v>
      </c>
      <c r="AN18" s="16" t="s">
        <v>145</v>
      </c>
      <c r="AO18" s="15">
        <v>16</v>
      </c>
      <c r="AP18" s="15">
        <v>20</v>
      </c>
      <c r="AQ18" s="16" t="s">
        <v>145</v>
      </c>
      <c r="AR18" s="15">
        <v>16</v>
      </c>
      <c r="AS18" s="15">
        <v>28</v>
      </c>
      <c r="AT18" s="16" t="s">
        <v>145</v>
      </c>
      <c r="AU18" s="16" t="s">
        <v>145</v>
      </c>
      <c r="AV18" s="16" t="s">
        <v>145</v>
      </c>
      <c r="AW18" s="16" t="s">
        <v>145</v>
      </c>
      <c r="AX18" s="16" t="s">
        <v>145</v>
      </c>
      <c r="AY18" s="16" t="s">
        <v>145</v>
      </c>
      <c r="AZ18" s="16">
        <f t="shared" si="0"/>
        <v>304</v>
      </c>
    </row>
    <row r="19" spans="1:52" x14ac:dyDescent="0.25">
      <c r="A19" s="14">
        <v>16</v>
      </c>
      <c r="B19" s="14" t="s">
        <v>71</v>
      </c>
      <c r="C19" s="15">
        <v>36</v>
      </c>
      <c r="D19" s="15">
        <v>92</v>
      </c>
      <c r="E19" s="16" t="s">
        <v>145</v>
      </c>
      <c r="F19" s="15">
        <v>16</v>
      </c>
      <c r="G19" s="16" t="s">
        <v>145</v>
      </c>
      <c r="H19" s="16" t="s">
        <v>145</v>
      </c>
      <c r="I19" s="16" t="s">
        <v>145</v>
      </c>
      <c r="J19" s="16" t="s">
        <v>145</v>
      </c>
      <c r="K19" s="16" t="s">
        <v>145</v>
      </c>
      <c r="L19" s="16" t="s">
        <v>145</v>
      </c>
      <c r="M19" s="16" t="s">
        <v>145</v>
      </c>
      <c r="N19" s="16" t="s">
        <v>145</v>
      </c>
      <c r="O19" s="16" t="s">
        <v>145</v>
      </c>
      <c r="P19" s="16" t="s">
        <v>145</v>
      </c>
      <c r="Q19" s="16" t="s">
        <v>145</v>
      </c>
      <c r="R19" s="16" t="s">
        <v>145</v>
      </c>
      <c r="S19" s="16" t="s">
        <v>145</v>
      </c>
      <c r="T19" s="16" t="s">
        <v>145</v>
      </c>
      <c r="U19" s="16" t="s">
        <v>145</v>
      </c>
      <c r="V19" s="16" t="s">
        <v>145</v>
      </c>
      <c r="W19" s="16" t="s">
        <v>145</v>
      </c>
      <c r="X19" s="16" t="s">
        <v>145</v>
      </c>
      <c r="Y19" s="15">
        <v>12</v>
      </c>
      <c r="Z19" s="15">
        <v>32</v>
      </c>
      <c r="AA19" s="16" t="s">
        <v>145</v>
      </c>
      <c r="AB19" s="16" t="s">
        <v>145</v>
      </c>
      <c r="AC19" s="15">
        <v>68</v>
      </c>
      <c r="AD19" s="16" t="s">
        <v>145</v>
      </c>
      <c r="AE19" s="16" t="s">
        <v>145</v>
      </c>
      <c r="AF19" s="16" t="s">
        <v>145</v>
      </c>
      <c r="AG19" s="16" t="s">
        <v>145</v>
      </c>
      <c r="AH19" s="16" t="s">
        <v>145</v>
      </c>
      <c r="AI19" s="15">
        <v>16</v>
      </c>
      <c r="AJ19" s="16" t="s">
        <v>145</v>
      </c>
      <c r="AK19" s="16" t="s">
        <v>145</v>
      </c>
      <c r="AL19" s="16" t="s">
        <v>145</v>
      </c>
      <c r="AM19" s="15">
        <v>16</v>
      </c>
      <c r="AN19" s="16" t="s">
        <v>145</v>
      </c>
      <c r="AO19" s="16" t="s">
        <v>145</v>
      </c>
      <c r="AP19" s="16" t="s">
        <v>145</v>
      </c>
      <c r="AQ19" s="16" t="s">
        <v>145</v>
      </c>
      <c r="AR19" s="16" t="s">
        <v>145</v>
      </c>
      <c r="AS19" s="15">
        <v>16</v>
      </c>
      <c r="AT19" s="16" t="s">
        <v>145</v>
      </c>
      <c r="AU19" s="16" t="s">
        <v>145</v>
      </c>
      <c r="AV19" s="16" t="s">
        <v>145</v>
      </c>
      <c r="AW19" s="16" t="s">
        <v>145</v>
      </c>
      <c r="AX19" s="16" t="s">
        <v>145</v>
      </c>
      <c r="AY19" s="16" t="s">
        <v>145</v>
      </c>
      <c r="AZ19" s="16">
        <f t="shared" si="0"/>
        <v>304</v>
      </c>
    </row>
    <row r="20" spans="1:52" x14ac:dyDescent="0.25">
      <c r="A20" s="14">
        <v>17</v>
      </c>
      <c r="B20" s="14" t="s">
        <v>72</v>
      </c>
      <c r="C20" s="15">
        <v>4</v>
      </c>
      <c r="D20" s="15">
        <v>48</v>
      </c>
      <c r="E20" s="16" t="s">
        <v>145</v>
      </c>
      <c r="F20" s="16" t="s">
        <v>145</v>
      </c>
      <c r="G20" s="16" t="s">
        <v>145</v>
      </c>
      <c r="H20" s="16" t="s">
        <v>145</v>
      </c>
      <c r="I20" s="16" t="s">
        <v>145</v>
      </c>
      <c r="J20" s="16" t="s">
        <v>145</v>
      </c>
      <c r="K20" s="16" t="s">
        <v>145</v>
      </c>
      <c r="L20" s="16" t="s">
        <v>145</v>
      </c>
      <c r="M20" s="16" t="s">
        <v>145</v>
      </c>
      <c r="N20" s="16" t="s">
        <v>145</v>
      </c>
      <c r="O20" s="16" t="s">
        <v>145</v>
      </c>
      <c r="P20" s="16" t="s">
        <v>145</v>
      </c>
      <c r="Q20" s="16" t="s">
        <v>145</v>
      </c>
      <c r="R20" s="16" t="s">
        <v>145</v>
      </c>
      <c r="S20" s="16" t="s">
        <v>145</v>
      </c>
      <c r="T20" s="16" t="s">
        <v>145</v>
      </c>
      <c r="U20" s="16" t="s">
        <v>145</v>
      </c>
      <c r="V20" s="16" t="s">
        <v>145</v>
      </c>
      <c r="W20" s="16" t="s">
        <v>145</v>
      </c>
      <c r="X20" s="16" t="s">
        <v>145</v>
      </c>
      <c r="Y20" s="16" t="s">
        <v>145</v>
      </c>
      <c r="Z20" s="15">
        <v>8</v>
      </c>
      <c r="AA20" s="16" t="s">
        <v>145</v>
      </c>
      <c r="AB20" s="16" t="s">
        <v>145</v>
      </c>
      <c r="AC20" s="15">
        <v>28</v>
      </c>
      <c r="AD20" s="16" t="s">
        <v>145</v>
      </c>
      <c r="AE20" s="16" t="s">
        <v>145</v>
      </c>
      <c r="AF20" s="16" t="s">
        <v>145</v>
      </c>
      <c r="AG20" s="16" t="s">
        <v>145</v>
      </c>
      <c r="AH20" s="16" t="s">
        <v>145</v>
      </c>
      <c r="AI20" s="15">
        <v>4</v>
      </c>
      <c r="AJ20" s="16" t="s">
        <v>145</v>
      </c>
      <c r="AK20" s="16" t="s">
        <v>145</v>
      </c>
      <c r="AL20" s="16" t="s">
        <v>145</v>
      </c>
      <c r="AM20" s="16" t="s">
        <v>145</v>
      </c>
      <c r="AN20" s="16" t="s">
        <v>145</v>
      </c>
      <c r="AO20" s="16" t="s">
        <v>145</v>
      </c>
      <c r="AP20" s="16" t="s">
        <v>145</v>
      </c>
      <c r="AQ20" s="16" t="s">
        <v>145</v>
      </c>
      <c r="AR20" s="16" t="s">
        <v>145</v>
      </c>
      <c r="AS20" s="16" t="s">
        <v>145</v>
      </c>
      <c r="AT20" s="16" t="s">
        <v>145</v>
      </c>
      <c r="AU20" s="16" t="s">
        <v>145</v>
      </c>
      <c r="AV20" s="16" t="s">
        <v>145</v>
      </c>
      <c r="AW20" s="16" t="s">
        <v>145</v>
      </c>
      <c r="AX20" s="16" t="s">
        <v>145</v>
      </c>
      <c r="AY20" s="16" t="s">
        <v>145</v>
      </c>
      <c r="AZ20" s="16">
        <f t="shared" si="0"/>
        <v>92</v>
      </c>
    </row>
    <row r="21" spans="1:52" x14ac:dyDescent="0.25">
      <c r="A21" s="14">
        <v>18</v>
      </c>
      <c r="B21" s="14" t="s">
        <v>73</v>
      </c>
      <c r="C21" s="15">
        <v>16</v>
      </c>
      <c r="D21" s="15">
        <v>72</v>
      </c>
      <c r="E21" s="16" t="s">
        <v>145</v>
      </c>
      <c r="F21" s="15">
        <v>16</v>
      </c>
      <c r="G21" s="16" t="s">
        <v>145</v>
      </c>
      <c r="H21" s="16" t="s">
        <v>145</v>
      </c>
      <c r="I21" s="16" t="s">
        <v>145</v>
      </c>
      <c r="J21" s="16" t="s">
        <v>145</v>
      </c>
      <c r="K21" s="16" t="s">
        <v>145</v>
      </c>
      <c r="L21" s="16" t="s">
        <v>145</v>
      </c>
      <c r="M21" s="16" t="s">
        <v>145</v>
      </c>
      <c r="N21" s="16" t="s">
        <v>145</v>
      </c>
      <c r="O21" s="16" t="s">
        <v>145</v>
      </c>
      <c r="P21" s="16" t="s">
        <v>145</v>
      </c>
      <c r="Q21" s="16" t="s">
        <v>145</v>
      </c>
      <c r="R21" s="16" t="s">
        <v>145</v>
      </c>
      <c r="S21" s="16" t="s">
        <v>145</v>
      </c>
      <c r="T21" s="16" t="s">
        <v>145</v>
      </c>
      <c r="U21" s="16" t="s">
        <v>145</v>
      </c>
      <c r="V21" s="16">
        <v>24</v>
      </c>
      <c r="W21" s="16" t="s">
        <v>145</v>
      </c>
      <c r="X21" s="16" t="s">
        <v>145</v>
      </c>
      <c r="Y21" s="16" t="s">
        <v>145</v>
      </c>
      <c r="Z21" s="16" t="s">
        <v>145</v>
      </c>
      <c r="AA21" s="16" t="s">
        <v>145</v>
      </c>
      <c r="AB21" s="16" t="s">
        <v>145</v>
      </c>
      <c r="AC21" s="16" t="s">
        <v>145</v>
      </c>
      <c r="AD21" s="16" t="s">
        <v>145</v>
      </c>
      <c r="AE21" s="16" t="s">
        <v>145</v>
      </c>
      <c r="AF21" s="16" t="s">
        <v>145</v>
      </c>
      <c r="AG21" s="16" t="s">
        <v>145</v>
      </c>
      <c r="AH21" s="16" t="s">
        <v>145</v>
      </c>
      <c r="AI21" s="16" t="s">
        <v>145</v>
      </c>
      <c r="AJ21" s="16" t="s">
        <v>145</v>
      </c>
      <c r="AK21" s="15">
        <v>16</v>
      </c>
      <c r="AL21" s="15">
        <v>16</v>
      </c>
      <c r="AM21" s="15">
        <v>16</v>
      </c>
      <c r="AN21" s="16" t="s">
        <v>145</v>
      </c>
      <c r="AO21" s="15">
        <v>16</v>
      </c>
      <c r="AP21" s="16" t="s">
        <v>145</v>
      </c>
      <c r="AQ21" s="16" t="s">
        <v>145</v>
      </c>
      <c r="AR21" s="16" t="s">
        <v>145</v>
      </c>
      <c r="AS21" s="15">
        <v>16</v>
      </c>
      <c r="AT21" s="16" t="s">
        <v>145</v>
      </c>
      <c r="AU21" s="16" t="s">
        <v>145</v>
      </c>
      <c r="AV21" s="16" t="s">
        <v>145</v>
      </c>
      <c r="AW21" s="16" t="s">
        <v>145</v>
      </c>
      <c r="AX21" s="16" t="s">
        <v>145</v>
      </c>
      <c r="AY21" s="16" t="s">
        <v>145</v>
      </c>
      <c r="AZ21" s="16">
        <f t="shared" si="0"/>
        <v>208</v>
      </c>
    </row>
    <row r="22" spans="1:52" x14ac:dyDescent="0.25">
      <c r="A22" s="14">
        <v>19</v>
      </c>
      <c r="B22" s="14" t="s">
        <v>74</v>
      </c>
      <c r="C22" s="16" t="s">
        <v>145</v>
      </c>
      <c r="D22" s="15">
        <v>40</v>
      </c>
      <c r="E22" s="16" t="s">
        <v>145</v>
      </c>
      <c r="F22" s="15">
        <v>16</v>
      </c>
      <c r="G22" s="16" t="s">
        <v>145</v>
      </c>
      <c r="H22" s="15">
        <v>20</v>
      </c>
      <c r="I22" s="16" t="s">
        <v>145</v>
      </c>
      <c r="J22" s="15">
        <v>16</v>
      </c>
      <c r="K22" s="16" t="s">
        <v>145</v>
      </c>
      <c r="L22" s="15">
        <v>16</v>
      </c>
      <c r="M22" s="16" t="s">
        <v>145</v>
      </c>
      <c r="N22" s="15">
        <v>16</v>
      </c>
      <c r="O22" s="16" t="s">
        <v>145</v>
      </c>
      <c r="P22" s="16" t="s">
        <v>145</v>
      </c>
      <c r="Q22" s="16" t="s">
        <v>145</v>
      </c>
      <c r="R22" s="16" t="s">
        <v>145</v>
      </c>
      <c r="S22" s="16">
        <v>16</v>
      </c>
      <c r="T22" s="16" t="s">
        <v>145</v>
      </c>
      <c r="U22" s="16" t="s">
        <v>145</v>
      </c>
      <c r="V22" s="15">
        <v>16</v>
      </c>
      <c r="W22" s="16" t="s">
        <v>145</v>
      </c>
      <c r="X22" s="16" t="s">
        <v>145</v>
      </c>
      <c r="Y22" s="16" t="s">
        <v>145</v>
      </c>
      <c r="Z22" s="16" t="s">
        <v>145</v>
      </c>
      <c r="AA22" s="15">
        <v>16</v>
      </c>
      <c r="AB22" s="16" t="s">
        <v>145</v>
      </c>
      <c r="AC22" s="16" t="s">
        <v>145</v>
      </c>
      <c r="AD22" s="16" t="s">
        <v>145</v>
      </c>
      <c r="AE22" s="15">
        <v>24</v>
      </c>
      <c r="AF22" s="16" t="s">
        <v>145</v>
      </c>
      <c r="AG22" s="16" t="s">
        <v>145</v>
      </c>
      <c r="AH22" s="15">
        <v>24</v>
      </c>
      <c r="AI22" s="15">
        <v>16</v>
      </c>
      <c r="AJ22" s="15">
        <v>16</v>
      </c>
      <c r="AK22" s="16" t="s">
        <v>145</v>
      </c>
      <c r="AL22" s="15">
        <v>16</v>
      </c>
      <c r="AM22" s="16" t="s">
        <v>145</v>
      </c>
      <c r="AN22" s="16" t="s">
        <v>145</v>
      </c>
      <c r="AO22" s="15">
        <v>16</v>
      </c>
      <c r="AP22" s="16" t="s">
        <v>145</v>
      </c>
      <c r="AQ22" s="16" t="s">
        <v>145</v>
      </c>
      <c r="AR22" s="16" t="s">
        <v>145</v>
      </c>
      <c r="AS22" s="16" t="s">
        <v>145</v>
      </c>
      <c r="AT22" s="16" t="s">
        <v>145</v>
      </c>
      <c r="AU22" s="16" t="s">
        <v>145</v>
      </c>
      <c r="AV22" s="16" t="s">
        <v>145</v>
      </c>
      <c r="AW22" s="16" t="s">
        <v>145</v>
      </c>
      <c r="AX22" s="15">
        <v>16</v>
      </c>
      <c r="AY22" s="15">
        <v>16</v>
      </c>
      <c r="AZ22" s="16">
        <f t="shared" si="0"/>
        <v>316</v>
      </c>
    </row>
    <row r="23" spans="1:52" x14ac:dyDescent="0.25">
      <c r="A23" s="14">
        <v>20</v>
      </c>
      <c r="B23" s="14" t="s">
        <v>75</v>
      </c>
      <c r="C23" s="16">
        <v>16</v>
      </c>
      <c r="D23" s="15">
        <v>16</v>
      </c>
      <c r="E23" s="16" t="s">
        <v>145</v>
      </c>
      <c r="F23" s="16" t="s">
        <v>145</v>
      </c>
      <c r="G23" s="16" t="s">
        <v>145</v>
      </c>
      <c r="H23" s="15">
        <v>16</v>
      </c>
      <c r="I23" s="15">
        <v>16</v>
      </c>
      <c r="J23" s="15">
        <v>16</v>
      </c>
      <c r="K23" s="16" t="s">
        <v>145</v>
      </c>
      <c r="L23" s="16" t="s">
        <v>145</v>
      </c>
      <c r="M23" s="16" t="s">
        <v>145</v>
      </c>
      <c r="N23" s="15">
        <v>24</v>
      </c>
      <c r="O23" s="16" t="s">
        <v>145</v>
      </c>
      <c r="P23" s="16" t="s">
        <v>145</v>
      </c>
      <c r="Q23" s="16" t="s">
        <v>145</v>
      </c>
      <c r="R23" s="16" t="s">
        <v>145</v>
      </c>
      <c r="S23" s="16" t="s">
        <v>145</v>
      </c>
      <c r="T23" s="16" t="s">
        <v>145</v>
      </c>
      <c r="U23" s="16" t="s">
        <v>145</v>
      </c>
      <c r="V23" s="15">
        <v>16</v>
      </c>
      <c r="W23" s="16" t="s">
        <v>145</v>
      </c>
      <c r="X23" s="16" t="s">
        <v>145</v>
      </c>
      <c r="Y23" s="16" t="s">
        <v>145</v>
      </c>
      <c r="Z23" s="16" t="s">
        <v>145</v>
      </c>
      <c r="AA23" s="15">
        <v>16</v>
      </c>
      <c r="AB23" s="16" t="s">
        <v>145</v>
      </c>
      <c r="AC23" s="15">
        <v>16</v>
      </c>
      <c r="AD23" s="16" t="s">
        <v>145</v>
      </c>
      <c r="AE23" s="16" t="s">
        <v>145</v>
      </c>
      <c r="AF23" s="16" t="s">
        <v>145</v>
      </c>
      <c r="AG23" s="15">
        <v>16</v>
      </c>
      <c r="AH23" s="16" t="s">
        <v>145</v>
      </c>
      <c r="AI23" s="15">
        <v>16</v>
      </c>
      <c r="AJ23" s="16" t="s">
        <v>145</v>
      </c>
      <c r="AK23" s="16" t="s">
        <v>145</v>
      </c>
      <c r="AL23" s="15">
        <v>16</v>
      </c>
      <c r="AM23" s="16" t="s">
        <v>145</v>
      </c>
      <c r="AN23" s="16" t="s">
        <v>145</v>
      </c>
      <c r="AO23" s="15">
        <v>16</v>
      </c>
      <c r="AP23" s="16" t="s">
        <v>145</v>
      </c>
      <c r="AQ23" s="15">
        <v>16</v>
      </c>
      <c r="AR23" s="16" t="s">
        <v>145</v>
      </c>
      <c r="AS23" s="16" t="s">
        <v>145</v>
      </c>
      <c r="AT23" s="16" t="s">
        <v>145</v>
      </c>
      <c r="AU23" s="16" t="s">
        <v>145</v>
      </c>
      <c r="AV23" s="16" t="s">
        <v>145</v>
      </c>
      <c r="AW23" s="16" t="s">
        <v>145</v>
      </c>
      <c r="AX23" s="15">
        <v>16</v>
      </c>
      <c r="AY23" s="15">
        <v>16</v>
      </c>
      <c r="AZ23" s="16">
        <f t="shared" si="0"/>
        <v>264</v>
      </c>
    </row>
    <row r="24" spans="1:52" x14ac:dyDescent="0.25">
      <c r="A24" s="14">
        <v>21</v>
      </c>
      <c r="B24" s="14" t="s">
        <v>76</v>
      </c>
      <c r="C24" s="16" t="s">
        <v>145</v>
      </c>
      <c r="D24" s="15">
        <v>16</v>
      </c>
      <c r="E24" s="16" t="s">
        <v>145</v>
      </c>
      <c r="F24" s="15">
        <v>16</v>
      </c>
      <c r="G24" s="16" t="s">
        <v>145</v>
      </c>
      <c r="H24" s="15">
        <v>24</v>
      </c>
      <c r="I24" s="15">
        <v>16</v>
      </c>
      <c r="J24" s="15">
        <v>92</v>
      </c>
      <c r="K24" s="16" t="s">
        <v>145</v>
      </c>
      <c r="L24" s="16" t="s">
        <v>145</v>
      </c>
      <c r="M24" s="16" t="s">
        <v>145</v>
      </c>
      <c r="N24" s="16">
        <v>16</v>
      </c>
      <c r="O24" s="16" t="s">
        <v>145</v>
      </c>
      <c r="P24" s="16" t="s">
        <v>145</v>
      </c>
      <c r="Q24" s="16" t="s">
        <v>145</v>
      </c>
      <c r="R24" s="16" t="s">
        <v>145</v>
      </c>
      <c r="S24" s="16" t="s">
        <v>145</v>
      </c>
      <c r="T24" s="15">
        <v>16</v>
      </c>
      <c r="U24" s="15">
        <v>16</v>
      </c>
      <c r="V24" s="15"/>
      <c r="W24" s="16" t="s">
        <v>145</v>
      </c>
      <c r="X24" s="16" t="s">
        <v>145</v>
      </c>
      <c r="Y24" s="16" t="s">
        <v>145</v>
      </c>
      <c r="Z24" s="15">
        <v>16</v>
      </c>
      <c r="AA24" s="16" t="s">
        <v>145</v>
      </c>
      <c r="AB24" s="16" t="s">
        <v>145</v>
      </c>
      <c r="AC24" s="15">
        <v>16</v>
      </c>
      <c r="AD24" s="15">
        <v>16</v>
      </c>
      <c r="AE24" s="16" t="s">
        <v>145</v>
      </c>
      <c r="AF24" s="16" t="s">
        <v>145</v>
      </c>
      <c r="AG24" s="16" t="s">
        <v>145</v>
      </c>
      <c r="AH24" s="16" t="s">
        <v>145</v>
      </c>
      <c r="AI24" s="15">
        <v>16</v>
      </c>
      <c r="AJ24" s="15">
        <v>16</v>
      </c>
      <c r="AK24" s="16" t="s">
        <v>145</v>
      </c>
      <c r="AL24" s="15">
        <v>16</v>
      </c>
      <c r="AM24" s="15">
        <v>16</v>
      </c>
      <c r="AN24" s="15">
        <v>16</v>
      </c>
      <c r="AO24" s="15">
        <v>16</v>
      </c>
      <c r="AP24" s="16" t="s">
        <v>145</v>
      </c>
      <c r="AQ24" s="16" t="s">
        <v>145</v>
      </c>
      <c r="AR24" s="16" t="s">
        <v>145</v>
      </c>
      <c r="AS24" s="16" t="s">
        <v>145</v>
      </c>
      <c r="AT24" s="16">
        <v>12</v>
      </c>
      <c r="AU24" s="16" t="s">
        <v>145</v>
      </c>
      <c r="AV24" s="15">
        <v>32</v>
      </c>
      <c r="AW24" s="16" t="s">
        <v>145</v>
      </c>
      <c r="AX24" s="15">
        <v>16</v>
      </c>
      <c r="AY24" s="15">
        <v>32</v>
      </c>
      <c r="AZ24" s="16">
        <f t="shared" si="0"/>
        <v>448</v>
      </c>
    </row>
    <row r="25" spans="1:52" x14ac:dyDescent="0.25">
      <c r="A25" s="14">
        <v>22</v>
      </c>
      <c r="B25" s="14" t="s">
        <v>77</v>
      </c>
      <c r="C25" s="16" t="s">
        <v>145</v>
      </c>
      <c r="D25" s="15"/>
      <c r="E25" s="15">
        <v>92</v>
      </c>
      <c r="F25" s="16" t="s">
        <v>145</v>
      </c>
      <c r="G25" s="16" t="s">
        <v>145</v>
      </c>
      <c r="H25" s="16" t="s">
        <v>145</v>
      </c>
      <c r="I25" s="16" t="s">
        <v>145</v>
      </c>
      <c r="J25" s="15">
        <v>16</v>
      </c>
      <c r="K25" s="16" t="s">
        <v>145</v>
      </c>
      <c r="L25" s="16" t="s">
        <v>145</v>
      </c>
      <c r="M25" s="16" t="s">
        <v>145</v>
      </c>
      <c r="N25" s="15">
        <v>16</v>
      </c>
      <c r="O25" s="16" t="s">
        <v>145</v>
      </c>
      <c r="P25" s="16" t="s">
        <v>145</v>
      </c>
      <c r="Q25" s="16" t="s">
        <v>145</v>
      </c>
      <c r="R25" s="16" t="s">
        <v>145</v>
      </c>
      <c r="S25" s="16" t="s">
        <v>145</v>
      </c>
      <c r="T25" s="16" t="s">
        <v>145</v>
      </c>
      <c r="U25" s="16" t="s">
        <v>145</v>
      </c>
      <c r="V25" s="16" t="s">
        <v>145</v>
      </c>
      <c r="W25" s="16" t="s">
        <v>145</v>
      </c>
      <c r="X25" s="16" t="s">
        <v>145</v>
      </c>
      <c r="Y25" s="16" t="s">
        <v>145</v>
      </c>
      <c r="Z25" s="15">
        <v>16</v>
      </c>
      <c r="AA25" s="16" t="s">
        <v>145</v>
      </c>
      <c r="AB25" s="16" t="s">
        <v>145</v>
      </c>
      <c r="AC25" s="16" t="s">
        <v>145</v>
      </c>
      <c r="AD25" s="16" t="s">
        <v>145</v>
      </c>
      <c r="AE25" s="16" t="s">
        <v>145</v>
      </c>
      <c r="AF25" s="16" t="s">
        <v>145</v>
      </c>
      <c r="AG25" s="16" t="s">
        <v>145</v>
      </c>
      <c r="AH25" s="16" t="s">
        <v>145</v>
      </c>
      <c r="AI25" s="16" t="s">
        <v>145</v>
      </c>
      <c r="AJ25" s="15">
        <v>16</v>
      </c>
      <c r="AK25" s="16" t="s">
        <v>145</v>
      </c>
      <c r="AL25" s="16" t="s">
        <v>145</v>
      </c>
      <c r="AM25" s="16" t="s">
        <v>145</v>
      </c>
      <c r="AN25" s="15">
        <v>20</v>
      </c>
      <c r="AO25" s="16" t="s">
        <v>145</v>
      </c>
      <c r="AP25" s="16" t="s">
        <v>145</v>
      </c>
      <c r="AQ25" s="16" t="s">
        <v>145</v>
      </c>
      <c r="AR25" s="16" t="s">
        <v>145</v>
      </c>
      <c r="AS25" s="15">
        <v>16</v>
      </c>
      <c r="AT25" s="16" t="s">
        <v>145</v>
      </c>
      <c r="AU25" s="16" t="s">
        <v>145</v>
      </c>
      <c r="AV25" s="15"/>
      <c r="AW25" s="15">
        <v>32</v>
      </c>
      <c r="AX25" s="16" t="s">
        <v>145</v>
      </c>
      <c r="AY25" s="16" t="s">
        <v>145</v>
      </c>
      <c r="AZ25" s="16">
        <f t="shared" si="0"/>
        <v>224</v>
      </c>
    </row>
    <row r="26" spans="1:52" x14ac:dyDescent="0.25">
      <c r="A26" s="14">
        <v>23</v>
      </c>
      <c r="B26" s="14" t="s">
        <v>78</v>
      </c>
      <c r="C26" s="16" t="s">
        <v>145</v>
      </c>
      <c r="D26" s="15">
        <v>24</v>
      </c>
      <c r="E26" s="16" t="s">
        <v>145</v>
      </c>
      <c r="F26" s="15">
        <v>16</v>
      </c>
      <c r="G26" s="16" t="s">
        <v>145</v>
      </c>
      <c r="H26" s="15">
        <v>16</v>
      </c>
      <c r="I26" s="16" t="s">
        <v>145</v>
      </c>
      <c r="J26" s="15">
        <v>44</v>
      </c>
      <c r="K26" s="16" t="s">
        <v>145</v>
      </c>
      <c r="L26" s="16" t="s">
        <v>145</v>
      </c>
      <c r="M26" s="16" t="s">
        <v>145</v>
      </c>
      <c r="N26" s="15">
        <v>32</v>
      </c>
      <c r="O26" s="16" t="s">
        <v>145</v>
      </c>
      <c r="P26" s="16" t="s">
        <v>145</v>
      </c>
      <c r="Q26" s="16" t="s">
        <v>145</v>
      </c>
      <c r="R26" s="16" t="s">
        <v>145</v>
      </c>
      <c r="S26" s="16">
        <v>16</v>
      </c>
      <c r="T26" s="15">
        <v>16</v>
      </c>
      <c r="U26" s="15">
        <v>16</v>
      </c>
      <c r="V26" s="16" t="s">
        <v>145</v>
      </c>
      <c r="W26" s="16" t="s">
        <v>145</v>
      </c>
      <c r="X26" s="16" t="s">
        <v>145</v>
      </c>
      <c r="Y26" s="16" t="s">
        <v>145</v>
      </c>
      <c r="Z26" s="16" t="s">
        <v>145</v>
      </c>
      <c r="AA26" s="15">
        <v>16</v>
      </c>
      <c r="AB26" s="16" t="s">
        <v>145</v>
      </c>
      <c r="AC26" s="15">
        <v>16</v>
      </c>
      <c r="AD26" s="16" t="s">
        <v>145</v>
      </c>
      <c r="AE26" s="16" t="s">
        <v>145</v>
      </c>
      <c r="AF26" s="16" t="s">
        <v>145</v>
      </c>
      <c r="AG26" s="16" t="s">
        <v>145</v>
      </c>
      <c r="AH26" s="15">
        <v>28</v>
      </c>
      <c r="AI26" s="15">
        <v>16</v>
      </c>
      <c r="AJ26" s="15">
        <v>40</v>
      </c>
      <c r="AK26" s="16" t="s">
        <v>145</v>
      </c>
      <c r="AL26" s="15">
        <v>16</v>
      </c>
      <c r="AM26" s="16" t="s">
        <v>145</v>
      </c>
      <c r="AN26" s="15">
        <v>20</v>
      </c>
      <c r="AO26" s="15">
        <v>16</v>
      </c>
      <c r="AP26" s="16" t="s">
        <v>145</v>
      </c>
      <c r="AQ26" s="16">
        <v>16</v>
      </c>
      <c r="AR26" s="16" t="s">
        <v>145</v>
      </c>
      <c r="AS26" s="15">
        <v>16</v>
      </c>
      <c r="AT26" s="16" t="s">
        <v>145</v>
      </c>
      <c r="AU26" s="16">
        <v>4</v>
      </c>
      <c r="AV26" s="16" t="s">
        <v>145</v>
      </c>
      <c r="AW26" s="15">
        <v>52</v>
      </c>
      <c r="AX26" s="16" t="s">
        <v>145</v>
      </c>
      <c r="AY26" s="16" t="s">
        <v>145</v>
      </c>
      <c r="AZ26" s="16">
        <f t="shared" si="0"/>
        <v>436</v>
      </c>
    </row>
    <row r="27" spans="1:52" x14ac:dyDescent="0.25">
      <c r="A27" s="14">
        <v>24</v>
      </c>
      <c r="B27" s="14" t="s">
        <v>79</v>
      </c>
      <c r="C27" s="16" t="s">
        <v>145</v>
      </c>
      <c r="D27" s="15">
        <v>72</v>
      </c>
      <c r="E27" s="16" t="s">
        <v>145</v>
      </c>
      <c r="F27" s="16" t="s">
        <v>145</v>
      </c>
      <c r="G27" s="16" t="s">
        <v>145</v>
      </c>
      <c r="H27" s="16" t="s">
        <v>145</v>
      </c>
      <c r="I27" s="16" t="s">
        <v>145</v>
      </c>
      <c r="J27" s="16" t="s">
        <v>145</v>
      </c>
      <c r="K27" s="16" t="s">
        <v>145</v>
      </c>
      <c r="L27" s="16" t="s">
        <v>145</v>
      </c>
      <c r="M27" s="16" t="s">
        <v>145</v>
      </c>
      <c r="N27" s="16" t="s">
        <v>145</v>
      </c>
      <c r="O27" s="16" t="s">
        <v>145</v>
      </c>
      <c r="P27" s="16" t="s">
        <v>145</v>
      </c>
      <c r="Q27" s="16" t="s">
        <v>145</v>
      </c>
      <c r="R27" s="16" t="s">
        <v>145</v>
      </c>
      <c r="S27" s="16" t="s">
        <v>145</v>
      </c>
      <c r="T27" s="16" t="s">
        <v>145</v>
      </c>
      <c r="U27" s="16" t="s">
        <v>145</v>
      </c>
      <c r="V27" s="16" t="s">
        <v>145</v>
      </c>
      <c r="W27" s="16" t="s">
        <v>145</v>
      </c>
      <c r="X27" s="16" t="s">
        <v>145</v>
      </c>
      <c r="Y27" s="16" t="s">
        <v>145</v>
      </c>
      <c r="Z27" s="16" t="s">
        <v>145</v>
      </c>
      <c r="AA27" s="16" t="s">
        <v>145</v>
      </c>
      <c r="AB27" s="16" t="s">
        <v>145</v>
      </c>
      <c r="AC27" s="16" t="s">
        <v>145</v>
      </c>
      <c r="AD27" s="16" t="s">
        <v>145</v>
      </c>
      <c r="AE27" s="16" t="s">
        <v>145</v>
      </c>
      <c r="AF27" s="16" t="s">
        <v>145</v>
      </c>
      <c r="AG27" s="16" t="s">
        <v>145</v>
      </c>
      <c r="AH27" s="16" t="s">
        <v>145</v>
      </c>
      <c r="AI27" s="16" t="s">
        <v>145</v>
      </c>
      <c r="AJ27" s="16" t="s">
        <v>145</v>
      </c>
      <c r="AK27" s="16" t="s">
        <v>145</v>
      </c>
      <c r="AL27" s="15">
        <v>16</v>
      </c>
      <c r="AM27" s="16" t="s">
        <v>145</v>
      </c>
      <c r="AN27" s="16" t="s">
        <v>145</v>
      </c>
      <c r="AO27" s="15">
        <v>16</v>
      </c>
      <c r="AP27" s="16" t="s">
        <v>145</v>
      </c>
      <c r="AQ27" s="16" t="s">
        <v>145</v>
      </c>
      <c r="AR27" s="16" t="s">
        <v>145</v>
      </c>
      <c r="AS27" s="16" t="s">
        <v>145</v>
      </c>
      <c r="AT27" s="16" t="s">
        <v>145</v>
      </c>
      <c r="AU27" s="16" t="s">
        <v>145</v>
      </c>
      <c r="AV27" s="16" t="s">
        <v>145</v>
      </c>
      <c r="AW27" s="16" t="s">
        <v>145</v>
      </c>
      <c r="AX27" s="16" t="s">
        <v>145</v>
      </c>
      <c r="AY27" s="16" t="s">
        <v>145</v>
      </c>
      <c r="AZ27" s="16">
        <f t="shared" si="0"/>
        <v>104</v>
      </c>
    </row>
    <row r="28" spans="1:52" x14ac:dyDescent="0.25">
      <c r="A28" s="14">
        <v>25</v>
      </c>
      <c r="B28" s="14" t="s">
        <v>80</v>
      </c>
      <c r="C28" s="15">
        <v>4</v>
      </c>
      <c r="D28" s="15">
        <v>36</v>
      </c>
      <c r="E28" s="16" t="s">
        <v>145</v>
      </c>
      <c r="F28" s="15">
        <v>8</v>
      </c>
      <c r="G28" s="16" t="s">
        <v>145</v>
      </c>
      <c r="H28" s="16" t="s">
        <v>145</v>
      </c>
      <c r="I28" s="16" t="s">
        <v>145</v>
      </c>
      <c r="J28" s="16" t="s">
        <v>145</v>
      </c>
      <c r="K28" s="16" t="s">
        <v>145</v>
      </c>
      <c r="L28" s="16" t="s">
        <v>145</v>
      </c>
      <c r="M28" s="16" t="s">
        <v>145</v>
      </c>
      <c r="N28" s="16" t="s">
        <v>145</v>
      </c>
      <c r="O28" s="16" t="s">
        <v>145</v>
      </c>
      <c r="P28" s="16" t="s">
        <v>145</v>
      </c>
      <c r="Q28" s="16" t="s">
        <v>145</v>
      </c>
      <c r="R28" s="16" t="s">
        <v>145</v>
      </c>
      <c r="S28" s="16" t="s">
        <v>145</v>
      </c>
      <c r="T28" s="16" t="s">
        <v>145</v>
      </c>
      <c r="U28" s="16" t="s">
        <v>145</v>
      </c>
      <c r="V28" s="16" t="s">
        <v>145</v>
      </c>
      <c r="W28" s="16" t="s">
        <v>145</v>
      </c>
      <c r="X28" s="16" t="s">
        <v>145</v>
      </c>
      <c r="Y28" s="16" t="s">
        <v>145</v>
      </c>
      <c r="Z28" s="15">
        <v>4</v>
      </c>
      <c r="AA28" s="16" t="s">
        <v>145</v>
      </c>
      <c r="AB28" s="16" t="s">
        <v>145</v>
      </c>
      <c r="AC28" s="16" t="s">
        <v>145</v>
      </c>
      <c r="AD28" s="16" t="s">
        <v>145</v>
      </c>
      <c r="AE28" s="16" t="s">
        <v>145</v>
      </c>
      <c r="AF28" s="16" t="s">
        <v>145</v>
      </c>
      <c r="AG28" s="16" t="s">
        <v>145</v>
      </c>
      <c r="AH28" s="16" t="s">
        <v>145</v>
      </c>
      <c r="AI28" s="16" t="s">
        <v>145</v>
      </c>
      <c r="AJ28" s="16" t="s">
        <v>145</v>
      </c>
      <c r="AK28" s="16" t="s">
        <v>145</v>
      </c>
      <c r="AL28" s="16" t="s">
        <v>145</v>
      </c>
      <c r="AM28" s="16" t="s">
        <v>145</v>
      </c>
      <c r="AN28" s="16" t="s">
        <v>145</v>
      </c>
      <c r="AO28" s="15"/>
      <c r="AP28" s="16" t="s">
        <v>145</v>
      </c>
      <c r="AQ28" s="16" t="s">
        <v>145</v>
      </c>
      <c r="AR28" s="16" t="s">
        <v>145</v>
      </c>
      <c r="AS28" s="16" t="s">
        <v>145</v>
      </c>
      <c r="AT28" s="16" t="s">
        <v>145</v>
      </c>
      <c r="AU28" s="16">
        <v>4</v>
      </c>
      <c r="AV28" s="16" t="s">
        <v>145</v>
      </c>
      <c r="AW28" s="16" t="s">
        <v>145</v>
      </c>
      <c r="AX28" s="16" t="s">
        <v>145</v>
      </c>
      <c r="AY28" s="16" t="s">
        <v>145</v>
      </c>
      <c r="AZ28" s="16">
        <f t="shared" si="0"/>
        <v>56</v>
      </c>
    </row>
    <row r="29" spans="1:52" x14ac:dyDescent="0.25">
      <c r="A29" s="14">
        <v>26</v>
      </c>
      <c r="B29" s="14" t="s">
        <v>81</v>
      </c>
      <c r="C29" s="16" t="s">
        <v>145</v>
      </c>
      <c r="D29" s="15">
        <v>16</v>
      </c>
      <c r="E29" s="16" t="s">
        <v>145</v>
      </c>
      <c r="F29" s="15">
        <v>16</v>
      </c>
      <c r="G29" s="16" t="s">
        <v>145</v>
      </c>
      <c r="H29" s="16" t="s">
        <v>145</v>
      </c>
      <c r="I29" s="16" t="s">
        <v>145</v>
      </c>
      <c r="J29" s="15">
        <v>32</v>
      </c>
      <c r="K29" s="16" t="s">
        <v>145</v>
      </c>
      <c r="L29" s="16" t="s">
        <v>145</v>
      </c>
      <c r="M29" s="16" t="s">
        <v>145</v>
      </c>
      <c r="N29" s="15">
        <v>56</v>
      </c>
      <c r="O29" s="16" t="s">
        <v>145</v>
      </c>
      <c r="P29" s="16" t="s">
        <v>145</v>
      </c>
      <c r="Q29" s="16" t="s">
        <v>145</v>
      </c>
      <c r="R29" s="16" t="s">
        <v>145</v>
      </c>
      <c r="S29" s="16" t="s">
        <v>145</v>
      </c>
      <c r="T29" s="16" t="s">
        <v>145</v>
      </c>
      <c r="U29" s="15">
        <v>16</v>
      </c>
      <c r="V29" s="16" t="s">
        <v>145</v>
      </c>
      <c r="W29" s="16" t="s">
        <v>145</v>
      </c>
      <c r="X29" s="16" t="s">
        <v>145</v>
      </c>
      <c r="Y29" s="16" t="s">
        <v>145</v>
      </c>
      <c r="Z29" s="15">
        <v>28</v>
      </c>
      <c r="AA29" s="16" t="s">
        <v>145</v>
      </c>
      <c r="AB29" s="16" t="s">
        <v>145</v>
      </c>
      <c r="AC29" s="15">
        <v>52</v>
      </c>
      <c r="AD29" s="16" t="s">
        <v>145</v>
      </c>
      <c r="AE29" s="16" t="s">
        <v>145</v>
      </c>
      <c r="AF29" s="16" t="s">
        <v>145</v>
      </c>
      <c r="AG29" s="16" t="s">
        <v>145</v>
      </c>
      <c r="AH29" s="16" t="s">
        <v>145</v>
      </c>
      <c r="AI29" s="16" t="s">
        <v>145</v>
      </c>
      <c r="AJ29" s="15">
        <v>24</v>
      </c>
      <c r="AK29" s="16" t="s">
        <v>145</v>
      </c>
      <c r="AL29" s="16" t="s">
        <v>145</v>
      </c>
      <c r="AM29" s="16" t="s">
        <v>145</v>
      </c>
      <c r="AN29" s="16" t="s">
        <v>145</v>
      </c>
      <c r="AO29" s="16" t="s">
        <v>145</v>
      </c>
      <c r="AP29" s="16" t="s">
        <v>145</v>
      </c>
      <c r="AQ29" s="16" t="s">
        <v>145</v>
      </c>
      <c r="AR29" s="16" t="s">
        <v>145</v>
      </c>
      <c r="AS29" s="16" t="s">
        <v>145</v>
      </c>
      <c r="AT29" s="16" t="s">
        <v>145</v>
      </c>
      <c r="AU29" s="16" t="s">
        <v>145</v>
      </c>
      <c r="AV29" s="16" t="s">
        <v>145</v>
      </c>
      <c r="AW29" s="15">
        <v>48</v>
      </c>
      <c r="AX29" s="16" t="s">
        <v>145</v>
      </c>
      <c r="AY29" s="16" t="s">
        <v>145</v>
      </c>
      <c r="AZ29" s="16">
        <f t="shared" si="0"/>
        <v>288</v>
      </c>
    </row>
    <row r="30" spans="1:52" x14ac:dyDescent="0.25">
      <c r="A30" s="14">
        <v>27</v>
      </c>
      <c r="B30" s="14" t="s">
        <v>82</v>
      </c>
      <c r="C30" s="15">
        <v>16</v>
      </c>
      <c r="D30" s="15">
        <v>16</v>
      </c>
      <c r="E30" s="16" t="s">
        <v>145</v>
      </c>
      <c r="F30" s="16" t="s">
        <v>145</v>
      </c>
      <c r="G30" s="16" t="s">
        <v>145</v>
      </c>
      <c r="H30" s="16" t="s">
        <v>145</v>
      </c>
      <c r="I30" s="16" t="s">
        <v>145</v>
      </c>
      <c r="J30" s="16" t="s">
        <v>145</v>
      </c>
      <c r="K30" s="16" t="s">
        <v>145</v>
      </c>
      <c r="L30" s="16" t="s">
        <v>145</v>
      </c>
      <c r="M30" s="16" t="s">
        <v>145</v>
      </c>
      <c r="N30" s="16" t="s">
        <v>145</v>
      </c>
      <c r="O30" s="16" t="s">
        <v>145</v>
      </c>
      <c r="P30" s="16" t="s">
        <v>145</v>
      </c>
      <c r="Q30" s="16" t="s">
        <v>145</v>
      </c>
      <c r="R30" s="16" t="s">
        <v>145</v>
      </c>
      <c r="S30" s="16" t="s">
        <v>145</v>
      </c>
      <c r="T30" s="16" t="s">
        <v>145</v>
      </c>
      <c r="U30" s="16" t="s">
        <v>145</v>
      </c>
      <c r="V30" s="16" t="s">
        <v>145</v>
      </c>
      <c r="W30" s="16" t="s">
        <v>145</v>
      </c>
      <c r="X30" s="16" t="s">
        <v>145</v>
      </c>
      <c r="Y30" s="16" t="s">
        <v>145</v>
      </c>
      <c r="Z30" s="16" t="s">
        <v>145</v>
      </c>
      <c r="AA30" s="16" t="s">
        <v>145</v>
      </c>
      <c r="AB30" s="16" t="s">
        <v>145</v>
      </c>
      <c r="AC30" s="16" t="s">
        <v>145</v>
      </c>
      <c r="AD30" s="16" t="s">
        <v>145</v>
      </c>
      <c r="AE30" s="16" t="s">
        <v>145</v>
      </c>
      <c r="AF30" s="16" t="s">
        <v>145</v>
      </c>
      <c r="AG30" s="16" t="s">
        <v>145</v>
      </c>
      <c r="AH30" s="16" t="s">
        <v>145</v>
      </c>
      <c r="AI30" s="16" t="s">
        <v>145</v>
      </c>
      <c r="AJ30" s="16" t="s">
        <v>145</v>
      </c>
      <c r="AK30" s="16" t="s">
        <v>145</v>
      </c>
      <c r="AL30" s="16" t="s">
        <v>145</v>
      </c>
      <c r="AM30" s="16" t="s">
        <v>145</v>
      </c>
      <c r="AN30" s="16" t="s">
        <v>145</v>
      </c>
      <c r="AO30" s="16" t="s">
        <v>145</v>
      </c>
      <c r="AP30" s="16" t="s">
        <v>145</v>
      </c>
      <c r="AQ30" s="16" t="s">
        <v>145</v>
      </c>
      <c r="AR30" s="16" t="s">
        <v>145</v>
      </c>
      <c r="AS30" s="16" t="s">
        <v>145</v>
      </c>
      <c r="AT30" s="16" t="s">
        <v>145</v>
      </c>
      <c r="AU30" s="16" t="s">
        <v>145</v>
      </c>
      <c r="AV30" s="16" t="s">
        <v>145</v>
      </c>
      <c r="AW30" s="16" t="s">
        <v>145</v>
      </c>
      <c r="AX30" s="16" t="s">
        <v>145</v>
      </c>
      <c r="AY30" s="16" t="s">
        <v>145</v>
      </c>
      <c r="AZ30" s="16">
        <f t="shared" si="0"/>
        <v>32</v>
      </c>
    </row>
    <row r="31" spans="1:52" x14ac:dyDescent="0.25">
      <c r="A31" s="14">
        <v>28</v>
      </c>
      <c r="B31" s="14" t="s">
        <v>83</v>
      </c>
      <c r="C31" s="16" t="s">
        <v>145</v>
      </c>
      <c r="D31" s="16" t="s">
        <v>145</v>
      </c>
      <c r="E31" s="16" t="s">
        <v>145</v>
      </c>
      <c r="F31" s="16" t="s">
        <v>145</v>
      </c>
      <c r="G31" s="16" t="s">
        <v>145</v>
      </c>
      <c r="H31" s="16" t="s">
        <v>145</v>
      </c>
      <c r="I31" s="16" t="s">
        <v>145</v>
      </c>
      <c r="J31" s="16" t="s">
        <v>145</v>
      </c>
      <c r="K31" s="16" t="s">
        <v>145</v>
      </c>
      <c r="L31" s="16" t="s">
        <v>145</v>
      </c>
      <c r="M31" s="16" t="s">
        <v>145</v>
      </c>
      <c r="N31" s="16" t="s">
        <v>145</v>
      </c>
      <c r="O31" s="16" t="s">
        <v>145</v>
      </c>
      <c r="P31" s="16" t="s">
        <v>145</v>
      </c>
      <c r="Q31" s="16" t="s">
        <v>145</v>
      </c>
      <c r="R31" s="16" t="s">
        <v>145</v>
      </c>
      <c r="S31" s="16" t="s">
        <v>145</v>
      </c>
      <c r="T31" s="16" t="s">
        <v>145</v>
      </c>
      <c r="U31" s="16" t="s">
        <v>145</v>
      </c>
      <c r="V31" s="16" t="s">
        <v>145</v>
      </c>
      <c r="W31" s="16" t="s">
        <v>145</v>
      </c>
      <c r="X31" s="16" t="s">
        <v>145</v>
      </c>
      <c r="Y31" s="16" t="s">
        <v>145</v>
      </c>
      <c r="Z31" s="16" t="s">
        <v>145</v>
      </c>
      <c r="AA31" s="16" t="s">
        <v>145</v>
      </c>
      <c r="AB31" s="16" t="s">
        <v>145</v>
      </c>
      <c r="AC31" s="16" t="s">
        <v>145</v>
      </c>
      <c r="AD31" s="16" t="s">
        <v>145</v>
      </c>
      <c r="AE31" s="16" t="s">
        <v>145</v>
      </c>
      <c r="AF31" s="16" t="s">
        <v>145</v>
      </c>
      <c r="AG31" s="16" t="s">
        <v>145</v>
      </c>
      <c r="AH31" s="16" t="s">
        <v>145</v>
      </c>
      <c r="AI31" s="16" t="s">
        <v>145</v>
      </c>
      <c r="AJ31" s="16" t="s">
        <v>145</v>
      </c>
      <c r="AK31" s="16" t="s">
        <v>145</v>
      </c>
      <c r="AL31" s="16" t="s">
        <v>145</v>
      </c>
      <c r="AM31" s="16" t="s">
        <v>145</v>
      </c>
      <c r="AN31" s="16" t="s">
        <v>145</v>
      </c>
      <c r="AO31" s="16" t="s">
        <v>145</v>
      </c>
      <c r="AP31" s="16" t="s">
        <v>145</v>
      </c>
      <c r="AQ31" s="16" t="s">
        <v>145</v>
      </c>
      <c r="AR31" s="16" t="s">
        <v>145</v>
      </c>
      <c r="AS31" s="16" t="s">
        <v>145</v>
      </c>
      <c r="AT31" s="16" t="s">
        <v>145</v>
      </c>
      <c r="AU31" s="16" t="s">
        <v>145</v>
      </c>
      <c r="AV31" s="16" t="s">
        <v>145</v>
      </c>
      <c r="AW31" s="16" t="s">
        <v>145</v>
      </c>
      <c r="AX31" s="16" t="s">
        <v>145</v>
      </c>
      <c r="AY31" s="16" t="s">
        <v>145</v>
      </c>
      <c r="AZ31" s="16">
        <f t="shared" si="0"/>
        <v>0</v>
      </c>
    </row>
    <row r="32" spans="1:52" x14ac:dyDescent="0.25">
      <c r="A32" s="14">
        <v>29</v>
      </c>
      <c r="B32" s="14" t="s">
        <v>84</v>
      </c>
      <c r="C32" s="15">
        <v>16</v>
      </c>
      <c r="D32" s="15">
        <v>16</v>
      </c>
      <c r="E32" s="16" t="s">
        <v>145</v>
      </c>
      <c r="F32" s="15">
        <v>16</v>
      </c>
      <c r="G32" s="16" t="s">
        <v>145</v>
      </c>
      <c r="H32" s="15">
        <v>16</v>
      </c>
      <c r="I32" s="16" t="s">
        <v>145</v>
      </c>
      <c r="J32" s="16" t="s">
        <v>145</v>
      </c>
      <c r="K32" s="16" t="s">
        <v>145</v>
      </c>
      <c r="L32" s="16" t="s">
        <v>145</v>
      </c>
      <c r="M32" s="16" t="s">
        <v>145</v>
      </c>
      <c r="N32" s="16" t="s">
        <v>145</v>
      </c>
      <c r="O32" s="16" t="s">
        <v>145</v>
      </c>
      <c r="P32" s="15">
        <v>60</v>
      </c>
      <c r="Q32" s="15">
        <v>40</v>
      </c>
      <c r="R32" s="15">
        <v>16</v>
      </c>
      <c r="S32" s="16" t="s">
        <v>145</v>
      </c>
      <c r="T32" s="16" t="s">
        <v>145</v>
      </c>
      <c r="U32" s="16" t="s">
        <v>145</v>
      </c>
      <c r="V32" s="15">
        <v>48</v>
      </c>
      <c r="W32" s="16" t="s">
        <v>145</v>
      </c>
      <c r="X32" s="16" t="s">
        <v>145</v>
      </c>
      <c r="Y32" s="16" t="s">
        <v>145</v>
      </c>
      <c r="Z32" s="16" t="s">
        <v>145</v>
      </c>
      <c r="AA32" s="16" t="s">
        <v>145</v>
      </c>
      <c r="AB32" s="16" t="s">
        <v>145</v>
      </c>
      <c r="AC32" s="16" t="s">
        <v>145</v>
      </c>
      <c r="AD32" s="15">
        <v>88</v>
      </c>
      <c r="AE32" s="16" t="s">
        <v>145</v>
      </c>
      <c r="AF32" s="15">
        <v>16</v>
      </c>
      <c r="AG32" s="16" t="s">
        <v>145</v>
      </c>
      <c r="AH32" s="15">
        <v>16</v>
      </c>
      <c r="AI32" s="16" t="s">
        <v>145</v>
      </c>
      <c r="AJ32" s="16" t="s">
        <v>145</v>
      </c>
      <c r="AK32" s="16" t="s">
        <v>145</v>
      </c>
      <c r="AL32" s="15">
        <v>36</v>
      </c>
      <c r="AM32" s="15">
        <v>16</v>
      </c>
      <c r="AN32" s="16" t="s">
        <v>145</v>
      </c>
      <c r="AO32" s="16" t="s">
        <v>145</v>
      </c>
      <c r="AP32" s="16" t="s">
        <v>145</v>
      </c>
      <c r="AQ32" s="15">
        <v>16</v>
      </c>
      <c r="AR32" s="16" t="s">
        <v>145</v>
      </c>
      <c r="AS32" s="16" t="s">
        <v>145</v>
      </c>
      <c r="AT32" s="16" t="s">
        <v>145</v>
      </c>
      <c r="AU32" s="16" t="s">
        <v>145</v>
      </c>
      <c r="AV32" s="16" t="s">
        <v>145</v>
      </c>
      <c r="AW32" s="16" t="s">
        <v>145</v>
      </c>
      <c r="AX32" s="15">
        <v>16</v>
      </c>
      <c r="AY32" s="16" t="s">
        <v>145</v>
      </c>
      <c r="AZ32" s="16">
        <f t="shared" si="0"/>
        <v>432</v>
      </c>
    </row>
    <row r="33" spans="1:52" x14ac:dyDescent="0.25">
      <c r="A33" s="14">
        <v>30</v>
      </c>
      <c r="B33" s="14" t="s">
        <v>85</v>
      </c>
      <c r="C33" s="15">
        <v>16</v>
      </c>
      <c r="D33" s="15">
        <v>28</v>
      </c>
      <c r="E33" s="16" t="s">
        <v>145</v>
      </c>
      <c r="F33" s="16" t="s">
        <v>145</v>
      </c>
      <c r="G33" s="16" t="s">
        <v>145</v>
      </c>
      <c r="H33" s="16" t="s">
        <v>145</v>
      </c>
      <c r="I33" s="16" t="s">
        <v>145</v>
      </c>
      <c r="J33" s="16" t="s">
        <v>145</v>
      </c>
      <c r="K33" s="16" t="s">
        <v>145</v>
      </c>
      <c r="L33" s="15">
        <v>16</v>
      </c>
      <c r="M33" s="16" t="s">
        <v>145</v>
      </c>
      <c r="N33" s="16" t="s">
        <v>145</v>
      </c>
      <c r="O33" s="16" t="s">
        <v>145</v>
      </c>
      <c r="P33" s="16" t="s">
        <v>145</v>
      </c>
      <c r="Q33" s="16" t="s">
        <v>145</v>
      </c>
      <c r="R33" s="16" t="s">
        <v>145</v>
      </c>
      <c r="S33" s="15">
        <v>16</v>
      </c>
      <c r="T33" s="16" t="s">
        <v>145</v>
      </c>
      <c r="U33" s="16" t="s">
        <v>145</v>
      </c>
      <c r="V33" s="16" t="s">
        <v>145</v>
      </c>
      <c r="W33" s="16" t="s">
        <v>145</v>
      </c>
      <c r="X33" s="16" t="s">
        <v>145</v>
      </c>
      <c r="Y33" s="16" t="s">
        <v>145</v>
      </c>
      <c r="Z33" s="15">
        <v>16</v>
      </c>
      <c r="AA33" s="16" t="s">
        <v>145</v>
      </c>
      <c r="AB33" s="16" t="s">
        <v>145</v>
      </c>
      <c r="AC33" s="16" t="s">
        <v>145</v>
      </c>
      <c r="AD33" s="16" t="s">
        <v>145</v>
      </c>
      <c r="AE33" s="16">
        <v>8</v>
      </c>
      <c r="AF33" s="16" t="s">
        <v>145</v>
      </c>
      <c r="AG33" s="16" t="s">
        <v>145</v>
      </c>
      <c r="AH33" s="15">
        <v>48</v>
      </c>
      <c r="AI33" s="16" t="s">
        <v>145</v>
      </c>
      <c r="AJ33" s="16" t="s">
        <v>145</v>
      </c>
      <c r="AK33" s="15">
        <v>16</v>
      </c>
      <c r="AL33" s="15">
        <v>16</v>
      </c>
      <c r="AM33" s="15">
        <v>16</v>
      </c>
      <c r="AN33" s="16" t="s">
        <v>145</v>
      </c>
      <c r="AO33" s="15">
        <v>16</v>
      </c>
      <c r="AP33" s="16">
        <v>20</v>
      </c>
      <c r="AQ33" s="16" t="s">
        <v>145</v>
      </c>
      <c r="AR33" s="16" t="s">
        <v>145</v>
      </c>
      <c r="AS33" s="16" t="s">
        <v>145</v>
      </c>
      <c r="AT33" s="15">
        <v>4</v>
      </c>
      <c r="AU33" s="16">
        <v>16</v>
      </c>
      <c r="AV33" s="16" t="s">
        <v>145</v>
      </c>
      <c r="AW33" s="16" t="s">
        <v>145</v>
      </c>
      <c r="AX33" s="16" t="s">
        <v>145</v>
      </c>
      <c r="AY33" s="16" t="s">
        <v>145</v>
      </c>
      <c r="AZ33" s="16">
        <f t="shared" si="0"/>
        <v>252</v>
      </c>
    </row>
    <row r="34" spans="1:52" x14ac:dyDescent="0.25">
      <c r="A34" s="14">
        <v>31</v>
      </c>
      <c r="B34" s="14" t="s">
        <v>86</v>
      </c>
      <c r="C34" s="16" t="s">
        <v>145</v>
      </c>
      <c r="D34" s="15">
        <v>16</v>
      </c>
      <c r="E34" s="16" t="s">
        <v>145</v>
      </c>
      <c r="F34" s="16" t="s">
        <v>145</v>
      </c>
      <c r="G34" s="16" t="s">
        <v>145</v>
      </c>
      <c r="H34" s="15">
        <v>24</v>
      </c>
      <c r="I34" s="15"/>
      <c r="J34" s="15">
        <v>104</v>
      </c>
      <c r="K34" s="16" t="s">
        <v>145</v>
      </c>
      <c r="L34" s="16" t="s">
        <v>145</v>
      </c>
      <c r="M34" s="16" t="s">
        <v>145</v>
      </c>
      <c r="N34" s="16" t="s">
        <v>145</v>
      </c>
      <c r="O34" s="16" t="s">
        <v>145</v>
      </c>
      <c r="P34" s="16" t="s">
        <v>145</v>
      </c>
      <c r="Q34" s="16" t="s">
        <v>145</v>
      </c>
      <c r="R34" s="15">
        <v>16</v>
      </c>
      <c r="S34" s="16" t="s">
        <v>145</v>
      </c>
      <c r="T34" s="15">
        <v>16</v>
      </c>
      <c r="U34" s="16" t="s">
        <v>145</v>
      </c>
      <c r="V34" s="16" t="s">
        <v>145</v>
      </c>
      <c r="W34" s="16" t="s">
        <v>145</v>
      </c>
      <c r="X34" s="16" t="s">
        <v>145</v>
      </c>
      <c r="Y34" s="16" t="s">
        <v>145</v>
      </c>
      <c r="Z34" s="16" t="s">
        <v>145</v>
      </c>
      <c r="AA34" s="16" t="s">
        <v>145</v>
      </c>
      <c r="AB34" s="16" t="s">
        <v>145</v>
      </c>
      <c r="AC34" s="16">
        <v>16</v>
      </c>
      <c r="AD34" s="15">
        <v>28</v>
      </c>
      <c r="AE34" s="16" t="s">
        <v>145</v>
      </c>
      <c r="AF34" s="16" t="s">
        <v>145</v>
      </c>
      <c r="AG34" s="16" t="s">
        <v>145</v>
      </c>
      <c r="AH34" s="16" t="s">
        <v>145</v>
      </c>
      <c r="AI34" s="15">
        <v>16</v>
      </c>
      <c r="AJ34" s="16" t="s">
        <v>145</v>
      </c>
      <c r="AK34" s="16" t="s">
        <v>145</v>
      </c>
      <c r="AL34" s="15">
        <v>16</v>
      </c>
      <c r="AM34" s="15">
        <v>16</v>
      </c>
      <c r="AN34" s="16" t="s">
        <v>145</v>
      </c>
      <c r="AO34" s="15">
        <v>16</v>
      </c>
      <c r="AP34" s="16" t="s">
        <v>145</v>
      </c>
      <c r="AQ34" s="16" t="s">
        <v>145</v>
      </c>
      <c r="AR34" s="16" t="s">
        <v>145</v>
      </c>
      <c r="AS34" s="16" t="s">
        <v>145</v>
      </c>
      <c r="AT34" s="16" t="s">
        <v>145</v>
      </c>
      <c r="AU34" s="16" t="s">
        <v>145</v>
      </c>
      <c r="AV34" s="16" t="s">
        <v>145</v>
      </c>
      <c r="AW34" s="16" t="s">
        <v>145</v>
      </c>
      <c r="AX34" s="16" t="s">
        <v>145</v>
      </c>
      <c r="AY34" s="15">
        <v>16</v>
      </c>
      <c r="AZ34" s="16">
        <f t="shared" si="0"/>
        <v>300</v>
      </c>
    </row>
    <row r="35" spans="1:52" x14ac:dyDescent="0.25">
      <c r="A35" s="14">
        <v>32</v>
      </c>
      <c r="B35" s="14" t="s">
        <v>142</v>
      </c>
      <c r="C35" s="15">
        <v>16</v>
      </c>
      <c r="D35" s="15">
        <v>28</v>
      </c>
      <c r="E35" s="16" t="s">
        <v>145</v>
      </c>
      <c r="F35" s="15">
        <v>12</v>
      </c>
      <c r="G35" s="16" t="s">
        <v>145</v>
      </c>
      <c r="H35" s="16" t="s">
        <v>145</v>
      </c>
      <c r="I35" s="16" t="s">
        <v>145</v>
      </c>
      <c r="J35" s="16" t="s">
        <v>145</v>
      </c>
      <c r="K35" s="16" t="s">
        <v>145</v>
      </c>
      <c r="L35" s="16" t="s">
        <v>145</v>
      </c>
      <c r="M35" s="16" t="s">
        <v>145</v>
      </c>
      <c r="N35" s="16" t="s">
        <v>145</v>
      </c>
      <c r="O35" s="16" t="s">
        <v>145</v>
      </c>
      <c r="P35" s="16" t="s">
        <v>145</v>
      </c>
      <c r="Q35" s="16" t="s">
        <v>145</v>
      </c>
      <c r="R35" s="16" t="s">
        <v>145</v>
      </c>
      <c r="S35" s="16" t="s">
        <v>145</v>
      </c>
      <c r="T35" s="16" t="s">
        <v>145</v>
      </c>
      <c r="U35" s="16" t="s">
        <v>145</v>
      </c>
      <c r="V35" s="16" t="s">
        <v>145</v>
      </c>
      <c r="W35" s="16" t="s">
        <v>145</v>
      </c>
      <c r="X35" s="16" t="s">
        <v>145</v>
      </c>
      <c r="Y35" s="16" t="s">
        <v>145</v>
      </c>
      <c r="Z35" s="16" t="s">
        <v>145</v>
      </c>
      <c r="AA35" s="16" t="s">
        <v>145</v>
      </c>
      <c r="AB35" s="16" t="s">
        <v>145</v>
      </c>
      <c r="AC35" s="16" t="s">
        <v>145</v>
      </c>
      <c r="AD35" s="16" t="s">
        <v>145</v>
      </c>
      <c r="AE35" s="16" t="s">
        <v>145</v>
      </c>
      <c r="AF35" s="16" t="s">
        <v>145</v>
      </c>
      <c r="AG35" s="16" t="s">
        <v>145</v>
      </c>
      <c r="AH35" s="16" t="s">
        <v>145</v>
      </c>
      <c r="AI35" s="16" t="s">
        <v>145</v>
      </c>
      <c r="AJ35" s="16" t="s">
        <v>145</v>
      </c>
      <c r="AK35" s="15">
        <v>4</v>
      </c>
      <c r="AL35" s="16" t="s">
        <v>145</v>
      </c>
      <c r="AM35" s="16">
        <v>16</v>
      </c>
      <c r="AN35" s="16" t="s">
        <v>145</v>
      </c>
      <c r="AO35" s="16">
        <v>12</v>
      </c>
      <c r="AP35" s="16">
        <v>8</v>
      </c>
      <c r="AQ35" s="16" t="s">
        <v>145</v>
      </c>
      <c r="AR35" s="16" t="s">
        <v>145</v>
      </c>
      <c r="AS35" s="16" t="s">
        <v>145</v>
      </c>
      <c r="AT35" s="16" t="s">
        <v>145</v>
      </c>
      <c r="AU35" s="16" t="s">
        <v>145</v>
      </c>
      <c r="AV35" s="16" t="s">
        <v>145</v>
      </c>
      <c r="AW35" s="16" t="s">
        <v>145</v>
      </c>
      <c r="AX35" s="16" t="s">
        <v>145</v>
      </c>
      <c r="AY35" s="16" t="s">
        <v>145</v>
      </c>
      <c r="AZ35" s="16">
        <f t="shared" si="0"/>
        <v>96</v>
      </c>
    </row>
    <row r="36" spans="1:52" x14ac:dyDescent="0.25">
      <c r="A36" s="14">
        <v>33</v>
      </c>
      <c r="B36" s="14" t="s">
        <v>87</v>
      </c>
      <c r="C36" s="15">
        <v>12</v>
      </c>
      <c r="D36" s="15">
        <v>36</v>
      </c>
      <c r="E36" s="16" t="s">
        <v>145</v>
      </c>
      <c r="F36" s="15">
        <v>8</v>
      </c>
      <c r="G36" s="16" t="s">
        <v>145</v>
      </c>
      <c r="H36" s="16" t="s">
        <v>145</v>
      </c>
      <c r="I36" s="16" t="s">
        <v>145</v>
      </c>
      <c r="J36" s="16" t="s">
        <v>145</v>
      </c>
      <c r="K36" s="15"/>
      <c r="L36" s="15">
        <v>48</v>
      </c>
      <c r="M36" s="16" t="s">
        <v>145</v>
      </c>
      <c r="N36" s="16" t="s">
        <v>145</v>
      </c>
      <c r="O36" s="16" t="s">
        <v>145</v>
      </c>
      <c r="P36" s="16" t="s">
        <v>145</v>
      </c>
      <c r="Q36" s="16" t="s">
        <v>145</v>
      </c>
      <c r="R36" s="15">
        <v>20</v>
      </c>
      <c r="S36" s="16" t="s">
        <v>145</v>
      </c>
      <c r="T36" s="15">
        <v>16</v>
      </c>
      <c r="U36" s="16" t="s">
        <v>145</v>
      </c>
      <c r="V36" s="16" t="s">
        <v>145</v>
      </c>
      <c r="W36" s="16" t="s">
        <v>145</v>
      </c>
      <c r="X36" s="16" t="s">
        <v>145</v>
      </c>
      <c r="Y36" s="15"/>
      <c r="Z36" s="15">
        <v>20</v>
      </c>
      <c r="AA36" s="16" t="s">
        <v>145</v>
      </c>
      <c r="AB36" s="16" t="s">
        <v>145</v>
      </c>
      <c r="AC36" s="16" t="s">
        <v>145</v>
      </c>
      <c r="AD36" s="16" t="s">
        <v>145</v>
      </c>
      <c r="AE36" s="15">
        <v>20</v>
      </c>
      <c r="AF36" s="16" t="s">
        <v>145</v>
      </c>
      <c r="AG36" s="15">
        <v>28</v>
      </c>
      <c r="AH36" s="15">
        <v>20</v>
      </c>
      <c r="AI36" s="16" t="s">
        <v>145</v>
      </c>
      <c r="AJ36" s="16" t="s">
        <v>145</v>
      </c>
      <c r="AK36" s="15">
        <v>8</v>
      </c>
      <c r="AL36" s="15">
        <v>8</v>
      </c>
      <c r="AM36" s="15">
        <v>4</v>
      </c>
      <c r="AN36" s="16" t="s">
        <v>145</v>
      </c>
      <c r="AO36" s="15">
        <v>32</v>
      </c>
      <c r="AP36" s="16" t="s">
        <v>145</v>
      </c>
      <c r="AQ36" s="16" t="s">
        <v>145</v>
      </c>
      <c r="AR36" s="15">
        <v>12</v>
      </c>
      <c r="AS36" s="15">
        <v>8</v>
      </c>
      <c r="AT36" s="16" t="s">
        <v>145</v>
      </c>
      <c r="AU36" s="16" t="s">
        <v>145</v>
      </c>
      <c r="AV36" s="16" t="s">
        <v>145</v>
      </c>
      <c r="AW36" s="16" t="s">
        <v>145</v>
      </c>
      <c r="AX36" s="15"/>
      <c r="AY36" s="16" t="s">
        <v>145</v>
      </c>
      <c r="AZ36" s="16">
        <f t="shared" si="0"/>
        <v>300</v>
      </c>
    </row>
    <row r="37" spans="1:52" x14ac:dyDescent="0.25">
      <c r="A37" s="14">
        <v>34</v>
      </c>
      <c r="B37" s="14" t="s">
        <v>88</v>
      </c>
      <c r="C37" s="15">
        <v>16</v>
      </c>
      <c r="D37" s="15">
        <v>12</v>
      </c>
      <c r="E37" s="16" t="s">
        <v>145</v>
      </c>
      <c r="F37" s="15">
        <v>12</v>
      </c>
      <c r="G37" s="16" t="s">
        <v>145</v>
      </c>
      <c r="H37" s="16" t="s">
        <v>145</v>
      </c>
      <c r="I37" s="16" t="s">
        <v>145</v>
      </c>
      <c r="J37" s="16" t="s">
        <v>145</v>
      </c>
      <c r="K37" s="16" t="s">
        <v>145</v>
      </c>
      <c r="L37" s="15">
        <v>4</v>
      </c>
      <c r="M37" s="16" t="s">
        <v>145</v>
      </c>
      <c r="N37" s="16" t="s">
        <v>145</v>
      </c>
      <c r="O37" s="16" t="s">
        <v>145</v>
      </c>
      <c r="P37" s="16" t="s">
        <v>145</v>
      </c>
      <c r="Q37" s="16" t="s">
        <v>145</v>
      </c>
      <c r="R37" s="16" t="s">
        <v>145</v>
      </c>
      <c r="S37" s="16" t="s">
        <v>145</v>
      </c>
      <c r="T37" s="16" t="s">
        <v>145</v>
      </c>
      <c r="U37" s="16" t="s">
        <v>145</v>
      </c>
      <c r="V37" s="15">
        <v>16</v>
      </c>
      <c r="W37" s="16" t="s">
        <v>145</v>
      </c>
      <c r="X37" s="15">
        <v>4</v>
      </c>
      <c r="Y37" s="16" t="s">
        <v>145</v>
      </c>
      <c r="Z37" s="16" t="s">
        <v>145</v>
      </c>
      <c r="AA37" s="16" t="s">
        <v>145</v>
      </c>
      <c r="AB37" s="16" t="s">
        <v>145</v>
      </c>
      <c r="AC37" s="16" t="s">
        <v>145</v>
      </c>
      <c r="AD37" s="16" t="s">
        <v>145</v>
      </c>
      <c r="AE37" s="16" t="s">
        <v>145</v>
      </c>
      <c r="AF37" s="16" t="s">
        <v>145</v>
      </c>
      <c r="AG37" s="16" t="s">
        <v>145</v>
      </c>
      <c r="AH37" s="16" t="s">
        <v>145</v>
      </c>
      <c r="AI37" s="16" t="s">
        <v>145</v>
      </c>
      <c r="AJ37" s="16" t="s">
        <v>145</v>
      </c>
      <c r="AK37" s="16" t="s">
        <v>145</v>
      </c>
      <c r="AL37" s="15">
        <v>16</v>
      </c>
      <c r="AM37" s="15">
        <v>16</v>
      </c>
      <c r="AN37" s="16" t="s">
        <v>145</v>
      </c>
      <c r="AO37" s="15">
        <v>8</v>
      </c>
      <c r="AP37" s="16" t="s">
        <v>145</v>
      </c>
      <c r="AQ37" s="16" t="s">
        <v>145</v>
      </c>
      <c r="AR37" s="16" t="s">
        <v>145</v>
      </c>
      <c r="AS37" s="16" t="s">
        <v>145</v>
      </c>
      <c r="AT37" s="16" t="s">
        <v>145</v>
      </c>
      <c r="AU37" s="16" t="s">
        <v>145</v>
      </c>
      <c r="AV37" s="16" t="s">
        <v>145</v>
      </c>
      <c r="AW37" s="16" t="s">
        <v>145</v>
      </c>
      <c r="AX37" s="16">
        <v>4</v>
      </c>
      <c r="AY37" s="16" t="s">
        <v>145</v>
      </c>
      <c r="AZ37" s="16">
        <f t="shared" si="0"/>
        <v>108</v>
      </c>
    </row>
    <row r="38" spans="1:52" x14ac:dyDescent="0.25">
      <c r="A38" s="14">
        <v>35</v>
      </c>
      <c r="B38" s="14" t="s">
        <v>143</v>
      </c>
      <c r="C38" s="16" t="s">
        <v>145</v>
      </c>
      <c r="D38" s="16">
        <v>4</v>
      </c>
      <c r="E38" s="16" t="s">
        <v>145</v>
      </c>
      <c r="F38" s="16" t="s">
        <v>145</v>
      </c>
      <c r="G38" s="16" t="s">
        <v>145</v>
      </c>
      <c r="H38" s="15">
        <v>12</v>
      </c>
      <c r="I38" s="16" t="s">
        <v>145</v>
      </c>
      <c r="J38" s="16" t="s">
        <v>145</v>
      </c>
      <c r="K38" s="16" t="s">
        <v>145</v>
      </c>
      <c r="L38" s="15">
        <v>12</v>
      </c>
      <c r="M38" s="16" t="s">
        <v>145</v>
      </c>
      <c r="N38" s="16" t="s">
        <v>145</v>
      </c>
      <c r="O38" s="16" t="s">
        <v>145</v>
      </c>
      <c r="P38" s="16">
        <v>16</v>
      </c>
      <c r="Q38" s="16">
        <v>20</v>
      </c>
      <c r="R38" s="16" t="s">
        <v>145</v>
      </c>
      <c r="S38" s="16" t="s">
        <v>145</v>
      </c>
      <c r="T38" s="16" t="s">
        <v>145</v>
      </c>
      <c r="U38" s="16" t="s">
        <v>145</v>
      </c>
      <c r="V38" s="15">
        <v>28</v>
      </c>
      <c r="W38" s="16" t="s">
        <v>145</v>
      </c>
      <c r="X38" s="15">
        <v>8</v>
      </c>
      <c r="Y38" s="16" t="s">
        <v>145</v>
      </c>
      <c r="Z38" s="16" t="s">
        <v>145</v>
      </c>
      <c r="AA38" s="15">
        <v>12</v>
      </c>
      <c r="AB38" s="16" t="s">
        <v>145</v>
      </c>
      <c r="AC38" s="16" t="s">
        <v>145</v>
      </c>
      <c r="AD38" s="15">
        <v>28</v>
      </c>
      <c r="AE38" s="16" t="s">
        <v>145</v>
      </c>
      <c r="AF38" s="15">
        <v>12</v>
      </c>
      <c r="AG38" s="16" t="s">
        <v>145</v>
      </c>
      <c r="AH38" s="15">
        <v>32</v>
      </c>
      <c r="AI38" s="16" t="s">
        <v>145</v>
      </c>
      <c r="AJ38" s="16" t="s">
        <v>145</v>
      </c>
      <c r="AK38" s="16" t="s">
        <v>145</v>
      </c>
      <c r="AL38" s="15">
        <v>28</v>
      </c>
      <c r="AM38" s="16" t="s">
        <v>145</v>
      </c>
      <c r="AN38" s="16" t="s">
        <v>145</v>
      </c>
      <c r="AO38" s="15">
        <v>4</v>
      </c>
      <c r="AP38" s="16" t="s">
        <v>145</v>
      </c>
      <c r="AQ38" s="16" t="s">
        <v>145</v>
      </c>
      <c r="AR38" s="16" t="s">
        <v>145</v>
      </c>
      <c r="AS38" s="16" t="s">
        <v>145</v>
      </c>
      <c r="AT38" s="16" t="s">
        <v>145</v>
      </c>
      <c r="AU38" s="16" t="s">
        <v>145</v>
      </c>
      <c r="AV38" s="16" t="s">
        <v>145</v>
      </c>
      <c r="AW38" s="16" t="s">
        <v>145</v>
      </c>
      <c r="AX38" s="16" t="s">
        <v>145</v>
      </c>
      <c r="AY38" s="16" t="s">
        <v>145</v>
      </c>
      <c r="AZ38" s="16">
        <f t="shared" si="0"/>
        <v>216</v>
      </c>
    </row>
    <row r="39" spans="1:52" x14ac:dyDescent="0.25">
      <c r="A39" s="14">
        <v>36</v>
      </c>
      <c r="B39" s="14" t="s">
        <v>144</v>
      </c>
      <c r="C39" s="15">
        <v>16</v>
      </c>
      <c r="D39" s="15">
        <v>28</v>
      </c>
      <c r="E39" s="16" t="s">
        <v>145</v>
      </c>
      <c r="F39" s="15">
        <v>8</v>
      </c>
      <c r="G39" s="16" t="s">
        <v>145</v>
      </c>
      <c r="H39" s="16" t="s">
        <v>145</v>
      </c>
      <c r="I39" s="16" t="s">
        <v>145</v>
      </c>
      <c r="J39" s="16" t="s">
        <v>145</v>
      </c>
      <c r="K39" s="16" t="s">
        <v>145</v>
      </c>
      <c r="L39" s="16" t="s">
        <v>145</v>
      </c>
      <c r="M39" s="16" t="s">
        <v>145</v>
      </c>
      <c r="N39" s="16" t="s">
        <v>145</v>
      </c>
      <c r="O39" s="16" t="s">
        <v>145</v>
      </c>
      <c r="P39" s="16" t="s">
        <v>145</v>
      </c>
      <c r="Q39" s="16" t="s">
        <v>145</v>
      </c>
      <c r="R39" s="16" t="s">
        <v>145</v>
      </c>
      <c r="S39" s="16" t="s">
        <v>145</v>
      </c>
      <c r="T39" s="16" t="s">
        <v>145</v>
      </c>
      <c r="U39" s="15">
        <v>16</v>
      </c>
      <c r="V39" s="16" t="s">
        <v>145</v>
      </c>
      <c r="W39" s="16" t="s">
        <v>145</v>
      </c>
      <c r="X39" s="16" t="s">
        <v>145</v>
      </c>
      <c r="Y39" s="16" t="s">
        <v>145</v>
      </c>
      <c r="Z39" s="15">
        <v>16</v>
      </c>
      <c r="AA39" s="16" t="s">
        <v>145</v>
      </c>
      <c r="AB39" s="16" t="s">
        <v>145</v>
      </c>
      <c r="AC39" s="15">
        <v>16</v>
      </c>
      <c r="AD39" s="16" t="s">
        <v>145</v>
      </c>
      <c r="AE39" s="16" t="s">
        <v>145</v>
      </c>
      <c r="AF39" s="16" t="s">
        <v>145</v>
      </c>
      <c r="AG39" s="16" t="s">
        <v>145</v>
      </c>
      <c r="AH39" s="16" t="s">
        <v>145</v>
      </c>
      <c r="AI39" s="16" t="s">
        <v>145</v>
      </c>
      <c r="AJ39" s="15">
        <v>16</v>
      </c>
      <c r="AK39" s="16" t="s">
        <v>145</v>
      </c>
      <c r="AL39" s="16" t="s">
        <v>145</v>
      </c>
      <c r="AM39" s="16" t="s">
        <v>145</v>
      </c>
      <c r="AN39" s="16" t="s">
        <v>145</v>
      </c>
      <c r="AO39" s="16">
        <v>16</v>
      </c>
      <c r="AP39" s="16" t="s">
        <v>145</v>
      </c>
      <c r="AQ39" s="16">
        <v>16</v>
      </c>
      <c r="AR39" s="16" t="s">
        <v>145</v>
      </c>
      <c r="AS39" s="16" t="s">
        <v>145</v>
      </c>
      <c r="AT39" s="16">
        <v>12</v>
      </c>
      <c r="AU39" s="16" t="s">
        <v>145</v>
      </c>
      <c r="AV39" s="15"/>
      <c r="AW39" s="16">
        <v>16</v>
      </c>
      <c r="AX39" s="16" t="s">
        <v>145</v>
      </c>
      <c r="AY39" s="16" t="s">
        <v>145</v>
      </c>
      <c r="AZ39" s="16">
        <f t="shared" si="0"/>
        <v>176</v>
      </c>
    </row>
    <row r="40" spans="1:52" x14ac:dyDescent="0.25">
      <c r="A40" s="14">
        <v>37</v>
      </c>
      <c r="B40" s="14" t="s">
        <v>89</v>
      </c>
      <c r="C40" s="15">
        <v>40</v>
      </c>
      <c r="D40" s="15">
        <v>44</v>
      </c>
      <c r="E40" s="16" t="s">
        <v>145</v>
      </c>
      <c r="F40" s="16" t="s">
        <v>145</v>
      </c>
      <c r="G40" s="16" t="s">
        <v>145</v>
      </c>
      <c r="H40" s="16" t="s">
        <v>145</v>
      </c>
      <c r="I40" s="16" t="s">
        <v>145</v>
      </c>
      <c r="J40" s="16" t="s">
        <v>145</v>
      </c>
      <c r="K40" s="16" t="s">
        <v>145</v>
      </c>
      <c r="L40" s="16" t="s">
        <v>145</v>
      </c>
      <c r="M40" s="16" t="s">
        <v>145</v>
      </c>
      <c r="N40" s="16" t="s">
        <v>145</v>
      </c>
      <c r="O40" s="16" t="s">
        <v>145</v>
      </c>
      <c r="P40" s="16" t="s">
        <v>145</v>
      </c>
      <c r="Q40" s="16" t="s">
        <v>145</v>
      </c>
      <c r="R40" s="16" t="s">
        <v>145</v>
      </c>
      <c r="S40" s="16" t="s">
        <v>145</v>
      </c>
      <c r="T40" s="16" t="s">
        <v>145</v>
      </c>
      <c r="U40" s="16" t="s">
        <v>145</v>
      </c>
      <c r="V40" s="16" t="s">
        <v>145</v>
      </c>
      <c r="W40" s="16" t="s">
        <v>145</v>
      </c>
      <c r="X40" s="16" t="s">
        <v>145</v>
      </c>
      <c r="Y40" s="16" t="s">
        <v>145</v>
      </c>
      <c r="Z40" s="15">
        <v>20</v>
      </c>
      <c r="AA40" s="16" t="s">
        <v>145</v>
      </c>
      <c r="AB40" s="16" t="s">
        <v>145</v>
      </c>
      <c r="AC40" s="15">
        <v>28</v>
      </c>
      <c r="AD40" s="16" t="s">
        <v>145</v>
      </c>
      <c r="AE40" s="16" t="s">
        <v>145</v>
      </c>
      <c r="AF40" s="16" t="s">
        <v>145</v>
      </c>
      <c r="AG40" s="16" t="s">
        <v>145</v>
      </c>
      <c r="AH40" s="16" t="s">
        <v>145</v>
      </c>
      <c r="AI40" s="15">
        <v>12</v>
      </c>
      <c r="AJ40" s="16" t="s">
        <v>145</v>
      </c>
      <c r="AK40" s="16" t="s">
        <v>145</v>
      </c>
      <c r="AL40" s="16" t="s">
        <v>145</v>
      </c>
      <c r="AM40" s="15">
        <v>16</v>
      </c>
      <c r="AN40" s="16" t="s">
        <v>145</v>
      </c>
      <c r="AO40" s="16" t="s">
        <v>145</v>
      </c>
      <c r="AP40" s="16" t="s">
        <v>145</v>
      </c>
      <c r="AQ40" s="16" t="s">
        <v>145</v>
      </c>
      <c r="AR40" s="16" t="s">
        <v>145</v>
      </c>
      <c r="AS40" s="16" t="s">
        <v>145</v>
      </c>
      <c r="AT40" s="16" t="s">
        <v>145</v>
      </c>
      <c r="AU40" s="16" t="s">
        <v>145</v>
      </c>
      <c r="AV40" s="16" t="s">
        <v>145</v>
      </c>
      <c r="AW40" s="16" t="s">
        <v>145</v>
      </c>
      <c r="AX40" s="16" t="s">
        <v>145</v>
      </c>
      <c r="AY40" s="16" t="s">
        <v>145</v>
      </c>
      <c r="AZ40" s="16">
        <f t="shared" si="0"/>
        <v>160</v>
      </c>
    </row>
    <row r="41" spans="1:52" x14ac:dyDescent="0.25">
      <c r="A41" s="14"/>
      <c r="B41" s="14" t="s">
        <v>13</v>
      </c>
      <c r="C41" s="15">
        <f>SUM(C4:C40)</f>
        <v>428</v>
      </c>
      <c r="D41" s="15">
        <f t="shared" ref="D41:AY41" si="1">SUM(D4:D40)</f>
        <v>1168</v>
      </c>
      <c r="E41" s="15"/>
      <c r="F41" s="15">
        <f t="shared" si="1"/>
        <v>300</v>
      </c>
      <c r="G41" s="15">
        <f t="shared" si="1"/>
        <v>36</v>
      </c>
      <c r="H41" s="15">
        <f t="shared" si="1"/>
        <v>404</v>
      </c>
      <c r="I41" s="15">
        <f t="shared" si="1"/>
        <v>130</v>
      </c>
      <c r="J41" s="15">
        <f t="shared" si="1"/>
        <v>510</v>
      </c>
      <c r="K41" s="15">
        <f t="shared" si="1"/>
        <v>32</v>
      </c>
      <c r="L41" s="15">
        <f t="shared" si="1"/>
        <v>208</v>
      </c>
      <c r="M41" s="15">
        <f t="shared" si="1"/>
        <v>8</v>
      </c>
      <c r="N41" s="15">
        <f t="shared" si="1"/>
        <v>196</v>
      </c>
      <c r="O41" s="15">
        <f t="shared" si="1"/>
        <v>16</v>
      </c>
      <c r="P41" s="15">
        <f t="shared" si="1"/>
        <v>144</v>
      </c>
      <c r="Q41" s="15">
        <f t="shared" si="1"/>
        <v>200</v>
      </c>
      <c r="R41" s="15">
        <f t="shared" si="1"/>
        <v>104</v>
      </c>
      <c r="S41" s="15">
        <f t="shared" si="1"/>
        <v>152</v>
      </c>
      <c r="T41" s="15">
        <f t="shared" si="1"/>
        <v>112</v>
      </c>
      <c r="U41" s="15">
        <f t="shared" si="1"/>
        <v>64</v>
      </c>
      <c r="V41" s="15">
        <f t="shared" si="1"/>
        <v>336</v>
      </c>
      <c r="W41" s="15">
        <f t="shared" si="1"/>
        <v>32</v>
      </c>
      <c r="X41" s="15">
        <f t="shared" si="1"/>
        <v>80</v>
      </c>
      <c r="Y41" s="15">
        <f t="shared" si="1"/>
        <v>52</v>
      </c>
      <c r="Z41" s="15">
        <f t="shared" si="1"/>
        <v>260</v>
      </c>
      <c r="AA41" s="15">
        <f t="shared" si="1"/>
        <v>132</v>
      </c>
      <c r="AB41" s="15">
        <f t="shared" si="1"/>
        <v>16</v>
      </c>
      <c r="AC41" s="15">
        <f t="shared" si="1"/>
        <v>292</v>
      </c>
      <c r="AD41" s="15">
        <f t="shared" si="1"/>
        <v>300</v>
      </c>
      <c r="AE41" s="15">
        <f t="shared" si="1"/>
        <v>124</v>
      </c>
      <c r="AF41" s="15">
        <f t="shared" si="1"/>
        <v>100</v>
      </c>
      <c r="AG41" s="15">
        <f t="shared" si="1"/>
        <v>100</v>
      </c>
      <c r="AH41" s="15">
        <f t="shared" si="1"/>
        <v>464</v>
      </c>
      <c r="AI41" s="15">
        <f t="shared" si="1"/>
        <v>128</v>
      </c>
      <c r="AJ41" s="15">
        <f t="shared" si="1"/>
        <v>128</v>
      </c>
      <c r="AK41" s="15">
        <f t="shared" si="1"/>
        <v>124</v>
      </c>
      <c r="AL41" s="15">
        <f t="shared" si="1"/>
        <v>576</v>
      </c>
      <c r="AM41" s="15">
        <f t="shared" si="1"/>
        <v>388</v>
      </c>
      <c r="AN41" s="15">
        <f t="shared" si="1"/>
        <v>72</v>
      </c>
      <c r="AO41" s="15">
        <f t="shared" si="1"/>
        <v>468</v>
      </c>
      <c r="AP41" s="15">
        <f>SUM(AP4:AP40)</f>
        <v>88</v>
      </c>
      <c r="AQ41" s="15">
        <f>SUM(AQ4:AQ40)</f>
        <v>136</v>
      </c>
      <c r="AR41" s="15">
        <f t="shared" si="1"/>
        <v>116</v>
      </c>
      <c r="AS41" s="15">
        <f t="shared" si="1"/>
        <v>140</v>
      </c>
      <c r="AT41" s="15">
        <f t="shared" si="1"/>
        <v>80</v>
      </c>
      <c r="AU41" s="15">
        <f t="shared" si="1"/>
        <v>40</v>
      </c>
      <c r="AV41" s="15">
        <f t="shared" si="1"/>
        <v>48</v>
      </c>
      <c r="AW41" s="15">
        <f t="shared" si="1"/>
        <v>156</v>
      </c>
      <c r="AX41" s="15">
        <f t="shared" si="1"/>
        <v>122</v>
      </c>
      <c r="AY41" s="15">
        <f t="shared" si="1"/>
        <v>122</v>
      </c>
      <c r="AZ41" s="16">
        <f t="shared" si="0"/>
        <v>9432</v>
      </c>
    </row>
    <row r="42" spans="1:52" x14ac:dyDescent="0.25">
      <c r="B42" s="9" t="s">
        <v>170</v>
      </c>
      <c r="C42" s="9" t="s">
        <v>171</v>
      </c>
      <c r="D42" s="9"/>
      <c r="E42" s="10"/>
      <c r="F42" s="10" t="s">
        <v>172</v>
      </c>
      <c r="G42" s="11"/>
      <c r="H42" s="11"/>
      <c r="I42" s="10" t="s">
        <v>173</v>
      </c>
      <c r="J42" s="11"/>
      <c r="K42" s="11"/>
      <c r="L42" s="11"/>
    </row>
    <row r="43" spans="1:52" x14ac:dyDescent="0.25">
      <c r="B43" s="10"/>
      <c r="C43" s="12"/>
    </row>
    <row r="44" spans="1:52" x14ac:dyDescent="0.25">
      <c r="B44" s="10"/>
      <c r="C44" s="12"/>
    </row>
    <row r="45" spans="1:52" x14ac:dyDescent="0.25">
      <c r="B45" s="9"/>
      <c r="C45" s="8" t="b">
        <f>EXACT(C2,'Dist-wise'!C1)</f>
        <v>1</v>
      </c>
      <c r="D45" s="8" t="b">
        <f>EXACT(D2,'Dist-wise'!D1)</f>
        <v>1</v>
      </c>
      <c r="F45" s="8" t="b">
        <f>EXACT(F2,'Dist-wise'!F1)</f>
        <v>1</v>
      </c>
      <c r="G45" s="8" t="b">
        <f>EXACT(G2,'Dist-wise'!G1)</f>
        <v>1</v>
      </c>
      <c r="H45" s="8" t="b">
        <f>EXACT(H2,'Dist-wise'!H1)</f>
        <v>1</v>
      </c>
      <c r="I45" s="8" t="b">
        <f>EXACT(I2,'Dist-wise'!I1)</f>
        <v>1</v>
      </c>
      <c r="J45" s="8" t="b">
        <f>EXACT(J2,'Dist-wise'!J1)</f>
        <v>1</v>
      </c>
      <c r="K45" s="8" t="b">
        <f>EXACT(K2,'Dist-wise'!K1)</f>
        <v>1</v>
      </c>
      <c r="L45" s="8" t="b">
        <f>EXACT(L2,'Dist-wise'!L1)</f>
        <v>1</v>
      </c>
      <c r="M45" s="8" t="b">
        <f>EXACT(M2,'Dist-wise'!M1)</f>
        <v>1</v>
      </c>
      <c r="N45" s="8" t="b">
        <f>EXACT(N2,'Dist-wise'!N1)</f>
        <v>1</v>
      </c>
      <c r="O45" s="8" t="b">
        <f>EXACT(O2,'Dist-wise'!O1)</f>
        <v>1</v>
      </c>
      <c r="P45" s="8" t="b">
        <f>EXACT(P2,'Dist-wise'!P1)</f>
        <v>1</v>
      </c>
      <c r="Q45" s="8" t="b">
        <f>EXACT(Q2,'Dist-wise'!Q1)</f>
        <v>1</v>
      </c>
      <c r="R45" s="8" t="b">
        <f>EXACT(R2,'Dist-wise'!R1)</f>
        <v>1</v>
      </c>
      <c r="S45" s="8" t="b">
        <f>EXACT(S2,'Dist-wise'!S1)</f>
        <v>1</v>
      </c>
      <c r="T45" s="8" t="b">
        <f>EXACT(T2,'Dist-wise'!T1)</f>
        <v>1</v>
      </c>
      <c r="U45" s="8" t="b">
        <f>EXACT(U2,'Dist-wise'!U1)</f>
        <v>1</v>
      </c>
      <c r="V45" s="8" t="b">
        <f>EXACT(V2,'Dist-wise'!V1)</f>
        <v>1</v>
      </c>
      <c r="W45" s="8" t="b">
        <f>EXACT(W2,'Dist-wise'!W1)</f>
        <v>1</v>
      </c>
      <c r="X45" s="8" t="b">
        <f>EXACT(X2,'Dist-wise'!X1)</f>
        <v>1</v>
      </c>
      <c r="Y45" s="8" t="b">
        <f>EXACT(Y2,'Dist-wise'!Y1)</f>
        <v>1</v>
      </c>
      <c r="Z45" s="8" t="b">
        <f>EXACT(Z2,'Dist-wise'!Z1)</f>
        <v>1</v>
      </c>
      <c r="AA45" s="8" t="b">
        <f>EXACT(AA2,'Dist-wise'!AA1)</f>
        <v>1</v>
      </c>
      <c r="AB45" s="8" t="b">
        <f>EXACT(AB2,'Dist-wise'!AB1)</f>
        <v>1</v>
      </c>
      <c r="AC45" s="8" t="b">
        <f>EXACT(AC2,'Dist-wise'!AC1)</f>
        <v>1</v>
      </c>
      <c r="AD45" s="8" t="b">
        <f>EXACT(AD2,'Dist-wise'!AD1)</f>
        <v>1</v>
      </c>
      <c r="AE45" s="8" t="b">
        <f>EXACT(AE2,'Dist-wise'!AE1)</f>
        <v>1</v>
      </c>
      <c r="AF45" s="8" t="b">
        <f>EXACT(AF2,'Dist-wise'!AF1)</f>
        <v>1</v>
      </c>
      <c r="AG45" s="8" t="b">
        <f>EXACT(AG2,'Dist-wise'!AG1)</f>
        <v>1</v>
      </c>
      <c r="AH45" s="8" t="b">
        <f>EXACT(AH2,'Dist-wise'!AH1)</f>
        <v>1</v>
      </c>
      <c r="AI45" s="8" t="b">
        <f>EXACT(AI2,'Dist-wise'!AI1)</f>
        <v>1</v>
      </c>
      <c r="AJ45" s="8" t="b">
        <f>EXACT(AJ2,'Dist-wise'!AJ1)</f>
        <v>1</v>
      </c>
      <c r="AK45" s="8" t="b">
        <f>EXACT(AK2,'Dist-wise'!AK1)</f>
        <v>1</v>
      </c>
      <c r="AL45" s="8" t="b">
        <f>EXACT(AL2,'Dist-wise'!AL1)</f>
        <v>1</v>
      </c>
      <c r="AM45" s="8" t="b">
        <f>EXACT(AM2,'Dist-wise'!AM1)</f>
        <v>1</v>
      </c>
      <c r="AN45" s="8" t="b">
        <f>EXACT(AN2,'Dist-wise'!AN1)</f>
        <v>1</v>
      </c>
      <c r="AO45" s="8" t="b">
        <f>EXACT(AO2,'Dist-wise'!AO1)</f>
        <v>1</v>
      </c>
      <c r="AP45" s="8" t="b">
        <f>EXACT(AP2,'Dist-wise'!AP1)</f>
        <v>1</v>
      </c>
      <c r="AQ45" s="8" t="b">
        <f>EXACT(AQ2,'Dist-wise'!AQ1)</f>
        <v>1</v>
      </c>
      <c r="AR45" s="8" t="b">
        <f>EXACT(AR2,'Dist-wise'!AR1)</f>
        <v>1</v>
      </c>
      <c r="AS45" s="8" t="b">
        <f>EXACT(AS2,'Dist-wise'!AS1)</f>
        <v>1</v>
      </c>
      <c r="AT45" s="8" t="b">
        <f>EXACT(AT2,'Dist-wise'!AT1)</f>
        <v>1</v>
      </c>
      <c r="AU45" s="8" t="b">
        <f>EXACT(AU2,'Dist-wise'!AU1)</f>
        <v>1</v>
      </c>
      <c r="AV45" s="8" t="b">
        <f>EXACT(AV2,'Dist-wise'!AV1)</f>
        <v>1</v>
      </c>
      <c r="AW45" s="8" t="b">
        <f>EXACT(AW2,'Dist-wise'!AW1)</f>
        <v>1</v>
      </c>
      <c r="AX45" s="8" t="b">
        <f>EXACT(AX2,'Dist-wise'!AX1)</f>
        <v>1</v>
      </c>
      <c r="AY45" s="8" t="b">
        <f>EXACT(AY2,'Dist-wise'!AY1)</f>
        <v>1</v>
      </c>
    </row>
  </sheetData>
  <mergeCells count="4">
    <mergeCell ref="A2:A3"/>
    <mergeCell ref="B2:B3"/>
    <mergeCell ref="AZ2:AZ3"/>
    <mergeCell ref="A1:AA1"/>
  </mergeCells>
  <pageMargins left="0.31" right="0.17" top="0.21" bottom="0.18" header="0.22" footer="0.16"/>
  <pageSetup paperSize="9" scale="7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Z76"/>
  <sheetViews>
    <sheetView tabSelected="1" view="pageBreakPreview" zoomScale="70" zoomScaleNormal="70" zoomScaleSheetLayoutView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8.88671875" defaultRowHeight="13.2" x14ac:dyDescent="0.25"/>
  <cols>
    <col min="1" max="1" width="7.109375" style="7" bestFit="1" customWidth="1"/>
    <col min="2" max="2" width="18.6640625" style="1" customWidth="1"/>
    <col min="3" max="3" width="4.44140625" style="2" bestFit="1" customWidth="1"/>
    <col min="4" max="4" width="6" style="3" bestFit="1" customWidth="1"/>
    <col min="5" max="5" width="4.44140625" style="2" bestFit="1" customWidth="1"/>
    <col min="6" max="6" width="5" style="2" bestFit="1" customWidth="1"/>
    <col min="7" max="7" width="5.44140625" style="3" bestFit="1" customWidth="1"/>
    <col min="8" max="8" width="4.44140625" style="2" bestFit="1" customWidth="1"/>
    <col min="9" max="9" width="5" style="2" bestFit="1" customWidth="1"/>
    <col min="10" max="10" width="5.44140625" style="3" bestFit="1" customWidth="1"/>
    <col min="11" max="12" width="4.44140625" style="2" bestFit="1" customWidth="1"/>
    <col min="13" max="13" width="5.44140625" style="3" bestFit="1" customWidth="1"/>
    <col min="14" max="15" width="4.44140625" style="2" bestFit="1" customWidth="1"/>
    <col min="16" max="16" width="4.44140625" style="3" bestFit="1" customWidth="1"/>
    <col min="17" max="18" width="4.44140625" style="2" bestFit="1" customWidth="1"/>
    <col min="19" max="19" width="5.44140625" style="3" bestFit="1" customWidth="1"/>
    <col min="20" max="21" width="4.44140625" style="2" bestFit="1" customWidth="1"/>
    <col min="22" max="22" width="4.44140625" style="3" bestFit="1" customWidth="1"/>
    <col min="23" max="24" width="4.44140625" style="2" bestFit="1" customWidth="1"/>
    <col min="25" max="25" width="5.44140625" style="3" bestFit="1" customWidth="1"/>
    <col min="26" max="27" width="4.44140625" style="2" bestFit="1" customWidth="1"/>
    <col min="28" max="28" width="5.44140625" style="3" bestFit="1" customWidth="1"/>
    <col min="29" max="30" width="4.44140625" style="2" bestFit="1" customWidth="1"/>
    <col min="31" max="31" width="5.44140625" style="3" bestFit="1" customWidth="1"/>
    <col min="32" max="33" width="4.44140625" style="2" bestFit="1" customWidth="1"/>
    <col min="34" max="34" width="4.44140625" style="3" bestFit="1" customWidth="1"/>
    <col min="35" max="36" width="4.44140625" style="2" bestFit="1" customWidth="1"/>
    <col min="37" max="37" width="5.44140625" style="3" bestFit="1" customWidth="1"/>
    <col min="38" max="39" width="4.44140625" style="2" bestFit="1" customWidth="1"/>
    <col min="40" max="40" width="5.44140625" style="3" bestFit="1" customWidth="1"/>
    <col min="41" max="42" width="4.44140625" style="2" bestFit="1" customWidth="1"/>
    <col min="43" max="43" width="5.44140625" style="3" bestFit="1" customWidth="1"/>
    <col min="44" max="45" width="4.44140625" style="2" bestFit="1" customWidth="1"/>
    <col min="46" max="46" width="5.44140625" style="3" bestFit="1" customWidth="1"/>
    <col min="47" max="48" width="4.44140625" style="2" bestFit="1" customWidth="1"/>
    <col min="49" max="49" width="4.44140625" style="3" bestFit="1" customWidth="1"/>
    <col min="50" max="51" width="4.44140625" style="2" bestFit="1" customWidth="1"/>
    <col min="52" max="52" width="5.44140625" style="3" bestFit="1" customWidth="1"/>
    <col min="53" max="53" width="4.44140625" style="2" bestFit="1" customWidth="1"/>
    <col min="54" max="54" width="7.109375" style="6" bestFit="1" customWidth="1"/>
    <col min="55" max="55" width="4.44140625" style="2" bestFit="1" customWidth="1"/>
    <col min="56" max="56" width="5.44140625" style="3" bestFit="1" customWidth="1"/>
    <col min="57" max="58" width="4.44140625" style="2" bestFit="1" customWidth="1"/>
    <col min="59" max="59" width="5.44140625" style="3" bestFit="1" customWidth="1"/>
    <col min="60" max="61" width="4.44140625" style="2" bestFit="1" customWidth="1"/>
    <col min="62" max="62" width="5.44140625" style="3" bestFit="1" customWidth="1"/>
    <col min="63" max="64" width="4.44140625" style="2" bestFit="1" customWidth="1"/>
    <col min="65" max="65" width="4.44140625" style="3" bestFit="1" customWidth="1"/>
    <col min="66" max="67" width="4.44140625" style="2" bestFit="1" customWidth="1"/>
    <col min="68" max="68" width="5.44140625" style="3" bestFit="1" customWidth="1"/>
    <col min="69" max="70" width="4.44140625" style="2" bestFit="1" customWidth="1"/>
    <col min="71" max="71" width="5.44140625" style="3" bestFit="1" customWidth="1"/>
    <col min="72" max="73" width="4.44140625" style="2" bestFit="1" customWidth="1"/>
    <col min="74" max="74" width="4.44140625" style="3" bestFit="1" customWidth="1"/>
    <col min="75" max="76" width="4.44140625" style="2" bestFit="1" customWidth="1"/>
    <col min="77" max="77" width="5.44140625" style="3" bestFit="1" customWidth="1"/>
    <col min="78" max="79" width="4.44140625" style="2" bestFit="1" customWidth="1"/>
    <col min="80" max="80" width="4.44140625" style="3" bestFit="1" customWidth="1"/>
    <col min="81" max="82" width="4.44140625" style="2" bestFit="1" customWidth="1"/>
    <col min="83" max="83" width="5.44140625" style="3" bestFit="1" customWidth="1"/>
    <col min="84" max="85" width="4.44140625" style="2" bestFit="1" customWidth="1"/>
    <col min="86" max="86" width="5.44140625" style="3" bestFit="1" customWidth="1"/>
    <col min="87" max="88" width="4.44140625" style="2" bestFit="1" customWidth="1"/>
    <col min="89" max="89" width="5.44140625" style="3" bestFit="1" customWidth="1"/>
    <col min="90" max="91" width="4.44140625" style="2" bestFit="1" customWidth="1"/>
    <col min="92" max="92" width="4.44140625" style="3" bestFit="1" customWidth="1"/>
    <col min="93" max="94" width="4.44140625" style="2" bestFit="1" customWidth="1"/>
    <col min="95" max="95" width="5.44140625" style="3" bestFit="1" customWidth="1"/>
    <col min="96" max="97" width="4.44140625" style="2" bestFit="1" customWidth="1"/>
    <col min="98" max="98" width="5.44140625" style="3" bestFit="1" customWidth="1"/>
    <col min="99" max="100" width="4.44140625" style="2" bestFit="1" customWidth="1"/>
    <col min="101" max="101" width="5.44140625" style="3" bestFit="1" customWidth="1"/>
    <col min="102" max="102" width="4.44140625" style="2" bestFit="1" customWidth="1"/>
    <col min="103" max="103" width="7.109375" style="6" bestFit="1" customWidth="1"/>
    <col min="104" max="104" width="7.33203125" style="1" customWidth="1"/>
    <col min="105" max="16384" width="8.88671875" style="1"/>
  </cols>
  <sheetData>
    <row r="1" spans="1:104" ht="16.2" thickBot="1" x14ac:dyDescent="0.35">
      <c r="A1" s="115" t="s">
        <v>257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BI1" s="30"/>
      <c r="BJ1" s="31"/>
      <c r="BK1" s="30"/>
    </row>
    <row r="2" spans="1:104" ht="14.4" customHeight="1" thickBot="1" x14ac:dyDescent="0.3">
      <c r="A2" s="17"/>
      <c r="B2" s="17"/>
      <c r="C2" s="140" t="s">
        <v>26</v>
      </c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2"/>
      <c r="BC2" s="137" t="s">
        <v>27</v>
      </c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8"/>
      <c r="CK2" s="138"/>
      <c r="CL2" s="138"/>
      <c r="CM2" s="138"/>
      <c r="CN2" s="138"/>
      <c r="CO2" s="138"/>
      <c r="CP2" s="138"/>
      <c r="CQ2" s="138"/>
      <c r="CR2" s="138"/>
      <c r="CS2" s="138"/>
      <c r="CT2" s="138"/>
      <c r="CU2" s="138"/>
      <c r="CV2" s="138"/>
      <c r="CW2" s="138"/>
      <c r="CX2" s="138"/>
      <c r="CY2" s="139"/>
      <c r="CZ2" s="116" t="s">
        <v>226</v>
      </c>
    </row>
    <row r="3" spans="1:104" ht="14.25" customHeight="1" thickBot="1" x14ac:dyDescent="0.3">
      <c r="A3" s="2"/>
      <c r="B3" s="17"/>
      <c r="C3" s="118" t="s">
        <v>255</v>
      </c>
      <c r="D3" s="119"/>
      <c r="E3" s="143"/>
      <c r="F3" s="124" t="s">
        <v>253</v>
      </c>
      <c r="G3" s="125"/>
      <c r="H3" s="125"/>
      <c r="I3" s="125"/>
      <c r="J3" s="125"/>
      <c r="K3" s="126"/>
      <c r="L3" s="124" t="s">
        <v>0</v>
      </c>
      <c r="M3" s="125"/>
      <c r="N3" s="125"/>
      <c r="O3" s="125"/>
      <c r="P3" s="125"/>
      <c r="Q3" s="126"/>
      <c r="R3" s="124" t="s">
        <v>1</v>
      </c>
      <c r="S3" s="125"/>
      <c r="T3" s="125"/>
      <c r="U3" s="125"/>
      <c r="V3" s="125"/>
      <c r="W3" s="126"/>
      <c r="X3" s="124" t="s">
        <v>2</v>
      </c>
      <c r="Y3" s="125"/>
      <c r="Z3" s="125"/>
      <c r="AA3" s="125"/>
      <c r="AB3" s="125"/>
      <c r="AC3" s="126"/>
      <c r="AD3" s="124" t="s">
        <v>4</v>
      </c>
      <c r="AE3" s="125"/>
      <c r="AF3" s="125"/>
      <c r="AG3" s="125"/>
      <c r="AH3" s="125"/>
      <c r="AI3" s="126"/>
      <c r="AJ3" s="124" t="s">
        <v>5</v>
      </c>
      <c r="AK3" s="125"/>
      <c r="AL3" s="125"/>
      <c r="AM3" s="125"/>
      <c r="AN3" s="125"/>
      <c r="AO3" s="126"/>
      <c r="AP3" s="124" t="s">
        <v>25</v>
      </c>
      <c r="AQ3" s="125"/>
      <c r="AR3" s="126"/>
      <c r="AS3" s="124" t="s">
        <v>7</v>
      </c>
      <c r="AT3" s="125"/>
      <c r="AU3" s="125"/>
      <c r="AV3" s="125"/>
      <c r="AW3" s="125"/>
      <c r="AX3" s="126"/>
      <c r="AY3" s="118" t="s">
        <v>6</v>
      </c>
      <c r="AZ3" s="119"/>
      <c r="BA3" s="120"/>
      <c r="BB3" s="131" t="s">
        <v>13</v>
      </c>
      <c r="BC3" s="118" t="s">
        <v>254</v>
      </c>
      <c r="BD3" s="119"/>
      <c r="BE3" s="120"/>
      <c r="BF3" s="124" t="s">
        <v>0</v>
      </c>
      <c r="BG3" s="125"/>
      <c r="BH3" s="125"/>
      <c r="BI3" s="125"/>
      <c r="BJ3" s="125"/>
      <c r="BK3" s="126"/>
      <c r="BL3" s="124" t="s">
        <v>4</v>
      </c>
      <c r="BM3" s="125"/>
      <c r="BN3" s="125"/>
      <c r="BO3" s="125"/>
      <c r="BP3" s="125"/>
      <c r="BQ3" s="126"/>
      <c r="BR3" s="124" t="s">
        <v>3</v>
      </c>
      <c r="BS3" s="125"/>
      <c r="BT3" s="125"/>
      <c r="BU3" s="125"/>
      <c r="BV3" s="125"/>
      <c r="BW3" s="126"/>
      <c r="BX3" s="124" t="s">
        <v>15</v>
      </c>
      <c r="BY3" s="125"/>
      <c r="BZ3" s="125"/>
      <c r="CA3" s="125"/>
      <c r="CB3" s="125"/>
      <c r="CC3" s="126"/>
      <c r="CD3" s="124" t="s">
        <v>5</v>
      </c>
      <c r="CE3" s="125"/>
      <c r="CF3" s="125"/>
      <c r="CG3" s="125"/>
      <c r="CH3" s="125"/>
      <c r="CI3" s="126"/>
      <c r="CJ3" s="124" t="s">
        <v>1</v>
      </c>
      <c r="CK3" s="125"/>
      <c r="CL3" s="125"/>
      <c r="CM3" s="125"/>
      <c r="CN3" s="125"/>
      <c r="CO3" s="126"/>
      <c r="CP3" s="118" t="s">
        <v>14</v>
      </c>
      <c r="CQ3" s="119"/>
      <c r="CR3" s="120"/>
      <c r="CS3" s="124" t="s">
        <v>7</v>
      </c>
      <c r="CT3" s="125"/>
      <c r="CU3" s="125"/>
      <c r="CV3" s="125"/>
      <c r="CW3" s="125"/>
      <c r="CX3" s="126"/>
      <c r="CY3" s="136" t="s">
        <v>13</v>
      </c>
      <c r="CZ3" s="117"/>
    </row>
    <row r="4" spans="1:104" ht="13.8" thickBot="1" x14ac:dyDescent="0.3">
      <c r="A4" s="2"/>
      <c r="B4" s="17"/>
      <c r="C4" s="127" t="s">
        <v>8</v>
      </c>
      <c r="D4" s="122"/>
      <c r="E4" s="128"/>
      <c r="F4" s="118" t="s">
        <v>9</v>
      </c>
      <c r="G4" s="119"/>
      <c r="H4" s="120"/>
      <c r="I4" s="118" t="s">
        <v>8</v>
      </c>
      <c r="J4" s="119"/>
      <c r="K4" s="120"/>
      <c r="L4" s="118" t="s">
        <v>9</v>
      </c>
      <c r="M4" s="119"/>
      <c r="N4" s="120"/>
      <c r="O4" s="118" t="s">
        <v>8</v>
      </c>
      <c r="P4" s="119"/>
      <c r="Q4" s="120"/>
      <c r="R4" s="118" t="s">
        <v>9</v>
      </c>
      <c r="S4" s="119"/>
      <c r="T4" s="120"/>
      <c r="U4" s="118" t="s">
        <v>8</v>
      </c>
      <c r="V4" s="119"/>
      <c r="W4" s="120"/>
      <c r="X4" s="118" t="s">
        <v>9</v>
      </c>
      <c r="Y4" s="119"/>
      <c r="Z4" s="120"/>
      <c r="AA4" s="118" t="s">
        <v>8</v>
      </c>
      <c r="AB4" s="119"/>
      <c r="AC4" s="120"/>
      <c r="AD4" s="118" t="s">
        <v>9</v>
      </c>
      <c r="AE4" s="119"/>
      <c r="AF4" s="120"/>
      <c r="AG4" s="118" t="s">
        <v>8</v>
      </c>
      <c r="AH4" s="119"/>
      <c r="AI4" s="120"/>
      <c r="AJ4" s="118" t="s">
        <v>9</v>
      </c>
      <c r="AK4" s="119"/>
      <c r="AL4" s="120"/>
      <c r="AM4" s="118" t="s">
        <v>8</v>
      </c>
      <c r="AN4" s="119"/>
      <c r="AO4" s="120"/>
      <c r="AP4" s="118" t="s">
        <v>9</v>
      </c>
      <c r="AQ4" s="119"/>
      <c r="AR4" s="120"/>
      <c r="AS4" s="118" t="s">
        <v>9</v>
      </c>
      <c r="AT4" s="119"/>
      <c r="AU4" s="120"/>
      <c r="AV4" s="118" t="s">
        <v>8</v>
      </c>
      <c r="AW4" s="119"/>
      <c r="AX4" s="120"/>
      <c r="AY4" s="121"/>
      <c r="AZ4" s="122"/>
      <c r="BA4" s="123"/>
      <c r="BB4" s="131"/>
      <c r="BC4" s="127" t="s">
        <v>8</v>
      </c>
      <c r="BD4" s="122"/>
      <c r="BE4" s="128"/>
      <c r="BF4" s="118" t="s">
        <v>9</v>
      </c>
      <c r="BG4" s="119"/>
      <c r="BH4" s="120"/>
      <c r="BI4" s="118" t="s">
        <v>8</v>
      </c>
      <c r="BJ4" s="119"/>
      <c r="BK4" s="120"/>
      <c r="BL4" s="118" t="s">
        <v>9</v>
      </c>
      <c r="BM4" s="119"/>
      <c r="BN4" s="120"/>
      <c r="BO4" s="118" t="s">
        <v>8</v>
      </c>
      <c r="BP4" s="119"/>
      <c r="BQ4" s="120"/>
      <c r="BR4" s="118" t="s">
        <v>9</v>
      </c>
      <c r="BS4" s="119"/>
      <c r="BT4" s="120"/>
      <c r="BU4" s="118" t="s">
        <v>8</v>
      </c>
      <c r="BV4" s="119"/>
      <c r="BW4" s="120"/>
      <c r="BX4" s="118" t="s">
        <v>9</v>
      </c>
      <c r="BY4" s="119"/>
      <c r="BZ4" s="120"/>
      <c r="CA4" s="118" t="s">
        <v>8</v>
      </c>
      <c r="CB4" s="119"/>
      <c r="CC4" s="120"/>
      <c r="CD4" s="118" t="s">
        <v>9</v>
      </c>
      <c r="CE4" s="119"/>
      <c r="CF4" s="120"/>
      <c r="CG4" s="118" t="s">
        <v>8</v>
      </c>
      <c r="CH4" s="119"/>
      <c r="CI4" s="143"/>
      <c r="CJ4" s="118" t="s">
        <v>9</v>
      </c>
      <c r="CK4" s="119"/>
      <c r="CL4" s="120"/>
      <c r="CM4" s="118" t="s">
        <v>8</v>
      </c>
      <c r="CN4" s="119"/>
      <c r="CO4" s="120"/>
      <c r="CP4" s="121" t="s">
        <v>9</v>
      </c>
      <c r="CQ4" s="122"/>
      <c r="CR4" s="128"/>
      <c r="CS4" s="118" t="s">
        <v>9</v>
      </c>
      <c r="CT4" s="119"/>
      <c r="CU4" s="120"/>
      <c r="CV4" s="118" t="s">
        <v>8</v>
      </c>
      <c r="CW4" s="119"/>
      <c r="CX4" s="120"/>
      <c r="CY4" s="136"/>
      <c r="CZ4" s="117"/>
    </row>
    <row r="5" spans="1:104" x14ac:dyDescent="0.25">
      <c r="A5" s="20" t="s">
        <v>146</v>
      </c>
      <c r="B5" s="87" t="s">
        <v>140</v>
      </c>
      <c r="C5" s="21" t="s">
        <v>12</v>
      </c>
      <c r="D5" s="19" t="s">
        <v>10</v>
      </c>
      <c r="E5" s="25" t="s">
        <v>11</v>
      </c>
      <c r="F5" s="21" t="s">
        <v>12</v>
      </c>
      <c r="G5" s="19" t="s">
        <v>10</v>
      </c>
      <c r="H5" s="22" t="s">
        <v>11</v>
      </c>
      <c r="I5" s="21" t="s">
        <v>12</v>
      </c>
      <c r="J5" s="19" t="s">
        <v>10</v>
      </c>
      <c r="K5" s="22" t="s">
        <v>11</v>
      </c>
      <c r="L5" s="21" t="s">
        <v>12</v>
      </c>
      <c r="M5" s="19" t="s">
        <v>10</v>
      </c>
      <c r="N5" s="22" t="s">
        <v>11</v>
      </c>
      <c r="O5" s="21" t="s">
        <v>12</v>
      </c>
      <c r="P5" s="19" t="s">
        <v>10</v>
      </c>
      <c r="Q5" s="22" t="s">
        <v>11</v>
      </c>
      <c r="R5" s="21" t="s">
        <v>12</v>
      </c>
      <c r="S5" s="19" t="s">
        <v>10</v>
      </c>
      <c r="T5" s="22" t="s">
        <v>11</v>
      </c>
      <c r="U5" s="21" t="s">
        <v>12</v>
      </c>
      <c r="V5" s="19" t="s">
        <v>10</v>
      </c>
      <c r="W5" s="22" t="s">
        <v>11</v>
      </c>
      <c r="X5" s="21" t="s">
        <v>12</v>
      </c>
      <c r="Y5" s="19" t="s">
        <v>10</v>
      </c>
      <c r="Z5" s="22" t="s">
        <v>11</v>
      </c>
      <c r="AA5" s="21" t="s">
        <v>12</v>
      </c>
      <c r="AB5" s="19" t="s">
        <v>10</v>
      </c>
      <c r="AC5" s="22" t="s">
        <v>11</v>
      </c>
      <c r="AD5" s="21" t="s">
        <v>12</v>
      </c>
      <c r="AE5" s="19" t="s">
        <v>10</v>
      </c>
      <c r="AF5" s="22" t="s">
        <v>11</v>
      </c>
      <c r="AG5" s="21" t="s">
        <v>12</v>
      </c>
      <c r="AH5" s="19" t="s">
        <v>10</v>
      </c>
      <c r="AI5" s="22" t="s">
        <v>11</v>
      </c>
      <c r="AJ5" s="21" t="s">
        <v>12</v>
      </c>
      <c r="AK5" s="19" t="s">
        <v>10</v>
      </c>
      <c r="AL5" s="22" t="s">
        <v>11</v>
      </c>
      <c r="AM5" s="21" t="s">
        <v>12</v>
      </c>
      <c r="AN5" s="19" t="s">
        <v>10</v>
      </c>
      <c r="AO5" s="22" t="s">
        <v>11</v>
      </c>
      <c r="AP5" s="21" t="s">
        <v>12</v>
      </c>
      <c r="AQ5" s="19" t="s">
        <v>10</v>
      </c>
      <c r="AR5" s="22" t="s">
        <v>11</v>
      </c>
      <c r="AS5" s="21" t="s">
        <v>12</v>
      </c>
      <c r="AT5" s="19" t="s">
        <v>10</v>
      </c>
      <c r="AU5" s="22" t="s">
        <v>11</v>
      </c>
      <c r="AV5" s="21" t="s">
        <v>12</v>
      </c>
      <c r="AW5" s="19" t="s">
        <v>10</v>
      </c>
      <c r="AX5" s="22" t="s">
        <v>11</v>
      </c>
      <c r="AY5" s="89" t="s">
        <v>12</v>
      </c>
      <c r="AZ5" s="19" t="s">
        <v>10</v>
      </c>
      <c r="BA5" s="22" t="s">
        <v>11</v>
      </c>
      <c r="BB5" s="131"/>
      <c r="BC5" s="21" t="s">
        <v>12</v>
      </c>
      <c r="BD5" s="19" t="s">
        <v>10</v>
      </c>
      <c r="BE5" s="25" t="s">
        <v>11</v>
      </c>
      <c r="BF5" s="21" t="s">
        <v>12</v>
      </c>
      <c r="BG5" s="19" t="s">
        <v>10</v>
      </c>
      <c r="BH5" s="22" t="s">
        <v>11</v>
      </c>
      <c r="BI5" s="21" t="s">
        <v>12</v>
      </c>
      <c r="BJ5" s="19" t="s">
        <v>10</v>
      </c>
      <c r="BK5" s="22" t="s">
        <v>11</v>
      </c>
      <c r="BL5" s="21" t="s">
        <v>12</v>
      </c>
      <c r="BM5" s="19" t="s">
        <v>10</v>
      </c>
      <c r="BN5" s="22" t="s">
        <v>11</v>
      </c>
      <c r="BO5" s="21" t="s">
        <v>12</v>
      </c>
      <c r="BP5" s="19" t="s">
        <v>10</v>
      </c>
      <c r="BQ5" s="22" t="s">
        <v>11</v>
      </c>
      <c r="BR5" s="21" t="s">
        <v>12</v>
      </c>
      <c r="BS5" s="19" t="s">
        <v>10</v>
      </c>
      <c r="BT5" s="22" t="s">
        <v>11</v>
      </c>
      <c r="BU5" s="21" t="s">
        <v>12</v>
      </c>
      <c r="BV5" s="19" t="s">
        <v>10</v>
      </c>
      <c r="BW5" s="22" t="s">
        <v>11</v>
      </c>
      <c r="BX5" s="21" t="s">
        <v>12</v>
      </c>
      <c r="BY5" s="19" t="s">
        <v>10</v>
      </c>
      <c r="BZ5" s="22" t="s">
        <v>11</v>
      </c>
      <c r="CA5" s="21" t="s">
        <v>12</v>
      </c>
      <c r="CB5" s="19" t="s">
        <v>10</v>
      </c>
      <c r="CC5" s="22" t="s">
        <v>11</v>
      </c>
      <c r="CD5" s="21" t="s">
        <v>12</v>
      </c>
      <c r="CE5" s="19" t="s">
        <v>10</v>
      </c>
      <c r="CF5" s="22" t="s">
        <v>11</v>
      </c>
      <c r="CG5" s="21" t="s">
        <v>12</v>
      </c>
      <c r="CH5" s="19" t="s">
        <v>10</v>
      </c>
      <c r="CI5" s="25" t="s">
        <v>11</v>
      </c>
      <c r="CJ5" s="21" t="s">
        <v>12</v>
      </c>
      <c r="CK5" s="19" t="s">
        <v>10</v>
      </c>
      <c r="CL5" s="22" t="s">
        <v>11</v>
      </c>
      <c r="CM5" s="21" t="s">
        <v>12</v>
      </c>
      <c r="CN5" s="19" t="s">
        <v>10</v>
      </c>
      <c r="CO5" s="22" t="s">
        <v>11</v>
      </c>
      <c r="CP5" s="89" t="s">
        <v>12</v>
      </c>
      <c r="CQ5" s="19" t="s">
        <v>10</v>
      </c>
      <c r="CR5" s="25" t="s">
        <v>11</v>
      </c>
      <c r="CS5" s="21" t="s">
        <v>12</v>
      </c>
      <c r="CT5" s="19" t="s">
        <v>10</v>
      </c>
      <c r="CU5" s="22" t="s">
        <v>11</v>
      </c>
      <c r="CV5" s="21" t="s">
        <v>12</v>
      </c>
      <c r="CW5" s="19" t="s">
        <v>10</v>
      </c>
      <c r="CX5" s="22" t="s">
        <v>11</v>
      </c>
      <c r="CY5" s="136"/>
      <c r="CZ5" s="117"/>
    </row>
    <row r="6" spans="1:104" x14ac:dyDescent="0.25">
      <c r="A6" s="27" t="s">
        <v>101</v>
      </c>
      <c r="B6" s="88" t="s">
        <v>67</v>
      </c>
      <c r="C6" s="23" t="str">
        <f>_xlfn.XLOOKUP($B6,GCES!$B:$B,GCES!$C:$C,"",0,1)</f>
        <v/>
      </c>
      <c r="D6" s="28" t="str">
        <f>IF(C6="","",D$58*C6/C$57)</f>
        <v/>
      </c>
      <c r="E6" s="26" t="str">
        <f>IF(C6="","",IF(D6&gt;4,ROUND(D6/2,0)*2,IF(D6&gt;D$59,4,"")))</f>
        <v/>
      </c>
      <c r="F6" s="23" t="str">
        <f>_xlfn.XLOOKUP($B6,GCES!$B:$B,GCES!$E:$E,"",0,1)</f>
        <v/>
      </c>
      <c r="G6" s="28" t="str">
        <f>IF(F6="","",G$58*F6/F$57)</f>
        <v/>
      </c>
      <c r="H6" s="24" t="str">
        <f>IF(F6="","",IF(G6&gt;4,ROUND(G6/2,0)*2,IF(G6&gt;G$59,4,"")))</f>
        <v/>
      </c>
      <c r="I6" s="23">
        <f>_xlfn.XLOOKUP($B6,GCES!$B:$B,GCES!$D:$D,"",0,1)</f>
        <v>16</v>
      </c>
      <c r="J6" s="28">
        <f>IF(I6="","",J$58*I6/I$57)</f>
        <v>1.5115207373271888</v>
      </c>
      <c r="K6" s="24" t="str">
        <f>IF(I6="","",IF(J6&gt;4,ROUND(J6/2,0)*2,IF(J6&gt;J$59,4,"")))</f>
        <v/>
      </c>
      <c r="L6" s="23" t="str">
        <f>_xlfn.XLOOKUP($B6,GCES!$B:$B,GCES!$H:$H,"",0,1)</f>
        <v/>
      </c>
      <c r="M6" s="28" t="str">
        <f>IF(L6="","",M$58*L6/L$57)</f>
        <v/>
      </c>
      <c r="N6" s="24" t="str">
        <f>IF(L6="","",IF(M6&gt;4,ROUND(M6/2,0)*2,IF(M6&gt;M$59,4,"")))</f>
        <v/>
      </c>
      <c r="O6" s="23" t="str">
        <f>_xlfn.XLOOKUP($B6,GCES!$B:$B,GCES!$G:$G,"",0,1)</f>
        <v/>
      </c>
      <c r="P6" s="28" t="str">
        <f>IF(O6="","",P$58*O6/O$57)</f>
        <v/>
      </c>
      <c r="Q6" s="24" t="str">
        <f>IF(O6="","",IF(P6&gt;4,ROUND(P6/2,0)*2,IF(P6&gt;P$59,4,"")))</f>
        <v/>
      </c>
      <c r="R6" s="23" t="str">
        <f>_xlfn.XLOOKUP($B6,GCES!$B:$B,GCES!$L:$L,"",0,1)</f>
        <v/>
      </c>
      <c r="S6" s="28" t="str">
        <f>IF(R6="","",S$58*R6/R$57)</f>
        <v/>
      </c>
      <c r="T6" s="24" t="str">
        <f>IF(R6="","",IF(S6&gt;4,ROUND(S6/2,0)*2,IF(S6&gt;S$59,4,"")))</f>
        <v/>
      </c>
      <c r="U6" s="23" t="str">
        <f>_xlfn.XLOOKUP($B6,GCES!$B:$B,GCES!$K:$K,"",0,1)</f>
        <v/>
      </c>
      <c r="V6" s="28" t="str">
        <f>IF(U6="","",V$58*U6/U$57)</f>
        <v/>
      </c>
      <c r="W6" s="24" t="str">
        <f>IF(U6="","",IF(V6&gt;4,ROUND(V6/2,0)*2,IF(V6&gt;V$59,4,"")))</f>
        <v/>
      </c>
      <c r="X6" s="23">
        <f>_xlfn.XLOOKUP($B6,GCES!$B:$B,GCES!$S:$S,"",0,1)</f>
        <v>16</v>
      </c>
      <c r="Y6" s="28">
        <f>IF(X6="","",Y$58*X6/X$57)</f>
        <v>5.6470588235294121</v>
      </c>
      <c r="Z6" s="24">
        <f>IF(X6="","",IF(Y6&gt;4,ROUND(Y6/2,0)*2,IF(Y6&gt;Y$59,4,"")))</f>
        <v>6</v>
      </c>
      <c r="AA6" s="23">
        <f>_xlfn.XLOOKUP($B6,GCES!$B:$B,GCES!$R:$R,"",0,1)</f>
        <v>20</v>
      </c>
      <c r="AB6" s="28">
        <f>IF(AA6="","",AB$58*AA6/AA$57)</f>
        <v>6.8181818181818183</v>
      </c>
      <c r="AC6" s="38">
        <v>8</v>
      </c>
      <c r="AD6" s="23">
        <f>_xlfn.XLOOKUP($B6,GCES!$B:$B,GCES!$AL:$AL,"",0,1)</f>
        <v>44</v>
      </c>
      <c r="AE6" s="28">
        <f>IF(AD6="","",AE$58*AD6/AD$57)</f>
        <v>5.2884615384615383</v>
      </c>
      <c r="AF6" s="24">
        <f>IF(AD6="","",IF(AE6&gt;4,ROUND(AE6/2,0)*2,IF(AE6&gt;AE$59,4,"")))</f>
        <v>6</v>
      </c>
      <c r="AG6" s="23">
        <f>_xlfn.XLOOKUP($B6,GCES!$B:$B,GCES!$AK:$AK,"",0,1)</f>
        <v>16</v>
      </c>
      <c r="AH6" s="28">
        <f>IF(AG6="","",AH$58*AG6/AG$57)</f>
        <v>2.6666666666666665</v>
      </c>
      <c r="AI6" s="24">
        <f>IF(AG6="","",IF(AH6&gt;4,ROUND(AH6/2,0)*2,IF(AH6&gt;AH$59,4,"")))</f>
        <v>4</v>
      </c>
      <c r="AJ6" s="23" t="str">
        <f>_xlfn.XLOOKUP($B6,GCES!$B:$B,GCES!$AQ:$AQ,"",0,1)</f>
        <v/>
      </c>
      <c r="AK6" s="28" t="str">
        <f>IF(AJ6="","",AK$58*AJ6/AJ$57)</f>
        <v/>
      </c>
      <c r="AL6" s="24" t="str">
        <f>IF(AJ6="","",IF(AK6&gt;4,ROUND(AK6/2,0)*2,IF(AK6&gt;AK$59,4,"")))</f>
        <v/>
      </c>
      <c r="AM6" s="23" t="str">
        <f>_xlfn.XLOOKUP($B6,GCES!$B:$B,GCES!$AP:$AP,"",0,1)</f>
        <v/>
      </c>
      <c r="AN6" s="28" t="str">
        <f>IF(AM6="","",AN$58*AM6/AM$57)</f>
        <v/>
      </c>
      <c r="AO6" s="24" t="str">
        <f>IF(AM6="","",IF(AN6&gt;4,ROUND(AN6/2,0)*2,IF(AN6&gt;AN$59,4,"")))</f>
        <v/>
      </c>
      <c r="AP6" s="23">
        <f>_xlfn.XLOOKUP($B6,GCES!$B:$B,GCES!$V:$V,"",0,1)</f>
        <v>16</v>
      </c>
      <c r="AQ6" s="28">
        <f>IF(AP6="","",AQ$58*AP6/AP$57)</f>
        <v>4.4571428571428573</v>
      </c>
      <c r="AR6" s="24">
        <f>IF(AP6="","",IF(AQ6&gt;4,ROUND(AQ6/2,0)*2,IF(AQ6&gt;AQ$59,4,"")))</f>
        <v>4</v>
      </c>
      <c r="AS6" s="23" t="str">
        <f>_xlfn.XLOOKUP($B6,GCES!$B:$B,GCES!$AH:$AH,"",0,1)</f>
        <v/>
      </c>
      <c r="AT6" s="28" t="str">
        <f>IF(AS6="","",AT$58*AS6/AS$57)</f>
        <v/>
      </c>
      <c r="AU6" s="24" t="str">
        <f>IF(AS6="","",IF(AT6&gt;4,ROUND(AT6/2,0)*2,IF(AT6&gt;AT$59,4,"")))</f>
        <v/>
      </c>
      <c r="AV6" s="23" t="str">
        <f>_xlfn.XLOOKUP($B6,GCES!$B:$B,GCES!$AG:$AG,"",0,1)</f>
        <v/>
      </c>
      <c r="AW6" s="28" t="str">
        <f>IF(AV6="","",AW$58*AV6/AV$57)</f>
        <v/>
      </c>
      <c r="AX6" s="24" t="str">
        <f>IF(AV6="","",IF(AW6&gt;4,ROUND(AW6/2,0)*2,IF(AW6&gt;AW$59,4,"")))</f>
        <v/>
      </c>
      <c r="AY6" s="90">
        <f>_xlfn.XLOOKUP($B6,GCES!$B:$B,GCES!$AO:$AO,"",0,1)</f>
        <v>36</v>
      </c>
      <c r="AZ6" s="28">
        <f>IF(AY6="","",AZ$58*AY6/AY$57)</f>
        <v>6.6</v>
      </c>
      <c r="BA6" s="24">
        <f>IF(AY6="","",IF(AZ6&gt;4,ROUND(AZ6/2,0)*2,IF(AZ6&gt;AZ$59,4,"")))</f>
        <v>6</v>
      </c>
      <c r="BB6" s="97">
        <f>SUM(E6,H6,K6,N6,Q6,T6,W6,Z6,AC6,AF6,AI6,AL6,AO6,AR6,AU6,AX6,BA6)</f>
        <v>34</v>
      </c>
      <c r="BC6" s="23" t="str">
        <f>_xlfn.XLOOKUP($B6,GCES!$B:$B,GCES!$F:$F,"",0,1)</f>
        <v/>
      </c>
      <c r="BD6" s="28" t="str">
        <f>IF(BC6="","",BD$58*BC6/BC$57)</f>
        <v/>
      </c>
      <c r="BE6" s="26" t="str">
        <f>IF(BC6="","",IF(BD6&gt;4,ROUND(BD6/2,0)*2,IF(BD6&gt;BD$59,4,"")))</f>
        <v/>
      </c>
      <c r="BF6" s="23" t="str">
        <f>_xlfn.XLOOKUP($B6,GCES!$B:$B,GCES!$J:$J,"",0,1)</f>
        <v/>
      </c>
      <c r="BG6" s="28" t="str">
        <f>IF(BF6="","",BG$58*BF6/BF$57)</f>
        <v/>
      </c>
      <c r="BH6" s="24" t="str">
        <f>IF(BF6="","",IF(BG6&gt;4,ROUND(BG6/2,0)*2,IF(BG6&gt;BG$59,4,"")))</f>
        <v/>
      </c>
      <c r="BI6" s="23" t="str">
        <f>_xlfn.XLOOKUP($B6,GCES!$B:$B,GCES!$I:$I,"",0,1)</f>
        <v/>
      </c>
      <c r="BJ6" s="28" t="str">
        <f>IF(BI6="","",BJ$58*BI6/BI$57)</f>
        <v/>
      </c>
      <c r="BK6" s="24" t="str">
        <f>IF(BI6="","",IF(BJ6&gt;4,ROUND(BJ6/2,0)*2,IF(BJ6&gt;BJ$59,4,"")))</f>
        <v/>
      </c>
      <c r="BL6" s="23" t="str">
        <f>_xlfn.XLOOKUP($B6,GCES!$B:$B,GCES!$AN:$AN,"",0,1)</f>
        <v/>
      </c>
      <c r="BM6" s="28" t="str">
        <f>IF(BL6="","",BM$58*BL6/BL$57)</f>
        <v/>
      </c>
      <c r="BN6" s="24" t="str">
        <f>IF(BL6="","",IF(BM6&gt;4,ROUND(BM6/2,0)*2,IF(BM6&gt;BM$59,4,"")))</f>
        <v/>
      </c>
      <c r="BO6" s="23">
        <f>_xlfn.XLOOKUP($B6,GCES!$B:$B,GCES!$AM:$AM,"",0,1)</f>
        <v>16</v>
      </c>
      <c r="BP6" s="28">
        <f>IF(BO6="","",BP$58*BO6/BO$57)</f>
        <v>3.870967741935484</v>
      </c>
      <c r="BQ6" s="24">
        <f>IF(BO6="","",IF(BP6&gt;4,ROUND(BP6/2,0)*2,IF(BP6&gt;BP$59,4,"")))</f>
        <v>4</v>
      </c>
      <c r="BR6" s="23" t="str">
        <f>_xlfn.XLOOKUP($B6,GCES!$B:$B,GCES!$Z:$Z,"",0,1)</f>
        <v/>
      </c>
      <c r="BS6" s="28" t="str">
        <f>IF(BR6="","",BS$58*BR6/BR$57)</f>
        <v/>
      </c>
      <c r="BT6" s="24" t="str">
        <f>IF(BR6="","",IF(BS6&gt;4,ROUND(BS6/2,0)*2,IF(BS6&gt;BS$59,4,"")))</f>
        <v/>
      </c>
      <c r="BU6" s="23" t="str">
        <f>_xlfn.XLOOKUP($B6,GCES!$B:$B,GCES!$Y:$Y,"",0,1)</f>
        <v/>
      </c>
      <c r="BV6" s="28" t="str">
        <f>IF(BU6="","",BV$58*BU6/BU$57)</f>
        <v/>
      </c>
      <c r="BW6" s="24" t="str">
        <f>IF(BU6="","",IF(BV6&gt;4,ROUND(BV6/2,0)*2,IF(BV6&gt;BV$59,4,"")))</f>
        <v/>
      </c>
      <c r="BX6" s="23" t="str">
        <f>_xlfn.XLOOKUP($B6,GCES!$B:$B,GCES!$AC:$AC,"",0,1)</f>
        <v/>
      </c>
      <c r="BY6" s="28" t="str">
        <f>IF(BX6="","",BY$58*BX6/BX$57)</f>
        <v/>
      </c>
      <c r="BZ6" s="24" t="str">
        <f>IF(BX6="","",IF(BY6&gt;4,ROUND(BY6/2,0)*2,IF(BY6&gt;BY$59,4,"")))</f>
        <v/>
      </c>
      <c r="CA6" s="23" t="str">
        <f>_xlfn.XLOOKUP($B6,GCES!$B:$B,GCES!$AB:$AB,"",0,1)</f>
        <v/>
      </c>
      <c r="CB6" s="28" t="str">
        <f>IF(CA6="","",CB$58*CA6/CA$57)</f>
        <v/>
      </c>
      <c r="CC6" s="24" t="str">
        <f>IF(CA6="","",IF(CB6&gt;4,ROUND(CB6/2,0)*2,IF(CB6&gt;CB$59,4,"")))</f>
        <v/>
      </c>
      <c r="CD6" s="23" t="str">
        <f>_xlfn.XLOOKUP($B6,GCES!$B:$B,GCES!$AS:$AS,"",0,1)</f>
        <v/>
      </c>
      <c r="CE6" s="28" t="str">
        <f>IF(CD6="","",CE$58*CD6/CD$57)</f>
        <v/>
      </c>
      <c r="CF6" s="24" t="str">
        <f>IF(CD6="","",IF(CE6&gt;4,ROUND(CE6/2,0)*2,IF(CE6&gt;CE$59,4,"")))</f>
        <v/>
      </c>
      <c r="CG6" s="23">
        <f>_xlfn.XLOOKUP($B6,GCES!$B:$B,GCES!$AR:$AR,"",0,1)</f>
        <v>16</v>
      </c>
      <c r="CH6" s="28">
        <f>IF(CG6="","",CH$58*CG6/CG$57)</f>
        <v>5.2173913043478262</v>
      </c>
      <c r="CI6" s="26">
        <f>IF(CG6="","",IF(CH6&gt;4,ROUND(CH6/2,0)*2,IF(CH6&gt;CH$59,4,"")))</f>
        <v>6</v>
      </c>
      <c r="CJ6" s="23" t="str">
        <f>_xlfn.XLOOKUP($B6,GCES!$B:$B,GCES!$N:$N,"",0,1)</f>
        <v/>
      </c>
      <c r="CK6" s="28" t="str">
        <f>IF(CJ6="","",CK$58*CJ6/CJ$57)</f>
        <v/>
      </c>
      <c r="CL6" s="24" t="str">
        <f>IF(CJ6="","",IF(CK6&gt;4,ROUND(CK6/2,0)*2,IF(CK6&gt;CK$59,4,"")))</f>
        <v/>
      </c>
      <c r="CM6" s="23" t="str">
        <f>_xlfn.XLOOKUP($B6,GCES!$B:$B,GCES!$M:$M,"",0,1)</f>
        <v/>
      </c>
      <c r="CN6" s="28" t="str">
        <f>IF(CM6="","",CN$58*CM6/CM$57)</f>
        <v/>
      </c>
      <c r="CO6" s="24" t="str">
        <f>IF(CM6="","",IF(CN6&gt;4,ROUND(CN6/2,0)*2,IF(CN6&gt;CN$59,4,"")))</f>
        <v/>
      </c>
      <c r="CP6" s="90" t="str">
        <f>_xlfn.XLOOKUP($B6,GCES!$B:$B,GCES!$AD:$AD,"",0,1)</f>
        <v/>
      </c>
      <c r="CQ6" s="28" t="str">
        <f>IF(CP6="","",CQ$58*CP6/CP$57)</f>
        <v/>
      </c>
      <c r="CR6" s="26" t="str">
        <f>IF(CP6="","",IF(CQ6&gt;4,ROUND(CQ6/2,0)*2,IF(CQ6&gt;CQ$59,4,"")))</f>
        <v/>
      </c>
      <c r="CS6" s="23" t="str">
        <f>_xlfn.XLOOKUP($B6,GCES!$B:$B,GCES!$AJ:$AJ,"",0,1)</f>
        <v/>
      </c>
      <c r="CT6" s="28" t="str">
        <f>IF(CS6="","",CT$58*CS6/CS$57)</f>
        <v/>
      </c>
      <c r="CU6" s="24" t="str">
        <f>IF(CS6="","",IF(CT6&gt;4,ROUND(CT6/2,0)*2,IF(CT6&gt;CT$59,4,"")))</f>
        <v/>
      </c>
      <c r="CV6" s="23" t="str">
        <f>_xlfn.XLOOKUP($B6,GCES!$B:$B,GCES!$AI:$AI,"",0,1)</f>
        <v/>
      </c>
      <c r="CW6" s="28" t="str">
        <f>IF(CV6="","",CW$58*CV6/CV$57)</f>
        <v/>
      </c>
      <c r="CX6" s="24" t="str">
        <f>IF(CV6="","",IF(CW6&gt;4,ROUND(CW6/2,0)*2,IF(CW6&gt;CW$59,4,"")))</f>
        <v/>
      </c>
      <c r="CY6" s="100">
        <f t="shared" ref="CY6:CY57" si="0">SUM(BE6,BH6,BK6,BN6,BQ6,BT6,BW6,BZ6,CC6,CF6,CI6,CL6,CO6,CR6,CU6,CX6)</f>
        <v>10</v>
      </c>
      <c r="CZ6" s="95">
        <f t="shared" ref="CZ6:CZ57" si="1">SUM(BB6,CY6)</f>
        <v>44</v>
      </c>
    </row>
    <row r="7" spans="1:104" x14ac:dyDescent="0.25">
      <c r="A7" s="27" t="s">
        <v>103</v>
      </c>
      <c r="B7" s="88" t="s">
        <v>83</v>
      </c>
      <c r="C7" s="23" t="str">
        <f>_xlfn.XLOOKUP($B7,GCES!$B:$B,GCES!$C:$C,"",0,1)</f>
        <v/>
      </c>
      <c r="D7" s="28" t="str">
        <f t="shared" ref="D7:D9" si="2">IF(C7="","",D$58*C7/C$57)</f>
        <v/>
      </c>
      <c r="E7" s="26" t="str">
        <f t="shared" ref="E7:E9" si="3">IF(C7="","",IF(D7&gt;4,ROUND(D7/2,0)*2,IF(D7&gt;D$59,4,"")))</f>
        <v/>
      </c>
      <c r="F7" s="23" t="str">
        <f>_xlfn.XLOOKUP($B7,GCES!$B:$B,GCES!$E:$E,"",0,1)</f>
        <v/>
      </c>
      <c r="G7" s="28" t="str">
        <f t="shared" ref="G7:G9" si="4">IF(F7="","",G$58*F7/F$57)</f>
        <v/>
      </c>
      <c r="H7" s="24" t="str">
        <f t="shared" ref="H7:H9" si="5">IF(F7="","",IF(G7&gt;4,ROUND(G7/2,0)*2,IF(G7&gt;G$59,4,"")))</f>
        <v/>
      </c>
      <c r="I7" s="23" t="str">
        <f>_xlfn.XLOOKUP($B7,GCES!$B:$B,GCES!$D:$D,"",0,1)</f>
        <v/>
      </c>
      <c r="J7" s="28" t="str">
        <f t="shared" ref="J7:J9" si="6">IF(I7="","",J$58*I7/I$57)</f>
        <v/>
      </c>
      <c r="K7" s="24" t="str">
        <f t="shared" ref="K7:K9" si="7">IF(I7="","",IF(J7&gt;4,ROUND(J7/2,0)*2,IF(J7&gt;J$59,4,"")))</f>
        <v/>
      </c>
      <c r="L7" s="23" t="str">
        <f>_xlfn.XLOOKUP($B7,GCES!$B:$B,GCES!$H:$H,"",0,1)</f>
        <v/>
      </c>
      <c r="M7" s="28" t="str">
        <f t="shared" ref="M7:M9" si="8">IF(L7="","",M$58*L7/L$57)</f>
        <v/>
      </c>
      <c r="N7" s="24" t="str">
        <f t="shared" ref="N7:N9" si="9">IF(L7="","",IF(M7&gt;4,ROUND(M7/2,0)*2,IF(M7&gt;M$59,4,"")))</f>
        <v/>
      </c>
      <c r="O7" s="23" t="str">
        <f>_xlfn.XLOOKUP($B7,GCES!$B:$B,GCES!$G:$G,"",0,1)</f>
        <v/>
      </c>
      <c r="P7" s="28" t="str">
        <f t="shared" ref="P7:P9" si="10">IF(O7="","",P$58*O7/O$57)</f>
        <v/>
      </c>
      <c r="Q7" s="24" t="str">
        <f t="shared" ref="Q7:Q9" si="11">IF(O7="","",IF(P7&gt;4,ROUND(P7/2,0)*2,IF(P7&gt;P$59,4,"")))</f>
        <v/>
      </c>
      <c r="R7" s="23" t="str">
        <f>_xlfn.XLOOKUP($B7,GCES!$B:$B,GCES!$L:$L,"",0,1)</f>
        <v/>
      </c>
      <c r="S7" s="28" t="str">
        <f t="shared" ref="S7:S9" si="12">IF(R7="","",S$58*R7/R$57)</f>
        <v/>
      </c>
      <c r="T7" s="24" t="str">
        <f t="shared" ref="T7:T9" si="13">IF(R7="","",IF(S7&gt;4,ROUND(S7/2,0)*2,IF(S7&gt;S$59,4,"")))</f>
        <v/>
      </c>
      <c r="U7" s="23" t="str">
        <f>_xlfn.XLOOKUP($B7,GCES!$B:$B,GCES!$K:$K,"",0,1)</f>
        <v/>
      </c>
      <c r="V7" s="28" t="str">
        <f t="shared" ref="V7:V9" si="14">IF(U7="","",V$58*U7/U$57)</f>
        <v/>
      </c>
      <c r="W7" s="24" t="str">
        <f t="shared" ref="W7:W9" si="15">IF(U7="","",IF(V7&gt;4,ROUND(V7/2,0)*2,IF(V7&gt;V$59,4,"")))</f>
        <v/>
      </c>
      <c r="X7" s="23" t="str">
        <f>_xlfn.XLOOKUP($B7,GCES!$B:$B,GCES!$S:$S,"",0,1)</f>
        <v/>
      </c>
      <c r="Y7" s="28" t="str">
        <f t="shared" ref="Y7:Y9" si="16">IF(X7="","",Y$58*X7/X$57)</f>
        <v/>
      </c>
      <c r="Z7" s="24" t="str">
        <f t="shared" ref="Z7:Z9" si="17">IF(X7="","",IF(Y7&gt;4,ROUND(Y7/2,0)*2,IF(Y7&gt;Y$59,4,"")))</f>
        <v/>
      </c>
      <c r="AA7" s="23" t="str">
        <f>_xlfn.XLOOKUP($B7,GCES!$B:$B,GCES!$R:$R,"",0,1)</f>
        <v/>
      </c>
      <c r="AB7" s="28" t="str">
        <f t="shared" ref="AB7:AB9" si="18">IF(AA7="","",AB$58*AA7/AA$57)</f>
        <v/>
      </c>
      <c r="AC7" s="24" t="str">
        <f t="shared" ref="AC7:AC9" si="19">IF(AA7="","",IF(AB7&gt;4,ROUND(AB7/2,0)*2,IF(AB7&gt;AB$59,4,"")))</f>
        <v/>
      </c>
      <c r="AD7" s="23" t="str">
        <f>_xlfn.XLOOKUP($B7,GCES!$B:$B,GCES!$AL:$AL,"",0,1)</f>
        <v/>
      </c>
      <c r="AE7" s="28" t="str">
        <f t="shared" ref="AE7:AE9" si="20">IF(AD7="","",AE$58*AD7/AD$57)</f>
        <v/>
      </c>
      <c r="AF7" s="24" t="str">
        <f t="shared" ref="AF7:AF9" si="21">IF(AD7="","",IF(AE7&gt;4,ROUND(AE7/2,0)*2,IF(AE7&gt;AE$59,4,"")))</f>
        <v/>
      </c>
      <c r="AG7" s="23" t="str">
        <f>_xlfn.XLOOKUP($B7,GCES!$B:$B,GCES!$AK:$AK,"",0,1)</f>
        <v/>
      </c>
      <c r="AH7" s="28" t="str">
        <f t="shared" ref="AH7:AH9" si="22">IF(AG7="","",AH$58*AG7/AG$57)</f>
        <v/>
      </c>
      <c r="AI7" s="24" t="str">
        <f t="shared" ref="AI7:AI9" si="23">IF(AG7="","",IF(AH7&gt;4,ROUND(AH7/2,0)*2,IF(AH7&gt;AH$59,4,"")))</f>
        <v/>
      </c>
      <c r="AJ7" s="23" t="str">
        <f>_xlfn.XLOOKUP($B7,GCES!$B:$B,GCES!$AQ:$AQ,"",0,1)</f>
        <v/>
      </c>
      <c r="AK7" s="28" t="str">
        <f t="shared" ref="AK7:AK9" si="24">IF(AJ7="","",AK$58*AJ7/AJ$57)</f>
        <v/>
      </c>
      <c r="AL7" s="24" t="str">
        <f t="shared" ref="AL7:AL9" si="25">IF(AJ7="","",IF(AK7&gt;4,ROUND(AK7/2,0)*2,IF(AK7&gt;AK$59,4,"")))</f>
        <v/>
      </c>
      <c r="AM7" s="23" t="str">
        <f>_xlfn.XLOOKUP($B7,GCES!$B:$B,GCES!$AP:$AP,"",0,1)</f>
        <v/>
      </c>
      <c r="AN7" s="28" t="str">
        <f t="shared" ref="AN7:AN9" si="26">IF(AM7="","",AN$58*AM7/AM$57)</f>
        <v/>
      </c>
      <c r="AO7" s="24" t="str">
        <f t="shared" ref="AO7:AO9" si="27">IF(AM7="","",IF(AN7&gt;4,ROUND(AN7/2,0)*2,IF(AN7&gt;AN$59,4,"")))</f>
        <v/>
      </c>
      <c r="AP7" s="23" t="str">
        <f>_xlfn.XLOOKUP($B7,GCES!$B:$B,GCES!$V:$V,"",0,1)</f>
        <v/>
      </c>
      <c r="AQ7" s="28" t="str">
        <f t="shared" ref="AQ7:AQ9" si="28">IF(AP7="","",AQ$58*AP7/AP$57)</f>
        <v/>
      </c>
      <c r="AR7" s="24" t="str">
        <f t="shared" ref="AR7:AR9" si="29">IF(AP7="","",IF(AQ7&gt;4,ROUND(AQ7/2,0)*2,IF(AQ7&gt;AQ$59,4,"")))</f>
        <v/>
      </c>
      <c r="AS7" s="23" t="str">
        <f>_xlfn.XLOOKUP($B7,GCES!$B:$B,GCES!$AH:$AH,"",0,1)</f>
        <v/>
      </c>
      <c r="AT7" s="28" t="str">
        <f t="shared" ref="AT7:AT9" si="30">IF(AS7="","",AT$58*AS7/AS$57)</f>
        <v/>
      </c>
      <c r="AU7" s="24" t="str">
        <f t="shared" ref="AU7:AU9" si="31">IF(AS7="","",IF(AT7&gt;4,ROUND(AT7/2,0)*2,IF(AT7&gt;AT$59,4,"")))</f>
        <v/>
      </c>
      <c r="AV7" s="23" t="str">
        <f>_xlfn.XLOOKUP($B7,GCES!$B:$B,GCES!$AG:$AG,"",0,1)</f>
        <v/>
      </c>
      <c r="AW7" s="28" t="str">
        <f t="shared" ref="AW7:AW9" si="32">IF(AV7="","",AW$58*AV7/AV$57)</f>
        <v/>
      </c>
      <c r="AX7" s="24" t="str">
        <f t="shared" ref="AX7:AX9" si="33">IF(AV7="","",IF(AW7&gt;4,ROUND(AW7/2,0)*2,IF(AW7&gt;AW$59,4,"")))</f>
        <v/>
      </c>
      <c r="AY7" s="90" t="str">
        <f>_xlfn.XLOOKUP($B7,GCES!$B:$B,GCES!$AO:$AO,"",0,1)</f>
        <v/>
      </c>
      <c r="AZ7" s="28" t="str">
        <f t="shared" ref="AZ7:AZ9" si="34">IF(AY7="","",AZ$58*AY7/AY$57)</f>
        <v/>
      </c>
      <c r="BA7" s="24" t="str">
        <f t="shared" ref="BA7:BA9" si="35">IF(AY7="","",IF(AZ7&gt;4,ROUND(AZ7/2,0)*2,IF(AZ7&gt;AZ$59,4,"")))</f>
        <v/>
      </c>
      <c r="BB7" s="97">
        <f t="shared" ref="BB7:BB9" si="36">SUM(E7,H7,K7,N7,Q7,T7,W7,Z7,AC7,AF7,AI7,AL7,AO7,AR7,AU7,AX7,BA7)</f>
        <v>0</v>
      </c>
      <c r="BC7" s="23" t="str">
        <f>_xlfn.XLOOKUP($B7,GCES!$B:$B,GCES!$F:$F,"",0,1)</f>
        <v/>
      </c>
      <c r="BD7" s="28" t="str">
        <f t="shared" ref="BD7:BD9" si="37">IF(BC7="","",BD$58*BC7/BC$57)</f>
        <v/>
      </c>
      <c r="BE7" s="26" t="str">
        <f t="shared" ref="BE7:BE9" si="38">IF(BC7="","",IF(BD7&gt;4,ROUND(BD7/2,0)*2,IF(BD7&gt;BD$59,4,"")))</f>
        <v/>
      </c>
      <c r="BF7" s="23" t="str">
        <f>_xlfn.XLOOKUP($B7,GCES!$B:$B,GCES!$J:$J,"",0,1)</f>
        <v/>
      </c>
      <c r="BG7" s="28" t="str">
        <f t="shared" ref="BG7:BG9" si="39">IF(BF7="","",BG$58*BF7/BF$57)</f>
        <v/>
      </c>
      <c r="BH7" s="24" t="str">
        <f t="shared" ref="BH7:BH9" si="40">IF(BF7="","",IF(BG7&gt;4,ROUND(BG7/2,0)*2,IF(BG7&gt;BG$59,4,"")))</f>
        <v/>
      </c>
      <c r="BI7" s="23" t="str">
        <f>_xlfn.XLOOKUP($B7,GCES!$B:$B,GCES!$I:$I,"",0,1)</f>
        <v/>
      </c>
      <c r="BJ7" s="28" t="str">
        <f t="shared" ref="BJ7:BJ9" si="41">IF(BI7="","",BJ$58*BI7/BI$57)</f>
        <v/>
      </c>
      <c r="BK7" s="24" t="str">
        <f t="shared" ref="BK7:BK9" si="42">IF(BI7="","",IF(BJ7&gt;4,ROUND(BJ7/2,0)*2,IF(BJ7&gt;BJ$59,4,"")))</f>
        <v/>
      </c>
      <c r="BL7" s="23" t="str">
        <f>_xlfn.XLOOKUP($B7,GCES!$B:$B,GCES!$AN:$AN,"",0,1)</f>
        <v/>
      </c>
      <c r="BM7" s="28" t="str">
        <f t="shared" ref="BM7:BM9" si="43">IF(BL7="","",BM$58*BL7/BL$57)</f>
        <v/>
      </c>
      <c r="BN7" s="24" t="str">
        <f t="shared" ref="BN7:BN9" si="44">IF(BL7="","",IF(BM7&gt;4,ROUND(BM7/2,0)*2,IF(BM7&gt;BM$59,4,"")))</f>
        <v/>
      </c>
      <c r="BO7" s="23" t="str">
        <f>_xlfn.XLOOKUP($B7,GCES!$B:$B,GCES!$AM:$AM,"",0,1)</f>
        <v/>
      </c>
      <c r="BP7" s="28" t="str">
        <f t="shared" ref="BP7:BP9" si="45">IF(BO7="","",BP$58*BO7/BO$57)</f>
        <v/>
      </c>
      <c r="BQ7" s="24" t="str">
        <f t="shared" ref="BQ7:BQ9" si="46">IF(BO7="","",IF(BP7&gt;4,ROUND(BP7/2,0)*2,IF(BP7&gt;BP$59,4,"")))</f>
        <v/>
      </c>
      <c r="BR7" s="23" t="str">
        <f>_xlfn.XLOOKUP($B7,GCES!$B:$B,GCES!$Z:$Z,"",0,1)</f>
        <v/>
      </c>
      <c r="BS7" s="28" t="str">
        <f t="shared" ref="BS7:BS9" si="47">IF(BR7="","",BS$58*BR7/BR$57)</f>
        <v/>
      </c>
      <c r="BT7" s="24" t="str">
        <f t="shared" ref="BT7:BT9" si="48">IF(BR7="","",IF(BS7&gt;4,ROUND(BS7/2,0)*2,IF(BS7&gt;BS$59,4,"")))</f>
        <v/>
      </c>
      <c r="BU7" s="23" t="str">
        <f>_xlfn.XLOOKUP($B7,GCES!$B:$B,GCES!$Y:$Y,"",0,1)</f>
        <v/>
      </c>
      <c r="BV7" s="28" t="str">
        <f t="shared" ref="BV7:BV9" si="49">IF(BU7="","",BV$58*BU7/BU$57)</f>
        <v/>
      </c>
      <c r="BW7" s="24" t="str">
        <f t="shared" ref="BW7:BW9" si="50">IF(BU7="","",IF(BV7&gt;4,ROUND(BV7/2,0)*2,IF(BV7&gt;BV$59,4,"")))</f>
        <v/>
      </c>
      <c r="BX7" s="23" t="str">
        <f>_xlfn.XLOOKUP($B7,GCES!$B:$B,GCES!$AC:$AC,"",0,1)</f>
        <v/>
      </c>
      <c r="BY7" s="28" t="str">
        <f t="shared" ref="BY7:BY9" si="51">IF(BX7="","",BY$58*BX7/BX$57)</f>
        <v/>
      </c>
      <c r="BZ7" s="24" t="str">
        <f t="shared" ref="BZ7:BZ9" si="52">IF(BX7="","",IF(BY7&gt;4,ROUND(BY7/2,0)*2,IF(BY7&gt;BY$59,4,"")))</f>
        <v/>
      </c>
      <c r="CA7" s="23" t="str">
        <f>_xlfn.XLOOKUP($B7,GCES!$B:$B,GCES!$AB:$AB,"",0,1)</f>
        <v/>
      </c>
      <c r="CB7" s="28" t="str">
        <f t="shared" ref="CB7:CB9" si="53">IF(CA7="","",CB$58*CA7/CA$57)</f>
        <v/>
      </c>
      <c r="CC7" s="24" t="str">
        <f t="shared" ref="CC7:CC9" si="54">IF(CA7="","",IF(CB7&gt;4,ROUND(CB7/2,0)*2,IF(CB7&gt;CB$59,4,"")))</f>
        <v/>
      </c>
      <c r="CD7" s="23" t="str">
        <f>_xlfn.XLOOKUP($B7,GCES!$B:$B,GCES!$AS:$AS,"",0,1)</f>
        <v/>
      </c>
      <c r="CE7" s="28" t="str">
        <f t="shared" ref="CE7:CE9" si="55">IF(CD7="","",CE$58*CD7/CD$57)</f>
        <v/>
      </c>
      <c r="CF7" s="24" t="str">
        <f t="shared" ref="CF7:CF9" si="56">IF(CD7="","",IF(CE7&gt;4,ROUND(CE7/2,0)*2,IF(CE7&gt;CE$59,4,"")))</f>
        <v/>
      </c>
      <c r="CG7" s="23" t="str">
        <f>_xlfn.XLOOKUP($B7,GCES!$B:$B,GCES!$AR:$AR,"",0,1)</f>
        <v/>
      </c>
      <c r="CH7" s="28" t="str">
        <f t="shared" ref="CH7:CH9" si="57">IF(CG7="","",CH$58*CG7/CG$57)</f>
        <v/>
      </c>
      <c r="CI7" s="26" t="str">
        <f t="shared" ref="CI7:CI9" si="58">IF(CG7="","",IF(CH7&gt;4,ROUND(CH7/2,0)*2,IF(CH7&gt;CH$59,4,"")))</f>
        <v/>
      </c>
      <c r="CJ7" s="23" t="str">
        <f>_xlfn.XLOOKUP($B7,GCES!$B:$B,GCES!$N:$N,"",0,1)</f>
        <v/>
      </c>
      <c r="CK7" s="28" t="str">
        <f t="shared" ref="CK7:CK9" si="59">IF(CJ7="","",CK$58*CJ7/CJ$57)</f>
        <v/>
      </c>
      <c r="CL7" s="24" t="str">
        <f t="shared" ref="CL7:CL9" si="60">IF(CJ7="","",IF(CK7&gt;4,ROUND(CK7/2,0)*2,IF(CK7&gt;CK$59,4,"")))</f>
        <v/>
      </c>
      <c r="CM7" s="23" t="str">
        <f>_xlfn.XLOOKUP($B7,GCES!$B:$B,GCES!$M:$M,"",0,1)</f>
        <v/>
      </c>
      <c r="CN7" s="28" t="str">
        <f t="shared" ref="CN7:CN9" si="61">IF(CM7="","",CN$58*CM7/CM$57)</f>
        <v/>
      </c>
      <c r="CO7" s="24" t="str">
        <f t="shared" ref="CO7:CO9" si="62">IF(CM7="","",IF(CN7&gt;4,ROUND(CN7/2,0)*2,IF(CN7&gt;CN$59,4,"")))</f>
        <v/>
      </c>
      <c r="CP7" s="90" t="str">
        <f>_xlfn.XLOOKUP($B7,GCES!$B:$B,GCES!$AD:$AD,"",0,1)</f>
        <v/>
      </c>
      <c r="CQ7" s="28" t="str">
        <f t="shared" ref="CQ7:CQ9" si="63">IF(CP7="","",CQ$58*CP7/CP$57)</f>
        <v/>
      </c>
      <c r="CR7" s="26" t="str">
        <f t="shared" ref="CR7:CR9" si="64">IF(CP7="","",IF(CQ7&gt;4,ROUND(CQ7/2,0)*2,IF(CQ7&gt;CQ$59,4,"")))</f>
        <v/>
      </c>
      <c r="CS7" s="23" t="str">
        <f>_xlfn.XLOOKUP($B7,GCES!$B:$B,GCES!$AJ:$AJ,"",0,1)</f>
        <v/>
      </c>
      <c r="CT7" s="28" t="str">
        <f t="shared" ref="CT7:CT9" si="65">IF(CS7="","",CT$58*CS7/CS$57)</f>
        <v/>
      </c>
      <c r="CU7" s="24" t="str">
        <f t="shared" ref="CU7:CU9" si="66">IF(CS7="","",IF(CT7&gt;4,ROUND(CT7/2,0)*2,IF(CT7&gt;CT$59,4,"")))</f>
        <v/>
      </c>
      <c r="CV7" s="23" t="str">
        <f>_xlfn.XLOOKUP($B7,GCES!$B:$B,GCES!$AI:$AI,"",0,1)</f>
        <v/>
      </c>
      <c r="CW7" s="28" t="str">
        <f t="shared" ref="CW7:CW9" si="67">IF(CV7="","",CW$58*CV7/CV$57)</f>
        <v/>
      </c>
      <c r="CX7" s="24" t="str">
        <f t="shared" ref="CX7:CX9" si="68">IF(CV7="","",IF(CW7&gt;4,ROUND(CW7/2,0)*2,IF(CW7&gt;CW$59,4,"")))</f>
        <v/>
      </c>
      <c r="CY7" s="100">
        <f t="shared" ref="CY7:CY9" si="69">SUM(BE7,BH7,BK7,BN7,BQ7,BT7,BW7,BZ7,CC7,CF7,CI7,CL7,CO7,CR7,CU7,CX7)</f>
        <v>0</v>
      </c>
      <c r="CZ7" s="95">
        <f t="shared" ref="CZ7:CZ9" si="70">SUM(BB7,CY7)</f>
        <v>0</v>
      </c>
    </row>
    <row r="8" spans="1:104" x14ac:dyDescent="0.25">
      <c r="A8" s="27" t="s">
        <v>100</v>
      </c>
      <c r="B8" s="88" t="s">
        <v>66</v>
      </c>
      <c r="C8" s="23" t="str">
        <f>_xlfn.XLOOKUP($B8,GCES!$B:$B,GCES!$C:$C,"",0,1)</f>
        <v/>
      </c>
      <c r="D8" s="28" t="str">
        <f t="shared" si="2"/>
        <v/>
      </c>
      <c r="E8" s="26" t="str">
        <f t="shared" si="3"/>
        <v/>
      </c>
      <c r="F8" s="23" t="str">
        <f>_xlfn.XLOOKUP($B8,GCES!$B:$B,GCES!$E:$E,"",0,1)</f>
        <v/>
      </c>
      <c r="G8" s="28" t="str">
        <f t="shared" si="4"/>
        <v/>
      </c>
      <c r="H8" s="24" t="str">
        <f t="shared" si="5"/>
        <v/>
      </c>
      <c r="I8" s="23" t="str">
        <f>_xlfn.XLOOKUP($B8,GCES!$B:$B,GCES!$D:$D,"",0,1)</f>
        <v/>
      </c>
      <c r="J8" s="28" t="str">
        <f t="shared" si="6"/>
        <v/>
      </c>
      <c r="K8" s="24" t="str">
        <f t="shared" si="7"/>
        <v/>
      </c>
      <c r="L8" s="23">
        <f>_xlfn.XLOOKUP($B8,GCES!$B:$B,GCES!$H:$H,"",0,1)</f>
        <v>32</v>
      </c>
      <c r="M8" s="28">
        <f t="shared" si="8"/>
        <v>6.0952380952380949</v>
      </c>
      <c r="N8" s="24">
        <f t="shared" si="9"/>
        <v>6</v>
      </c>
      <c r="O8" s="23" t="str">
        <f>_xlfn.XLOOKUP($B8,GCES!$B:$B,GCES!$G:$G,"",0,1)</f>
        <v/>
      </c>
      <c r="P8" s="28" t="str">
        <f t="shared" si="10"/>
        <v/>
      </c>
      <c r="Q8" s="24" t="str">
        <f t="shared" si="11"/>
        <v/>
      </c>
      <c r="R8" s="23" t="str">
        <f>_xlfn.XLOOKUP($B8,GCES!$B:$B,GCES!$L:$L,"",0,1)</f>
        <v/>
      </c>
      <c r="S8" s="28" t="str">
        <f t="shared" si="12"/>
        <v/>
      </c>
      <c r="T8" s="24" t="str">
        <f t="shared" si="13"/>
        <v/>
      </c>
      <c r="U8" s="23" t="str">
        <f>_xlfn.XLOOKUP($B8,GCES!$B:$B,GCES!$K:$K,"",0,1)</f>
        <v/>
      </c>
      <c r="V8" s="28" t="str">
        <f t="shared" si="14"/>
        <v/>
      </c>
      <c r="W8" s="24" t="str">
        <f t="shared" si="15"/>
        <v/>
      </c>
      <c r="X8" s="23" t="str">
        <f>_xlfn.XLOOKUP($B8,GCES!$B:$B,GCES!$S:$S,"",0,1)</f>
        <v/>
      </c>
      <c r="Y8" s="28" t="str">
        <f t="shared" si="16"/>
        <v/>
      </c>
      <c r="Z8" s="24" t="str">
        <f t="shared" si="17"/>
        <v/>
      </c>
      <c r="AA8" s="23" t="str">
        <f>_xlfn.XLOOKUP($B8,GCES!$B:$B,GCES!$R:$R,"",0,1)</f>
        <v/>
      </c>
      <c r="AB8" s="28" t="str">
        <f t="shared" si="18"/>
        <v/>
      </c>
      <c r="AC8" s="24" t="str">
        <f t="shared" si="19"/>
        <v/>
      </c>
      <c r="AD8" s="23">
        <f>_xlfn.XLOOKUP($B8,GCES!$B:$B,GCES!$AL:$AL,"",0,1)</f>
        <v>16</v>
      </c>
      <c r="AE8" s="28">
        <f t="shared" si="20"/>
        <v>1.9230769230769231</v>
      </c>
      <c r="AF8" s="24" t="str">
        <f t="shared" si="21"/>
        <v/>
      </c>
      <c r="AG8" s="23" t="str">
        <f>_xlfn.XLOOKUP($B8,GCES!$B:$B,GCES!$AK:$AK,"",0,1)</f>
        <v/>
      </c>
      <c r="AH8" s="28" t="str">
        <f t="shared" si="22"/>
        <v/>
      </c>
      <c r="AI8" s="24" t="str">
        <f t="shared" si="23"/>
        <v/>
      </c>
      <c r="AJ8" s="23" t="str">
        <f>_xlfn.XLOOKUP($B8,GCES!$B:$B,GCES!$AQ:$AQ,"",0,1)</f>
        <v/>
      </c>
      <c r="AK8" s="28" t="str">
        <f t="shared" si="24"/>
        <v/>
      </c>
      <c r="AL8" s="24" t="str">
        <f t="shared" si="25"/>
        <v/>
      </c>
      <c r="AM8" s="23" t="str">
        <f>_xlfn.XLOOKUP($B8,GCES!$B:$B,GCES!$AP:$AP,"",0,1)</f>
        <v/>
      </c>
      <c r="AN8" s="28" t="str">
        <f t="shared" si="26"/>
        <v/>
      </c>
      <c r="AO8" s="24" t="str">
        <f t="shared" si="27"/>
        <v/>
      </c>
      <c r="AP8" s="23" t="str">
        <f>_xlfn.XLOOKUP($B8,GCES!$B:$B,GCES!$V:$V,"",0,1)</f>
        <v/>
      </c>
      <c r="AQ8" s="28" t="str">
        <f t="shared" si="28"/>
        <v/>
      </c>
      <c r="AR8" s="24" t="str">
        <f t="shared" si="29"/>
        <v/>
      </c>
      <c r="AS8" s="23" t="str">
        <f>_xlfn.XLOOKUP($B8,GCES!$B:$B,GCES!$AH:$AH,"",0,1)</f>
        <v/>
      </c>
      <c r="AT8" s="28" t="str">
        <f t="shared" si="30"/>
        <v/>
      </c>
      <c r="AU8" s="24" t="str">
        <f t="shared" si="31"/>
        <v/>
      </c>
      <c r="AV8" s="23" t="str">
        <f>_xlfn.XLOOKUP($B8,GCES!$B:$B,GCES!$AG:$AG,"",0,1)</f>
        <v/>
      </c>
      <c r="AW8" s="28" t="str">
        <f t="shared" si="32"/>
        <v/>
      </c>
      <c r="AX8" s="24" t="str">
        <f t="shared" si="33"/>
        <v/>
      </c>
      <c r="AY8" s="90" t="str">
        <f>_xlfn.XLOOKUP($B8,GCES!$B:$B,GCES!$AO:$AO,"",0,1)</f>
        <v/>
      </c>
      <c r="AZ8" s="28" t="str">
        <f t="shared" si="34"/>
        <v/>
      </c>
      <c r="BA8" s="24" t="str">
        <f t="shared" si="35"/>
        <v/>
      </c>
      <c r="BB8" s="97">
        <f t="shared" si="36"/>
        <v>6</v>
      </c>
      <c r="BC8" s="23" t="str">
        <f>_xlfn.XLOOKUP($B8,GCES!$B:$B,GCES!$F:$F,"",0,1)</f>
        <v/>
      </c>
      <c r="BD8" s="28" t="str">
        <f t="shared" si="37"/>
        <v/>
      </c>
      <c r="BE8" s="26" t="str">
        <f t="shared" si="38"/>
        <v/>
      </c>
      <c r="BF8" s="23">
        <f>_xlfn.XLOOKUP($B8,GCES!$B:$B,GCES!$J:$J,"",0,1)</f>
        <v>36</v>
      </c>
      <c r="BG8" s="28">
        <f t="shared" si="39"/>
        <v>6.1554404145077717</v>
      </c>
      <c r="BH8" s="24">
        <f t="shared" si="40"/>
        <v>6</v>
      </c>
      <c r="BI8" s="23" t="str">
        <f>_xlfn.XLOOKUP($B8,GCES!$B:$B,GCES!$I:$I,"",0,1)</f>
        <v/>
      </c>
      <c r="BJ8" s="28" t="str">
        <f t="shared" si="41"/>
        <v/>
      </c>
      <c r="BK8" s="24" t="str">
        <f t="shared" si="42"/>
        <v/>
      </c>
      <c r="BL8" s="23" t="str">
        <f>_xlfn.XLOOKUP($B8,GCES!$B:$B,GCES!$AN:$AN,"",0,1)</f>
        <v/>
      </c>
      <c r="BM8" s="28" t="str">
        <f t="shared" si="43"/>
        <v/>
      </c>
      <c r="BN8" s="24" t="str">
        <f t="shared" si="44"/>
        <v/>
      </c>
      <c r="BO8" s="23" t="str">
        <f>_xlfn.XLOOKUP($B8,GCES!$B:$B,GCES!$AM:$AM,"",0,1)</f>
        <v/>
      </c>
      <c r="BP8" s="28" t="str">
        <f t="shared" si="45"/>
        <v/>
      </c>
      <c r="BQ8" s="24" t="str">
        <f t="shared" si="46"/>
        <v/>
      </c>
      <c r="BR8" s="23" t="str">
        <f>_xlfn.XLOOKUP($B8,GCES!$B:$B,GCES!$Z:$Z,"",0,1)</f>
        <v/>
      </c>
      <c r="BS8" s="28" t="str">
        <f t="shared" si="47"/>
        <v/>
      </c>
      <c r="BT8" s="24" t="str">
        <f t="shared" si="48"/>
        <v/>
      </c>
      <c r="BU8" s="23" t="str">
        <f>_xlfn.XLOOKUP($B8,GCES!$B:$B,GCES!$Y:$Y,"",0,1)</f>
        <v/>
      </c>
      <c r="BV8" s="28" t="str">
        <f t="shared" si="49"/>
        <v/>
      </c>
      <c r="BW8" s="24" t="str">
        <f t="shared" si="50"/>
        <v/>
      </c>
      <c r="BX8" s="23" t="str">
        <f>_xlfn.XLOOKUP($B8,GCES!$B:$B,GCES!$AC:$AC,"",0,1)</f>
        <v/>
      </c>
      <c r="BY8" s="28" t="str">
        <f t="shared" si="51"/>
        <v/>
      </c>
      <c r="BZ8" s="24" t="str">
        <f t="shared" si="52"/>
        <v/>
      </c>
      <c r="CA8" s="23" t="str">
        <f>_xlfn.XLOOKUP($B8,GCES!$B:$B,GCES!$AB:$AB,"",0,1)</f>
        <v/>
      </c>
      <c r="CB8" s="28" t="str">
        <f t="shared" si="53"/>
        <v/>
      </c>
      <c r="CC8" s="24" t="str">
        <f t="shared" si="54"/>
        <v/>
      </c>
      <c r="CD8" s="23" t="str">
        <f>_xlfn.XLOOKUP($B8,GCES!$B:$B,GCES!$AS:$AS,"",0,1)</f>
        <v/>
      </c>
      <c r="CE8" s="28" t="str">
        <f t="shared" si="55"/>
        <v/>
      </c>
      <c r="CF8" s="24" t="str">
        <f t="shared" si="56"/>
        <v/>
      </c>
      <c r="CG8" s="23" t="str">
        <f>_xlfn.XLOOKUP($B8,GCES!$B:$B,GCES!$AR:$AR,"",0,1)</f>
        <v/>
      </c>
      <c r="CH8" s="28" t="str">
        <f t="shared" si="57"/>
        <v/>
      </c>
      <c r="CI8" s="26" t="str">
        <f t="shared" si="58"/>
        <v/>
      </c>
      <c r="CJ8" s="23">
        <f>_xlfn.XLOOKUP($B8,GCES!$B:$B,GCES!$N:$N,"",0,1)</f>
        <v>8</v>
      </c>
      <c r="CK8" s="28">
        <f t="shared" si="59"/>
        <v>2.1224489795918369</v>
      </c>
      <c r="CL8" s="24" t="str">
        <f t="shared" si="60"/>
        <v/>
      </c>
      <c r="CM8" s="23" t="str">
        <f>_xlfn.XLOOKUP($B8,GCES!$B:$B,GCES!$M:$M,"",0,1)</f>
        <v/>
      </c>
      <c r="CN8" s="28" t="str">
        <f t="shared" si="61"/>
        <v/>
      </c>
      <c r="CO8" s="24" t="str">
        <f t="shared" si="62"/>
        <v/>
      </c>
      <c r="CP8" s="90">
        <f>_xlfn.XLOOKUP($B8,GCES!$B:$B,GCES!$AD:$AD,"",0,1)</f>
        <v>16</v>
      </c>
      <c r="CQ8" s="28">
        <f t="shared" si="63"/>
        <v>4</v>
      </c>
      <c r="CR8" s="26">
        <f t="shared" si="64"/>
        <v>4</v>
      </c>
      <c r="CS8" s="23" t="str">
        <f>_xlfn.XLOOKUP($B8,GCES!$B:$B,GCES!$AJ:$AJ,"",0,1)</f>
        <v/>
      </c>
      <c r="CT8" s="28" t="str">
        <f t="shared" si="65"/>
        <v/>
      </c>
      <c r="CU8" s="24" t="str">
        <f t="shared" si="66"/>
        <v/>
      </c>
      <c r="CV8" s="23" t="str">
        <f>_xlfn.XLOOKUP($B8,GCES!$B:$B,GCES!$AI:$AI,"",0,1)</f>
        <v/>
      </c>
      <c r="CW8" s="28" t="str">
        <f t="shared" si="67"/>
        <v/>
      </c>
      <c r="CX8" s="24" t="str">
        <f t="shared" si="68"/>
        <v/>
      </c>
      <c r="CY8" s="100">
        <f t="shared" si="69"/>
        <v>10</v>
      </c>
      <c r="CZ8" s="95">
        <f t="shared" si="70"/>
        <v>16</v>
      </c>
    </row>
    <row r="9" spans="1:104" x14ac:dyDescent="0.25">
      <c r="A9" s="27" t="s">
        <v>102</v>
      </c>
      <c r="B9" s="88" t="s">
        <v>247</v>
      </c>
      <c r="C9" s="23" t="str">
        <f>_xlfn.XLOOKUP($B9,GCES!$B:$B,GCES!$C:$C,"",0,1)</f>
        <v/>
      </c>
      <c r="D9" s="28" t="str">
        <f t="shared" si="2"/>
        <v/>
      </c>
      <c r="E9" s="26" t="str">
        <f t="shared" si="3"/>
        <v/>
      </c>
      <c r="F9" s="23" t="str">
        <f>_xlfn.XLOOKUP($B9,GCES!$B:$B,GCES!$E:$E,"",0,1)</f>
        <v/>
      </c>
      <c r="G9" s="28" t="str">
        <f t="shared" si="4"/>
        <v/>
      </c>
      <c r="H9" s="24" t="str">
        <f t="shared" si="5"/>
        <v/>
      </c>
      <c r="I9" s="23" t="str">
        <f>_xlfn.XLOOKUP($B9,GCES!$B:$B,GCES!$D:$D,"",0,1)</f>
        <v/>
      </c>
      <c r="J9" s="28" t="str">
        <f t="shared" si="6"/>
        <v/>
      </c>
      <c r="K9" s="24" t="str">
        <f t="shared" si="7"/>
        <v/>
      </c>
      <c r="L9" s="23" t="str">
        <f>_xlfn.XLOOKUP($B9,GCES!$B:$B,GCES!$H:$H,"",0,1)</f>
        <v/>
      </c>
      <c r="M9" s="28" t="str">
        <f t="shared" si="8"/>
        <v/>
      </c>
      <c r="N9" s="24" t="str">
        <f t="shared" si="9"/>
        <v/>
      </c>
      <c r="O9" s="23" t="str">
        <f>_xlfn.XLOOKUP($B9,GCES!$B:$B,GCES!$G:$G,"",0,1)</f>
        <v/>
      </c>
      <c r="P9" s="28" t="str">
        <f t="shared" si="10"/>
        <v/>
      </c>
      <c r="Q9" s="24" t="str">
        <f t="shared" si="11"/>
        <v/>
      </c>
      <c r="R9" s="23" t="str">
        <f>_xlfn.XLOOKUP($B9,GCES!$B:$B,GCES!$L:$L,"",0,1)</f>
        <v/>
      </c>
      <c r="S9" s="28" t="str">
        <f t="shared" si="12"/>
        <v/>
      </c>
      <c r="T9" s="24" t="str">
        <f t="shared" si="13"/>
        <v/>
      </c>
      <c r="U9" s="23" t="str">
        <f>_xlfn.XLOOKUP($B9,GCES!$B:$B,GCES!$K:$K,"",0,1)</f>
        <v/>
      </c>
      <c r="V9" s="28" t="str">
        <f t="shared" si="14"/>
        <v/>
      </c>
      <c r="W9" s="24" t="str">
        <f t="shared" si="15"/>
        <v/>
      </c>
      <c r="X9" s="23" t="str">
        <f>_xlfn.XLOOKUP($B9,GCES!$B:$B,GCES!$S:$S,"",0,1)</f>
        <v/>
      </c>
      <c r="Y9" s="28" t="str">
        <f t="shared" si="16"/>
        <v/>
      </c>
      <c r="Z9" s="24" t="str">
        <f t="shared" si="17"/>
        <v/>
      </c>
      <c r="AA9" s="23" t="str">
        <f>_xlfn.XLOOKUP($B9,GCES!$B:$B,GCES!$R:$R,"",0,1)</f>
        <v/>
      </c>
      <c r="AB9" s="28" t="str">
        <f t="shared" si="18"/>
        <v/>
      </c>
      <c r="AC9" s="24" t="str">
        <f t="shared" si="19"/>
        <v/>
      </c>
      <c r="AD9" s="23" t="str">
        <f>_xlfn.XLOOKUP($B9,GCES!$B:$B,GCES!$AL:$AL,"",0,1)</f>
        <v/>
      </c>
      <c r="AE9" s="28" t="str">
        <f t="shared" si="20"/>
        <v/>
      </c>
      <c r="AF9" s="24" t="str">
        <f t="shared" si="21"/>
        <v/>
      </c>
      <c r="AG9" s="23" t="str">
        <f>_xlfn.XLOOKUP($B9,GCES!$B:$B,GCES!$AK:$AK,"",0,1)</f>
        <v/>
      </c>
      <c r="AH9" s="28" t="str">
        <f t="shared" si="22"/>
        <v/>
      </c>
      <c r="AI9" s="24" t="str">
        <f t="shared" si="23"/>
        <v/>
      </c>
      <c r="AJ9" s="23" t="str">
        <f>_xlfn.XLOOKUP($B9,GCES!$B:$B,GCES!$AQ:$AQ,"",0,1)</f>
        <v/>
      </c>
      <c r="AK9" s="28" t="str">
        <f t="shared" si="24"/>
        <v/>
      </c>
      <c r="AL9" s="24" t="str">
        <f t="shared" si="25"/>
        <v/>
      </c>
      <c r="AM9" s="23" t="str">
        <f>_xlfn.XLOOKUP($B9,GCES!$B:$B,GCES!$AP:$AP,"",0,1)</f>
        <v/>
      </c>
      <c r="AN9" s="28" t="str">
        <f t="shared" si="26"/>
        <v/>
      </c>
      <c r="AO9" s="24" t="str">
        <f t="shared" si="27"/>
        <v/>
      </c>
      <c r="AP9" s="23" t="str">
        <f>_xlfn.XLOOKUP($B9,GCES!$B:$B,GCES!$V:$V,"",0,1)</f>
        <v/>
      </c>
      <c r="AQ9" s="28" t="str">
        <f t="shared" si="28"/>
        <v/>
      </c>
      <c r="AR9" s="24" t="str">
        <f t="shared" si="29"/>
        <v/>
      </c>
      <c r="AS9" s="23" t="str">
        <f>_xlfn.XLOOKUP($B9,GCES!$B:$B,GCES!$AH:$AH,"",0,1)</f>
        <v/>
      </c>
      <c r="AT9" s="28" t="str">
        <f t="shared" si="30"/>
        <v/>
      </c>
      <c r="AU9" s="24" t="str">
        <f t="shared" si="31"/>
        <v/>
      </c>
      <c r="AV9" s="23" t="str">
        <f>_xlfn.XLOOKUP($B9,GCES!$B:$B,GCES!$AG:$AG,"",0,1)</f>
        <v/>
      </c>
      <c r="AW9" s="28" t="str">
        <f t="shared" si="32"/>
        <v/>
      </c>
      <c r="AX9" s="24" t="str">
        <f t="shared" si="33"/>
        <v/>
      </c>
      <c r="AY9" s="90" t="str">
        <f>_xlfn.XLOOKUP($B9,GCES!$B:$B,GCES!$AO:$AO,"",0,1)</f>
        <v/>
      </c>
      <c r="AZ9" s="28" t="str">
        <f t="shared" si="34"/>
        <v/>
      </c>
      <c r="BA9" s="24" t="str">
        <f t="shared" si="35"/>
        <v/>
      </c>
      <c r="BB9" s="97">
        <f t="shared" si="36"/>
        <v>0</v>
      </c>
      <c r="BC9" s="23" t="str">
        <f>_xlfn.XLOOKUP($B9,GCES!$B:$B,GCES!$F:$F,"",0,1)</f>
        <v/>
      </c>
      <c r="BD9" s="28" t="str">
        <f t="shared" si="37"/>
        <v/>
      </c>
      <c r="BE9" s="26" t="str">
        <f t="shared" si="38"/>
        <v/>
      </c>
      <c r="BF9" s="23" t="str">
        <f>_xlfn.XLOOKUP($B9,GCES!$B:$B,GCES!$J:$J,"",0,1)</f>
        <v/>
      </c>
      <c r="BG9" s="28" t="str">
        <f t="shared" si="39"/>
        <v/>
      </c>
      <c r="BH9" s="24" t="str">
        <f t="shared" si="40"/>
        <v/>
      </c>
      <c r="BI9" s="23" t="str">
        <f>_xlfn.XLOOKUP($B9,GCES!$B:$B,GCES!$I:$I,"",0,1)</f>
        <v/>
      </c>
      <c r="BJ9" s="28" t="str">
        <f t="shared" si="41"/>
        <v/>
      </c>
      <c r="BK9" s="24" t="str">
        <f t="shared" si="42"/>
        <v/>
      </c>
      <c r="BL9" s="23" t="str">
        <f>_xlfn.XLOOKUP($B9,GCES!$B:$B,GCES!$AN:$AN,"",0,1)</f>
        <v/>
      </c>
      <c r="BM9" s="28" t="str">
        <f t="shared" si="43"/>
        <v/>
      </c>
      <c r="BN9" s="24" t="str">
        <f t="shared" si="44"/>
        <v/>
      </c>
      <c r="BO9" s="23" t="str">
        <f>_xlfn.XLOOKUP($B9,GCES!$B:$B,GCES!$AM:$AM,"",0,1)</f>
        <v/>
      </c>
      <c r="BP9" s="28" t="str">
        <f t="shared" si="45"/>
        <v/>
      </c>
      <c r="BQ9" s="24" t="str">
        <f t="shared" si="46"/>
        <v/>
      </c>
      <c r="BR9" s="23" t="str">
        <f>_xlfn.XLOOKUP($B9,GCES!$B:$B,GCES!$Z:$Z,"",0,1)</f>
        <v/>
      </c>
      <c r="BS9" s="28" t="str">
        <f t="shared" si="47"/>
        <v/>
      </c>
      <c r="BT9" s="24" t="str">
        <f t="shared" si="48"/>
        <v/>
      </c>
      <c r="BU9" s="23" t="str">
        <f>_xlfn.XLOOKUP($B9,GCES!$B:$B,GCES!$Y:$Y,"",0,1)</f>
        <v/>
      </c>
      <c r="BV9" s="28" t="str">
        <f t="shared" si="49"/>
        <v/>
      </c>
      <c r="BW9" s="24" t="str">
        <f t="shared" si="50"/>
        <v/>
      </c>
      <c r="BX9" s="23" t="str">
        <f>_xlfn.XLOOKUP($B9,GCES!$B:$B,GCES!$AC:$AC,"",0,1)</f>
        <v/>
      </c>
      <c r="BY9" s="28" t="str">
        <f t="shared" si="51"/>
        <v/>
      </c>
      <c r="BZ9" s="24" t="str">
        <f t="shared" si="52"/>
        <v/>
      </c>
      <c r="CA9" s="23" t="str">
        <f>_xlfn.XLOOKUP($B9,GCES!$B:$B,GCES!$AB:$AB,"",0,1)</f>
        <v/>
      </c>
      <c r="CB9" s="28" t="str">
        <f t="shared" si="53"/>
        <v/>
      </c>
      <c r="CC9" s="24" t="str">
        <f t="shared" si="54"/>
        <v/>
      </c>
      <c r="CD9" s="23" t="str">
        <f>_xlfn.XLOOKUP($B9,GCES!$B:$B,GCES!$AS:$AS,"",0,1)</f>
        <v/>
      </c>
      <c r="CE9" s="28" t="str">
        <f t="shared" si="55"/>
        <v/>
      </c>
      <c r="CF9" s="24" t="str">
        <f t="shared" si="56"/>
        <v/>
      </c>
      <c r="CG9" s="23" t="str">
        <f>_xlfn.XLOOKUP($B9,GCES!$B:$B,GCES!$AR:$AR,"",0,1)</f>
        <v/>
      </c>
      <c r="CH9" s="28" t="str">
        <f t="shared" si="57"/>
        <v/>
      </c>
      <c r="CI9" s="26" t="str">
        <f t="shared" si="58"/>
        <v/>
      </c>
      <c r="CJ9" s="23" t="str">
        <f>_xlfn.XLOOKUP($B9,GCES!$B:$B,GCES!$N:$N,"",0,1)</f>
        <v/>
      </c>
      <c r="CK9" s="28" t="str">
        <f t="shared" si="59"/>
        <v/>
      </c>
      <c r="CL9" s="24" t="str">
        <f t="shared" si="60"/>
        <v/>
      </c>
      <c r="CM9" s="23" t="str">
        <f>_xlfn.XLOOKUP($B9,GCES!$B:$B,GCES!$M:$M,"",0,1)</f>
        <v/>
      </c>
      <c r="CN9" s="28" t="str">
        <f t="shared" si="61"/>
        <v/>
      </c>
      <c r="CO9" s="24" t="str">
        <f t="shared" si="62"/>
        <v/>
      </c>
      <c r="CP9" s="90" t="str">
        <f>_xlfn.XLOOKUP($B9,GCES!$B:$B,GCES!$AD:$AD,"",0,1)</f>
        <v/>
      </c>
      <c r="CQ9" s="28" t="str">
        <f t="shared" si="63"/>
        <v/>
      </c>
      <c r="CR9" s="26" t="str">
        <f t="shared" si="64"/>
        <v/>
      </c>
      <c r="CS9" s="23" t="str">
        <f>_xlfn.XLOOKUP($B9,GCES!$B:$B,GCES!$AJ:$AJ,"",0,1)</f>
        <v/>
      </c>
      <c r="CT9" s="28" t="str">
        <f t="shared" si="65"/>
        <v/>
      </c>
      <c r="CU9" s="24" t="str">
        <f t="shared" si="66"/>
        <v/>
      </c>
      <c r="CV9" s="23" t="str">
        <f>_xlfn.XLOOKUP($B9,GCES!$B:$B,GCES!$AI:$AI,"",0,1)</f>
        <v/>
      </c>
      <c r="CW9" s="28" t="str">
        <f t="shared" si="67"/>
        <v/>
      </c>
      <c r="CX9" s="24" t="str">
        <f t="shared" si="68"/>
        <v/>
      </c>
      <c r="CY9" s="100">
        <f t="shared" si="69"/>
        <v>0</v>
      </c>
      <c r="CZ9" s="95">
        <f t="shared" si="70"/>
        <v>0</v>
      </c>
    </row>
    <row r="10" spans="1:104" s="5" customFormat="1" ht="14.4" customHeight="1" x14ac:dyDescent="0.25">
      <c r="A10" s="129" t="s">
        <v>130</v>
      </c>
      <c r="B10" s="130"/>
      <c r="C10" s="71">
        <f>SUM(C6:C9)</f>
        <v>0</v>
      </c>
      <c r="D10" s="72">
        <f t="shared" ref="D10" si="71">SUM(D6:D9)</f>
        <v>0</v>
      </c>
      <c r="E10" s="73">
        <f t="shared" ref="E10" si="72">SUM(E6:E9)</f>
        <v>0</v>
      </c>
      <c r="F10" s="71">
        <f t="shared" ref="F10:H10" si="73">SUM(F6:F9)</f>
        <v>0</v>
      </c>
      <c r="G10" s="72">
        <f t="shared" si="73"/>
        <v>0</v>
      </c>
      <c r="H10" s="74">
        <f t="shared" si="73"/>
        <v>0</v>
      </c>
      <c r="I10" s="71">
        <f t="shared" ref="I10:K10" si="74">SUM(I6:I9)</f>
        <v>16</v>
      </c>
      <c r="J10" s="72">
        <f t="shared" si="74"/>
        <v>1.5115207373271888</v>
      </c>
      <c r="K10" s="74">
        <f t="shared" si="74"/>
        <v>0</v>
      </c>
      <c r="L10" s="71">
        <f t="shared" ref="L10:M10" si="75">SUM(L6:L9)</f>
        <v>32</v>
      </c>
      <c r="M10" s="72">
        <f t="shared" si="75"/>
        <v>6.0952380952380949</v>
      </c>
      <c r="N10" s="74">
        <f t="shared" ref="N10" si="76">SUM(N6:N9)</f>
        <v>6</v>
      </c>
      <c r="O10" s="71">
        <f t="shared" ref="O10:Q10" si="77">SUM(O6:O9)</f>
        <v>0</v>
      </c>
      <c r="P10" s="72">
        <f t="shared" si="77"/>
        <v>0</v>
      </c>
      <c r="Q10" s="74">
        <f t="shared" si="77"/>
        <v>0</v>
      </c>
      <c r="R10" s="71">
        <f t="shared" ref="R10:T10" si="78">SUM(R6:R9)</f>
        <v>0</v>
      </c>
      <c r="S10" s="72">
        <f t="shared" si="78"/>
        <v>0</v>
      </c>
      <c r="T10" s="74">
        <f t="shared" si="78"/>
        <v>0</v>
      </c>
      <c r="U10" s="71">
        <f t="shared" ref="U10:W10" si="79">SUM(U6:U9)</f>
        <v>0</v>
      </c>
      <c r="V10" s="72">
        <f t="shared" si="79"/>
        <v>0</v>
      </c>
      <c r="W10" s="74">
        <f t="shared" si="79"/>
        <v>0</v>
      </c>
      <c r="X10" s="71">
        <f t="shared" ref="X10:Z10" si="80">SUM(X6:X9)</f>
        <v>16</v>
      </c>
      <c r="Y10" s="72">
        <f t="shared" si="80"/>
        <v>5.6470588235294121</v>
      </c>
      <c r="Z10" s="74">
        <f t="shared" si="80"/>
        <v>6</v>
      </c>
      <c r="AA10" s="71">
        <f t="shared" ref="AA10:AC10" si="81">SUM(AA6:AA9)</f>
        <v>20</v>
      </c>
      <c r="AB10" s="72">
        <f t="shared" si="81"/>
        <v>6.8181818181818183</v>
      </c>
      <c r="AC10" s="74">
        <f t="shared" si="81"/>
        <v>8</v>
      </c>
      <c r="AD10" s="71">
        <f t="shared" ref="AD10:AF10" si="82">SUM(AD6:AD9)</f>
        <v>60</v>
      </c>
      <c r="AE10" s="72">
        <f t="shared" si="82"/>
        <v>7.2115384615384617</v>
      </c>
      <c r="AF10" s="74">
        <f t="shared" si="82"/>
        <v>6</v>
      </c>
      <c r="AG10" s="71">
        <f t="shared" ref="AG10:AI10" si="83">SUM(AG6:AG9)</f>
        <v>16</v>
      </c>
      <c r="AH10" s="72">
        <f t="shared" si="83"/>
        <v>2.6666666666666665</v>
      </c>
      <c r="AI10" s="74">
        <f t="shared" si="83"/>
        <v>4</v>
      </c>
      <c r="AJ10" s="71">
        <f t="shared" ref="AJ10:AL10" si="84">SUM(AJ6:AJ9)</f>
        <v>0</v>
      </c>
      <c r="AK10" s="72">
        <f t="shared" si="84"/>
        <v>0</v>
      </c>
      <c r="AL10" s="74">
        <f t="shared" si="84"/>
        <v>0</v>
      </c>
      <c r="AM10" s="71">
        <f t="shared" ref="AM10:AO10" si="85">SUM(AM6:AM9)</f>
        <v>0</v>
      </c>
      <c r="AN10" s="72">
        <f t="shared" si="85"/>
        <v>0</v>
      </c>
      <c r="AO10" s="74">
        <f t="shared" si="85"/>
        <v>0</v>
      </c>
      <c r="AP10" s="71">
        <f t="shared" ref="AP10:AR10" si="86">SUM(AP6:AP9)</f>
        <v>16</v>
      </c>
      <c r="AQ10" s="72">
        <f t="shared" si="86"/>
        <v>4.4571428571428573</v>
      </c>
      <c r="AR10" s="74">
        <f t="shared" si="86"/>
        <v>4</v>
      </c>
      <c r="AS10" s="71">
        <f t="shared" ref="AS10:AU10" si="87">SUM(AS6:AS9)</f>
        <v>0</v>
      </c>
      <c r="AT10" s="72">
        <f t="shared" si="87"/>
        <v>0</v>
      </c>
      <c r="AU10" s="74">
        <f t="shared" si="87"/>
        <v>0</v>
      </c>
      <c r="AV10" s="71">
        <f t="shared" ref="AV10:AX10" si="88">SUM(AV6:AV9)</f>
        <v>0</v>
      </c>
      <c r="AW10" s="72">
        <f t="shared" si="88"/>
        <v>0</v>
      </c>
      <c r="AX10" s="74">
        <f t="shared" si="88"/>
        <v>0</v>
      </c>
      <c r="AY10" s="91">
        <f t="shared" ref="AY10:BA10" si="89">SUM(AY6:AY9)</f>
        <v>36</v>
      </c>
      <c r="AZ10" s="72">
        <f t="shared" si="89"/>
        <v>6.6</v>
      </c>
      <c r="BA10" s="74">
        <f t="shared" si="89"/>
        <v>6</v>
      </c>
      <c r="BB10" s="97">
        <f t="shared" ref="BB10:BB57" si="90">SUM(E10,H10,K10,N10,Q10,T10,W10,Z10,AC10,AF10,AI10,AL10,AO10,AR10,AU10,AX10,BA10)</f>
        <v>40</v>
      </c>
      <c r="BC10" s="71">
        <f t="shared" ref="BC10:CX10" si="91">SUM(BC6:BC9)</f>
        <v>0</v>
      </c>
      <c r="BD10" s="72">
        <f t="shared" si="91"/>
        <v>0</v>
      </c>
      <c r="BE10" s="74">
        <f t="shared" si="91"/>
        <v>0</v>
      </c>
      <c r="BF10" s="71">
        <f t="shared" si="91"/>
        <v>36</v>
      </c>
      <c r="BG10" s="72">
        <f t="shared" si="91"/>
        <v>6.1554404145077717</v>
      </c>
      <c r="BH10" s="74">
        <f t="shared" si="91"/>
        <v>6</v>
      </c>
      <c r="BI10" s="71">
        <f t="shared" si="91"/>
        <v>0</v>
      </c>
      <c r="BJ10" s="72">
        <f t="shared" si="91"/>
        <v>0</v>
      </c>
      <c r="BK10" s="74">
        <f t="shared" si="91"/>
        <v>0</v>
      </c>
      <c r="BL10" s="91">
        <f t="shared" si="91"/>
        <v>0</v>
      </c>
      <c r="BM10" s="72">
        <f t="shared" si="91"/>
        <v>0</v>
      </c>
      <c r="BN10" s="74">
        <f t="shared" si="91"/>
        <v>0</v>
      </c>
      <c r="BO10" s="71">
        <f t="shared" si="91"/>
        <v>16</v>
      </c>
      <c r="BP10" s="72">
        <f t="shared" si="91"/>
        <v>3.870967741935484</v>
      </c>
      <c r="BQ10" s="74">
        <f t="shared" si="91"/>
        <v>4</v>
      </c>
      <c r="BR10" s="71">
        <f t="shared" si="91"/>
        <v>0</v>
      </c>
      <c r="BS10" s="72">
        <f t="shared" si="91"/>
        <v>0</v>
      </c>
      <c r="BT10" s="74">
        <f t="shared" si="91"/>
        <v>0</v>
      </c>
      <c r="BU10" s="71">
        <f t="shared" si="91"/>
        <v>0</v>
      </c>
      <c r="BV10" s="72">
        <f t="shared" si="91"/>
        <v>0</v>
      </c>
      <c r="BW10" s="74">
        <f t="shared" si="91"/>
        <v>0</v>
      </c>
      <c r="BX10" s="91">
        <f t="shared" si="91"/>
        <v>0</v>
      </c>
      <c r="BY10" s="72">
        <f t="shared" si="91"/>
        <v>0</v>
      </c>
      <c r="BZ10" s="74">
        <f t="shared" si="91"/>
        <v>0</v>
      </c>
      <c r="CA10" s="71">
        <f t="shared" si="91"/>
        <v>0</v>
      </c>
      <c r="CB10" s="72">
        <f t="shared" si="91"/>
        <v>0</v>
      </c>
      <c r="CC10" s="74">
        <f t="shared" si="91"/>
        <v>0</v>
      </c>
      <c r="CD10" s="71">
        <f t="shared" si="91"/>
        <v>0</v>
      </c>
      <c r="CE10" s="72">
        <f t="shared" si="91"/>
        <v>0</v>
      </c>
      <c r="CF10" s="74">
        <f t="shared" si="91"/>
        <v>0</v>
      </c>
      <c r="CG10" s="71">
        <f t="shared" si="91"/>
        <v>16</v>
      </c>
      <c r="CH10" s="72">
        <f t="shared" si="91"/>
        <v>5.2173913043478262</v>
      </c>
      <c r="CI10" s="74">
        <f t="shared" si="91"/>
        <v>6</v>
      </c>
      <c r="CJ10" s="91">
        <f t="shared" si="91"/>
        <v>8</v>
      </c>
      <c r="CK10" s="72">
        <f t="shared" si="91"/>
        <v>2.1224489795918369</v>
      </c>
      <c r="CL10" s="74">
        <f t="shared" si="91"/>
        <v>0</v>
      </c>
      <c r="CM10" s="71">
        <f t="shared" si="91"/>
        <v>0</v>
      </c>
      <c r="CN10" s="72">
        <f t="shared" si="91"/>
        <v>0</v>
      </c>
      <c r="CO10" s="74">
        <f t="shared" si="91"/>
        <v>0</v>
      </c>
      <c r="CP10" s="71">
        <f t="shared" si="91"/>
        <v>16</v>
      </c>
      <c r="CQ10" s="72">
        <f t="shared" si="91"/>
        <v>4</v>
      </c>
      <c r="CR10" s="74">
        <f t="shared" si="91"/>
        <v>4</v>
      </c>
      <c r="CS10" s="71">
        <f t="shared" si="91"/>
        <v>0</v>
      </c>
      <c r="CT10" s="72">
        <f t="shared" si="91"/>
        <v>0</v>
      </c>
      <c r="CU10" s="74">
        <f t="shared" si="91"/>
        <v>0</v>
      </c>
      <c r="CV10" s="91">
        <f t="shared" si="91"/>
        <v>0</v>
      </c>
      <c r="CW10" s="72">
        <f t="shared" si="91"/>
        <v>0</v>
      </c>
      <c r="CX10" s="74">
        <f t="shared" si="91"/>
        <v>0</v>
      </c>
      <c r="CY10" s="100">
        <f t="shared" si="0"/>
        <v>20</v>
      </c>
      <c r="CZ10" s="95">
        <f t="shared" si="1"/>
        <v>60</v>
      </c>
    </row>
    <row r="11" spans="1:104" x14ac:dyDescent="0.25">
      <c r="A11" s="27" t="s">
        <v>104</v>
      </c>
      <c r="B11" s="88" t="s">
        <v>65</v>
      </c>
      <c r="C11" s="23" t="str">
        <f>_xlfn.XLOOKUP($B11,GCES!$B:$B,GCES!$C:$C,"",0,1)</f>
        <v/>
      </c>
      <c r="D11" s="28" t="str">
        <f t="shared" ref="D11:D13" si="92">IF(C11="","",D$58*C11/C$57)</f>
        <v/>
      </c>
      <c r="E11" s="26" t="str">
        <f t="shared" ref="E11:E13" si="93">IF(C11="","",IF(D11&gt;4,ROUND(D11/2,0)*2,IF(D11&gt;D$59,4,"")))</f>
        <v/>
      </c>
      <c r="F11" s="23" t="str">
        <f>_xlfn.XLOOKUP($B11,GCES!$B:$B,GCES!$E:$E,"",0,1)</f>
        <v/>
      </c>
      <c r="G11" s="28" t="str">
        <f t="shared" ref="G11:G13" si="94">IF(F11="","",G$58*F11/F$57)</f>
        <v/>
      </c>
      <c r="H11" s="24" t="str">
        <f t="shared" ref="H11:H13" si="95">IF(F11="","",IF(G11&gt;4,ROUND(G11/2,0)*2,IF(G11&gt;G$59,4,"")))</f>
        <v/>
      </c>
      <c r="I11" s="23">
        <f>_xlfn.XLOOKUP($B11,GCES!$B:$B,GCES!$D:$D,"",0,1)</f>
        <v>28</v>
      </c>
      <c r="J11" s="28">
        <f t="shared" ref="J11:J13" si="96">IF(I11="","",J$58*I11/I$57)</f>
        <v>2.6451612903225805</v>
      </c>
      <c r="K11" s="24">
        <f t="shared" ref="K11:K13" si="97">IF(I11="","",IF(J11&gt;4,ROUND(J11/2,0)*2,IF(J11&gt;J$59,4,"")))</f>
        <v>4</v>
      </c>
      <c r="L11" s="23">
        <f>_xlfn.XLOOKUP($B11,GCES!$B:$B,GCES!$H:$H,"",0,1)</f>
        <v>32</v>
      </c>
      <c r="M11" s="28">
        <f t="shared" ref="M11:M13" si="98">IF(L11="","",M$58*L11/L$57)</f>
        <v>6.0952380952380949</v>
      </c>
      <c r="N11" s="24">
        <f t="shared" ref="N11:N13" si="99">IF(L11="","",IF(M11&gt;4,ROUND(M11/2,0)*2,IF(M11&gt;M$59,4,"")))</f>
        <v>6</v>
      </c>
      <c r="O11" s="23" t="str">
        <f>_xlfn.XLOOKUP($B11,GCES!$B:$B,GCES!$G:$G,"",0,1)</f>
        <v/>
      </c>
      <c r="P11" s="28" t="str">
        <f t="shared" ref="P11:P13" si="100">IF(O11="","",P$58*O11/O$57)</f>
        <v/>
      </c>
      <c r="Q11" s="24" t="str">
        <f t="shared" ref="Q11:Q13" si="101">IF(O11="","",IF(P11&gt;4,ROUND(P11/2,0)*2,IF(P11&gt;P$59,4,"")))</f>
        <v/>
      </c>
      <c r="R11" s="23" t="str">
        <f>_xlfn.XLOOKUP($B11,GCES!$B:$B,GCES!$L:$L,"",0,1)</f>
        <v/>
      </c>
      <c r="S11" s="28" t="str">
        <f t="shared" ref="S11:S13" si="102">IF(R11="","",S$58*R11/R$57)</f>
        <v/>
      </c>
      <c r="T11" s="24" t="str">
        <f t="shared" ref="T11:T13" si="103">IF(R11="","",IF(S11&gt;4,ROUND(S11/2,0)*2,IF(S11&gt;S$59,4,"")))</f>
        <v/>
      </c>
      <c r="U11" s="23" t="str">
        <f>_xlfn.XLOOKUP($B11,GCES!$B:$B,GCES!$K:$K,"",0,1)</f>
        <v/>
      </c>
      <c r="V11" s="28" t="str">
        <f t="shared" ref="V11:V13" si="104">IF(U11="","",V$58*U11/U$57)</f>
        <v/>
      </c>
      <c r="W11" s="24" t="str">
        <f t="shared" ref="W11:W13" si="105">IF(U11="","",IF(V11&gt;4,ROUND(V11/2,0)*2,IF(V11&gt;V$59,4,"")))</f>
        <v/>
      </c>
      <c r="X11" s="23">
        <f>_xlfn.XLOOKUP($B11,GCES!$B:$B,GCES!$S:$S,"",0,1)</f>
        <v>20</v>
      </c>
      <c r="Y11" s="28">
        <f t="shared" ref="Y11:Y13" si="106">IF(X11="","",Y$58*X11/X$57)</f>
        <v>7.0588235294117645</v>
      </c>
      <c r="Z11" s="38">
        <v>6</v>
      </c>
      <c r="AA11" s="23">
        <f>_xlfn.XLOOKUP($B11,GCES!$B:$B,GCES!$R:$R,"",0,1)</f>
        <v>12</v>
      </c>
      <c r="AB11" s="28">
        <f t="shared" ref="AB11:AB13" si="107">IF(AA11="","",AB$58*AA11/AA$57)</f>
        <v>4.0909090909090908</v>
      </c>
      <c r="AC11" s="24">
        <f t="shared" ref="AC11:AC13" si="108">IF(AA11="","",IF(AB11&gt;4,ROUND(AB11/2,0)*2,IF(AB11&gt;AB$59,4,"")))</f>
        <v>4</v>
      </c>
      <c r="AD11" s="23">
        <f>_xlfn.XLOOKUP($B11,GCES!$B:$B,GCES!$AL:$AL,"",0,1)</f>
        <v>20</v>
      </c>
      <c r="AE11" s="28">
        <f t="shared" ref="AE11:AE13" si="109">IF(AD11="","",AE$58*AD11/AD$57)</f>
        <v>2.4038461538461537</v>
      </c>
      <c r="AF11" s="24">
        <f t="shared" ref="AF11:AF13" si="110">IF(AD11="","",IF(AE11&gt;4,ROUND(AE11/2,0)*2,IF(AE11&gt;AE$59,4,"")))</f>
        <v>4</v>
      </c>
      <c r="AG11" s="23" t="str">
        <f>_xlfn.XLOOKUP($B11,GCES!$B:$B,GCES!$AK:$AK,"",0,1)</f>
        <v/>
      </c>
      <c r="AH11" s="28" t="str">
        <f t="shared" ref="AH11:AH13" si="111">IF(AG11="","",AH$58*AG11/AG$57)</f>
        <v/>
      </c>
      <c r="AI11" s="24" t="str">
        <f t="shared" ref="AI11:AI13" si="112">IF(AG11="","",IF(AH11&gt;4,ROUND(AH11/2,0)*2,IF(AH11&gt;AH$59,4,"")))</f>
        <v/>
      </c>
      <c r="AJ11" s="23">
        <f>_xlfn.XLOOKUP($B11,GCES!$B:$B,GCES!$AQ:$AQ,"",0,1)</f>
        <v>16</v>
      </c>
      <c r="AK11" s="28">
        <f t="shared" ref="AK11:AK13" si="113">IF(AJ11="","",AK$58*AJ11/AJ$57)</f>
        <v>4.9411764705882355</v>
      </c>
      <c r="AL11" s="24">
        <f t="shared" ref="AL11:AL13" si="114">IF(AJ11="","",IF(AK11&gt;4,ROUND(AK11/2,0)*2,IF(AK11&gt;AK$59,4,"")))</f>
        <v>4</v>
      </c>
      <c r="AM11" s="23" t="str">
        <f>_xlfn.XLOOKUP($B11,GCES!$B:$B,GCES!$AP:$AP,"",0,1)</f>
        <v/>
      </c>
      <c r="AN11" s="28" t="str">
        <f t="shared" ref="AN11:AN13" si="115">IF(AM11="","",AN$58*AM11/AM$57)</f>
        <v/>
      </c>
      <c r="AO11" s="24" t="str">
        <f t="shared" ref="AO11:AO13" si="116">IF(AM11="","",IF(AN11&gt;4,ROUND(AN11/2,0)*2,IF(AN11&gt;AN$59,4,"")))</f>
        <v/>
      </c>
      <c r="AP11" s="23">
        <f>_xlfn.XLOOKUP($B11,GCES!$B:$B,GCES!$V:$V,"",0,1)</f>
        <v>48</v>
      </c>
      <c r="AQ11" s="28">
        <f t="shared" ref="AQ11:AQ13" si="117">IF(AP11="","",AQ$58*AP11/AP$57)</f>
        <v>13.371428571428572</v>
      </c>
      <c r="AR11" s="24">
        <f t="shared" ref="AR11:AR13" si="118">IF(AP11="","",IF(AQ11&gt;4,ROUND(AQ11/2,0)*2,IF(AQ11&gt;AQ$59,4,"")))</f>
        <v>14</v>
      </c>
      <c r="AS11" s="23">
        <f>_xlfn.XLOOKUP($B11,GCES!$B:$B,GCES!$AH:$AH,"",0,1)</f>
        <v>56</v>
      </c>
      <c r="AT11" s="28">
        <f t="shared" ref="AT11:AT13" si="119">IF(AS11="","",AT$58*AS11/AS$57)</f>
        <v>10.857142857142858</v>
      </c>
      <c r="AU11" s="24">
        <f t="shared" ref="AU11:AU13" si="120">IF(AS11="","",IF(AT11&gt;4,ROUND(AT11/2,0)*2,IF(AT11&gt;AT$59,4,"")))</f>
        <v>10</v>
      </c>
      <c r="AV11" s="23" t="str">
        <f>_xlfn.XLOOKUP($B11,GCES!$B:$B,GCES!$AG:$AG,"",0,1)</f>
        <v/>
      </c>
      <c r="AW11" s="28" t="str">
        <f t="shared" ref="AW11:AW13" si="121">IF(AV11="","",AW$58*AV11/AV$57)</f>
        <v/>
      </c>
      <c r="AX11" s="24" t="str">
        <f t="shared" ref="AX11:AX13" si="122">IF(AV11="","",IF(AW11&gt;4,ROUND(AW11/2,0)*2,IF(AW11&gt;AW$59,4,"")))</f>
        <v/>
      </c>
      <c r="AY11" s="90">
        <f>_xlfn.XLOOKUP($B11,GCES!$B:$B,GCES!$AO:$AO,"",0,1)</f>
        <v>16</v>
      </c>
      <c r="AZ11" s="28">
        <f t="shared" ref="AZ11:AZ13" si="123">IF(AY11="","",AZ$58*AY11/AY$57)</f>
        <v>2.9333333333333331</v>
      </c>
      <c r="BA11" s="24">
        <f t="shared" ref="BA11:BA13" si="124">IF(AY11="","",IF(AZ11&gt;4,ROUND(AZ11/2,0)*2,IF(AZ11&gt;AZ$59,4,"")))</f>
        <v>4</v>
      </c>
      <c r="BB11" s="97">
        <f t="shared" si="90"/>
        <v>56</v>
      </c>
      <c r="BC11" s="23">
        <f>_xlfn.XLOOKUP($B11,GCES!$B:$B,GCES!$F:$F,"",0,1)</f>
        <v>16</v>
      </c>
      <c r="BD11" s="28">
        <f t="shared" ref="BD11:BD13" si="125">IF(BC11="","",BD$58*BC11/BC$57)</f>
        <v>4.1333333333333337</v>
      </c>
      <c r="BE11" s="26">
        <f t="shared" ref="BE11:BE13" si="126">IF(BC11="","",IF(BD11&gt;4,ROUND(BD11/2,0)*2,IF(BD11&gt;BD$59,4,"")))</f>
        <v>4</v>
      </c>
      <c r="BF11" s="23" t="str">
        <f>_xlfn.XLOOKUP($B11,GCES!$B:$B,GCES!$J:$J,"",0,1)</f>
        <v/>
      </c>
      <c r="BG11" s="28" t="str">
        <f t="shared" ref="BG11:BG13" si="127">IF(BF11="","",BG$58*BF11/BF$57)</f>
        <v/>
      </c>
      <c r="BH11" s="24" t="str">
        <f t="shared" ref="BH11:BH13" si="128">IF(BF11="","",IF(BG11&gt;4,ROUND(BG11/2,0)*2,IF(BG11&gt;BG$59,4,"")))</f>
        <v/>
      </c>
      <c r="BI11" s="23" t="str">
        <f>_xlfn.XLOOKUP($B11,GCES!$B:$B,GCES!$I:$I,"",0,1)</f>
        <v/>
      </c>
      <c r="BJ11" s="28" t="str">
        <f t="shared" ref="BJ11:BJ13" si="129">IF(BI11="","",BJ$58*BI11/BI$57)</f>
        <v/>
      </c>
      <c r="BK11" s="24" t="str">
        <f t="shared" ref="BK11:BK13" si="130">IF(BI11="","",IF(BJ11&gt;4,ROUND(BJ11/2,0)*2,IF(BJ11&gt;BJ$59,4,"")))</f>
        <v/>
      </c>
      <c r="BL11" s="23" t="str">
        <f>_xlfn.XLOOKUP($B11,GCES!$B:$B,GCES!$AN:$AN,"",0,1)</f>
        <v/>
      </c>
      <c r="BM11" s="28" t="str">
        <f t="shared" ref="BM11:BM13" si="131">IF(BL11="","",BM$58*BL11/BL$57)</f>
        <v/>
      </c>
      <c r="BN11" s="24" t="str">
        <f t="shared" ref="BN11:BN13" si="132">IF(BL11="","",IF(BM11&gt;4,ROUND(BM11/2,0)*2,IF(BM11&gt;BM$59,4,"")))</f>
        <v/>
      </c>
      <c r="BO11" s="23">
        <f>_xlfn.XLOOKUP($B11,GCES!$B:$B,GCES!$AM:$AM,"",0,1)</f>
        <v>16</v>
      </c>
      <c r="BP11" s="28">
        <f t="shared" ref="BP11:BP13" si="133">IF(BO11="","",BP$58*BO11/BO$57)</f>
        <v>3.870967741935484</v>
      </c>
      <c r="BQ11" s="24">
        <f t="shared" ref="BQ11:BQ13" si="134">IF(BO11="","",IF(BP11&gt;4,ROUND(BP11/2,0)*2,IF(BP11&gt;BP$59,4,"")))</f>
        <v>4</v>
      </c>
      <c r="BR11" s="23" t="str">
        <f>_xlfn.XLOOKUP($B11,GCES!$B:$B,GCES!$Z:$Z,"",0,1)</f>
        <v/>
      </c>
      <c r="BS11" s="28" t="str">
        <f t="shared" ref="BS11:BS13" si="135">IF(BR11="","",BS$58*BR11/BR$57)</f>
        <v/>
      </c>
      <c r="BT11" s="24" t="str">
        <f t="shared" ref="BT11:BT13" si="136">IF(BR11="","",IF(BS11&gt;4,ROUND(BS11/2,0)*2,IF(BS11&gt;BS$59,4,"")))</f>
        <v/>
      </c>
      <c r="BU11" s="23" t="str">
        <f>_xlfn.XLOOKUP($B11,GCES!$B:$B,GCES!$Y:$Y,"",0,1)</f>
        <v/>
      </c>
      <c r="BV11" s="28" t="str">
        <f t="shared" ref="BV11:BV13" si="137">IF(BU11="","",BV$58*BU11/BU$57)</f>
        <v/>
      </c>
      <c r="BW11" s="24" t="str">
        <f t="shared" ref="BW11:BW13" si="138">IF(BU11="","",IF(BV11&gt;4,ROUND(BV11/2,0)*2,IF(BV11&gt;BV$59,4,"")))</f>
        <v/>
      </c>
      <c r="BX11" s="23" t="str">
        <f>_xlfn.XLOOKUP($B11,GCES!$B:$B,GCES!$AC:$AC,"",0,1)</f>
        <v/>
      </c>
      <c r="BY11" s="28" t="str">
        <f t="shared" ref="BY11:BY13" si="139">IF(BX11="","",BY$58*BX11/BX$57)</f>
        <v/>
      </c>
      <c r="BZ11" s="24" t="str">
        <f t="shared" ref="BZ11:BZ13" si="140">IF(BX11="","",IF(BY11&gt;4,ROUND(BY11/2,0)*2,IF(BY11&gt;BY$59,4,"")))</f>
        <v/>
      </c>
      <c r="CA11" s="23" t="str">
        <f>_xlfn.XLOOKUP($B11,GCES!$B:$B,GCES!$AB:$AB,"",0,1)</f>
        <v/>
      </c>
      <c r="CB11" s="28" t="str">
        <f t="shared" ref="CB11:CB13" si="141">IF(CA11="","",CB$58*CA11/CA$57)</f>
        <v/>
      </c>
      <c r="CC11" s="24" t="str">
        <f t="shared" ref="CC11:CC13" si="142">IF(CA11="","",IF(CB11&gt;4,ROUND(CB11/2,0)*2,IF(CB11&gt;CB$59,4,"")))</f>
        <v/>
      </c>
      <c r="CD11" s="23" t="str">
        <f>_xlfn.XLOOKUP($B11,GCES!$B:$B,GCES!$AS:$AS,"",0,1)</f>
        <v/>
      </c>
      <c r="CE11" s="28" t="str">
        <f t="shared" ref="CE11:CE13" si="143">IF(CD11="","",CE$58*CD11/CD$57)</f>
        <v/>
      </c>
      <c r="CF11" s="24" t="str">
        <f t="shared" ref="CF11:CF13" si="144">IF(CD11="","",IF(CE11&gt;4,ROUND(CE11/2,0)*2,IF(CE11&gt;CE$59,4,"")))</f>
        <v/>
      </c>
      <c r="CG11" s="23" t="str">
        <f>_xlfn.XLOOKUP($B11,GCES!$B:$B,GCES!$AR:$AR,"",0,1)</f>
        <v/>
      </c>
      <c r="CH11" s="28" t="str">
        <f t="shared" ref="CH11:CH13" si="145">IF(CG11="","",CH$58*CG11/CG$57)</f>
        <v/>
      </c>
      <c r="CI11" s="26" t="str">
        <f t="shared" ref="CI11:CI13" si="146">IF(CG11="","",IF(CH11&gt;4,ROUND(CH11/2,0)*2,IF(CH11&gt;CH$59,4,"")))</f>
        <v/>
      </c>
      <c r="CJ11" s="23" t="str">
        <f>_xlfn.XLOOKUP($B11,GCES!$B:$B,GCES!$N:$N,"",0,1)</f>
        <v/>
      </c>
      <c r="CK11" s="28" t="str">
        <f t="shared" ref="CK11:CK13" si="147">IF(CJ11="","",CK$58*CJ11/CJ$57)</f>
        <v/>
      </c>
      <c r="CL11" s="24" t="str">
        <f t="shared" ref="CL11:CL13" si="148">IF(CJ11="","",IF(CK11&gt;4,ROUND(CK11/2,0)*2,IF(CK11&gt;CK$59,4,"")))</f>
        <v/>
      </c>
      <c r="CM11" s="23" t="str">
        <f>_xlfn.XLOOKUP($B11,GCES!$B:$B,GCES!$M:$M,"",0,1)</f>
        <v/>
      </c>
      <c r="CN11" s="28" t="str">
        <f t="shared" ref="CN11:CN13" si="149">IF(CM11="","",CN$58*CM11/CM$57)</f>
        <v/>
      </c>
      <c r="CO11" s="24" t="str">
        <f t="shared" ref="CO11:CO13" si="150">IF(CM11="","",IF(CN11&gt;4,ROUND(CN11/2,0)*2,IF(CN11&gt;CN$59,4,"")))</f>
        <v/>
      </c>
      <c r="CP11" s="90">
        <f>_xlfn.XLOOKUP($B11,GCES!$B:$B,GCES!$AD:$AD,"",0,1)</f>
        <v>50</v>
      </c>
      <c r="CQ11" s="28">
        <f t="shared" ref="CQ11:CQ13" si="151">IF(CP11="","",CQ$58*CP11/CP$57)</f>
        <v>12.5</v>
      </c>
      <c r="CR11" s="26">
        <f t="shared" ref="CR11:CR13" si="152">IF(CP11="","",IF(CQ11&gt;4,ROUND(CQ11/2,0)*2,IF(CQ11&gt;CQ$59,4,"")))</f>
        <v>12</v>
      </c>
      <c r="CS11" s="23" t="str">
        <f>_xlfn.XLOOKUP($B11,GCES!$B:$B,GCES!$AJ:$AJ,"",0,1)</f>
        <v/>
      </c>
      <c r="CT11" s="28" t="str">
        <f t="shared" ref="CT11:CT13" si="153">IF(CS11="","",CT$58*CS11/CS$57)</f>
        <v/>
      </c>
      <c r="CU11" s="24" t="str">
        <f t="shared" ref="CU11:CU13" si="154">IF(CS11="","",IF(CT11&gt;4,ROUND(CT11/2,0)*2,IF(CT11&gt;CT$59,4,"")))</f>
        <v/>
      </c>
      <c r="CV11" s="23" t="str">
        <f>_xlfn.XLOOKUP($B11,GCES!$B:$B,GCES!$AI:$AI,"",0,1)</f>
        <v/>
      </c>
      <c r="CW11" s="28" t="str">
        <f t="shared" ref="CW11:CW13" si="155">IF(CV11="","",CW$58*CV11/CV$57)</f>
        <v/>
      </c>
      <c r="CX11" s="24" t="str">
        <f t="shared" ref="CX11:CX13" si="156">IF(CV11="","",IF(CW11&gt;4,ROUND(CW11/2,0)*2,IF(CW11&gt;CW$59,4,"")))</f>
        <v/>
      </c>
      <c r="CY11" s="100">
        <f t="shared" ref="CY11:CY13" si="157">SUM(BE11,BH11,BK11,BN11,BQ11,BT11,BW11,BZ11,CC11,CF11,CI11,CL11,CO11,CR11,CU11,CX11)</f>
        <v>20</v>
      </c>
      <c r="CZ11" s="95">
        <f t="shared" ref="CZ11:CZ13" si="158">SUM(BB11,CY11)</f>
        <v>76</v>
      </c>
    </row>
    <row r="12" spans="1:104" x14ac:dyDescent="0.25">
      <c r="A12" s="27" t="s">
        <v>105</v>
      </c>
      <c r="B12" s="88" t="s">
        <v>84</v>
      </c>
      <c r="C12" s="23">
        <f>_xlfn.XLOOKUP($B12,GCES!$B:$B,GCES!$C:$C,"",0,1)</f>
        <v>16</v>
      </c>
      <c r="D12" s="28">
        <f t="shared" si="92"/>
        <v>3.506849315068493</v>
      </c>
      <c r="E12" s="26">
        <f t="shared" si="93"/>
        <v>4</v>
      </c>
      <c r="F12" s="23" t="str">
        <f>_xlfn.XLOOKUP($B12,GCES!$B:$B,GCES!$E:$E,"",0,1)</f>
        <v/>
      </c>
      <c r="G12" s="28" t="str">
        <f t="shared" si="94"/>
        <v/>
      </c>
      <c r="H12" s="24" t="str">
        <f t="shared" si="95"/>
        <v/>
      </c>
      <c r="I12" s="23">
        <f>_xlfn.XLOOKUP($B12,GCES!$B:$B,GCES!$D:$D,"",0,1)</f>
        <v>16</v>
      </c>
      <c r="J12" s="28">
        <f t="shared" si="96"/>
        <v>1.5115207373271888</v>
      </c>
      <c r="K12" s="24" t="str">
        <f t="shared" si="97"/>
        <v/>
      </c>
      <c r="L12" s="23">
        <f>_xlfn.XLOOKUP($B12,GCES!$B:$B,GCES!$H:$H,"",0,1)</f>
        <v>16</v>
      </c>
      <c r="M12" s="28">
        <f t="shared" si="98"/>
        <v>3.0476190476190474</v>
      </c>
      <c r="N12" s="24">
        <f t="shared" si="99"/>
        <v>4</v>
      </c>
      <c r="O12" s="23" t="str">
        <f>_xlfn.XLOOKUP($B12,GCES!$B:$B,GCES!$G:$G,"",0,1)</f>
        <v/>
      </c>
      <c r="P12" s="28" t="str">
        <f t="shared" si="100"/>
        <v/>
      </c>
      <c r="Q12" s="24" t="str">
        <f t="shared" si="101"/>
        <v/>
      </c>
      <c r="R12" s="23" t="str">
        <f>_xlfn.XLOOKUP($B12,GCES!$B:$B,GCES!$L:$L,"",0,1)</f>
        <v/>
      </c>
      <c r="S12" s="28" t="str">
        <f t="shared" si="102"/>
        <v/>
      </c>
      <c r="T12" s="24" t="str">
        <f t="shared" si="103"/>
        <v/>
      </c>
      <c r="U12" s="23" t="str">
        <f>_xlfn.XLOOKUP($B12,GCES!$B:$B,GCES!$K:$K,"",0,1)</f>
        <v/>
      </c>
      <c r="V12" s="28" t="str">
        <f t="shared" si="104"/>
        <v/>
      </c>
      <c r="W12" s="24" t="str">
        <f t="shared" si="105"/>
        <v/>
      </c>
      <c r="X12" s="23" t="str">
        <f>_xlfn.XLOOKUP($B12,GCES!$B:$B,GCES!$S:$S,"",0,1)</f>
        <v/>
      </c>
      <c r="Y12" s="28" t="str">
        <f t="shared" si="106"/>
        <v/>
      </c>
      <c r="Z12" s="24" t="str">
        <f t="shared" ref="Z12:Z13" si="159">IF(X12="","",IF(Y12&gt;4,ROUND(Y12/2,0)*2,IF(Y12&gt;Y$59,4,"")))</f>
        <v/>
      </c>
      <c r="AA12" s="23">
        <f>_xlfn.XLOOKUP($B12,GCES!$B:$B,GCES!$R:$R,"",0,1)</f>
        <v>16</v>
      </c>
      <c r="AB12" s="28">
        <f t="shared" si="107"/>
        <v>5.4545454545454541</v>
      </c>
      <c r="AC12" s="24">
        <f t="shared" si="108"/>
        <v>6</v>
      </c>
      <c r="AD12" s="23">
        <f>_xlfn.XLOOKUP($B12,GCES!$B:$B,GCES!$AL:$AL,"",0,1)</f>
        <v>36</v>
      </c>
      <c r="AE12" s="28">
        <f t="shared" si="109"/>
        <v>4.3269230769230766</v>
      </c>
      <c r="AF12" s="38">
        <v>6</v>
      </c>
      <c r="AG12" s="23" t="str">
        <f>_xlfn.XLOOKUP($B12,GCES!$B:$B,GCES!$AK:$AK,"",0,1)</f>
        <v/>
      </c>
      <c r="AH12" s="28" t="str">
        <f t="shared" si="111"/>
        <v/>
      </c>
      <c r="AI12" s="24" t="str">
        <f t="shared" si="112"/>
        <v/>
      </c>
      <c r="AJ12" s="23">
        <f>_xlfn.XLOOKUP($B12,GCES!$B:$B,GCES!$AQ:$AQ,"",0,1)</f>
        <v>16</v>
      </c>
      <c r="AK12" s="28">
        <f t="shared" si="113"/>
        <v>4.9411764705882355</v>
      </c>
      <c r="AL12" s="38">
        <v>6</v>
      </c>
      <c r="AM12" s="23" t="str">
        <f>_xlfn.XLOOKUP($B12,GCES!$B:$B,GCES!$AP:$AP,"",0,1)</f>
        <v/>
      </c>
      <c r="AN12" s="28" t="str">
        <f t="shared" si="115"/>
        <v/>
      </c>
      <c r="AO12" s="24" t="str">
        <f t="shared" si="116"/>
        <v/>
      </c>
      <c r="AP12" s="23">
        <f>_xlfn.XLOOKUP($B12,GCES!$B:$B,GCES!$V:$V,"",0,1)</f>
        <v>48</v>
      </c>
      <c r="AQ12" s="28">
        <f t="shared" si="117"/>
        <v>13.371428571428572</v>
      </c>
      <c r="AR12" s="24">
        <f t="shared" si="118"/>
        <v>14</v>
      </c>
      <c r="AS12" s="23">
        <f>_xlfn.XLOOKUP($B12,GCES!$B:$B,GCES!$AH:$AH,"",0,1)</f>
        <v>16</v>
      </c>
      <c r="AT12" s="28">
        <f t="shared" si="119"/>
        <v>3.1020408163265305</v>
      </c>
      <c r="AU12" s="24">
        <f t="shared" si="120"/>
        <v>4</v>
      </c>
      <c r="AV12" s="23" t="str">
        <f>_xlfn.XLOOKUP($B12,GCES!$B:$B,GCES!$AG:$AG,"",0,1)</f>
        <v/>
      </c>
      <c r="AW12" s="28" t="str">
        <f t="shared" si="121"/>
        <v/>
      </c>
      <c r="AX12" s="24" t="str">
        <f t="shared" si="122"/>
        <v/>
      </c>
      <c r="AY12" s="90" t="str">
        <f>_xlfn.XLOOKUP($B12,GCES!$B:$B,GCES!$AO:$AO,"",0,1)</f>
        <v/>
      </c>
      <c r="AZ12" s="28" t="str">
        <f t="shared" si="123"/>
        <v/>
      </c>
      <c r="BA12" s="24" t="str">
        <f t="shared" si="124"/>
        <v/>
      </c>
      <c r="BB12" s="97">
        <f t="shared" si="90"/>
        <v>44</v>
      </c>
      <c r="BC12" s="23">
        <f>_xlfn.XLOOKUP($B12,GCES!$B:$B,GCES!$F:$F,"",0,1)</f>
        <v>16</v>
      </c>
      <c r="BD12" s="28">
        <f t="shared" si="125"/>
        <v>4.1333333333333337</v>
      </c>
      <c r="BE12" s="26">
        <f t="shared" si="126"/>
        <v>4</v>
      </c>
      <c r="BF12" s="23" t="str">
        <f>_xlfn.XLOOKUP($B12,GCES!$B:$B,GCES!$J:$J,"",0,1)</f>
        <v/>
      </c>
      <c r="BG12" s="28" t="str">
        <f t="shared" si="127"/>
        <v/>
      </c>
      <c r="BH12" s="24" t="str">
        <f t="shared" si="128"/>
        <v/>
      </c>
      <c r="BI12" s="23" t="str">
        <f>_xlfn.XLOOKUP($B12,GCES!$B:$B,GCES!$I:$I,"",0,1)</f>
        <v/>
      </c>
      <c r="BJ12" s="28" t="str">
        <f t="shared" si="129"/>
        <v/>
      </c>
      <c r="BK12" s="24" t="str">
        <f t="shared" si="130"/>
        <v/>
      </c>
      <c r="BL12" s="23" t="str">
        <f>_xlfn.XLOOKUP($B12,GCES!$B:$B,GCES!$AN:$AN,"",0,1)</f>
        <v/>
      </c>
      <c r="BM12" s="28" t="str">
        <f t="shared" si="131"/>
        <v/>
      </c>
      <c r="BN12" s="24" t="str">
        <f t="shared" si="132"/>
        <v/>
      </c>
      <c r="BO12" s="23">
        <f>_xlfn.XLOOKUP($B12,GCES!$B:$B,GCES!$AM:$AM,"",0,1)</f>
        <v>16</v>
      </c>
      <c r="BP12" s="28">
        <f t="shared" si="133"/>
        <v>3.870967741935484</v>
      </c>
      <c r="BQ12" s="24">
        <f t="shared" si="134"/>
        <v>4</v>
      </c>
      <c r="BR12" s="23" t="str">
        <f>_xlfn.XLOOKUP($B12,GCES!$B:$B,GCES!$Z:$Z,"",0,1)</f>
        <v/>
      </c>
      <c r="BS12" s="28" t="str">
        <f t="shared" si="135"/>
        <v/>
      </c>
      <c r="BT12" s="24" t="str">
        <f t="shared" si="136"/>
        <v/>
      </c>
      <c r="BU12" s="23" t="str">
        <f>_xlfn.XLOOKUP($B12,GCES!$B:$B,GCES!$Y:$Y,"",0,1)</f>
        <v/>
      </c>
      <c r="BV12" s="28" t="str">
        <f t="shared" si="137"/>
        <v/>
      </c>
      <c r="BW12" s="24" t="str">
        <f t="shared" si="138"/>
        <v/>
      </c>
      <c r="BX12" s="23" t="str">
        <f>_xlfn.XLOOKUP($B12,GCES!$B:$B,GCES!$AC:$AC,"",0,1)</f>
        <v/>
      </c>
      <c r="BY12" s="28" t="str">
        <f t="shared" si="139"/>
        <v/>
      </c>
      <c r="BZ12" s="24" t="str">
        <f t="shared" si="140"/>
        <v/>
      </c>
      <c r="CA12" s="23" t="str">
        <f>_xlfn.XLOOKUP($B12,GCES!$B:$B,GCES!$AB:$AB,"",0,1)</f>
        <v/>
      </c>
      <c r="CB12" s="28" t="str">
        <f t="shared" si="141"/>
        <v/>
      </c>
      <c r="CC12" s="24" t="str">
        <f t="shared" si="142"/>
        <v/>
      </c>
      <c r="CD12" s="23" t="str">
        <f>_xlfn.XLOOKUP($B12,GCES!$B:$B,GCES!$AS:$AS,"",0,1)</f>
        <v/>
      </c>
      <c r="CE12" s="28" t="str">
        <f t="shared" si="143"/>
        <v/>
      </c>
      <c r="CF12" s="24" t="str">
        <f t="shared" si="144"/>
        <v/>
      </c>
      <c r="CG12" s="23" t="str">
        <f>_xlfn.XLOOKUP($B12,GCES!$B:$B,GCES!$AR:$AR,"",0,1)</f>
        <v/>
      </c>
      <c r="CH12" s="28" t="str">
        <f t="shared" si="145"/>
        <v/>
      </c>
      <c r="CI12" s="26" t="str">
        <f t="shared" si="146"/>
        <v/>
      </c>
      <c r="CJ12" s="23" t="str">
        <f>_xlfn.XLOOKUP($B12,GCES!$B:$B,GCES!$N:$N,"",0,1)</f>
        <v/>
      </c>
      <c r="CK12" s="28" t="str">
        <f t="shared" si="147"/>
        <v/>
      </c>
      <c r="CL12" s="24" t="str">
        <f t="shared" si="148"/>
        <v/>
      </c>
      <c r="CM12" s="23" t="str">
        <f>_xlfn.XLOOKUP($B12,GCES!$B:$B,GCES!$M:$M,"",0,1)</f>
        <v/>
      </c>
      <c r="CN12" s="28" t="str">
        <f t="shared" si="149"/>
        <v/>
      </c>
      <c r="CO12" s="24" t="str">
        <f t="shared" si="150"/>
        <v/>
      </c>
      <c r="CP12" s="90">
        <f>_xlfn.XLOOKUP($B12,GCES!$B:$B,GCES!$AD:$AD,"",0,1)</f>
        <v>88</v>
      </c>
      <c r="CQ12" s="28">
        <f t="shared" si="151"/>
        <v>22</v>
      </c>
      <c r="CR12" s="37">
        <v>20</v>
      </c>
      <c r="CS12" s="23" t="str">
        <f>_xlfn.XLOOKUP($B12,GCES!$B:$B,GCES!$AJ:$AJ,"",0,1)</f>
        <v/>
      </c>
      <c r="CT12" s="28" t="str">
        <f t="shared" si="153"/>
        <v/>
      </c>
      <c r="CU12" s="24" t="str">
        <f t="shared" si="154"/>
        <v/>
      </c>
      <c r="CV12" s="23" t="str">
        <f>_xlfn.XLOOKUP($B12,GCES!$B:$B,GCES!$AI:$AI,"",0,1)</f>
        <v/>
      </c>
      <c r="CW12" s="28" t="str">
        <f t="shared" si="155"/>
        <v/>
      </c>
      <c r="CX12" s="24" t="str">
        <f t="shared" si="156"/>
        <v/>
      </c>
      <c r="CY12" s="100">
        <f t="shared" si="157"/>
        <v>28</v>
      </c>
      <c r="CZ12" s="95">
        <f t="shared" si="158"/>
        <v>72</v>
      </c>
    </row>
    <row r="13" spans="1:104" x14ac:dyDescent="0.25">
      <c r="A13" s="27" t="s">
        <v>93</v>
      </c>
      <c r="B13" s="88" t="s">
        <v>143</v>
      </c>
      <c r="C13" s="23" t="str">
        <f>_xlfn.XLOOKUP($B13,GCES!$B:$B,GCES!$C:$C,"",0,1)</f>
        <v/>
      </c>
      <c r="D13" s="28" t="str">
        <f t="shared" si="92"/>
        <v/>
      </c>
      <c r="E13" s="26" t="str">
        <f t="shared" si="93"/>
        <v/>
      </c>
      <c r="F13" s="23" t="str">
        <f>_xlfn.XLOOKUP($B13,GCES!$B:$B,GCES!$E:$E,"",0,1)</f>
        <v/>
      </c>
      <c r="G13" s="28" t="str">
        <f t="shared" si="94"/>
        <v/>
      </c>
      <c r="H13" s="24" t="str">
        <f t="shared" si="95"/>
        <v/>
      </c>
      <c r="I13" s="23">
        <f>_xlfn.XLOOKUP($B13,GCES!$B:$B,GCES!$D:$D,"",0,1)</f>
        <v>4</v>
      </c>
      <c r="J13" s="28">
        <f t="shared" si="96"/>
        <v>0.37788018433179721</v>
      </c>
      <c r="K13" s="24" t="str">
        <f t="shared" si="97"/>
        <v/>
      </c>
      <c r="L13" s="23">
        <f>_xlfn.XLOOKUP($B13,GCES!$B:$B,GCES!$H:$H,"",0,1)</f>
        <v>12</v>
      </c>
      <c r="M13" s="28">
        <f t="shared" si="98"/>
        <v>2.2857142857142856</v>
      </c>
      <c r="N13" s="24">
        <f t="shared" si="99"/>
        <v>4</v>
      </c>
      <c r="O13" s="23" t="str">
        <f>_xlfn.XLOOKUP($B13,GCES!$B:$B,GCES!$G:$G,"",0,1)</f>
        <v/>
      </c>
      <c r="P13" s="28" t="str">
        <f t="shared" si="100"/>
        <v/>
      </c>
      <c r="Q13" s="24" t="str">
        <f t="shared" si="101"/>
        <v/>
      </c>
      <c r="R13" s="23">
        <f>_xlfn.XLOOKUP($B13,GCES!$B:$B,GCES!$L:$L,"",0,1)</f>
        <v>12</v>
      </c>
      <c r="S13" s="28">
        <f t="shared" si="102"/>
        <v>5.5862068965517242</v>
      </c>
      <c r="T13" s="24">
        <f t="shared" si="103"/>
        <v>6</v>
      </c>
      <c r="U13" s="23" t="str">
        <f>_xlfn.XLOOKUP($B13,GCES!$B:$B,GCES!$K:$K,"",0,1)</f>
        <v/>
      </c>
      <c r="V13" s="28" t="str">
        <f t="shared" si="104"/>
        <v/>
      </c>
      <c r="W13" s="24" t="str">
        <f t="shared" si="105"/>
        <v/>
      </c>
      <c r="X13" s="23" t="str">
        <f>_xlfn.XLOOKUP($B13,GCES!$B:$B,GCES!$S:$S,"",0,1)</f>
        <v/>
      </c>
      <c r="Y13" s="28" t="str">
        <f t="shared" si="106"/>
        <v/>
      </c>
      <c r="Z13" s="24" t="str">
        <f t="shared" si="159"/>
        <v/>
      </c>
      <c r="AA13" s="23" t="str">
        <f>_xlfn.XLOOKUP($B13,GCES!$B:$B,GCES!$R:$R,"",0,1)</f>
        <v/>
      </c>
      <c r="AB13" s="28" t="str">
        <f t="shared" si="107"/>
        <v/>
      </c>
      <c r="AC13" s="24" t="str">
        <f t="shared" si="108"/>
        <v/>
      </c>
      <c r="AD13" s="23">
        <f>_xlfn.XLOOKUP($B13,GCES!$B:$B,GCES!$AL:$AL,"",0,1)</f>
        <v>28</v>
      </c>
      <c r="AE13" s="28">
        <f t="shared" si="109"/>
        <v>3.3653846153846154</v>
      </c>
      <c r="AF13" s="24">
        <f t="shared" si="110"/>
        <v>4</v>
      </c>
      <c r="AG13" s="23" t="str">
        <f>_xlfn.XLOOKUP($B13,GCES!$B:$B,GCES!$AK:$AK,"",0,1)</f>
        <v/>
      </c>
      <c r="AH13" s="28" t="str">
        <f t="shared" si="111"/>
        <v/>
      </c>
      <c r="AI13" s="24" t="str">
        <f t="shared" si="112"/>
        <v/>
      </c>
      <c r="AJ13" s="23" t="str">
        <f>_xlfn.XLOOKUP($B13,GCES!$B:$B,GCES!$AQ:$AQ,"",0,1)</f>
        <v/>
      </c>
      <c r="AK13" s="28" t="str">
        <f t="shared" si="113"/>
        <v/>
      </c>
      <c r="AL13" s="24" t="str">
        <f t="shared" si="114"/>
        <v/>
      </c>
      <c r="AM13" s="23" t="str">
        <f>_xlfn.XLOOKUP($B13,GCES!$B:$B,GCES!$AP:$AP,"",0,1)</f>
        <v/>
      </c>
      <c r="AN13" s="28" t="str">
        <f t="shared" si="115"/>
        <v/>
      </c>
      <c r="AO13" s="24" t="str">
        <f t="shared" si="116"/>
        <v/>
      </c>
      <c r="AP13" s="23">
        <f>_xlfn.XLOOKUP($B13,GCES!$B:$B,GCES!$V:$V,"",0,1)</f>
        <v>28</v>
      </c>
      <c r="AQ13" s="28">
        <f t="shared" si="117"/>
        <v>7.8</v>
      </c>
      <c r="AR13" s="24">
        <f t="shared" si="118"/>
        <v>8</v>
      </c>
      <c r="AS13" s="23">
        <f>_xlfn.XLOOKUP($B13,GCES!$B:$B,GCES!$AH:$AH,"",0,1)</f>
        <v>32</v>
      </c>
      <c r="AT13" s="28">
        <f t="shared" si="119"/>
        <v>6.204081632653061</v>
      </c>
      <c r="AU13" s="24">
        <f t="shared" si="120"/>
        <v>6</v>
      </c>
      <c r="AV13" s="23" t="str">
        <f>_xlfn.XLOOKUP($B13,GCES!$B:$B,GCES!$AG:$AG,"",0,1)</f>
        <v/>
      </c>
      <c r="AW13" s="28" t="str">
        <f t="shared" si="121"/>
        <v/>
      </c>
      <c r="AX13" s="24" t="str">
        <f t="shared" si="122"/>
        <v/>
      </c>
      <c r="AY13" s="90">
        <f>_xlfn.XLOOKUP($B13,GCES!$B:$B,GCES!$AO:$AO,"",0,1)</f>
        <v>4</v>
      </c>
      <c r="AZ13" s="28">
        <f t="shared" si="123"/>
        <v>0.73333333333333328</v>
      </c>
      <c r="BA13" s="24" t="str">
        <f t="shared" si="124"/>
        <v/>
      </c>
      <c r="BB13" s="97">
        <f t="shared" si="90"/>
        <v>28</v>
      </c>
      <c r="BC13" s="23" t="str">
        <f>_xlfn.XLOOKUP($B13,GCES!$B:$B,GCES!$F:$F,"",0,1)</f>
        <v/>
      </c>
      <c r="BD13" s="28" t="str">
        <f t="shared" si="125"/>
        <v/>
      </c>
      <c r="BE13" s="26" t="str">
        <f t="shared" si="126"/>
        <v/>
      </c>
      <c r="BF13" s="23" t="str">
        <f>_xlfn.XLOOKUP($B13,GCES!$B:$B,GCES!$J:$J,"",0,1)</f>
        <v/>
      </c>
      <c r="BG13" s="28" t="str">
        <f t="shared" si="127"/>
        <v/>
      </c>
      <c r="BH13" s="24" t="str">
        <f t="shared" si="128"/>
        <v/>
      </c>
      <c r="BI13" s="23" t="str">
        <f>_xlfn.XLOOKUP($B13,GCES!$B:$B,GCES!$I:$I,"",0,1)</f>
        <v/>
      </c>
      <c r="BJ13" s="28" t="str">
        <f t="shared" si="129"/>
        <v/>
      </c>
      <c r="BK13" s="24" t="str">
        <f t="shared" si="130"/>
        <v/>
      </c>
      <c r="BL13" s="23" t="str">
        <f>_xlfn.XLOOKUP($B13,GCES!$B:$B,GCES!$AN:$AN,"",0,1)</f>
        <v/>
      </c>
      <c r="BM13" s="28" t="str">
        <f t="shared" si="131"/>
        <v/>
      </c>
      <c r="BN13" s="24" t="str">
        <f t="shared" si="132"/>
        <v/>
      </c>
      <c r="BO13" s="23" t="str">
        <f>_xlfn.XLOOKUP($B13,GCES!$B:$B,GCES!$AM:$AM,"",0,1)</f>
        <v/>
      </c>
      <c r="BP13" s="28" t="str">
        <f t="shared" si="133"/>
        <v/>
      </c>
      <c r="BQ13" s="24" t="str">
        <f t="shared" si="134"/>
        <v/>
      </c>
      <c r="BR13" s="23" t="str">
        <f>_xlfn.XLOOKUP($B13,GCES!$B:$B,GCES!$Z:$Z,"",0,1)</f>
        <v/>
      </c>
      <c r="BS13" s="28" t="str">
        <f t="shared" si="135"/>
        <v/>
      </c>
      <c r="BT13" s="24" t="str">
        <f t="shared" si="136"/>
        <v/>
      </c>
      <c r="BU13" s="23" t="str">
        <f>_xlfn.XLOOKUP($B13,GCES!$B:$B,GCES!$Y:$Y,"",0,1)</f>
        <v/>
      </c>
      <c r="BV13" s="28" t="str">
        <f t="shared" si="137"/>
        <v/>
      </c>
      <c r="BW13" s="24" t="str">
        <f t="shared" si="138"/>
        <v/>
      </c>
      <c r="BX13" s="23" t="str">
        <f>_xlfn.XLOOKUP($B13,GCES!$B:$B,GCES!$AC:$AC,"",0,1)</f>
        <v/>
      </c>
      <c r="BY13" s="28" t="str">
        <f t="shared" si="139"/>
        <v/>
      </c>
      <c r="BZ13" s="24" t="str">
        <f t="shared" si="140"/>
        <v/>
      </c>
      <c r="CA13" s="23" t="str">
        <f>_xlfn.XLOOKUP($B13,GCES!$B:$B,GCES!$AB:$AB,"",0,1)</f>
        <v/>
      </c>
      <c r="CB13" s="28" t="str">
        <f t="shared" si="141"/>
        <v/>
      </c>
      <c r="CC13" s="24" t="str">
        <f t="shared" si="142"/>
        <v/>
      </c>
      <c r="CD13" s="23" t="str">
        <f>_xlfn.XLOOKUP($B13,GCES!$B:$B,GCES!$AS:$AS,"",0,1)</f>
        <v/>
      </c>
      <c r="CE13" s="28" t="str">
        <f t="shared" si="143"/>
        <v/>
      </c>
      <c r="CF13" s="24" t="str">
        <f t="shared" si="144"/>
        <v/>
      </c>
      <c r="CG13" s="23" t="str">
        <f>_xlfn.XLOOKUP($B13,GCES!$B:$B,GCES!$AR:$AR,"",0,1)</f>
        <v/>
      </c>
      <c r="CH13" s="28" t="str">
        <f t="shared" si="145"/>
        <v/>
      </c>
      <c r="CI13" s="26" t="str">
        <f t="shared" si="146"/>
        <v/>
      </c>
      <c r="CJ13" s="23" t="str">
        <f>_xlfn.XLOOKUP($B13,GCES!$B:$B,GCES!$N:$N,"",0,1)</f>
        <v/>
      </c>
      <c r="CK13" s="28" t="str">
        <f t="shared" si="147"/>
        <v/>
      </c>
      <c r="CL13" s="24" t="str">
        <f t="shared" si="148"/>
        <v/>
      </c>
      <c r="CM13" s="23" t="str">
        <f>_xlfn.XLOOKUP($B13,GCES!$B:$B,GCES!$M:$M,"",0,1)</f>
        <v/>
      </c>
      <c r="CN13" s="28" t="str">
        <f t="shared" si="149"/>
        <v/>
      </c>
      <c r="CO13" s="24" t="str">
        <f t="shared" si="150"/>
        <v/>
      </c>
      <c r="CP13" s="90">
        <f>_xlfn.XLOOKUP($B13,GCES!$B:$B,GCES!$AD:$AD,"",0,1)</f>
        <v>28</v>
      </c>
      <c r="CQ13" s="28">
        <f t="shared" si="151"/>
        <v>7</v>
      </c>
      <c r="CR13" s="26">
        <f t="shared" si="152"/>
        <v>8</v>
      </c>
      <c r="CS13" s="23" t="str">
        <f>_xlfn.XLOOKUP($B13,GCES!$B:$B,GCES!$AJ:$AJ,"",0,1)</f>
        <v/>
      </c>
      <c r="CT13" s="28" t="str">
        <f t="shared" si="153"/>
        <v/>
      </c>
      <c r="CU13" s="24" t="str">
        <f t="shared" si="154"/>
        <v/>
      </c>
      <c r="CV13" s="23" t="str">
        <f>_xlfn.XLOOKUP($B13,GCES!$B:$B,GCES!$AI:$AI,"",0,1)</f>
        <v/>
      </c>
      <c r="CW13" s="28" t="str">
        <f t="shared" si="155"/>
        <v/>
      </c>
      <c r="CX13" s="24" t="str">
        <f t="shared" si="156"/>
        <v/>
      </c>
      <c r="CY13" s="100">
        <f t="shared" si="157"/>
        <v>8</v>
      </c>
      <c r="CZ13" s="95">
        <f t="shared" si="158"/>
        <v>36</v>
      </c>
    </row>
    <row r="14" spans="1:104" s="5" customFormat="1" ht="14.4" customHeight="1" x14ac:dyDescent="0.25">
      <c r="A14" s="129" t="s">
        <v>131</v>
      </c>
      <c r="B14" s="130"/>
      <c r="C14" s="71">
        <f t="shared" ref="C14:AH14" si="160">SUM(C11:C13)</f>
        <v>16</v>
      </c>
      <c r="D14" s="72">
        <f t="shared" si="160"/>
        <v>3.506849315068493</v>
      </c>
      <c r="E14" s="73">
        <f t="shared" si="160"/>
        <v>4</v>
      </c>
      <c r="F14" s="71">
        <f t="shared" si="160"/>
        <v>0</v>
      </c>
      <c r="G14" s="72">
        <f t="shared" si="160"/>
        <v>0</v>
      </c>
      <c r="H14" s="74">
        <f t="shared" si="160"/>
        <v>0</v>
      </c>
      <c r="I14" s="71">
        <f t="shared" si="160"/>
        <v>48</v>
      </c>
      <c r="J14" s="72">
        <f t="shared" si="160"/>
        <v>4.5345622119815667</v>
      </c>
      <c r="K14" s="74">
        <f t="shared" si="160"/>
        <v>4</v>
      </c>
      <c r="L14" s="71">
        <f t="shared" si="160"/>
        <v>60</v>
      </c>
      <c r="M14" s="72">
        <f t="shared" si="160"/>
        <v>11.428571428571427</v>
      </c>
      <c r="N14" s="74">
        <f t="shared" si="160"/>
        <v>14</v>
      </c>
      <c r="O14" s="71">
        <f t="shared" si="160"/>
        <v>0</v>
      </c>
      <c r="P14" s="72">
        <f t="shared" si="160"/>
        <v>0</v>
      </c>
      <c r="Q14" s="74">
        <f t="shared" si="160"/>
        <v>0</v>
      </c>
      <c r="R14" s="71">
        <f t="shared" si="160"/>
        <v>12</v>
      </c>
      <c r="S14" s="72">
        <f t="shared" si="160"/>
        <v>5.5862068965517242</v>
      </c>
      <c r="T14" s="74">
        <f t="shared" si="160"/>
        <v>6</v>
      </c>
      <c r="U14" s="71">
        <f t="shared" si="160"/>
        <v>0</v>
      </c>
      <c r="V14" s="72">
        <f t="shared" si="160"/>
        <v>0</v>
      </c>
      <c r="W14" s="74">
        <f t="shared" si="160"/>
        <v>0</v>
      </c>
      <c r="X14" s="71">
        <f t="shared" si="160"/>
        <v>20</v>
      </c>
      <c r="Y14" s="72">
        <f t="shared" si="160"/>
        <v>7.0588235294117645</v>
      </c>
      <c r="Z14" s="74">
        <f t="shared" si="160"/>
        <v>6</v>
      </c>
      <c r="AA14" s="71">
        <f t="shared" si="160"/>
        <v>28</v>
      </c>
      <c r="AB14" s="72">
        <f t="shared" si="160"/>
        <v>9.545454545454545</v>
      </c>
      <c r="AC14" s="74">
        <f t="shared" si="160"/>
        <v>10</v>
      </c>
      <c r="AD14" s="71">
        <f t="shared" si="160"/>
        <v>84</v>
      </c>
      <c r="AE14" s="72">
        <f t="shared" si="160"/>
        <v>10.096153846153845</v>
      </c>
      <c r="AF14" s="74">
        <f t="shared" si="160"/>
        <v>14</v>
      </c>
      <c r="AG14" s="71">
        <f t="shared" si="160"/>
        <v>0</v>
      </c>
      <c r="AH14" s="72">
        <f t="shared" si="160"/>
        <v>0</v>
      </c>
      <c r="AI14" s="74">
        <f t="shared" ref="AI14:BA14" si="161">SUM(AI11:AI13)</f>
        <v>0</v>
      </c>
      <c r="AJ14" s="71">
        <f t="shared" si="161"/>
        <v>32</v>
      </c>
      <c r="AK14" s="72">
        <f t="shared" si="161"/>
        <v>9.882352941176471</v>
      </c>
      <c r="AL14" s="74">
        <f t="shared" si="161"/>
        <v>10</v>
      </c>
      <c r="AM14" s="71">
        <f t="shared" si="161"/>
        <v>0</v>
      </c>
      <c r="AN14" s="72">
        <f t="shared" si="161"/>
        <v>0</v>
      </c>
      <c r="AO14" s="74">
        <f t="shared" si="161"/>
        <v>0</v>
      </c>
      <c r="AP14" s="71">
        <f t="shared" si="161"/>
        <v>124</v>
      </c>
      <c r="AQ14" s="72">
        <f t="shared" si="161"/>
        <v>34.542857142857144</v>
      </c>
      <c r="AR14" s="74">
        <f t="shared" si="161"/>
        <v>36</v>
      </c>
      <c r="AS14" s="71">
        <f t="shared" si="161"/>
        <v>104</v>
      </c>
      <c r="AT14" s="72">
        <f t="shared" si="161"/>
        <v>20.163265306122447</v>
      </c>
      <c r="AU14" s="74">
        <f t="shared" si="161"/>
        <v>20</v>
      </c>
      <c r="AV14" s="71">
        <f t="shared" si="161"/>
        <v>0</v>
      </c>
      <c r="AW14" s="72">
        <f t="shared" si="161"/>
        <v>0</v>
      </c>
      <c r="AX14" s="74">
        <f t="shared" si="161"/>
        <v>0</v>
      </c>
      <c r="AY14" s="91">
        <f t="shared" si="161"/>
        <v>20</v>
      </c>
      <c r="AZ14" s="72">
        <f t="shared" si="161"/>
        <v>3.6666666666666665</v>
      </c>
      <c r="BA14" s="74">
        <f t="shared" si="161"/>
        <v>4</v>
      </c>
      <c r="BB14" s="97">
        <f t="shared" si="90"/>
        <v>128</v>
      </c>
      <c r="BC14" s="71">
        <f t="shared" ref="BC14:CX14" si="162">SUM(BC11:BC13)</f>
        <v>32</v>
      </c>
      <c r="BD14" s="72">
        <f t="shared" si="162"/>
        <v>8.2666666666666675</v>
      </c>
      <c r="BE14" s="74">
        <f t="shared" si="162"/>
        <v>8</v>
      </c>
      <c r="BF14" s="71">
        <f t="shared" si="162"/>
        <v>0</v>
      </c>
      <c r="BG14" s="72">
        <f t="shared" si="162"/>
        <v>0</v>
      </c>
      <c r="BH14" s="74">
        <f t="shared" si="162"/>
        <v>0</v>
      </c>
      <c r="BI14" s="71">
        <f t="shared" si="162"/>
        <v>0</v>
      </c>
      <c r="BJ14" s="72">
        <f t="shared" si="162"/>
        <v>0</v>
      </c>
      <c r="BK14" s="74">
        <f t="shared" si="162"/>
        <v>0</v>
      </c>
      <c r="BL14" s="91">
        <f t="shared" si="162"/>
        <v>0</v>
      </c>
      <c r="BM14" s="72">
        <f t="shared" si="162"/>
        <v>0</v>
      </c>
      <c r="BN14" s="74">
        <f t="shared" si="162"/>
        <v>0</v>
      </c>
      <c r="BO14" s="71">
        <f t="shared" si="162"/>
        <v>32</v>
      </c>
      <c r="BP14" s="72">
        <f t="shared" si="162"/>
        <v>7.741935483870968</v>
      </c>
      <c r="BQ14" s="74">
        <f t="shared" si="162"/>
        <v>8</v>
      </c>
      <c r="BR14" s="71">
        <f t="shared" si="162"/>
        <v>0</v>
      </c>
      <c r="BS14" s="72">
        <f t="shared" si="162"/>
        <v>0</v>
      </c>
      <c r="BT14" s="74">
        <f t="shared" si="162"/>
        <v>0</v>
      </c>
      <c r="BU14" s="71">
        <f t="shared" si="162"/>
        <v>0</v>
      </c>
      <c r="BV14" s="72">
        <f t="shared" si="162"/>
        <v>0</v>
      </c>
      <c r="BW14" s="74">
        <f t="shared" si="162"/>
        <v>0</v>
      </c>
      <c r="BX14" s="91">
        <f t="shared" si="162"/>
        <v>0</v>
      </c>
      <c r="BY14" s="72">
        <f t="shared" si="162"/>
        <v>0</v>
      </c>
      <c r="BZ14" s="74">
        <f t="shared" si="162"/>
        <v>0</v>
      </c>
      <c r="CA14" s="71">
        <f t="shared" si="162"/>
        <v>0</v>
      </c>
      <c r="CB14" s="72">
        <f t="shared" si="162"/>
        <v>0</v>
      </c>
      <c r="CC14" s="74">
        <f t="shared" si="162"/>
        <v>0</v>
      </c>
      <c r="CD14" s="71">
        <f t="shared" si="162"/>
        <v>0</v>
      </c>
      <c r="CE14" s="72">
        <f t="shared" si="162"/>
        <v>0</v>
      </c>
      <c r="CF14" s="74">
        <f t="shared" si="162"/>
        <v>0</v>
      </c>
      <c r="CG14" s="71">
        <f t="shared" si="162"/>
        <v>0</v>
      </c>
      <c r="CH14" s="72">
        <f t="shared" si="162"/>
        <v>0</v>
      </c>
      <c r="CI14" s="74">
        <f t="shared" si="162"/>
        <v>0</v>
      </c>
      <c r="CJ14" s="91">
        <f t="shared" si="162"/>
        <v>0</v>
      </c>
      <c r="CK14" s="72">
        <f t="shared" si="162"/>
        <v>0</v>
      </c>
      <c r="CL14" s="74">
        <f t="shared" si="162"/>
        <v>0</v>
      </c>
      <c r="CM14" s="71">
        <f t="shared" si="162"/>
        <v>0</v>
      </c>
      <c r="CN14" s="72">
        <f t="shared" si="162"/>
        <v>0</v>
      </c>
      <c r="CO14" s="74">
        <f t="shared" si="162"/>
        <v>0</v>
      </c>
      <c r="CP14" s="71">
        <f t="shared" si="162"/>
        <v>166</v>
      </c>
      <c r="CQ14" s="72">
        <f t="shared" si="162"/>
        <v>41.5</v>
      </c>
      <c r="CR14" s="74">
        <f t="shared" si="162"/>
        <v>40</v>
      </c>
      <c r="CS14" s="71">
        <f t="shared" si="162"/>
        <v>0</v>
      </c>
      <c r="CT14" s="72">
        <f t="shared" si="162"/>
        <v>0</v>
      </c>
      <c r="CU14" s="74">
        <f t="shared" si="162"/>
        <v>0</v>
      </c>
      <c r="CV14" s="91">
        <f t="shared" si="162"/>
        <v>0</v>
      </c>
      <c r="CW14" s="72">
        <f t="shared" si="162"/>
        <v>0</v>
      </c>
      <c r="CX14" s="74">
        <f t="shared" si="162"/>
        <v>0</v>
      </c>
      <c r="CY14" s="100">
        <f t="shared" si="0"/>
        <v>56</v>
      </c>
      <c r="CZ14" s="95">
        <f t="shared" si="1"/>
        <v>184</v>
      </c>
    </row>
    <row r="15" spans="1:104" x14ac:dyDescent="0.25">
      <c r="A15" s="27" t="s">
        <v>106</v>
      </c>
      <c r="B15" s="88" t="s">
        <v>63</v>
      </c>
      <c r="C15" s="23" t="str">
        <f>_xlfn.XLOOKUP($B15,GCES!$B:$B,GCES!$C:$C,"",0,1)</f>
        <v/>
      </c>
      <c r="D15" s="28" t="str">
        <f t="shared" ref="D15:D16" si="163">IF(C15="","",D$58*C15/C$57)</f>
        <v/>
      </c>
      <c r="E15" s="26" t="str">
        <f t="shared" ref="E15:E16" si="164">IF(C15="","",IF(D15&gt;4,ROUND(D15/2,0)*2,IF(D15&gt;D$59,4,"")))</f>
        <v/>
      </c>
      <c r="F15" s="23" t="str">
        <f>_xlfn.XLOOKUP($B15,GCES!$B:$B,GCES!$E:$E,"",0,1)</f>
        <v/>
      </c>
      <c r="G15" s="28" t="str">
        <f t="shared" ref="G15:G16" si="165">IF(F15="","",G$58*F15/F$57)</f>
        <v/>
      </c>
      <c r="H15" s="24" t="str">
        <f t="shared" ref="H15:H16" si="166">IF(F15="","",IF(G15&gt;4,ROUND(G15/2,0)*2,IF(G15&gt;G$59,4,"")))</f>
        <v/>
      </c>
      <c r="I15" s="23">
        <f>_xlfn.XLOOKUP($B15,GCES!$B:$B,GCES!$D:$D,"",0,1)</f>
        <v>16</v>
      </c>
      <c r="J15" s="28">
        <f t="shared" ref="J15:J16" si="167">IF(I15="","",J$58*I15/I$57)</f>
        <v>1.5115207373271888</v>
      </c>
      <c r="K15" s="24" t="str">
        <f t="shared" ref="K15" si="168">IF(I15="","",IF(J15&gt;4,ROUND(J15/2,0)*2,IF(J15&gt;J$59,4,"")))</f>
        <v/>
      </c>
      <c r="L15" s="23">
        <f>_xlfn.XLOOKUP($B15,GCES!$B:$B,GCES!$H:$H,"",0,1)</f>
        <v>60</v>
      </c>
      <c r="M15" s="28">
        <f t="shared" ref="M15:M16" si="169">IF(L15="","",M$58*L15/L$57)</f>
        <v>11.428571428571429</v>
      </c>
      <c r="N15" s="38">
        <v>10</v>
      </c>
      <c r="O15" s="23" t="str">
        <f>_xlfn.XLOOKUP($B15,GCES!$B:$B,GCES!$G:$G,"",0,1)</f>
        <v/>
      </c>
      <c r="P15" s="28" t="str">
        <f t="shared" ref="P15:P16" si="170">IF(O15="","",P$58*O15/O$57)</f>
        <v/>
      </c>
      <c r="Q15" s="24" t="str">
        <f t="shared" ref="Q15" si="171">IF(O15="","",IF(P15&gt;4,ROUND(P15/2,0)*2,IF(P15&gt;P$59,4,"")))</f>
        <v/>
      </c>
      <c r="R15" s="23" t="str">
        <f>_xlfn.XLOOKUP($B15,GCES!$B:$B,GCES!$L:$L,"",0,1)</f>
        <v/>
      </c>
      <c r="S15" s="28" t="str">
        <f t="shared" ref="S15:S16" si="172">IF(R15="","",S$58*R15/R$57)</f>
        <v/>
      </c>
      <c r="T15" s="24" t="str">
        <f t="shared" ref="T15:T16" si="173">IF(R15="","",IF(S15&gt;4,ROUND(S15/2,0)*2,IF(S15&gt;S$59,4,"")))</f>
        <v/>
      </c>
      <c r="U15" s="23" t="str">
        <f>_xlfn.XLOOKUP($B15,GCES!$B:$B,GCES!$K:$K,"",0,1)</f>
        <v/>
      </c>
      <c r="V15" s="28" t="str">
        <f t="shared" ref="V15:V16" si="174">IF(U15="","",V$58*U15/U$57)</f>
        <v/>
      </c>
      <c r="W15" s="24" t="str">
        <f t="shared" ref="W15:W16" si="175">IF(U15="","",IF(V15&gt;4,ROUND(V15/2,0)*2,IF(V15&gt;V$59,4,"")))</f>
        <v/>
      </c>
      <c r="X15" s="23">
        <f>_xlfn.XLOOKUP($B15,GCES!$B:$B,GCES!$S:$S,"",0,1)</f>
        <v>16</v>
      </c>
      <c r="Y15" s="28">
        <f t="shared" ref="Y15:Y16" si="176">IF(X15="","",Y$58*X15/X$57)</f>
        <v>5.6470588235294121</v>
      </c>
      <c r="Z15" s="24">
        <f t="shared" ref="Z15:Z16" si="177">IF(X15="","",IF(Y15&gt;4,ROUND(Y15/2,0)*2,IF(Y15&gt;Y$59,4,"")))</f>
        <v>6</v>
      </c>
      <c r="AA15" s="23">
        <f>_xlfn.XLOOKUP($B15,GCES!$B:$B,GCES!$R:$R,"",0,1)</f>
        <v>20</v>
      </c>
      <c r="AB15" s="28">
        <f t="shared" ref="AB15:AB16" si="178">IF(AA15="","",AB$58*AA15/AA$57)</f>
        <v>6.8181818181818183</v>
      </c>
      <c r="AC15" s="24">
        <f t="shared" ref="AC15:AC16" si="179">IF(AA15="","",IF(AB15&gt;4,ROUND(AB15/2,0)*2,IF(AB15&gt;AB$59,4,"")))</f>
        <v>6</v>
      </c>
      <c r="AD15" s="23">
        <f>_xlfn.XLOOKUP($B15,GCES!$B:$B,GCES!$AL:$AL,"",0,1)</f>
        <v>56</v>
      </c>
      <c r="AE15" s="28">
        <f t="shared" ref="AE15:AE16" si="180">IF(AD15="","",AE$58*AD15/AD$57)</f>
        <v>6.7307692307692308</v>
      </c>
      <c r="AF15" s="24">
        <f t="shared" ref="AF15" si="181">IF(AD15="","",IF(AE15&gt;4,ROUND(AE15/2,0)*2,IF(AE15&gt;AE$59,4,"")))</f>
        <v>6</v>
      </c>
      <c r="AG15" s="23" t="str">
        <f>_xlfn.XLOOKUP($B15,GCES!$B:$B,GCES!$AK:$AK,"",0,1)</f>
        <v/>
      </c>
      <c r="AH15" s="28" t="str">
        <f t="shared" ref="AH15:AH16" si="182">IF(AG15="","",AH$58*AG15/AG$57)</f>
        <v/>
      </c>
      <c r="AI15" s="24" t="str">
        <f t="shared" ref="AI15:AI16" si="183">IF(AG15="","",IF(AH15&gt;4,ROUND(AH15/2,0)*2,IF(AH15&gt;AH$59,4,"")))</f>
        <v/>
      </c>
      <c r="AJ15" s="23">
        <f>_xlfn.XLOOKUP($B15,GCES!$B:$B,GCES!$AQ:$AQ,"",0,1)</f>
        <v>16</v>
      </c>
      <c r="AK15" s="28">
        <f t="shared" ref="AK15:AK16" si="184">IF(AJ15="","",AK$58*AJ15/AJ$57)</f>
        <v>4.9411764705882355</v>
      </c>
      <c r="AL15" s="24">
        <f t="shared" ref="AL15:AL16" si="185">IF(AJ15="","",IF(AK15&gt;4,ROUND(AK15/2,0)*2,IF(AK15&gt;AK$59,4,"")))</f>
        <v>4</v>
      </c>
      <c r="AM15" s="23">
        <f>_xlfn.XLOOKUP($B15,GCES!$B:$B,GCES!$AP:$AP,"",0,1)</f>
        <v>16</v>
      </c>
      <c r="AN15" s="28">
        <f t="shared" ref="AN15:AN16" si="186">IF(AM15="","",AN$58*AM15/AM$57)</f>
        <v>5.7777777777777777</v>
      </c>
      <c r="AO15" s="24">
        <f t="shared" ref="AO15:AO16" si="187">IF(AM15="","",IF(AN15&gt;4,ROUND(AN15/2,0)*2,IF(AN15&gt;AN$59,4,"")))</f>
        <v>6</v>
      </c>
      <c r="AP15" s="23">
        <f>_xlfn.XLOOKUP($B15,GCES!$B:$B,GCES!$V:$V,"",0,1)</f>
        <v>24</v>
      </c>
      <c r="AQ15" s="28">
        <f t="shared" ref="AQ15:AQ16" si="188">IF(AP15="","",AQ$58*AP15/AP$57)</f>
        <v>6.6857142857142859</v>
      </c>
      <c r="AR15" s="24">
        <f t="shared" ref="AR15:AR16" si="189">IF(AP15="","",IF(AQ15&gt;4,ROUND(AQ15/2,0)*2,IF(AQ15&gt;AQ$59,4,"")))</f>
        <v>6</v>
      </c>
      <c r="AS15" s="23">
        <f>_xlfn.XLOOKUP($B15,GCES!$B:$B,GCES!$AH:$AH,"",0,1)</f>
        <v>48</v>
      </c>
      <c r="AT15" s="28">
        <f t="shared" ref="AT15:AT16" si="190">IF(AS15="","",AT$58*AS15/AS$57)</f>
        <v>9.3061224489795915</v>
      </c>
      <c r="AU15" s="24">
        <f t="shared" ref="AU15:AU16" si="191">IF(AS15="","",IF(AT15&gt;4,ROUND(AT15/2,0)*2,IF(AT15&gt;AT$59,4,"")))</f>
        <v>10</v>
      </c>
      <c r="AV15" s="23">
        <f>_xlfn.XLOOKUP($B15,GCES!$B:$B,GCES!$AG:$AG,"",0,1)</f>
        <v>16</v>
      </c>
      <c r="AW15" s="28">
        <f t="shared" ref="AW15:AW16" si="192">IF(AV15="","",AW$58*AV15/AV$57)</f>
        <v>3.7894736842105261</v>
      </c>
      <c r="AX15" s="24">
        <f t="shared" ref="AX15:AX16" si="193">IF(AV15="","",IF(AW15&gt;4,ROUND(AW15/2,0)*2,IF(AW15&gt;AW$59,4,"")))</f>
        <v>4</v>
      </c>
      <c r="AY15" s="90">
        <f>_xlfn.XLOOKUP($B15,GCES!$B:$B,GCES!$AO:$AO,"",0,1)</f>
        <v>16</v>
      </c>
      <c r="AZ15" s="28">
        <f t="shared" ref="AZ15:AZ16" si="194">IF(AY15="","",AZ$58*AY15/AY$57)</f>
        <v>2.9333333333333331</v>
      </c>
      <c r="BA15" s="24">
        <f t="shared" ref="BA15:BA16" si="195">IF(AY15="","",IF(AZ15&gt;4,ROUND(AZ15/2,0)*2,IF(AZ15&gt;AZ$59,4,"")))</f>
        <v>4</v>
      </c>
      <c r="BB15" s="97">
        <f t="shared" si="90"/>
        <v>62</v>
      </c>
      <c r="BC15" s="23">
        <f>_xlfn.XLOOKUP($B15,GCES!$B:$B,GCES!$F:$F,"",0,1)</f>
        <v>16</v>
      </c>
      <c r="BD15" s="28">
        <f t="shared" ref="BD15:BD16" si="196">IF(BC15="","",BD$58*BC15/BC$57)</f>
        <v>4.1333333333333337</v>
      </c>
      <c r="BE15" s="26">
        <f t="shared" ref="BE15:BE16" si="197">IF(BC15="","",IF(BD15&gt;4,ROUND(BD15/2,0)*2,IF(BD15&gt;BD$59,4,"")))</f>
        <v>4</v>
      </c>
      <c r="BF15" s="23">
        <f>_xlfn.XLOOKUP($B15,GCES!$B:$B,GCES!$J:$J,"",0,1)</f>
        <v>24</v>
      </c>
      <c r="BG15" s="28">
        <f t="shared" ref="BG15:BG16" si="198">IF(BF15="","",BG$58*BF15/BF$57)</f>
        <v>4.1036269430051817</v>
      </c>
      <c r="BH15" s="24">
        <f t="shared" ref="BH15:BH16" si="199">IF(BF15="","",IF(BG15&gt;4,ROUND(BG15/2,0)*2,IF(BG15&gt;BG$59,4,"")))</f>
        <v>4</v>
      </c>
      <c r="BI15" s="23">
        <f>_xlfn.XLOOKUP($B15,GCES!$B:$B,GCES!$I:$I,"",0,1)</f>
        <v>36</v>
      </c>
      <c r="BJ15" s="28">
        <f t="shared" ref="BJ15:BJ16" si="200">IF(BI15="","",BJ$58*BI15/BI$57)</f>
        <v>6.3157894736842106</v>
      </c>
      <c r="BK15" s="24">
        <f t="shared" ref="BK15:BK16" si="201">IF(BI15="","",IF(BJ15&gt;4,ROUND(BJ15/2,0)*2,IF(BJ15&gt;BJ$59,4,"")))</f>
        <v>6</v>
      </c>
      <c r="BL15" s="23" t="str">
        <f>_xlfn.XLOOKUP($B15,GCES!$B:$B,GCES!$AN:$AN,"",0,1)</f>
        <v/>
      </c>
      <c r="BM15" s="28" t="str">
        <f t="shared" ref="BM15:BM16" si="202">IF(BL15="","",BM$58*BL15/BL$57)</f>
        <v/>
      </c>
      <c r="BN15" s="24" t="str">
        <f t="shared" ref="BN15:BN16" si="203">IF(BL15="","",IF(BM15&gt;4,ROUND(BM15/2,0)*2,IF(BM15&gt;BM$59,4,"")))</f>
        <v/>
      </c>
      <c r="BO15" s="23">
        <f>_xlfn.XLOOKUP($B15,GCES!$B:$B,GCES!$AM:$AM,"",0,1)</f>
        <v>16</v>
      </c>
      <c r="BP15" s="28">
        <f t="shared" ref="BP15:BP16" si="204">IF(BO15="","",BP$58*BO15/BO$57)</f>
        <v>3.870967741935484</v>
      </c>
      <c r="BQ15" s="24">
        <f t="shared" ref="BQ15:BQ16" si="205">IF(BO15="","",IF(BP15&gt;4,ROUND(BP15/2,0)*2,IF(BP15&gt;BP$59,4,"")))</f>
        <v>4</v>
      </c>
      <c r="BR15" s="23" t="str">
        <f>_xlfn.XLOOKUP($B15,GCES!$B:$B,GCES!$Z:$Z,"",0,1)</f>
        <v/>
      </c>
      <c r="BS15" s="28" t="str">
        <f t="shared" ref="BS15:BS16" si="206">IF(BR15="","",BS$58*BR15/BR$57)</f>
        <v/>
      </c>
      <c r="BT15" s="24" t="str">
        <f t="shared" ref="BT15:BT16" si="207">IF(BR15="","",IF(BS15&gt;4,ROUND(BS15/2,0)*2,IF(BS15&gt;BS$59,4,"")))</f>
        <v/>
      </c>
      <c r="BU15" s="23" t="str">
        <f>_xlfn.XLOOKUP($B15,GCES!$B:$B,GCES!$Y:$Y,"",0,1)</f>
        <v/>
      </c>
      <c r="BV15" s="28" t="str">
        <f t="shared" ref="BV15:BV16" si="208">IF(BU15="","",BV$58*BU15/BU$57)</f>
        <v/>
      </c>
      <c r="BW15" s="24" t="str">
        <f t="shared" ref="BW15:BW16" si="209">IF(BU15="","",IF(BV15&gt;4,ROUND(BV15/2,0)*2,IF(BV15&gt;BV$59,4,"")))</f>
        <v/>
      </c>
      <c r="BX15" s="23" t="str">
        <f>_xlfn.XLOOKUP($B15,GCES!$B:$B,GCES!$AC:$AC,"",0,1)</f>
        <v/>
      </c>
      <c r="BY15" s="28" t="str">
        <f t="shared" ref="BY15:BY16" si="210">IF(BX15="","",BY$58*BX15/BX$57)</f>
        <v/>
      </c>
      <c r="BZ15" s="24" t="str">
        <f t="shared" ref="BZ15:BZ16" si="211">IF(BX15="","",IF(BY15&gt;4,ROUND(BY15/2,0)*2,IF(BY15&gt;BY$59,4,"")))</f>
        <v/>
      </c>
      <c r="CA15" s="23" t="str">
        <f>_xlfn.XLOOKUP($B15,GCES!$B:$B,GCES!$AB:$AB,"",0,1)</f>
        <v/>
      </c>
      <c r="CB15" s="28" t="str">
        <f t="shared" ref="CB15:CB16" si="212">IF(CA15="","",CB$58*CA15/CA$57)</f>
        <v/>
      </c>
      <c r="CC15" s="24" t="str">
        <f t="shared" ref="CC15:CC16" si="213">IF(CA15="","",IF(CB15&gt;4,ROUND(CB15/2,0)*2,IF(CB15&gt;CB$59,4,"")))</f>
        <v/>
      </c>
      <c r="CD15" s="23" t="str">
        <f>_xlfn.XLOOKUP($B15,GCES!$B:$B,GCES!$AS:$AS,"",0,1)</f>
        <v/>
      </c>
      <c r="CE15" s="28" t="str">
        <f t="shared" ref="CE15:CE16" si="214">IF(CD15="","",CE$58*CD15/CD$57)</f>
        <v/>
      </c>
      <c r="CF15" s="24" t="str">
        <f t="shared" ref="CF15:CF16" si="215">IF(CD15="","",IF(CE15&gt;4,ROUND(CE15/2,0)*2,IF(CE15&gt;CE$59,4,"")))</f>
        <v/>
      </c>
      <c r="CG15" s="23">
        <f>_xlfn.XLOOKUP($B15,GCES!$B:$B,GCES!$AR:$AR,"",0,1)</f>
        <v>16</v>
      </c>
      <c r="CH15" s="28">
        <f t="shared" ref="CH15:CH16" si="216">IF(CG15="","",CH$58*CG15/CG$57)</f>
        <v>5.2173913043478262</v>
      </c>
      <c r="CI15" s="37">
        <v>4</v>
      </c>
      <c r="CJ15" s="23" t="str">
        <f>_xlfn.XLOOKUP($B15,GCES!$B:$B,GCES!$N:$N,"",0,1)</f>
        <v/>
      </c>
      <c r="CK15" s="28" t="str">
        <f t="shared" ref="CK15:CK16" si="217">IF(CJ15="","",CK$58*CJ15/CJ$57)</f>
        <v/>
      </c>
      <c r="CL15" s="24" t="str">
        <f t="shared" ref="CL15:CL16" si="218">IF(CJ15="","",IF(CK15&gt;4,ROUND(CK15/2,0)*2,IF(CK15&gt;CK$59,4,"")))</f>
        <v/>
      </c>
      <c r="CM15" s="23">
        <f>_xlfn.XLOOKUP($B15,GCES!$B:$B,GCES!$M:$M,"",0,1)</f>
        <v>8</v>
      </c>
      <c r="CN15" s="28">
        <f t="shared" ref="CN15:CN16" si="219">IF(CM15="","",CN$58*CM15/CM$57)</f>
        <v>6</v>
      </c>
      <c r="CO15" s="24">
        <f t="shared" ref="CO15:CO16" si="220">IF(CM15="","",IF(CN15&gt;4,ROUND(CN15/2,0)*2,IF(CN15&gt;CN$59,4,"")))</f>
        <v>6</v>
      </c>
      <c r="CP15" s="90">
        <f>_xlfn.XLOOKUP($B15,GCES!$B:$B,GCES!$AD:$AD,"",0,1)</f>
        <v>32</v>
      </c>
      <c r="CQ15" s="28">
        <f t="shared" ref="CQ15:CQ16" si="221">IF(CP15="","",CQ$58*CP15/CP$57)</f>
        <v>8</v>
      </c>
      <c r="CR15" s="26">
        <f t="shared" ref="CR15:CR16" si="222">IF(CP15="","",IF(CQ15&gt;4,ROUND(CQ15/2,0)*2,IF(CQ15&gt;CQ$59,4,"")))</f>
        <v>8</v>
      </c>
      <c r="CS15" s="23" t="str">
        <f>_xlfn.XLOOKUP($B15,GCES!$B:$B,GCES!$AJ:$AJ,"",0,1)</f>
        <v/>
      </c>
      <c r="CT15" s="28" t="str">
        <f t="shared" ref="CT15:CT16" si="223">IF(CS15="","",CT$58*CS15/CS$57)</f>
        <v/>
      </c>
      <c r="CU15" s="24" t="str">
        <f t="shared" ref="CU15:CU16" si="224">IF(CS15="","",IF(CT15&gt;4,ROUND(CT15/2,0)*2,IF(CT15&gt;CT$59,4,"")))</f>
        <v/>
      </c>
      <c r="CV15" s="23">
        <f>_xlfn.XLOOKUP($B15,GCES!$B:$B,GCES!$AI:$AI,"",0,1)</f>
        <v>16</v>
      </c>
      <c r="CW15" s="28">
        <f t="shared" ref="CW15:CW16" si="225">IF(CV15="","",CW$58*CV15/CV$57)</f>
        <v>5.12</v>
      </c>
      <c r="CX15" s="24">
        <f t="shared" ref="CX15:CX16" si="226">IF(CV15="","",IF(CW15&gt;4,ROUND(CW15/2,0)*2,IF(CW15&gt;CW$59,4,"")))</f>
        <v>6</v>
      </c>
      <c r="CY15" s="100">
        <f t="shared" ref="CY15:CY16" si="227">SUM(BE15,BH15,BK15,BN15,BQ15,BT15,BW15,BZ15,CC15,CF15,CI15,CL15,CO15,CR15,CU15,CX15)</f>
        <v>42</v>
      </c>
      <c r="CZ15" s="95">
        <f t="shared" ref="CZ15:CZ16" si="228">SUM(BB15,CY15)</f>
        <v>104</v>
      </c>
    </row>
    <row r="16" spans="1:104" x14ac:dyDescent="0.25">
      <c r="A16" s="27" t="s">
        <v>107</v>
      </c>
      <c r="B16" s="88" t="s">
        <v>64</v>
      </c>
      <c r="C16" s="23" t="str">
        <f>_xlfn.XLOOKUP($B16,GCES!$B:$B,GCES!$C:$C,"",0,1)</f>
        <v/>
      </c>
      <c r="D16" s="28" t="str">
        <f t="shared" si="163"/>
        <v/>
      </c>
      <c r="E16" s="26" t="str">
        <f t="shared" si="164"/>
        <v/>
      </c>
      <c r="F16" s="23" t="str">
        <f>_xlfn.XLOOKUP($B16,GCES!$B:$B,GCES!$E:$E,"",0,1)</f>
        <v/>
      </c>
      <c r="G16" s="28" t="str">
        <f t="shared" si="165"/>
        <v/>
      </c>
      <c r="H16" s="24" t="str">
        <f t="shared" si="166"/>
        <v/>
      </c>
      <c r="I16" s="23">
        <f>_xlfn.XLOOKUP($B16,GCES!$B:$B,GCES!$D:$D,"",0,1)</f>
        <v>16</v>
      </c>
      <c r="J16" s="28">
        <f t="shared" si="167"/>
        <v>1.5115207373271888</v>
      </c>
      <c r="K16" s="38">
        <v>4</v>
      </c>
      <c r="L16" s="23">
        <f>_xlfn.XLOOKUP($B16,GCES!$B:$B,GCES!$H:$H,"",0,1)</f>
        <v>80</v>
      </c>
      <c r="M16" s="28">
        <f t="shared" si="169"/>
        <v>15.238095238095237</v>
      </c>
      <c r="N16" s="38">
        <v>14</v>
      </c>
      <c r="O16" s="23">
        <f>_xlfn.XLOOKUP($B16,GCES!$B:$B,GCES!$G:$G,"",0,1)</f>
        <v>16</v>
      </c>
      <c r="P16" s="28">
        <f t="shared" si="170"/>
        <v>2.6666666666666665</v>
      </c>
      <c r="Q16" s="38"/>
      <c r="R16" s="23" t="str">
        <f>_xlfn.XLOOKUP($B16,GCES!$B:$B,GCES!$L:$L,"",0,1)</f>
        <v/>
      </c>
      <c r="S16" s="28" t="str">
        <f t="shared" si="172"/>
        <v/>
      </c>
      <c r="T16" s="24" t="str">
        <f t="shared" si="173"/>
        <v/>
      </c>
      <c r="U16" s="23" t="str">
        <f>_xlfn.XLOOKUP($B16,GCES!$B:$B,GCES!$K:$K,"",0,1)</f>
        <v/>
      </c>
      <c r="V16" s="28" t="str">
        <f t="shared" si="174"/>
        <v/>
      </c>
      <c r="W16" s="24" t="str">
        <f t="shared" si="175"/>
        <v/>
      </c>
      <c r="X16" s="23" t="str">
        <f>_xlfn.XLOOKUP($B16,GCES!$B:$B,GCES!$S:$S,"",0,1)</f>
        <v/>
      </c>
      <c r="Y16" s="28" t="str">
        <f t="shared" si="176"/>
        <v/>
      </c>
      <c r="Z16" s="24" t="str">
        <f t="shared" si="177"/>
        <v/>
      </c>
      <c r="AA16" s="23" t="str">
        <f>_xlfn.XLOOKUP($B16,GCES!$B:$B,GCES!$R:$R,"",0,1)</f>
        <v/>
      </c>
      <c r="AB16" s="28" t="str">
        <f t="shared" si="178"/>
        <v/>
      </c>
      <c r="AC16" s="24" t="str">
        <f t="shared" si="179"/>
        <v/>
      </c>
      <c r="AD16" s="23">
        <f>_xlfn.XLOOKUP($B16,GCES!$B:$B,GCES!$AL:$AL,"",0,1)</f>
        <v>68</v>
      </c>
      <c r="AE16" s="28">
        <f t="shared" si="180"/>
        <v>8.1730769230769234</v>
      </c>
      <c r="AF16" s="38">
        <v>10</v>
      </c>
      <c r="AG16" s="23" t="str">
        <f>_xlfn.XLOOKUP($B16,GCES!$B:$B,GCES!$AK:$AK,"",0,1)</f>
        <v/>
      </c>
      <c r="AH16" s="28" t="str">
        <f t="shared" si="182"/>
        <v/>
      </c>
      <c r="AI16" s="24" t="str">
        <f t="shared" si="183"/>
        <v/>
      </c>
      <c r="AJ16" s="23" t="str">
        <f>_xlfn.XLOOKUP($B16,GCES!$B:$B,GCES!$AQ:$AQ,"",0,1)</f>
        <v/>
      </c>
      <c r="AK16" s="28" t="str">
        <f t="shared" si="184"/>
        <v/>
      </c>
      <c r="AL16" s="24" t="str">
        <f t="shared" si="185"/>
        <v/>
      </c>
      <c r="AM16" s="23" t="str">
        <f>_xlfn.XLOOKUP($B16,GCES!$B:$B,GCES!$AP:$AP,"",0,1)</f>
        <v/>
      </c>
      <c r="AN16" s="28" t="str">
        <f t="shared" si="186"/>
        <v/>
      </c>
      <c r="AO16" s="24" t="str">
        <f t="shared" si="187"/>
        <v/>
      </c>
      <c r="AP16" s="23" t="str">
        <f>_xlfn.XLOOKUP($B16,GCES!$B:$B,GCES!$V:$V,"",0,1)</f>
        <v/>
      </c>
      <c r="AQ16" s="28" t="str">
        <f t="shared" si="188"/>
        <v/>
      </c>
      <c r="AR16" s="24" t="str">
        <f t="shared" si="189"/>
        <v/>
      </c>
      <c r="AS16" s="23">
        <f>_xlfn.XLOOKUP($B16,GCES!$B:$B,GCES!$AH:$AH,"",0,1)</f>
        <v>16</v>
      </c>
      <c r="AT16" s="28">
        <f t="shared" si="190"/>
        <v>3.1020408163265305</v>
      </c>
      <c r="AU16" s="24">
        <f t="shared" si="191"/>
        <v>4</v>
      </c>
      <c r="AV16" s="23">
        <f>_xlfn.XLOOKUP($B16,GCES!$B:$B,GCES!$AG:$AG,"",0,1)</f>
        <v>16</v>
      </c>
      <c r="AW16" s="28">
        <f t="shared" si="192"/>
        <v>3.7894736842105261</v>
      </c>
      <c r="AX16" s="24">
        <f t="shared" si="193"/>
        <v>4</v>
      </c>
      <c r="AY16" s="90">
        <f>_xlfn.XLOOKUP($B16,GCES!$B:$B,GCES!$AO:$AO,"",0,1)</f>
        <v>20</v>
      </c>
      <c r="AZ16" s="28">
        <f t="shared" si="194"/>
        <v>3.6666666666666665</v>
      </c>
      <c r="BA16" s="24">
        <f t="shared" si="195"/>
        <v>4</v>
      </c>
      <c r="BB16" s="97">
        <f t="shared" si="90"/>
        <v>40</v>
      </c>
      <c r="BC16" s="23" t="str">
        <f>_xlfn.XLOOKUP($B16,GCES!$B:$B,GCES!$F:$F,"",0,1)</f>
        <v/>
      </c>
      <c r="BD16" s="28" t="str">
        <f t="shared" si="196"/>
        <v/>
      </c>
      <c r="BE16" s="26" t="str">
        <f t="shared" si="197"/>
        <v/>
      </c>
      <c r="BF16" s="23">
        <f>_xlfn.XLOOKUP($B16,GCES!$B:$B,GCES!$J:$J,"",0,1)</f>
        <v>86</v>
      </c>
      <c r="BG16" s="28">
        <f t="shared" si="198"/>
        <v>14.704663212435234</v>
      </c>
      <c r="BH16" s="24">
        <f t="shared" si="199"/>
        <v>14</v>
      </c>
      <c r="BI16" s="23">
        <f>_xlfn.XLOOKUP($B16,GCES!$B:$B,GCES!$I:$I,"",0,1)</f>
        <v>30</v>
      </c>
      <c r="BJ16" s="28">
        <f t="shared" si="200"/>
        <v>5.2631578947368425</v>
      </c>
      <c r="BK16" s="24">
        <f t="shared" si="201"/>
        <v>6</v>
      </c>
      <c r="BL16" s="23" t="str">
        <f>_xlfn.XLOOKUP($B16,GCES!$B:$B,GCES!$AN:$AN,"",0,1)</f>
        <v/>
      </c>
      <c r="BM16" s="28" t="str">
        <f t="shared" si="202"/>
        <v/>
      </c>
      <c r="BN16" s="24" t="str">
        <f t="shared" si="203"/>
        <v/>
      </c>
      <c r="BO16" s="23">
        <f>_xlfn.XLOOKUP($B16,GCES!$B:$B,GCES!$AM:$AM,"",0,1)</f>
        <v>16</v>
      </c>
      <c r="BP16" s="28">
        <f t="shared" si="204"/>
        <v>3.870967741935484</v>
      </c>
      <c r="BQ16" s="24">
        <f t="shared" si="205"/>
        <v>4</v>
      </c>
      <c r="BR16" s="23" t="str">
        <f>_xlfn.XLOOKUP($B16,GCES!$B:$B,GCES!$Z:$Z,"",0,1)</f>
        <v/>
      </c>
      <c r="BS16" s="28" t="str">
        <f t="shared" si="206"/>
        <v/>
      </c>
      <c r="BT16" s="24" t="str">
        <f t="shared" si="207"/>
        <v/>
      </c>
      <c r="BU16" s="23" t="str">
        <f>_xlfn.XLOOKUP($B16,GCES!$B:$B,GCES!$Y:$Y,"",0,1)</f>
        <v/>
      </c>
      <c r="BV16" s="28" t="str">
        <f t="shared" si="208"/>
        <v/>
      </c>
      <c r="BW16" s="24" t="str">
        <f t="shared" si="209"/>
        <v/>
      </c>
      <c r="BX16" s="23" t="str">
        <f>_xlfn.XLOOKUP($B16,GCES!$B:$B,GCES!$AC:$AC,"",0,1)</f>
        <v/>
      </c>
      <c r="BY16" s="28" t="str">
        <f t="shared" si="210"/>
        <v/>
      </c>
      <c r="BZ16" s="24" t="str">
        <f t="shared" si="211"/>
        <v/>
      </c>
      <c r="CA16" s="23" t="str">
        <f>_xlfn.XLOOKUP($B16,GCES!$B:$B,GCES!$AB:$AB,"",0,1)</f>
        <v/>
      </c>
      <c r="CB16" s="28" t="str">
        <f t="shared" si="212"/>
        <v/>
      </c>
      <c r="CC16" s="24" t="str">
        <f t="shared" si="213"/>
        <v/>
      </c>
      <c r="CD16" s="23" t="str">
        <f>_xlfn.XLOOKUP($B16,GCES!$B:$B,GCES!$AS:$AS,"",0,1)</f>
        <v/>
      </c>
      <c r="CE16" s="28" t="str">
        <f t="shared" si="214"/>
        <v/>
      </c>
      <c r="CF16" s="24" t="str">
        <f t="shared" si="215"/>
        <v/>
      </c>
      <c r="CG16" s="23">
        <f>_xlfn.XLOOKUP($B16,GCES!$B:$B,GCES!$AR:$AR,"",0,1)</f>
        <v>16</v>
      </c>
      <c r="CH16" s="28">
        <f t="shared" si="216"/>
        <v>5.2173913043478262</v>
      </c>
      <c r="CI16" s="37">
        <v>4</v>
      </c>
      <c r="CJ16" s="23" t="str">
        <f>_xlfn.XLOOKUP($B16,GCES!$B:$B,GCES!$N:$N,"",0,1)</f>
        <v/>
      </c>
      <c r="CK16" s="28" t="str">
        <f t="shared" si="217"/>
        <v/>
      </c>
      <c r="CL16" s="24" t="str">
        <f t="shared" si="218"/>
        <v/>
      </c>
      <c r="CM16" s="23" t="str">
        <f>_xlfn.XLOOKUP($B16,GCES!$B:$B,GCES!$M:$M,"",0,1)</f>
        <v/>
      </c>
      <c r="CN16" s="28" t="str">
        <f t="shared" si="219"/>
        <v/>
      </c>
      <c r="CO16" s="24" t="str">
        <f t="shared" si="220"/>
        <v/>
      </c>
      <c r="CP16" s="90" t="str">
        <f>_xlfn.XLOOKUP($B16,GCES!$B:$B,GCES!$AD:$AD,"",0,1)</f>
        <v/>
      </c>
      <c r="CQ16" s="28" t="str">
        <f t="shared" si="221"/>
        <v/>
      </c>
      <c r="CR16" s="26" t="str">
        <f t="shared" si="222"/>
        <v/>
      </c>
      <c r="CS16" s="23" t="str">
        <f>_xlfn.XLOOKUP($B16,GCES!$B:$B,GCES!$AJ:$AJ,"",0,1)</f>
        <v/>
      </c>
      <c r="CT16" s="28" t="str">
        <f t="shared" si="223"/>
        <v/>
      </c>
      <c r="CU16" s="24" t="str">
        <f t="shared" si="224"/>
        <v/>
      </c>
      <c r="CV16" s="23" t="str">
        <f>_xlfn.XLOOKUP($B16,GCES!$B:$B,GCES!$AI:$AI,"",0,1)</f>
        <v/>
      </c>
      <c r="CW16" s="28" t="str">
        <f t="shared" si="225"/>
        <v/>
      </c>
      <c r="CX16" s="24" t="str">
        <f t="shared" si="226"/>
        <v/>
      </c>
      <c r="CY16" s="100">
        <f t="shared" si="227"/>
        <v>28</v>
      </c>
      <c r="CZ16" s="95">
        <f t="shared" si="228"/>
        <v>68</v>
      </c>
    </row>
    <row r="17" spans="1:104" s="5" customFormat="1" ht="14.4" customHeight="1" x14ac:dyDescent="0.25">
      <c r="A17" s="129" t="s">
        <v>132</v>
      </c>
      <c r="B17" s="130"/>
      <c r="C17" s="71">
        <f>SUM(C15:C16)</f>
        <v>0</v>
      </c>
      <c r="D17" s="72">
        <f t="shared" ref="D17" si="229">SUM(D15:D16)</f>
        <v>0</v>
      </c>
      <c r="E17" s="73">
        <f t="shared" ref="E17" si="230">SUM(E15:E16)</f>
        <v>0</v>
      </c>
      <c r="F17" s="71">
        <f t="shared" ref="F17:H17" si="231">SUM(F15:F16)</f>
        <v>0</v>
      </c>
      <c r="G17" s="72">
        <f t="shared" si="231"/>
        <v>0</v>
      </c>
      <c r="H17" s="74">
        <f t="shared" si="231"/>
        <v>0</v>
      </c>
      <c r="I17" s="71">
        <f t="shared" ref="I17:K17" si="232">SUM(I15:I16)</f>
        <v>32</v>
      </c>
      <c r="J17" s="72">
        <f t="shared" si="232"/>
        <v>3.0230414746543777</v>
      </c>
      <c r="K17" s="74">
        <f t="shared" si="232"/>
        <v>4</v>
      </c>
      <c r="L17" s="71">
        <f t="shared" ref="L17:M17" si="233">SUM(L15:L16)</f>
        <v>140</v>
      </c>
      <c r="M17" s="72">
        <f t="shared" si="233"/>
        <v>26.666666666666664</v>
      </c>
      <c r="N17" s="74">
        <f t="shared" ref="N17" si="234">SUM(N15:N16)</f>
        <v>24</v>
      </c>
      <c r="O17" s="71">
        <f t="shared" ref="O17:Q17" si="235">SUM(O15:O16)</f>
        <v>16</v>
      </c>
      <c r="P17" s="72">
        <f t="shared" si="235"/>
        <v>2.6666666666666665</v>
      </c>
      <c r="Q17" s="74">
        <f t="shared" si="235"/>
        <v>0</v>
      </c>
      <c r="R17" s="71">
        <f t="shared" ref="R17:T17" si="236">SUM(R15:R16)</f>
        <v>0</v>
      </c>
      <c r="S17" s="72">
        <f t="shared" si="236"/>
        <v>0</v>
      </c>
      <c r="T17" s="74">
        <f t="shared" si="236"/>
        <v>0</v>
      </c>
      <c r="U17" s="71">
        <f t="shared" ref="U17:W17" si="237">SUM(U15:U16)</f>
        <v>0</v>
      </c>
      <c r="V17" s="72">
        <f t="shared" si="237"/>
        <v>0</v>
      </c>
      <c r="W17" s="74">
        <f t="shared" si="237"/>
        <v>0</v>
      </c>
      <c r="X17" s="71">
        <f t="shared" ref="X17:Z17" si="238">SUM(X15:X16)</f>
        <v>16</v>
      </c>
      <c r="Y17" s="72">
        <f t="shared" si="238"/>
        <v>5.6470588235294121</v>
      </c>
      <c r="Z17" s="74">
        <f t="shared" si="238"/>
        <v>6</v>
      </c>
      <c r="AA17" s="71">
        <f t="shared" ref="AA17:AC17" si="239">SUM(AA15:AA16)</f>
        <v>20</v>
      </c>
      <c r="AB17" s="72">
        <f t="shared" si="239"/>
        <v>6.8181818181818183</v>
      </c>
      <c r="AC17" s="74">
        <f t="shared" si="239"/>
        <v>6</v>
      </c>
      <c r="AD17" s="71">
        <f t="shared" ref="AD17:AF17" si="240">SUM(AD15:AD16)</f>
        <v>124</v>
      </c>
      <c r="AE17" s="72">
        <f t="shared" si="240"/>
        <v>14.903846153846153</v>
      </c>
      <c r="AF17" s="74">
        <f t="shared" si="240"/>
        <v>16</v>
      </c>
      <c r="AG17" s="71">
        <f t="shared" ref="AG17:AI17" si="241">SUM(AG15:AG16)</f>
        <v>0</v>
      </c>
      <c r="AH17" s="72">
        <f t="shared" si="241"/>
        <v>0</v>
      </c>
      <c r="AI17" s="74">
        <f t="shared" si="241"/>
        <v>0</v>
      </c>
      <c r="AJ17" s="71">
        <f t="shared" ref="AJ17:AL17" si="242">SUM(AJ15:AJ16)</f>
        <v>16</v>
      </c>
      <c r="AK17" s="72">
        <f t="shared" si="242"/>
        <v>4.9411764705882355</v>
      </c>
      <c r="AL17" s="74">
        <f t="shared" si="242"/>
        <v>4</v>
      </c>
      <c r="AM17" s="71">
        <f t="shared" ref="AM17:AO17" si="243">SUM(AM15:AM16)</f>
        <v>16</v>
      </c>
      <c r="AN17" s="72">
        <f t="shared" si="243"/>
        <v>5.7777777777777777</v>
      </c>
      <c r="AO17" s="74">
        <f t="shared" si="243"/>
        <v>6</v>
      </c>
      <c r="AP17" s="71">
        <f t="shared" ref="AP17:AR17" si="244">SUM(AP15:AP16)</f>
        <v>24</v>
      </c>
      <c r="AQ17" s="72">
        <f t="shared" si="244"/>
        <v>6.6857142857142859</v>
      </c>
      <c r="AR17" s="74">
        <f t="shared" si="244"/>
        <v>6</v>
      </c>
      <c r="AS17" s="71">
        <f t="shared" ref="AS17:AU17" si="245">SUM(AS15:AS16)</f>
        <v>64</v>
      </c>
      <c r="AT17" s="72">
        <f t="shared" si="245"/>
        <v>12.408163265306122</v>
      </c>
      <c r="AU17" s="74">
        <f t="shared" si="245"/>
        <v>14</v>
      </c>
      <c r="AV17" s="71">
        <f t="shared" ref="AV17:AX17" si="246">SUM(AV15:AV16)</f>
        <v>32</v>
      </c>
      <c r="AW17" s="72">
        <f t="shared" si="246"/>
        <v>7.5789473684210522</v>
      </c>
      <c r="AX17" s="74">
        <f t="shared" si="246"/>
        <v>8</v>
      </c>
      <c r="AY17" s="91">
        <f t="shared" ref="AY17:BA17" si="247">SUM(AY15:AY16)</f>
        <v>36</v>
      </c>
      <c r="AZ17" s="72">
        <f t="shared" si="247"/>
        <v>6.6</v>
      </c>
      <c r="BA17" s="74">
        <f t="shared" si="247"/>
        <v>8</v>
      </c>
      <c r="BB17" s="97">
        <f t="shared" si="90"/>
        <v>102</v>
      </c>
      <c r="BC17" s="71">
        <f t="shared" ref="BC17:CX17" si="248">SUM(BC15:BC16)</f>
        <v>16</v>
      </c>
      <c r="BD17" s="72">
        <f t="shared" si="248"/>
        <v>4.1333333333333337</v>
      </c>
      <c r="BE17" s="74">
        <f t="shared" si="248"/>
        <v>4</v>
      </c>
      <c r="BF17" s="71">
        <f t="shared" si="248"/>
        <v>110</v>
      </c>
      <c r="BG17" s="72">
        <f t="shared" si="248"/>
        <v>18.808290155440417</v>
      </c>
      <c r="BH17" s="74">
        <f t="shared" si="248"/>
        <v>18</v>
      </c>
      <c r="BI17" s="71">
        <f t="shared" si="248"/>
        <v>66</v>
      </c>
      <c r="BJ17" s="72">
        <f t="shared" si="248"/>
        <v>11.578947368421053</v>
      </c>
      <c r="BK17" s="74">
        <f t="shared" si="248"/>
        <v>12</v>
      </c>
      <c r="BL17" s="91">
        <f t="shared" si="248"/>
        <v>0</v>
      </c>
      <c r="BM17" s="72">
        <f t="shared" si="248"/>
        <v>0</v>
      </c>
      <c r="BN17" s="74">
        <f t="shared" si="248"/>
        <v>0</v>
      </c>
      <c r="BO17" s="71">
        <f t="shared" si="248"/>
        <v>32</v>
      </c>
      <c r="BP17" s="72">
        <f t="shared" si="248"/>
        <v>7.741935483870968</v>
      </c>
      <c r="BQ17" s="74">
        <f t="shared" si="248"/>
        <v>8</v>
      </c>
      <c r="BR17" s="71">
        <f t="shared" si="248"/>
        <v>0</v>
      </c>
      <c r="BS17" s="72">
        <f t="shared" si="248"/>
        <v>0</v>
      </c>
      <c r="BT17" s="74">
        <f t="shared" si="248"/>
        <v>0</v>
      </c>
      <c r="BU17" s="71">
        <f t="shared" si="248"/>
        <v>0</v>
      </c>
      <c r="BV17" s="72">
        <f t="shared" si="248"/>
        <v>0</v>
      </c>
      <c r="BW17" s="74">
        <f t="shared" si="248"/>
        <v>0</v>
      </c>
      <c r="BX17" s="91">
        <f t="shared" si="248"/>
        <v>0</v>
      </c>
      <c r="BY17" s="72">
        <f t="shared" si="248"/>
        <v>0</v>
      </c>
      <c r="BZ17" s="74">
        <f t="shared" si="248"/>
        <v>0</v>
      </c>
      <c r="CA17" s="71">
        <f t="shared" si="248"/>
        <v>0</v>
      </c>
      <c r="CB17" s="72">
        <f t="shared" si="248"/>
        <v>0</v>
      </c>
      <c r="CC17" s="74">
        <f t="shared" si="248"/>
        <v>0</v>
      </c>
      <c r="CD17" s="71">
        <f t="shared" si="248"/>
        <v>0</v>
      </c>
      <c r="CE17" s="72">
        <f t="shared" si="248"/>
        <v>0</v>
      </c>
      <c r="CF17" s="74">
        <f t="shared" si="248"/>
        <v>0</v>
      </c>
      <c r="CG17" s="71">
        <f t="shared" si="248"/>
        <v>32</v>
      </c>
      <c r="CH17" s="72">
        <f t="shared" si="248"/>
        <v>10.434782608695652</v>
      </c>
      <c r="CI17" s="74">
        <f t="shared" si="248"/>
        <v>8</v>
      </c>
      <c r="CJ17" s="91">
        <f t="shared" si="248"/>
        <v>0</v>
      </c>
      <c r="CK17" s="72">
        <f t="shared" si="248"/>
        <v>0</v>
      </c>
      <c r="CL17" s="74">
        <f t="shared" si="248"/>
        <v>0</v>
      </c>
      <c r="CM17" s="71">
        <f t="shared" si="248"/>
        <v>8</v>
      </c>
      <c r="CN17" s="72">
        <f t="shared" si="248"/>
        <v>6</v>
      </c>
      <c r="CO17" s="74">
        <f t="shared" si="248"/>
        <v>6</v>
      </c>
      <c r="CP17" s="71">
        <f t="shared" si="248"/>
        <v>32</v>
      </c>
      <c r="CQ17" s="72">
        <f t="shared" si="248"/>
        <v>8</v>
      </c>
      <c r="CR17" s="74">
        <f t="shared" si="248"/>
        <v>8</v>
      </c>
      <c r="CS17" s="71">
        <f t="shared" si="248"/>
        <v>0</v>
      </c>
      <c r="CT17" s="72">
        <f t="shared" si="248"/>
        <v>0</v>
      </c>
      <c r="CU17" s="74">
        <f t="shared" si="248"/>
        <v>0</v>
      </c>
      <c r="CV17" s="91">
        <f t="shared" si="248"/>
        <v>16</v>
      </c>
      <c r="CW17" s="72">
        <f t="shared" si="248"/>
        <v>5.12</v>
      </c>
      <c r="CX17" s="74">
        <f t="shared" si="248"/>
        <v>6</v>
      </c>
      <c r="CY17" s="100">
        <f t="shared" si="0"/>
        <v>70</v>
      </c>
      <c r="CZ17" s="95">
        <f t="shared" si="1"/>
        <v>172</v>
      </c>
    </row>
    <row r="18" spans="1:104" x14ac:dyDescent="0.25">
      <c r="A18" s="27" t="s">
        <v>109</v>
      </c>
      <c r="B18" s="88" t="s">
        <v>68</v>
      </c>
      <c r="C18" s="23" t="str">
        <f>_xlfn.XLOOKUP($B18,GCES!$B:$B,GCES!$C:$C,"",0,1)</f>
        <v/>
      </c>
      <c r="D18" s="28" t="str">
        <f t="shared" ref="D18:D21" si="249">IF(C18="","",D$58*C18/C$57)</f>
        <v/>
      </c>
      <c r="E18" s="26" t="str">
        <f t="shared" ref="E18:E21" si="250">IF(C18="","",IF(D18&gt;4,ROUND(D18/2,0)*2,IF(D18&gt;D$59,4,"")))</f>
        <v/>
      </c>
      <c r="F18" s="23" t="str">
        <f>_xlfn.XLOOKUP($B18,GCES!$B:$B,GCES!$E:$E,"",0,1)</f>
        <v/>
      </c>
      <c r="G18" s="28" t="str">
        <f t="shared" ref="G18:G21" si="251">IF(F18="","",G$58*F18/F$57)</f>
        <v/>
      </c>
      <c r="H18" s="24" t="str">
        <f t="shared" ref="H18:H21" si="252">IF(F18="","",IF(G18&gt;4,ROUND(G18/2,0)*2,IF(G18&gt;G$59,4,"")))</f>
        <v/>
      </c>
      <c r="I18" s="23">
        <f>_xlfn.XLOOKUP($B18,GCES!$B:$B,GCES!$D:$D,"",0,1)</f>
        <v>16</v>
      </c>
      <c r="J18" s="28">
        <f t="shared" ref="J18:J21" si="253">IF(I18="","",J$58*I18/I$57)</f>
        <v>1.5115207373271888</v>
      </c>
      <c r="K18" s="24" t="str">
        <f t="shared" ref="K18:K21" si="254">IF(I18="","",IF(J18&gt;4,ROUND(J18/2,0)*2,IF(J18&gt;J$59,4,"")))</f>
        <v/>
      </c>
      <c r="L18" s="23">
        <f>_xlfn.XLOOKUP($B18,GCES!$B:$B,GCES!$H:$H,"",0,1)</f>
        <v>24</v>
      </c>
      <c r="M18" s="28">
        <f t="shared" ref="M18:M21" si="255">IF(L18="","",M$58*L18/L$57)</f>
        <v>4.5714285714285712</v>
      </c>
      <c r="N18" s="24">
        <f t="shared" ref="N18:N21" si="256">IF(L18="","",IF(M18&gt;4,ROUND(M18/2,0)*2,IF(M18&gt;M$59,4,"")))</f>
        <v>4</v>
      </c>
      <c r="O18" s="23">
        <f>_xlfn.XLOOKUP($B18,GCES!$B:$B,GCES!$G:$G,"",0,1)</f>
        <v>20</v>
      </c>
      <c r="P18" s="28">
        <f t="shared" ref="P18:P21" si="257">IF(O18="","",P$58*O18/O$57)</f>
        <v>3.3333333333333335</v>
      </c>
      <c r="Q18" s="38">
        <v>6</v>
      </c>
      <c r="R18" s="23" t="str">
        <f>_xlfn.XLOOKUP($B18,GCES!$B:$B,GCES!$L:$L,"",0,1)</f>
        <v/>
      </c>
      <c r="S18" s="28" t="str">
        <f t="shared" ref="S18:S21" si="258">IF(R18="","",S$58*R18/R$57)</f>
        <v/>
      </c>
      <c r="T18" s="24" t="str">
        <f t="shared" ref="T18:T21" si="259">IF(R18="","",IF(S18&gt;4,ROUND(S18/2,0)*2,IF(S18&gt;S$59,4,"")))</f>
        <v/>
      </c>
      <c r="U18" s="23" t="str">
        <f>_xlfn.XLOOKUP($B18,GCES!$B:$B,GCES!$K:$K,"",0,1)</f>
        <v/>
      </c>
      <c r="V18" s="28" t="str">
        <f t="shared" ref="V18:V21" si="260">IF(U18="","",V$58*U18/U$57)</f>
        <v/>
      </c>
      <c r="W18" s="24" t="str">
        <f t="shared" ref="W18:W21" si="261">IF(U18="","",IF(V18&gt;4,ROUND(V18/2,0)*2,IF(V18&gt;V$59,4,"")))</f>
        <v/>
      </c>
      <c r="X18" s="23" t="str">
        <f>_xlfn.XLOOKUP($B18,GCES!$B:$B,GCES!$S:$S,"",0,1)</f>
        <v/>
      </c>
      <c r="Y18" s="28" t="str">
        <f t="shared" ref="Y18:Y21" si="262">IF(X18="","",Y$58*X18/X$57)</f>
        <v/>
      </c>
      <c r="Z18" s="24" t="str">
        <f t="shared" ref="Z18:Z21" si="263">IF(X18="","",IF(Y18&gt;4,ROUND(Y18/2,0)*2,IF(Y18&gt;Y$59,4,"")))</f>
        <v/>
      </c>
      <c r="AA18" s="23" t="str">
        <f>_xlfn.XLOOKUP($B18,GCES!$B:$B,GCES!$R:$R,"",0,1)</f>
        <v/>
      </c>
      <c r="AB18" s="28" t="str">
        <f t="shared" ref="AB18:AB21" si="264">IF(AA18="","",AB$58*AA18/AA$57)</f>
        <v/>
      </c>
      <c r="AC18" s="24" t="str">
        <f t="shared" ref="AC18:AC21" si="265">IF(AA18="","",IF(AB18&gt;4,ROUND(AB18/2,0)*2,IF(AB18&gt;AB$59,4,"")))</f>
        <v/>
      </c>
      <c r="AD18" s="23" t="str">
        <f>_xlfn.XLOOKUP($B18,GCES!$B:$B,GCES!$AL:$AL,"",0,1)</f>
        <v/>
      </c>
      <c r="AE18" s="28" t="str">
        <f t="shared" ref="AE18:AE21" si="266">IF(AD18="","",AE$58*AD18/AD$57)</f>
        <v/>
      </c>
      <c r="AF18" s="24" t="str">
        <f t="shared" ref="AF18:AF21" si="267">IF(AD18="","",IF(AE18&gt;4,ROUND(AE18/2,0)*2,IF(AE18&gt;AE$59,4,"")))</f>
        <v/>
      </c>
      <c r="AG18" s="23" t="str">
        <f>_xlfn.XLOOKUP($B18,GCES!$B:$B,GCES!$AK:$AK,"",0,1)</f>
        <v/>
      </c>
      <c r="AH18" s="28" t="str">
        <f t="shared" ref="AH18:AH21" si="268">IF(AG18="","",AH$58*AG18/AG$57)</f>
        <v/>
      </c>
      <c r="AI18" s="24" t="str">
        <f t="shared" ref="AI18:AI20" si="269">IF(AG18="","",IF(AH18&gt;4,ROUND(AH18/2,0)*2,IF(AH18&gt;AH$59,4,"")))</f>
        <v/>
      </c>
      <c r="AJ18" s="23">
        <f>_xlfn.XLOOKUP($B18,GCES!$B:$B,GCES!$AQ:$AQ,"",0,1)</f>
        <v>24</v>
      </c>
      <c r="AK18" s="28">
        <f t="shared" ref="AK18:AK21" si="270">IF(AJ18="","",AK$58*AJ18/AJ$57)</f>
        <v>7.4117647058823533</v>
      </c>
      <c r="AL18" s="24">
        <f t="shared" ref="AL18:AL21" si="271">IF(AJ18="","",IF(AK18&gt;4,ROUND(AK18/2,0)*2,IF(AK18&gt;AK$59,4,"")))</f>
        <v>8</v>
      </c>
      <c r="AM18" s="23" t="str">
        <f>_xlfn.XLOOKUP($B18,GCES!$B:$B,GCES!$AP:$AP,"",0,1)</f>
        <v/>
      </c>
      <c r="AN18" s="28" t="str">
        <f t="shared" ref="AN18:AN21" si="272">IF(AM18="","",AN$58*AM18/AM$57)</f>
        <v/>
      </c>
      <c r="AO18" s="24" t="str">
        <f t="shared" ref="AO18:AO21" si="273">IF(AM18="","",IF(AN18&gt;4,ROUND(AN18/2,0)*2,IF(AN18&gt;AN$59,4,"")))</f>
        <v/>
      </c>
      <c r="AP18" s="23">
        <f>_xlfn.XLOOKUP($B18,GCES!$B:$B,GCES!$V:$V,"",0,1)</f>
        <v>16</v>
      </c>
      <c r="AQ18" s="28">
        <f t="shared" ref="AQ18:AQ21" si="274">IF(AP18="","",AQ$58*AP18/AP$57)</f>
        <v>4.4571428571428573</v>
      </c>
      <c r="AR18" s="24">
        <f t="shared" ref="AR18:AR21" si="275">IF(AP18="","",IF(AQ18&gt;4,ROUND(AQ18/2,0)*2,IF(AQ18&gt;AQ$59,4,"")))</f>
        <v>4</v>
      </c>
      <c r="AS18" s="23" t="str">
        <f>_xlfn.XLOOKUP($B18,GCES!$B:$B,GCES!$AH:$AH,"",0,1)</f>
        <v/>
      </c>
      <c r="AT18" s="28" t="str">
        <f t="shared" ref="AT18:AT21" si="276">IF(AS18="","",AT$58*AS18/AS$57)</f>
        <v/>
      </c>
      <c r="AU18" s="24" t="str">
        <f t="shared" ref="AU18:AU21" si="277">IF(AS18="","",IF(AT18&gt;4,ROUND(AT18/2,0)*2,IF(AT18&gt;AT$59,4,"")))</f>
        <v/>
      </c>
      <c r="AV18" s="23" t="str">
        <f>_xlfn.XLOOKUP($B18,GCES!$B:$B,GCES!$AG:$AG,"",0,1)</f>
        <v/>
      </c>
      <c r="AW18" s="28" t="str">
        <f t="shared" ref="AW18:AW21" si="278">IF(AV18="","",AW$58*AV18/AV$57)</f>
        <v/>
      </c>
      <c r="AX18" s="24" t="str">
        <f t="shared" ref="AX18:AX21" si="279">IF(AV18="","",IF(AW18&gt;4,ROUND(AW18/2,0)*2,IF(AW18&gt;AW$59,4,"")))</f>
        <v/>
      </c>
      <c r="AY18" s="90">
        <f>_xlfn.XLOOKUP($B18,GCES!$B:$B,GCES!$AO:$AO,"",0,1)</f>
        <v>16</v>
      </c>
      <c r="AZ18" s="28">
        <f t="shared" ref="AZ18:AZ21" si="280">IF(AY18="","",AZ$58*AY18/AY$57)</f>
        <v>2.9333333333333331</v>
      </c>
      <c r="BA18" s="24">
        <f t="shared" ref="BA18:BA20" si="281">IF(AY18="","",IF(AZ18&gt;4,ROUND(AZ18/2,0)*2,IF(AZ18&gt;AZ$59,4,"")))</f>
        <v>4</v>
      </c>
      <c r="BB18" s="97">
        <f t="shared" si="90"/>
        <v>26</v>
      </c>
      <c r="BC18" s="23" t="str">
        <f>_xlfn.XLOOKUP($B18,GCES!$B:$B,GCES!$F:$F,"",0,1)</f>
        <v/>
      </c>
      <c r="BD18" s="28" t="str">
        <f t="shared" ref="BD18:BD21" si="282">IF(BC18="","",BD$58*BC18/BC$57)</f>
        <v/>
      </c>
      <c r="BE18" s="26" t="str">
        <f t="shared" ref="BE18:BE21" si="283">IF(BC18="","",IF(BD18&gt;4,ROUND(BD18/2,0)*2,IF(BD18&gt;BD$59,4,"")))</f>
        <v/>
      </c>
      <c r="BF18" s="23">
        <f>_xlfn.XLOOKUP($B18,GCES!$B:$B,GCES!$J:$J,"",0,1)</f>
        <v>24</v>
      </c>
      <c r="BG18" s="28">
        <f t="shared" ref="BG18:BG21" si="284">IF(BF18="","",BG$58*BF18/BF$57)</f>
        <v>4.1036269430051817</v>
      </c>
      <c r="BH18" s="24">
        <f t="shared" ref="BH18:BH21" si="285">IF(BF18="","",IF(BG18&gt;4,ROUND(BG18/2,0)*2,IF(BG18&gt;BG$59,4,"")))</f>
        <v>4</v>
      </c>
      <c r="BI18" s="23">
        <f>_xlfn.XLOOKUP($B18,GCES!$B:$B,GCES!$I:$I,"",0,1)</f>
        <v>16</v>
      </c>
      <c r="BJ18" s="28">
        <f t="shared" ref="BJ18:BJ21" si="286">IF(BI18="","",BJ$58*BI18/BI$57)</f>
        <v>2.807017543859649</v>
      </c>
      <c r="BK18" s="24">
        <f t="shared" ref="BK18:BK21" si="287">IF(BI18="","",IF(BJ18&gt;4,ROUND(BJ18/2,0)*2,IF(BJ18&gt;BJ$59,4,"")))</f>
        <v>4</v>
      </c>
      <c r="BL18" s="23" t="str">
        <f>_xlfn.XLOOKUP($B18,GCES!$B:$B,GCES!$AN:$AN,"",0,1)</f>
        <v/>
      </c>
      <c r="BM18" s="28" t="str">
        <f t="shared" ref="BM18:BM21" si="288">IF(BL18="","",BM$58*BL18/BL$57)</f>
        <v/>
      </c>
      <c r="BN18" s="24" t="str">
        <f t="shared" ref="BN18:BN21" si="289">IF(BL18="","",IF(BM18&gt;4,ROUND(BM18/2,0)*2,IF(BM18&gt;BM$59,4,"")))</f>
        <v/>
      </c>
      <c r="BO18" s="23">
        <f>_xlfn.XLOOKUP($B18,GCES!$B:$B,GCES!$AM:$AM,"",0,1)</f>
        <v>16</v>
      </c>
      <c r="BP18" s="28">
        <f t="shared" ref="BP18:BP21" si="290">IF(BO18="","",BP$58*BO18/BO$57)</f>
        <v>3.870967741935484</v>
      </c>
      <c r="BQ18" s="24">
        <f t="shared" ref="BQ18:BQ21" si="291">IF(BO18="","",IF(BP18&gt;4,ROUND(BP18/2,0)*2,IF(BP18&gt;BP$59,4,"")))</f>
        <v>4</v>
      </c>
      <c r="BR18" s="23" t="str">
        <f>_xlfn.XLOOKUP($B18,GCES!$B:$B,GCES!$Z:$Z,"",0,1)</f>
        <v/>
      </c>
      <c r="BS18" s="28" t="str">
        <f t="shared" ref="BS18:BS21" si="292">IF(BR18="","",BS$58*BR18/BR$57)</f>
        <v/>
      </c>
      <c r="BT18" s="24" t="str">
        <f t="shared" ref="BT18:BT21" si="293">IF(BR18="","",IF(BS18&gt;4,ROUND(BS18/2,0)*2,IF(BS18&gt;BS$59,4,"")))</f>
        <v/>
      </c>
      <c r="BU18" s="23" t="str">
        <f>_xlfn.XLOOKUP($B18,GCES!$B:$B,GCES!$Y:$Y,"",0,1)</f>
        <v/>
      </c>
      <c r="BV18" s="28" t="str">
        <f t="shared" ref="BV18:BV21" si="294">IF(BU18="","",BV$58*BU18/BU$57)</f>
        <v/>
      </c>
      <c r="BW18" s="24" t="str">
        <f t="shared" ref="BW18:BW21" si="295">IF(BU18="","",IF(BV18&gt;4,ROUND(BV18/2,0)*2,IF(BV18&gt;BV$59,4,"")))</f>
        <v/>
      </c>
      <c r="BX18" s="23" t="str">
        <f>_xlfn.XLOOKUP($B18,GCES!$B:$B,GCES!$AC:$AC,"",0,1)</f>
        <v/>
      </c>
      <c r="BY18" s="28" t="str">
        <f t="shared" ref="BY18:BY21" si="296">IF(BX18="","",BY$58*BX18/BX$57)</f>
        <v/>
      </c>
      <c r="BZ18" s="24" t="str">
        <f t="shared" ref="BZ18:BZ21" si="297">IF(BX18="","",IF(BY18&gt;4,ROUND(BY18/2,0)*2,IF(BY18&gt;BY$59,4,"")))</f>
        <v/>
      </c>
      <c r="CA18" s="23" t="str">
        <f>_xlfn.XLOOKUP($B18,GCES!$B:$B,GCES!$AB:$AB,"",0,1)</f>
        <v/>
      </c>
      <c r="CB18" s="28" t="str">
        <f t="shared" ref="CB18:CB21" si="298">IF(CA18="","",CB$58*CA18/CA$57)</f>
        <v/>
      </c>
      <c r="CC18" s="24" t="str">
        <f t="shared" ref="CC18:CC21" si="299">IF(CA18="","",IF(CB18&gt;4,ROUND(CB18/2,0)*2,IF(CB18&gt;CB$59,4,"")))</f>
        <v/>
      </c>
      <c r="CD18" s="23" t="str">
        <f>_xlfn.XLOOKUP($B18,GCES!$B:$B,GCES!$AS:$AS,"",0,1)</f>
        <v/>
      </c>
      <c r="CE18" s="28" t="str">
        <f t="shared" ref="CE18:CE21" si="300">IF(CD18="","",CE$58*CD18/CD$57)</f>
        <v/>
      </c>
      <c r="CF18" s="24" t="str">
        <f t="shared" ref="CF18:CF21" si="301">IF(CD18="","",IF(CE18&gt;4,ROUND(CE18/2,0)*2,IF(CE18&gt;CE$59,4,"")))</f>
        <v/>
      </c>
      <c r="CG18" s="23" t="str">
        <f>_xlfn.XLOOKUP($B18,GCES!$B:$B,GCES!$AR:$AR,"",0,1)</f>
        <v/>
      </c>
      <c r="CH18" s="28" t="str">
        <f t="shared" ref="CH18:CH21" si="302">IF(CG18="","",CH$58*CG18/CG$57)</f>
        <v/>
      </c>
      <c r="CI18" s="26" t="str">
        <f t="shared" ref="CI18:CI21" si="303">IF(CG18="","",IF(CH18&gt;4,ROUND(CH18/2,0)*2,IF(CH18&gt;CH$59,4,"")))</f>
        <v/>
      </c>
      <c r="CJ18" s="23">
        <f>_xlfn.XLOOKUP($B18,GCES!$B:$B,GCES!$N:$N,"",0,1)</f>
        <v>20</v>
      </c>
      <c r="CK18" s="28">
        <f t="shared" ref="CK18:CK21" si="304">IF(CJ18="","",CK$58*CJ18/CJ$57)</f>
        <v>5.3061224489795915</v>
      </c>
      <c r="CL18" s="24">
        <f t="shared" ref="CL18:CL21" si="305">IF(CJ18="","",IF(CK18&gt;4,ROUND(CK18/2,0)*2,IF(CK18&gt;CK$59,4,"")))</f>
        <v>6</v>
      </c>
      <c r="CM18" s="23" t="str">
        <f>_xlfn.XLOOKUP($B18,GCES!$B:$B,GCES!$M:$M,"",0,1)</f>
        <v/>
      </c>
      <c r="CN18" s="28" t="str">
        <f t="shared" ref="CN18:CN21" si="306">IF(CM18="","",CN$58*CM18/CM$57)</f>
        <v/>
      </c>
      <c r="CO18" s="24" t="str">
        <f t="shared" ref="CO18:CO21" si="307">IF(CM18="","",IF(CN18&gt;4,ROUND(CN18/2,0)*2,IF(CN18&gt;CN$59,4,"")))</f>
        <v/>
      </c>
      <c r="CP18" s="90">
        <f>_xlfn.XLOOKUP($B18,GCES!$B:$B,GCES!$AD:$AD,"",0,1)</f>
        <v>16</v>
      </c>
      <c r="CQ18" s="28">
        <f t="shared" ref="CQ18:CQ21" si="308">IF(CP18="","",CQ$58*CP18/CP$57)</f>
        <v>4</v>
      </c>
      <c r="CR18" s="26">
        <f t="shared" ref="CR18:CR21" si="309">IF(CP18="","",IF(CQ18&gt;4,ROUND(CQ18/2,0)*2,IF(CQ18&gt;CQ$59,4,"")))</f>
        <v>4</v>
      </c>
      <c r="CS18" s="23" t="str">
        <f>_xlfn.XLOOKUP($B18,GCES!$B:$B,GCES!$AJ:$AJ,"",0,1)</f>
        <v/>
      </c>
      <c r="CT18" s="28" t="str">
        <f t="shared" ref="CT18:CT21" si="310">IF(CS18="","",CT$58*CS18/CS$57)</f>
        <v/>
      </c>
      <c r="CU18" s="24" t="str">
        <f t="shared" ref="CU18:CU21" si="311">IF(CS18="","",IF(CT18&gt;4,ROUND(CT18/2,0)*2,IF(CT18&gt;CT$59,4,"")))</f>
        <v/>
      </c>
      <c r="CV18" s="23" t="str">
        <f>_xlfn.XLOOKUP($B18,GCES!$B:$B,GCES!$AI:$AI,"",0,1)</f>
        <v/>
      </c>
      <c r="CW18" s="28" t="str">
        <f t="shared" ref="CW18:CW21" si="312">IF(CV18="","",CW$58*CV18/CV$57)</f>
        <v/>
      </c>
      <c r="CX18" s="24" t="str">
        <f t="shared" ref="CX18:CX21" si="313">IF(CV18="","",IF(CW18&gt;4,ROUND(CW18/2,0)*2,IF(CW18&gt;CW$59,4,"")))</f>
        <v/>
      </c>
      <c r="CY18" s="100">
        <f t="shared" ref="CY18:CY21" si="314">SUM(BE18,BH18,BK18,BN18,BQ18,BT18,BW18,BZ18,CC18,CF18,CI18,CL18,CO18,CR18,CU18,CX18)</f>
        <v>22</v>
      </c>
      <c r="CZ18" s="95">
        <f t="shared" ref="CZ18:CZ21" si="315">SUM(BB18,CY18)</f>
        <v>48</v>
      </c>
    </row>
    <row r="19" spans="1:104" x14ac:dyDescent="0.25">
      <c r="A19" s="27" t="s">
        <v>108</v>
      </c>
      <c r="B19" s="88" t="s">
        <v>243</v>
      </c>
      <c r="C19" s="23" t="str">
        <f>_xlfn.XLOOKUP($B19,GCES!$B:$B,GCES!$C:$C,"",0,1)</f>
        <v/>
      </c>
      <c r="D19" s="28" t="str">
        <f t="shared" si="249"/>
        <v/>
      </c>
      <c r="E19" s="26" t="str">
        <f t="shared" si="250"/>
        <v/>
      </c>
      <c r="F19" s="23" t="str">
        <f>_xlfn.XLOOKUP($B19,GCES!$B:$B,GCES!$E:$E,"",0,1)</f>
        <v/>
      </c>
      <c r="G19" s="28" t="str">
        <f t="shared" si="251"/>
        <v/>
      </c>
      <c r="H19" s="24" t="str">
        <f t="shared" si="252"/>
        <v/>
      </c>
      <c r="I19" s="23" t="str">
        <f>_xlfn.XLOOKUP($B19,GCES!$B:$B,GCES!$D:$D,"",0,1)</f>
        <v/>
      </c>
      <c r="J19" s="28" t="str">
        <f t="shared" si="253"/>
        <v/>
      </c>
      <c r="K19" s="24" t="str">
        <f t="shared" si="254"/>
        <v/>
      </c>
      <c r="L19" s="23" t="str">
        <f>_xlfn.XLOOKUP($B19,GCES!$B:$B,GCES!$H:$H,"",0,1)</f>
        <v/>
      </c>
      <c r="M19" s="28" t="str">
        <f t="shared" si="255"/>
        <v/>
      </c>
      <c r="N19" s="24" t="str">
        <f t="shared" si="256"/>
        <v/>
      </c>
      <c r="O19" s="23" t="str">
        <f>_xlfn.XLOOKUP($B19,GCES!$B:$B,GCES!$G:$G,"",0,1)</f>
        <v/>
      </c>
      <c r="P19" s="28" t="str">
        <f t="shared" si="257"/>
        <v/>
      </c>
      <c r="Q19" s="24" t="str">
        <f t="shared" ref="Q19:Q21" si="316">IF(O19="","",IF(P19&gt;4,ROUND(P19/2,0)*2,IF(P19&gt;P$59,4,"")))</f>
        <v/>
      </c>
      <c r="R19" s="23" t="str">
        <f>_xlfn.XLOOKUP($B19,GCES!$B:$B,GCES!$L:$L,"",0,1)</f>
        <v/>
      </c>
      <c r="S19" s="28" t="str">
        <f t="shared" si="258"/>
        <v/>
      </c>
      <c r="T19" s="24" t="str">
        <f t="shared" si="259"/>
        <v/>
      </c>
      <c r="U19" s="23" t="str">
        <f>_xlfn.XLOOKUP($B19,GCES!$B:$B,GCES!$K:$K,"",0,1)</f>
        <v/>
      </c>
      <c r="V19" s="28" t="str">
        <f t="shared" si="260"/>
        <v/>
      </c>
      <c r="W19" s="24" t="str">
        <f t="shared" si="261"/>
        <v/>
      </c>
      <c r="X19" s="23" t="str">
        <f>_xlfn.XLOOKUP($B19,GCES!$B:$B,GCES!$S:$S,"",0,1)</f>
        <v/>
      </c>
      <c r="Y19" s="28" t="str">
        <f t="shared" si="262"/>
        <v/>
      </c>
      <c r="Z19" s="24" t="str">
        <f t="shared" si="263"/>
        <v/>
      </c>
      <c r="AA19" s="23" t="str">
        <f>_xlfn.XLOOKUP($B19,GCES!$B:$B,GCES!$R:$R,"",0,1)</f>
        <v/>
      </c>
      <c r="AB19" s="28" t="str">
        <f t="shared" si="264"/>
        <v/>
      </c>
      <c r="AC19" s="24" t="str">
        <f t="shared" si="265"/>
        <v/>
      </c>
      <c r="AD19" s="23" t="str">
        <f>_xlfn.XLOOKUP($B19,GCES!$B:$B,GCES!$AL:$AL,"",0,1)</f>
        <v/>
      </c>
      <c r="AE19" s="28" t="str">
        <f t="shared" si="266"/>
        <v/>
      </c>
      <c r="AF19" s="24" t="str">
        <f t="shared" si="267"/>
        <v/>
      </c>
      <c r="AG19" s="23" t="str">
        <f>_xlfn.XLOOKUP($B19,GCES!$B:$B,GCES!$AK:$AK,"",0,1)</f>
        <v/>
      </c>
      <c r="AH19" s="28" t="str">
        <f t="shared" si="268"/>
        <v/>
      </c>
      <c r="AI19" s="24" t="str">
        <f t="shared" si="269"/>
        <v/>
      </c>
      <c r="AJ19" s="23" t="str">
        <f>_xlfn.XLOOKUP($B19,GCES!$B:$B,GCES!$AQ:$AQ,"",0,1)</f>
        <v/>
      </c>
      <c r="AK19" s="28" t="str">
        <f t="shared" si="270"/>
        <v/>
      </c>
      <c r="AL19" s="24" t="str">
        <f t="shared" si="271"/>
        <v/>
      </c>
      <c r="AM19" s="23" t="str">
        <f>_xlfn.XLOOKUP($B19,GCES!$B:$B,GCES!$AP:$AP,"",0,1)</f>
        <v/>
      </c>
      <c r="AN19" s="28" t="str">
        <f t="shared" si="272"/>
        <v/>
      </c>
      <c r="AO19" s="24" t="str">
        <f t="shared" si="273"/>
        <v/>
      </c>
      <c r="AP19" s="23" t="str">
        <f>_xlfn.XLOOKUP($B19,GCES!$B:$B,GCES!$V:$V,"",0,1)</f>
        <v/>
      </c>
      <c r="AQ19" s="28" t="str">
        <f t="shared" si="274"/>
        <v/>
      </c>
      <c r="AR19" s="24" t="str">
        <f t="shared" si="275"/>
        <v/>
      </c>
      <c r="AS19" s="23" t="str">
        <f>_xlfn.XLOOKUP($B19,GCES!$B:$B,GCES!$AH:$AH,"",0,1)</f>
        <v/>
      </c>
      <c r="AT19" s="28" t="str">
        <f t="shared" si="276"/>
        <v/>
      </c>
      <c r="AU19" s="24" t="str">
        <f t="shared" si="277"/>
        <v/>
      </c>
      <c r="AV19" s="23" t="str">
        <f>_xlfn.XLOOKUP($B19,GCES!$B:$B,GCES!$AG:$AG,"",0,1)</f>
        <v/>
      </c>
      <c r="AW19" s="28" t="str">
        <f t="shared" si="278"/>
        <v/>
      </c>
      <c r="AX19" s="24" t="str">
        <f t="shared" si="279"/>
        <v/>
      </c>
      <c r="AY19" s="90" t="str">
        <f>_xlfn.XLOOKUP($B19,GCES!$B:$B,GCES!$AO:$AO,"",0,1)</f>
        <v/>
      </c>
      <c r="AZ19" s="28" t="str">
        <f t="shared" si="280"/>
        <v/>
      </c>
      <c r="BA19" s="24" t="str">
        <f t="shared" si="281"/>
        <v/>
      </c>
      <c r="BB19" s="97">
        <f t="shared" si="90"/>
        <v>0</v>
      </c>
      <c r="BC19" s="23" t="str">
        <f>_xlfn.XLOOKUP($B19,GCES!$B:$B,GCES!$F:$F,"",0,1)</f>
        <v/>
      </c>
      <c r="BD19" s="28" t="str">
        <f t="shared" si="282"/>
        <v/>
      </c>
      <c r="BE19" s="26" t="str">
        <f t="shared" si="283"/>
        <v/>
      </c>
      <c r="BF19" s="23" t="str">
        <f>_xlfn.XLOOKUP($B19,GCES!$B:$B,GCES!$J:$J,"",0,1)</f>
        <v/>
      </c>
      <c r="BG19" s="28" t="str">
        <f t="shared" si="284"/>
        <v/>
      </c>
      <c r="BH19" s="24" t="str">
        <f t="shared" si="285"/>
        <v/>
      </c>
      <c r="BI19" s="23" t="str">
        <f>_xlfn.XLOOKUP($B19,GCES!$B:$B,GCES!$I:$I,"",0,1)</f>
        <v/>
      </c>
      <c r="BJ19" s="28" t="str">
        <f t="shared" si="286"/>
        <v/>
      </c>
      <c r="BK19" s="24" t="str">
        <f t="shared" si="287"/>
        <v/>
      </c>
      <c r="BL19" s="23" t="str">
        <f>_xlfn.XLOOKUP($B19,GCES!$B:$B,GCES!$AN:$AN,"",0,1)</f>
        <v/>
      </c>
      <c r="BM19" s="28" t="str">
        <f t="shared" si="288"/>
        <v/>
      </c>
      <c r="BN19" s="24" t="str">
        <f t="shared" si="289"/>
        <v/>
      </c>
      <c r="BO19" s="23" t="str">
        <f>_xlfn.XLOOKUP($B19,GCES!$B:$B,GCES!$AM:$AM,"",0,1)</f>
        <v/>
      </c>
      <c r="BP19" s="28" t="str">
        <f t="shared" si="290"/>
        <v/>
      </c>
      <c r="BQ19" s="24" t="str">
        <f t="shared" si="291"/>
        <v/>
      </c>
      <c r="BR19" s="23" t="str">
        <f>_xlfn.XLOOKUP($B19,GCES!$B:$B,GCES!$Z:$Z,"",0,1)</f>
        <v/>
      </c>
      <c r="BS19" s="28" t="str">
        <f t="shared" si="292"/>
        <v/>
      </c>
      <c r="BT19" s="24" t="str">
        <f t="shared" si="293"/>
        <v/>
      </c>
      <c r="BU19" s="23" t="str">
        <f>_xlfn.XLOOKUP($B19,GCES!$B:$B,GCES!$Y:$Y,"",0,1)</f>
        <v/>
      </c>
      <c r="BV19" s="28" t="str">
        <f t="shared" si="294"/>
        <v/>
      </c>
      <c r="BW19" s="24" t="str">
        <f t="shared" si="295"/>
        <v/>
      </c>
      <c r="BX19" s="23" t="str">
        <f>_xlfn.XLOOKUP($B19,GCES!$B:$B,GCES!$AC:$AC,"",0,1)</f>
        <v/>
      </c>
      <c r="BY19" s="28" t="str">
        <f t="shared" si="296"/>
        <v/>
      </c>
      <c r="BZ19" s="24" t="str">
        <f t="shared" si="297"/>
        <v/>
      </c>
      <c r="CA19" s="23" t="str">
        <f>_xlfn.XLOOKUP($B19,GCES!$B:$B,GCES!$AB:$AB,"",0,1)</f>
        <v/>
      </c>
      <c r="CB19" s="28" t="str">
        <f t="shared" si="298"/>
        <v/>
      </c>
      <c r="CC19" s="24" t="str">
        <f t="shared" si="299"/>
        <v/>
      </c>
      <c r="CD19" s="23" t="str">
        <f>_xlfn.XLOOKUP($B19,GCES!$B:$B,GCES!$AS:$AS,"",0,1)</f>
        <v/>
      </c>
      <c r="CE19" s="28" t="str">
        <f t="shared" si="300"/>
        <v/>
      </c>
      <c r="CF19" s="24" t="str">
        <f t="shared" si="301"/>
        <v/>
      </c>
      <c r="CG19" s="23" t="str">
        <f>_xlfn.XLOOKUP($B19,GCES!$B:$B,GCES!$AR:$AR,"",0,1)</f>
        <v/>
      </c>
      <c r="CH19" s="28" t="str">
        <f t="shared" si="302"/>
        <v/>
      </c>
      <c r="CI19" s="26" t="str">
        <f t="shared" si="303"/>
        <v/>
      </c>
      <c r="CJ19" s="23" t="str">
        <f>_xlfn.XLOOKUP($B19,GCES!$B:$B,GCES!$N:$N,"",0,1)</f>
        <v/>
      </c>
      <c r="CK19" s="28" t="str">
        <f t="shared" si="304"/>
        <v/>
      </c>
      <c r="CL19" s="24" t="str">
        <f t="shared" si="305"/>
        <v/>
      </c>
      <c r="CM19" s="23" t="str">
        <f>_xlfn.XLOOKUP($B19,GCES!$B:$B,GCES!$M:$M,"",0,1)</f>
        <v/>
      </c>
      <c r="CN19" s="28" t="str">
        <f t="shared" si="306"/>
        <v/>
      </c>
      <c r="CO19" s="24" t="str">
        <f t="shared" si="307"/>
        <v/>
      </c>
      <c r="CP19" s="90" t="str">
        <f>_xlfn.XLOOKUP($B19,GCES!$B:$B,GCES!$AD:$AD,"",0,1)</f>
        <v/>
      </c>
      <c r="CQ19" s="28" t="str">
        <f t="shared" si="308"/>
        <v/>
      </c>
      <c r="CR19" s="26" t="str">
        <f t="shared" si="309"/>
        <v/>
      </c>
      <c r="CS19" s="23" t="str">
        <f>_xlfn.XLOOKUP($B19,GCES!$B:$B,GCES!$AJ:$AJ,"",0,1)</f>
        <v/>
      </c>
      <c r="CT19" s="28" t="str">
        <f t="shared" si="310"/>
        <v/>
      </c>
      <c r="CU19" s="24" t="str">
        <f t="shared" si="311"/>
        <v/>
      </c>
      <c r="CV19" s="23" t="str">
        <f>_xlfn.XLOOKUP($B19,GCES!$B:$B,GCES!$AI:$AI,"",0,1)</f>
        <v/>
      </c>
      <c r="CW19" s="28" t="str">
        <f t="shared" si="312"/>
        <v/>
      </c>
      <c r="CX19" s="24" t="str">
        <f t="shared" si="313"/>
        <v/>
      </c>
      <c r="CY19" s="100">
        <f t="shared" si="314"/>
        <v>0</v>
      </c>
      <c r="CZ19" s="95">
        <f t="shared" si="315"/>
        <v>0</v>
      </c>
    </row>
    <row r="20" spans="1:104" x14ac:dyDescent="0.25">
      <c r="A20" s="27" t="s">
        <v>23</v>
      </c>
      <c r="B20" s="88" t="s">
        <v>69</v>
      </c>
      <c r="C20" s="23" t="str">
        <f>_xlfn.XLOOKUP($B20,GCES!$B:$B,GCES!$C:$C,"",0,1)</f>
        <v/>
      </c>
      <c r="D20" s="28" t="str">
        <f t="shared" si="249"/>
        <v/>
      </c>
      <c r="E20" s="26" t="str">
        <f t="shared" si="250"/>
        <v/>
      </c>
      <c r="F20" s="23" t="str">
        <f>_xlfn.XLOOKUP($B20,GCES!$B:$B,GCES!$E:$E,"",0,1)</f>
        <v/>
      </c>
      <c r="G20" s="28" t="str">
        <f t="shared" si="251"/>
        <v/>
      </c>
      <c r="H20" s="24" t="str">
        <f t="shared" si="252"/>
        <v/>
      </c>
      <c r="I20" s="23">
        <f>_xlfn.XLOOKUP($B20,GCES!$B:$B,GCES!$D:$D,"",0,1)</f>
        <v>16</v>
      </c>
      <c r="J20" s="28">
        <f t="shared" si="253"/>
        <v>1.5115207373271888</v>
      </c>
      <c r="K20" s="24" t="str">
        <f t="shared" si="254"/>
        <v/>
      </c>
      <c r="L20" s="23" t="str">
        <f>_xlfn.XLOOKUP($B20,GCES!$B:$B,GCES!$H:$H,"",0,1)</f>
        <v/>
      </c>
      <c r="M20" s="28" t="str">
        <f t="shared" si="255"/>
        <v/>
      </c>
      <c r="N20" s="24" t="str">
        <f t="shared" si="256"/>
        <v/>
      </c>
      <c r="O20" s="23" t="str">
        <f>_xlfn.XLOOKUP($B20,GCES!$B:$B,GCES!$G:$G,"",0,1)</f>
        <v/>
      </c>
      <c r="P20" s="28" t="str">
        <f t="shared" si="257"/>
        <v/>
      </c>
      <c r="Q20" s="24" t="str">
        <f t="shared" si="316"/>
        <v/>
      </c>
      <c r="R20" s="23" t="str">
        <f>_xlfn.XLOOKUP($B20,GCES!$B:$B,GCES!$L:$L,"",0,1)</f>
        <v/>
      </c>
      <c r="S20" s="28" t="str">
        <f t="shared" si="258"/>
        <v/>
      </c>
      <c r="T20" s="24" t="str">
        <f t="shared" si="259"/>
        <v/>
      </c>
      <c r="U20" s="23" t="str">
        <f>_xlfn.XLOOKUP($B20,GCES!$B:$B,GCES!$K:$K,"",0,1)</f>
        <v/>
      </c>
      <c r="V20" s="28" t="str">
        <f t="shared" si="260"/>
        <v/>
      </c>
      <c r="W20" s="24" t="str">
        <f t="shared" si="261"/>
        <v/>
      </c>
      <c r="X20" s="23">
        <f>_xlfn.XLOOKUP($B20,GCES!$B:$B,GCES!$S:$S,"",0,1)</f>
        <v>20</v>
      </c>
      <c r="Y20" s="28">
        <f t="shared" si="262"/>
        <v>7.0588235294117645</v>
      </c>
      <c r="Z20" s="38">
        <v>6</v>
      </c>
      <c r="AA20" s="23" t="str">
        <f>_xlfn.XLOOKUP($B20,GCES!$B:$B,GCES!$R:$R,"",0,1)</f>
        <v/>
      </c>
      <c r="AB20" s="28" t="str">
        <f t="shared" si="264"/>
        <v/>
      </c>
      <c r="AC20" s="24" t="str">
        <f t="shared" si="265"/>
        <v/>
      </c>
      <c r="AD20" s="23" t="str">
        <f>_xlfn.XLOOKUP($B20,GCES!$B:$B,GCES!$AL:$AL,"",0,1)</f>
        <v/>
      </c>
      <c r="AE20" s="28" t="str">
        <f t="shared" si="266"/>
        <v/>
      </c>
      <c r="AF20" s="24" t="str">
        <f t="shared" si="267"/>
        <v/>
      </c>
      <c r="AG20" s="23" t="str">
        <f>_xlfn.XLOOKUP($B20,GCES!$B:$B,GCES!$AK:$AK,"",0,1)</f>
        <v/>
      </c>
      <c r="AH20" s="28" t="str">
        <f t="shared" si="268"/>
        <v/>
      </c>
      <c r="AI20" s="24" t="str">
        <f t="shared" si="269"/>
        <v/>
      </c>
      <c r="AJ20" s="23" t="str">
        <f>_xlfn.XLOOKUP($B20,GCES!$B:$B,GCES!$AQ:$AQ,"",0,1)</f>
        <v/>
      </c>
      <c r="AK20" s="28" t="str">
        <f t="shared" si="270"/>
        <v/>
      </c>
      <c r="AL20" s="24" t="str">
        <f t="shared" si="271"/>
        <v/>
      </c>
      <c r="AM20" s="23" t="str">
        <f>_xlfn.XLOOKUP($B20,GCES!$B:$B,GCES!$AP:$AP,"",0,1)</f>
        <v/>
      </c>
      <c r="AN20" s="28" t="str">
        <f t="shared" si="272"/>
        <v/>
      </c>
      <c r="AO20" s="24" t="str">
        <f t="shared" si="273"/>
        <v/>
      </c>
      <c r="AP20" s="23">
        <f>_xlfn.XLOOKUP($B20,GCES!$B:$B,GCES!$V:$V,"",0,1)</f>
        <v>16</v>
      </c>
      <c r="AQ20" s="28">
        <f t="shared" si="274"/>
        <v>4.4571428571428573</v>
      </c>
      <c r="AR20" s="24">
        <f t="shared" si="275"/>
        <v>4</v>
      </c>
      <c r="AS20" s="23">
        <f>_xlfn.XLOOKUP($B20,GCES!$B:$B,GCES!$AH:$AH,"",0,1)</f>
        <v>64</v>
      </c>
      <c r="AT20" s="28">
        <f t="shared" si="276"/>
        <v>12.408163265306122</v>
      </c>
      <c r="AU20" s="24">
        <f t="shared" si="277"/>
        <v>12</v>
      </c>
      <c r="AV20" s="23" t="str">
        <f>_xlfn.XLOOKUP($B20,GCES!$B:$B,GCES!$AG:$AG,"",0,1)</f>
        <v/>
      </c>
      <c r="AW20" s="28" t="str">
        <f t="shared" si="278"/>
        <v/>
      </c>
      <c r="AX20" s="24" t="str">
        <f t="shared" si="279"/>
        <v/>
      </c>
      <c r="AY20" s="90">
        <f>_xlfn.XLOOKUP($B20,GCES!$B:$B,GCES!$AO:$AO,"",0,1)</f>
        <v>16</v>
      </c>
      <c r="AZ20" s="28">
        <f t="shared" si="280"/>
        <v>2.9333333333333331</v>
      </c>
      <c r="BA20" s="24">
        <f t="shared" si="281"/>
        <v>4</v>
      </c>
      <c r="BB20" s="97">
        <f t="shared" si="90"/>
        <v>26</v>
      </c>
      <c r="BC20" s="23" t="str">
        <f>_xlfn.XLOOKUP($B20,GCES!$B:$B,GCES!$F:$F,"",0,1)</f>
        <v/>
      </c>
      <c r="BD20" s="28" t="str">
        <f t="shared" si="282"/>
        <v/>
      </c>
      <c r="BE20" s="26" t="str">
        <f t="shared" si="283"/>
        <v/>
      </c>
      <c r="BF20" s="23" t="str">
        <f>_xlfn.XLOOKUP($B20,GCES!$B:$B,GCES!$J:$J,"",0,1)</f>
        <v/>
      </c>
      <c r="BG20" s="28" t="str">
        <f t="shared" si="284"/>
        <v/>
      </c>
      <c r="BH20" s="24" t="str">
        <f t="shared" si="285"/>
        <v/>
      </c>
      <c r="BI20" s="23" t="str">
        <f>_xlfn.XLOOKUP($B20,GCES!$B:$B,GCES!$I:$I,"",0,1)</f>
        <v/>
      </c>
      <c r="BJ20" s="28" t="str">
        <f t="shared" si="286"/>
        <v/>
      </c>
      <c r="BK20" s="24" t="str">
        <f t="shared" si="287"/>
        <v/>
      </c>
      <c r="BL20" s="23" t="str">
        <f>_xlfn.XLOOKUP($B20,GCES!$B:$B,GCES!$AN:$AN,"",0,1)</f>
        <v/>
      </c>
      <c r="BM20" s="28" t="str">
        <f t="shared" si="288"/>
        <v/>
      </c>
      <c r="BN20" s="24" t="str">
        <f t="shared" si="289"/>
        <v/>
      </c>
      <c r="BO20" s="23">
        <f>_xlfn.XLOOKUP($B20,GCES!$B:$B,GCES!$AM:$AM,"",0,1)</f>
        <v>16</v>
      </c>
      <c r="BP20" s="28">
        <f t="shared" si="290"/>
        <v>3.870967741935484</v>
      </c>
      <c r="BQ20" s="24">
        <f t="shared" si="291"/>
        <v>4</v>
      </c>
      <c r="BR20" s="23" t="str">
        <f>_xlfn.XLOOKUP($B20,GCES!$B:$B,GCES!$Z:$Z,"",0,1)</f>
        <v/>
      </c>
      <c r="BS20" s="28" t="str">
        <f t="shared" si="292"/>
        <v/>
      </c>
      <c r="BT20" s="24" t="str">
        <f t="shared" si="293"/>
        <v/>
      </c>
      <c r="BU20" s="23" t="str">
        <f>_xlfn.XLOOKUP($B20,GCES!$B:$B,GCES!$Y:$Y,"",0,1)</f>
        <v/>
      </c>
      <c r="BV20" s="28" t="str">
        <f t="shared" si="294"/>
        <v/>
      </c>
      <c r="BW20" s="24" t="str">
        <f t="shared" si="295"/>
        <v/>
      </c>
      <c r="BX20" s="23" t="str">
        <f>_xlfn.XLOOKUP($B20,GCES!$B:$B,GCES!$AC:$AC,"",0,1)</f>
        <v/>
      </c>
      <c r="BY20" s="28" t="str">
        <f t="shared" si="296"/>
        <v/>
      </c>
      <c r="BZ20" s="24" t="str">
        <f t="shared" si="297"/>
        <v/>
      </c>
      <c r="CA20" s="23" t="str">
        <f>_xlfn.XLOOKUP($B20,GCES!$B:$B,GCES!$AB:$AB,"",0,1)</f>
        <v/>
      </c>
      <c r="CB20" s="28" t="str">
        <f t="shared" si="298"/>
        <v/>
      </c>
      <c r="CC20" s="24" t="str">
        <f t="shared" si="299"/>
        <v/>
      </c>
      <c r="CD20" s="23" t="str">
        <f>_xlfn.XLOOKUP($B20,GCES!$B:$B,GCES!$AS:$AS,"",0,1)</f>
        <v/>
      </c>
      <c r="CE20" s="28" t="str">
        <f t="shared" si="300"/>
        <v/>
      </c>
      <c r="CF20" s="24" t="str">
        <f t="shared" si="301"/>
        <v/>
      </c>
      <c r="CG20" s="23" t="str">
        <f>_xlfn.XLOOKUP($B20,GCES!$B:$B,GCES!$AR:$AR,"",0,1)</f>
        <v/>
      </c>
      <c r="CH20" s="28" t="str">
        <f t="shared" si="302"/>
        <v/>
      </c>
      <c r="CI20" s="26" t="str">
        <f t="shared" si="303"/>
        <v/>
      </c>
      <c r="CJ20" s="23" t="str">
        <f>_xlfn.XLOOKUP($B20,GCES!$B:$B,GCES!$N:$N,"",0,1)</f>
        <v/>
      </c>
      <c r="CK20" s="28" t="str">
        <f t="shared" si="304"/>
        <v/>
      </c>
      <c r="CL20" s="24" t="str">
        <f t="shared" si="305"/>
        <v/>
      </c>
      <c r="CM20" s="23" t="str">
        <f>_xlfn.XLOOKUP($B20,GCES!$B:$B,GCES!$M:$M,"",0,1)</f>
        <v/>
      </c>
      <c r="CN20" s="28" t="str">
        <f t="shared" si="306"/>
        <v/>
      </c>
      <c r="CO20" s="24" t="str">
        <f t="shared" si="307"/>
        <v/>
      </c>
      <c r="CP20" s="90" t="str">
        <f>_xlfn.XLOOKUP($B20,GCES!$B:$B,GCES!$AD:$AD,"",0,1)</f>
        <v/>
      </c>
      <c r="CQ20" s="28" t="str">
        <f t="shared" si="308"/>
        <v/>
      </c>
      <c r="CR20" s="26" t="str">
        <f t="shared" si="309"/>
        <v/>
      </c>
      <c r="CS20" s="23" t="str">
        <f>_xlfn.XLOOKUP($B20,GCES!$B:$B,GCES!$AJ:$AJ,"",0,1)</f>
        <v/>
      </c>
      <c r="CT20" s="28" t="str">
        <f t="shared" si="310"/>
        <v/>
      </c>
      <c r="CU20" s="24" t="str">
        <f t="shared" si="311"/>
        <v/>
      </c>
      <c r="CV20" s="23" t="str">
        <f>_xlfn.XLOOKUP($B20,GCES!$B:$B,GCES!$AI:$AI,"",0,1)</f>
        <v/>
      </c>
      <c r="CW20" s="28" t="str">
        <f t="shared" si="312"/>
        <v/>
      </c>
      <c r="CX20" s="24" t="str">
        <f t="shared" si="313"/>
        <v/>
      </c>
      <c r="CY20" s="100">
        <f t="shared" si="314"/>
        <v>4</v>
      </c>
      <c r="CZ20" s="95">
        <f t="shared" si="315"/>
        <v>30</v>
      </c>
    </row>
    <row r="21" spans="1:104" x14ac:dyDescent="0.25">
      <c r="A21" s="27" t="s">
        <v>111</v>
      </c>
      <c r="B21" s="88" t="s">
        <v>85</v>
      </c>
      <c r="C21" s="23">
        <f>_xlfn.XLOOKUP($B21,GCES!$B:$B,GCES!$C:$C,"",0,1)</f>
        <v>16</v>
      </c>
      <c r="D21" s="28">
        <f t="shared" si="249"/>
        <v>3.506849315068493</v>
      </c>
      <c r="E21" s="26">
        <f t="shared" si="250"/>
        <v>4</v>
      </c>
      <c r="F21" s="23" t="str">
        <f>_xlfn.XLOOKUP($B21,GCES!$B:$B,GCES!$E:$E,"",0,1)</f>
        <v/>
      </c>
      <c r="G21" s="28" t="str">
        <f t="shared" si="251"/>
        <v/>
      </c>
      <c r="H21" s="24" t="str">
        <f t="shared" si="252"/>
        <v/>
      </c>
      <c r="I21" s="23">
        <f>_xlfn.XLOOKUP($B21,GCES!$B:$B,GCES!$D:$D,"",0,1)</f>
        <v>28</v>
      </c>
      <c r="J21" s="28">
        <f t="shared" si="253"/>
        <v>2.6451612903225805</v>
      </c>
      <c r="K21" s="24">
        <f t="shared" si="254"/>
        <v>4</v>
      </c>
      <c r="L21" s="23" t="str">
        <f>_xlfn.XLOOKUP($B21,GCES!$B:$B,GCES!$H:$H,"",0,1)</f>
        <v/>
      </c>
      <c r="M21" s="28" t="str">
        <f t="shared" si="255"/>
        <v/>
      </c>
      <c r="N21" s="24" t="str">
        <f t="shared" si="256"/>
        <v/>
      </c>
      <c r="O21" s="23" t="str">
        <f>_xlfn.XLOOKUP($B21,GCES!$B:$B,GCES!$G:$G,"",0,1)</f>
        <v/>
      </c>
      <c r="P21" s="28" t="str">
        <f t="shared" si="257"/>
        <v/>
      </c>
      <c r="Q21" s="24" t="str">
        <f t="shared" si="316"/>
        <v/>
      </c>
      <c r="R21" s="23">
        <f>_xlfn.XLOOKUP($B21,GCES!$B:$B,GCES!$L:$L,"",0,1)</f>
        <v>16</v>
      </c>
      <c r="S21" s="28">
        <f t="shared" si="258"/>
        <v>7.4482758620689653</v>
      </c>
      <c r="T21" s="24">
        <f t="shared" si="259"/>
        <v>8</v>
      </c>
      <c r="U21" s="23" t="str">
        <f>_xlfn.XLOOKUP($B21,GCES!$B:$B,GCES!$K:$K,"",0,1)</f>
        <v/>
      </c>
      <c r="V21" s="28" t="str">
        <f t="shared" si="260"/>
        <v/>
      </c>
      <c r="W21" s="24" t="str">
        <f t="shared" si="261"/>
        <v/>
      </c>
      <c r="X21" s="23">
        <f>_xlfn.XLOOKUP($B21,GCES!$B:$B,GCES!$S:$S,"",0,1)</f>
        <v>16</v>
      </c>
      <c r="Y21" s="28">
        <f t="shared" si="262"/>
        <v>5.6470588235294121</v>
      </c>
      <c r="Z21" s="24">
        <f t="shared" si="263"/>
        <v>6</v>
      </c>
      <c r="AA21" s="23" t="str">
        <f>_xlfn.XLOOKUP($B21,GCES!$B:$B,GCES!$R:$R,"",0,1)</f>
        <v/>
      </c>
      <c r="AB21" s="28" t="str">
        <f t="shared" si="264"/>
        <v/>
      </c>
      <c r="AC21" s="24" t="str">
        <f t="shared" si="265"/>
        <v/>
      </c>
      <c r="AD21" s="23">
        <f>_xlfn.XLOOKUP($B21,GCES!$B:$B,GCES!$AL:$AL,"",0,1)</f>
        <v>16</v>
      </c>
      <c r="AE21" s="28">
        <f t="shared" si="266"/>
        <v>1.9230769230769231</v>
      </c>
      <c r="AF21" s="24" t="str">
        <f t="shared" si="267"/>
        <v/>
      </c>
      <c r="AG21" s="23">
        <f>_xlfn.XLOOKUP($B21,GCES!$B:$B,GCES!$AK:$AK,"",0,1)</f>
        <v>16</v>
      </c>
      <c r="AH21" s="28">
        <f t="shared" si="268"/>
        <v>2.6666666666666665</v>
      </c>
      <c r="AI21" s="38"/>
      <c r="AJ21" s="23" t="str">
        <f>_xlfn.XLOOKUP($B21,GCES!$B:$B,GCES!$AQ:$AQ,"",0,1)</f>
        <v/>
      </c>
      <c r="AK21" s="28" t="str">
        <f t="shared" si="270"/>
        <v/>
      </c>
      <c r="AL21" s="24" t="str">
        <f t="shared" si="271"/>
        <v/>
      </c>
      <c r="AM21" s="23">
        <f>_xlfn.XLOOKUP($B21,GCES!$B:$B,GCES!$AP:$AP,"",0,1)</f>
        <v>20</v>
      </c>
      <c r="AN21" s="28">
        <f t="shared" si="272"/>
        <v>7.2222222222222223</v>
      </c>
      <c r="AO21" s="24">
        <f t="shared" si="273"/>
        <v>8</v>
      </c>
      <c r="AP21" s="23" t="str">
        <f>_xlfn.XLOOKUP($B21,GCES!$B:$B,GCES!$V:$V,"",0,1)</f>
        <v/>
      </c>
      <c r="AQ21" s="28" t="str">
        <f t="shared" si="274"/>
        <v/>
      </c>
      <c r="AR21" s="24" t="str">
        <f t="shared" si="275"/>
        <v/>
      </c>
      <c r="AS21" s="23">
        <f>_xlfn.XLOOKUP($B21,GCES!$B:$B,GCES!$AH:$AH,"",0,1)</f>
        <v>48</v>
      </c>
      <c r="AT21" s="28">
        <f t="shared" si="276"/>
        <v>9.3061224489795915</v>
      </c>
      <c r="AU21" s="24">
        <f t="shared" si="277"/>
        <v>10</v>
      </c>
      <c r="AV21" s="23" t="str">
        <f>_xlfn.XLOOKUP($B21,GCES!$B:$B,GCES!$AG:$AG,"",0,1)</f>
        <v/>
      </c>
      <c r="AW21" s="28" t="str">
        <f t="shared" si="278"/>
        <v/>
      </c>
      <c r="AX21" s="24" t="str">
        <f t="shared" si="279"/>
        <v/>
      </c>
      <c r="AY21" s="90">
        <f>_xlfn.XLOOKUP($B21,GCES!$B:$B,GCES!$AO:$AO,"",0,1)</f>
        <v>16</v>
      </c>
      <c r="AZ21" s="28">
        <f t="shared" si="280"/>
        <v>2.9333333333333331</v>
      </c>
      <c r="BA21" s="38"/>
      <c r="BB21" s="97">
        <f t="shared" si="90"/>
        <v>40</v>
      </c>
      <c r="BC21" s="23" t="str">
        <f>_xlfn.XLOOKUP($B21,GCES!$B:$B,GCES!$F:$F,"",0,1)</f>
        <v/>
      </c>
      <c r="BD21" s="28" t="str">
        <f t="shared" si="282"/>
        <v/>
      </c>
      <c r="BE21" s="26" t="str">
        <f t="shared" si="283"/>
        <v/>
      </c>
      <c r="BF21" s="23" t="str">
        <f>_xlfn.XLOOKUP($B21,GCES!$B:$B,GCES!$J:$J,"",0,1)</f>
        <v/>
      </c>
      <c r="BG21" s="28" t="str">
        <f t="shared" si="284"/>
        <v/>
      </c>
      <c r="BH21" s="24" t="str">
        <f t="shared" si="285"/>
        <v/>
      </c>
      <c r="BI21" s="23" t="str">
        <f>_xlfn.XLOOKUP($B21,GCES!$B:$B,GCES!$I:$I,"",0,1)</f>
        <v/>
      </c>
      <c r="BJ21" s="28" t="str">
        <f t="shared" si="286"/>
        <v/>
      </c>
      <c r="BK21" s="24" t="str">
        <f t="shared" si="287"/>
        <v/>
      </c>
      <c r="BL21" s="23" t="str">
        <f>_xlfn.XLOOKUP($B21,GCES!$B:$B,GCES!$AN:$AN,"",0,1)</f>
        <v/>
      </c>
      <c r="BM21" s="28" t="str">
        <f t="shared" si="288"/>
        <v/>
      </c>
      <c r="BN21" s="24" t="str">
        <f t="shared" si="289"/>
        <v/>
      </c>
      <c r="BO21" s="23">
        <f>_xlfn.XLOOKUP($B21,GCES!$B:$B,GCES!$AM:$AM,"",0,1)</f>
        <v>16</v>
      </c>
      <c r="BP21" s="28">
        <f t="shared" si="290"/>
        <v>3.870967741935484</v>
      </c>
      <c r="BQ21" s="24">
        <f t="shared" si="291"/>
        <v>4</v>
      </c>
      <c r="BR21" s="23">
        <f>_xlfn.XLOOKUP($B21,GCES!$B:$B,GCES!$Z:$Z,"",0,1)</f>
        <v>16</v>
      </c>
      <c r="BS21" s="28">
        <f t="shared" si="292"/>
        <v>4.4800000000000004</v>
      </c>
      <c r="BT21" s="24">
        <f t="shared" si="293"/>
        <v>4</v>
      </c>
      <c r="BU21" s="23" t="str">
        <f>_xlfn.XLOOKUP($B21,GCES!$B:$B,GCES!$Y:$Y,"",0,1)</f>
        <v/>
      </c>
      <c r="BV21" s="28" t="str">
        <f t="shared" si="294"/>
        <v/>
      </c>
      <c r="BW21" s="24" t="str">
        <f t="shared" si="295"/>
        <v/>
      </c>
      <c r="BX21" s="23" t="str">
        <f>_xlfn.XLOOKUP($B21,GCES!$B:$B,GCES!$AC:$AC,"",0,1)</f>
        <v/>
      </c>
      <c r="BY21" s="28" t="str">
        <f t="shared" si="296"/>
        <v/>
      </c>
      <c r="BZ21" s="24" t="str">
        <f t="shared" si="297"/>
        <v/>
      </c>
      <c r="CA21" s="23" t="str">
        <f>_xlfn.XLOOKUP($B21,GCES!$B:$B,GCES!$AB:$AB,"",0,1)</f>
        <v/>
      </c>
      <c r="CB21" s="28" t="str">
        <f t="shared" si="298"/>
        <v/>
      </c>
      <c r="CC21" s="24" t="str">
        <f t="shared" si="299"/>
        <v/>
      </c>
      <c r="CD21" s="23" t="str">
        <f>_xlfn.XLOOKUP($B21,GCES!$B:$B,GCES!$AS:$AS,"",0,1)</f>
        <v/>
      </c>
      <c r="CE21" s="28" t="str">
        <f t="shared" si="300"/>
        <v/>
      </c>
      <c r="CF21" s="24" t="str">
        <f t="shared" si="301"/>
        <v/>
      </c>
      <c r="CG21" s="23" t="str">
        <f>_xlfn.XLOOKUP($B21,GCES!$B:$B,GCES!$AR:$AR,"",0,1)</f>
        <v/>
      </c>
      <c r="CH21" s="28" t="str">
        <f t="shared" si="302"/>
        <v/>
      </c>
      <c r="CI21" s="26" t="str">
        <f t="shared" si="303"/>
        <v/>
      </c>
      <c r="CJ21" s="23" t="str">
        <f>_xlfn.XLOOKUP($B21,GCES!$B:$B,GCES!$N:$N,"",0,1)</f>
        <v/>
      </c>
      <c r="CK21" s="28" t="str">
        <f t="shared" si="304"/>
        <v/>
      </c>
      <c r="CL21" s="24" t="str">
        <f t="shared" si="305"/>
        <v/>
      </c>
      <c r="CM21" s="23" t="str">
        <f>_xlfn.XLOOKUP($B21,GCES!$B:$B,GCES!$M:$M,"",0,1)</f>
        <v/>
      </c>
      <c r="CN21" s="28" t="str">
        <f t="shared" si="306"/>
        <v/>
      </c>
      <c r="CO21" s="24" t="str">
        <f t="shared" si="307"/>
        <v/>
      </c>
      <c r="CP21" s="90" t="str">
        <f>_xlfn.XLOOKUP($B21,GCES!$B:$B,GCES!$AD:$AD,"",0,1)</f>
        <v/>
      </c>
      <c r="CQ21" s="28" t="str">
        <f t="shared" si="308"/>
        <v/>
      </c>
      <c r="CR21" s="26" t="str">
        <f t="shared" si="309"/>
        <v/>
      </c>
      <c r="CS21" s="23" t="str">
        <f>_xlfn.XLOOKUP($B21,GCES!$B:$B,GCES!$AJ:$AJ,"",0,1)</f>
        <v/>
      </c>
      <c r="CT21" s="28" t="str">
        <f t="shared" si="310"/>
        <v/>
      </c>
      <c r="CU21" s="24" t="str">
        <f t="shared" si="311"/>
        <v/>
      </c>
      <c r="CV21" s="23" t="str">
        <f>_xlfn.XLOOKUP($B21,GCES!$B:$B,GCES!$AI:$AI,"",0,1)</f>
        <v/>
      </c>
      <c r="CW21" s="28" t="str">
        <f t="shared" si="312"/>
        <v/>
      </c>
      <c r="CX21" s="24" t="str">
        <f t="shared" si="313"/>
        <v/>
      </c>
      <c r="CY21" s="100">
        <f t="shared" si="314"/>
        <v>8</v>
      </c>
      <c r="CZ21" s="95">
        <f t="shared" si="315"/>
        <v>48</v>
      </c>
    </row>
    <row r="22" spans="1:104" s="5" customFormat="1" ht="14.4" customHeight="1" x14ac:dyDescent="0.25">
      <c r="A22" s="129" t="s">
        <v>133</v>
      </c>
      <c r="B22" s="130"/>
      <c r="C22" s="71">
        <f t="shared" ref="C22:AH22" si="317">SUM(C18:C21)</f>
        <v>16</v>
      </c>
      <c r="D22" s="72">
        <f t="shared" si="317"/>
        <v>3.506849315068493</v>
      </c>
      <c r="E22" s="73">
        <f t="shared" si="317"/>
        <v>4</v>
      </c>
      <c r="F22" s="71">
        <f t="shared" si="317"/>
        <v>0</v>
      </c>
      <c r="G22" s="72">
        <f t="shared" si="317"/>
        <v>0</v>
      </c>
      <c r="H22" s="74">
        <f t="shared" si="317"/>
        <v>0</v>
      </c>
      <c r="I22" s="71">
        <f t="shared" si="317"/>
        <v>60</v>
      </c>
      <c r="J22" s="72">
        <f t="shared" si="317"/>
        <v>5.6682027649769582</v>
      </c>
      <c r="K22" s="74">
        <f t="shared" si="317"/>
        <v>4</v>
      </c>
      <c r="L22" s="71">
        <f t="shared" si="317"/>
        <v>24</v>
      </c>
      <c r="M22" s="72">
        <f t="shared" si="317"/>
        <v>4.5714285714285712</v>
      </c>
      <c r="N22" s="74">
        <f t="shared" si="317"/>
        <v>4</v>
      </c>
      <c r="O22" s="71">
        <f t="shared" si="317"/>
        <v>20</v>
      </c>
      <c r="P22" s="72">
        <f t="shared" si="317"/>
        <v>3.3333333333333335</v>
      </c>
      <c r="Q22" s="74">
        <f t="shared" si="317"/>
        <v>6</v>
      </c>
      <c r="R22" s="71">
        <f t="shared" si="317"/>
        <v>16</v>
      </c>
      <c r="S22" s="72">
        <f t="shared" si="317"/>
        <v>7.4482758620689653</v>
      </c>
      <c r="T22" s="74">
        <f t="shared" si="317"/>
        <v>8</v>
      </c>
      <c r="U22" s="71">
        <f t="shared" si="317"/>
        <v>0</v>
      </c>
      <c r="V22" s="72">
        <f t="shared" si="317"/>
        <v>0</v>
      </c>
      <c r="W22" s="74">
        <f t="shared" si="317"/>
        <v>0</v>
      </c>
      <c r="X22" s="71">
        <f t="shared" si="317"/>
        <v>36</v>
      </c>
      <c r="Y22" s="72">
        <f t="shared" si="317"/>
        <v>12.705882352941178</v>
      </c>
      <c r="Z22" s="74">
        <f t="shared" si="317"/>
        <v>12</v>
      </c>
      <c r="AA22" s="71">
        <f t="shared" si="317"/>
        <v>0</v>
      </c>
      <c r="AB22" s="72">
        <f t="shared" si="317"/>
        <v>0</v>
      </c>
      <c r="AC22" s="74">
        <f t="shared" si="317"/>
        <v>0</v>
      </c>
      <c r="AD22" s="71">
        <f t="shared" si="317"/>
        <v>16</v>
      </c>
      <c r="AE22" s="72">
        <f t="shared" si="317"/>
        <v>1.9230769230769231</v>
      </c>
      <c r="AF22" s="74">
        <f t="shared" si="317"/>
        <v>0</v>
      </c>
      <c r="AG22" s="71">
        <f t="shared" si="317"/>
        <v>16</v>
      </c>
      <c r="AH22" s="72">
        <f t="shared" si="317"/>
        <v>2.6666666666666665</v>
      </c>
      <c r="AI22" s="74">
        <f t="shared" ref="AI22:BA22" si="318">SUM(AI18:AI21)</f>
        <v>0</v>
      </c>
      <c r="AJ22" s="71">
        <f t="shared" si="318"/>
        <v>24</v>
      </c>
      <c r="AK22" s="72">
        <f t="shared" si="318"/>
        <v>7.4117647058823533</v>
      </c>
      <c r="AL22" s="74">
        <f t="shared" si="318"/>
        <v>8</v>
      </c>
      <c r="AM22" s="71">
        <f t="shared" si="318"/>
        <v>20</v>
      </c>
      <c r="AN22" s="72">
        <f t="shared" si="318"/>
        <v>7.2222222222222223</v>
      </c>
      <c r="AO22" s="74">
        <f t="shared" si="318"/>
        <v>8</v>
      </c>
      <c r="AP22" s="71">
        <f t="shared" si="318"/>
        <v>32</v>
      </c>
      <c r="AQ22" s="72">
        <f t="shared" si="318"/>
        <v>8.9142857142857146</v>
      </c>
      <c r="AR22" s="74">
        <f t="shared" si="318"/>
        <v>8</v>
      </c>
      <c r="AS22" s="71">
        <f t="shared" si="318"/>
        <v>112</v>
      </c>
      <c r="AT22" s="72">
        <f t="shared" si="318"/>
        <v>21.714285714285715</v>
      </c>
      <c r="AU22" s="74">
        <f t="shared" si="318"/>
        <v>22</v>
      </c>
      <c r="AV22" s="71">
        <f t="shared" si="318"/>
        <v>0</v>
      </c>
      <c r="AW22" s="72">
        <f t="shared" si="318"/>
        <v>0</v>
      </c>
      <c r="AX22" s="74">
        <f t="shared" si="318"/>
        <v>0</v>
      </c>
      <c r="AY22" s="91">
        <f t="shared" si="318"/>
        <v>48</v>
      </c>
      <c r="AZ22" s="72">
        <f t="shared" si="318"/>
        <v>8.7999999999999989</v>
      </c>
      <c r="BA22" s="74">
        <f t="shared" si="318"/>
        <v>8</v>
      </c>
      <c r="BB22" s="97">
        <f t="shared" si="90"/>
        <v>92</v>
      </c>
      <c r="BC22" s="71">
        <f t="shared" ref="BC22:CX22" si="319">SUM(BC18:BC21)</f>
        <v>0</v>
      </c>
      <c r="BD22" s="72">
        <f t="shared" si="319"/>
        <v>0</v>
      </c>
      <c r="BE22" s="74">
        <f t="shared" si="319"/>
        <v>0</v>
      </c>
      <c r="BF22" s="71">
        <f t="shared" si="319"/>
        <v>24</v>
      </c>
      <c r="BG22" s="72">
        <f t="shared" si="319"/>
        <v>4.1036269430051817</v>
      </c>
      <c r="BH22" s="74">
        <f t="shared" si="319"/>
        <v>4</v>
      </c>
      <c r="BI22" s="71">
        <f t="shared" si="319"/>
        <v>16</v>
      </c>
      <c r="BJ22" s="72">
        <f t="shared" si="319"/>
        <v>2.807017543859649</v>
      </c>
      <c r="BK22" s="74">
        <f t="shared" si="319"/>
        <v>4</v>
      </c>
      <c r="BL22" s="91">
        <f t="shared" si="319"/>
        <v>0</v>
      </c>
      <c r="BM22" s="72">
        <f t="shared" si="319"/>
        <v>0</v>
      </c>
      <c r="BN22" s="74">
        <f t="shared" si="319"/>
        <v>0</v>
      </c>
      <c r="BO22" s="71">
        <f t="shared" si="319"/>
        <v>48</v>
      </c>
      <c r="BP22" s="72">
        <f t="shared" si="319"/>
        <v>11.612903225806452</v>
      </c>
      <c r="BQ22" s="74">
        <f t="shared" si="319"/>
        <v>12</v>
      </c>
      <c r="BR22" s="71">
        <f t="shared" si="319"/>
        <v>16</v>
      </c>
      <c r="BS22" s="72">
        <f t="shared" si="319"/>
        <v>4.4800000000000004</v>
      </c>
      <c r="BT22" s="74">
        <f t="shared" si="319"/>
        <v>4</v>
      </c>
      <c r="BU22" s="71">
        <f t="shared" si="319"/>
        <v>0</v>
      </c>
      <c r="BV22" s="72">
        <f t="shared" si="319"/>
        <v>0</v>
      </c>
      <c r="BW22" s="74">
        <f t="shared" si="319"/>
        <v>0</v>
      </c>
      <c r="BX22" s="91">
        <f t="shared" si="319"/>
        <v>0</v>
      </c>
      <c r="BY22" s="72">
        <f t="shared" si="319"/>
        <v>0</v>
      </c>
      <c r="BZ22" s="74">
        <f t="shared" si="319"/>
        <v>0</v>
      </c>
      <c r="CA22" s="71">
        <f t="shared" si="319"/>
        <v>0</v>
      </c>
      <c r="CB22" s="72">
        <f t="shared" si="319"/>
        <v>0</v>
      </c>
      <c r="CC22" s="74">
        <f t="shared" si="319"/>
        <v>0</v>
      </c>
      <c r="CD22" s="71">
        <f t="shared" si="319"/>
        <v>0</v>
      </c>
      <c r="CE22" s="72">
        <f t="shared" si="319"/>
        <v>0</v>
      </c>
      <c r="CF22" s="74">
        <f t="shared" si="319"/>
        <v>0</v>
      </c>
      <c r="CG22" s="71">
        <f t="shared" si="319"/>
        <v>0</v>
      </c>
      <c r="CH22" s="72">
        <f t="shared" si="319"/>
        <v>0</v>
      </c>
      <c r="CI22" s="74">
        <f t="shared" si="319"/>
        <v>0</v>
      </c>
      <c r="CJ22" s="91">
        <f t="shared" si="319"/>
        <v>20</v>
      </c>
      <c r="CK22" s="72">
        <f t="shared" si="319"/>
        <v>5.3061224489795915</v>
      </c>
      <c r="CL22" s="74">
        <f t="shared" si="319"/>
        <v>6</v>
      </c>
      <c r="CM22" s="71">
        <f t="shared" si="319"/>
        <v>0</v>
      </c>
      <c r="CN22" s="72">
        <f t="shared" si="319"/>
        <v>0</v>
      </c>
      <c r="CO22" s="74">
        <f t="shared" si="319"/>
        <v>0</v>
      </c>
      <c r="CP22" s="71">
        <f t="shared" si="319"/>
        <v>16</v>
      </c>
      <c r="CQ22" s="72">
        <f t="shared" si="319"/>
        <v>4</v>
      </c>
      <c r="CR22" s="74">
        <f t="shared" si="319"/>
        <v>4</v>
      </c>
      <c r="CS22" s="71">
        <f t="shared" si="319"/>
        <v>0</v>
      </c>
      <c r="CT22" s="72">
        <f t="shared" si="319"/>
        <v>0</v>
      </c>
      <c r="CU22" s="74">
        <f t="shared" si="319"/>
        <v>0</v>
      </c>
      <c r="CV22" s="91">
        <f t="shared" si="319"/>
        <v>0</v>
      </c>
      <c r="CW22" s="72">
        <f t="shared" si="319"/>
        <v>0</v>
      </c>
      <c r="CX22" s="74">
        <f t="shared" si="319"/>
        <v>0</v>
      </c>
      <c r="CY22" s="100">
        <f t="shared" si="0"/>
        <v>34</v>
      </c>
      <c r="CZ22" s="95">
        <f t="shared" si="1"/>
        <v>126</v>
      </c>
    </row>
    <row r="23" spans="1:104" s="5" customFormat="1" ht="14.4" customHeight="1" x14ac:dyDescent="0.25">
      <c r="A23" s="134" t="s">
        <v>134</v>
      </c>
      <c r="B23" s="135"/>
      <c r="C23" s="75">
        <f t="shared" ref="C23:AH23" si="320">SUM(C10,C14,C17,C22)</f>
        <v>32</v>
      </c>
      <c r="D23" s="76">
        <f t="shared" si="320"/>
        <v>7.0136986301369859</v>
      </c>
      <c r="E23" s="77">
        <f t="shared" si="320"/>
        <v>8</v>
      </c>
      <c r="F23" s="75">
        <f t="shared" si="320"/>
        <v>0</v>
      </c>
      <c r="G23" s="76">
        <f t="shared" si="320"/>
        <v>0</v>
      </c>
      <c r="H23" s="78">
        <f t="shared" si="320"/>
        <v>0</v>
      </c>
      <c r="I23" s="75">
        <f t="shared" si="320"/>
        <v>156</v>
      </c>
      <c r="J23" s="76">
        <f t="shared" si="320"/>
        <v>14.737327188940093</v>
      </c>
      <c r="K23" s="78">
        <f t="shared" si="320"/>
        <v>12</v>
      </c>
      <c r="L23" s="75">
        <f t="shared" si="320"/>
        <v>256</v>
      </c>
      <c r="M23" s="76">
        <f t="shared" si="320"/>
        <v>48.761904761904759</v>
      </c>
      <c r="N23" s="78">
        <f t="shared" si="320"/>
        <v>48</v>
      </c>
      <c r="O23" s="75">
        <f t="shared" si="320"/>
        <v>36</v>
      </c>
      <c r="P23" s="76">
        <f t="shared" si="320"/>
        <v>6</v>
      </c>
      <c r="Q23" s="78">
        <f t="shared" si="320"/>
        <v>6</v>
      </c>
      <c r="R23" s="75">
        <f t="shared" si="320"/>
        <v>28</v>
      </c>
      <c r="S23" s="76">
        <f t="shared" si="320"/>
        <v>13.03448275862069</v>
      </c>
      <c r="T23" s="78">
        <f t="shared" si="320"/>
        <v>14</v>
      </c>
      <c r="U23" s="75">
        <f t="shared" si="320"/>
        <v>0</v>
      </c>
      <c r="V23" s="76">
        <f t="shared" si="320"/>
        <v>0</v>
      </c>
      <c r="W23" s="78">
        <f t="shared" si="320"/>
        <v>0</v>
      </c>
      <c r="X23" s="75">
        <f t="shared" si="320"/>
        <v>88</v>
      </c>
      <c r="Y23" s="76">
        <f t="shared" si="320"/>
        <v>31.058823529411768</v>
      </c>
      <c r="Z23" s="78">
        <f t="shared" si="320"/>
        <v>30</v>
      </c>
      <c r="AA23" s="75">
        <f t="shared" si="320"/>
        <v>68</v>
      </c>
      <c r="AB23" s="76">
        <f t="shared" si="320"/>
        <v>23.18181818181818</v>
      </c>
      <c r="AC23" s="78">
        <f t="shared" si="320"/>
        <v>24</v>
      </c>
      <c r="AD23" s="75">
        <f t="shared" si="320"/>
        <v>284</v>
      </c>
      <c r="AE23" s="76">
        <f t="shared" si="320"/>
        <v>34.13461538461538</v>
      </c>
      <c r="AF23" s="78">
        <f t="shared" si="320"/>
        <v>36</v>
      </c>
      <c r="AG23" s="75">
        <f t="shared" si="320"/>
        <v>32</v>
      </c>
      <c r="AH23" s="76">
        <f t="shared" si="320"/>
        <v>5.333333333333333</v>
      </c>
      <c r="AI23" s="78">
        <f t="shared" ref="AI23:BA23" si="321">SUM(AI10,AI14,AI17,AI22)</f>
        <v>4</v>
      </c>
      <c r="AJ23" s="75">
        <f t="shared" si="321"/>
        <v>72</v>
      </c>
      <c r="AK23" s="76">
        <f t="shared" si="321"/>
        <v>22.235294117647058</v>
      </c>
      <c r="AL23" s="78">
        <f t="shared" si="321"/>
        <v>22</v>
      </c>
      <c r="AM23" s="75">
        <f t="shared" si="321"/>
        <v>36</v>
      </c>
      <c r="AN23" s="76">
        <f t="shared" si="321"/>
        <v>13</v>
      </c>
      <c r="AO23" s="78">
        <f t="shared" si="321"/>
        <v>14</v>
      </c>
      <c r="AP23" s="75">
        <f t="shared" si="321"/>
        <v>196</v>
      </c>
      <c r="AQ23" s="76">
        <f t="shared" si="321"/>
        <v>54.599999999999994</v>
      </c>
      <c r="AR23" s="78">
        <f t="shared" si="321"/>
        <v>54</v>
      </c>
      <c r="AS23" s="75">
        <f t="shared" si="321"/>
        <v>280</v>
      </c>
      <c r="AT23" s="76">
        <f t="shared" si="321"/>
        <v>54.285714285714285</v>
      </c>
      <c r="AU23" s="78">
        <f t="shared" si="321"/>
        <v>56</v>
      </c>
      <c r="AV23" s="75">
        <f t="shared" si="321"/>
        <v>32</v>
      </c>
      <c r="AW23" s="76">
        <f t="shared" si="321"/>
        <v>7.5789473684210522</v>
      </c>
      <c r="AX23" s="78">
        <f t="shared" si="321"/>
        <v>8</v>
      </c>
      <c r="AY23" s="92">
        <f t="shared" si="321"/>
        <v>140</v>
      </c>
      <c r="AZ23" s="76">
        <f t="shared" si="321"/>
        <v>25.666666666666664</v>
      </c>
      <c r="BA23" s="78">
        <f t="shared" si="321"/>
        <v>26</v>
      </c>
      <c r="BB23" s="97">
        <f t="shared" si="90"/>
        <v>362</v>
      </c>
      <c r="BC23" s="75">
        <f t="shared" ref="BC23:CX23" si="322">SUM(BC10,BC14,BC17,BC22)</f>
        <v>48</v>
      </c>
      <c r="BD23" s="76">
        <f t="shared" si="322"/>
        <v>12.400000000000002</v>
      </c>
      <c r="BE23" s="78">
        <f t="shared" si="322"/>
        <v>12</v>
      </c>
      <c r="BF23" s="75">
        <f t="shared" si="322"/>
        <v>170</v>
      </c>
      <c r="BG23" s="76">
        <f t="shared" si="322"/>
        <v>29.067357512953372</v>
      </c>
      <c r="BH23" s="78">
        <f t="shared" si="322"/>
        <v>28</v>
      </c>
      <c r="BI23" s="75">
        <f t="shared" si="322"/>
        <v>82</v>
      </c>
      <c r="BJ23" s="76">
        <f t="shared" si="322"/>
        <v>14.385964912280702</v>
      </c>
      <c r="BK23" s="78">
        <f t="shared" si="322"/>
        <v>16</v>
      </c>
      <c r="BL23" s="92">
        <f t="shared" si="322"/>
        <v>0</v>
      </c>
      <c r="BM23" s="76">
        <f t="shared" si="322"/>
        <v>0</v>
      </c>
      <c r="BN23" s="78">
        <f t="shared" si="322"/>
        <v>0</v>
      </c>
      <c r="BO23" s="75">
        <f t="shared" si="322"/>
        <v>128</v>
      </c>
      <c r="BP23" s="76">
        <f t="shared" si="322"/>
        <v>30.967741935483872</v>
      </c>
      <c r="BQ23" s="78">
        <f t="shared" si="322"/>
        <v>32</v>
      </c>
      <c r="BR23" s="75">
        <f t="shared" si="322"/>
        <v>16</v>
      </c>
      <c r="BS23" s="76">
        <f t="shared" si="322"/>
        <v>4.4800000000000004</v>
      </c>
      <c r="BT23" s="78">
        <f t="shared" si="322"/>
        <v>4</v>
      </c>
      <c r="BU23" s="75">
        <f t="shared" si="322"/>
        <v>0</v>
      </c>
      <c r="BV23" s="76">
        <f t="shared" si="322"/>
        <v>0</v>
      </c>
      <c r="BW23" s="78">
        <f t="shared" si="322"/>
        <v>0</v>
      </c>
      <c r="BX23" s="92">
        <f t="shared" si="322"/>
        <v>0</v>
      </c>
      <c r="BY23" s="76">
        <f t="shared" si="322"/>
        <v>0</v>
      </c>
      <c r="BZ23" s="78">
        <f t="shared" si="322"/>
        <v>0</v>
      </c>
      <c r="CA23" s="75">
        <f t="shared" si="322"/>
        <v>0</v>
      </c>
      <c r="CB23" s="76">
        <f t="shared" si="322"/>
        <v>0</v>
      </c>
      <c r="CC23" s="78">
        <f t="shared" si="322"/>
        <v>0</v>
      </c>
      <c r="CD23" s="75">
        <f t="shared" si="322"/>
        <v>0</v>
      </c>
      <c r="CE23" s="76">
        <f t="shared" si="322"/>
        <v>0</v>
      </c>
      <c r="CF23" s="78">
        <f t="shared" si="322"/>
        <v>0</v>
      </c>
      <c r="CG23" s="75">
        <f t="shared" si="322"/>
        <v>48</v>
      </c>
      <c r="CH23" s="76">
        <f t="shared" si="322"/>
        <v>15.652173913043478</v>
      </c>
      <c r="CI23" s="78">
        <f t="shared" si="322"/>
        <v>14</v>
      </c>
      <c r="CJ23" s="92">
        <f t="shared" si="322"/>
        <v>28</v>
      </c>
      <c r="CK23" s="76">
        <f t="shared" si="322"/>
        <v>7.4285714285714288</v>
      </c>
      <c r="CL23" s="78">
        <f t="shared" si="322"/>
        <v>6</v>
      </c>
      <c r="CM23" s="75">
        <f t="shared" si="322"/>
        <v>8</v>
      </c>
      <c r="CN23" s="76">
        <f t="shared" si="322"/>
        <v>6</v>
      </c>
      <c r="CO23" s="78">
        <f t="shared" si="322"/>
        <v>6</v>
      </c>
      <c r="CP23" s="75">
        <f t="shared" si="322"/>
        <v>230</v>
      </c>
      <c r="CQ23" s="76">
        <f t="shared" si="322"/>
        <v>57.5</v>
      </c>
      <c r="CR23" s="78">
        <f t="shared" si="322"/>
        <v>56</v>
      </c>
      <c r="CS23" s="75">
        <f t="shared" si="322"/>
        <v>0</v>
      </c>
      <c r="CT23" s="76">
        <f t="shared" si="322"/>
        <v>0</v>
      </c>
      <c r="CU23" s="78">
        <f t="shared" si="322"/>
        <v>0</v>
      </c>
      <c r="CV23" s="92">
        <f t="shared" si="322"/>
        <v>16</v>
      </c>
      <c r="CW23" s="76">
        <f t="shared" si="322"/>
        <v>5.12</v>
      </c>
      <c r="CX23" s="78">
        <f t="shared" si="322"/>
        <v>6</v>
      </c>
      <c r="CY23" s="100">
        <f t="shared" si="0"/>
        <v>180</v>
      </c>
      <c r="CZ23" s="95">
        <f t="shared" si="1"/>
        <v>542</v>
      </c>
    </row>
    <row r="24" spans="1:104" x14ac:dyDescent="0.25">
      <c r="A24" s="27" t="s">
        <v>90</v>
      </c>
      <c r="B24" s="88" t="s">
        <v>58</v>
      </c>
      <c r="C24" s="23">
        <f>_xlfn.XLOOKUP($B24,GCES!$B:$B,GCES!$C:$C,"",0,1)</f>
        <v>36</v>
      </c>
      <c r="D24" s="28">
        <f t="shared" ref="D24:D26" si="323">IF(C24="","",D$58*C24/C$57)</f>
        <v>7.8904109589041092</v>
      </c>
      <c r="E24" s="26">
        <f t="shared" ref="E24:E26" si="324">IF(C24="","",IF(D24&gt;4,ROUND(D24/2,0)*2,IF(D24&gt;D$59,4,"")))</f>
        <v>8</v>
      </c>
      <c r="F24" s="23" t="str">
        <f>_xlfn.XLOOKUP($B24,GCES!$B:$B,GCES!$E:$E,"",0,1)</f>
        <v/>
      </c>
      <c r="G24" s="28" t="str">
        <f t="shared" ref="G24:G26" si="325">IF(F24="","",G$58*F24/F$57)</f>
        <v/>
      </c>
      <c r="H24" s="24" t="str">
        <f t="shared" ref="H24:H26" si="326">IF(F24="","",IF(G24&gt;4,ROUND(G24/2,0)*2,IF(G24&gt;G$59,4,"")))</f>
        <v/>
      </c>
      <c r="I24" s="23">
        <f>_xlfn.XLOOKUP($B24,GCES!$B:$B,GCES!$D:$D,"",0,1)</f>
        <v>52</v>
      </c>
      <c r="J24" s="28">
        <f t="shared" ref="J24:J26" si="327">IF(I24="","",J$58*I24/I$57)</f>
        <v>4.9124423963133639</v>
      </c>
      <c r="K24" s="24">
        <v>6</v>
      </c>
      <c r="L24" s="23" t="str">
        <f>_xlfn.XLOOKUP($B24,GCES!$B:$B,GCES!$H:$H,"",0,1)</f>
        <v/>
      </c>
      <c r="M24" s="28" t="str">
        <f t="shared" ref="M24:M26" si="328">IF(L24="","",M$58*L24/L$57)</f>
        <v/>
      </c>
      <c r="N24" s="24" t="str">
        <f t="shared" ref="N24:N26" si="329">IF(L24="","",IF(M24&gt;4,ROUND(M24/2,0)*2,IF(M24&gt;M$59,4,"")))</f>
        <v/>
      </c>
      <c r="O24" s="23" t="str">
        <f>_xlfn.XLOOKUP($B24,GCES!$B:$B,GCES!$G:$G,"",0,1)</f>
        <v/>
      </c>
      <c r="P24" s="28" t="str">
        <f t="shared" ref="P24:P26" si="330">IF(O24="","",P$58*O24/O$57)</f>
        <v/>
      </c>
      <c r="Q24" s="24" t="str">
        <f t="shared" ref="Q24:Q26" si="331">IF(O24="","",IF(P24&gt;4,ROUND(P24/2,0)*2,IF(P24&gt;P$59,4,"")))</f>
        <v/>
      </c>
      <c r="R24" s="23" t="str">
        <f>_xlfn.XLOOKUP($B24,GCES!$B:$B,GCES!$L:$L,"",0,1)</f>
        <v/>
      </c>
      <c r="S24" s="28" t="str">
        <f t="shared" ref="S24:S26" si="332">IF(R24="","",S$58*R24/R$57)</f>
        <v/>
      </c>
      <c r="T24" s="24" t="str">
        <f t="shared" ref="T24:T26" si="333">IF(R24="","",IF(S24&gt;4,ROUND(S24/2,0)*2,IF(S24&gt;S$59,4,"")))</f>
        <v/>
      </c>
      <c r="U24" s="23" t="str">
        <f>_xlfn.XLOOKUP($B24,GCES!$B:$B,GCES!$K:$K,"",0,1)</f>
        <v/>
      </c>
      <c r="V24" s="28" t="str">
        <f t="shared" ref="V24:V26" si="334">IF(U24="","",V$58*U24/U$57)</f>
        <v/>
      </c>
      <c r="W24" s="24" t="str">
        <f t="shared" ref="W24:W26" si="335">IF(U24="","",IF(V24&gt;4,ROUND(V24/2,0)*2,IF(V24&gt;V$59,4,"")))</f>
        <v/>
      </c>
      <c r="X24" s="23" t="str">
        <f>_xlfn.XLOOKUP($B24,GCES!$B:$B,GCES!$S:$S,"",0,1)</f>
        <v/>
      </c>
      <c r="Y24" s="28" t="str">
        <f t="shared" ref="Y24:Y26" si="336">IF(X24="","",Y$58*X24/X$57)</f>
        <v/>
      </c>
      <c r="Z24" s="24" t="str">
        <f t="shared" ref="Z24:Z26" si="337">IF(X24="","",IF(Y24&gt;4,ROUND(Y24/2,0)*2,IF(Y24&gt;Y$59,4,"")))</f>
        <v/>
      </c>
      <c r="AA24" s="23" t="str">
        <f>_xlfn.XLOOKUP($B24,GCES!$B:$B,GCES!$R:$R,"",0,1)</f>
        <v/>
      </c>
      <c r="AB24" s="28" t="str">
        <f t="shared" ref="AB24:AB26" si="338">IF(AA24="","",AB$58*AA24/AA$57)</f>
        <v/>
      </c>
      <c r="AC24" s="24" t="str">
        <f t="shared" ref="AC24:AC26" si="339">IF(AA24="","",IF(AB24&gt;4,ROUND(AB24/2,0)*2,IF(AB24&gt;AB$59,4,"")))</f>
        <v/>
      </c>
      <c r="AD24" s="23" t="str">
        <f>_xlfn.XLOOKUP($B24,GCES!$B:$B,GCES!$AL:$AL,"",0,1)</f>
        <v/>
      </c>
      <c r="AE24" s="28" t="str">
        <f t="shared" ref="AE24:AE26" si="340">IF(AD24="","",AE$58*AD24/AD$57)</f>
        <v/>
      </c>
      <c r="AF24" s="24" t="str">
        <f t="shared" ref="AF24:AF26" si="341">IF(AD24="","",IF(AE24&gt;4,ROUND(AE24/2,0)*2,IF(AE24&gt;AE$59,4,"")))</f>
        <v/>
      </c>
      <c r="AG24" s="23" t="str">
        <f>_xlfn.XLOOKUP($B24,GCES!$B:$B,GCES!$AK:$AK,"",0,1)</f>
        <v/>
      </c>
      <c r="AH24" s="28" t="str">
        <f t="shared" ref="AH24:AH26" si="342">IF(AG24="","",AH$58*AG24/AG$57)</f>
        <v/>
      </c>
      <c r="AI24" s="24" t="str">
        <f t="shared" ref="AI24:AI26" si="343">IF(AG24="","",IF(AH24&gt;4,ROUND(AH24/2,0)*2,IF(AH24&gt;AH$59,4,"")))</f>
        <v/>
      </c>
      <c r="AJ24" s="23" t="str">
        <f>_xlfn.XLOOKUP($B24,GCES!$B:$B,GCES!$AQ:$AQ,"",0,1)</f>
        <v/>
      </c>
      <c r="AK24" s="28" t="str">
        <f t="shared" ref="AK24:AK26" si="344">IF(AJ24="","",AK$58*AJ24/AJ$57)</f>
        <v/>
      </c>
      <c r="AL24" s="24" t="str">
        <f t="shared" ref="AL24:AL26" si="345">IF(AJ24="","",IF(AK24&gt;4,ROUND(AK24/2,0)*2,IF(AK24&gt;AK$59,4,"")))</f>
        <v/>
      </c>
      <c r="AM24" s="23" t="str">
        <f>_xlfn.XLOOKUP($B24,GCES!$B:$B,GCES!$AP:$AP,"",0,1)</f>
        <v/>
      </c>
      <c r="AN24" s="28" t="str">
        <f t="shared" ref="AN24:AN26" si="346">IF(AM24="","",AN$58*AM24/AM$57)</f>
        <v/>
      </c>
      <c r="AO24" s="24" t="str">
        <f t="shared" ref="AO24:AO26" si="347">IF(AM24="","",IF(AN24&gt;4,ROUND(AN24/2,0)*2,IF(AN24&gt;AN$59,4,"")))</f>
        <v/>
      </c>
      <c r="AP24" s="23" t="str">
        <f>_xlfn.XLOOKUP($B24,GCES!$B:$B,GCES!$V:$V,"",0,1)</f>
        <v/>
      </c>
      <c r="AQ24" s="28" t="str">
        <f t="shared" ref="AQ24:AQ26" si="348">IF(AP24="","",AQ$58*AP24/AP$57)</f>
        <v/>
      </c>
      <c r="AR24" s="24" t="str">
        <f t="shared" ref="AR24:AR26" si="349">IF(AP24="","",IF(AQ24&gt;4,ROUND(AQ24/2,0)*2,IF(AQ24&gt;AQ$59,4,"")))</f>
        <v/>
      </c>
      <c r="AS24" s="23" t="str">
        <f>_xlfn.XLOOKUP($B24,GCES!$B:$B,GCES!$AH:$AH,"",0,1)</f>
        <v/>
      </c>
      <c r="AT24" s="28" t="str">
        <f t="shared" ref="AT24:AT26" si="350">IF(AS24="","",AT$58*AS24/AS$57)</f>
        <v/>
      </c>
      <c r="AU24" s="24" t="str">
        <f t="shared" ref="AU24:AU26" si="351">IF(AS24="","",IF(AT24&gt;4,ROUND(AT24/2,0)*2,IF(AT24&gt;AT$59,4,"")))</f>
        <v/>
      </c>
      <c r="AV24" s="23" t="str">
        <f>_xlfn.XLOOKUP($B24,GCES!$B:$B,GCES!$AG:$AG,"",0,1)</f>
        <v/>
      </c>
      <c r="AW24" s="28" t="str">
        <f t="shared" ref="AW24:AW26" si="352">IF(AV24="","",AW$58*AV24/AV$57)</f>
        <v/>
      </c>
      <c r="AX24" s="24" t="str">
        <f t="shared" ref="AX24:AX26" si="353">IF(AV24="","",IF(AW24&gt;4,ROUND(AW24/2,0)*2,IF(AW24&gt;AW$59,4,"")))</f>
        <v/>
      </c>
      <c r="AY24" s="90">
        <f>_xlfn.XLOOKUP($B24,GCES!$B:$B,GCES!$AO:$AO,"",0,1)</f>
        <v>16</v>
      </c>
      <c r="AZ24" s="28">
        <f t="shared" ref="AZ24:AZ26" si="354">IF(AY24="","",AZ$58*AY24/AY$57)</f>
        <v>2.9333333333333331</v>
      </c>
      <c r="BA24" s="24">
        <f t="shared" ref="BA24:BA26" si="355">IF(AY24="","",IF(AZ24&gt;4,ROUND(AZ24/2,0)*2,IF(AZ24&gt;AZ$59,4,"")))</f>
        <v>4</v>
      </c>
      <c r="BB24" s="97">
        <f t="shared" si="90"/>
        <v>18</v>
      </c>
      <c r="BC24" s="23">
        <f>_xlfn.XLOOKUP($B24,GCES!$B:$B,GCES!$F:$F,"",0,1)</f>
        <v>20</v>
      </c>
      <c r="BD24" s="28">
        <f t="shared" ref="BD24:BD26" si="356">IF(BC24="","",BD$58*BC24/BC$57)</f>
        <v>5.166666666666667</v>
      </c>
      <c r="BE24" s="26">
        <f t="shared" ref="BE24:BE26" si="357">IF(BC24="","",IF(BD24&gt;4,ROUND(BD24/2,0)*2,IF(BD24&gt;BD$59,4,"")))</f>
        <v>6</v>
      </c>
      <c r="BF24" s="23" t="str">
        <f>_xlfn.XLOOKUP($B24,GCES!$B:$B,GCES!$J:$J,"",0,1)</f>
        <v/>
      </c>
      <c r="BG24" s="28" t="str">
        <f t="shared" ref="BG24:BG26" si="358">IF(BF24="","",BG$58*BF24/BF$57)</f>
        <v/>
      </c>
      <c r="BH24" s="24" t="str">
        <f t="shared" ref="BH24:BH26" si="359">IF(BF24="","",IF(BG24&gt;4,ROUND(BG24/2,0)*2,IF(BG24&gt;BG$59,4,"")))</f>
        <v/>
      </c>
      <c r="BI24" s="23" t="str">
        <f>_xlfn.XLOOKUP($B24,GCES!$B:$B,GCES!$I:$I,"",0,1)</f>
        <v/>
      </c>
      <c r="BJ24" s="28" t="str">
        <f t="shared" ref="BJ24:BJ26" si="360">IF(BI24="","",BJ$58*BI24/BI$57)</f>
        <v/>
      </c>
      <c r="BK24" s="24" t="str">
        <f t="shared" ref="BK24:BK26" si="361">IF(BI24="","",IF(BJ24&gt;4,ROUND(BJ24/2,0)*2,IF(BJ24&gt;BJ$59,4,"")))</f>
        <v/>
      </c>
      <c r="BL24" s="23" t="str">
        <f>_xlfn.XLOOKUP($B24,GCES!$B:$B,GCES!$AN:$AN,"",0,1)</f>
        <v/>
      </c>
      <c r="BM24" s="28" t="str">
        <f t="shared" ref="BM24:BM26" si="362">IF(BL24="","",BM$58*BL24/BL$57)</f>
        <v/>
      </c>
      <c r="BN24" s="24" t="str">
        <f t="shared" ref="BN24:BN26" si="363">IF(BL24="","",IF(BM24&gt;4,ROUND(BM24/2,0)*2,IF(BM24&gt;BM$59,4,"")))</f>
        <v/>
      </c>
      <c r="BO24" s="23">
        <f>_xlfn.XLOOKUP($B24,GCES!$B:$B,GCES!$AM:$AM,"",0,1)</f>
        <v>16</v>
      </c>
      <c r="BP24" s="28">
        <f t="shared" ref="BP24:BP26" si="364">IF(BO24="","",BP$58*BO24/BO$57)</f>
        <v>3.870967741935484</v>
      </c>
      <c r="BQ24" s="24">
        <f t="shared" ref="BQ24:BQ26" si="365">IF(BO24="","",IF(BP24&gt;4,ROUND(BP24/2,0)*2,IF(BP24&gt;BP$59,4,"")))</f>
        <v>4</v>
      </c>
      <c r="BR24" s="23" t="str">
        <f>_xlfn.XLOOKUP($B24,GCES!$B:$B,GCES!$Z:$Z,"",0,1)</f>
        <v/>
      </c>
      <c r="BS24" s="28" t="str">
        <f t="shared" ref="BS24:BS26" si="366">IF(BR24="","",BS$58*BR24/BR$57)</f>
        <v/>
      </c>
      <c r="BT24" s="24" t="str">
        <f t="shared" ref="BT24:BT26" si="367">IF(BR24="","",IF(BS24&gt;4,ROUND(BS24/2,0)*2,IF(BS24&gt;BS$59,4,"")))</f>
        <v/>
      </c>
      <c r="BU24" s="23" t="str">
        <f>_xlfn.XLOOKUP($B24,GCES!$B:$B,GCES!$Y:$Y,"",0,1)</f>
        <v/>
      </c>
      <c r="BV24" s="28" t="str">
        <f t="shared" ref="BV24:BV26" si="368">IF(BU24="","",BV$58*BU24/BU$57)</f>
        <v/>
      </c>
      <c r="BW24" s="24" t="str">
        <f t="shared" ref="BW24:BW26" si="369">IF(BU24="","",IF(BV24&gt;4,ROUND(BV24/2,0)*2,IF(BV24&gt;BV$59,4,"")))</f>
        <v/>
      </c>
      <c r="BX24" s="23" t="str">
        <f>_xlfn.XLOOKUP($B24,GCES!$B:$B,GCES!$AC:$AC,"",0,1)</f>
        <v/>
      </c>
      <c r="BY24" s="28" t="str">
        <f t="shared" ref="BY24:BY26" si="370">IF(BX24="","",BY$58*BX24/BX$57)</f>
        <v/>
      </c>
      <c r="BZ24" s="24" t="str">
        <f t="shared" ref="BZ24:BZ26" si="371">IF(BX24="","",IF(BY24&gt;4,ROUND(BY24/2,0)*2,IF(BY24&gt;BY$59,4,"")))</f>
        <v/>
      </c>
      <c r="CA24" s="23">
        <f>_xlfn.XLOOKUP($B24,GCES!$B:$B,GCES!$AB:$AB,"",0,1)</f>
        <v>16</v>
      </c>
      <c r="CB24" s="28">
        <f t="shared" ref="CB24:CB26" si="372">IF(CA24="","",CB$58*CA24/CA$57)</f>
        <v>8</v>
      </c>
      <c r="CC24" s="24">
        <f t="shared" ref="CC24:CC26" si="373">IF(CA24="","",IF(CB24&gt;4,ROUND(CB24/2,0)*2,IF(CB24&gt;CB$59,4,"")))</f>
        <v>8</v>
      </c>
      <c r="CD24" s="23" t="str">
        <f>_xlfn.XLOOKUP($B24,GCES!$B:$B,GCES!$AS:$AS,"",0,1)</f>
        <v/>
      </c>
      <c r="CE24" s="28" t="str">
        <f t="shared" ref="CE24:CE26" si="374">IF(CD24="","",CE$58*CD24/CD$57)</f>
        <v/>
      </c>
      <c r="CF24" s="24" t="str">
        <f t="shared" ref="CF24:CF26" si="375">IF(CD24="","",IF(CE24&gt;4,ROUND(CE24/2,0)*2,IF(CE24&gt;CE$59,4,"")))</f>
        <v/>
      </c>
      <c r="CG24" s="23" t="str">
        <f>_xlfn.XLOOKUP($B24,GCES!$B:$B,GCES!$AR:$AR,"",0,1)</f>
        <v/>
      </c>
      <c r="CH24" s="28" t="str">
        <f t="shared" ref="CH24:CH26" si="376">IF(CG24="","",CH$58*CG24/CG$57)</f>
        <v/>
      </c>
      <c r="CI24" s="26" t="str">
        <f t="shared" ref="CI24:CI26" si="377">IF(CG24="","",IF(CH24&gt;4,ROUND(CH24/2,0)*2,IF(CH24&gt;CH$59,4,"")))</f>
        <v/>
      </c>
      <c r="CJ24" s="23" t="str">
        <f>_xlfn.XLOOKUP($B24,GCES!$B:$B,GCES!$N:$N,"",0,1)</f>
        <v/>
      </c>
      <c r="CK24" s="28" t="str">
        <f t="shared" ref="CK24:CK26" si="378">IF(CJ24="","",CK$58*CJ24/CJ$57)</f>
        <v/>
      </c>
      <c r="CL24" s="24" t="str">
        <f t="shared" ref="CL24:CL26" si="379">IF(CJ24="","",IF(CK24&gt;4,ROUND(CK24/2,0)*2,IF(CK24&gt;CK$59,4,"")))</f>
        <v/>
      </c>
      <c r="CM24" s="23" t="str">
        <f>_xlfn.XLOOKUP($B24,GCES!$B:$B,GCES!$M:$M,"",0,1)</f>
        <v/>
      </c>
      <c r="CN24" s="28" t="str">
        <f t="shared" ref="CN24:CN26" si="380">IF(CM24="","",CN$58*CM24/CM$57)</f>
        <v/>
      </c>
      <c r="CO24" s="24" t="str">
        <f t="shared" ref="CO24:CO26" si="381">IF(CM24="","",IF(CN24&gt;4,ROUND(CN24/2,0)*2,IF(CN24&gt;CN$59,4,"")))</f>
        <v/>
      </c>
      <c r="CP24" s="90" t="str">
        <f>_xlfn.XLOOKUP($B24,GCES!$B:$B,GCES!$AD:$AD,"",0,1)</f>
        <v/>
      </c>
      <c r="CQ24" s="28" t="str">
        <f t="shared" ref="CQ24:CQ26" si="382">IF(CP24="","",CQ$58*CP24/CP$57)</f>
        <v/>
      </c>
      <c r="CR24" s="26" t="str">
        <f t="shared" ref="CR24:CR26" si="383">IF(CP24="","",IF(CQ24&gt;4,ROUND(CQ24/2,0)*2,IF(CQ24&gt;CQ$59,4,"")))</f>
        <v/>
      </c>
      <c r="CS24" s="23" t="str">
        <f>_xlfn.XLOOKUP($B24,GCES!$B:$B,GCES!$AJ:$AJ,"",0,1)</f>
        <v/>
      </c>
      <c r="CT24" s="28" t="str">
        <f t="shared" ref="CT24:CT26" si="384">IF(CS24="","",CT$58*CS24/CS$57)</f>
        <v/>
      </c>
      <c r="CU24" s="24" t="str">
        <f t="shared" ref="CU24:CU26" si="385">IF(CS24="","",IF(CT24&gt;4,ROUND(CT24/2,0)*2,IF(CT24&gt;CT$59,4,"")))</f>
        <v/>
      </c>
      <c r="CV24" s="23" t="str">
        <f>_xlfn.XLOOKUP($B24,GCES!$B:$B,GCES!$AI:$AI,"",0,1)</f>
        <v/>
      </c>
      <c r="CW24" s="28" t="str">
        <f t="shared" ref="CW24:CW26" si="386">IF(CV24="","",CW$58*CV24/CV$57)</f>
        <v/>
      </c>
      <c r="CX24" s="24" t="str">
        <f t="shared" ref="CX24:CX26" si="387">IF(CV24="","",IF(CW24&gt;4,ROUND(CW24/2,0)*2,IF(CW24&gt;CW$59,4,"")))</f>
        <v/>
      </c>
      <c r="CY24" s="100">
        <f t="shared" ref="CY24:CY26" si="388">SUM(BE24,BH24,BK24,BN24,BQ24,BT24,BW24,BZ24,CC24,CF24,CI24,CL24,CO24,CR24,CU24,CX24)</f>
        <v>18</v>
      </c>
      <c r="CZ24" s="95">
        <f t="shared" ref="CZ24:CZ26" si="389">SUM(BB24,CY24)</f>
        <v>36</v>
      </c>
    </row>
    <row r="25" spans="1:104" x14ac:dyDescent="0.25">
      <c r="A25" s="27" t="s">
        <v>91</v>
      </c>
      <c r="B25" s="88" t="s">
        <v>57</v>
      </c>
      <c r="C25" s="23">
        <f>_xlfn.XLOOKUP($B25,GCES!$B:$B,GCES!$C:$C,"",0,1)</f>
        <v>20</v>
      </c>
      <c r="D25" s="28">
        <f t="shared" si="323"/>
        <v>4.3835616438356162</v>
      </c>
      <c r="E25" s="26">
        <f t="shared" si="324"/>
        <v>4</v>
      </c>
      <c r="F25" s="23" t="str">
        <f>_xlfn.XLOOKUP($B25,GCES!$B:$B,GCES!$E:$E,"",0,1)</f>
        <v/>
      </c>
      <c r="G25" s="28" t="str">
        <f t="shared" si="325"/>
        <v/>
      </c>
      <c r="H25" s="24" t="str">
        <f t="shared" si="326"/>
        <v/>
      </c>
      <c r="I25" s="23">
        <f>_xlfn.XLOOKUP($B25,GCES!$B:$B,GCES!$D:$D,"",0,1)</f>
        <v>20</v>
      </c>
      <c r="J25" s="28">
        <f t="shared" si="327"/>
        <v>1.8894009216589862</v>
      </c>
      <c r="K25" s="24">
        <f t="shared" ref="K25:K26" si="390">IF(I25="","",IF(J25&gt;4,ROUND(J25/2,0)*2,IF(J25&gt;J$59,4,"")))</f>
        <v>4</v>
      </c>
      <c r="L25" s="23" t="str">
        <f>_xlfn.XLOOKUP($B25,GCES!$B:$B,GCES!$H:$H,"",0,1)</f>
        <v/>
      </c>
      <c r="M25" s="28" t="str">
        <f t="shared" si="328"/>
        <v/>
      </c>
      <c r="N25" s="24" t="str">
        <f t="shared" si="329"/>
        <v/>
      </c>
      <c r="O25" s="23" t="str">
        <f>_xlfn.XLOOKUP($B25,GCES!$B:$B,GCES!$G:$G,"",0,1)</f>
        <v/>
      </c>
      <c r="P25" s="28" t="str">
        <f t="shared" si="330"/>
        <v/>
      </c>
      <c r="Q25" s="24" t="str">
        <f t="shared" si="331"/>
        <v/>
      </c>
      <c r="R25" s="23" t="str">
        <f>_xlfn.XLOOKUP($B25,GCES!$B:$B,GCES!$L:$L,"",0,1)</f>
        <v/>
      </c>
      <c r="S25" s="28" t="str">
        <f t="shared" si="332"/>
        <v/>
      </c>
      <c r="T25" s="24" t="str">
        <f t="shared" si="333"/>
        <v/>
      </c>
      <c r="U25" s="23" t="str">
        <f>_xlfn.XLOOKUP($B25,GCES!$B:$B,GCES!$K:$K,"",0,1)</f>
        <v/>
      </c>
      <c r="V25" s="28" t="str">
        <f t="shared" si="334"/>
        <v/>
      </c>
      <c r="W25" s="24" t="str">
        <f t="shared" si="335"/>
        <v/>
      </c>
      <c r="X25" s="23" t="str">
        <f>_xlfn.XLOOKUP($B25,GCES!$B:$B,GCES!$S:$S,"",0,1)</f>
        <v/>
      </c>
      <c r="Y25" s="28" t="str">
        <f t="shared" si="336"/>
        <v/>
      </c>
      <c r="Z25" s="24" t="str">
        <f t="shared" si="337"/>
        <v/>
      </c>
      <c r="AA25" s="23" t="str">
        <f>_xlfn.XLOOKUP($B25,GCES!$B:$B,GCES!$R:$R,"",0,1)</f>
        <v/>
      </c>
      <c r="AB25" s="28" t="str">
        <f t="shared" si="338"/>
        <v/>
      </c>
      <c r="AC25" s="24" t="str">
        <f t="shared" si="339"/>
        <v/>
      </c>
      <c r="AD25" s="23" t="str">
        <f>_xlfn.XLOOKUP($B25,GCES!$B:$B,GCES!$AL:$AL,"",0,1)</f>
        <v/>
      </c>
      <c r="AE25" s="28" t="str">
        <f t="shared" si="340"/>
        <v/>
      </c>
      <c r="AF25" s="24" t="str">
        <f t="shared" si="341"/>
        <v/>
      </c>
      <c r="AG25" s="23">
        <f>_xlfn.XLOOKUP($B25,GCES!$B:$B,GCES!$AK:$AK,"",0,1)</f>
        <v>12</v>
      </c>
      <c r="AH25" s="28">
        <f t="shared" si="342"/>
        <v>2</v>
      </c>
      <c r="AI25" s="24">
        <f t="shared" si="343"/>
        <v>4</v>
      </c>
      <c r="AJ25" s="23" t="str">
        <f>_xlfn.XLOOKUP($B25,GCES!$B:$B,GCES!$AQ:$AQ,"",0,1)</f>
        <v/>
      </c>
      <c r="AK25" s="28" t="str">
        <f t="shared" si="344"/>
        <v/>
      </c>
      <c r="AL25" s="24" t="str">
        <f t="shared" si="345"/>
        <v/>
      </c>
      <c r="AM25" s="23">
        <f>_xlfn.XLOOKUP($B25,GCES!$B:$B,GCES!$AP:$AP,"",0,1)</f>
        <v>8</v>
      </c>
      <c r="AN25" s="28">
        <f t="shared" si="346"/>
        <v>2.8888888888888888</v>
      </c>
      <c r="AO25" s="38"/>
      <c r="AP25" s="23" t="str">
        <f>_xlfn.XLOOKUP($B25,GCES!$B:$B,GCES!$V:$V,"",0,1)</f>
        <v/>
      </c>
      <c r="AQ25" s="28" t="str">
        <f t="shared" si="348"/>
        <v/>
      </c>
      <c r="AR25" s="24" t="str">
        <f t="shared" si="349"/>
        <v/>
      </c>
      <c r="AS25" s="23" t="str">
        <f>_xlfn.XLOOKUP($B25,GCES!$B:$B,GCES!$AH:$AH,"",0,1)</f>
        <v/>
      </c>
      <c r="AT25" s="28" t="str">
        <f t="shared" si="350"/>
        <v/>
      </c>
      <c r="AU25" s="24" t="str">
        <f t="shared" si="351"/>
        <v/>
      </c>
      <c r="AV25" s="23" t="str">
        <f>_xlfn.XLOOKUP($B25,GCES!$B:$B,GCES!$AG:$AG,"",0,1)</f>
        <v/>
      </c>
      <c r="AW25" s="28" t="str">
        <f t="shared" si="352"/>
        <v/>
      </c>
      <c r="AX25" s="24" t="str">
        <f t="shared" si="353"/>
        <v/>
      </c>
      <c r="AY25" s="90">
        <f>_xlfn.XLOOKUP($B25,GCES!$B:$B,GCES!$AO:$AO,"",0,1)</f>
        <v>4</v>
      </c>
      <c r="AZ25" s="28">
        <f t="shared" si="354"/>
        <v>0.73333333333333328</v>
      </c>
      <c r="BA25" s="24" t="str">
        <f t="shared" si="355"/>
        <v/>
      </c>
      <c r="BB25" s="97">
        <f t="shared" si="90"/>
        <v>12</v>
      </c>
      <c r="BC25" s="23">
        <f>_xlfn.XLOOKUP($B25,GCES!$B:$B,GCES!$F:$F,"",0,1)</f>
        <v>8</v>
      </c>
      <c r="BD25" s="28">
        <f t="shared" si="356"/>
        <v>2.0666666666666669</v>
      </c>
      <c r="BE25" s="26" t="str">
        <f t="shared" si="357"/>
        <v/>
      </c>
      <c r="BF25" s="23" t="str">
        <f>_xlfn.XLOOKUP($B25,GCES!$B:$B,GCES!$J:$J,"",0,1)</f>
        <v/>
      </c>
      <c r="BG25" s="28" t="str">
        <f t="shared" si="358"/>
        <v/>
      </c>
      <c r="BH25" s="24" t="str">
        <f t="shared" si="359"/>
        <v/>
      </c>
      <c r="BI25" s="23" t="str">
        <f>_xlfn.XLOOKUP($B25,GCES!$B:$B,GCES!$I:$I,"",0,1)</f>
        <v/>
      </c>
      <c r="BJ25" s="28" t="str">
        <f t="shared" si="360"/>
        <v/>
      </c>
      <c r="BK25" s="24" t="str">
        <f t="shared" si="361"/>
        <v/>
      </c>
      <c r="BL25" s="23" t="str">
        <f>_xlfn.XLOOKUP($B25,GCES!$B:$B,GCES!$AN:$AN,"",0,1)</f>
        <v/>
      </c>
      <c r="BM25" s="28" t="str">
        <f t="shared" si="362"/>
        <v/>
      </c>
      <c r="BN25" s="24" t="str">
        <f t="shared" si="363"/>
        <v/>
      </c>
      <c r="BO25" s="23">
        <f>_xlfn.XLOOKUP($B25,GCES!$B:$B,GCES!$AM:$AM,"",0,1)</f>
        <v>4</v>
      </c>
      <c r="BP25" s="28">
        <f t="shared" si="364"/>
        <v>0.967741935483871</v>
      </c>
      <c r="BQ25" s="24" t="str">
        <f t="shared" si="365"/>
        <v/>
      </c>
      <c r="BR25" s="23" t="str">
        <f>_xlfn.XLOOKUP($B25,GCES!$B:$B,GCES!$Z:$Z,"",0,1)</f>
        <v/>
      </c>
      <c r="BS25" s="28" t="str">
        <f t="shared" si="366"/>
        <v/>
      </c>
      <c r="BT25" s="24" t="str">
        <f t="shared" si="367"/>
        <v/>
      </c>
      <c r="BU25" s="23" t="str">
        <f>_xlfn.XLOOKUP($B25,GCES!$B:$B,GCES!$Y:$Y,"",0,1)</f>
        <v/>
      </c>
      <c r="BV25" s="28" t="str">
        <f t="shared" si="368"/>
        <v/>
      </c>
      <c r="BW25" s="24" t="str">
        <f t="shared" si="369"/>
        <v/>
      </c>
      <c r="BX25" s="23" t="str">
        <f>_xlfn.XLOOKUP($B25,GCES!$B:$B,GCES!$AC:$AC,"",0,1)</f>
        <v/>
      </c>
      <c r="BY25" s="28" t="str">
        <f t="shared" si="370"/>
        <v/>
      </c>
      <c r="BZ25" s="24" t="str">
        <f t="shared" si="371"/>
        <v/>
      </c>
      <c r="CA25" s="23" t="str">
        <f>_xlfn.XLOOKUP($B25,GCES!$B:$B,GCES!$AB:$AB,"",0,1)</f>
        <v/>
      </c>
      <c r="CB25" s="28" t="str">
        <f t="shared" si="372"/>
        <v/>
      </c>
      <c r="CC25" s="24" t="str">
        <f t="shared" si="373"/>
        <v/>
      </c>
      <c r="CD25" s="23" t="str">
        <f>_xlfn.XLOOKUP($B25,GCES!$B:$B,GCES!$AS:$AS,"",0,1)</f>
        <v/>
      </c>
      <c r="CE25" s="28" t="str">
        <f t="shared" si="374"/>
        <v/>
      </c>
      <c r="CF25" s="24" t="str">
        <f t="shared" si="375"/>
        <v/>
      </c>
      <c r="CG25" s="23" t="str">
        <f>_xlfn.XLOOKUP($B25,GCES!$B:$B,GCES!$AR:$AR,"",0,1)</f>
        <v/>
      </c>
      <c r="CH25" s="28" t="str">
        <f t="shared" si="376"/>
        <v/>
      </c>
      <c r="CI25" s="26" t="str">
        <f t="shared" si="377"/>
        <v/>
      </c>
      <c r="CJ25" s="23" t="str">
        <f>_xlfn.XLOOKUP($B25,GCES!$B:$B,GCES!$N:$N,"",0,1)</f>
        <v/>
      </c>
      <c r="CK25" s="28" t="str">
        <f t="shared" si="378"/>
        <v/>
      </c>
      <c r="CL25" s="24" t="str">
        <f t="shared" si="379"/>
        <v/>
      </c>
      <c r="CM25" s="23" t="str">
        <f>_xlfn.XLOOKUP($B25,GCES!$B:$B,GCES!$M:$M,"",0,1)</f>
        <v/>
      </c>
      <c r="CN25" s="28" t="str">
        <f t="shared" si="380"/>
        <v/>
      </c>
      <c r="CO25" s="24" t="str">
        <f t="shared" si="381"/>
        <v/>
      </c>
      <c r="CP25" s="90" t="str">
        <f>_xlfn.XLOOKUP($B25,GCES!$B:$B,GCES!$AD:$AD,"",0,1)</f>
        <v/>
      </c>
      <c r="CQ25" s="28" t="str">
        <f t="shared" si="382"/>
        <v/>
      </c>
      <c r="CR25" s="26" t="str">
        <f t="shared" si="383"/>
        <v/>
      </c>
      <c r="CS25" s="23" t="str">
        <f>_xlfn.XLOOKUP($B25,GCES!$B:$B,GCES!$AJ:$AJ,"",0,1)</f>
        <v/>
      </c>
      <c r="CT25" s="28" t="str">
        <f t="shared" si="384"/>
        <v/>
      </c>
      <c r="CU25" s="24" t="str">
        <f t="shared" si="385"/>
        <v/>
      </c>
      <c r="CV25" s="23" t="str">
        <f>_xlfn.XLOOKUP($B25,GCES!$B:$B,GCES!$AI:$AI,"",0,1)</f>
        <v/>
      </c>
      <c r="CW25" s="28" t="str">
        <f t="shared" si="386"/>
        <v/>
      </c>
      <c r="CX25" s="24" t="str">
        <f t="shared" si="387"/>
        <v/>
      </c>
      <c r="CY25" s="100">
        <f t="shared" si="388"/>
        <v>0</v>
      </c>
      <c r="CZ25" s="95">
        <f t="shared" si="389"/>
        <v>12</v>
      </c>
    </row>
    <row r="26" spans="1:104" x14ac:dyDescent="0.25">
      <c r="A26" s="27" t="s">
        <v>92</v>
      </c>
      <c r="B26" s="88" t="s">
        <v>142</v>
      </c>
      <c r="C26" s="23">
        <f>_xlfn.XLOOKUP($B26,GCES!$B:$B,GCES!$C:$C,"",0,1)</f>
        <v>16</v>
      </c>
      <c r="D26" s="28">
        <f t="shared" si="323"/>
        <v>3.506849315068493</v>
      </c>
      <c r="E26" s="26">
        <f t="shared" si="324"/>
        <v>4</v>
      </c>
      <c r="F26" s="23" t="str">
        <f>_xlfn.XLOOKUP($B26,GCES!$B:$B,GCES!$E:$E,"",0,1)</f>
        <v/>
      </c>
      <c r="G26" s="28" t="str">
        <f t="shared" si="325"/>
        <v/>
      </c>
      <c r="H26" s="24" t="str">
        <f t="shared" si="326"/>
        <v/>
      </c>
      <c r="I26" s="23">
        <f>_xlfn.XLOOKUP($B26,GCES!$B:$B,GCES!$D:$D,"",0,1)</f>
        <v>28</v>
      </c>
      <c r="J26" s="28">
        <f t="shared" si="327"/>
        <v>2.6451612903225805</v>
      </c>
      <c r="K26" s="24">
        <f t="shared" si="390"/>
        <v>4</v>
      </c>
      <c r="L26" s="23" t="str">
        <f>_xlfn.XLOOKUP($B26,GCES!$B:$B,GCES!$H:$H,"",0,1)</f>
        <v/>
      </c>
      <c r="M26" s="28" t="str">
        <f t="shared" si="328"/>
        <v/>
      </c>
      <c r="N26" s="24" t="str">
        <f t="shared" si="329"/>
        <v/>
      </c>
      <c r="O26" s="23" t="str">
        <f>_xlfn.XLOOKUP($B26,GCES!$B:$B,GCES!$G:$G,"",0,1)</f>
        <v/>
      </c>
      <c r="P26" s="28" t="str">
        <f t="shared" si="330"/>
        <v/>
      </c>
      <c r="Q26" s="24" t="str">
        <f t="shared" si="331"/>
        <v/>
      </c>
      <c r="R26" s="23" t="str">
        <f>_xlfn.XLOOKUP($B26,GCES!$B:$B,GCES!$L:$L,"",0,1)</f>
        <v/>
      </c>
      <c r="S26" s="28" t="str">
        <f t="shared" si="332"/>
        <v/>
      </c>
      <c r="T26" s="24" t="str">
        <f t="shared" si="333"/>
        <v/>
      </c>
      <c r="U26" s="23" t="str">
        <f>_xlfn.XLOOKUP($B26,GCES!$B:$B,GCES!$K:$K,"",0,1)</f>
        <v/>
      </c>
      <c r="V26" s="28" t="str">
        <f t="shared" si="334"/>
        <v/>
      </c>
      <c r="W26" s="24" t="str">
        <f t="shared" si="335"/>
        <v/>
      </c>
      <c r="X26" s="23" t="str">
        <f>_xlfn.XLOOKUP($B26,GCES!$B:$B,GCES!$S:$S,"",0,1)</f>
        <v/>
      </c>
      <c r="Y26" s="28" t="str">
        <f t="shared" si="336"/>
        <v/>
      </c>
      <c r="Z26" s="24" t="str">
        <f t="shared" si="337"/>
        <v/>
      </c>
      <c r="AA26" s="23" t="str">
        <f>_xlfn.XLOOKUP($B26,GCES!$B:$B,GCES!$R:$R,"",0,1)</f>
        <v/>
      </c>
      <c r="AB26" s="28" t="str">
        <f t="shared" si="338"/>
        <v/>
      </c>
      <c r="AC26" s="24" t="str">
        <f t="shared" si="339"/>
        <v/>
      </c>
      <c r="AD26" s="23" t="str">
        <f>_xlfn.XLOOKUP($B26,GCES!$B:$B,GCES!$AL:$AL,"",0,1)</f>
        <v/>
      </c>
      <c r="AE26" s="28" t="str">
        <f t="shared" si="340"/>
        <v/>
      </c>
      <c r="AF26" s="24" t="str">
        <f t="shared" si="341"/>
        <v/>
      </c>
      <c r="AG26" s="23">
        <f>_xlfn.XLOOKUP($B26,GCES!$B:$B,GCES!$AK:$AK,"",0,1)</f>
        <v>4</v>
      </c>
      <c r="AH26" s="28">
        <f t="shared" si="342"/>
        <v>0.66666666666666663</v>
      </c>
      <c r="AI26" s="24" t="str">
        <f t="shared" si="343"/>
        <v/>
      </c>
      <c r="AJ26" s="23" t="str">
        <f>_xlfn.XLOOKUP($B26,GCES!$B:$B,GCES!$AQ:$AQ,"",0,1)</f>
        <v/>
      </c>
      <c r="AK26" s="28" t="str">
        <f t="shared" si="344"/>
        <v/>
      </c>
      <c r="AL26" s="24" t="str">
        <f t="shared" si="345"/>
        <v/>
      </c>
      <c r="AM26" s="23">
        <f>_xlfn.XLOOKUP($B26,GCES!$B:$B,GCES!$AP:$AP,"",0,1)</f>
        <v>8</v>
      </c>
      <c r="AN26" s="28">
        <f t="shared" si="346"/>
        <v>2.8888888888888888</v>
      </c>
      <c r="AO26" s="24">
        <f t="shared" si="347"/>
        <v>4</v>
      </c>
      <c r="AP26" s="23" t="str">
        <f>_xlfn.XLOOKUP($B26,GCES!$B:$B,GCES!$V:$V,"",0,1)</f>
        <v/>
      </c>
      <c r="AQ26" s="28" t="str">
        <f t="shared" si="348"/>
        <v/>
      </c>
      <c r="AR26" s="24" t="str">
        <f t="shared" si="349"/>
        <v/>
      </c>
      <c r="AS26" s="23" t="str">
        <f>_xlfn.XLOOKUP($B26,GCES!$B:$B,GCES!$AH:$AH,"",0,1)</f>
        <v/>
      </c>
      <c r="AT26" s="28" t="str">
        <f t="shared" si="350"/>
        <v/>
      </c>
      <c r="AU26" s="24" t="str">
        <f t="shared" si="351"/>
        <v/>
      </c>
      <c r="AV26" s="23" t="str">
        <f>_xlfn.XLOOKUP($B26,GCES!$B:$B,GCES!$AG:$AG,"",0,1)</f>
        <v/>
      </c>
      <c r="AW26" s="28" t="str">
        <f t="shared" si="352"/>
        <v/>
      </c>
      <c r="AX26" s="24" t="str">
        <f t="shared" si="353"/>
        <v/>
      </c>
      <c r="AY26" s="90">
        <f>_xlfn.XLOOKUP($B26,GCES!$B:$B,GCES!$AO:$AO,"",0,1)</f>
        <v>12</v>
      </c>
      <c r="AZ26" s="28">
        <f t="shared" si="354"/>
        <v>2.2000000000000002</v>
      </c>
      <c r="BA26" s="24">
        <f t="shared" si="355"/>
        <v>4</v>
      </c>
      <c r="BB26" s="97">
        <f t="shared" si="90"/>
        <v>16</v>
      </c>
      <c r="BC26" s="23">
        <f>_xlfn.XLOOKUP($B26,GCES!$B:$B,GCES!$F:$F,"",0,1)</f>
        <v>12</v>
      </c>
      <c r="BD26" s="28">
        <f t="shared" si="356"/>
        <v>3.1</v>
      </c>
      <c r="BE26" s="26">
        <f t="shared" si="357"/>
        <v>4</v>
      </c>
      <c r="BF26" s="23" t="str">
        <f>_xlfn.XLOOKUP($B26,GCES!$B:$B,GCES!$J:$J,"",0,1)</f>
        <v/>
      </c>
      <c r="BG26" s="28" t="str">
        <f t="shared" si="358"/>
        <v/>
      </c>
      <c r="BH26" s="24" t="str">
        <f t="shared" si="359"/>
        <v/>
      </c>
      <c r="BI26" s="23" t="str">
        <f>_xlfn.XLOOKUP($B26,GCES!$B:$B,GCES!$I:$I,"",0,1)</f>
        <v/>
      </c>
      <c r="BJ26" s="28" t="str">
        <f t="shared" si="360"/>
        <v/>
      </c>
      <c r="BK26" s="24" t="str">
        <f t="shared" si="361"/>
        <v/>
      </c>
      <c r="BL26" s="23" t="str">
        <f>_xlfn.XLOOKUP($B26,GCES!$B:$B,GCES!$AN:$AN,"",0,1)</f>
        <v/>
      </c>
      <c r="BM26" s="28" t="str">
        <f t="shared" si="362"/>
        <v/>
      </c>
      <c r="BN26" s="24" t="str">
        <f t="shared" si="363"/>
        <v/>
      </c>
      <c r="BO26" s="23">
        <f>_xlfn.XLOOKUP($B26,GCES!$B:$B,GCES!$AM:$AM,"",0,1)</f>
        <v>16</v>
      </c>
      <c r="BP26" s="28">
        <f t="shared" si="364"/>
        <v>3.870967741935484</v>
      </c>
      <c r="BQ26" s="24">
        <f t="shared" si="365"/>
        <v>4</v>
      </c>
      <c r="BR26" s="23" t="str">
        <f>_xlfn.XLOOKUP($B26,GCES!$B:$B,GCES!$Z:$Z,"",0,1)</f>
        <v/>
      </c>
      <c r="BS26" s="28" t="str">
        <f t="shared" si="366"/>
        <v/>
      </c>
      <c r="BT26" s="24" t="str">
        <f t="shared" si="367"/>
        <v/>
      </c>
      <c r="BU26" s="23" t="str">
        <f>_xlfn.XLOOKUP($B26,GCES!$B:$B,GCES!$Y:$Y,"",0,1)</f>
        <v/>
      </c>
      <c r="BV26" s="28" t="str">
        <f t="shared" si="368"/>
        <v/>
      </c>
      <c r="BW26" s="24" t="str">
        <f t="shared" si="369"/>
        <v/>
      </c>
      <c r="BX26" s="23" t="str">
        <f>_xlfn.XLOOKUP($B26,GCES!$B:$B,GCES!$AC:$AC,"",0,1)</f>
        <v/>
      </c>
      <c r="BY26" s="28" t="str">
        <f t="shared" si="370"/>
        <v/>
      </c>
      <c r="BZ26" s="24" t="str">
        <f t="shared" si="371"/>
        <v/>
      </c>
      <c r="CA26" s="23" t="str">
        <f>_xlfn.XLOOKUP($B26,GCES!$B:$B,GCES!$AB:$AB,"",0,1)</f>
        <v/>
      </c>
      <c r="CB26" s="28" t="str">
        <f t="shared" si="372"/>
        <v/>
      </c>
      <c r="CC26" s="24" t="str">
        <f t="shared" si="373"/>
        <v/>
      </c>
      <c r="CD26" s="23" t="str">
        <f>_xlfn.XLOOKUP($B26,GCES!$B:$B,GCES!$AS:$AS,"",0,1)</f>
        <v/>
      </c>
      <c r="CE26" s="28" t="str">
        <f t="shared" si="374"/>
        <v/>
      </c>
      <c r="CF26" s="24" t="str">
        <f t="shared" si="375"/>
        <v/>
      </c>
      <c r="CG26" s="23" t="str">
        <f>_xlfn.XLOOKUP($B26,GCES!$B:$B,GCES!$AR:$AR,"",0,1)</f>
        <v/>
      </c>
      <c r="CH26" s="28" t="str">
        <f t="shared" si="376"/>
        <v/>
      </c>
      <c r="CI26" s="26" t="str">
        <f t="shared" si="377"/>
        <v/>
      </c>
      <c r="CJ26" s="23" t="str">
        <f>_xlfn.XLOOKUP($B26,GCES!$B:$B,GCES!$N:$N,"",0,1)</f>
        <v/>
      </c>
      <c r="CK26" s="28" t="str">
        <f t="shared" si="378"/>
        <v/>
      </c>
      <c r="CL26" s="24" t="str">
        <f t="shared" si="379"/>
        <v/>
      </c>
      <c r="CM26" s="23" t="str">
        <f>_xlfn.XLOOKUP($B26,GCES!$B:$B,GCES!$M:$M,"",0,1)</f>
        <v/>
      </c>
      <c r="CN26" s="28" t="str">
        <f t="shared" si="380"/>
        <v/>
      </c>
      <c r="CO26" s="24" t="str">
        <f t="shared" si="381"/>
        <v/>
      </c>
      <c r="CP26" s="90" t="str">
        <f>_xlfn.XLOOKUP($B26,GCES!$B:$B,GCES!$AD:$AD,"",0,1)</f>
        <v/>
      </c>
      <c r="CQ26" s="28" t="str">
        <f t="shared" si="382"/>
        <v/>
      </c>
      <c r="CR26" s="26" t="str">
        <f t="shared" si="383"/>
        <v/>
      </c>
      <c r="CS26" s="23" t="str">
        <f>_xlfn.XLOOKUP($B26,GCES!$B:$B,GCES!$AJ:$AJ,"",0,1)</f>
        <v/>
      </c>
      <c r="CT26" s="28" t="str">
        <f t="shared" si="384"/>
        <v/>
      </c>
      <c r="CU26" s="24" t="str">
        <f t="shared" si="385"/>
        <v/>
      </c>
      <c r="CV26" s="23" t="str">
        <f>_xlfn.XLOOKUP($B26,GCES!$B:$B,GCES!$AI:$AI,"",0,1)</f>
        <v/>
      </c>
      <c r="CW26" s="28" t="str">
        <f t="shared" si="386"/>
        <v/>
      </c>
      <c r="CX26" s="24" t="str">
        <f t="shared" si="387"/>
        <v/>
      </c>
      <c r="CY26" s="100">
        <f t="shared" si="388"/>
        <v>8</v>
      </c>
      <c r="CZ26" s="95">
        <f t="shared" si="389"/>
        <v>24</v>
      </c>
    </row>
    <row r="27" spans="1:104" s="5" customFormat="1" ht="14.4" customHeight="1" x14ac:dyDescent="0.25">
      <c r="A27" s="129" t="s">
        <v>126</v>
      </c>
      <c r="B27" s="130"/>
      <c r="C27" s="71">
        <f>SUM(C24:C26)</f>
        <v>72</v>
      </c>
      <c r="D27" s="72">
        <f t="shared" ref="D27:BP27" si="391">SUM(D24:D26)</f>
        <v>15.780821917808218</v>
      </c>
      <c r="E27" s="73">
        <f t="shared" si="391"/>
        <v>16</v>
      </c>
      <c r="F27" s="71">
        <f t="shared" si="391"/>
        <v>0</v>
      </c>
      <c r="G27" s="72">
        <f t="shared" ref="G27" si="392">SUM(G24:G26)</f>
        <v>0</v>
      </c>
      <c r="H27" s="74">
        <f t="shared" ref="H27:J27" si="393">SUM(H24:H26)</f>
        <v>0</v>
      </c>
      <c r="I27" s="71">
        <f t="shared" si="393"/>
        <v>100</v>
      </c>
      <c r="J27" s="72">
        <f t="shared" si="393"/>
        <v>9.4470046082949306</v>
      </c>
      <c r="K27" s="74">
        <f t="shared" ref="K27" si="394">SUM(K24:K26)</f>
        <v>14</v>
      </c>
      <c r="L27" s="71">
        <f t="shared" si="391"/>
        <v>0</v>
      </c>
      <c r="M27" s="72">
        <f t="shared" ref="M27" si="395">SUM(M24:M26)</f>
        <v>0</v>
      </c>
      <c r="N27" s="74">
        <f t="shared" ref="N27" si="396">SUM(N24:N26)</f>
        <v>0</v>
      </c>
      <c r="O27" s="71">
        <f t="shared" si="391"/>
        <v>0</v>
      </c>
      <c r="P27" s="72">
        <f t="shared" ref="P27" si="397">SUM(P24:P26)</f>
        <v>0</v>
      </c>
      <c r="Q27" s="74">
        <f t="shared" ref="Q27" si="398">SUM(Q24:Q26)</f>
        <v>0</v>
      </c>
      <c r="R27" s="71">
        <f t="shared" si="391"/>
        <v>0</v>
      </c>
      <c r="S27" s="72">
        <f t="shared" ref="S27" si="399">SUM(S24:S26)</f>
        <v>0</v>
      </c>
      <c r="T27" s="74">
        <f t="shared" ref="T27" si="400">SUM(T24:T26)</f>
        <v>0</v>
      </c>
      <c r="U27" s="71">
        <f t="shared" si="391"/>
        <v>0</v>
      </c>
      <c r="V27" s="72">
        <f t="shared" ref="V27" si="401">SUM(V24:V26)</f>
        <v>0</v>
      </c>
      <c r="W27" s="74">
        <f t="shared" ref="W27" si="402">SUM(W24:W26)</f>
        <v>0</v>
      </c>
      <c r="X27" s="71">
        <f t="shared" si="391"/>
        <v>0</v>
      </c>
      <c r="Y27" s="72">
        <f t="shared" ref="Y27" si="403">SUM(Y24:Y26)</f>
        <v>0</v>
      </c>
      <c r="Z27" s="74">
        <f t="shared" ref="Z27" si="404">SUM(Z24:Z26)</f>
        <v>0</v>
      </c>
      <c r="AA27" s="71">
        <f t="shared" si="391"/>
        <v>0</v>
      </c>
      <c r="AB27" s="72">
        <f t="shared" ref="AB27" si="405">SUM(AB24:AB26)</f>
        <v>0</v>
      </c>
      <c r="AC27" s="74">
        <f t="shared" ref="AC27" si="406">SUM(AC24:AC26)</f>
        <v>0</v>
      </c>
      <c r="AD27" s="71">
        <f t="shared" si="391"/>
        <v>0</v>
      </c>
      <c r="AE27" s="72">
        <f t="shared" ref="AE27" si="407">SUM(AE24:AE26)</f>
        <v>0</v>
      </c>
      <c r="AF27" s="74">
        <f t="shared" ref="AF27" si="408">SUM(AF24:AF26)</f>
        <v>0</v>
      </c>
      <c r="AG27" s="71">
        <f t="shared" si="391"/>
        <v>16</v>
      </c>
      <c r="AH27" s="72">
        <f t="shared" ref="AH27" si="409">SUM(AH24:AH26)</f>
        <v>2.6666666666666665</v>
      </c>
      <c r="AI27" s="74">
        <f t="shared" ref="AI27" si="410">SUM(AI24:AI26)</f>
        <v>4</v>
      </c>
      <c r="AJ27" s="71">
        <f t="shared" si="391"/>
        <v>0</v>
      </c>
      <c r="AK27" s="72">
        <f t="shared" ref="AK27" si="411">SUM(AK24:AK26)</f>
        <v>0</v>
      </c>
      <c r="AL27" s="74">
        <f t="shared" ref="AL27" si="412">SUM(AL24:AL26)</f>
        <v>0</v>
      </c>
      <c r="AM27" s="71">
        <f t="shared" si="391"/>
        <v>16</v>
      </c>
      <c r="AN27" s="72">
        <f t="shared" ref="AN27" si="413">SUM(AN24:AN26)</f>
        <v>5.7777777777777777</v>
      </c>
      <c r="AO27" s="74">
        <f t="shared" ref="AO27" si="414">SUM(AO24:AO26)</f>
        <v>4</v>
      </c>
      <c r="AP27" s="71">
        <f t="shared" si="391"/>
        <v>0</v>
      </c>
      <c r="AQ27" s="72">
        <f t="shared" ref="AQ27" si="415">SUM(AQ24:AQ26)</f>
        <v>0</v>
      </c>
      <c r="AR27" s="74">
        <f t="shared" ref="AR27" si="416">SUM(AR24:AR26)</f>
        <v>0</v>
      </c>
      <c r="AS27" s="71">
        <f t="shared" si="391"/>
        <v>0</v>
      </c>
      <c r="AT27" s="72">
        <f t="shared" ref="AT27" si="417">SUM(AT24:AT26)</f>
        <v>0</v>
      </c>
      <c r="AU27" s="74">
        <f t="shared" ref="AU27" si="418">SUM(AU24:AU26)</f>
        <v>0</v>
      </c>
      <c r="AV27" s="71">
        <f t="shared" si="391"/>
        <v>0</v>
      </c>
      <c r="AW27" s="72">
        <f t="shared" ref="AW27" si="419">SUM(AW24:AW26)</f>
        <v>0</v>
      </c>
      <c r="AX27" s="74">
        <f t="shared" ref="AX27" si="420">SUM(AX24:AX26)</f>
        <v>0</v>
      </c>
      <c r="AY27" s="91">
        <f t="shared" si="391"/>
        <v>32</v>
      </c>
      <c r="AZ27" s="72">
        <f t="shared" ref="AZ27" si="421">SUM(AZ24:AZ26)</f>
        <v>5.8666666666666671</v>
      </c>
      <c r="BA27" s="74">
        <f t="shared" ref="BA27" si="422">SUM(BA24:BA26)</f>
        <v>8</v>
      </c>
      <c r="BB27" s="97">
        <f t="shared" si="90"/>
        <v>46</v>
      </c>
      <c r="BC27" s="71">
        <f t="shared" si="391"/>
        <v>40</v>
      </c>
      <c r="BD27" s="72">
        <f t="shared" si="391"/>
        <v>10.333333333333334</v>
      </c>
      <c r="BE27" s="74">
        <f t="shared" si="391"/>
        <v>10</v>
      </c>
      <c r="BF27" s="71">
        <f t="shared" si="391"/>
        <v>0</v>
      </c>
      <c r="BG27" s="72">
        <f t="shared" si="391"/>
        <v>0</v>
      </c>
      <c r="BH27" s="74">
        <f t="shared" si="391"/>
        <v>0</v>
      </c>
      <c r="BI27" s="71">
        <f t="shared" si="391"/>
        <v>0</v>
      </c>
      <c r="BJ27" s="72">
        <f t="shared" si="391"/>
        <v>0</v>
      </c>
      <c r="BK27" s="74">
        <f t="shared" si="391"/>
        <v>0</v>
      </c>
      <c r="BL27" s="91">
        <f t="shared" si="391"/>
        <v>0</v>
      </c>
      <c r="BM27" s="72">
        <f t="shared" si="391"/>
        <v>0</v>
      </c>
      <c r="BN27" s="74">
        <f t="shared" si="391"/>
        <v>0</v>
      </c>
      <c r="BO27" s="71">
        <f t="shared" si="391"/>
        <v>36</v>
      </c>
      <c r="BP27" s="72">
        <f t="shared" si="391"/>
        <v>8.7096774193548399</v>
      </c>
      <c r="BQ27" s="74">
        <f t="shared" ref="BQ27:CX27" si="423">SUM(BQ24:BQ26)</f>
        <v>8</v>
      </c>
      <c r="BR27" s="71">
        <f t="shared" si="423"/>
        <v>0</v>
      </c>
      <c r="BS27" s="72">
        <f t="shared" si="423"/>
        <v>0</v>
      </c>
      <c r="BT27" s="74">
        <f t="shared" si="423"/>
        <v>0</v>
      </c>
      <c r="BU27" s="71">
        <f t="shared" si="423"/>
        <v>0</v>
      </c>
      <c r="BV27" s="72">
        <f t="shared" si="423"/>
        <v>0</v>
      </c>
      <c r="BW27" s="74">
        <f t="shared" si="423"/>
        <v>0</v>
      </c>
      <c r="BX27" s="91">
        <f t="shared" si="423"/>
        <v>0</v>
      </c>
      <c r="BY27" s="72">
        <f t="shared" si="423"/>
        <v>0</v>
      </c>
      <c r="BZ27" s="74">
        <f t="shared" si="423"/>
        <v>0</v>
      </c>
      <c r="CA27" s="71">
        <f t="shared" si="423"/>
        <v>16</v>
      </c>
      <c r="CB27" s="72">
        <f t="shared" si="423"/>
        <v>8</v>
      </c>
      <c r="CC27" s="74">
        <f t="shared" si="423"/>
        <v>8</v>
      </c>
      <c r="CD27" s="71">
        <f t="shared" si="423"/>
        <v>0</v>
      </c>
      <c r="CE27" s="72">
        <f t="shared" si="423"/>
        <v>0</v>
      </c>
      <c r="CF27" s="74">
        <f t="shared" si="423"/>
        <v>0</v>
      </c>
      <c r="CG27" s="71">
        <f t="shared" si="423"/>
        <v>0</v>
      </c>
      <c r="CH27" s="72">
        <f t="shared" si="423"/>
        <v>0</v>
      </c>
      <c r="CI27" s="74">
        <f t="shared" si="423"/>
        <v>0</v>
      </c>
      <c r="CJ27" s="91">
        <f t="shared" si="423"/>
        <v>0</v>
      </c>
      <c r="CK27" s="72">
        <f t="shared" si="423"/>
        <v>0</v>
      </c>
      <c r="CL27" s="74">
        <f t="shared" si="423"/>
        <v>0</v>
      </c>
      <c r="CM27" s="71">
        <f t="shared" si="423"/>
        <v>0</v>
      </c>
      <c r="CN27" s="72">
        <f t="shared" si="423"/>
        <v>0</v>
      </c>
      <c r="CO27" s="74">
        <f t="shared" si="423"/>
        <v>0</v>
      </c>
      <c r="CP27" s="71">
        <f t="shared" si="423"/>
        <v>0</v>
      </c>
      <c r="CQ27" s="72">
        <f t="shared" si="423"/>
        <v>0</v>
      </c>
      <c r="CR27" s="74">
        <f t="shared" si="423"/>
        <v>0</v>
      </c>
      <c r="CS27" s="71">
        <f t="shared" si="423"/>
        <v>0</v>
      </c>
      <c r="CT27" s="72">
        <f t="shared" si="423"/>
        <v>0</v>
      </c>
      <c r="CU27" s="74">
        <f t="shared" si="423"/>
        <v>0</v>
      </c>
      <c r="CV27" s="91">
        <f t="shared" si="423"/>
        <v>0</v>
      </c>
      <c r="CW27" s="72">
        <f t="shared" si="423"/>
        <v>0</v>
      </c>
      <c r="CX27" s="74">
        <f t="shared" si="423"/>
        <v>0</v>
      </c>
      <c r="CY27" s="100">
        <f>SUM(BE27,BH27,BK27,BN27,BQ27,BT27,BW27,BZ27,CC27,CF27,CI27,CL27,CO27,CR27,CU27,CX27)</f>
        <v>26</v>
      </c>
      <c r="CZ27" s="95">
        <f>SUM(BB27,CY27)</f>
        <v>72</v>
      </c>
    </row>
    <row r="28" spans="1:104" x14ac:dyDescent="0.25">
      <c r="A28" s="27" t="s">
        <v>98</v>
      </c>
      <c r="B28" s="88" t="s">
        <v>248</v>
      </c>
      <c r="C28" s="23" t="str">
        <f>_xlfn.XLOOKUP($B28,GCES!$B:$B,GCES!$C:$C,"",0,1)</f>
        <v/>
      </c>
      <c r="D28" s="28" t="str">
        <f t="shared" ref="D28:D31" si="424">IF(C28="","",D$58*C28/C$57)</f>
        <v/>
      </c>
      <c r="E28" s="26" t="str">
        <f t="shared" ref="E28:E31" si="425">IF(C28="","",IF(D28&gt;4,ROUND(D28/2,0)*2,IF(D28&gt;D$59,4,"")))</f>
        <v/>
      </c>
      <c r="F28" s="23" t="str">
        <f>_xlfn.XLOOKUP($B28,GCES!$B:$B,GCES!$E:$E,"",0,1)</f>
        <v/>
      </c>
      <c r="G28" s="28" t="str">
        <f t="shared" ref="G28:G31" si="426">IF(F28="","",G$58*F28/F$57)</f>
        <v/>
      </c>
      <c r="H28" s="24" t="str">
        <f t="shared" ref="H28:H31" si="427">IF(F28="","",IF(G28&gt;4,ROUND(G28/2,0)*2,IF(G28&gt;G$59,4,"")))</f>
        <v/>
      </c>
      <c r="I28" s="23" t="str">
        <f>_xlfn.XLOOKUP($B28,GCES!$B:$B,GCES!$D:$D,"",0,1)</f>
        <v/>
      </c>
      <c r="J28" s="28" t="str">
        <f t="shared" ref="J28:J31" si="428">IF(I28="","",J$58*I28/I$57)</f>
        <v/>
      </c>
      <c r="K28" s="24" t="str">
        <f t="shared" ref="K28:K31" si="429">IF(I28="","",IF(J28&gt;4,ROUND(J28/2,0)*2,IF(J28&gt;J$59,4,"")))</f>
        <v/>
      </c>
      <c r="L28" s="23" t="str">
        <f>_xlfn.XLOOKUP($B28,GCES!$B:$B,GCES!$H:$H,"",0,1)</f>
        <v/>
      </c>
      <c r="M28" s="28" t="str">
        <f t="shared" ref="M28:M31" si="430">IF(L28="","",M$58*L28/L$57)</f>
        <v/>
      </c>
      <c r="N28" s="24" t="str">
        <f t="shared" ref="N28:N31" si="431">IF(L28="","",IF(M28&gt;4,ROUND(M28/2,0)*2,IF(M28&gt;M$59,4,"")))</f>
        <v/>
      </c>
      <c r="O28" s="23" t="str">
        <f>_xlfn.XLOOKUP($B28,GCES!$B:$B,GCES!$G:$G,"",0,1)</f>
        <v/>
      </c>
      <c r="P28" s="28" t="str">
        <f t="shared" ref="P28:P31" si="432">IF(O28="","",P$58*O28/O$57)</f>
        <v/>
      </c>
      <c r="Q28" s="24" t="str">
        <f t="shared" ref="Q28:Q31" si="433">IF(O28="","",IF(P28&gt;4,ROUND(P28/2,0)*2,IF(P28&gt;P$59,4,"")))</f>
        <v/>
      </c>
      <c r="R28" s="23" t="str">
        <f>_xlfn.XLOOKUP($B28,GCES!$B:$B,GCES!$L:$L,"",0,1)</f>
        <v/>
      </c>
      <c r="S28" s="28" t="str">
        <f t="shared" ref="S28:S31" si="434">IF(R28="","",S$58*R28/R$57)</f>
        <v/>
      </c>
      <c r="T28" s="24" t="str">
        <f t="shared" ref="T28:T31" si="435">IF(R28="","",IF(S28&gt;4,ROUND(S28/2,0)*2,IF(S28&gt;S$59,4,"")))</f>
        <v/>
      </c>
      <c r="U28" s="23" t="str">
        <f>_xlfn.XLOOKUP($B28,GCES!$B:$B,GCES!$K:$K,"",0,1)</f>
        <v/>
      </c>
      <c r="V28" s="28" t="str">
        <f t="shared" ref="V28:V31" si="436">IF(U28="","",V$58*U28/U$57)</f>
        <v/>
      </c>
      <c r="W28" s="24" t="str">
        <f t="shared" ref="W28:W31" si="437">IF(U28="","",IF(V28&gt;4,ROUND(V28/2,0)*2,IF(V28&gt;V$59,4,"")))</f>
        <v/>
      </c>
      <c r="X28" s="23" t="str">
        <f>_xlfn.XLOOKUP($B28,GCES!$B:$B,GCES!$S:$S,"",0,1)</f>
        <v/>
      </c>
      <c r="Y28" s="28" t="str">
        <f t="shared" ref="Y28:Y31" si="438">IF(X28="","",Y$58*X28/X$57)</f>
        <v/>
      </c>
      <c r="Z28" s="24" t="str">
        <f t="shared" ref="Z28:Z31" si="439">IF(X28="","",IF(Y28&gt;4,ROUND(Y28/2,0)*2,IF(Y28&gt;Y$59,4,"")))</f>
        <v/>
      </c>
      <c r="AA28" s="23" t="str">
        <f>_xlfn.XLOOKUP($B28,GCES!$B:$B,GCES!$R:$R,"",0,1)</f>
        <v/>
      </c>
      <c r="AB28" s="28" t="str">
        <f t="shared" ref="AB28:AB31" si="440">IF(AA28="","",AB$58*AA28/AA$57)</f>
        <v/>
      </c>
      <c r="AC28" s="24" t="str">
        <f t="shared" ref="AC28:AC31" si="441">IF(AA28="","",IF(AB28&gt;4,ROUND(AB28/2,0)*2,IF(AB28&gt;AB$59,4,"")))</f>
        <v/>
      </c>
      <c r="AD28" s="23" t="str">
        <f>_xlfn.XLOOKUP($B28,GCES!$B:$B,GCES!$AL:$AL,"",0,1)</f>
        <v/>
      </c>
      <c r="AE28" s="28" t="str">
        <f t="shared" ref="AE28:AE31" si="442">IF(AD28="","",AE$58*AD28/AD$57)</f>
        <v/>
      </c>
      <c r="AF28" s="24" t="str">
        <f t="shared" ref="AF28:AF31" si="443">IF(AD28="","",IF(AE28&gt;4,ROUND(AE28/2,0)*2,IF(AE28&gt;AE$59,4,"")))</f>
        <v/>
      </c>
      <c r="AG28" s="23" t="str">
        <f>_xlfn.XLOOKUP($B28,GCES!$B:$B,GCES!$AK:$AK,"",0,1)</f>
        <v/>
      </c>
      <c r="AH28" s="28" t="str">
        <f t="shared" ref="AH28:AH31" si="444">IF(AG28="","",AH$58*AG28/AG$57)</f>
        <v/>
      </c>
      <c r="AI28" s="24" t="str">
        <f t="shared" ref="AI28:AI31" si="445">IF(AG28="","",IF(AH28&gt;4,ROUND(AH28/2,0)*2,IF(AH28&gt;AH$59,4,"")))</f>
        <v/>
      </c>
      <c r="AJ28" s="23" t="str">
        <f>_xlfn.XLOOKUP($B28,GCES!$B:$B,GCES!$AQ:$AQ,"",0,1)</f>
        <v/>
      </c>
      <c r="AK28" s="28" t="str">
        <f t="shared" ref="AK28:AK31" si="446">IF(AJ28="","",AK$58*AJ28/AJ$57)</f>
        <v/>
      </c>
      <c r="AL28" s="24" t="str">
        <f t="shared" ref="AL28:AL31" si="447">IF(AJ28="","",IF(AK28&gt;4,ROUND(AK28/2,0)*2,IF(AK28&gt;AK$59,4,"")))</f>
        <v/>
      </c>
      <c r="AM28" s="23" t="str">
        <f>_xlfn.XLOOKUP($B28,GCES!$B:$B,GCES!$AP:$AP,"",0,1)</f>
        <v/>
      </c>
      <c r="AN28" s="28" t="str">
        <f t="shared" ref="AN28:AN31" si="448">IF(AM28="","",AN$58*AM28/AM$57)</f>
        <v/>
      </c>
      <c r="AO28" s="24" t="str">
        <f t="shared" ref="AO28:AO31" si="449">IF(AM28="","",IF(AN28&gt;4,ROUND(AN28/2,0)*2,IF(AN28&gt;AN$59,4,"")))</f>
        <v/>
      </c>
      <c r="AP28" s="23" t="str">
        <f>_xlfn.XLOOKUP($B28,GCES!$B:$B,GCES!$V:$V,"",0,1)</f>
        <v/>
      </c>
      <c r="AQ28" s="28" t="str">
        <f t="shared" ref="AQ28:AQ31" si="450">IF(AP28="","",AQ$58*AP28/AP$57)</f>
        <v/>
      </c>
      <c r="AR28" s="24" t="str">
        <f t="shared" ref="AR28:AR31" si="451">IF(AP28="","",IF(AQ28&gt;4,ROUND(AQ28/2,0)*2,IF(AQ28&gt;AQ$59,4,"")))</f>
        <v/>
      </c>
      <c r="AS28" s="23" t="str">
        <f>_xlfn.XLOOKUP($B28,GCES!$B:$B,GCES!$AH:$AH,"",0,1)</f>
        <v/>
      </c>
      <c r="AT28" s="28" t="str">
        <f t="shared" ref="AT28:AT31" si="452">IF(AS28="","",AT$58*AS28/AS$57)</f>
        <v/>
      </c>
      <c r="AU28" s="24" t="str">
        <f t="shared" ref="AU28:AU31" si="453">IF(AS28="","",IF(AT28&gt;4,ROUND(AT28/2,0)*2,IF(AT28&gt;AT$59,4,"")))</f>
        <v/>
      </c>
      <c r="AV28" s="23" t="str">
        <f>_xlfn.XLOOKUP($B28,GCES!$B:$B,GCES!$AG:$AG,"",0,1)</f>
        <v/>
      </c>
      <c r="AW28" s="28" t="str">
        <f t="shared" ref="AW28:AW31" si="454">IF(AV28="","",AW$58*AV28/AV$57)</f>
        <v/>
      </c>
      <c r="AX28" s="24" t="str">
        <f t="shared" ref="AX28:AX31" si="455">IF(AV28="","",IF(AW28&gt;4,ROUND(AW28/2,0)*2,IF(AW28&gt;AW$59,4,"")))</f>
        <v/>
      </c>
      <c r="AY28" s="90" t="str">
        <f>_xlfn.XLOOKUP($B28,GCES!$B:$B,GCES!$AO:$AO,"",0,1)</f>
        <v/>
      </c>
      <c r="AZ28" s="28" t="str">
        <f t="shared" ref="AZ28:AZ31" si="456">IF(AY28="","",AZ$58*AY28/AY$57)</f>
        <v/>
      </c>
      <c r="BA28" s="24" t="str">
        <f t="shared" ref="BA28:BA31" si="457">IF(AY28="","",IF(AZ28&gt;4,ROUND(AZ28/2,0)*2,IF(AZ28&gt;AZ$59,4,"")))</f>
        <v/>
      </c>
      <c r="BB28" s="97">
        <f t="shared" si="90"/>
        <v>0</v>
      </c>
      <c r="BC28" s="23" t="str">
        <f>_xlfn.XLOOKUP($B28,GCES!$B:$B,GCES!$F:$F,"",0,1)</f>
        <v/>
      </c>
      <c r="BD28" s="28" t="str">
        <f t="shared" ref="BD28:BD31" si="458">IF(BC28="","",BD$58*BC28/BC$57)</f>
        <v/>
      </c>
      <c r="BE28" s="26" t="str">
        <f t="shared" ref="BE28:BE31" si="459">IF(BC28="","",IF(BD28&gt;4,ROUND(BD28/2,0)*2,IF(BD28&gt;BD$59,4,"")))</f>
        <v/>
      </c>
      <c r="BF28" s="23" t="str">
        <f>_xlfn.XLOOKUP($B28,GCES!$B:$B,GCES!$J:$J,"",0,1)</f>
        <v/>
      </c>
      <c r="BG28" s="28" t="str">
        <f t="shared" ref="BG28:BG31" si="460">IF(BF28="","",BG$58*BF28/BF$57)</f>
        <v/>
      </c>
      <c r="BH28" s="24" t="str">
        <f t="shared" ref="BH28:BH31" si="461">IF(BF28="","",IF(BG28&gt;4,ROUND(BG28/2,0)*2,IF(BG28&gt;BG$59,4,"")))</f>
        <v/>
      </c>
      <c r="BI28" s="23" t="str">
        <f>_xlfn.XLOOKUP($B28,GCES!$B:$B,GCES!$I:$I,"",0,1)</f>
        <v/>
      </c>
      <c r="BJ28" s="28" t="str">
        <f t="shared" ref="BJ28:BJ31" si="462">IF(BI28="","",BJ$58*BI28/BI$57)</f>
        <v/>
      </c>
      <c r="BK28" s="24" t="str">
        <f t="shared" ref="BK28:BK31" si="463">IF(BI28="","",IF(BJ28&gt;4,ROUND(BJ28/2,0)*2,IF(BJ28&gt;BJ$59,4,"")))</f>
        <v/>
      </c>
      <c r="BL28" s="23" t="str">
        <f>_xlfn.XLOOKUP($B28,GCES!$B:$B,GCES!$AN:$AN,"",0,1)</f>
        <v/>
      </c>
      <c r="BM28" s="28" t="str">
        <f t="shared" ref="BM28:BM31" si="464">IF(BL28="","",BM$58*BL28/BL$57)</f>
        <v/>
      </c>
      <c r="BN28" s="24" t="str">
        <f t="shared" ref="BN28:BN31" si="465">IF(BL28="","",IF(BM28&gt;4,ROUND(BM28/2,0)*2,IF(BM28&gt;BM$59,4,"")))</f>
        <v/>
      </c>
      <c r="BO28" s="23" t="str">
        <f>_xlfn.XLOOKUP($B28,GCES!$B:$B,GCES!$AM:$AM,"",0,1)</f>
        <v/>
      </c>
      <c r="BP28" s="28" t="str">
        <f t="shared" ref="BP28:BP31" si="466">IF(BO28="","",BP$58*BO28/BO$57)</f>
        <v/>
      </c>
      <c r="BQ28" s="24" t="str">
        <f t="shared" ref="BQ28:BQ31" si="467">IF(BO28="","",IF(BP28&gt;4,ROUND(BP28/2,0)*2,IF(BP28&gt;BP$59,4,"")))</f>
        <v/>
      </c>
      <c r="BR28" s="23" t="str">
        <f>_xlfn.XLOOKUP($B28,GCES!$B:$B,GCES!$Z:$Z,"",0,1)</f>
        <v/>
      </c>
      <c r="BS28" s="28" t="str">
        <f t="shared" ref="BS28:BS31" si="468">IF(BR28="","",BS$58*BR28/BR$57)</f>
        <v/>
      </c>
      <c r="BT28" s="24" t="str">
        <f t="shared" ref="BT28:BT31" si="469">IF(BR28="","",IF(BS28&gt;4,ROUND(BS28/2,0)*2,IF(BS28&gt;BS$59,4,"")))</f>
        <v/>
      </c>
      <c r="BU28" s="23" t="str">
        <f>_xlfn.XLOOKUP($B28,GCES!$B:$B,GCES!$Y:$Y,"",0,1)</f>
        <v/>
      </c>
      <c r="BV28" s="28" t="str">
        <f t="shared" ref="BV28:BV31" si="470">IF(BU28="","",BV$58*BU28/BU$57)</f>
        <v/>
      </c>
      <c r="BW28" s="24" t="str">
        <f t="shared" ref="BW28:BW31" si="471">IF(BU28="","",IF(BV28&gt;4,ROUND(BV28/2,0)*2,IF(BV28&gt;BV$59,4,"")))</f>
        <v/>
      </c>
      <c r="BX28" s="23" t="str">
        <f>_xlfn.XLOOKUP($B28,GCES!$B:$B,GCES!$AC:$AC,"",0,1)</f>
        <v/>
      </c>
      <c r="BY28" s="28" t="str">
        <f t="shared" ref="BY28:BY31" si="472">IF(BX28="","",BY$58*BX28/BX$57)</f>
        <v/>
      </c>
      <c r="BZ28" s="24" t="str">
        <f t="shared" ref="BZ28:BZ31" si="473">IF(BX28="","",IF(BY28&gt;4,ROUND(BY28/2,0)*2,IF(BY28&gt;BY$59,4,"")))</f>
        <v/>
      </c>
      <c r="CA28" s="23" t="str">
        <f>_xlfn.XLOOKUP($B28,GCES!$B:$B,GCES!$AB:$AB,"",0,1)</f>
        <v/>
      </c>
      <c r="CB28" s="28" t="str">
        <f t="shared" ref="CB28:CB31" si="474">IF(CA28="","",CB$58*CA28/CA$57)</f>
        <v/>
      </c>
      <c r="CC28" s="24" t="str">
        <f t="shared" ref="CC28:CC31" si="475">IF(CA28="","",IF(CB28&gt;4,ROUND(CB28/2,0)*2,IF(CB28&gt;CB$59,4,"")))</f>
        <v/>
      </c>
      <c r="CD28" s="23" t="str">
        <f>_xlfn.XLOOKUP($B28,GCES!$B:$B,GCES!$AS:$AS,"",0,1)</f>
        <v/>
      </c>
      <c r="CE28" s="28" t="str">
        <f t="shared" ref="CE28:CE31" si="476">IF(CD28="","",CE$58*CD28/CD$57)</f>
        <v/>
      </c>
      <c r="CF28" s="24" t="str">
        <f t="shared" ref="CF28:CF31" si="477">IF(CD28="","",IF(CE28&gt;4,ROUND(CE28/2,0)*2,IF(CE28&gt;CE$59,4,"")))</f>
        <v/>
      </c>
      <c r="CG28" s="23" t="str">
        <f>_xlfn.XLOOKUP($B28,GCES!$B:$B,GCES!$AR:$AR,"",0,1)</f>
        <v/>
      </c>
      <c r="CH28" s="28" t="str">
        <f t="shared" ref="CH28:CH31" si="478">IF(CG28="","",CH$58*CG28/CG$57)</f>
        <v/>
      </c>
      <c r="CI28" s="26" t="str">
        <f t="shared" ref="CI28:CI31" si="479">IF(CG28="","",IF(CH28&gt;4,ROUND(CH28/2,0)*2,IF(CH28&gt;CH$59,4,"")))</f>
        <v/>
      </c>
      <c r="CJ28" s="23" t="str">
        <f>_xlfn.XLOOKUP($B28,GCES!$B:$B,GCES!$N:$N,"",0,1)</f>
        <v/>
      </c>
      <c r="CK28" s="28" t="str">
        <f t="shared" ref="CK28:CK31" si="480">IF(CJ28="","",CK$58*CJ28/CJ$57)</f>
        <v/>
      </c>
      <c r="CL28" s="24" t="str">
        <f t="shared" ref="CL28:CL31" si="481">IF(CJ28="","",IF(CK28&gt;4,ROUND(CK28/2,0)*2,IF(CK28&gt;CK$59,4,"")))</f>
        <v/>
      </c>
      <c r="CM28" s="23" t="str">
        <f>_xlfn.XLOOKUP($B28,GCES!$B:$B,GCES!$M:$M,"",0,1)</f>
        <v/>
      </c>
      <c r="CN28" s="28" t="str">
        <f t="shared" ref="CN28:CN31" si="482">IF(CM28="","",CN$58*CM28/CM$57)</f>
        <v/>
      </c>
      <c r="CO28" s="24" t="str">
        <f t="shared" ref="CO28:CO31" si="483">IF(CM28="","",IF(CN28&gt;4,ROUND(CN28/2,0)*2,IF(CN28&gt;CN$59,4,"")))</f>
        <v/>
      </c>
      <c r="CP28" s="90" t="str">
        <f>_xlfn.XLOOKUP($B28,GCES!$B:$B,GCES!$AD:$AD,"",0,1)</f>
        <v/>
      </c>
      <c r="CQ28" s="28" t="str">
        <f t="shared" ref="CQ28:CQ31" si="484">IF(CP28="","",CQ$58*CP28/CP$57)</f>
        <v/>
      </c>
      <c r="CR28" s="26" t="str">
        <f t="shared" ref="CR28:CR31" si="485">IF(CP28="","",IF(CQ28&gt;4,ROUND(CQ28/2,0)*2,IF(CQ28&gt;CQ$59,4,"")))</f>
        <v/>
      </c>
      <c r="CS28" s="23" t="str">
        <f>_xlfn.XLOOKUP($B28,GCES!$B:$B,GCES!$AJ:$AJ,"",0,1)</f>
        <v/>
      </c>
      <c r="CT28" s="28" t="str">
        <f t="shared" ref="CT28:CT31" si="486">IF(CS28="","",CT$58*CS28/CS$57)</f>
        <v/>
      </c>
      <c r="CU28" s="24" t="str">
        <f t="shared" ref="CU28:CU31" si="487">IF(CS28="","",IF(CT28&gt;4,ROUND(CT28/2,0)*2,IF(CT28&gt;CT$59,4,"")))</f>
        <v/>
      </c>
      <c r="CV28" s="23" t="str">
        <f>_xlfn.XLOOKUP($B28,GCES!$B:$B,GCES!$AI:$AI,"",0,1)</f>
        <v/>
      </c>
      <c r="CW28" s="28" t="str">
        <f t="shared" ref="CW28:CW31" si="488">IF(CV28="","",CW$58*CV28/CV$57)</f>
        <v/>
      </c>
      <c r="CX28" s="24" t="str">
        <f t="shared" ref="CX28:CX31" si="489">IF(CV28="","",IF(CW28&gt;4,ROUND(CW28/2,0)*2,IF(CW28&gt;CW$59,4,"")))</f>
        <v/>
      </c>
      <c r="CY28" s="100">
        <f t="shared" ref="CY28:CY31" si="490">SUM(BE28,BH28,BK28,BN28,BQ28,BT28,BW28,BZ28,CC28,CF28,CI28,CL28,CO28,CR28,CU28,CX28)</f>
        <v>0</v>
      </c>
      <c r="CZ28" s="95">
        <f t="shared" ref="CZ28:CZ31" si="491">SUM(BB28,CY28)</f>
        <v>0</v>
      </c>
    </row>
    <row r="29" spans="1:104" x14ac:dyDescent="0.25">
      <c r="A29" s="27" t="s">
        <v>97</v>
      </c>
      <c r="B29" s="88" t="s">
        <v>59</v>
      </c>
      <c r="C29" s="23">
        <f>_xlfn.XLOOKUP($B29,GCES!$B:$B,GCES!$C:$C,"",0,1)</f>
        <v>48</v>
      </c>
      <c r="D29" s="28">
        <f t="shared" si="424"/>
        <v>10.520547945205479</v>
      </c>
      <c r="E29" s="37">
        <v>8</v>
      </c>
      <c r="F29" s="23" t="str">
        <f>_xlfn.XLOOKUP($B29,GCES!$B:$B,GCES!$E:$E,"",0,1)</f>
        <v/>
      </c>
      <c r="G29" s="28" t="str">
        <f t="shared" si="426"/>
        <v/>
      </c>
      <c r="H29" s="24" t="str">
        <f t="shared" si="427"/>
        <v/>
      </c>
      <c r="I29" s="23">
        <f>_xlfn.XLOOKUP($B29,GCES!$B:$B,GCES!$D:$D,"",0,1)</f>
        <v>84</v>
      </c>
      <c r="J29" s="28">
        <f t="shared" si="428"/>
        <v>7.935483870967742</v>
      </c>
      <c r="K29" s="24">
        <f t="shared" si="429"/>
        <v>8</v>
      </c>
      <c r="L29" s="23" t="str">
        <f>_xlfn.XLOOKUP($B29,GCES!$B:$B,GCES!$H:$H,"",0,1)</f>
        <v/>
      </c>
      <c r="M29" s="28" t="str">
        <f t="shared" si="430"/>
        <v/>
      </c>
      <c r="N29" s="24" t="str">
        <f t="shared" si="431"/>
        <v/>
      </c>
      <c r="O29" s="23" t="str">
        <f>_xlfn.XLOOKUP($B29,GCES!$B:$B,GCES!$G:$G,"",0,1)</f>
        <v/>
      </c>
      <c r="P29" s="28" t="str">
        <f t="shared" si="432"/>
        <v/>
      </c>
      <c r="Q29" s="24" t="str">
        <f t="shared" si="433"/>
        <v/>
      </c>
      <c r="R29" s="23">
        <f>_xlfn.XLOOKUP($B29,GCES!$B:$B,GCES!$L:$L,"",0,1)</f>
        <v>16</v>
      </c>
      <c r="S29" s="28">
        <f t="shared" si="434"/>
        <v>7.4482758620689653</v>
      </c>
      <c r="T29" s="24">
        <f t="shared" si="435"/>
        <v>8</v>
      </c>
      <c r="U29" s="23">
        <f>_xlfn.XLOOKUP($B29,GCES!$B:$B,GCES!$K:$K,"",0,1)</f>
        <v>20</v>
      </c>
      <c r="V29" s="28">
        <f t="shared" si="436"/>
        <v>12</v>
      </c>
      <c r="W29" s="24">
        <f t="shared" si="437"/>
        <v>12</v>
      </c>
      <c r="X29" s="23">
        <f>_xlfn.XLOOKUP($B29,GCES!$B:$B,GCES!$S:$S,"",0,1)</f>
        <v>16</v>
      </c>
      <c r="Y29" s="28">
        <f t="shared" si="438"/>
        <v>5.6470588235294121</v>
      </c>
      <c r="Z29" s="24">
        <f t="shared" si="439"/>
        <v>6</v>
      </c>
      <c r="AA29" s="23" t="str">
        <f>_xlfn.XLOOKUP($B29,GCES!$B:$B,GCES!$R:$R,"",0,1)</f>
        <v/>
      </c>
      <c r="AB29" s="28" t="str">
        <f t="shared" si="440"/>
        <v/>
      </c>
      <c r="AC29" s="24" t="str">
        <f t="shared" si="441"/>
        <v/>
      </c>
      <c r="AD29" s="23">
        <f>_xlfn.XLOOKUP($B29,GCES!$B:$B,GCES!$AL:$AL,"",0,1)</f>
        <v>0</v>
      </c>
      <c r="AE29" s="28">
        <f t="shared" si="442"/>
        <v>0</v>
      </c>
      <c r="AF29" s="24" t="str">
        <f t="shared" si="443"/>
        <v/>
      </c>
      <c r="AG29" s="23">
        <f>_xlfn.XLOOKUP($B29,GCES!$B:$B,GCES!$AK:$AK,"",0,1)</f>
        <v>16</v>
      </c>
      <c r="AH29" s="28">
        <f t="shared" si="444"/>
        <v>2.6666666666666665</v>
      </c>
      <c r="AI29" s="24">
        <f t="shared" si="445"/>
        <v>4</v>
      </c>
      <c r="AJ29" s="23">
        <f>_xlfn.XLOOKUP($B29,GCES!$B:$B,GCES!$AQ:$AQ,"",0,1)</f>
        <v>16</v>
      </c>
      <c r="AK29" s="28">
        <f t="shared" si="446"/>
        <v>4.9411764705882355</v>
      </c>
      <c r="AL29" s="38">
        <v>6</v>
      </c>
      <c r="AM29" s="23" t="str">
        <f>_xlfn.XLOOKUP($B29,GCES!$B:$B,GCES!$AP:$AP,"",0,1)</f>
        <v/>
      </c>
      <c r="AN29" s="28" t="str">
        <f t="shared" si="448"/>
        <v/>
      </c>
      <c r="AO29" s="24" t="str">
        <f t="shared" si="449"/>
        <v/>
      </c>
      <c r="AP29" s="23" t="str">
        <f>_xlfn.XLOOKUP($B29,GCES!$B:$B,GCES!$V:$V,"",0,1)</f>
        <v/>
      </c>
      <c r="AQ29" s="28" t="str">
        <f t="shared" si="450"/>
        <v/>
      </c>
      <c r="AR29" s="24" t="str">
        <f t="shared" si="451"/>
        <v/>
      </c>
      <c r="AS29" s="23">
        <f>_xlfn.XLOOKUP($B29,GCES!$B:$B,GCES!$AH:$AH,"",0,1)</f>
        <v>36</v>
      </c>
      <c r="AT29" s="28">
        <f t="shared" si="452"/>
        <v>6.9795918367346941</v>
      </c>
      <c r="AU29" s="24">
        <f t="shared" si="453"/>
        <v>6</v>
      </c>
      <c r="AV29" s="23" t="str">
        <f>_xlfn.XLOOKUP($B29,GCES!$B:$B,GCES!$AG:$AG,"",0,1)</f>
        <v/>
      </c>
      <c r="AW29" s="28" t="str">
        <f t="shared" si="454"/>
        <v/>
      </c>
      <c r="AX29" s="24" t="str">
        <f t="shared" si="455"/>
        <v/>
      </c>
      <c r="AY29" s="90">
        <f>_xlfn.XLOOKUP($B29,GCES!$B:$B,GCES!$AO:$AO,"",0,1)</f>
        <v>32</v>
      </c>
      <c r="AZ29" s="28">
        <f t="shared" si="456"/>
        <v>5.8666666666666663</v>
      </c>
      <c r="BA29" s="24">
        <f t="shared" si="457"/>
        <v>6</v>
      </c>
      <c r="BB29" s="97">
        <f t="shared" si="90"/>
        <v>64</v>
      </c>
      <c r="BC29" s="23">
        <f>_xlfn.XLOOKUP($B29,GCES!$B:$B,GCES!$F:$F,"",0,1)</f>
        <v>16</v>
      </c>
      <c r="BD29" s="28">
        <f t="shared" si="458"/>
        <v>4.1333333333333337</v>
      </c>
      <c r="BE29" s="26">
        <f t="shared" si="459"/>
        <v>4</v>
      </c>
      <c r="BF29" s="23" t="str">
        <f>_xlfn.XLOOKUP($B29,GCES!$B:$B,GCES!$J:$J,"",0,1)</f>
        <v/>
      </c>
      <c r="BG29" s="28" t="str">
        <f t="shared" si="460"/>
        <v/>
      </c>
      <c r="BH29" s="24" t="str">
        <f t="shared" si="461"/>
        <v/>
      </c>
      <c r="BI29" s="23" t="str">
        <f>_xlfn.XLOOKUP($B29,GCES!$B:$B,GCES!$I:$I,"",0,1)</f>
        <v/>
      </c>
      <c r="BJ29" s="28" t="str">
        <f t="shared" si="462"/>
        <v/>
      </c>
      <c r="BK29" s="24" t="str">
        <f t="shared" si="463"/>
        <v/>
      </c>
      <c r="BL29" s="23" t="str">
        <f>_xlfn.XLOOKUP($B29,GCES!$B:$B,GCES!$AN:$AN,"",0,1)</f>
        <v/>
      </c>
      <c r="BM29" s="28" t="str">
        <f t="shared" si="464"/>
        <v/>
      </c>
      <c r="BN29" s="24" t="str">
        <f t="shared" si="465"/>
        <v/>
      </c>
      <c r="BO29" s="23">
        <f>_xlfn.XLOOKUP($B29,GCES!$B:$B,GCES!$AM:$AM,"",0,1)</f>
        <v>16</v>
      </c>
      <c r="BP29" s="28">
        <f t="shared" si="466"/>
        <v>3.870967741935484</v>
      </c>
      <c r="BQ29" s="24">
        <f t="shared" si="467"/>
        <v>4</v>
      </c>
      <c r="BR29" s="23">
        <f>_xlfn.XLOOKUP($B29,GCES!$B:$B,GCES!$Z:$Z,"",0,1)</f>
        <v>28</v>
      </c>
      <c r="BS29" s="28">
        <f t="shared" si="468"/>
        <v>7.84</v>
      </c>
      <c r="BT29" s="24">
        <f t="shared" si="469"/>
        <v>8</v>
      </c>
      <c r="BU29" s="23" t="str">
        <f>_xlfn.XLOOKUP($B29,GCES!$B:$B,GCES!$Y:$Y,"",0,1)</f>
        <v/>
      </c>
      <c r="BV29" s="28" t="str">
        <f t="shared" si="470"/>
        <v/>
      </c>
      <c r="BW29" s="24" t="str">
        <f t="shared" si="471"/>
        <v/>
      </c>
      <c r="BX29" s="23">
        <f>_xlfn.XLOOKUP($B29,GCES!$B:$B,GCES!$AC:$AC,"",0,1)</f>
        <v>20</v>
      </c>
      <c r="BY29" s="28">
        <f t="shared" si="472"/>
        <v>6.290322580645161</v>
      </c>
      <c r="BZ29" s="24">
        <f t="shared" si="473"/>
        <v>6</v>
      </c>
      <c r="CA29" s="23" t="str">
        <f>_xlfn.XLOOKUP($B29,GCES!$B:$B,GCES!$AB:$AB,"",0,1)</f>
        <v/>
      </c>
      <c r="CB29" s="28" t="str">
        <f t="shared" si="474"/>
        <v/>
      </c>
      <c r="CC29" s="24" t="str">
        <f t="shared" si="475"/>
        <v/>
      </c>
      <c r="CD29" s="23" t="str">
        <f>_xlfn.XLOOKUP($B29,GCES!$B:$B,GCES!$AS:$AS,"",0,1)</f>
        <v/>
      </c>
      <c r="CE29" s="28" t="str">
        <f t="shared" si="476"/>
        <v/>
      </c>
      <c r="CF29" s="24" t="str">
        <f t="shared" si="477"/>
        <v/>
      </c>
      <c r="CG29" s="23">
        <f>_xlfn.XLOOKUP($B29,GCES!$B:$B,GCES!$AR:$AR,"",0,1)</f>
        <v>16</v>
      </c>
      <c r="CH29" s="28">
        <f t="shared" si="478"/>
        <v>5.2173913043478262</v>
      </c>
      <c r="CI29" s="26">
        <f t="shared" si="479"/>
        <v>6</v>
      </c>
      <c r="CJ29" s="23">
        <f>_xlfn.XLOOKUP($B29,GCES!$B:$B,GCES!$N:$N,"",0,1)</f>
        <v>8</v>
      </c>
      <c r="CK29" s="28">
        <f t="shared" si="480"/>
        <v>2.1224489795918369</v>
      </c>
      <c r="CL29" s="24" t="str">
        <f t="shared" si="481"/>
        <v/>
      </c>
      <c r="CM29" s="23" t="str">
        <f>_xlfn.XLOOKUP($B29,GCES!$B:$B,GCES!$M:$M,"",0,1)</f>
        <v/>
      </c>
      <c r="CN29" s="28" t="str">
        <f t="shared" si="482"/>
        <v/>
      </c>
      <c r="CO29" s="24" t="str">
        <f t="shared" si="483"/>
        <v/>
      </c>
      <c r="CP29" s="90" t="str">
        <f>_xlfn.XLOOKUP($B29,GCES!$B:$B,GCES!$AD:$AD,"",0,1)</f>
        <v/>
      </c>
      <c r="CQ29" s="28" t="str">
        <f t="shared" si="484"/>
        <v/>
      </c>
      <c r="CR29" s="26" t="str">
        <f t="shared" si="485"/>
        <v/>
      </c>
      <c r="CS29" s="23" t="str">
        <f>_xlfn.XLOOKUP($B29,GCES!$B:$B,GCES!$AJ:$AJ,"",0,1)</f>
        <v/>
      </c>
      <c r="CT29" s="28" t="str">
        <f t="shared" si="486"/>
        <v/>
      </c>
      <c r="CU29" s="24" t="str">
        <f t="shared" si="487"/>
        <v/>
      </c>
      <c r="CV29" s="23" t="str">
        <f>_xlfn.XLOOKUP($B29,GCES!$B:$B,GCES!$AI:$AI,"",0,1)</f>
        <v/>
      </c>
      <c r="CW29" s="28" t="str">
        <f t="shared" si="488"/>
        <v/>
      </c>
      <c r="CX29" s="24" t="str">
        <f t="shared" si="489"/>
        <v/>
      </c>
      <c r="CY29" s="100">
        <f t="shared" si="490"/>
        <v>28</v>
      </c>
      <c r="CZ29" s="95">
        <f t="shared" si="491"/>
        <v>92</v>
      </c>
    </row>
    <row r="30" spans="1:104" x14ac:dyDescent="0.25">
      <c r="A30" s="27" t="s">
        <v>99</v>
      </c>
      <c r="B30" s="88" t="s">
        <v>87</v>
      </c>
      <c r="C30" s="23">
        <f>_xlfn.XLOOKUP($B30,GCES!$B:$B,GCES!$C:$C,"",0,1)</f>
        <v>12</v>
      </c>
      <c r="D30" s="28">
        <f t="shared" si="424"/>
        <v>2.6301369863013697</v>
      </c>
      <c r="E30" s="26">
        <f t="shared" si="425"/>
        <v>4</v>
      </c>
      <c r="F30" s="23" t="str">
        <f>_xlfn.XLOOKUP($B30,GCES!$B:$B,GCES!$E:$E,"",0,1)</f>
        <v/>
      </c>
      <c r="G30" s="28" t="str">
        <f t="shared" si="426"/>
        <v/>
      </c>
      <c r="H30" s="24" t="str">
        <f t="shared" si="427"/>
        <v/>
      </c>
      <c r="I30" s="23">
        <f>_xlfn.XLOOKUP($B30,GCES!$B:$B,GCES!$D:$D,"",0,1)</f>
        <v>36</v>
      </c>
      <c r="J30" s="28">
        <f t="shared" si="428"/>
        <v>3.4009216589861753</v>
      </c>
      <c r="K30" s="24">
        <f t="shared" si="429"/>
        <v>4</v>
      </c>
      <c r="L30" s="23" t="str">
        <f>_xlfn.XLOOKUP($B30,GCES!$B:$B,GCES!$H:$H,"",0,1)</f>
        <v/>
      </c>
      <c r="M30" s="28" t="str">
        <f t="shared" si="430"/>
        <v/>
      </c>
      <c r="N30" s="24" t="str">
        <f t="shared" si="431"/>
        <v/>
      </c>
      <c r="O30" s="23" t="str">
        <f>_xlfn.XLOOKUP($B30,GCES!$B:$B,GCES!$G:$G,"",0,1)</f>
        <v/>
      </c>
      <c r="P30" s="28" t="str">
        <f t="shared" si="432"/>
        <v/>
      </c>
      <c r="Q30" s="24" t="str">
        <f t="shared" si="433"/>
        <v/>
      </c>
      <c r="R30" s="23">
        <f>_xlfn.XLOOKUP($B30,GCES!$B:$B,GCES!$L:$L,"",0,1)</f>
        <v>48</v>
      </c>
      <c r="S30" s="28">
        <f t="shared" si="434"/>
        <v>22.344827586206897</v>
      </c>
      <c r="T30" s="38">
        <v>24</v>
      </c>
      <c r="U30" s="23">
        <f>_xlfn.XLOOKUP($B30,GCES!$B:$B,GCES!$K:$K,"",0,1)</f>
        <v>0</v>
      </c>
      <c r="V30" s="28">
        <f t="shared" si="436"/>
        <v>0</v>
      </c>
      <c r="W30" s="24" t="str">
        <f t="shared" si="437"/>
        <v/>
      </c>
      <c r="X30" s="23" t="str">
        <f>_xlfn.XLOOKUP($B30,GCES!$B:$B,GCES!$S:$S,"",0,1)</f>
        <v/>
      </c>
      <c r="Y30" s="28" t="str">
        <f t="shared" si="438"/>
        <v/>
      </c>
      <c r="Z30" s="24" t="str">
        <f t="shared" si="439"/>
        <v/>
      </c>
      <c r="AA30" s="23">
        <f>_xlfn.XLOOKUP($B30,GCES!$B:$B,GCES!$R:$R,"",0,1)</f>
        <v>20</v>
      </c>
      <c r="AB30" s="28">
        <f t="shared" si="440"/>
        <v>6.8181818181818183</v>
      </c>
      <c r="AC30" s="24">
        <f t="shared" si="441"/>
        <v>6</v>
      </c>
      <c r="AD30" s="23">
        <f>_xlfn.XLOOKUP($B30,GCES!$B:$B,GCES!$AL:$AL,"",0,1)</f>
        <v>8</v>
      </c>
      <c r="AE30" s="28">
        <f t="shared" si="442"/>
        <v>0.96153846153846156</v>
      </c>
      <c r="AF30" s="24" t="str">
        <f t="shared" si="443"/>
        <v/>
      </c>
      <c r="AG30" s="23">
        <f>_xlfn.XLOOKUP($B30,GCES!$B:$B,GCES!$AK:$AK,"",0,1)</f>
        <v>8</v>
      </c>
      <c r="AH30" s="28">
        <f t="shared" si="444"/>
        <v>1.3333333333333333</v>
      </c>
      <c r="AI30" s="38"/>
      <c r="AJ30" s="23" t="str">
        <f>_xlfn.XLOOKUP($B30,GCES!$B:$B,GCES!$AQ:$AQ,"",0,1)</f>
        <v/>
      </c>
      <c r="AK30" s="28" t="str">
        <f t="shared" si="446"/>
        <v/>
      </c>
      <c r="AL30" s="24" t="str">
        <f t="shared" si="447"/>
        <v/>
      </c>
      <c r="AM30" s="23" t="str">
        <f>_xlfn.XLOOKUP($B30,GCES!$B:$B,GCES!$AP:$AP,"",0,1)</f>
        <v/>
      </c>
      <c r="AN30" s="28" t="str">
        <f t="shared" si="448"/>
        <v/>
      </c>
      <c r="AO30" s="24" t="str">
        <f t="shared" si="449"/>
        <v/>
      </c>
      <c r="AP30" s="23" t="str">
        <f>_xlfn.XLOOKUP($B30,GCES!$B:$B,GCES!$V:$V,"",0,1)</f>
        <v/>
      </c>
      <c r="AQ30" s="28" t="str">
        <f t="shared" si="450"/>
        <v/>
      </c>
      <c r="AR30" s="24" t="str">
        <f t="shared" si="451"/>
        <v/>
      </c>
      <c r="AS30" s="23">
        <f>_xlfn.XLOOKUP($B30,GCES!$B:$B,GCES!$AH:$AH,"",0,1)</f>
        <v>20</v>
      </c>
      <c r="AT30" s="28">
        <f t="shared" si="452"/>
        <v>3.8775510204081631</v>
      </c>
      <c r="AU30" s="24">
        <f t="shared" si="453"/>
        <v>4</v>
      </c>
      <c r="AV30" s="23">
        <f>_xlfn.XLOOKUP($B30,GCES!$B:$B,GCES!$AG:$AG,"",0,1)</f>
        <v>28</v>
      </c>
      <c r="AW30" s="28">
        <f t="shared" si="454"/>
        <v>6.6315789473684212</v>
      </c>
      <c r="AX30" s="24">
        <f t="shared" si="455"/>
        <v>6</v>
      </c>
      <c r="AY30" s="90">
        <f>_xlfn.XLOOKUP($B30,GCES!$B:$B,GCES!$AO:$AO,"",0,1)</f>
        <v>32</v>
      </c>
      <c r="AZ30" s="28">
        <f t="shared" si="456"/>
        <v>5.8666666666666663</v>
      </c>
      <c r="BA30" s="24">
        <f t="shared" si="457"/>
        <v>6</v>
      </c>
      <c r="BB30" s="97">
        <f t="shared" si="90"/>
        <v>54</v>
      </c>
      <c r="BC30" s="23">
        <f>_xlfn.XLOOKUP($B30,GCES!$B:$B,GCES!$F:$F,"",0,1)</f>
        <v>8</v>
      </c>
      <c r="BD30" s="28">
        <f t="shared" si="458"/>
        <v>2.0666666666666669</v>
      </c>
      <c r="BE30" s="37">
        <v>4</v>
      </c>
      <c r="BF30" s="23" t="str">
        <f>_xlfn.XLOOKUP($B30,GCES!$B:$B,GCES!$J:$J,"",0,1)</f>
        <v/>
      </c>
      <c r="BG30" s="28" t="str">
        <f t="shared" si="460"/>
        <v/>
      </c>
      <c r="BH30" s="24" t="str">
        <f t="shared" si="461"/>
        <v/>
      </c>
      <c r="BI30" s="23" t="str">
        <f>_xlfn.XLOOKUP($B30,GCES!$B:$B,GCES!$I:$I,"",0,1)</f>
        <v/>
      </c>
      <c r="BJ30" s="28" t="str">
        <f t="shared" si="462"/>
        <v/>
      </c>
      <c r="BK30" s="24" t="str">
        <f t="shared" si="463"/>
        <v/>
      </c>
      <c r="BL30" s="23" t="str">
        <f>_xlfn.XLOOKUP($B30,GCES!$B:$B,GCES!$AN:$AN,"",0,1)</f>
        <v/>
      </c>
      <c r="BM30" s="28" t="str">
        <f t="shared" si="464"/>
        <v/>
      </c>
      <c r="BN30" s="24" t="str">
        <f t="shared" si="465"/>
        <v/>
      </c>
      <c r="BO30" s="23">
        <f>_xlfn.XLOOKUP($B30,GCES!$B:$B,GCES!$AM:$AM,"",0,1)</f>
        <v>4</v>
      </c>
      <c r="BP30" s="28">
        <f t="shared" si="466"/>
        <v>0.967741935483871</v>
      </c>
      <c r="BQ30" s="24" t="str">
        <f t="shared" si="467"/>
        <v/>
      </c>
      <c r="BR30" s="23">
        <f>_xlfn.XLOOKUP($B30,GCES!$B:$B,GCES!$Z:$Z,"",0,1)</f>
        <v>20</v>
      </c>
      <c r="BS30" s="28">
        <f t="shared" si="468"/>
        <v>5.6</v>
      </c>
      <c r="BT30" s="24">
        <f t="shared" si="469"/>
        <v>6</v>
      </c>
      <c r="BU30" s="23">
        <f>_xlfn.XLOOKUP($B30,GCES!$B:$B,GCES!$Y:$Y,"",0,1)</f>
        <v>0</v>
      </c>
      <c r="BV30" s="28">
        <f t="shared" si="470"/>
        <v>0</v>
      </c>
      <c r="BW30" s="24" t="str">
        <f t="shared" si="471"/>
        <v/>
      </c>
      <c r="BX30" s="23" t="str">
        <f>_xlfn.XLOOKUP($B30,GCES!$B:$B,GCES!$AC:$AC,"",0,1)</f>
        <v/>
      </c>
      <c r="BY30" s="28" t="str">
        <f t="shared" si="472"/>
        <v/>
      </c>
      <c r="BZ30" s="24" t="str">
        <f t="shared" si="473"/>
        <v/>
      </c>
      <c r="CA30" s="23" t="str">
        <f>_xlfn.XLOOKUP($B30,GCES!$B:$B,GCES!$AB:$AB,"",0,1)</f>
        <v/>
      </c>
      <c r="CB30" s="28" t="str">
        <f t="shared" si="474"/>
        <v/>
      </c>
      <c r="CC30" s="24" t="str">
        <f t="shared" si="475"/>
        <v/>
      </c>
      <c r="CD30" s="23">
        <f>_xlfn.XLOOKUP($B30,GCES!$B:$B,GCES!$AS:$AS,"",0,1)</f>
        <v>8</v>
      </c>
      <c r="CE30" s="28">
        <f t="shared" si="476"/>
        <v>2.8571428571428572</v>
      </c>
      <c r="CF30" s="24">
        <f t="shared" si="477"/>
        <v>4</v>
      </c>
      <c r="CG30" s="23">
        <f>_xlfn.XLOOKUP($B30,GCES!$B:$B,GCES!$AR:$AR,"",0,1)</f>
        <v>12</v>
      </c>
      <c r="CH30" s="28">
        <f t="shared" si="478"/>
        <v>3.9130434782608696</v>
      </c>
      <c r="CI30" s="26">
        <f t="shared" si="479"/>
        <v>4</v>
      </c>
      <c r="CJ30" s="23" t="str">
        <f>_xlfn.XLOOKUP($B30,GCES!$B:$B,GCES!$N:$N,"",0,1)</f>
        <v/>
      </c>
      <c r="CK30" s="28" t="str">
        <f t="shared" si="480"/>
        <v/>
      </c>
      <c r="CL30" s="24" t="str">
        <f t="shared" si="481"/>
        <v/>
      </c>
      <c r="CM30" s="23" t="str">
        <f>_xlfn.XLOOKUP($B30,GCES!$B:$B,GCES!$M:$M,"",0,1)</f>
        <v/>
      </c>
      <c r="CN30" s="28" t="str">
        <f t="shared" si="482"/>
        <v/>
      </c>
      <c r="CO30" s="24" t="str">
        <f t="shared" si="483"/>
        <v/>
      </c>
      <c r="CP30" s="90" t="str">
        <f>_xlfn.XLOOKUP($B30,GCES!$B:$B,GCES!$AD:$AD,"",0,1)</f>
        <v/>
      </c>
      <c r="CQ30" s="28" t="str">
        <f t="shared" si="484"/>
        <v/>
      </c>
      <c r="CR30" s="26" t="str">
        <f t="shared" si="485"/>
        <v/>
      </c>
      <c r="CS30" s="23" t="str">
        <f>_xlfn.XLOOKUP($B30,GCES!$B:$B,GCES!$AJ:$AJ,"",0,1)</f>
        <v/>
      </c>
      <c r="CT30" s="28" t="str">
        <f t="shared" si="486"/>
        <v/>
      </c>
      <c r="CU30" s="24" t="str">
        <f t="shared" si="487"/>
        <v/>
      </c>
      <c r="CV30" s="23" t="str">
        <f>_xlfn.XLOOKUP($B30,GCES!$B:$B,GCES!$AI:$AI,"",0,1)</f>
        <v/>
      </c>
      <c r="CW30" s="28" t="str">
        <f t="shared" si="488"/>
        <v/>
      </c>
      <c r="CX30" s="24" t="str">
        <f t="shared" si="489"/>
        <v/>
      </c>
      <c r="CY30" s="100">
        <f t="shared" si="490"/>
        <v>18</v>
      </c>
      <c r="CZ30" s="95">
        <f t="shared" si="491"/>
        <v>72</v>
      </c>
    </row>
    <row r="31" spans="1:104" x14ac:dyDescent="0.25">
      <c r="A31" s="27" t="s">
        <v>117</v>
      </c>
      <c r="B31" s="88" t="s">
        <v>249</v>
      </c>
      <c r="C31" s="23" t="str">
        <f>_xlfn.XLOOKUP($B31,GCES!$B:$B,GCES!$C:$C,"",0,1)</f>
        <v/>
      </c>
      <c r="D31" s="28" t="str">
        <f t="shared" si="424"/>
        <v/>
      </c>
      <c r="E31" s="26" t="str">
        <f t="shared" si="425"/>
        <v/>
      </c>
      <c r="F31" s="23" t="str">
        <f>_xlfn.XLOOKUP($B31,GCES!$B:$B,GCES!$E:$E,"",0,1)</f>
        <v/>
      </c>
      <c r="G31" s="28" t="str">
        <f t="shared" si="426"/>
        <v/>
      </c>
      <c r="H31" s="24" t="str">
        <f t="shared" si="427"/>
        <v/>
      </c>
      <c r="I31" s="23" t="str">
        <f>_xlfn.XLOOKUP($B31,GCES!$B:$B,GCES!$D:$D,"",0,1)</f>
        <v/>
      </c>
      <c r="J31" s="28" t="str">
        <f t="shared" si="428"/>
        <v/>
      </c>
      <c r="K31" s="24" t="str">
        <f t="shared" si="429"/>
        <v/>
      </c>
      <c r="L31" s="23" t="str">
        <f>_xlfn.XLOOKUP($B31,GCES!$B:$B,GCES!$H:$H,"",0,1)</f>
        <v/>
      </c>
      <c r="M31" s="28" t="str">
        <f t="shared" si="430"/>
        <v/>
      </c>
      <c r="N31" s="24" t="str">
        <f t="shared" si="431"/>
        <v/>
      </c>
      <c r="O31" s="23" t="str">
        <f>_xlfn.XLOOKUP($B31,GCES!$B:$B,GCES!$G:$G,"",0,1)</f>
        <v/>
      </c>
      <c r="P31" s="28" t="str">
        <f t="shared" si="432"/>
        <v/>
      </c>
      <c r="Q31" s="24" t="str">
        <f t="shared" si="433"/>
        <v/>
      </c>
      <c r="R31" s="23" t="str">
        <f>_xlfn.XLOOKUP($B31,GCES!$B:$B,GCES!$L:$L,"",0,1)</f>
        <v/>
      </c>
      <c r="S31" s="28" t="str">
        <f t="shared" si="434"/>
        <v/>
      </c>
      <c r="T31" s="24" t="str">
        <f t="shared" si="435"/>
        <v/>
      </c>
      <c r="U31" s="23" t="str">
        <f>_xlfn.XLOOKUP($B31,GCES!$B:$B,GCES!$K:$K,"",0,1)</f>
        <v/>
      </c>
      <c r="V31" s="28" t="str">
        <f t="shared" si="436"/>
        <v/>
      </c>
      <c r="W31" s="24" t="str">
        <f t="shared" si="437"/>
        <v/>
      </c>
      <c r="X31" s="23" t="str">
        <f>_xlfn.XLOOKUP($B31,GCES!$B:$B,GCES!$S:$S,"",0,1)</f>
        <v/>
      </c>
      <c r="Y31" s="28" t="str">
        <f t="shared" si="438"/>
        <v/>
      </c>
      <c r="Z31" s="24" t="str">
        <f t="shared" si="439"/>
        <v/>
      </c>
      <c r="AA31" s="23" t="str">
        <f>_xlfn.XLOOKUP($B31,GCES!$B:$B,GCES!$R:$R,"",0,1)</f>
        <v/>
      </c>
      <c r="AB31" s="28" t="str">
        <f t="shared" si="440"/>
        <v/>
      </c>
      <c r="AC31" s="24" t="str">
        <f t="shared" si="441"/>
        <v/>
      </c>
      <c r="AD31" s="23" t="str">
        <f>_xlfn.XLOOKUP($B31,GCES!$B:$B,GCES!$AL:$AL,"",0,1)</f>
        <v/>
      </c>
      <c r="AE31" s="28" t="str">
        <f t="shared" si="442"/>
        <v/>
      </c>
      <c r="AF31" s="24" t="str">
        <f t="shared" si="443"/>
        <v/>
      </c>
      <c r="AG31" s="23" t="str">
        <f>_xlfn.XLOOKUP($B31,GCES!$B:$B,GCES!$AK:$AK,"",0,1)</f>
        <v/>
      </c>
      <c r="AH31" s="28" t="str">
        <f t="shared" si="444"/>
        <v/>
      </c>
      <c r="AI31" s="24" t="str">
        <f t="shared" si="445"/>
        <v/>
      </c>
      <c r="AJ31" s="23" t="str">
        <f>_xlfn.XLOOKUP($B31,GCES!$B:$B,GCES!$AQ:$AQ,"",0,1)</f>
        <v/>
      </c>
      <c r="AK31" s="28" t="str">
        <f t="shared" si="446"/>
        <v/>
      </c>
      <c r="AL31" s="24" t="str">
        <f t="shared" si="447"/>
        <v/>
      </c>
      <c r="AM31" s="23" t="str">
        <f>_xlfn.XLOOKUP($B31,GCES!$B:$B,GCES!$AP:$AP,"",0,1)</f>
        <v/>
      </c>
      <c r="AN31" s="28" t="str">
        <f t="shared" si="448"/>
        <v/>
      </c>
      <c r="AO31" s="24" t="str">
        <f t="shared" si="449"/>
        <v/>
      </c>
      <c r="AP31" s="23" t="str">
        <f>_xlfn.XLOOKUP($B31,GCES!$B:$B,GCES!$V:$V,"",0,1)</f>
        <v/>
      </c>
      <c r="AQ31" s="28" t="str">
        <f t="shared" si="450"/>
        <v/>
      </c>
      <c r="AR31" s="24" t="str">
        <f t="shared" si="451"/>
        <v/>
      </c>
      <c r="AS31" s="23" t="str">
        <f>_xlfn.XLOOKUP($B31,GCES!$B:$B,GCES!$AH:$AH,"",0,1)</f>
        <v/>
      </c>
      <c r="AT31" s="28" t="str">
        <f t="shared" si="452"/>
        <v/>
      </c>
      <c r="AU31" s="24" t="str">
        <f t="shared" si="453"/>
        <v/>
      </c>
      <c r="AV31" s="23" t="str">
        <f>_xlfn.XLOOKUP($B31,GCES!$B:$B,GCES!$AG:$AG,"",0,1)</f>
        <v/>
      </c>
      <c r="AW31" s="28" t="str">
        <f t="shared" si="454"/>
        <v/>
      </c>
      <c r="AX31" s="24" t="str">
        <f t="shared" si="455"/>
        <v/>
      </c>
      <c r="AY31" s="90" t="str">
        <f>_xlfn.XLOOKUP($B31,GCES!$B:$B,GCES!$AO:$AO,"",0,1)</f>
        <v/>
      </c>
      <c r="AZ31" s="28" t="str">
        <f t="shared" si="456"/>
        <v/>
      </c>
      <c r="BA31" s="24" t="str">
        <f t="shared" si="457"/>
        <v/>
      </c>
      <c r="BB31" s="97">
        <f t="shared" si="90"/>
        <v>0</v>
      </c>
      <c r="BC31" s="23" t="str">
        <f>_xlfn.XLOOKUP($B31,GCES!$B:$B,GCES!$F:$F,"",0,1)</f>
        <v/>
      </c>
      <c r="BD31" s="28" t="str">
        <f t="shared" si="458"/>
        <v/>
      </c>
      <c r="BE31" s="26" t="str">
        <f t="shared" si="459"/>
        <v/>
      </c>
      <c r="BF31" s="23" t="str">
        <f>_xlfn.XLOOKUP($B31,GCES!$B:$B,GCES!$J:$J,"",0,1)</f>
        <v/>
      </c>
      <c r="BG31" s="28" t="str">
        <f t="shared" si="460"/>
        <v/>
      </c>
      <c r="BH31" s="24" t="str">
        <f t="shared" si="461"/>
        <v/>
      </c>
      <c r="BI31" s="23" t="str">
        <f>_xlfn.XLOOKUP($B31,GCES!$B:$B,GCES!$I:$I,"",0,1)</f>
        <v/>
      </c>
      <c r="BJ31" s="28" t="str">
        <f t="shared" si="462"/>
        <v/>
      </c>
      <c r="BK31" s="24" t="str">
        <f t="shared" si="463"/>
        <v/>
      </c>
      <c r="BL31" s="23" t="str">
        <f>_xlfn.XLOOKUP($B31,GCES!$B:$B,GCES!$AN:$AN,"",0,1)</f>
        <v/>
      </c>
      <c r="BM31" s="28" t="str">
        <f t="shared" si="464"/>
        <v/>
      </c>
      <c r="BN31" s="24" t="str">
        <f t="shared" si="465"/>
        <v/>
      </c>
      <c r="BO31" s="23" t="str">
        <f>_xlfn.XLOOKUP($B31,GCES!$B:$B,GCES!$AM:$AM,"",0,1)</f>
        <v/>
      </c>
      <c r="BP31" s="28" t="str">
        <f t="shared" si="466"/>
        <v/>
      </c>
      <c r="BQ31" s="24" t="str">
        <f t="shared" si="467"/>
        <v/>
      </c>
      <c r="BR31" s="23" t="str">
        <f>_xlfn.XLOOKUP($B31,GCES!$B:$B,GCES!$Z:$Z,"",0,1)</f>
        <v/>
      </c>
      <c r="BS31" s="28" t="str">
        <f t="shared" si="468"/>
        <v/>
      </c>
      <c r="BT31" s="24" t="str">
        <f t="shared" si="469"/>
        <v/>
      </c>
      <c r="BU31" s="23" t="str">
        <f>_xlfn.XLOOKUP($B31,GCES!$B:$B,GCES!$Y:$Y,"",0,1)</f>
        <v/>
      </c>
      <c r="BV31" s="28" t="str">
        <f t="shared" si="470"/>
        <v/>
      </c>
      <c r="BW31" s="24" t="str">
        <f t="shared" si="471"/>
        <v/>
      </c>
      <c r="BX31" s="23" t="str">
        <f>_xlfn.XLOOKUP($B31,GCES!$B:$B,GCES!$AC:$AC,"",0,1)</f>
        <v/>
      </c>
      <c r="BY31" s="28" t="str">
        <f t="shared" si="472"/>
        <v/>
      </c>
      <c r="BZ31" s="24" t="str">
        <f t="shared" si="473"/>
        <v/>
      </c>
      <c r="CA31" s="23" t="str">
        <f>_xlfn.XLOOKUP($B31,GCES!$B:$B,GCES!$AB:$AB,"",0,1)</f>
        <v/>
      </c>
      <c r="CB31" s="28" t="str">
        <f t="shared" si="474"/>
        <v/>
      </c>
      <c r="CC31" s="24" t="str">
        <f t="shared" si="475"/>
        <v/>
      </c>
      <c r="CD31" s="23" t="str">
        <f>_xlfn.XLOOKUP($B31,GCES!$B:$B,GCES!$AS:$AS,"",0,1)</f>
        <v/>
      </c>
      <c r="CE31" s="28" t="str">
        <f t="shared" si="476"/>
        <v/>
      </c>
      <c r="CF31" s="24" t="str">
        <f t="shared" si="477"/>
        <v/>
      </c>
      <c r="CG31" s="23" t="str">
        <f>_xlfn.XLOOKUP($B31,GCES!$B:$B,GCES!$AR:$AR,"",0,1)</f>
        <v/>
      </c>
      <c r="CH31" s="28" t="str">
        <f t="shared" si="478"/>
        <v/>
      </c>
      <c r="CI31" s="26" t="str">
        <f t="shared" si="479"/>
        <v/>
      </c>
      <c r="CJ31" s="23" t="str">
        <f>_xlfn.XLOOKUP($B31,GCES!$B:$B,GCES!$N:$N,"",0,1)</f>
        <v/>
      </c>
      <c r="CK31" s="28" t="str">
        <f t="shared" si="480"/>
        <v/>
      </c>
      <c r="CL31" s="24" t="str">
        <f t="shared" si="481"/>
        <v/>
      </c>
      <c r="CM31" s="23" t="str">
        <f>_xlfn.XLOOKUP($B31,GCES!$B:$B,GCES!$M:$M,"",0,1)</f>
        <v/>
      </c>
      <c r="CN31" s="28" t="str">
        <f t="shared" si="482"/>
        <v/>
      </c>
      <c r="CO31" s="24" t="str">
        <f t="shared" si="483"/>
        <v/>
      </c>
      <c r="CP31" s="90" t="str">
        <f>_xlfn.XLOOKUP($B31,GCES!$B:$B,GCES!$AD:$AD,"",0,1)</f>
        <v/>
      </c>
      <c r="CQ31" s="28" t="str">
        <f t="shared" si="484"/>
        <v/>
      </c>
      <c r="CR31" s="26" t="str">
        <f t="shared" si="485"/>
        <v/>
      </c>
      <c r="CS31" s="23" t="str">
        <f>_xlfn.XLOOKUP($B31,GCES!$B:$B,GCES!$AJ:$AJ,"",0,1)</f>
        <v/>
      </c>
      <c r="CT31" s="28" t="str">
        <f t="shared" si="486"/>
        <v/>
      </c>
      <c r="CU31" s="24" t="str">
        <f t="shared" si="487"/>
        <v/>
      </c>
      <c r="CV31" s="23" t="str">
        <f>_xlfn.XLOOKUP($B31,GCES!$B:$B,GCES!$AI:$AI,"",0,1)</f>
        <v/>
      </c>
      <c r="CW31" s="28" t="str">
        <f t="shared" si="488"/>
        <v/>
      </c>
      <c r="CX31" s="24" t="str">
        <f t="shared" si="489"/>
        <v/>
      </c>
      <c r="CY31" s="100">
        <f t="shared" si="490"/>
        <v>0</v>
      </c>
      <c r="CZ31" s="95">
        <f t="shared" si="491"/>
        <v>0</v>
      </c>
    </row>
    <row r="32" spans="1:104" s="5" customFormat="1" ht="14.4" customHeight="1" x14ac:dyDescent="0.25">
      <c r="A32" s="129" t="s">
        <v>128</v>
      </c>
      <c r="B32" s="130"/>
      <c r="C32" s="71">
        <f t="shared" ref="C32:AH32" si="492">SUM(C28:C31)</f>
        <v>60</v>
      </c>
      <c r="D32" s="72">
        <f t="shared" si="492"/>
        <v>13.150684931506849</v>
      </c>
      <c r="E32" s="73">
        <f t="shared" si="492"/>
        <v>12</v>
      </c>
      <c r="F32" s="71">
        <f t="shared" si="492"/>
        <v>0</v>
      </c>
      <c r="G32" s="72">
        <f t="shared" si="492"/>
        <v>0</v>
      </c>
      <c r="H32" s="74">
        <f t="shared" si="492"/>
        <v>0</v>
      </c>
      <c r="I32" s="71">
        <f t="shared" si="492"/>
        <v>120</v>
      </c>
      <c r="J32" s="72">
        <f t="shared" si="492"/>
        <v>11.336405529953918</v>
      </c>
      <c r="K32" s="74">
        <f t="shared" si="492"/>
        <v>12</v>
      </c>
      <c r="L32" s="71">
        <f t="shared" si="492"/>
        <v>0</v>
      </c>
      <c r="M32" s="72">
        <f t="shared" si="492"/>
        <v>0</v>
      </c>
      <c r="N32" s="74">
        <f t="shared" si="492"/>
        <v>0</v>
      </c>
      <c r="O32" s="71">
        <f t="shared" si="492"/>
        <v>0</v>
      </c>
      <c r="P32" s="72">
        <f t="shared" si="492"/>
        <v>0</v>
      </c>
      <c r="Q32" s="74">
        <f t="shared" si="492"/>
        <v>0</v>
      </c>
      <c r="R32" s="71">
        <f t="shared" si="492"/>
        <v>64</v>
      </c>
      <c r="S32" s="72">
        <f t="shared" si="492"/>
        <v>29.793103448275861</v>
      </c>
      <c r="T32" s="74">
        <f t="shared" si="492"/>
        <v>32</v>
      </c>
      <c r="U32" s="71">
        <f t="shared" si="492"/>
        <v>20</v>
      </c>
      <c r="V32" s="72">
        <f t="shared" si="492"/>
        <v>12</v>
      </c>
      <c r="W32" s="74">
        <f t="shared" si="492"/>
        <v>12</v>
      </c>
      <c r="X32" s="71">
        <f t="shared" si="492"/>
        <v>16</v>
      </c>
      <c r="Y32" s="72">
        <f t="shared" si="492"/>
        <v>5.6470588235294121</v>
      </c>
      <c r="Z32" s="74">
        <f t="shared" si="492"/>
        <v>6</v>
      </c>
      <c r="AA32" s="71">
        <f t="shared" si="492"/>
        <v>20</v>
      </c>
      <c r="AB32" s="72">
        <f t="shared" si="492"/>
        <v>6.8181818181818183</v>
      </c>
      <c r="AC32" s="74">
        <f t="shared" si="492"/>
        <v>6</v>
      </c>
      <c r="AD32" s="71">
        <f t="shared" si="492"/>
        <v>8</v>
      </c>
      <c r="AE32" s="72">
        <f t="shared" si="492"/>
        <v>0.96153846153846156</v>
      </c>
      <c r="AF32" s="74">
        <f t="shared" si="492"/>
        <v>0</v>
      </c>
      <c r="AG32" s="71">
        <f t="shared" si="492"/>
        <v>24</v>
      </c>
      <c r="AH32" s="72">
        <f t="shared" si="492"/>
        <v>4</v>
      </c>
      <c r="AI32" s="74">
        <f t="shared" ref="AI32:BA32" si="493">SUM(AI28:AI31)</f>
        <v>4</v>
      </c>
      <c r="AJ32" s="71">
        <f t="shared" si="493"/>
        <v>16</v>
      </c>
      <c r="AK32" s="72">
        <f t="shared" si="493"/>
        <v>4.9411764705882355</v>
      </c>
      <c r="AL32" s="74">
        <f t="shared" si="493"/>
        <v>6</v>
      </c>
      <c r="AM32" s="71">
        <f t="shared" si="493"/>
        <v>0</v>
      </c>
      <c r="AN32" s="72">
        <f t="shared" si="493"/>
        <v>0</v>
      </c>
      <c r="AO32" s="74">
        <f t="shared" si="493"/>
        <v>0</v>
      </c>
      <c r="AP32" s="71">
        <f t="shared" si="493"/>
        <v>0</v>
      </c>
      <c r="AQ32" s="72">
        <f t="shared" si="493"/>
        <v>0</v>
      </c>
      <c r="AR32" s="74">
        <f t="shared" si="493"/>
        <v>0</v>
      </c>
      <c r="AS32" s="71">
        <f t="shared" si="493"/>
        <v>56</v>
      </c>
      <c r="AT32" s="72">
        <f t="shared" si="493"/>
        <v>10.857142857142858</v>
      </c>
      <c r="AU32" s="74">
        <f t="shared" si="493"/>
        <v>10</v>
      </c>
      <c r="AV32" s="71">
        <f t="shared" si="493"/>
        <v>28</v>
      </c>
      <c r="AW32" s="72">
        <f t="shared" si="493"/>
        <v>6.6315789473684212</v>
      </c>
      <c r="AX32" s="74">
        <f t="shared" si="493"/>
        <v>6</v>
      </c>
      <c r="AY32" s="91">
        <f t="shared" si="493"/>
        <v>64</v>
      </c>
      <c r="AZ32" s="72">
        <f t="shared" si="493"/>
        <v>11.733333333333333</v>
      </c>
      <c r="BA32" s="74">
        <f t="shared" si="493"/>
        <v>12</v>
      </c>
      <c r="BB32" s="97">
        <f t="shared" si="90"/>
        <v>118</v>
      </c>
      <c r="BC32" s="71">
        <f t="shared" ref="BC32:CX32" si="494">SUM(BC28:BC31)</f>
        <v>24</v>
      </c>
      <c r="BD32" s="72">
        <f t="shared" si="494"/>
        <v>6.2000000000000011</v>
      </c>
      <c r="BE32" s="74">
        <f t="shared" si="494"/>
        <v>8</v>
      </c>
      <c r="BF32" s="71">
        <f t="shared" si="494"/>
        <v>0</v>
      </c>
      <c r="BG32" s="72">
        <f t="shared" si="494"/>
        <v>0</v>
      </c>
      <c r="BH32" s="74">
        <f t="shared" si="494"/>
        <v>0</v>
      </c>
      <c r="BI32" s="71">
        <f t="shared" si="494"/>
        <v>0</v>
      </c>
      <c r="BJ32" s="72">
        <f t="shared" si="494"/>
        <v>0</v>
      </c>
      <c r="BK32" s="74">
        <f t="shared" si="494"/>
        <v>0</v>
      </c>
      <c r="BL32" s="91">
        <f t="shared" si="494"/>
        <v>0</v>
      </c>
      <c r="BM32" s="72">
        <f t="shared" si="494"/>
        <v>0</v>
      </c>
      <c r="BN32" s="74">
        <f t="shared" si="494"/>
        <v>0</v>
      </c>
      <c r="BO32" s="71">
        <f t="shared" si="494"/>
        <v>20</v>
      </c>
      <c r="BP32" s="72">
        <f t="shared" si="494"/>
        <v>4.838709677419355</v>
      </c>
      <c r="BQ32" s="74">
        <f t="shared" si="494"/>
        <v>4</v>
      </c>
      <c r="BR32" s="71">
        <f t="shared" si="494"/>
        <v>48</v>
      </c>
      <c r="BS32" s="72">
        <f t="shared" si="494"/>
        <v>13.44</v>
      </c>
      <c r="BT32" s="74">
        <f t="shared" si="494"/>
        <v>14</v>
      </c>
      <c r="BU32" s="71">
        <f t="shared" si="494"/>
        <v>0</v>
      </c>
      <c r="BV32" s="72">
        <f t="shared" si="494"/>
        <v>0</v>
      </c>
      <c r="BW32" s="74">
        <f t="shared" si="494"/>
        <v>0</v>
      </c>
      <c r="BX32" s="91">
        <f t="shared" si="494"/>
        <v>20</v>
      </c>
      <c r="BY32" s="72">
        <f t="shared" si="494"/>
        <v>6.290322580645161</v>
      </c>
      <c r="BZ32" s="74">
        <f t="shared" si="494"/>
        <v>6</v>
      </c>
      <c r="CA32" s="71">
        <f t="shared" si="494"/>
        <v>0</v>
      </c>
      <c r="CB32" s="72">
        <f t="shared" si="494"/>
        <v>0</v>
      </c>
      <c r="CC32" s="74">
        <f t="shared" si="494"/>
        <v>0</v>
      </c>
      <c r="CD32" s="71">
        <f t="shared" si="494"/>
        <v>8</v>
      </c>
      <c r="CE32" s="72">
        <f t="shared" si="494"/>
        <v>2.8571428571428572</v>
      </c>
      <c r="CF32" s="74">
        <f t="shared" si="494"/>
        <v>4</v>
      </c>
      <c r="CG32" s="71">
        <f t="shared" si="494"/>
        <v>28</v>
      </c>
      <c r="CH32" s="72">
        <f t="shared" si="494"/>
        <v>9.1304347826086953</v>
      </c>
      <c r="CI32" s="74">
        <f t="shared" si="494"/>
        <v>10</v>
      </c>
      <c r="CJ32" s="91">
        <f t="shared" si="494"/>
        <v>8</v>
      </c>
      <c r="CK32" s="72">
        <f t="shared" si="494"/>
        <v>2.1224489795918369</v>
      </c>
      <c r="CL32" s="74">
        <f t="shared" si="494"/>
        <v>0</v>
      </c>
      <c r="CM32" s="71">
        <f t="shared" si="494"/>
        <v>0</v>
      </c>
      <c r="CN32" s="72">
        <f t="shared" si="494"/>
        <v>0</v>
      </c>
      <c r="CO32" s="74">
        <f t="shared" si="494"/>
        <v>0</v>
      </c>
      <c r="CP32" s="71">
        <f t="shared" si="494"/>
        <v>0</v>
      </c>
      <c r="CQ32" s="72">
        <f t="shared" si="494"/>
        <v>0</v>
      </c>
      <c r="CR32" s="74">
        <f t="shared" si="494"/>
        <v>0</v>
      </c>
      <c r="CS32" s="71">
        <f t="shared" si="494"/>
        <v>0</v>
      </c>
      <c r="CT32" s="72">
        <f t="shared" si="494"/>
        <v>0</v>
      </c>
      <c r="CU32" s="74">
        <f t="shared" si="494"/>
        <v>0</v>
      </c>
      <c r="CV32" s="91">
        <f t="shared" si="494"/>
        <v>0</v>
      </c>
      <c r="CW32" s="72">
        <f t="shared" si="494"/>
        <v>0</v>
      </c>
      <c r="CX32" s="74">
        <f t="shared" si="494"/>
        <v>0</v>
      </c>
      <c r="CY32" s="100">
        <f>SUM(BE32,BH32,BK32,BN32,BQ32,BT32,BW32,BZ32,CC32,CF32,CI32,CL32,CO32,CR32,CU32,CX32)</f>
        <v>46</v>
      </c>
      <c r="CZ32" s="95">
        <f>SUM(BB32,CY32)</f>
        <v>164</v>
      </c>
    </row>
    <row r="33" spans="1:104" x14ac:dyDescent="0.25">
      <c r="A33" s="27" t="s">
        <v>94</v>
      </c>
      <c r="B33" s="88" t="s">
        <v>61</v>
      </c>
      <c r="C33" s="23" t="str">
        <f>_xlfn.XLOOKUP($B33,GCES!$B:$B,GCES!$C:$C,"",0,1)</f>
        <v/>
      </c>
      <c r="D33" s="28" t="str">
        <f t="shared" ref="D33:D35" si="495">IF(C33="","",D$58*C33/C$57)</f>
        <v/>
      </c>
      <c r="E33" s="26" t="str">
        <f t="shared" ref="E33:E35" si="496">IF(C33="","",IF(D33&gt;4,ROUND(D33/2,0)*2,IF(D33&gt;D$59,4,"")))</f>
        <v/>
      </c>
      <c r="F33" s="23" t="str">
        <f>_xlfn.XLOOKUP($B33,GCES!$B:$B,GCES!$E:$E,"",0,1)</f>
        <v/>
      </c>
      <c r="G33" s="28" t="str">
        <f t="shared" ref="G33:G35" si="497">IF(F33="","",G$58*F33/F$57)</f>
        <v/>
      </c>
      <c r="H33" s="24" t="str">
        <f t="shared" ref="H33:H35" si="498">IF(F33="","",IF(G33&gt;4,ROUND(G33/2,0)*2,IF(G33&gt;G$59,4,"")))</f>
        <v/>
      </c>
      <c r="I33" s="23" t="str">
        <f>_xlfn.XLOOKUP($B33,GCES!$B:$B,GCES!$D:$D,"",0,1)</f>
        <v/>
      </c>
      <c r="J33" s="28" t="str">
        <f t="shared" ref="J33:J35" si="499">IF(I33="","",J$58*I33/I$57)</f>
        <v/>
      </c>
      <c r="K33" s="24" t="str">
        <f t="shared" ref="K33:K35" si="500">IF(I33="","",IF(J33&gt;4,ROUND(J33/2,0)*2,IF(J33&gt;J$59,4,"")))</f>
        <v/>
      </c>
      <c r="L33" s="23">
        <f>_xlfn.XLOOKUP($B33,GCES!$B:$B,GCES!$H:$H,"",0,1)</f>
        <v>4</v>
      </c>
      <c r="M33" s="28">
        <f t="shared" ref="M33:M35" si="501">IF(L33="","",M$58*L33/L$57)</f>
        <v>0.76190476190476186</v>
      </c>
      <c r="N33" s="24" t="str">
        <f t="shared" ref="N33:N35" si="502">IF(L33="","",IF(M33&gt;4,ROUND(M33/2,0)*2,IF(M33&gt;M$59,4,"")))</f>
        <v/>
      </c>
      <c r="O33" s="23" t="str">
        <f>_xlfn.XLOOKUP($B33,GCES!$B:$B,GCES!$G:$G,"",0,1)</f>
        <v/>
      </c>
      <c r="P33" s="28" t="str">
        <f t="shared" ref="P33:P35" si="503">IF(O33="","",P$58*O33/O$57)</f>
        <v/>
      </c>
      <c r="Q33" s="24" t="str">
        <f t="shared" ref="Q33:Q35" si="504">IF(O33="","",IF(P33&gt;4,ROUND(P33/2,0)*2,IF(P33&gt;P$59,4,"")))</f>
        <v/>
      </c>
      <c r="R33" s="23">
        <f>_xlfn.XLOOKUP($B33,GCES!$B:$B,GCES!$L:$L,"",0,1)</f>
        <v>4</v>
      </c>
      <c r="S33" s="28">
        <f t="shared" ref="S33:S35" si="505">IF(R33="","",S$58*R33/R$57)</f>
        <v>1.8620689655172413</v>
      </c>
      <c r="T33" s="24" t="str">
        <f t="shared" ref="T33:T35" si="506">IF(R33="","",IF(S33&gt;4,ROUND(S33/2,0)*2,IF(S33&gt;S$59,4,"")))</f>
        <v/>
      </c>
      <c r="U33" s="23" t="str">
        <f>_xlfn.XLOOKUP($B33,GCES!$B:$B,GCES!$K:$K,"",0,1)</f>
        <v/>
      </c>
      <c r="V33" s="28" t="str">
        <f t="shared" ref="V33:V35" si="507">IF(U33="","",V$58*U33/U$57)</f>
        <v/>
      </c>
      <c r="W33" s="24" t="str">
        <f t="shared" ref="W33:W35" si="508">IF(U33="","",IF(V33&gt;4,ROUND(V33/2,0)*2,IF(V33&gt;V$59,4,"")))</f>
        <v/>
      </c>
      <c r="X33" s="23" t="str">
        <f>_xlfn.XLOOKUP($B33,GCES!$B:$B,GCES!$S:$S,"",0,1)</f>
        <v/>
      </c>
      <c r="Y33" s="28" t="str">
        <f t="shared" ref="Y33:Y35" si="509">IF(X33="","",Y$58*X33/X$57)</f>
        <v/>
      </c>
      <c r="Z33" s="24" t="str">
        <f t="shared" ref="Z33:Z35" si="510">IF(X33="","",IF(Y33&gt;4,ROUND(Y33/2,0)*2,IF(Y33&gt;Y$59,4,"")))</f>
        <v/>
      </c>
      <c r="AA33" s="23" t="str">
        <f>_xlfn.XLOOKUP($B33,GCES!$B:$B,GCES!$R:$R,"",0,1)</f>
        <v/>
      </c>
      <c r="AB33" s="28" t="str">
        <f t="shared" ref="AB33:AB35" si="511">IF(AA33="","",AB$58*AA33/AA$57)</f>
        <v/>
      </c>
      <c r="AC33" s="24" t="str">
        <f t="shared" ref="AC33:AC35" si="512">IF(AA33="","",IF(AB33&gt;4,ROUND(AB33/2,0)*2,IF(AB33&gt;AB$59,4,"")))</f>
        <v/>
      </c>
      <c r="AD33" s="23">
        <f>_xlfn.XLOOKUP($B33,GCES!$B:$B,GCES!$AL:$AL,"",0,1)</f>
        <v>28</v>
      </c>
      <c r="AE33" s="28">
        <f t="shared" ref="AE33:AE35" si="513">IF(AD33="","",AE$58*AD33/AD$57)</f>
        <v>3.3653846153846154</v>
      </c>
      <c r="AF33" s="24">
        <f t="shared" ref="AF33:AF35" si="514">IF(AD33="","",IF(AE33&gt;4,ROUND(AE33/2,0)*2,IF(AE33&gt;AE$59,4,"")))</f>
        <v>4</v>
      </c>
      <c r="AG33" s="23" t="str">
        <f>_xlfn.XLOOKUP($B33,GCES!$B:$B,GCES!$AK:$AK,"",0,1)</f>
        <v/>
      </c>
      <c r="AH33" s="28" t="str">
        <f t="shared" ref="AH33:AH35" si="515">IF(AG33="","",AH$58*AG33/AG$57)</f>
        <v/>
      </c>
      <c r="AI33" s="24" t="str">
        <f t="shared" ref="AI33:AI35" si="516">IF(AG33="","",IF(AH33&gt;4,ROUND(AH33/2,0)*2,IF(AH33&gt;AH$59,4,"")))</f>
        <v/>
      </c>
      <c r="AJ33" s="23" t="str">
        <f>_xlfn.XLOOKUP($B33,GCES!$B:$B,GCES!$AQ:$AQ,"",0,1)</f>
        <v/>
      </c>
      <c r="AK33" s="28" t="str">
        <f t="shared" ref="AK33:AK35" si="517">IF(AJ33="","",AK$58*AJ33/AJ$57)</f>
        <v/>
      </c>
      <c r="AL33" s="24" t="str">
        <f t="shared" ref="AL33:AL35" si="518">IF(AJ33="","",IF(AK33&gt;4,ROUND(AK33/2,0)*2,IF(AK33&gt;AK$59,4,"")))</f>
        <v/>
      </c>
      <c r="AM33" s="23" t="str">
        <f>_xlfn.XLOOKUP($B33,GCES!$B:$B,GCES!$AP:$AP,"",0,1)</f>
        <v/>
      </c>
      <c r="AN33" s="28" t="str">
        <f t="shared" ref="AN33:AN35" si="519">IF(AM33="","",AN$58*AM33/AM$57)</f>
        <v/>
      </c>
      <c r="AO33" s="24" t="str">
        <f t="shared" ref="AO33:AO35" si="520">IF(AM33="","",IF(AN33&gt;4,ROUND(AN33/2,0)*2,IF(AN33&gt;AN$59,4,"")))</f>
        <v/>
      </c>
      <c r="AP33" s="23">
        <f>_xlfn.XLOOKUP($B33,GCES!$B:$B,GCES!$V:$V,"",0,1)</f>
        <v>36</v>
      </c>
      <c r="AQ33" s="28">
        <f t="shared" ref="AQ33:AQ35" si="521">IF(AP33="","",AQ$58*AP33/AP$57)</f>
        <v>10.028571428571428</v>
      </c>
      <c r="AR33" s="24">
        <f t="shared" ref="AR33:AR35" si="522">IF(AP33="","",IF(AQ33&gt;4,ROUND(AQ33/2,0)*2,IF(AQ33&gt;AQ$59,4,"")))</f>
        <v>10</v>
      </c>
      <c r="AS33" s="23">
        <f>_xlfn.XLOOKUP($B33,GCES!$B:$B,GCES!$AH:$AH,"",0,1)</f>
        <v>4</v>
      </c>
      <c r="AT33" s="28">
        <f t="shared" ref="AT33:AT35" si="523">IF(AS33="","",AT$58*AS33/AS$57)</f>
        <v>0.77551020408163263</v>
      </c>
      <c r="AU33" s="24" t="str">
        <f t="shared" ref="AU33:AU35" si="524">IF(AS33="","",IF(AT33&gt;4,ROUND(AT33/2,0)*2,IF(AT33&gt;AT$59,4,"")))</f>
        <v/>
      </c>
      <c r="AV33" s="23" t="str">
        <f>_xlfn.XLOOKUP($B33,GCES!$B:$B,GCES!$AG:$AG,"",0,1)</f>
        <v/>
      </c>
      <c r="AW33" s="28" t="str">
        <f t="shared" ref="AW33:AW35" si="525">IF(AV33="","",AW$58*AV33/AV$57)</f>
        <v/>
      </c>
      <c r="AX33" s="24" t="str">
        <f t="shared" ref="AX33:AX35" si="526">IF(AV33="","",IF(AW33&gt;4,ROUND(AW33/2,0)*2,IF(AW33&gt;AW$59,4,"")))</f>
        <v/>
      </c>
      <c r="AY33" s="90">
        <f>_xlfn.XLOOKUP($B33,GCES!$B:$B,GCES!$AO:$AO,"",0,1)</f>
        <v>4</v>
      </c>
      <c r="AZ33" s="28">
        <f t="shared" ref="AZ33:AZ35" si="527">IF(AY33="","",AZ$58*AY33/AY$57)</f>
        <v>0.73333333333333328</v>
      </c>
      <c r="BA33" s="24" t="str">
        <f t="shared" ref="BA33:BA35" si="528">IF(AY33="","",IF(AZ33&gt;4,ROUND(AZ33/2,0)*2,IF(AZ33&gt;AZ$59,4,"")))</f>
        <v/>
      </c>
      <c r="BB33" s="97">
        <f t="shared" si="90"/>
        <v>14</v>
      </c>
      <c r="BC33" s="23">
        <f>_xlfn.XLOOKUP($B33,GCES!$B:$B,GCES!$F:$F,"",0,1)</f>
        <v>4</v>
      </c>
      <c r="BD33" s="28">
        <f t="shared" ref="BD33:BD35" si="529">IF(BC33="","",BD$58*BC33/BC$57)</f>
        <v>1.0333333333333334</v>
      </c>
      <c r="BE33" s="26" t="str">
        <f t="shared" ref="BE33:BE35" si="530">IF(BC33="","",IF(BD33&gt;4,ROUND(BD33/2,0)*2,IF(BD33&gt;BD$59,4,"")))</f>
        <v/>
      </c>
      <c r="BF33" s="23" t="str">
        <f>_xlfn.XLOOKUP($B33,GCES!$B:$B,GCES!$J:$J,"",0,1)</f>
        <v/>
      </c>
      <c r="BG33" s="28" t="str">
        <f t="shared" ref="BG33:BG35" si="531">IF(BF33="","",BG$58*BF33/BF$57)</f>
        <v/>
      </c>
      <c r="BH33" s="24" t="str">
        <f t="shared" ref="BH33:BH35" si="532">IF(BF33="","",IF(BG33&gt;4,ROUND(BG33/2,0)*2,IF(BG33&gt;BG$59,4,"")))</f>
        <v/>
      </c>
      <c r="BI33" s="23" t="str">
        <f>_xlfn.XLOOKUP($B33,GCES!$B:$B,GCES!$I:$I,"",0,1)</f>
        <v/>
      </c>
      <c r="BJ33" s="28" t="str">
        <f t="shared" ref="BJ33:BJ35" si="533">IF(BI33="","",BJ$58*BI33/BI$57)</f>
        <v/>
      </c>
      <c r="BK33" s="24" t="str">
        <f t="shared" ref="BK33:BK35" si="534">IF(BI33="","",IF(BJ33&gt;4,ROUND(BJ33/2,0)*2,IF(BJ33&gt;BJ$59,4,"")))</f>
        <v/>
      </c>
      <c r="BL33" s="23" t="str">
        <f>_xlfn.XLOOKUP($B33,GCES!$B:$B,GCES!$AN:$AN,"",0,1)</f>
        <v/>
      </c>
      <c r="BM33" s="28" t="str">
        <f t="shared" ref="BM33:BM35" si="535">IF(BL33="","",BM$58*BL33/BL$57)</f>
        <v/>
      </c>
      <c r="BN33" s="24" t="str">
        <f t="shared" ref="BN33:BN35" si="536">IF(BL33="","",IF(BM33&gt;4,ROUND(BM33/2,0)*2,IF(BM33&gt;BM$59,4,"")))</f>
        <v/>
      </c>
      <c r="BO33" s="23" t="str">
        <f>_xlfn.XLOOKUP($B33,GCES!$B:$B,GCES!$AM:$AM,"",0,1)</f>
        <v/>
      </c>
      <c r="BP33" s="28" t="str">
        <f t="shared" ref="BP33:BP35" si="537">IF(BO33="","",BP$58*BO33/BO$57)</f>
        <v/>
      </c>
      <c r="BQ33" s="24" t="str">
        <f t="shared" ref="BQ33:BQ35" si="538">IF(BO33="","",IF(BP33&gt;4,ROUND(BP33/2,0)*2,IF(BP33&gt;BP$59,4,"")))</f>
        <v/>
      </c>
      <c r="BR33" s="23" t="str">
        <f>_xlfn.XLOOKUP($B33,GCES!$B:$B,GCES!$Z:$Z,"",0,1)</f>
        <v/>
      </c>
      <c r="BS33" s="28" t="str">
        <f t="shared" ref="BS33:BS35" si="539">IF(BR33="","",BS$58*BR33/BR$57)</f>
        <v/>
      </c>
      <c r="BT33" s="24" t="str">
        <f t="shared" ref="BT33:BT35" si="540">IF(BR33="","",IF(BS33&gt;4,ROUND(BS33/2,0)*2,IF(BS33&gt;BS$59,4,"")))</f>
        <v/>
      </c>
      <c r="BU33" s="23" t="str">
        <f>_xlfn.XLOOKUP($B33,GCES!$B:$B,GCES!$Y:$Y,"",0,1)</f>
        <v/>
      </c>
      <c r="BV33" s="28" t="str">
        <f t="shared" ref="BV33:BV35" si="541">IF(BU33="","",BV$58*BU33/BU$57)</f>
        <v/>
      </c>
      <c r="BW33" s="24" t="str">
        <f t="shared" ref="BW33:BW35" si="542">IF(BU33="","",IF(BV33&gt;4,ROUND(BV33/2,0)*2,IF(BV33&gt;BV$59,4,"")))</f>
        <v/>
      </c>
      <c r="BX33" s="23" t="str">
        <f>_xlfn.XLOOKUP($B33,GCES!$B:$B,GCES!$AC:$AC,"",0,1)</f>
        <v/>
      </c>
      <c r="BY33" s="28" t="str">
        <f t="shared" ref="BY33:BY35" si="543">IF(BX33="","",BY$58*BX33/BX$57)</f>
        <v/>
      </c>
      <c r="BZ33" s="24" t="str">
        <f t="shared" ref="BZ33:BZ35" si="544">IF(BX33="","",IF(BY33&gt;4,ROUND(BY33/2,0)*2,IF(BY33&gt;BY$59,4,"")))</f>
        <v/>
      </c>
      <c r="CA33" s="23" t="str">
        <f>_xlfn.XLOOKUP($B33,GCES!$B:$B,GCES!$AB:$AB,"",0,1)</f>
        <v/>
      </c>
      <c r="CB33" s="28" t="str">
        <f t="shared" ref="CB33:CB35" si="545">IF(CA33="","",CB$58*CA33/CA$57)</f>
        <v/>
      </c>
      <c r="CC33" s="24" t="str">
        <f t="shared" ref="CC33:CC35" si="546">IF(CA33="","",IF(CB33&gt;4,ROUND(CB33/2,0)*2,IF(CB33&gt;CB$59,4,"")))</f>
        <v/>
      </c>
      <c r="CD33" s="23" t="str">
        <f>_xlfn.XLOOKUP($B33,GCES!$B:$B,GCES!$AS:$AS,"",0,1)</f>
        <v/>
      </c>
      <c r="CE33" s="28" t="str">
        <f t="shared" ref="CE33:CE35" si="547">IF(CD33="","",CE$58*CD33/CD$57)</f>
        <v/>
      </c>
      <c r="CF33" s="24" t="str">
        <f t="shared" ref="CF33:CF35" si="548">IF(CD33="","",IF(CE33&gt;4,ROUND(CE33/2,0)*2,IF(CE33&gt;CE$59,4,"")))</f>
        <v/>
      </c>
      <c r="CG33" s="23" t="str">
        <f>_xlfn.XLOOKUP($B33,GCES!$B:$B,GCES!$AR:$AR,"",0,1)</f>
        <v/>
      </c>
      <c r="CH33" s="28" t="str">
        <f t="shared" ref="CH33:CH35" si="549">IF(CG33="","",CH$58*CG33/CG$57)</f>
        <v/>
      </c>
      <c r="CI33" s="26" t="str">
        <f t="shared" ref="CI33:CI35" si="550">IF(CG33="","",IF(CH33&gt;4,ROUND(CH33/2,0)*2,IF(CH33&gt;CH$59,4,"")))</f>
        <v/>
      </c>
      <c r="CJ33" s="23" t="str">
        <f>_xlfn.XLOOKUP($B33,GCES!$B:$B,GCES!$N:$N,"",0,1)</f>
        <v/>
      </c>
      <c r="CK33" s="28" t="str">
        <f t="shared" ref="CK33:CK35" si="551">IF(CJ33="","",CK$58*CJ33/CJ$57)</f>
        <v/>
      </c>
      <c r="CL33" s="24" t="str">
        <f t="shared" ref="CL33:CL35" si="552">IF(CJ33="","",IF(CK33&gt;4,ROUND(CK33/2,0)*2,IF(CK33&gt;CK$59,4,"")))</f>
        <v/>
      </c>
      <c r="CM33" s="23" t="str">
        <f>_xlfn.XLOOKUP($B33,GCES!$B:$B,GCES!$M:$M,"",0,1)</f>
        <v/>
      </c>
      <c r="CN33" s="28" t="str">
        <f t="shared" ref="CN33:CN35" si="553">IF(CM33="","",CN$58*CM33/CM$57)</f>
        <v/>
      </c>
      <c r="CO33" s="24" t="str">
        <f t="shared" ref="CO33:CO35" si="554">IF(CM33="","",IF(CN33&gt;4,ROUND(CN33/2,0)*2,IF(CN33&gt;CN$59,4,"")))</f>
        <v/>
      </c>
      <c r="CP33" s="90">
        <f>_xlfn.XLOOKUP($B33,GCES!$B:$B,GCES!$AD:$AD,"",0,1)</f>
        <v>10</v>
      </c>
      <c r="CQ33" s="28">
        <f t="shared" ref="CQ33:CQ35" si="555">IF(CP33="","",CQ$58*CP33/CP$57)</f>
        <v>2.5</v>
      </c>
      <c r="CR33" s="26">
        <f t="shared" ref="CR33:CR35" si="556">IF(CP33="","",IF(CQ33&gt;4,ROUND(CQ33/2,0)*2,IF(CQ33&gt;CQ$59,4,"")))</f>
        <v>4</v>
      </c>
      <c r="CS33" s="23" t="str">
        <f>_xlfn.XLOOKUP($B33,GCES!$B:$B,GCES!$AJ:$AJ,"",0,1)</f>
        <v/>
      </c>
      <c r="CT33" s="28" t="str">
        <f t="shared" ref="CT33:CT35" si="557">IF(CS33="","",CT$58*CS33/CS$57)</f>
        <v/>
      </c>
      <c r="CU33" s="24" t="str">
        <f t="shared" ref="CU33:CU35" si="558">IF(CS33="","",IF(CT33&gt;4,ROUND(CT33/2,0)*2,IF(CT33&gt;CT$59,4,"")))</f>
        <v/>
      </c>
      <c r="CV33" s="23" t="str">
        <f>_xlfn.XLOOKUP($B33,GCES!$B:$B,GCES!$AI:$AI,"",0,1)</f>
        <v/>
      </c>
      <c r="CW33" s="28" t="str">
        <f t="shared" ref="CW33:CW35" si="559">IF(CV33="","",CW$58*CV33/CV$57)</f>
        <v/>
      </c>
      <c r="CX33" s="24" t="str">
        <f t="shared" ref="CX33:CX35" si="560">IF(CV33="","",IF(CW33&gt;4,ROUND(CW33/2,0)*2,IF(CW33&gt;CW$59,4,"")))</f>
        <v/>
      </c>
      <c r="CY33" s="100">
        <f t="shared" ref="CY33:CY35" si="561">SUM(BE33,BH33,BK33,BN33,BQ33,BT33,BW33,BZ33,CC33,CF33,CI33,CL33,CO33,CR33,CU33,CX33)</f>
        <v>4</v>
      </c>
      <c r="CZ33" s="95">
        <f t="shared" ref="CZ33:CZ35" si="562">SUM(BB33,CY33)</f>
        <v>18</v>
      </c>
    </row>
    <row r="34" spans="1:104" x14ac:dyDescent="0.25">
      <c r="A34" s="27" t="s">
        <v>95</v>
      </c>
      <c r="B34" s="88" t="s">
        <v>250</v>
      </c>
      <c r="C34" s="23" t="str">
        <f>_xlfn.XLOOKUP($B34,GCES!$B:$B,GCES!$C:$C,"",0,1)</f>
        <v/>
      </c>
      <c r="D34" s="28" t="str">
        <f t="shared" si="495"/>
        <v/>
      </c>
      <c r="E34" s="26" t="str">
        <f t="shared" si="496"/>
        <v/>
      </c>
      <c r="F34" s="23" t="str">
        <f>_xlfn.XLOOKUP($B34,GCES!$B:$B,GCES!$E:$E,"",0,1)</f>
        <v/>
      </c>
      <c r="G34" s="28" t="str">
        <f t="shared" si="497"/>
        <v/>
      </c>
      <c r="H34" s="24" t="str">
        <f t="shared" si="498"/>
        <v/>
      </c>
      <c r="I34" s="23" t="str">
        <f>_xlfn.XLOOKUP($B34,GCES!$B:$B,GCES!$D:$D,"",0,1)</f>
        <v/>
      </c>
      <c r="J34" s="28" t="str">
        <f t="shared" si="499"/>
        <v/>
      </c>
      <c r="K34" s="24" t="str">
        <f t="shared" si="500"/>
        <v/>
      </c>
      <c r="L34" s="23" t="str">
        <f>_xlfn.XLOOKUP($B34,GCES!$B:$B,GCES!$H:$H,"",0,1)</f>
        <v/>
      </c>
      <c r="M34" s="28" t="str">
        <f t="shared" si="501"/>
        <v/>
      </c>
      <c r="N34" s="24" t="str">
        <f t="shared" si="502"/>
        <v/>
      </c>
      <c r="O34" s="23" t="str">
        <f>_xlfn.XLOOKUP($B34,GCES!$B:$B,GCES!$G:$G,"",0,1)</f>
        <v/>
      </c>
      <c r="P34" s="28" t="str">
        <f t="shared" si="503"/>
        <v/>
      </c>
      <c r="Q34" s="24" t="str">
        <f t="shared" si="504"/>
        <v/>
      </c>
      <c r="R34" s="23" t="str">
        <f>_xlfn.XLOOKUP($B34,GCES!$B:$B,GCES!$L:$L,"",0,1)</f>
        <v/>
      </c>
      <c r="S34" s="28" t="str">
        <f t="shared" si="505"/>
        <v/>
      </c>
      <c r="T34" s="24" t="str">
        <f t="shared" si="506"/>
        <v/>
      </c>
      <c r="U34" s="23" t="str">
        <f>_xlfn.XLOOKUP($B34,GCES!$B:$B,GCES!$K:$K,"",0,1)</f>
        <v/>
      </c>
      <c r="V34" s="28" t="str">
        <f t="shared" si="507"/>
        <v/>
      </c>
      <c r="W34" s="24" t="str">
        <f t="shared" si="508"/>
        <v/>
      </c>
      <c r="X34" s="23" t="str">
        <f>_xlfn.XLOOKUP($B34,GCES!$B:$B,GCES!$S:$S,"",0,1)</f>
        <v/>
      </c>
      <c r="Y34" s="28" t="str">
        <f t="shared" si="509"/>
        <v/>
      </c>
      <c r="Z34" s="24" t="str">
        <f t="shared" si="510"/>
        <v/>
      </c>
      <c r="AA34" s="23" t="str">
        <f>_xlfn.XLOOKUP($B34,GCES!$B:$B,GCES!$R:$R,"",0,1)</f>
        <v/>
      </c>
      <c r="AB34" s="28" t="str">
        <f t="shared" si="511"/>
        <v/>
      </c>
      <c r="AC34" s="24" t="str">
        <f t="shared" si="512"/>
        <v/>
      </c>
      <c r="AD34" s="23" t="str">
        <f>_xlfn.XLOOKUP($B34,GCES!$B:$B,GCES!$AL:$AL,"",0,1)</f>
        <v/>
      </c>
      <c r="AE34" s="28" t="str">
        <f t="shared" si="513"/>
        <v/>
      </c>
      <c r="AF34" s="24" t="str">
        <f t="shared" si="514"/>
        <v/>
      </c>
      <c r="AG34" s="23" t="str">
        <f>_xlfn.XLOOKUP($B34,GCES!$B:$B,GCES!$AK:$AK,"",0,1)</f>
        <v/>
      </c>
      <c r="AH34" s="28" t="str">
        <f t="shared" si="515"/>
        <v/>
      </c>
      <c r="AI34" s="24" t="str">
        <f t="shared" si="516"/>
        <v/>
      </c>
      <c r="AJ34" s="23" t="str">
        <f>_xlfn.XLOOKUP($B34,GCES!$B:$B,GCES!$AQ:$AQ,"",0,1)</f>
        <v/>
      </c>
      <c r="AK34" s="28" t="str">
        <f t="shared" si="517"/>
        <v/>
      </c>
      <c r="AL34" s="24" t="str">
        <f t="shared" si="518"/>
        <v/>
      </c>
      <c r="AM34" s="23" t="str">
        <f>_xlfn.XLOOKUP($B34,GCES!$B:$B,GCES!$AP:$AP,"",0,1)</f>
        <v/>
      </c>
      <c r="AN34" s="28" t="str">
        <f t="shared" si="519"/>
        <v/>
      </c>
      <c r="AO34" s="24" t="str">
        <f t="shared" si="520"/>
        <v/>
      </c>
      <c r="AP34" s="23" t="str">
        <f>_xlfn.XLOOKUP($B34,GCES!$B:$B,GCES!$V:$V,"",0,1)</f>
        <v/>
      </c>
      <c r="AQ34" s="28" t="str">
        <f t="shared" si="521"/>
        <v/>
      </c>
      <c r="AR34" s="24" t="str">
        <f t="shared" si="522"/>
        <v/>
      </c>
      <c r="AS34" s="23" t="str">
        <f>_xlfn.XLOOKUP($B34,GCES!$B:$B,GCES!$AH:$AH,"",0,1)</f>
        <v/>
      </c>
      <c r="AT34" s="28" t="str">
        <f t="shared" si="523"/>
        <v/>
      </c>
      <c r="AU34" s="24" t="str">
        <f t="shared" si="524"/>
        <v/>
      </c>
      <c r="AV34" s="23" t="str">
        <f>_xlfn.XLOOKUP($B34,GCES!$B:$B,GCES!$AG:$AG,"",0,1)</f>
        <v/>
      </c>
      <c r="AW34" s="28" t="str">
        <f t="shared" si="525"/>
        <v/>
      </c>
      <c r="AX34" s="24" t="str">
        <f t="shared" si="526"/>
        <v/>
      </c>
      <c r="AY34" s="90" t="str">
        <f>_xlfn.XLOOKUP($B34,GCES!$B:$B,GCES!$AO:$AO,"",0,1)</f>
        <v/>
      </c>
      <c r="AZ34" s="28" t="str">
        <f t="shared" si="527"/>
        <v/>
      </c>
      <c r="BA34" s="24" t="str">
        <f t="shared" si="528"/>
        <v/>
      </c>
      <c r="BB34" s="97">
        <f t="shared" si="90"/>
        <v>0</v>
      </c>
      <c r="BC34" s="23" t="str">
        <f>_xlfn.XLOOKUP($B34,GCES!$B:$B,GCES!$F:$F,"",0,1)</f>
        <v/>
      </c>
      <c r="BD34" s="28" t="str">
        <f t="shared" si="529"/>
        <v/>
      </c>
      <c r="BE34" s="26" t="str">
        <f t="shared" si="530"/>
        <v/>
      </c>
      <c r="BF34" s="23" t="str">
        <f>_xlfn.XLOOKUP($B34,GCES!$B:$B,GCES!$J:$J,"",0,1)</f>
        <v/>
      </c>
      <c r="BG34" s="28" t="str">
        <f t="shared" si="531"/>
        <v/>
      </c>
      <c r="BH34" s="24" t="str">
        <f t="shared" si="532"/>
        <v/>
      </c>
      <c r="BI34" s="23" t="str">
        <f>_xlfn.XLOOKUP($B34,GCES!$B:$B,GCES!$I:$I,"",0,1)</f>
        <v/>
      </c>
      <c r="BJ34" s="28" t="str">
        <f t="shared" si="533"/>
        <v/>
      </c>
      <c r="BK34" s="24" t="str">
        <f t="shared" si="534"/>
        <v/>
      </c>
      <c r="BL34" s="23" t="str">
        <f>_xlfn.XLOOKUP($B34,GCES!$B:$B,GCES!$AN:$AN,"",0,1)</f>
        <v/>
      </c>
      <c r="BM34" s="28" t="str">
        <f t="shared" si="535"/>
        <v/>
      </c>
      <c r="BN34" s="24" t="str">
        <f t="shared" si="536"/>
        <v/>
      </c>
      <c r="BO34" s="23" t="str">
        <f>_xlfn.XLOOKUP($B34,GCES!$B:$B,GCES!$AM:$AM,"",0,1)</f>
        <v/>
      </c>
      <c r="BP34" s="28" t="str">
        <f t="shared" si="537"/>
        <v/>
      </c>
      <c r="BQ34" s="24" t="str">
        <f t="shared" si="538"/>
        <v/>
      </c>
      <c r="BR34" s="23" t="str">
        <f>_xlfn.XLOOKUP($B34,GCES!$B:$B,GCES!$Z:$Z,"",0,1)</f>
        <v/>
      </c>
      <c r="BS34" s="28" t="str">
        <f t="shared" si="539"/>
        <v/>
      </c>
      <c r="BT34" s="24" t="str">
        <f t="shared" si="540"/>
        <v/>
      </c>
      <c r="BU34" s="23" t="str">
        <f>_xlfn.XLOOKUP($B34,GCES!$B:$B,GCES!$Y:$Y,"",0,1)</f>
        <v/>
      </c>
      <c r="BV34" s="28" t="str">
        <f t="shared" si="541"/>
        <v/>
      </c>
      <c r="BW34" s="24" t="str">
        <f t="shared" si="542"/>
        <v/>
      </c>
      <c r="BX34" s="23" t="str">
        <f>_xlfn.XLOOKUP($B34,GCES!$B:$B,GCES!$AC:$AC,"",0,1)</f>
        <v/>
      </c>
      <c r="BY34" s="28" t="str">
        <f t="shared" si="543"/>
        <v/>
      </c>
      <c r="BZ34" s="24" t="str">
        <f t="shared" si="544"/>
        <v/>
      </c>
      <c r="CA34" s="23" t="str">
        <f>_xlfn.XLOOKUP($B34,GCES!$B:$B,GCES!$AB:$AB,"",0,1)</f>
        <v/>
      </c>
      <c r="CB34" s="28" t="str">
        <f t="shared" si="545"/>
        <v/>
      </c>
      <c r="CC34" s="24" t="str">
        <f t="shared" si="546"/>
        <v/>
      </c>
      <c r="CD34" s="23" t="str">
        <f>_xlfn.XLOOKUP($B34,GCES!$B:$B,GCES!$AS:$AS,"",0,1)</f>
        <v/>
      </c>
      <c r="CE34" s="28" t="str">
        <f t="shared" si="547"/>
        <v/>
      </c>
      <c r="CF34" s="24" t="str">
        <f t="shared" si="548"/>
        <v/>
      </c>
      <c r="CG34" s="23" t="str">
        <f>_xlfn.XLOOKUP($B34,GCES!$B:$B,GCES!$AR:$AR,"",0,1)</f>
        <v/>
      </c>
      <c r="CH34" s="28" t="str">
        <f t="shared" si="549"/>
        <v/>
      </c>
      <c r="CI34" s="26" t="str">
        <f t="shared" si="550"/>
        <v/>
      </c>
      <c r="CJ34" s="23" t="str">
        <f>_xlfn.XLOOKUP($B34,GCES!$B:$B,GCES!$N:$N,"",0,1)</f>
        <v/>
      </c>
      <c r="CK34" s="28" t="str">
        <f t="shared" si="551"/>
        <v/>
      </c>
      <c r="CL34" s="24" t="str">
        <f t="shared" si="552"/>
        <v/>
      </c>
      <c r="CM34" s="23" t="str">
        <f>_xlfn.XLOOKUP($B34,GCES!$B:$B,GCES!$M:$M,"",0,1)</f>
        <v/>
      </c>
      <c r="CN34" s="28" t="str">
        <f t="shared" si="553"/>
        <v/>
      </c>
      <c r="CO34" s="24" t="str">
        <f t="shared" si="554"/>
        <v/>
      </c>
      <c r="CP34" s="90" t="str">
        <f>_xlfn.XLOOKUP($B34,GCES!$B:$B,GCES!$AD:$AD,"",0,1)</f>
        <v/>
      </c>
      <c r="CQ34" s="28" t="str">
        <f t="shared" si="555"/>
        <v/>
      </c>
      <c r="CR34" s="26" t="str">
        <f t="shared" si="556"/>
        <v/>
      </c>
      <c r="CS34" s="23" t="str">
        <f>_xlfn.XLOOKUP($B34,GCES!$B:$B,GCES!$AJ:$AJ,"",0,1)</f>
        <v/>
      </c>
      <c r="CT34" s="28" t="str">
        <f t="shared" si="557"/>
        <v/>
      </c>
      <c r="CU34" s="24" t="str">
        <f t="shared" si="558"/>
        <v/>
      </c>
      <c r="CV34" s="23" t="str">
        <f>_xlfn.XLOOKUP($B34,GCES!$B:$B,GCES!$AI:$AI,"",0,1)</f>
        <v/>
      </c>
      <c r="CW34" s="28" t="str">
        <f t="shared" si="559"/>
        <v/>
      </c>
      <c r="CX34" s="24" t="str">
        <f t="shared" si="560"/>
        <v/>
      </c>
      <c r="CY34" s="100">
        <f t="shared" si="561"/>
        <v>0</v>
      </c>
      <c r="CZ34" s="95">
        <f t="shared" si="562"/>
        <v>0</v>
      </c>
    </row>
    <row r="35" spans="1:104" x14ac:dyDescent="0.25">
      <c r="A35" s="27" t="s">
        <v>96</v>
      </c>
      <c r="B35" s="88" t="s">
        <v>88</v>
      </c>
      <c r="C35" s="23">
        <f>_xlfn.XLOOKUP($B35,GCES!$B:$B,GCES!$C:$C,"",0,1)</f>
        <v>16</v>
      </c>
      <c r="D35" s="28">
        <f t="shared" si="495"/>
        <v>3.506849315068493</v>
      </c>
      <c r="E35" s="26">
        <f t="shared" si="496"/>
        <v>4</v>
      </c>
      <c r="F35" s="23" t="str">
        <f>_xlfn.XLOOKUP($B35,GCES!$B:$B,GCES!$E:$E,"",0,1)</f>
        <v/>
      </c>
      <c r="G35" s="28" t="str">
        <f t="shared" si="497"/>
        <v/>
      </c>
      <c r="H35" s="24" t="str">
        <f t="shared" si="498"/>
        <v/>
      </c>
      <c r="I35" s="23">
        <f>_xlfn.XLOOKUP($B35,GCES!$B:$B,GCES!$D:$D,"",0,1)</f>
        <v>12</v>
      </c>
      <c r="J35" s="28">
        <f t="shared" si="499"/>
        <v>1.1336405529953917</v>
      </c>
      <c r="K35" s="24" t="str">
        <f t="shared" si="500"/>
        <v/>
      </c>
      <c r="L35" s="23" t="str">
        <f>_xlfn.XLOOKUP($B35,GCES!$B:$B,GCES!$H:$H,"",0,1)</f>
        <v/>
      </c>
      <c r="M35" s="28" t="str">
        <f t="shared" si="501"/>
        <v/>
      </c>
      <c r="N35" s="24" t="str">
        <f t="shared" si="502"/>
        <v/>
      </c>
      <c r="O35" s="23" t="str">
        <f>_xlfn.XLOOKUP($B35,GCES!$B:$B,GCES!$G:$G,"",0,1)</f>
        <v/>
      </c>
      <c r="P35" s="28" t="str">
        <f t="shared" si="503"/>
        <v/>
      </c>
      <c r="Q35" s="24" t="str">
        <f t="shared" si="504"/>
        <v/>
      </c>
      <c r="R35" s="23">
        <f>_xlfn.XLOOKUP($B35,GCES!$B:$B,GCES!$L:$L,"",0,1)</f>
        <v>4</v>
      </c>
      <c r="S35" s="28">
        <f t="shared" si="505"/>
        <v>1.8620689655172413</v>
      </c>
      <c r="T35" s="24" t="str">
        <f t="shared" si="506"/>
        <v/>
      </c>
      <c r="U35" s="23" t="str">
        <f>_xlfn.XLOOKUP($B35,GCES!$B:$B,GCES!$K:$K,"",0,1)</f>
        <v/>
      </c>
      <c r="V35" s="28" t="str">
        <f t="shared" si="507"/>
        <v/>
      </c>
      <c r="W35" s="24" t="str">
        <f t="shared" si="508"/>
        <v/>
      </c>
      <c r="X35" s="23" t="str">
        <f>_xlfn.XLOOKUP($B35,GCES!$B:$B,GCES!$S:$S,"",0,1)</f>
        <v/>
      </c>
      <c r="Y35" s="28" t="str">
        <f t="shared" si="509"/>
        <v/>
      </c>
      <c r="Z35" s="24" t="str">
        <f t="shared" si="510"/>
        <v/>
      </c>
      <c r="AA35" s="23" t="str">
        <f>_xlfn.XLOOKUP($B35,GCES!$B:$B,GCES!$R:$R,"",0,1)</f>
        <v/>
      </c>
      <c r="AB35" s="28" t="str">
        <f t="shared" si="511"/>
        <v/>
      </c>
      <c r="AC35" s="24" t="str">
        <f t="shared" si="512"/>
        <v/>
      </c>
      <c r="AD35" s="23">
        <f>_xlfn.XLOOKUP($B35,GCES!$B:$B,GCES!$AL:$AL,"",0,1)</f>
        <v>16</v>
      </c>
      <c r="AE35" s="28">
        <f t="shared" si="513"/>
        <v>1.9230769230769231</v>
      </c>
      <c r="AF35" s="24" t="str">
        <f t="shared" si="514"/>
        <v/>
      </c>
      <c r="AG35" s="23" t="str">
        <f>_xlfn.XLOOKUP($B35,GCES!$B:$B,GCES!$AK:$AK,"",0,1)</f>
        <v/>
      </c>
      <c r="AH35" s="28" t="str">
        <f t="shared" si="515"/>
        <v/>
      </c>
      <c r="AI35" s="24" t="str">
        <f t="shared" si="516"/>
        <v/>
      </c>
      <c r="AJ35" s="23" t="str">
        <f>_xlfn.XLOOKUP($B35,GCES!$B:$B,GCES!$AQ:$AQ,"",0,1)</f>
        <v/>
      </c>
      <c r="AK35" s="28" t="str">
        <f t="shared" si="517"/>
        <v/>
      </c>
      <c r="AL35" s="24" t="str">
        <f t="shared" si="518"/>
        <v/>
      </c>
      <c r="AM35" s="23" t="str">
        <f>_xlfn.XLOOKUP($B35,GCES!$B:$B,GCES!$AP:$AP,"",0,1)</f>
        <v/>
      </c>
      <c r="AN35" s="28" t="str">
        <f t="shared" si="519"/>
        <v/>
      </c>
      <c r="AO35" s="24" t="str">
        <f t="shared" si="520"/>
        <v/>
      </c>
      <c r="AP35" s="23">
        <f>_xlfn.XLOOKUP($B35,GCES!$B:$B,GCES!$V:$V,"",0,1)</f>
        <v>16</v>
      </c>
      <c r="AQ35" s="28">
        <f t="shared" si="521"/>
        <v>4.4571428571428573</v>
      </c>
      <c r="AR35" s="24">
        <f t="shared" si="522"/>
        <v>4</v>
      </c>
      <c r="AS35" s="23" t="str">
        <f>_xlfn.XLOOKUP($B35,GCES!$B:$B,GCES!$AH:$AH,"",0,1)</f>
        <v/>
      </c>
      <c r="AT35" s="28" t="str">
        <f t="shared" si="523"/>
        <v/>
      </c>
      <c r="AU35" s="24" t="str">
        <f t="shared" si="524"/>
        <v/>
      </c>
      <c r="AV35" s="23" t="str">
        <f>_xlfn.XLOOKUP($B35,GCES!$B:$B,GCES!$AG:$AG,"",0,1)</f>
        <v/>
      </c>
      <c r="AW35" s="28" t="str">
        <f t="shared" si="525"/>
        <v/>
      </c>
      <c r="AX35" s="24" t="str">
        <f t="shared" si="526"/>
        <v/>
      </c>
      <c r="AY35" s="90">
        <f>_xlfn.XLOOKUP($B35,GCES!$B:$B,GCES!$AO:$AO,"",0,1)</f>
        <v>8</v>
      </c>
      <c r="AZ35" s="28">
        <f t="shared" si="527"/>
        <v>1.4666666666666666</v>
      </c>
      <c r="BA35" s="24" t="str">
        <f t="shared" si="528"/>
        <v/>
      </c>
      <c r="BB35" s="97">
        <f t="shared" si="90"/>
        <v>8</v>
      </c>
      <c r="BC35" s="23">
        <f>_xlfn.XLOOKUP($B35,GCES!$B:$B,GCES!$F:$F,"",0,1)</f>
        <v>12</v>
      </c>
      <c r="BD35" s="28">
        <f t="shared" si="529"/>
        <v>3.1</v>
      </c>
      <c r="BE35" s="26">
        <f t="shared" si="530"/>
        <v>4</v>
      </c>
      <c r="BF35" s="23" t="str">
        <f>_xlfn.XLOOKUP($B35,GCES!$B:$B,GCES!$J:$J,"",0,1)</f>
        <v/>
      </c>
      <c r="BG35" s="28" t="str">
        <f t="shared" si="531"/>
        <v/>
      </c>
      <c r="BH35" s="24" t="str">
        <f t="shared" si="532"/>
        <v/>
      </c>
      <c r="BI35" s="23" t="str">
        <f>_xlfn.XLOOKUP($B35,GCES!$B:$B,GCES!$I:$I,"",0,1)</f>
        <v/>
      </c>
      <c r="BJ35" s="28" t="str">
        <f t="shared" si="533"/>
        <v/>
      </c>
      <c r="BK35" s="24" t="str">
        <f t="shared" si="534"/>
        <v/>
      </c>
      <c r="BL35" s="23" t="str">
        <f>_xlfn.XLOOKUP($B35,GCES!$B:$B,GCES!$AN:$AN,"",0,1)</f>
        <v/>
      </c>
      <c r="BM35" s="28" t="str">
        <f t="shared" si="535"/>
        <v/>
      </c>
      <c r="BN35" s="24" t="str">
        <f t="shared" si="536"/>
        <v/>
      </c>
      <c r="BO35" s="23">
        <f>_xlfn.XLOOKUP($B35,GCES!$B:$B,GCES!$AM:$AM,"",0,1)</f>
        <v>16</v>
      </c>
      <c r="BP35" s="28">
        <f t="shared" si="537"/>
        <v>3.870967741935484</v>
      </c>
      <c r="BQ35" s="24">
        <f t="shared" si="538"/>
        <v>4</v>
      </c>
      <c r="BR35" s="23" t="str">
        <f>_xlfn.XLOOKUP($B35,GCES!$B:$B,GCES!$Z:$Z,"",0,1)</f>
        <v/>
      </c>
      <c r="BS35" s="28" t="str">
        <f t="shared" si="539"/>
        <v/>
      </c>
      <c r="BT35" s="24" t="str">
        <f t="shared" si="540"/>
        <v/>
      </c>
      <c r="BU35" s="23" t="str">
        <f>_xlfn.XLOOKUP($B35,GCES!$B:$B,GCES!$Y:$Y,"",0,1)</f>
        <v/>
      </c>
      <c r="BV35" s="28" t="str">
        <f t="shared" si="541"/>
        <v/>
      </c>
      <c r="BW35" s="24" t="str">
        <f t="shared" si="542"/>
        <v/>
      </c>
      <c r="BX35" s="23" t="str">
        <f>_xlfn.XLOOKUP($B35,GCES!$B:$B,GCES!$AC:$AC,"",0,1)</f>
        <v/>
      </c>
      <c r="BY35" s="28" t="str">
        <f t="shared" si="543"/>
        <v/>
      </c>
      <c r="BZ35" s="24" t="str">
        <f t="shared" si="544"/>
        <v/>
      </c>
      <c r="CA35" s="23" t="str">
        <f>_xlfn.XLOOKUP($B35,GCES!$B:$B,GCES!$AB:$AB,"",0,1)</f>
        <v/>
      </c>
      <c r="CB35" s="28" t="str">
        <f t="shared" si="545"/>
        <v/>
      </c>
      <c r="CC35" s="24" t="str">
        <f t="shared" si="546"/>
        <v/>
      </c>
      <c r="CD35" s="23" t="str">
        <f>_xlfn.XLOOKUP($B35,GCES!$B:$B,GCES!$AS:$AS,"",0,1)</f>
        <v/>
      </c>
      <c r="CE35" s="28" t="str">
        <f t="shared" si="547"/>
        <v/>
      </c>
      <c r="CF35" s="24" t="str">
        <f t="shared" si="548"/>
        <v/>
      </c>
      <c r="CG35" s="23" t="str">
        <f>_xlfn.XLOOKUP($B35,GCES!$B:$B,GCES!$AR:$AR,"",0,1)</f>
        <v/>
      </c>
      <c r="CH35" s="28" t="str">
        <f t="shared" si="549"/>
        <v/>
      </c>
      <c r="CI35" s="26" t="str">
        <f t="shared" si="550"/>
        <v/>
      </c>
      <c r="CJ35" s="23" t="str">
        <f>_xlfn.XLOOKUP($B35,GCES!$B:$B,GCES!$N:$N,"",0,1)</f>
        <v/>
      </c>
      <c r="CK35" s="28" t="str">
        <f t="shared" si="551"/>
        <v/>
      </c>
      <c r="CL35" s="24" t="str">
        <f t="shared" si="552"/>
        <v/>
      </c>
      <c r="CM35" s="23" t="str">
        <f>_xlfn.XLOOKUP($B35,GCES!$B:$B,GCES!$M:$M,"",0,1)</f>
        <v/>
      </c>
      <c r="CN35" s="28" t="str">
        <f t="shared" si="553"/>
        <v/>
      </c>
      <c r="CO35" s="24" t="str">
        <f t="shared" si="554"/>
        <v/>
      </c>
      <c r="CP35" s="90" t="str">
        <f>_xlfn.XLOOKUP($B35,GCES!$B:$B,GCES!$AD:$AD,"",0,1)</f>
        <v/>
      </c>
      <c r="CQ35" s="28" t="str">
        <f t="shared" si="555"/>
        <v/>
      </c>
      <c r="CR35" s="26" t="str">
        <f t="shared" si="556"/>
        <v/>
      </c>
      <c r="CS35" s="23" t="str">
        <f>_xlfn.XLOOKUP($B35,GCES!$B:$B,GCES!$AJ:$AJ,"",0,1)</f>
        <v/>
      </c>
      <c r="CT35" s="28" t="str">
        <f t="shared" si="557"/>
        <v/>
      </c>
      <c r="CU35" s="24" t="str">
        <f t="shared" si="558"/>
        <v/>
      </c>
      <c r="CV35" s="23" t="str">
        <f>_xlfn.XLOOKUP($B35,GCES!$B:$B,GCES!$AI:$AI,"",0,1)</f>
        <v/>
      </c>
      <c r="CW35" s="28" t="str">
        <f t="shared" si="559"/>
        <v/>
      </c>
      <c r="CX35" s="24" t="str">
        <f t="shared" si="560"/>
        <v/>
      </c>
      <c r="CY35" s="100">
        <f t="shared" si="561"/>
        <v>8</v>
      </c>
      <c r="CZ35" s="95">
        <f t="shared" si="562"/>
        <v>16</v>
      </c>
    </row>
    <row r="36" spans="1:104" s="5" customFormat="1" ht="14.4" customHeight="1" x14ac:dyDescent="0.25">
      <c r="A36" s="129" t="s">
        <v>127</v>
      </c>
      <c r="B36" s="130"/>
      <c r="C36" s="71">
        <f t="shared" ref="C36:AH36" si="563">SUM(C33:C35)</f>
        <v>16</v>
      </c>
      <c r="D36" s="72">
        <f t="shared" si="563"/>
        <v>3.506849315068493</v>
      </c>
      <c r="E36" s="73">
        <f t="shared" si="563"/>
        <v>4</v>
      </c>
      <c r="F36" s="71">
        <f t="shared" si="563"/>
        <v>0</v>
      </c>
      <c r="G36" s="72">
        <f t="shared" si="563"/>
        <v>0</v>
      </c>
      <c r="H36" s="74">
        <f t="shared" si="563"/>
        <v>0</v>
      </c>
      <c r="I36" s="71">
        <f t="shared" si="563"/>
        <v>12</v>
      </c>
      <c r="J36" s="72">
        <f t="shared" si="563"/>
        <v>1.1336405529953917</v>
      </c>
      <c r="K36" s="74">
        <f t="shared" si="563"/>
        <v>0</v>
      </c>
      <c r="L36" s="71">
        <f t="shared" si="563"/>
        <v>4</v>
      </c>
      <c r="M36" s="72">
        <f t="shared" si="563"/>
        <v>0.76190476190476186</v>
      </c>
      <c r="N36" s="74">
        <f t="shared" si="563"/>
        <v>0</v>
      </c>
      <c r="O36" s="71">
        <f t="shared" si="563"/>
        <v>0</v>
      </c>
      <c r="P36" s="72">
        <f t="shared" si="563"/>
        <v>0</v>
      </c>
      <c r="Q36" s="74">
        <f t="shared" si="563"/>
        <v>0</v>
      </c>
      <c r="R36" s="71">
        <f t="shared" si="563"/>
        <v>8</v>
      </c>
      <c r="S36" s="72">
        <f t="shared" si="563"/>
        <v>3.7241379310344827</v>
      </c>
      <c r="T36" s="74">
        <f t="shared" si="563"/>
        <v>0</v>
      </c>
      <c r="U36" s="71">
        <f t="shared" si="563"/>
        <v>0</v>
      </c>
      <c r="V36" s="72">
        <f t="shared" si="563"/>
        <v>0</v>
      </c>
      <c r="W36" s="74">
        <f t="shared" si="563"/>
        <v>0</v>
      </c>
      <c r="X36" s="71">
        <f t="shared" si="563"/>
        <v>0</v>
      </c>
      <c r="Y36" s="72">
        <f t="shared" si="563"/>
        <v>0</v>
      </c>
      <c r="Z36" s="74">
        <f t="shared" si="563"/>
        <v>0</v>
      </c>
      <c r="AA36" s="71">
        <f t="shared" si="563"/>
        <v>0</v>
      </c>
      <c r="AB36" s="72">
        <f t="shared" si="563"/>
        <v>0</v>
      </c>
      <c r="AC36" s="74">
        <f t="shared" si="563"/>
        <v>0</v>
      </c>
      <c r="AD36" s="71">
        <f t="shared" si="563"/>
        <v>44</v>
      </c>
      <c r="AE36" s="72">
        <f t="shared" si="563"/>
        <v>5.2884615384615383</v>
      </c>
      <c r="AF36" s="74">
        <f t="shared" si="563"/>
        <v>4</v>
      </c>
      <c r="AG36" s="71">
        <f t="shared" si="563"/>
        <v>0</v>
      </c>
      <c r="AH36" s="72">
        <f t="shared" si="563"/>
        <v>0</v>
      </c>
      <c r="AI36" s="74">
        <f t="shared" ref="AI36:BA36" si="564">SUM(AI33:AI35)</f>
        <v>0</v>
      </c>
      <c r="AJ36" s="71">
        <f t="shared" si="564"/>
        <v>0</v>
      </c>
      <c r="AK36" s="72">
        <f t="shared" si="564"/>
        <v>0</v>
      </c>
      <c r="AL36" s="74">
        <f t="shared" si="564"/>
        <v>0</v>
      </c>
      <c r="AM36" s="71">
        <f t="shared" si="564"/>
        <v>0</v>
      </c>
      <c r="AN36" s="72">
        <f t="shared" si="564"/>
        <v>0</v>
      </c>
      <c r="AO36" s="74">
        <f t="shared" si="564"/>
        <v>0</v>
      </c>
      <c r="AP36" s="71">
        <f t="shared" si="564"/>
        <v>52</v>
      </c>
      <c r="AQ36" s="72">
        <f t="shared" si="564"/>
        <v>14.485714285714286</v>
      </c>
      <c r="AR36" s="74">
        <f t="shared" si="564"/>
        <v>14</v>
      </c>
      <c r="AS36" s="71">
        <f t="shared" si="564"/>
        <v>4</v>
      </c>
      <c r="AT36" s="72">
        <f t="shared" si="564"/>
        <v>0.77551020408163263</v>
      </c>
      <c r="AU36" s="74">
        <f t="shared" si="564"/>
        <v>0</v>
      </c>
      <c r="AV36" s="71">
        <f t="shared" si="564"/>
        <v>0</v>
      </c>
      <c r="AW36" s="72">
        <f t="shared" si="564"/>
        <v>0</v>
      </c>
      <c r="AX36" s="74">
        <f t="shared" si="564"/>
        <v>0</v>
      </c>
      <c r="AY36" s="91">
        <f t="shared" si="564"/>
        <v>12</v>
      </c>
      <c r="AZ36" s="72">
        <f t="shared" si="564"/>
        <v>2.1999999999999997</v>
      </c>
      <c r="BA36" s="74">
        <f t="shared" si="564"/>
        <v>0</v>
      </c>
      <c r="BB36" s="97">
        <f t="shared" si="90"/>
        <v>22</v>
      </c>
      <c r="BC36" s="71">
        <f t="shared" ref="BC36:CX36" si="565">SUM(BC33:BC35)</f>
        <v>16</v>
      </c>
      <c r="BD36" s="72">
        <f t="shared" si="565"/>
        <v>4.1333333333333337</v>
      </c>
      <c r="BE36" s="74">
        <f t="shared" si="565"/>
        <v>4</v>
      </c>
      <c r="BF36" s="71">
        <f t="shared" si="565"/>
        <v>0</v>
      </c>
      <c r="BG36" s="72">
        <f t="shared" si="565"/>
        <v>0</v>
      </c>
      <c r="BH36" s="74">
        <f t="shared" si="565"/>
        <v>0</v>
      </c>
      <c r="BI36" s="71">
        <f t="shared" si="565"/>
        <v>0</v>
      </c>
      <c r="BJ36" s="72">
        <f t="shared" si="565"/>
        <v>0</v>
      </c>
      <c r="BK36" s="74">
        <f t="shared" si="565"/>
        <v>0</v>
      </c>
      <c r="BL36" s="91">
        <f t="shared" si="565"/>
        <v>0</v>
      </c>
      <c r="BM36" s="72">
        <f t="shared" si="565"/>
        <v>0</v>
      </c>
      <c r="BN36" s="74">
        <f t="shared" si="565"/>
        <v>0</v>
      </c>
      <c r="BO36" s="71">
        <f t="shared" si="565"/>
        <v>16</v>
      </c>
      <c r="BP36" s="72">
        <f t="shared" si="565"/>
        <v>3.870967741935484</v>
      </c>
      <c r="BQ36" s="74">
        <f t="shared" si="565"/>
        <v>4</v>
      </c>
      <c r="BR36" s="71">
        <f t="shared" si="565"/>
        <v>0</v>
      </c>
      <c r="BS36" s="72">
        <f t="shared" si="565"/>
        <v>0</v>
      </c>
      <c r="BT36" s="74">
        <f t="shared" si="565"/>
        <v>0</v>
      </c>
      <c r="BU36" s="71">
        <f t="shared" si="565"/>
        <v>0</v>
      </c>
      <c r="BV36" s="72">
        <f t="shared" si="565"/>
        <v>0</v>
      </c>
      <c r="BW36" s="74">
        <f t="shared" si="565"/>
        <v>0</v>
      </c>
      <c r="BX36" s="91">
        <f t="shared" si="565"/>
        <v>0</v>
      </c>
      <c r="BY36" s="72">
        <f t="shared" si="565"/>
        <v>0</v>
      </c>
      <c r="BZ36" s="74">
        <f t="shared" si="565"/>
        <v>0</v>
      </c>
      <c r="CA36" s="71">
        <f t="shared" si="565"/>
        <v>0</v>
      </c>
      <c r="CB36" s="72">
        <f t="shared" si="565"/>
        <v>0</v>
      </c>
      <c r="CC36" s="74">
        <f t="shared" si="565"/>
        <v>0</v>
      </c>
      <c r="CD36" s="71">
        <f t="shared" si="565"/>
        <v>0</v>
      </c>
      <c r="CE36" s="72">
        <f t="shared" si="565"/>
        <v>0</v>
      </c>
      <c r="CF36" s="74">
        <f t="shared" si="565"/>
        <v>0</v>
      </c>
      <c r="CG36" s="71">
        <f t="shared" si="565"/>
        <v>0</v>
      </c>
      <c r="CH36" s="72">
        <f t="shared" si="565"/>
        <v>0</v>
      </c>
      <c r="CI36" s="74">
        <f t="shared" si="565"/>
        <v>0</v>
      </c>
      <c r="CJ36" s="91">
        <f t="shared" si="565"/>
        <v>0</v>
      </c>
      <c r="CK36" s="72">
        <f t="shared" si="565"/>
        <v>0</v>
      </c>
      <c r="CL36" s="74">
        <f t="shared" si="565"/>
        <v>0</v>
      </c>
      <c r="CM36" s="71">
        <f t="shared" si="565"/>
        <v>0</v>
      </c>
      <c r="CN36" s="72">
        <f t="shared" si="565"/>
        <v>0</v>
      </c>
      <c r="CO36" s="74">
        <f t="shared" si="565"/>
        <v>0</v>
      </c>
      <c r="CP36" s="71">
        <f t="shared" si="565"/>
        <v>10</v>
      </c>
      <c r="CQ36" s="72">
        <f t="shared" si="565"/>
        <v>2.5</v>
      </c>
      <c r="CR36" s="74">
        <f t="shared" si="565"/>
        <v>4</v>
      </c>
      <c r="CS36" s="71">
        <f t="shared" si="565"/>
        <v>0</v>
      </c>
      <c r="CT36" s="72">
        <f t="shared" si="565"/>
        <v>0</v>
      </c>
      <c r="CU36" s="74">
        <f t="shared" si="565"/>
        <v>0</v>
      </c>
      <c r="CV36" s="91">
        <f t="shared" si="565"/>
        <v>0</v>
      </c>
      <c r="CW36" s="72">
        <f t="shared" si="565"/>
        <v>0</v>
      </c>
      <c r="CX36" s="74">
        <f t="shared" si="565"/>
        <v>0</v>
      </c>
      <c r="CY36" s="100">
        <f>SUM(BE36,BH36,BK36,BN36,BQ36,BT36,BW36,BZ36,CC36,CF36,CI36,CL36,CO36,CR36,CU36,CX36)</f>
        <v>12</v>
      </c>
      <c r="CZ36" s="95">
        <f>SUM(BB36,CY36)</f>
        <v>34</v>
      </c>
    </row>
    <row r="37" spans="1:104" s="5" customFormat="1" ht="14.4" customHeight="1" x14ac:dyDescent="0.25">
      <c r="A37" s="134" t="s">
        <v>129</v>
      </c>
      <c r="B37" s="135"/>
      <c r="C37" s="75">
        <f t="shared" ref="C37:AH37" si="566">SUM(C27,C36,C32)</f>
        <v>148</v>
      </c>
      <c r="D37" s="76">
        <f t="shared" si="566"/>
        <v>32.438356164383563</v>
      </c>
      <c r="E37" s="77">
        <f t="shared" si="566"/>
        <v>32</v>
      </c>
      <c r="F37" s="75">
        <f t="shared" si="566"/>
        <v>0</v>
      </c>
      <c r="G37" s="76">
        <f t="shared" si="566"/>
        <v>0</v>
      </c>
      <c r="H37" s="78">
        <f t="shared" si="566"/>
        <v>0</v>
      </c>
      <c r="I37" s="75">
        <f t="shared" si="566"/>
        <v>232</v>
      </c>
      <c r="J37" s="76">
        <f t="shared" si="566"/>
        <v>21.917050691244242</v>
      </c>
      <c r="K37" s="78">
        <f t="shared" si="566"/>
        <v>26</v>
      </c>
      <c r="L37" s="75">
        <f t="shared" si="566"/>
        <v>4</v>
      </c>
      <c r="M37" s="76">
        <f t="shared" si="566"/>
        <v>0.76190476190476186</v>
      </c>
      <c r="N37" s="78">
        <f t="shared" si="566"/>
        <v>0</v>
      </c>
      <c r="O37" s="75">
        <f t="shared" si="566"/>
        <v>0</v>
      </c>
      <c r="P37" s="76">
        <f t="shared" si="566"/>
        <v>0</v>
      </c>
      <c r="Q37" s="78">
        <f t="shared" si="566"/>
        <v>0</v>
      </c>
      <c r="R37" s="75">
        <f t="shared" si="566"/>
        <v>72</v>
      </c>
      <c r="S37" s="76">
        <f t="shared" si="566"/>
        <v>33.517241379310342</v>
      </c>
      <c r="T37" s="78">
        <f t="shared" si="566"/>
        <v>32</v>
      </c>
      <c r="U37" s="75">
        <f t="shared" si="566"/>
        <v>20</v>
      </c>
      <c r="V37" s="76">
        <f t="shared" si="566"/>
        <v>12</v>
      </c>
      <c r="W37" s="78">
        <f t="shared" si="566"/>
        <v>12</v>
      </c>
      <c r="X37" s="75">
        <f t="shared" si="566"/>
        <v>16</v>
      </c>
      <c r="Y37" s="76">
        <f t="shared" si="566"/>
        <v>5.6470588235294121</v>
      </c>
      <c r="Z37" s="78">
        <f t="shared" si="566"/>
        <v>6</v>
      </c>
      <c r="AA37" s="75">
        <f t="shared" si="566"/>
        <v>20</v>
      </c>
      <c r="AB37" s="76">
        <f t="shared" si="566"/>
        <v>6.8181818181818183</v>
      </c>
      <c r="AC37" s="78">
        <f t="shared" si="566"/>
        <v>6</v>
      </c>
      <c r="AD37" s="75">
        <f t="shared" si="566"/>
        <v>52</v>
      </c>
      <c r="AE37" s="76">
        <f t="shared" si="566"/>
        <v>6.25</v>
      </c>
      <c r="AF37" s="78">
        <f t="shared" si="566"/>
        <v>4</v>
      </c>
      <c r="AG37" s="75">
        <f t="shared" si="566"/>
        <v>40</v>
      </c>
      <c r="AH37" s="76">
        <f t="shared" si="566"/>
        <v>6.6666666666666661</v>
      </c>
      <c r="AI37" s="78">
        <f t="shared" ref="AI37:BA37" si="567">SUM(AI27,AI36,AI32)</f>
        <v>8</v>
      </c>
      <c r="AJ37" s="75">
        <f t="shared" si="567"/>
        <v>16</v>
      </c>
      <c r="AK37" s="76">
        <f t="shared" si="567"/>
        <v>4.9411764705882355</v>
      </c>
      <c r="AL37" s="78">
        <f t="shared" si="567"/>
        <v>6</v>
      </c>
      <c r="AM37" s="75">
        <f t="shared" si="567"/>
        <v>16</v>
      </c>
      <c r="AN37" s="76">
        <f t="shared" si="567"/>
        <v>5.7777777777777777</v>
      </c>
      <c r="AO37" s="78">
        <f t="shared" si="567"/>
        <v>4</v>
      </c>
      <c r="AP37" s="75">
        <f t="shared" si="567"/>
        <v>52</v>
      </c>
      <c r="AQ37" s="76">
        <f t="shared" si="567"/>
        <v>14.485714285714286</v>
      </c>
      <c r="AR37" s="78">
        <f t="shared" si="567"/>
        <v>14</v>
      </c>
      <c r="AS37" s="75">
        <f t="shared" si="567"/>
        <v>60</v>
      </c>
      <c r="AT37" s="76">
        <f t="shared" si="567"/>
        <v>11.63265306122449</v>
      </c>
      <c r="AU37" s="78">
        <f t="shared" si="567"/>
        <v>10</v>
      </c>
      <c r="AV37" s="75">
        <f t="shared" si="567"/>
        <v>28</v>
      </c>
      <c r="AW37" s="76">
        <f t="shared" si="567"/>
        <v>6.6315789473684212</v>
      </c>
      <c r="AX37" s="78">
        <f t="shared" si="567"/>
        <v>6</v>
      </c>
      <c r="AY37" s="92">
        <f t="shared" si="567"/>
        <v>108</v>
      </c>
      <c r="AZ37" s="76">
        <f t="shared" si="567"/>
        <v>19.799999999999997</v>
      </c>
      <c r="BA37" s="78">
        <f t="shared" si="567"/>
        <v>20</v>
      </c>
      <c r="BB37" s="97">
        <f t="shared" si="90"/>
        <v>186</v>
      </c>
      <c r="BC37" s="75">
        <f t="shared" ref="BC37:CX37" si="568">SUM(BC27,BC36,BC32)</f>
        <v>80</v>
      </c>
      <c r="BD37" s="76">
        <f t="shared" si="568"/>
        <v>20.666666666666671</v>
      </c>
      <c r="BE37" s="78">
        <f t="shared" si="568"/>
        <v>22</v>
      </c>
      <c r="BF37" s="75">
        <f t="shared" si="568"/>
        <v>0</v>
      </c>
      <c r="BG37" s="76">
        <f t="shared" si="568"/>
        <v>0</v>
      </c>
      <c r="BH37" s="78">
        <f t="shared" si="568"/>
        <v>0</v>
      </c>
      <c r="BI37" s="75">
        <f t="shared" si="568"/>
        <v>0</v>
      </c>
      <c r="BJ37" s="76">
        <f t="shared" si="568"/>
        <v>0</v>
      </c>
      <c r="BK37" s="78">
        <f t="shared" si="568"/>
        <v>0</v>
      </c>
      <c r="BL37" s="92">
        <f t="shared" si="568"/>
        <v>0</v>
      </c>
      <c r="BM37" s="76">
        <f t="shared" si="568"/>
        <v>0</v>
      </c>
      <c r="BN37" s="78">
        <f t="shared" si="568"/>
        <v>0</v>
      </c>
      <c r="BO37" s="75">
        <f t="shared" si="568"/>
        <v>72</v>
      </c>
      <c r="BP37" s="76">
        <f t="shared" si="568"/>
        <v>17.41935483870968</v>
      </c>
      <c r="BQ37" s="78">
        <f t="shared" si="568"/>
        <v>16</v>
      </c>
      <c r="BR37" s="75">
        <f t="shared" si="568"/>
        <v>48</v>
      </c>
      <c r="BS37" s="76">
        <f t="shared" si="568"/>
        <v>13.44</v>
      </c>
      <c r="BT37" s="78">
        <f t="shared" si="568"/>
        <v>14</v>
      </c>
      <c r="BU37" s="75">
        <f t="shared" si="568"/>
        <v>0</v>
      </c>
      <c r="BV37" s="76">
        <f t="shared" si="568"/>
        <v>0</v>
      </c>
      <c r="BW37" s="78">
        <f t="shared" si="568"/>
        <v>0</v>
      </c>
      <c r="BX37" s="92">
        <f t="shared" si="568"/>
        <v>20</v>
      </c>
      <c r="BY37" s="76">
        <f t="shared" si="568"/>
        <v>6.290322580645161</v>
      </c>
      <c r="BZ37" s="78">
        <f t="shared" si="568"/>
        <v>6</v>
      </c>
      <c r="CA37" s="75">
        <f t="shared" si="568"/>
        <v>16</v>
      </c>
      <c r="CB37" s="76">
        <f t="shared" si="568"/>
        <v>8</v>
      </c>
      <c r="CC37" s="78">
        <f t="shared" si="568"/>
        <v>8</v>
      </c>
      <c r="CD37" s="75">
        <f t="shared" si="568"/>
        <v>8</v>
      </c>
      <c r="CE37" s="76">
        <f t="shared" si="568"/>
        <v>2.8571428571428572</v>
      </c>
      <c r="CF37" s="78">
        <f t="shared" si="568"/>
        <v>4</v>
      </c>
      <c r="CG37" s="75">
        <f t="shared" si="568"/>
        <v>28</v>
      </c>
      <c r="CH37" s="76">
        <f t="shared" si="568"/>
        <v>9.1304347826086953</v>
      </c>
      <c r="CI37" s="78">
        <f t="shared" si="568"/>
        <v>10</v>
      </c>
      <c r="CJ37" s="92">
        <f t="shared" si="568"/>
        <v>8</v>
      </c>
      <c r="CK37" s="76">
        <f t="shared" si="568"/>
        <v>2.1224489795918369</v>
      </c>
      <c r="CL37" s="78">
        <f t="shared" si="568"/>
        <v>0</v>
      </c>
      <c r="CM37" s="75">
        <f t="shared" si="568"/>
        <v>0</v>
      </c>
      <c r="CN37" s="76">
        <f t="shared" si="568"/>
        <v>0</v>
      </c>
      <c r="CO37" s="78">
        <f t="shared" si="568"/>
        <v>0</v>
      </c>
      <c r="CP37" s="75">
        <f t="shared" si="568"/>
        <v>10</v>
      </c>
      <c r="CQ37" s="76">
        <f t="shared" si="568"/>
        <v>2.5</v>
      </c>
      <c r="CR37" s="78">
        <f t="shared" si="568"/>
        <v>4</v>
      </c>
      <c r="CS37" s="75">
        <f t="shared" si="568"/>
        <v>0</v>
      </c>
      <c r="CT37" s="76">
        <f t="shared" si="568"/>
        <v>0</v>
      </c>
      <c r="CU37" s="78">
        <f t="shared" si="568"/>
        <v>0</v>
      </c>
      <c r="CV37" s="92">
        <f t="shared" si="568"/>
        <v>0</v>
      </c>
      <c r="CW37" s="76">
        <f t="shared" si="568"/>
        <v>0</v>
      </c>
      <c r="CX37" s="78">
        <f t="shared" si="568"/>
        <v>0</v>
      </c>
      <c r="CY37" s="100">
        <f>SUM(BE37,BH37,BK37,BN37,BQ37,BT37,BW37,BZ37,CC37,CF37,CI37,CL37,CO37,CR37,CU37,CX37)</f>
        <v>84</v>
      </c>
      <c r="CZ37" s="95">
        <f>SUM(BB37,CY37)</f>
        <v>270</v>
      </c>
    </row>
    <row r="38" spans="1:104" x14ac:dyDescent="0.25">
      <c r="A38" s="27" t="s">
        <v>114</v>
      </c>
      <c r="B38" s="88" t="s">
        <v>76</v>
      </c>
      <c r="C38" s="23" t="str">
        <f>_xlfn.XLOOKUP($B38,GCES!$B:$B,GCES!$C:$C,"",0,1)</f>
        <v/>
      </c>
      <c r="D38" s="28" t="str">
        <f t="shared" ref="D38:D41" si="569">IF(C38="","",D$58*C38/C$57)</f>
        <v/>
      </c>
      <c r="E38" s="26" t="str">
        <f t="shared" ref="E38:E41" si="570">IF(C38="","",IF(D38&gt;4,ROUND(D38/2,0)*2,IF(D38&gt;D$59,4,"")))</f>
        <v/>
      </c>
      <c r="F38" s="23" t="str">
        <f>_xlfn.XLOOKUP($B38,GCES!$B:$B,GCES!$E:$E,"",0,1)</f>
        <v/>
      </c>
      <c r="G38" s="28" t="str">
        <f t="shared" ref="G38:G41" si="571">IF(F38="","",G$58*F38/F$57)</f>
        <v/>
      </c>
      <c r="H38" s="24" t="str">
        <f t="shared" ref="H38:H41" si="572">IF(F38="","",IF(G38&gt;4,ROUND(G38/2,0)*2,IF(G38&gt;G$59,4,"")))</f>
        <v/>
      </c>
      <c r="I38" s="23">
        <f>_xlfn.XLOOKUP($B38,GCES!$B:$B,GCES!$D:$D,"",0,1)</f>
        <v>16</v>
      </c>
      <c r="J38" s="28">
        <f t="shared" ref="J38:J41" si="573">IF(I38="","",J$58*I38/I$57)</f>
        <v>1.5115207373271888</v>
      </c>
      <c r="K38" s="24" t="str">
        <f t="shared" ref="K38:K41" si="574">IF(I38="","",IF(J38&gt;4,ROUND(J38/2,0)*2,IF(J38&gt;J$59,4,"")))</f>
        <v/>
      </c>
      <c r="L38" s="23">
        <f>_xlfn.XLOOKUP($B38,GCES!$B:$B,GCES!$H:$H,"",0,1)</f>
        <v>24</v>
      </c>
      <c r="M38" s="28">
        <f t="shared" ref="M38:M41" si="575">IF(L38="","",M$58*L38/L$57)</f>
        <v>4.5714285714285712</v>
      </c>
      <c r="N38" s="24">
        <f t="shared" ref="N38:N41" si="576">IF(L38="","",IF(M38&gt;4,ROUND(M38/2,0)*2,IF(M38&gt;M$59,4,"")))</f>
        <v>4</v>
      </c>
      <c r="O38" s="23" t="str">
        <f>_xlfn.XLOOKUP($B38,GCES!$B:$B,GCES!$G:$G,"",0,1)</f>
        <v/>
      </c>
      <c r="P38" s="28" t="str">
        <f t="shared" ref="P38:P41" si="577">IF(O38="","",P$58*O38/O$57)</f>
        <v/>
      </c>
      <c r="Q38" s="24" t="str">
        <f t="shared" ref="Q38:Q41" si="578">IF(O38="","",IF(P38&gt;4,ROUND(P38/2,0)*2,IF(P38&gt;P$59,4,"")))</f>
        <v/>
      </c>
      <c r="R38" s="23" t="str">
        <f>_xlfn.XLOOKUP($B38,GCES!$B:$B,GCES!$L:$L,"",0,1)</f>
        <v/>
      </c>
      <c r="S38" s="28" t="str">
        <f t="shared" ref="S38:S41" si="579">IF(R38="","",S$58*R38/R$57)</f>
        <v/>
      </c>
      <c r="T38" s="24" t="str">
        <f t="shared" ref="T38:T41" si="580">IF(R38="","",IF(S38&gt;4,ROUND(S38/2,0)*2,IF(S38&gt;S$59,4,"")))</f>
        <v/>
      </c>
      <c r="U38" s="23" t="str">
        <f>_xlfn.XLOOKUP($B38,GCES!$B:$B,GCES!$K:$K,"",0,1)</f>
        <v/>
      </c>
      <c r="V38" s="28" t="str">
        <f t="shared" ref="V38:V41" si="581">IF(U38="","",V$58*U38/U$57)</f>
        <v/>
      </c>
      <c r="W38" s="24" t="str">
        <f t="shared" ref="W38:W41" si="582">IF(U38="","",IF(V38&gt;4,ROUND(V38/2,0)*2,IF(V38&gt;V$59,4,"")))</f>
        <v/>
      </c>
      <c r="X38" s="23" t="str">
        <f>_xlfn.XLOOKUP($B38,GCES!$B:$B,GCES!$S:$S,"",0,1)</f>
        <v/>
      </c>
      <c r="Y38" s="28" t="str">
        <f t="shared" ref="Y38:Y41" si="583">IF(X38="","",Y$58*X38/X$57)</f>
        <v/>
      </c>
      <c r="Z38" s="24" t="str">
        <f t="shared" ref="Z38:Z41" si="584">IF(X38="","",IF(Y38&gt;4,ROUND(Y38/2,0)*2,IF(Y38&gt;Y$59,4,"")))</f>
        <v/>
      </c>
      <c r="AA38" s="23" t="str">
        <f>_xlfn.XLOOKUP($B38,GCES!$B:$B,GCES!$R:$R,"",0,1)</f>
        <v/>
      </c>
      <c r="AB38" s="28" t="str">
        <f t="shared" ref="AB38:AB41" si="585">IF(AA38="","",AB$58*AA38/AA$57)</f>
        <v/>
      </c>
      <c r="AC38" s="24" t="str">
        <f t="shared" ref="AC38:AC41" si="586">IF(AA38="","",IF(AB38&gt;4,ROUND(AB38/2,0)*2,IF(AB38&gt;AB$59,4,"")))</f>
        <v/>
      </c>
      <c r="AD38" s="23">
        <f>_xlfn.XLOOKUP($B38,GCES!$B:$B,GCES!$AL:$AL,"",0,1)</f>
        <v>16</v>
      </c>
      <c r="AE38" s="28">
        <f t="shared" ref="AE38:AE41" si="587">IF(AD38="","",AE$58*AD38/AD$57)</f>
        <v>1.9230769230769231</v>
      </c>
      <c r="AF38" s="38">
        <v>4</v>
      </c>
      <c r="AG38" s="23" t="str">
        <f>_xlfn.XLOOKUP($B38,GCES!$B:$B,GCES!$AK:$AK,"",0,1)</f>
        <v/>
      </c>
      <c r="AH38" s="28" t="str">
        <f t="shared" ref="AH38:AH41" si="588">IF(AG38="","",AH$58*AG38/AG$57)</f>
        <v/>
      </c>
      <c r="AI38" s="24" t="str">
        <f t="shared" ref="AI38:AI41" si="589">IF(AG38="","",IF(AH38&gt;4,ROUND(AH38/2,0)*2,IF(AH38&gt;AH$59,4,"")))</f>
        <v/>
      </c>
      <c r="AJ38" s="23" t="str">
        <f>_xlfn.XLOOKUP($B38,GCES!$B:$B,GCES!$AQ:$AQ,"",0,1)</f>
        <v/>
      </c>
      <c r="AK38" s="28" t="str">
        <f t="shared" ref="AK38:AK41" si="590">IF(AJ38="","",AK$58*AJ38/AJ$57)</f>
        <v/>
      </c>
      <c r="AL38" s="24" t="str">
        <f t="shared" ref="AL38:AL41" si="591">IF(AJ38="","",IF(AK38&gt;4,ROUND(AK38/2,0)*2,IF(AK38&gt;AK$59,4,"")))</f>
        <v/>
      </c>
      <c r="AM38" s="23" t="str">
        <f>_xlfn.XLOOKUP($B38,GCES!$B:$B,GCES!$AP:$AP,"",0,1)</f>
        <v/>
      </c>
      <c r="AN38" s="28" t="str">
        <f t="shared" ref="AN38:AN41" si="592">IF(AM38="","",AN$58*AM38/AM$57)</f>
        <v/>
      </c>
      <c r="AO38" s="24" t="str">
        <f t="shared" ref="AO38:AO41" si="593">IF(AM38="","",IF(AN38&gt;4,ROUND(AN38/2,0)*2,IF(AN38&gt;AN$59,4,"")))</f>
        <v/>
      </c>
      <c r="AP38" s="23">
        <f>_xlfn.XLOOKUP($B38,GCES!$B:$B,GCES!$V:$V,"",0,1)</f>
        <v>0</v>
      </c>
      <c r="AQ38" s="28">
        <f t="shared" ref="AQ38:AQ41" si="594">IF(AP38="","",AQ$58*AP38/AP$57)</f>
        <v>0</v>
      </c>
      <c r="AR38" s="24" t="str">
        <f t="shared" ref="AR38:AR40" si="595">IF(AP38="","",IF(AQ38&gt;4,ROUND(AQ38/2,0)*2,IF(AQ38&gt;AQ$59,4,"")))</f>
        <v/>
      </c>
      <c r="AS38" s="23" t="str">
        <f>_xlfn.XLOOKUP($B38,GCES!$B:$B,GCES!$AH:$AH,"",0,1)</f>
        <v/>
      </c>
      <c r="AT38" s="28" t="str">
        <f t="shared" ref="AT38:AT41" si="596">IF(AS38="","",AT$58*AS38/AS$57)</f>
        <v/>
      </c>
      <c r="AU38" s="24" t="str">
        <f t="shared" ref="AU38:AU41" si="597">IF(AS38="","",IF(AT38&gt;4,ROUND(AT38/2,0)*2,IF(AT38&gt;AT$59,4,"")))</f>
        <v/>
      </c>
      <c r="AV38" s="23" t="str">
        <f>_xlfn.XLOOKUP($B38,GCES!$B:$B,GCES!$AG:$AG,"",0,1)</f>
        <v/>
      </c>
      <c r="AW38" s="28" t="str">
        <f t="shared" ref="AW38:AW41" si="598">IF(AV38="","",AW$58*AV38/AV$57)</f>
        <v/>
      </c>
      <c r="AX38" s="24" t="str">
        <f t="shared" ref="AX38:AX41" si="599">IF(AV38="","",IF(AW38&gt;4,ROUND(AW38/2,0)*2,IF(AW38&gt;AW$59,4,"")))</f>
        <v/>
      </c>
      <c r="AY38" s="90">
        <f>_xlfn.XLOOKUP($B38,GCES!$B:$B,GCES!$AO:$AO,"",0,1)</f>
        <v>16</v>
      </c>
      <c r="AZ38" s="28">
        <f t="shared" ref="AZ38:AZ41" si="600">IF(AY38="","",AZ$58*AY38/AY$57)</f>
        <v>2.9333333333333331</v>
      </c>
      <c r="BA38" s="24">
        <f t="shared" ref="BA38:BA39" si="601">IF(AY38="","",IF(AZ38&gt;4,ROUND(AZ38/2,0)*2,IF(AZ38&gt;AZ$59,4,"")))</f>
        <v>4</v>
      </c>
      <c r="BB38" s="97">
        <f t="shared" si="90"/>
        <v>12</v>
      </c>
      <c r="BC38" s="23">
        <f>_xlfn.XLOOKUP($B38,GCES!$B:$B,GCES!$F:$F,"",0,1)</f>
        <v>16</v>
      </c>
      <c r="BD38" s="28">
        <f t="shared" ref="BD38:BD41" si="602">IF(BC38="","",BD$58*BC38/BC$57)</f>
        <v>4.1333333333333337</v>
      </c>
      <c r="BE38" s="26">
        <f t="shared" ref="BE38:BE41" si="603">IF(BC38="","",IF(BD38&gt;4,ROUND(BD38/2,0)*2,IF(BD38&gt;BD$59,4,"")))</f>
        <v>4</v>
      </c>
      <c r="BF38" s="23">
        <f>_xlfn.XLOOKUP($B38,GCES!$B:$B,GCES!$J:$J,"",0,1)</f>
        <v>92</v>
      </c>
      <c r="BG38" s="28">
        <f t="shared" ref="BG38:BG41" si="604">IF(BF38="","",BG$58*BF38/BF$57)</f>
        <v>15.730569948186529</v>
      </c>
      <c r="BH38" s="38">
        <v>14</v>
      </c>
      <c r="BI38" s="23">
        <f>_xlfn.XLOOKUP($B38,GCES!$B:$B,GCES!$I:$I,"",0,1)</f>
        <v>16</v>
      </c>
      <c r="BJ38" s="28">
        <f t="shared" ref="BJ38:BJ41" si="605">IF(BI38="","",BJ$58*BI38/BI$57)</f>
        <v>2.807017543859649</v>
      </c>
      <c r="BK38" s="38"/>
      <c r="BL38" s="23">
        <f>_xlfn.XLOOKUP($B38,GCES!$B:$B,GCES!$AN:$AN,"",0,1)</f>
        <v>16</v>
      </c>
      <c r="BM38" s="28">
        <f t="shared" ref="BM38:BM41" si="606">IF(BL38="","",BM$58*BL38/BL$57)</f>
        <v>4.5714285714285712</v>
      </c>
      <c r="BN38" s="24">
        <f t="shared" ref="BN38:BN41" si="607">IF(BL38="","",IF(BM38&gt;4,ROUND(BM38/2,0)*2,IF(BM38&gt;BM$59,4,"")))</f>
        <v>4</v>
      </c>
      <c r="BO38" s="23">
        <f>_xlfn.XLOOKUP($B38,GCES!$B:$B,GCES!$AM:$AM,"",0,1)</f>
        <v>16</v>
      </c>
      <c r="BP38" s="28">
        <f t="shared" ref="BP38:BP41" si="608">IF(BO38="","",BP$58*BO38/BO$57)</f>
        <v>3.870967741935484</v>
      </c>
      <c r="BQ38" s="24">
        <f t="shared" ref="BQ38:BQ41" si="609">IF(BO38="","",IF(BP38&gt;4,ROUND(BP38/2,0)*2,IF(BP38&gt;BP$59,4,"")))</f>
        <v>4</v>
      </c>
      <c r="BR38" s="23">
        <f>_xlfn.XLOOKUP($B38,GCES!$B:$B,GCES!$Z:$Z,"",0,1)</f>
        <v>16</v>
      </c>
      <c r="BS38" s="28">
        <f t="shared" ref="BS38:BS41" si="610">IF(BR38="","",BS$58*BR38/BR$57)</f>
        <v>4.4800000000000004</v>
      </c>
      <c r="BT38" s="24">
        <f t="shared" ref="BT38:BT41" si="611">IF(BR38="","",IF(BS38&gt;4,ROUND(BS38/2,0)*2,IF(BS38&gt;BS$59,4,"")))</f>
        <v>4</v>
      </c>
      <c r="BU38" s="23" t="str">
        <f>_xlfn.XLOOKUP($B38,GCES!$B:$B,GCES!$Y:$Y,"",0,1)</f>
        <v/>
      </c>
      <c r="BV38" s="28" t="str">
        <f t="shared" ref="BV38:BV41" si="612">IF(BU38="","",BV$58*BU38/BU$57)</f>
        <v/>
      </c>
      <c r="BW38" s="24" t="str">
        <f t="shared" ref="BW38:BW41" si="613">IF(BU38="","",IF(BV38&gt;4,ROUND(BV38/2,0)*2,IF(BV38&gt;BV$59,4,"")))</f>
        <v/>
      </c>
      <c r="BX38" s="23">
        <f>_xlfn.XLOOKUP($B38,GCES!$B:$B,GCES!$AC:$AC,"",0,1)</f>
        <v>16</v>
      </c>
      <c r="BY38" s="28">
        <f t="shared" ref="BY38:BY41" si="614">IF(BX38="","",BY$58*BX38/BX$57)</f>
        <v>5.032258064516129</v>
      </c>
      <c r="BZ38" s="24">
        <f t="shared" ref="BZ38:BZ41" si="615">IF(BX38="","",IF(BY38&gt;4,ROUND(BY38/2,0)*2,IF(BY38&gt;BY$59,4,"")))</f>
        <v>6</v>
      </c>
      <c r="CA38" s="23" t="str">
        <f>_xlfn.XLOOKUP($B38,GCES!$B:$B,GCES!$AB:$AB,"",0,1)</f>
        <v/>
      </c>
      <c r="CB38" s="28" t="str">
        <f t="shared" ref="CB38:CB41" si="616">IF(CA38="","",CB$58*CA38/CA$57)</f>
        <v/>
      </c>
      <c r="CC38" s="24" t="str">
        <f t="shared" ref="CC38:CC41" si="617">IF(CA38="","",IF(CB38&gt;4,ROUND(CB38/2,0)*2,IF(CB38&gt;CB$59,4,"")))</f>
        <v/>
      </c>
      <c r="CD38" s="23" t="str">
        <f>_xlfn.XLOOKUP($B38,GCES!$B:$B,GCES!$AS:$AS,"",0,1)</f>
        <v/>
      </c>
      <c r="CE38" s="28" t="str">
        <f t="shared" ref="CE38:CE41" si="618">IF(CD38="","",CE$58*CD38/CD$57)</f>
        <v/>
      </c>
      <c r="CF38" s="24" t="str">
        <f t="shared" ref="CF38:CF41" si="619">IF(CD38="","",IF(CE38&gt;4,ROUND(CE38/2,0)*2,IF(CE38&gt;CE$59,4,"")))</f>
        <v/>
      </c>
      <c r="CG38" s="23" t="str">
        <f>_xlfn.XLOOKUP($B38,GCES!$B:$B,GCES!$AR:$AR,"",0,1)</f>
        <v/>
      </c>
      <c r="CH38" s="28" t="str">
        <f t="shared" ref="CH38:CH41" si="620">IF(CG38="","",CH$58*CG38/CG$57)</f>
        <v/>
      </c>
      <c r="CI38" s="26" t="str">
        <f t="shared" ref="CI38:CI41" si="621">IF(CG38="","",IF(CH38&gt;4,ROUND(CH38/2,0)*2,IF(CH38&gt;CH$59,4,"")))</f>
        <v/>
      </c>
      <c r="CJ38" s="23">
        <f>_xlfn.XLOOKUP($B38,GCES!$B:$B,GCES!$N:$N,"",0,1)</f>
        <v>16</v>
      </c>
      <c r="CK38" s="28">
        <f t="shared" ref="CK38:CK41" si="622">IF(CJ38="","",CK$58*CJ38/CJ$57)</f>
        <v>4.2448979591836737</v>
      </c>
      <c r="CL38" s="24">
        <f t="shared" ref="CL38:CL40" si="623">IF(CJ38="","",IF(CK38&gt;4,ROUND(CK38/2,0)*2,IF(CK38&gt;CK$59,4,"")))</f>
        <v>4</v>
      </c>
      <c r="CM38" s="23" t="str">
        <f>_xlfn.XLOOKUP($B38,GCES!$B:$B,GCES!$M:$M,"",0,1)</f>
        <v/>
      </c>
      <c r="CN38" s="28" t="str">
        <f t="shared" ref="CN38:CN41" si="624">IF(CM38="","",CN$58*CM38/CM$57)</f>
        <v/>
      </c>
      <c r="CO38" s="24" t="str">
        <f t="shared" ref="CO38:CO41" si="625">IF(CM38="","",IF(CN38&gt;4,ROUND(CN38/2,0)*2,IF(CN38&gt;CN$59,4,"")))</f>
        <v/>
      </c>
      <c r="CP38" s="90">
        <f>_xlfn.XLOOKUP($B38,GCES!$B:$B,GCES!$AD:$AD,"",0,1)</f>
        <v>16</v>
      </c>
      <c r="CQ38" s="28">
        <f t="shared" ref="CQ38:CQ41" si="626">IF(CP38="","",CQ$58*CP38/CP$57)</f>
        <v>4</v>
      </c>
      <c r="CR38" s="26">
        <f t="shared" ref="CR38:CR41" si="627">IF(CP38="","",IF(CQ38&gt;4,ROUND(CQ38/2,0)*2,IF(CQ38&gt;CQ$59,4,"")))</f>
        <v>4</v>
      </c>
      <c r="CS38" s="23">
        <f>_xlfn.XLOOKUP($B38,GCES!$B:$B,GCES!$AJ:$AJ,"",0,1)</f>
        <v>16</v>
      </c>
      <c r="CT38" s="28">
        <f t="shared" ref="CT38:CT41" si="628">IF(CS38="","",CT$58*CS38/CS$57)</f>
        <v>4</v>
      </c>
      <c r="CU38" s="24">
        <f t="shared" ref="CU38:CU41" si="629">IF(CS38="","",IF(CT38&gt;4,ROUND(CT38/2,0)*2,IF(CT38&gt;CT$59,4,"")))</f>
        <v>4</v>
      </c>
      <c r="CV38" s="23">
        <f>_xlfn.XLOOKUP($B38,GCES!$B:$B,GCES!$AI:$AI,"",0,1)</f>
        <v>16</v>
      </c>
      <c r="CW38" s="28">
        <f t="shared" ref="CW38:CW41" si="630">IF(CV38="","",CW$58*CV38/CV$57)</f>
        <v>5.12</v>
      </c>
      <c r="CX38" s="38">
        <v>4</v>
      </c>
      <c r="CY38" s="100">
        <f t="shared" ref="CY38:CY41" si="631">SUM(BE38,BH38,BK38,BN38,BQ38,BT38,BW38,BZ38,CC38,CF38,CI38,CL38,CO38,CR38,CU38,CX38)</f>
        <v>52</v>
      </c>
      <c r="CZ38" s="95">
        <f t="shared" ref="CZ38:CZ41" si="632">SUM(BB38,CY38)</f>
        <v>64</v>
      </c>
    </row>
    <row r="39" spans="1:104" x14ac:dyDescent="0.25">
      <c r="A39" s="27" t="s">
        <v>125</v>
      </c>
      <c r="B39" s="88" t="s">
        <v>79</v>
      </c>
      <c r="C39" s="23" t="str">
        <f>_xlfn.XLOOKUP($B39,GCES!$B:$B,GCES!$C:$C,"",0,1)</f>
        <v/>
      </c>
      <c r="D39" s="28" t="str">
        <f t="shared" si="569"/>
        <v/>
      </c>
      <c r="E39" s="26" t="str">
        <f t="shared" si="570"/>
        <v/>
      </c>
      <c r="F39" s="23" t="str">
        <f>_xlfn.XLOOKUP($B39,GCES!$B:$B,GCES!$E:$E,"",0,1)</f>
        <v/>
      </c>
      <c r="G39" s="28" t="str">
        <f t="shared" si="571"/>
        <v/>
      </c>
      <c r="H39" s="24" t="str">
        <f t="shared" si="572"/>
        <v/>
      </c>
      <c r="I39" s="23">
        <f>_xlfn.XLOOKUP($B39,GCES!$B:$B,GCES!$D:$D,"",0,1)</f>
        <v>72</v>
      </c>
      <c r="J39" s="28">
        <f t="shared" si="573"/>
        <v>6.8018433179723505</v>
      </c>
      <c r="K39" s="38">
        <v>8</v>
      </c>
      <c r="L39" s="23" t="str">
        <f>_xlfn.XLOOKUP($B39,GCES!$B:$B,GCES!$H:$H,"",0,1)</f>
        <v/>
      </c>
      <c r="M39" s="28" t="str">
        <f t="shared" si="575"/>
        <v/>
      </c>
      <c r="N39" s="24" t="str">
        <f t="shared" si="576"/>
        <v/>
      </c>
      <c r="O39" s="23" t="str">
        <f>_xlfn.XLOOKUP($B39,GCES!$B:$B,GCES!$G:$G,"",0,1)</f>
        <v/>
      </c>
      <c r="P39" s="28" t="str">
        <f t="shared" si="577"/>
        <v/>
      </c>
      <c r="Q39" s="24" t="str">
        <f t="shared" si="578"/>
        <v/>
      </c>
      <c r="R39" s="23" t="str">
        <f>_xlfn.XLOOKUP($B39,GCES!$B:$B,GCES!$L:$L,"",0,1)</f>
        <v/>
      </c>
      <c r="S39" s="28" t="str">
        <f t="shared" si="579"/>
        <v/>
      </c>
      <c r="T39" s="24" t="str">
        <f t="shared" si="580"/>
        <v/>
      </c>
      <c r="U39" s="23" t="str">
        <f>_xlfn.XLOOKUP($B39,GCES!$B:$B,GCES!$K:$K,"",0,1)</f>
        <v/>
      </c>
      <c r="V39" s="28" t="str">
        <f t="shared" si="581"/>
        <v/>
      </c>
      <c r="W39" s="24" t="str">
        <f t="shared" si="582"/>
        <v/>
      </c>
      <c r="X39" s="23" t="str">
        <f>_xlfn.XLOOKUP($B39,GCES!$B:$B,GCES!$S:$S,"",0,1)</f>
        <v/>
      </c>
      <c r="Y39" s="28" t="str">
        <f t="shared" si="583"/>
        <v/>
      </c>
      <c r="Z39" s="24" t="str">
        <f t="shared" si="584"/>
        <v/>
      </c>
      <c r="AA39" s="23" t="str">
        <f>_xlfn.XLOOKUP($B39,GCES!$B:$B,GCES!$R:$R,"",0,1)</f>
        <v/>
      </c>
      <c r="AB39" s="28" t="str">
        <f t="shared" si="585"/>
        <v/>
      </c>
      <c r="AC39" s="24" t="str">
        <f t="shared" si="586"/>
        <v/>
      </c>
      <c r="AD39" s="23">
        <f>_xlfn.XLOOKUP($B39,GCES!$B:$B,GCES!$AL:$AL,"",0,1)</f>
        <v>16</v>
      </c>
      <c r="AE39" s="28">
        <f t="shared" si="587"/>
        <v>1.9230769230769231</v>
      </c>
      <c r="AF39" s="38">
        <v>6</v>
      </c>
      <c r="AG39" s="23" t="str">
        <f>_xlfn.XLOOKUP($B39,GCES!$B:$B,GCES!$AK:$AK,"",0,1)</f>
        <v/>
      </c>
      <c r="AH39" s="28" t="str">
        <f t="shared" si="588"/>
        <v/>
      </c>
      <c r="AI39" s="24" t="str">
        <f t="shared" si="589"/>
        <v/>
      </c>
      <c r="AJ39" s="23" t="str">
        <f>_xlfn.XLOOKUP($B39,GCES!$B:$B,GCES!$AQ:$AQ,"",0,1)</f>
        <v/>
      </c>
      <c r="AK39" s="28" t="str">
        <f t="shared" si="590"/>
        <v/>
      </c>
      <c r="AL39" s="24" t="str">
        <f t="shared" si="591"/>
        <v/>
      </c>
      <c r="AM39" s="23" t="str">
        <f>_xlfn.XLOOKUP($B39,GCES!$B:$B,GCES!$AP:$AP,"",0,1)</f>
        <v/>
      </c>
      <c r="AN39" s="28" t="str">
        <f t="shared" si="592"/>
        <v/>
      </c>
      <c r="AO39" s="24" t="str">
        <f t="shared" si="593"/>
        <v/>
      </c>
      <c r="AP39" s="23" t="str">
        <f>_xlfn.XLOOKUP($B39,GCES!$B:$B,GCES!$V:$V,"",0,1)</f>
        <v/>
      </c>
      <c r="AQ39" s="28" t="str">
        <f t="shared" si="594"/>
        <v/>
      </c>
      <c r="AR39" s="24" t="str">
        <f t="shared" si="595"/>
        <v/>
      </c>
      <c r="AS39" s="23" t="str">
        <f>_xlfn.XLOOKUP($B39,GCES!$B:$B,GCES!$AH:$AH,"",0,1)</f>
        <v/>
      </c>
      <c r="AT39" s="28" t="str">
        <f t="shared" si="596"/>
        <v/>
      </c>
      <c r="AU39" s="24" t="str">
        <f t="shared" si="597"/>
        <v/>
      </c>
      <c r="AV39" s="23" t="str">
        <f>_xlfn.XLOOKUP($B39,GCES!$B:$B,GCES!$AG:$AG,"",0,1)</f>
        <v/>
      </c>
      <c r="AW39" s="28" t="str">
        <f t="shared" si="598"/>
        <v/>
      </c>
      <c r="AX39" s="24" t="str">
        <f t="shared" si="599"/>
        <v/>
      </c>
      <c r="AY39" s="90">
        <f>_xlfn.XLOOKUP($B39,GCES!$B:$B,GCES!$AO:$AO,"",0,1)</f>
        <v>16</v>
      </c>
      <c r="AZ39" s="28">
        <f t="shared" si="600"/>
        <v>2.9333333333333331</v>
      </c>
      <c r="BA39" s="24">
        <f t="shared" si="601"/>
        <v>4</v>
      </c>
      <c r="BB39" s="97">
        <f t="shared" si="90"/>
        <v>18</v>
      </c>
      <c r="BC39" s="23" t="str">
        <f>_xlfn.XLOOKUP($B39,GCES!$B:$B,GCES!$F:$F,"",0,1)</f>
        <v/>
      </c>
      <c r="BD39" s="28" t="str">
        <f t="shared" si="602"/>
        <v/>
      </c>
      <c r="BE39" s="26" t="str">
        <f t="shared" si="603"/>
        <v/>
      </c>
      <c r="BF39" s="23" t="str">
        <f>_xlfn.XLOOKUP($B39,GCES!$B:$B,GCES!$J:$J,"",0,1)</f>
        <v/>
      </c>
      <c r="BG39" s="28" t="str">
        <f t="shared" si="604"/>
        <v/>
      </c>
      <c r="BH39" s="24" t="str">
        <f t="shared" ref="BH39:BH41" si="633">IF(BF39="","",IF(BG39&gt;4,ROUND(BG39/2,0)*2,IF(BG39&gt;BG$59,4,"")))</f>
        <v/>
      </c>
      <c r="BI39" s="23" t="str">
        <f>_xlfn.XLOOKUP($B39,GCES!$B:$B,GCES!$I:$I,"",0,1)</f>
        <v/>
      </c>
      <c r="BJ39" s="28" t="str">
        <f t="shared" si="605"/>
        <v/>
      </c>
      <c r="BK39" s="24" t="str">
        <f t="shared" ref="BK39:BK41" si="634">IF(BI39="","",IF(BJ39&gt;4,ROUND(BJ39/2,0)*2,IF(BJ39&gt;BJ$59,4,"")))</f>
        <v/>
      </c>
      <c r="BL39" s="23" t="str">
        <f>_xlfn.XLOOKUP($B39,GCES!$B:$B,GCES!$AN:$AN,"",0,1)</f>
        <v/>
      </c>
      <c r="BM39" s="28" t="str">
        <f t="shared" si="606"/>
        <v/>
      </c>
      <c r="BN39" s="24" t="str">
        <f t="shared" si="607"/>
        <v/>
      </c>
      <c r="BO39" s="23" t="str">
        <f>_xlfn.XLOOKUP($B39,GCES!$B:$B,GCES!$AM:$AM,"",0,1)</f>
        <v/>
      </c>
      <c r="BP39" s="28" t="str">
        <f t="shared" si="608"/>
        <v/>
      </c>
      <c r="BQ39" s="24" t="str">
        <f t="shared" si="609"/>
        <v/>
      </c>
      <c r="BR39" s="23" t="str">
        <f>_xlfn.XLOOKUP($B39,GCES!$B:$B,GCES!$Z:$Z,"",0,1)</f>
        <v/>
      </c>
      <c r="BS39" s="28" t="str">
        <f t="shared" si="610"/>
        <v/>
      </c>
      <c r="BT39" s="24" t="str">
        <f t="shared" si="611"/>
        <v/>
      </c>
      <c r="BU39" s="23" t="str">
        <f>_xlfn.XLOOKUP($B39,GCES!$B:$B,GCES!$Y:$Y,"",0,1)</f>
        <v/>
      </c>
      <c r="BV39" s="28" t="str">
        <f t="shared" si="612"/>
        <v/>
      </c>
      <c r="BW39" s="24" t="str">
        <f t="shared" si="613"/>
        <v/>
      </c>
      <c r="BX39" s="23" t="str">
        <f>_xlfn.XLOOKUP($B39,GCES!$B:$B,GCES!$AC:$AC,"",0,1)</f>
        <v/>
      </c>
      <c r="BY39" s="28" t="str">
        <f t="shared" si="614"/>
        <v/>
      </c>
      <c r="BZ39" s="24" t="str">
        <f t="shared" si="615"/>
        <v/>
      </c>
      <c r="CA39" s="23" t="str">
        <f>_xlfn.XLOOKUP($B39,GCES!$B:$B,GCES!$AB:$AB,"",0,1)</f>
        <v/>
      </c>
      <c r="CB39" s="28" t="str">
        <f t="shared" si="616"/>
        <v/>
      </c>
      <c r="CC39" s="24" t="str">
        <f t="shared" si="617"/>
        <v/>
      </c>
      <c r="CD39" s="23" t="str">
        <f>_xlfn.XLOOKUP($B39,GCES!$B:$B,GCES!$AS:$AS,"",0,1)</f>
        <v/>
      </c>
      <c r="CE39" s="28" t="str">
        <f t="shared" si="618"/>
        <v/>
      </c>
      <c r="CF39" s="24" t="str">
        <f t="shared" si="619"/>
        <v/>
      </c>
      <c r="CG39" s="23" t="str">
        <f>_xlfn.XLOOKUP($B39,GCES!$B:$B,GCES!$AR:$AR,"",0,1)</f>
        <v/>
      </c>
      <c r="CH39" s="28" t="str">
        <f t="shared" si="620"/>
        <v/>
      </c>
      <c r="CI39" s="26" t="str">
        <f t="shared" si="621"/>
        <v/>
      </c>
      <c r="CJ39" s="23" t="str">
        <f>_xlfn.XLOOKUP($B39,GCES!$B:$B,GCES!$N:$N,"",0,1)</f>
        <v/>
      </c>
      <c r="CK39" s="28" t="str">
        <f t="shared" si="622"/>
        <v/>
      </c>
      <c r="CL39" s="24" t="str">
        <f t="shared" si="623"/>
        <v/>
      </c>
      <c r="CM39" s="23" t="str">
        <f>_xlfn.XLOOKUP($B39,GCES!$B:$B,GCES!$M:$M,"",0,1)</f>
        <v/>
      </c>
      <c r="CN39" s="28" t="str">
        <f t="shared" si="624"/>
        <v/>
      </c>
      <c r="CO39" s="24" t="str">
        <f t="shared" si="625"/>
        <v/>
      </c>
      <c r="CP39" s="90" t="str">
        <f>_xlfn.XLOOKUP($B39,GCES!$B:$B,GCES!$AD:$AD,"",0,1)</f>
        <v/>
      </c>
      <c r="CQ39" s="28" t="str">
        <f t="shared" si="626"/>
        <v/>
      </c>
      <c r="CR39" s="26" t="str">
        <f t="shared" si="627"/>
        <v/>
      </c>
      <c r="CS39" s="23" t="str">
        <f>_xlfn.XLOOKUP($B39,GCES!$B:$B,GCES!$AJ:$AJ,"",0,1)</f>
        <v/>
      </c>
      <c r="CT39" s="28" t="str">
        <f t="shared" si="628"/>
        <v/>
      </c>
      <c r="CU39" s="24" t="str">
        <f t="shared" si="629"/>
        <v/>
      </c>
      <c r="CV39" s="23" t="str">
        <f>_xlfn.XLOOKUP($B39,GCES!$B:$B,GCES!$AI:$AI,"",0,1)</f>
        <v/>
      </c>
      <c r="CW39" s="28" t="str">
        <f t="shared" si="630"/>
        <v/>
      </c>
      <c r="CX39" s="24" t="str">
        <f t="shared" ref="CX39:CX40" si="635">IF(CV39="","",IF(CW39&gt;4,ROUND(CW39/2,0)*2,IF(CW39&gt;CW$59,4,"")))</f>
        <v/>
      </c>
      <c r="CY39" s="100">
        <f t="shared" si="631"/>
        <v>0</v>
      </c>
      <c r="CZ39" s="95">
        <f t="shared" si="632"/>
        <v>18</v>
      </c>
    </row>
    <row r="40" spans="1:104" x14ac:dyDescent="0.25">
      <c r="A40" s="27" t="s">
        <v>112</v>
      </c>
      <c r="B40" s="88" t="s">
        <v>74</v>
      </c>
      <c r="C40" s="23" t="str">
        <f>_xlfn.XLOOKUP($B40,GCES!$B:$B,GCES!$C:$C,"",0,1)</f>
        <v/>
      </c>
      <c r="D40" s="28" t="str">
        <f t="shared" si="569"/>
        <v/>
      </c>
      <c r="E40" s="26" t="str">
        <f t="shared" si="570"/>
        <v/>
      </c>
      <c r="F40" s="23" t="str">
        <f>_xlfn.XLOOKUP($B40,GCES!$B:$B,GCES!$E:$E,"",0,1)</f>
        <v/>
      </c>
      <c r="G40" s="28" t="str">
        <f t="shared" si="571"/>
        <v/>
      </c>
      <c r="H40" s="24" t="str">
        <f t="shared" si="572"/>
        <v/>
      </c>
      <c r="I40" s="23">
        <f>_xlfn.XLOOKUP($B40,GCES!$B:$B,GCES!$D:$D,"",0,1)</f>
        <v>40</v>
      </c>
      <c r="J40" s="28">
        <f t="shared" si="573"/>
        <v>3.7788018433179724</v>
      </c>
      <c r="K40" s="24">
        <f t="shared" si="574"/>
        <v>4</v>
      </c>
      <c r="L40" s="23">
        <f>_xlfn.XLOOKUP($B40,GCES!$B:$B,GCES!$H:$H,"",0,1)</f>
        <v>20</v>
      </c>
      <c r="M40" s="28">
        <f t="shared" si="575"/>
        <v>3.8095238095238093</v>
      </c>
      <c r="N40" s="24">
        <f t="shared" si="576"/>
        <v>4</v>
      </c>
      <c r="O40" s="23" t="str">
        <f>_xlfn.XLOOKUP($B40,GCES!$B:$B,GCES!$G:$G,"",0,1)</f>
        <v/>
      </c>
      <c r="P40" s="28" t="str">
        <f t="shared" si="577"/>
        <v/>
      </c>
      <c r="Q40" s="24" t="str">
        <f t="shared" si="578"/>
        <v/>
      </c>
      <c r="R40" s="23">
        <f>_xlfn.XLOOKUP($B40,GCES!$B:$B,GCES!$L:$L,"",0,1)</f>
        <v>16</v>
      </c>
      <c r="S40" s="28">
        <f t="shared" si="579"/>
        <v>7.4482758620689653</v>
      </c>
      <c r="T40" s="24">
        <f t="shared" si="580"/>
        <v>8</v>
      </c>
      <c r="U40" s="23" t="str">
        <f>_xlfn.XLOOKUP($B40,GCES!$B:$B,GCES!$K:$K,"",0,1)</f>
        <v/>
      </c>
      <c r="V40" s="28" t="str">
        <f t="shared" si="581"/>
        <v/>
      </c>
      <c r="W40" s="24" t="str">
        <f t="shared" si="582"/>
        <v/>
      </c>
      <c r="X40" s="23">
        <f>_xlfn.XLOOKUP($B40,GCES!$B:$B,GCES!$S:$S,"",0,1)</f>
        <v>16</v>
      </c>
      <c r="Y40" s="28">
        <f t="shared" si="583"/>
        <v>5.6470588235294121</v>
      </c>
      <c r="Z40" s="24">
        <f t="shared" si="584"/>
        <v>6</v>
      </c>
      <c r="AA40" s="23" t="str">
        <f>_xlfn.XLOOKUP($B40,GCES!$B:$B,GCES!$R:$R,"",0,1)</f>
        <v/>
      </c>
      <c r="AB40" s="28" t="str">
        <f t="shared" si="585"/>
        <v/>
      </c>
      <c r="AC40" s="24" t="str">
        <f t="shared" si="586"/>
        <v/>
      </c>
      <c r="AD40" s="23">
        <f>_xlfn.XLOOKUP($B40,GCES!$B:$B,GCES!$AL:$AL,"",0,1)</f>
        <v>16</v>
      </c>
      <c r="AE40" s="28">
        <f t="shared" si="587"/>
        <v>1.9230769230769231</v>
      </c>
      <c r="AF40" s="24" t="str">
        <f t="shared" ref="AF40:AF41" si="636">IF(AD40="","",IF(AE40&gt;4,ROUND(AE40/2,0)*2,IF(AE40&gt;AE$59,4,"")))</f>
        <v/>
      </c>
      <c r="AG40" s="23" t="str">
        <f>_xlfn.XLOOKUP($B40,GCES!$B:$B,GCES!$AK:$AK,"",0,1)</f>
        <v/>
      </c>
      <c r="AH40" s="28" t="str">
        <f t="shared" si="588"/>
        <v/>
      </c>
      <c r="AI40" s="24" t="str">
        <f t="shared" si="589"/>
        <v/>
      </c>
      <c r="AJ40" s="23" t="str">
        <f>_xlfn.XLOOKUP($B40,GCES!$B:$B,GCES!$AQ:$AQ,"",0,1)</f>
        <v/>
      </c>
      <c r="AK40" s="28" t="str">
        <f t="shared" si="590"/>
        <v/>
      </c>
      <c r="AL40" s="24" t="str">
        <f t="shared" si="591"/>
        <v/>
      </c>
      <c r="AM40" s="23" t="str">
        <f>_xlfn.XLOOKUP($B40,GCES!$B:$B,GCES!$AP:$AP,"",0,1)</f>
        <v/>
      </c>
      <c r="AN40" s="28" t="str">
        <f t="shared" si="592"/>
        <v/>
      </c>
      <c r="AO40" s="24" t="str">
        <f t="shared" si="593"/>
        <v/>
      </c>
      <c r="AP40" s="23">
        <f>_xlfn.XLOOKUP($B40,GCES!$B:$B,GCES!$V:$V,"",0,1)</f>
        <v>16</v>
      </c>
      <c r="AQ40" s="28">
        <f t="shared" si="594"/>
        <v>4.4571428571428573</v>
      </c>
      <c r="AR40" s="24">
        <f t="shared" si="595"/>
        <v>4</v>
      </c>
      <c r="AS40" s="23">
        <f>_xlfn.XLOOKUP($B40,GCES!$B:$B,GCES!$AH:$AH,"",0,1)</f>
        <v>24</v>
      </c>
      <c r="AT40" s="28">
        <f t="shared" si="596"/>
        <v>4.6530612244897958</v>
      </c>
      <c r="AU40" s="24">
        <f t="shared" si="597"/>
        <v>4</v>
      </c>
      <c r="AV40" s="23" t="str">
        <f>_xlfn.XLOOKUP($B40,GCES!$B:$B,GCES!$AG:$AG,"",0,1)</f>
        <v/>
      </c>
      <c r="AW40" s="28" t="str">
        <f t="shared" si="598"/>
        <v/>
      </c>
      <c r="AX40" s="24" t="str">
        <f t="shared" si="599"/>
        <v/>
      </c>
      <c r="AY40" s="90">
        <f>_xlfn.XLOOKUP($B40,GCES!$B:$B,GCES!$AO:$AO,"",0,1)</f>
        <v>16</v>
      </c>
      <c r="AZ40" s="28">
        <f t="shared" si="600"/>
        <v>2.9333333333333331</v>
      </c>
      <c r="BA40" s="38"/>
      <c r="BB40" s="97">
        <f t="shared" si="90"/>
        <v>30</v>
      </c>
      <c r="BC40" s="23">
        <f>_xlfn.XLOOKUP($B40,GCES!$B:$B,GCES!$F:$F,"",0,1)</f>
        <v>16</v>
      </c>
      <c r="BD40" s="28">
        <f t="shared" si="602"/>
        <v>4.1333333333333337</v>
      </c>
      <c r="BE40" s="26">
        <f t="shared" si="603"/>
        <v>4</v>
      </c>
      <c r="BF40" s="23">
        <f>_xlfn.XLOOKUP($B40,GCES!$B:$B,GCES!$J:$J,"",0,1)</f>
        <v>16</v>
      </c>
      <c r="BG40" s="28">
        <f t="shared" si="604"/>
        <v>2.7357512953367875</v>
      </c>
      <c r="BH40" s="24">
        <f t="shared" si="633"/>
        <v>4</v>
      </c>
      <c r="BI40" s="23" t="str">
        <f>_xlfn.XLOOKUP($B40,GCES!$B:$B,GCES!$I:$I,"",0,1)</f>
        <v/>
      </c>
      <c r="BJ40" s="28" t="str">
        <f t="shared" si="605"/>
        <v/>
      </c>
      <c r="BK40" s="24" t="str">
        <f t="shared" si="634"/>
        <v/>
      </c>
      <c r="BL40" s="23" t="str">
        <f>_xlfn.XLOOKUP($B40,GCES!$B:$B,GCES!$AN:$AN,"",0,1)</f>
        <v/>
      </c>
      <c r="BM40" s="28" t="str">
        <f t="shared" si="606"/>
        <v/>
      </c>
      <c r="BN40" s="24" t="str">
        <f t="shared" si="607"/>
        <v/>
      </c>
      <c r="BO40" s="23" t="str">
        <f>_xlfn.XLOOKUP($B40,GCES!$B:$B,GCES!$AM:$AM,"",0,1)</f>
        <v/>
      </c>
      <c r="BP40" s="28" t="str">
        <f t="shared" si="608"/>
        <v/>
      </c>
      <c r="BQ40" s="24" t="str">
        <f t="shared" si="609"/>
        <v/>
      </c>
      <c r="BR40" s="23" t="str">
        <f>_xlfn.XLOOKUP($B40,GCES!$B:$B,GCES!$Z:$Z,"",0,1)</f>
        <v/>
      </c>
      <c r="BS40" s="28" t="str">
        <f t="shared" si="610"/>
        <v/>
      </c>
      <c r="BT40" s="24" t="str">
        <f t="shared" si="611"/>
        <v/>
      </c>
      <c r="BU40" s="23" t="str">
        <f>_xlfn.XLOOKUP($B40,GCES!$B:$B,GCES!$Y:$Y,"",0,1)</f>
        <v/>
      </c>
      <c r="BV40" s="28" t="str">
        <f t="shared" si="612"/>
        <v/>
      </c>
      <c r="BW40" s="24" t="str">
        <f t="shared" si="613"/>
        <v/>
      </c>
      <c r="BX40" s="23" t="str">
        <f>_xlfn.XLOOKUP($B40,GCES!$B:$B,GCES!$AC:$AC,"",0,1)</f>
        <v/>
      </c>
      <c r="BY40" s="28" t="str">
        <f t="shared" si="614"/>
        <v/>
      </c>
      <c r="BZ40" s="24" t="str">
        <f t="shared" si="615"/>
        <v/>
      </c>
      <c r="CA40" s="23" t="str">
        <f>_xlfn.XLOOKUP($B40,GCES!$B:$B,GCES!$AB:$AB,"",0,1)</f>
        <v/>
      </c>
      <c r="CB40" s="28" t="str">
        <f t="shared" si="616"/>
        <v/>
      </c>
      <c r="CC40" s="24" t="str">
        <f t="shared" si="617"/>
        <v/>
      </c>
      <c r="CD40" s="23" t="str">
        <f>_xlfn.XLOOKUP($B40,GCES!$B:$B,GCES!$AS:$AS,"",0,1)</f>
        <v/>
      </c>
      <c r="CE40" s="28" t="str">
        <f t="shared" si="618"/>
        <v/>
      </c>
      <c r="CF40" s="24" t="str">
        <f t="shared" si="619"/>
        <v/>
      </c>
      <c r="CG40" s="23" t="str">
        <f>_xlfn.XLOOKUP($B40,GCES!$B:$B,GCES!$AR:$AR,"",0,1)</f>
        <v/>
      </c>
      <c r="CH40" s="28" t="str">
        <f t="shared" si="620"/>
        <v/>
      </c>
      <c r="CI40" s="26" t="str">
        <f t="shared" si="621"/>
        <v/>
      </c>
      <c r="CJ40" s="23">
        <f>_xlfn.XLOOKUP($B40,GCES!$B:$B,GCES!$N:$N,"",0,1)</f>
        <v>16</v>
      </c>
      <c r="CK40" s="28">
        <f t="shared" si="622"/>
        <v>4.2448979591836737</v>
      </c>
      <c r="CL40" s="24">
        <f t="shared" si="623"/>
        <v>4</v>
      </c>
      <c r="CM40" s="23" t="str">
        <f>_xlfn.XLOOKUP($B40,GCES!$B:$B,GCES!$M:$M,"",0,1)</f>
        <v/>
      </c>
      <c r="CN40" s="28" t="str">
        <f t="shared" si="624"/>
        <v/>
      </c>
      <c r="CO40" s="24" t="str">
        <f t="shared" si="625"/>
        <v/>
      </c>
      <c r="CP40" s="90" t="str">
        <f>_xlfn.XLOOKUP($B40,GCES!$B:$B,GCES!$AD:$AD,"",0,1)</f>
        <v/>
      </c>
      <c r="CQ40" s="28" t="str">
        <f t="shared" si="626"/>
        <v/>
      </c>
      <c r="CR40" s="26" t="str">
        <f t="shared" si="627"/>
        <v/>
      </c>
      <c r="CS40" s="23">
        <f>_xlfn.XLOOKUP($B40,GCES!$B:$B,GCES!$AJ:$AJ,"",0,1)</f>
        <v>16</v>
      </c>
      <c r="CT40" s="28">
        <f t="shared" si="628"/>
        <v>4</v>
      </c>
      <c r="CU40" s="24">
        <f t="shared" si="629"/>
        <v>4</v>
      </c>
      <c r="CV40" s="23">
        <f>_xlfn.XLOOKUP($B40,GCES!$B:$B,GCES!$AI:$AI,"",0,1)</f>
        <v>16</v>
      </c>
      <c r="CW40" s="28">
        <f t="shared" si="630"/>
        <v>5.12</v>
      </c>
      <c r="CX40" s="24">
        <f t="shared" si="635"/>
        <v>6</v>
      </c>
      <c r="CY40" s="100">
        <f t="shared" si="631"/>
        <v>22</v>
      </c>
      <c r="CZ40" s="95">
        <f t="shared" si="632"/>
        <v>52</v>
      </c>
    </row>
    <row r="41" spans="1:104" x14ac:dyDescent="0.25">
      <c r="A41" s="27" t="s">
        <v>113</v>
      </c>
      <c r="B41" s="88" t="s">
        <v>75</v>
      </c>
      <c r="C41" s="23">
        <f>_xlfn.XLOOKUP($B41,GCES!$B:$B,GCES!$C:$C,"",0,1)</f>
        <v>16</v>
      </c>
      <c r="D41" s="28">
        <f t="shared" si="569"/>
        <v>3.506849315068493</v>
      </c>
      <c r="E41" s="26">
        <f t="shared" si="570"/>
        <v>4</v>
      </c>
      <c r="F41" s="23" t="str">
        <f>_xlfn.XLOOKUP($B41,GCES!$B:$B,GCES!$E:$E,"",0,1)</f>
        <v/>
      </c>
      <c r="G41" s="28" t="str">
        <f t="shared" si="571"/>
        <v/>
      </c>
      <c r="H41" s="24" t="str">
        <f t="shared" si="572"/>
        <v/>
      </c>
      <c r="I41" s="23">
        <f>_xlfn.XLOOKUP($B41,GCES!$B:$B,GCES!$D:$D,"",0,1)</f>
        <v>16</v>
      </c>
      <c r="J41" s="28">
        <f t="shared" si="573"/>
        <v>1.5115207373271888</v>
      </c>
      <c r="K41" s="24" t="str">
        <f t="shared" si="574"/>
        <v/>
      </c>
      <c r="L41" s="23">
        <f>_xlfn.XLOOKUP($B41,GCES!$B:$B,GCES!$H:$H,"",0,1)</f>
        <v>16</v>
      </c>
      <c r="M41" s="28">
        <f t="shared" si="575"/>
        <v>3.0476190476190474</v>
      </c>
      <c r="N41" s="24">
        <f t="shared" si="576"/>
        <v>4</v>
      </c>
      <c r="O41" s="23" t="str">
        <f>_xlfn.XLOOKUP($B41,GCES!$B:$B,GCES!$G:$G,"",0,1)</f>
        <v/>
      </c>
      <c r="P41" s="28" t="str">
        <f t="shared" si="577"/>
        <v/>
      </c>
      <c r="Q41" s="24" t="str">
        <f t="shared" si="578"/>
        <v/>
      </c>
      <c r="R41" s="23" t="str">
        <f>_xlfn.XLOOKUP($B41,GCES!$B:$B,GCES!$L:$L,"",0,1)</f>
        <v/>
      </c>
      <c r="S41" s="28" t="str">
        <f t="shared" si="579"/>
        <v/>
      </c>
      <c r="T41" s="24" t="str">
        <f t="shared" si="580"/>
        <v/>
      </c>
      <c r="U41" s="23" t="str">
        <f>_xlfn.XLOOKUP($B41,GCES!$B:$B,GCES!$K:$K,"",0,1)</f>
        <v/>
      </c>
      <c r="V41" s="28" t="str">
        <f t="shared" si="581"/>
        <v/>
      </c>
      <c r="W41" s="24" t="str">
        <f t="shared" si="582"/>
        <v/>
      </c>
      <c r="X41" s="23" t="str">
        <f>_xlfn.XLOOKUP($B41,GCES!$B:$B,GCES!$S:$S,"",0,1)</f>
        <v/>
      </c>
      <c r="Y41" s="28" t="str">
        <f t="shared" si="583"/>
        <v/>
      </c>
      <c r="Z41" s="24" t="str">
        <f t="shared" si="584"/>
        <v/>
      </c>
      <c r="AA41" s="23" t="str">
        <f>_xlfn.XLOOKUP($B41,GCES!$B:$B,GCES!$R:$R,"",0,1)</f>
        <v/>
      </c>
      <c r="AB41" s="28" t="str">
        <f t="shared" si="585"/>
        <v/>
      </c>
      <c r="AC41" s="24" t="str">
        <f t="shared" si="586"/>
        <v/>
      </c>
      <c r="AD41" s="23">
        <f>_xlfn.XLOOKUP($B41,GCES!$B:$B,GCES!$AL:$AL,"",0,1)</f>
        <v>16</v>
      </c>
      <c r="AE41" s="28">
        <f t="shared" si="587"/>
        <v>1.9230769230769231</v>
      </c>
      <c r="AF41" s="24" t="str">
        <f t="shared" si="636"/>
        <v/>
      </c>
      <c r="AG41" s="23" t="str">
        <f>_xlfn.XLOOKUP($B41,GCES!$B:$B,GCES!$AK:$AK,"",0,1)</f>
        <v/>
      </c>
      <c r="AH41" s="28" t="str">
        <f t="shared" si="588"/>
        <v/>
      </c>
      <c r="AI41" s="24" t="str">
        <f t="shared" si="589"/>
        <v/>
      </c>
      <c r="AJ41" s="23">
        <f>_xlfn.XLOOKUP($B41,GCES!$B:$B,GCES!$AQ:$AQ,"",0,1)</f>
        <v>16</v>
      </c>
      <c r="AK41" s="28">
        <f t="shared" si="590"/>
        <v>4.9411764705882355</v>
      </c>
      <c r="AL41" s="24">
        <f t="shared" si="591"/>
        <v>4</v>
      </c>
      <c r="AM41" s="23" t="str">
        <f>_xlfn.XLOOKUP($B41,GCES!$B:$B,GCES!$AP:$AP,"",0,1)</f>
        <v/>
      </c>
      <c r="AN41" s="28" t="str">
        <f t="shared" si="592"/>
        <v/>
      </c>
      <c r="AO41" s="24" t="str">
        <f t="shared" si="593"/>
        <v/>
      </c>
      <c r="AP41" s="23">
        <f>_xlfn.XLOOKUP($B41,GCES!$B:$B,GCES!$V:$V,"",0,1)</f>
        <v>16</v>
      </c>
      <c r="AQ41" s="28">
        <f t="shared" si="594"/>
        <v>4.4571428571428573</v>
      </c>
      <c r="AR41" s="38">
        <v>6</v>
      </c>
      <c r="AS41" s="23" t="str">
        <f>_xlfn.XLOOKUP($B41,GCES!$B:$B,GCES!$AH:$AH,"",0,1)</f>
        <v/>
      </c>
      <c r="AT41" s="28" t="str">
        <f t="shared" si="596"/>
        <v/>
      </c>
      <c r="AU41" s="24" t="str">
        <f t="shared" si="597"/>
        <v/>
      </c>
      <c r="AV41" s="23">
        <f>_xlfn.XLOOKUP($B41,GCES!$B:$B,GCES!$AG:$AG,"",0,1)</f>
        <v>16</v>
      </c>
      <c r="AW41" s="28">
        <f t="shared" si="598"/>
        <v>3.7894736842105261</v>
      </c>
      <c r="AX41" s="24">
        <f t="shared" si="599"/>
        <v>4</v>
      </c>
      <c r="AY41" s="90">
        <f>_xlfn.XLOOKUP($B41,GCES!$B:$B,GCES!$AO:$AO,"",0,1)</f>
        <v>16</v>
      </c>
      <c r="AZ41" s="28">
        <f t="shared" si="600"/>
        <v>2.9333333333333331</v>
      </c>
      <c r="BA41" s="38"/>
      <c r="BB41" s="97">
        <f t="shared" si="90"/>
        <v>22</v>
      </c>
      <c r="BC41" s="23" t="str">
        <f>_xlfn.XLOOKUP($B41,GCES!$B:$B,GCES!$F:$F,"",0,1)</f>
        <v/>
      </c>
      <c r="BD41" s="28" t="str">
        <f t="shared" si="602"/>
        <v/>
      </c>
      <c r="BE41" s="26" t="str">
        <f t="shared" si="603"/>
        <v/>
      </c>
      <c r="BF41" s="23">
        <f>_xlfn.XLOOKUP($B41,GCES!$B:$B,GCES!$J:$J,"",0,1)</f>
        <v>16</v>
      </c>
      <c r="BG41" s="28">
        <f t="shared" si="604"/>
        <v>2.7357512953367875</v>
      </c>
      <c r="BH41" s="24">
        <f t="shared" si="633"/>
        <v>4</v>
      </c>
      <c r="BI41" s="23">
        <f>_xlfn.XLOOKUP($B41,GCES!$B:$B,GCES!$I:$I,"",0,1)</f>
        <v>16</v>
      </c>
      <c r="BJ41" s="28">
        <f t="shared" si="605"/>
        <v>2.807017543859649</v>
      </c>
      <c r="BK41" s="24">
        <f t="shared" si="634"/>
        <v>4</v>
      </c>
      <c r="BL41" s="23" t="str">
        <f>_xlfn.XLOOKUP($B41,GCES!$B:$B,GCES!$AN:$AN,"",0,1)</f>
        <v/>
      </c>
      <c r="BM41" s="28" t="str">
        <f t="shared" si="606"/>
        <v/>
      </c>
      <c r="BN41" s="24" t="str">
        <f t="shared" si="607"/>
        <v/>
      </c>
      <c r="BO41" s="23" t="str">
        <f>_xlfn.XLOOKUP($B41,GCES!$B:$B,GCES!$AM:$AM,"",0,1)</f>
        <v/>
      </c>
      <c r="BP41" s="28" t="str">
        <f t="shared" si="608"/>
        <v/>
      </c>
      <c r="BQ41" s="24" t="str">
        <f t="shared" si="609"/>
        <v/>
      </c>
      <c r="BR41" s="23" t="str">
        <f>_xlfn.XLOOKUP($B41,GCES!$B:$B,GCES!$Z:$Z,"",0,1)</f>
        <v/>
      </c>
      <c r="BS41" s="28" t="str">
        <f t="shared" si="610"/>
        <v/>
      </c>
      <c r="BT41" s="24" t="str">
        <f t="shared" si="611"/>
        <v/>
      </c>
      <c r="BU41" s="23" t="str">
        <f>_xlfn.XLOOKUP($B41,GCES!$B:$B,GCES!$Y:$Y,"",0,1)</f>
        <v/>
      </c>
      <c r="BV41" s="28" t="str">
        <f t="shared" si="612"/>
        <v/>
      </c>
      <c r="BW41" s="24" t="str">
        <f t="shared" si="613"/>
        <v/>
      </c>
      <c r="BX41" s="23">
        <f>_xlfn.XLOOKUP($B41,GCES!$B:$B,GCES!$AC:$AC,"",0,1)</f>
        <v>16</v>
      </c>
      <c r="BY41" s="28">
        <f t="shared" si="614"/>
        <v>5.032258064516129</v>
      </c>
      <c r="BZ41" s="24">
        <f t="shared" si="615"/>
        <v>6</v>
      </c>
      <c r="CA41" s="23" t="str">
        <f>_xlfn.XLOOKUP($B41,GCES!$B:$B,GCES!$AB:$AB,"",0,1)</f>
        <v/>
      </c>
      <c r="CB41" s="28" t="str">
        <f t="shared" si="616"/>
        <v/>
      </c>
      <c r="CC41" s="24" t="str">
        <f t="shared" si="617"/>
        <v/>
      </c>
      <c r="CD41" s="23" t="str">
        <f>_xlfn.XLOOKUP($B41,GCES!$B:$B,GCES!$AS:$AS,"",0,1)</f>
        <v/>
      </c>
      <c r="CE41" s="28" t="str">
        <f t="shared" si="618"/>
        <v/>
      </c>
      <c r="CF41" s="24" t="str">
        <f t="shared" si="619"/>
        <v/>
      </c>
      <c r="CG41" s="23" t="str">
        <f>_xlfn.XLOOKUP($B41,GCES!$B:$B,GCES!$AR:$AR,"",0,1)</f>
        <v/>
      </c>
      <c r="CH41" s="28" t="str">
        <f t="shared" si="620"/>
        <v/>
      </c>
      <c r="CI41" s="26" t="str">
        <f t="shared" si="621"/>
        <v/>
      </c>
      <c r="CJ41" s="23">
        <f>_xlfn.XLOOKUP($B41,GCES!$B:$B,GCES!$N:$N,"",0,1)</f>
        <v>24</v>
      </c>
      <c r="CK41" s="28">
        <f t="shared" si="622"/>
        <v>6.3673469387755102</v>
      </c>
      <c r="CL41" s="38">
        <v>8</v>
      </c>
      <c r="CM41" s="23" t="str">
        <f>_xlfn.XLOOKUP($B41,GCES!$B:$B,GCES!$M:$M,"",0,1)</f>
        <v/>
      </c>
      <c r="CN41" s="28" t="str">
        <f t="shared" si="624"/>
        <v/>
      </c>
      <c r="CO41" s="24" t="str">
        <f t="shared" si="625"/>
        <v/>
      </c>
      <c r="CP41" s="90" t="str">
        <f>_xlfn.XLOOKUP($B41,GCES!$B:$B,GCES!$AD:$AD,"",0,1)</f>
        <v/>
      </c>
      <c r="CQ41" s="28" t="str">
        <f t="shared" si="626"/>
        <v/>
      </c>
      <c r="CR41" s="26" t="str">
        <f t="shared" si="627"/>
        <v/>
      </c>
      <c r="CS41" s="23" t="str">
        <f>_xlfn.XLOOKUP($B41,GCES!$B:$B,GCES!$AJ:$AJ,"",0,1)</f>
        <v/>
      </c>
      <c r="CT41" s="28" t="str">
        <f t="shared" si="628"/>
        <v/>
      </c>
      <c r="CU41" s="24" t="str">
        <f t="shared" si="629"/>
        <v/>
      </c>
      <c r="CV41" s="23">
        <f>_xlfn.XLOOKUP($B41,GCES!$B:$B,GCES!$AI:$AI,"",0,1)</f>
        <v>16</v>
      </c>
      <c r="CW41" s="28">
        <f t="shared" si="630"/>
        <v>5.12</v>
      </c>
      <c r="CX41" s="38">
        <v>4</v>
      </c>
      <c r="CY41" s="100">
        <f t="shared" si="631"/>
        <v>26</v>
      </c>
      <c r="CZ41" s="95">
        <f t="shared" si="632"/>
        <v>48</v>
      </c>
    </row>
    <row r="42" spans="1:104" s="5" customFormat="1" ht="14.4" customHeight="1" x14ac:dyDescent="0.25">
      <c r="A42" s="129" t="s">
        <v>135</v>
      </c>
      <c r="B42" s="130"/>
      <c r="C42" s="71">
        <f t="shared" ref="C42:AH42" si="637">SUM(C38:C41)</f>
        <v>16</v>
      </c>
      <c r="D42" s="72">
        <f t="shared" si="637"/>
        <v>3.506849315068493</v>
      </c>
      <c r="E42" s="73">
        <f t="shared" si="637"/>
        <v>4</v>
      </c>
      <c r="F42" s="71">
        <f t="shared" si="637"/>
        <v>0</v>
      </c>
      <c r="G42" s="72">
        <f t="shared" si="637"/>
        <v>0</v>
      </c>
      <c r="H42" s="74">
        <f t="shared" si="637"/>
        <v>0</v>
      </c>
      <c r="I42" s="71">
        <f t="shared" si="637"/>
        <v>144</v>
      </c>
      <c r="J42" s="72">
        <f t="shared" si="637"/>
        <v>13.603686635944701</v>
      </c>
      <c r="K42" s="74">
        <f t="shared" si="637"/>
        <v>12</v>
      </c>
      <c r="L42" s="71">
        <f t="shared" si="637"/>
        <v>60</v>
      </c>
      <c r="M42" s="72">
        <f t="shared" si="637"/>
        <v>11.428571428571427</v>
      </c>
      <c r="N42" s="74">
        <f t="shared" si="637"/>
        <v>12</v>
      </c>
      <c r="O42" s="71">
        <f t="shared" si="637"/>
        <v>0</v>
      </c>
      <c r="P42" s="72">
        <f t="shared" si="637"/>
        <v>0</v>
      </c>
      <c r="Q42" s="74">
        <f t="shared" si="637"/>
        <v>0</v>
      </c>
      <c r="R42" s="71">
        <f t="shared" si="637"/>
        <v>16</v>
      </c>
      <c r="S42" s="72">
        <f t="shared" si="637"/>
        <v>7.4482758620689653</v>
      </c>
      <c r="T42" s="74">
        <f t="shared" si="637"/>
        <v>8</v>
      </c>
      <c r="U42" s="71">
        <f t="shared" si="637"/>
        <v>0</v>
      </c>
      <c r="V42" s="72">
        <f t="shared" si="637"/>
        <v>0</v>
      </c>
      <c r="W42" s="74">
        <f t="shared" si="637"/>
        <v>0</v>
      </c>
      <c r="X42" s="71">
        <f t="shared" si="637"/>
        <v>16</v>
      </c>
      <c r="Y42" s="72">
        <f t="shared" si="637"/>
        <v>5.6470588235294121</v>
      </c>
      <c r="Z42" s="74">
        <f t="shared" si="637"/>
        <v>6</v>
      </c>
      <c r="AA42" s="71">
        <f t="shared" si="637"/>
        <v>0</v>
      </c>
      <c r="AB42" s="72">
        <f t="shared" si="637"/>
        <v>0</v>
      </c>
      <c r="AC42" s="74">
        <f t="shared" si="637"/>
        <v>0</v>
      </c>
      <c r="AD42" s="71">
        <f t="shared" si="637"/>
        <v>64</v>
      </c>
      <c r="AE42" s="72">
        <f t="shared" si="637"/>
        <v>7.6923076923076925</v>
      </c>
      <c r="AF42" s="74">
        <f t="shared" si="637"/>
        <v>10</v>
      </c>
      <c r="AG42" s="71">
        <f t="shared" si="637"/>
        <v>0</v>
      </c>
      <c r="AH42" s="72">
        <f t="shared" si="637"/>
        <v>0</v>
      </c>
      <c r="AI42" s="74">
        <f t="shared" ref="AI42:BA42" si="638">SUM(AI38:AI41)</f>
        <v>0</v>
      </c>
      <c r="AJ42" s="71">
        <f t="shared" si="638"/>
        <v>16</v>
      </c>
      <c r="AK42" s="72">
        <f t="shared" si="638"/>
        <v>4.9411764705882355</v>
      </c>
      <c r="AL42" s="74">
        <f t="shared" si="638"/>
        <v>4</v>
      </c>
      <c r="AM42" s="71">
        <f t="shared" si="638"/>
        <v>0</v>
      </c>
      <c r="AN42" s="72">
        <f t="shared" si="638"/>
        <v>0</v>
      </c>
      <c r="AO42" s="74">
        <f t="shared" si="638"/>
        <v>0</v>
      </c>
      <c r="AP42" s="71">
        <f t="shared" si="638"/>
        <v>32</v>
      </c>
      <c r="AQ42" s="72">
        <f t="shared" si="638"/>
        <v>8.9142857142857146</v>
      </c>
      <c r="AR42" s="74">
        <f t="shared" si="638"/>
        <v>10</v>
      </c>
      <c r="AS42" s="71">
        <f t="shared" si="638"/>
        <v>24</v>
      </c>
      <c r="AT42" s="72">
        <f t="shared" si="638"/>
        <v>4.6530612244897958</v>
      </c>
      <c r="AU42" s="74">
        <f t="shared" si="638"/>
        <v>4</v>
      </c>
      <c r="AV42" s="71">
        <f t="shared" si="638"/>
        <v>16</v>
      </c>
      <c r="AW42" s="72">
        <f t="shared" si="638"/>
        <v>3.7894736842105261</v>
      </c>
      <c r="AX42" s="74">
        <f t="shared" si="638"/>
        <v>4</v>
      </c>
      <c r="AY42" s="91">
        <f t="shared" si="638"/>
        <v>64</v>
      </c>
      <c r="AZ42" s="72">
        <f t="shared" si="638"/>
        <v>11.733333333333333</v>
      </c>
      <c r="BA42" s="74">
        <f t="shared" si="638"/>
        <v>8</v>
      </c>
      <c r="BB42" s="97">
        <f t="shared" si="90"/>
        <v>82</v>
      </c>
      <c r="BC42" s="71">
        <f t="shared" ref="BC42:CX42" si="639">SUM(BC38:BC41)</f>
        <v>32</v>
      </c>
      <c r="BD42" s="72">
        <f t="shared" si="639"/>
        <v>8.2666666666666675</v>
      </c>
      <c r="BE42" s="74">
        <f t="shared" si="639"/>
        <v>8</v>
      </c>
      <c r="BF42" s="71">
        <f t="shared" si="639"/>
        <v>124</v>
      </c>
      <c r="BG42" s="72">
        <f t="shared" si="639"/>
        <v>21.202072538860104</v>
      </c>
      <c r="BH42" s="74">
        <f t="shared" si="639"/>
        <v>22</v>
      </c>
      <c r="BI42" s="71">
        <f t="shared" si="639"/>
        <v>32</v>
      </c>
      <c r="BJ42" s="72">
        <f t="shared" si="639"/>
        <v>5.6140350877192979</v>
      </c>
      <c r="BK42" s="74">
        <f t="shared" si="639"/>
        <v>4</v>
      </c>
      <c r="BL42" s="91">
        <f t="shared" si="639"/>
        <v>16</v>
      </c>
      <c r="BM42" s="72">
        <f t="shared" si="639"/>
        <v>4.5714285714285712</v>
      </c>
      <c r="BN42" s="74">
        <f t="shared" si="639"/>
        <v>4</v>
      </c>
      <c r="BO42" s="71">
        <f t="shared" si="639"/>
        <v>16</v>
      </c>
      <c r="BP42" s="72">
        <f t="shared" si="639"/>
        <v>3.870967741935484</v>
      </c>
      <c r="BQ42" s="74">
        <f t="shared" si="639"/>
        <v>4</v>
      </c>
      <c r="BR42" s="71">
        <f t="shared" si="639"/>
        <v>16</v>
      </c>
      <c r="BS42" s="72">
        <f t="shared" si="639"/>
        <v>4.4800000000000004</v>
      </c>
      <c r="BT42" s="74">
        <f t="shared" si="639"/>
        <v>4</v>
      </c>
      <c r="BU42" s="71">
        <f t="shared" si="639"/>
        <v>0</v>
      </c>
      <c r="BV42" s="72">
        <f t="shared" si="639"/>
        <v>0</v>
      </c>
      <c r="BW42" s="74">
        <f t="shared" si="639"/>
        <v>0</v>
      </c>
      <c r="BX42" s="91">
        <f t="shared" si="639"/>
        <v>32</v>
      </c>
      <c r="BY42" s="72">
        <f t="shared" si="639"/>
        <v>10.064516129032258</v>
      </c>
      <c r="BZ42" s="74">
        <f t="shared" si="639"/>
        <v>12</v>
      </c>
      <c r="CA42" s="71">
        <f t="shared" si="639"/>
        <v>0</v>
      </c>
      <c r="CB42" s="72">
        <f t="shared" si="639"/>
        <v>0</v>
      </c>
      <c r="CC42" s="74">
        <f t="shared" si="639"/>
        <v>0</v>
      </c>
      <c r="CD42" s="71">
        <f t="shared" si="639"/>
        <v>0</v>
      </c>
      <c r="CE42" s="72">
        <f t="shared" si="639"/>
        <v>0</v>
      </c>
      <c r="CF42" s="74">
        <f t="shared" si="639"/>
        <v>0</v>
      </c>
      <c r="CG42" s="71">
        <f t="shared" si="639"/>
        <v>0</v>
      </c>
      <c r="CH42" s="72">
        <f t="shared" si="639"/>
        <v>0</v>
      </c>
      <c r="CI42" s="74">
        <f t="shared" si="639"/>
        <v>0</v>
      </c>
      <c r="CJ42" s="91">
        <f t="shared" si="639"/>
        <v>56</v>
      </c>
      <c r="CK42" s="72">
        <f t="shared" si="639"/>
        <v>14.857142857142858</v>
      </c>
      <c r="CL42" s="74">
        <f t="shared" si="639"/>
        <v>16</v>
      </c>
      <c r="CM42" s="71">
        <f t="shared" si="639"/>
        <v>0</v>
      </c>
      <c r="CN42" s="72">
        <f t="shared" si="639"/>
        <v>0</v>
      </c>
      <c r="CO42" s="74">
        <f t="shared" si="639"/>
        <v>0</v>
      </c>
      <c r="CP42" s="71">
        <f t="shared" si="639"/>
        <v>16</v>
      </c>
      <c r="CQ42" s="72">
        <f t="shared" si="639"/>
        <v>4</v>
      </c>
      <c r="CR42" s="74">
        <f t="shared" si="639"/>
        <v>4</v>
      </c>
      <c r="CS42" s="71">
        <f t="shared" si="639"/>
        <v>32</v>
      </c>
      <c r="CT42" s="72">
        <f t="shared" si="639"/>
        <v>8</v>
      </c>
      <c r="CU42" s="74">
        <f t="shared" si="639"/>
        <v>8</v>
      </c>
      <c r="CV42" s="91">
        <f t="shared" si="639"/>
        <v>48</v>
      </c>
      <c r="CW42" s="72">
        <f t="shared" si="639"/>
        <v>15.36</v>
      </c>
      <c r="CX42" s="74">
        <f t="shared" si="639"/>
        <v>14</v>
      </c>
      <c r="CY42" s="100">
        <f t="shared" si="0"/>
        <v>100</v>
      </c>
      <c r="CZ42" s="95">
        <f t="shared" si="1"/>
        <v>182</v>
      </c>
    </row>
    <row r="43" spans="1:104" x14ac:dyDescent="0.25">
      <c r="A43" s="27" t="s">
        <v>118</v>
      </c>
      <c r="B43" s="88" t="s">
        <v>72</v>
      </c>
      <c r="C43" s="23">
        <f>_xlfn.XLOOKUP($B43,GCES!$B:$B,GCES!$C:$C,"",0,1)</f>
        <v>4</v>
      </c>
      <c r="D43" s="28">
        <f t="shared" ref="D43:D46" si="640">IF(C43="","",D$58*C43/C$57)</f>
        <v>0.87671232876712324</v>
      </c>
      <c r="E43" s="26" t="str">
        <f t="shared" ref="E43:E46" si="641">IF(C43="","",IF(D43&gt;4,ROUND(D43/2,0)*2,IF(D43&gt;D$59,4,"")))</f>
        <v/>
      </c>
      <c r="F43" s="23" t="str">
        <f>_xlfn.XLOOKUP($B43,GCES!$B:$B,GCES!$E:$E,"",0,1)</f>
        <v/>
      </c>
      <c r="G43" s="28" t="str">
        <f t="shared" ref="G43:G46" si="642">IF(F43="","",G$58*F43/F$57)</f>
        <v/>
      </c>
      <c r="H43" s="24" t="str">
        <f t="shared" ref="H43:H46" si="643">IF(F43="","",IF(G43&gt;4,ROUND(G43/2,0)*2,IF(G43&gt;G$59,4,"")))</f>
        <v/>
      </c>
      <c r="I43" s="23">
        <f>_xlfn.XLOOKUP($B43,GCES!$B:$B,GCES!$D:$D,"",0,1)</f>
        <v>48</v>
      </c>
      <c r="J43" s="28">
        <f t="shared" ref="J43:J46" si="644">IF(I43="","",J$58*I43/I$57)</f>
        <v>4.5345622119815667</v>
      </c>
      <c r="K43" s="24">
        <f t="shared" ref="K43:K46" si="645">IF(I43="","",IF(J43&gt;4,ROUND(J43/2,0)*2,IF(J43&gt;J$59,4,"")))</f>
        <v>4</v>
      </c>
      <c r="L43" s="23" t="str">
        <f>_xlfn.XLOOKUP($B43,GCES!$B:$B,GCES!$H:$H,"",0,1)</f>
        <v/>
      </c>
      <c r="M43" s="28" t="str">
        <f t="shared" ref="M43:M46" si="646">IF(L43="","",M$58*L43/L$57)</f>
        <v/>
      </c>
      <c r="N43" s="24" t="str">
        <f t="shared" ref="N43:N46" si="647">IF(L43="","",IF(M43&gt;4,ROUND(M43/2,0)*2,IF(M43&gt;M$59,4,"")))</f>
        <v/>
      </c>
      <c r="O43" s="23" t="str">
        <f>_xlfn.XLOOKUP($B43,GCES!$B:$B,GCES!$G:$G,"",0,1)</f>
        <v/>
      </c>
      <c r="P43" s="28" t="str">
        <f t="shared" ref="P43:P46" si="648">IF(O43="","",P$58*O43/O$57)</f>
        <v/>
      </c>
      <c r="Q43" s="24" t="str">
        <f t="shared" ref="Q43:Q46" si="649">IF(O43="","",IF(P43&gt;4,ROUND(P43/2,0)*2,IF(P43&gt;P$59,4,"")))</f>
        <v/>
      </c>
      <c r="R43" s="23" t="str">
        <f>_xlfn.XLOOKUP($B43,GCES!$B:$B,GCES!$L:$L,"",0,1)</f>
        <v/>
      </c>
      <c r="S43" s="28" t="str">
        <f t="shared" ref="S43:S46" si="650">IF(R43="","",S$58*R43/R$57)</f>
        <v/>
      </c>
      <c r="T43" s="24" t="str">
        <f t="shared" ref="T43:T46" si="651">IF(R43="","",IF(S43&gt;4,ROUND(S43/2,0)*2,IF(S43&gt;S$59,4,"")))</f>
        <v/>
      </c>
      <c r="U43" s="23" t="str">
        <f>_xlfn.XLOOKUP($B43,GCES!$B:$B,GCES!$K:$K,"",0,1)</f>
        <v/>
      </c>
      <c r="V43" s="28" t="str">
        <f t="shared" ref="V43:V46" si="652">IF(U43="","",V$58*U43/U$57)</f>
        <v/>
      </c>
      <c r="W43" s="24" t="str">
        <f t="shared" ref="W43:W46" si="653">IF(U43="","",IF(V43&gt;4,ROUND(V43/2,0)*2,IF(V43&gt;V$59,4,"")))</f>
        <v/>
      </c>
      <c r="X43" s="23" t="str">
        <f>_xlfn.XLOOKUP($B43,GCES!$B:$B,GCES!$S:$S,"",0,1)</f>
        <v/>
      </c>
      <c r="Y43" s="28" t="str">
        <f t="shared" ref="Y43:Y46" si="654">IF(X43="","",Y$58*X43/X$57)</f>
        <v/>
      </c>
      <c r="Z43" s="24" t="str">
        <f t="shared" ref="Z43:Z46" si="655">IF(X43="","",IF(Y43&gt;4,ROUND(Y43/2,0)*2,IF(Y43&gt;Y$59,4,"")))</f>
        <v/>
      </c>
      <c r="AA43" s="23" t="str">
        <f>_xlfn.XLOOKUP($B43,GCES!$B:$B,GCES!$R:$R,"",0,1)</f>
        <v/>
      </c>
      <c r="AB43" s="28" t="str">
        <f t="shared" ref="AB43:AB46" si="656">IF(AA43="","",AB$58*AA43/AA$57)</f>
        <v/>
      </c>
      <c r="AC43" s="24" t="str">
        <f t="shared" ref="AC43:AC46" si="657">IF(AA43="","",IF(AB43&gt;4,ROUND(AB43/2,0)*2,IF(AB43&gt;AB$59,4,"")))</f>
        <v/>
      </c>
      <c r="AD43" s="23" t="str">
        <f>_xlfn.XLOOKUP($B43,GCES!$B:$B,GCES!$AL:$AL,"",0,1)</f>
        <v/>
      </c>
      <c r="AE43" s="28" t="str">
        <f t="shared" ref="AE43:AE46" si="658">IF(AD43="","",AE$58*AD43/AD$57)</f>
        <v/>
      </c>
      <c r="AF43" s="24" t="str">
        <f t="shared" ref="AF43:AF46" si="659">IF(AD43="","",IF(AE43&gt;4,ROUND(AE43/2,0)*2,IF(AE43&gt;AE$59,4,"")))</f>
        <v/>
      </c>
      <c r="AG43" s="23" t="str">
        <f>_xlfn.XLOOKUP($B43,GCES!$B:$B,GCES!$AK:$AK,"",0,1)</f>
        <v/>
      </c>
      <c r="AH43" s="28" t="str">
        <f t="shared" ref="AH43:AH46" si="660">IF(AG43="","",AH$58*AG43/AG$57)</f>
        <v/>
      </c>
      <c r="AI43" s="24" t="str">
        <f t="shared" ref="AI43:AI46" si="661">IF(AG43="","",IF(AH43&gt;4,ROUND(AH43/2,0)*2,IF(AH43&gt;AH$59,4,"")))</f>
        <v/>
      </c>
      <c r="AJ43" s="23" t="str">
        <f>_xlfn.XLOOKUP($B43,GCES!$B:$B,GCES!$AQ:$AQ,"",0,1)</f>
        <v/>
      </c>
      <c r="AK43" s="28" t="str">
        <f t="shared" ref="AK43:AK46" si="662">IF(AJ43="","",AK$58*AJ43/AJ$57)</f>
        <v/>
      </c>
      <c r="AL43" s="24" t="str">
        <f t="shared" ref="AL43:AL46" si="663">IF(AJ43="","",IF(AK43&gt;4,ROUND(AK43/2,0)*2,IF(AK43&gt;AK$59,4,"")))</f>
        <v/>
      </c>
      <c r="AM43" s="23" t="str">
        <f>_xlfn.XLOOKUP($B43,GCES!$B:$B,GCES!$AP:$AP,"",0,1)</f>
        <v/>
      </c>
      <c r="AN43" s="28" t="str">
        <f t="shared" ref="AN43:AN46" si="664">IF(AM43="","",AN$58*AM43/AM$57)</f>
        <v/>
      </c>
      <c r="AO43" s="24" t="str">
        <f t="shared" ref="AO43:AO46" si="665">IF(AM43="","",IF(AN43&gt;4,ROUND(AN43/2,0)*2,IF(AN43&gt;AN$59,4,"")))</f>
        <v/>
      </c>
      <c r="AP43" s="23" t="str">
        <f>_xlfn.XLOOKUP($B43,GCES!$B:$B,GCES!$V:$V,"",0,1)</f>
        <v/>
      </c>
      <c r="AQ43" s="28" t="str">
        <f t="shared" ref="AQ43:AQ46" si="666">IF(AP43="","",AQ$58*AP43/AP$57)</f>
        <v/>
      </c>
      <c r="AR43" s="24" t="str">
        <f t="shared" ref="AR43:AR46" si="667">IF(AP43="","",IF(AQ43&gt;4,ROUND(AQ43/2,0)*2,IF(AQ43&gt;AQ$59,4,"")))</f>
        <v/>
      </c>
      <c r="AS43" s="23" t="str">
        <f>_xlfn.XLOOKUP($B43,GCES!$B:$B,GCES!$AH:$AH,"",0,1)</f>
        <v/>
      </c>
      <c r="AT43" s="28" t="str">
        <f t="shared" ref="AT43:AT46" si="668">IF(AS43="","",AT$58*AS43/AS$57)</f>
        <v/>
      </c>
      <c r="AU43" s="24" t="str">
        <f t="shared" ref="AU43:AU46" si="669">IF(AS43="","",IF(AT43&gt;4,ROUND(AT43/2,0)*2,IF(AT43&gt;AT$59,4,"")))</f>
        <v/>
      </c>
      <c r="AV43" s="23" t="str">
        <f>_xlfn.XLOOKUP($B43,GCES!$B:$B,GCES!$AG:$AG,"",0,1)</f>
        <v/>
      </c>
      <c r="AW43" s="28" t="str">
        <f t="shared" ref="AW43:AW46" si="670">IF(AV43="","",AW$58*AV43/AV$57)</f>
        <v/>
      </c>
      <c r="AX43" s="24" t="str">
        <f t="shared" ref="AX43:AX46" si="671">IF(AV43="","",IF(AW43&gt;4,ROUND(AW43/2,0)*2,IF(AW43&gt;AW$59,4,"")))</f>
        <v/>
      </c>
      <c r="AY43" s="90" t="str">
        <f>_xlfn.XLOOKUP($B43,GCES!$B:$B,GCES!$AO:$AO,"",0,1)</f>
        <v/>
      </c>
      <c r="AZ43" s="28" t="str">
        <f t="shared" ref="AZ43:AZ46" si="672">IF(AY43="","",AZ$58*AY43/AY$57)</f>
        <v/>
      </c>
      <c r="BA43" s="24" t="str">
        <f t="shared" ref="BA43:BA46" si="673">IF(AY43="","",IF(AZ43&gt;4,ROUND(AZ43/2,0)*2,IF(AZ43&gt;AZ$59,4,"")))</f>
        <v/>
      </c>
      <c r="BB43" s="97">
        <f t="shared" si="90"/>
        <v>4</v>
      </c>
      <c r="BC43" s="23" t="str">
        <f>_xlfn.XLOOKUP($B43,GCES!$B:$B,GCES!$F:$F,"",0,1)</f>
        <v/>
      </c>
      <c r="BD43" s="28" t="str">
        <f t="shared" ref="BD43:BD46" si="674">IF(BC43="","",BD$58*BC43/BC$57)</f>
        <v/>
      </c>
      <c r="BE43" s="26" t="str">
        <f t="shared" ref="BE43:BE46" si="675">IF(BC43="","",IF(BD43&gt;4,ROUND(BD43/2,0)*2,IF(BD43&gt;BD$59,4,"")))</f>
        <v/>
      </c>
      <c r="BF43" s="23" t="str">
        <f>_xlfn.XLOOKUP($B43,GCES!$B:$B,GCES!$J:$J,"",0,1)</f>
        <v/>
      </c>
      <c r="BG43" s="28" t="str">
        <f t="shared" ref="BG43:BG46" si="676">IF(BF43="","",BG$58*BF43/BF$57)</f>
        <v/>
      </c>
      <c r="BH43" s="24" t="str">
        <f t="shared" ref="BH43:BH46" si="677">IF(BF43="","",IF(BG43&gt;4,ROUND(BG43/2,0)*2,IF(BG43&gt;BG$59,4,"")))</f>
        <v/>
      </c>
      <c r="BI43" s="23" t="str">
        <f>_xlfn.XLOOKUP($B43,GCES!$B:$B,GCES!$I:$I,"",0,1)</f>
        <v/>
      </c>
      <c r="BJ43" s="28" t="str">
        <f t="shared" ref="BJ43:BJ46" si="678">IF(BI43="","",BJ$58*BI43/BI$57)</f>
        <v/>
      </c>
      <c r="BK43" s="24" t="str">
        <f t="shared" ref="BK43:BK46" si="679">IF(BI43="","",IF(BJ43&gt;4,ROUND(BJ43/2,0)*2,IF(BJ43&gt;BJ$59,4,"")))</f>
        <v/>
      </c>
      <c r="BL43" s="23" t="str">
        <f>_xlfn.XLOOKUP($B43,GCES!$B:$B,GCES!$AN:$AN,"",0,1)</f>
        <v/>
      </c>
      <c r="BM43" s="28" t="str">
        <f t="shared" ref="BM43:BM46" si="680">IF(BL43="","",BM$58*BL43/BL$57)</f>
        <v/>
      </c>
      <c r="BN43" s="24" t="str">
        <f t="shared" ref="BN43:BN46" si="681">IF(BL43="","",IF(BM43&gt;4,ROUND(BM43/2,0)*2,IF(BM43&gt;BM$59,4,"")))</f>
        <v/>
      </c>
      <c r="BO43" s="23" t="str">
        <f>_xlfn.XLOOKUP($B43,GCES!$B:$B,GCES!$AM:$AM,"",0,1)</f>
        <v/>
      </c>
      <c r="BP43" s="28" t="str">
        <f t="shared" ref="BP43:BP46" si="682">IF(BO43="","",BP$58*BO43/BO$57)</f>
        <v/>
      </c>
      <c r="BQ43" s="24" t="str">
        <f t="shared" ref="BQ43:BQ46" si="683">IF(BO43="","",IF(BP43&gt;4,ROUND(BP43/2,0)*2,IF(BP43&gt;BP$59,4,"")))</f>
        <v/>
      </c>
      <c r="BR43" s="23">
        <f>_xlfn.XLOOKUP($B43,GCES!$B:$B,GCES!$Z:$Z,"",0,1)</f>
        <v>8</v>
      </c>
      <c r="BS43" s="28">
        <f t="shared" ref="BS43:BS46" si="684">IF(BR43="","",BS$58*BR43/BR$57)</f>
        <v>2.2400000000000002</v>
      </c>
      <c r="BT43" s="24">
        <f t="shared" ref="BT43:BT46" si="685">IF(BR43="","",IF(BS43&gt;4,ROUND(BS43/2,0)*2,IF(BS43&gt;BS$59,4,"")))</f>
        <v>4</v>
      </c>
      <c r="BU43" s="23" t="str">
        <f>_xlfn.XLOOKUP($B43,GCES!$B:$B,GCES!$Y:$Y,"",0,1)</f>
        <v/>
      </c>
      <c r="BV43" s="28" t="str">
        <f t="shared" ref="BV43:BV46" si="686">IF(BU43="","",BV$58*BU43/BU$57)</f>
        <v/>
      </c>
      <c r="BW43" s="24" t="str">
        <f t="shared" ref="BW43:BW46" si="687">IF(BU43="","",IF(BV43&gt;4,ROUND(BV43/2,0)*2,IF(BV43&gt;BV$59,4,"")))</f>
        <v/>
      </c>
      <c r="BX43" s="23">
        <f>_xlfn.XLOOKUP($B43,GCES!$B:$B,GCES!$AC:$AC,"",0,1)</f>
        <v>28</v>
      </c>
      <c r="BY43" s="28">
        <f t="shared" ref="BY43:BY46" si="688">IF(BX43="","",BY$58*BX43/BX$57)</f>
        <v>8.806451612903226</v>
      </c>
      <c r="BZ43" s="24">
        <f t="shared" ref="BZ43:BZ46" si="689">IF(BX43="","",IF(BY43&gt;4,ROUND(BY43/2,0)*2,IF(BY43&gt;BY$59,4,"")))</f>
        <v>8</v>
      </c>
      <c r="CA43" s="23" t="str">
        <f>_xlfn.XLOOKUP($B43,GCES!$B:$B,GCES!$AB:$AB,"",0,1)</f>
        <v/>
      </c>
      <c r="CB43" s="28" t="str">
        <f t="shared" ref="CB43:CB46" si="690">IF(CA43="","",CB$58*CA43/CA$57)</f>
        <v/>
      </c>
      <c r="CC43" s="24" t="str">
        <f t="shared" ref="CC43:CC46" si="691">IF(CA43="","",IF(CB43&gt;4,ROUND(CB43/2,0)*2,IF(CB43&gt;CB$59,4,"")))</f>
        <v/>
      </c>
      <c r="CD43" s="23" t="str">
        <f>_xlfn.XLOOKUP($B43,GCES!$B:$B,GCES!$AS:$AS,"",0,1)</f>
        <v/>
      </c>
      <c r="CE43" s="28" t="str">
        <f t="shared" ref="CE43:CE46" si="692">IF(CD43="","",CE$58*CD43/CD$57)</f>
        <v/>
      </c>
      <c r="CF43" s="24" t="str">
        <f t="shared" ref="CF43:CF46" si="693">IF(CD43="","",IF(CE43&gt;4,ROUND(CE43/2,0)*2,IF(CE43&gt;CE$59,4,"")))</f>
        <v/>
      </c>
      <c r="CG43" s="23" t="str">
        <f>_xlfn.XLOOKUP($B43,GCES!$B:$B,GCES!$AR:$AR,"",0,1)</f>
        <v/>
      </c>
      <c r="CH43" s="28" t="str">
        <f t="shared" ref="CH43:CH46" si="694">IF(CG43="","",CH$58*CG43/CG$57)</f>
        <v/>
      </c>
      <c r="CI43" s="26" t="str">
        <f t="shared" ref="CI43:CI46" si="695">IF(CG43="","",IF(CH43&gt;4,ROUND(CH43/2,0)*2,IF(CH43&gt;CH$59,4,"")))</f>
        <v/>
      </c>
      <c r="CJ43" s="23" t="str">
        <f>_xlfn.XLOOKUP($B43,GCES!$B:$B,GCES!$N:$N,"",0,1)</f>
        <v/>
      </c>
      <c r="CK43" s="28" t="str">
        <f t="shared" ref="CK43:CK46" si="696">IF(CJ43="","",CK$58*CJ43/CJ$57)</f>
        <v/>
      </c>
      <c r="CL43" s="24" t="str">
        <f t="shared" ref="CL43:CL46" si="697">IF(CJ43="","",IF(CK43&gt;4,ROUND(CK43/2,0)*2,IF(CK43&gt;CK$59,4,"")))</f>
        <v/>
      </c>
      <c r="CM43" s="23" t="str">
        <f>_xlfn.XLOOKUP($B43,GCES!$B:$B,GCES!$M:$M,"",0,1)</f>
        <v/>
      </c>
      <c r="CN43" s="28" t="str">
        <f t="shared" ref="CN43:CN46" si="698">IF(CM43="","",CN$58*CM43/CM$57)</f>
        <v/>
      </c>
      <c r="CO43" s="24" t="str">
        <f t="shared" ref="CO43:CO46" si="699">IF(CM43="","",IF(CN43&gt;4,ROUND(CN43/2,0)*2,IF(CN43&gt;CN$59,4,"")))</f>
        <v/>
      </c>
      <c r="CP43" s="90" t="str">
        <f>_xlfn.XLOOKUP($B43,GCES!$B:$B,GCES!$AD:$AD,"",0,1)</f>
        <v/>
      </c>
      <c r="CQ43" s="28" t="str">
        <f t="shared" ref="CQ43:CQ46" si="700">IF(CP43="","",CQ$58*CP43/CP$57)</f>
        <v/>
      </c>
      <c r="CR43" s="26" t="str">
        <f t="shared" ref="CR43:CR46" si="701">IF(CP43="","",IF(CQ43&gt;4,ROUND(CQ43/2,0)*2,IF(CQ43&gt;CQ$59,4,"")))</f>
        <v/>
      </c>
      <c r="CS43" s="23" t="str">
        <f>_xlfn.XLOOKUP($B43,GCES!$B:$B,GCES!$AJ:$AJ,"",0,1)</f>
        <v/>
      </c>
      <c r="CT43" s="28" t="str">
        <f t="shared" ref="CT43:CT46" si="702">IF(CS43="","",CT$58*CS43/CS$57)</f>
        <v/>
      </c>
      <c r="CU43" s="24" t="str">
        <f t="shared" ref="CU43:CU46" si="703">IF(CS43="","",IF(CT43&gt;4,ROUND(CT43/2,0)*2,IF(CT43&gt;CT$59,4,"")))</f>
        <v/>
      </c>
      <c r="CV43" s="23">
        <f>_xlfn.XLOOKUP($B43,GCES!$B:$B,GCES!$AI:$AI,"",0,1)</f>
        <v>4</v>
      </c>
      <c r="CW43" s="28">
        <f t="shared" ref="CW43:CW46" si="704">IF(CV43="","",CW$58*CV43/CV$57)</f>
        <v>1.28</v>
      </c>
      <c r="CX43" s="24" t="str">
        <f t="shared" ref="CX43:CX46" si="705">IF(CV43="","",IF(CW43&gt;4,ROUND(CW43/2,0)*2,IF(CW43&gt;CW$59,4,"")))</f>
        <v/>
      </c>
      <c r="CY43" s="100">
        <f t="shared" ref="CY43:CY46" si="706">SUM(BE43,BH43,BK43,BN43,BQ43,BT43,BW43,BZ43,CC43,CF43,CI43,CL43,CO43,CR43,CU43,CX43)</f>
        <v>12</v>
      </c>
      <c r="CZ43" s="95">
        <f t="shared" ref="CZ43:CZ46" si="707">SUM(BB43,CY43)</f>
        <v>16</v>
      </c>
    </row>
    <row r="44" spans="1:104" x14ac:dyDescent="0.25">
      <c r="A44" s="27" t="s">
        <v>116</v>
      </c>
      <c r="B44" s="88" t="s">
        <v>71</v>
      </c>
      <c r="C44" s="23">
        <f>_xlfn.XLOOKUP($B44,GCES!$B:$B,GCES!$C:$C,"",0,1)</f>
        <v>36</v>
      </c>
      <c r="D44" s="28">
        <f t="shared" si="640"/>
        <v>7.8904109589041092</v>
      </c>
      <c r="E44" s="26">
        <f t="shared" si="641"/>
        <v>8</v>
      </c>
      <c r="F44" s="23" t="str">
        <f>_xlfn.XLOOKUP($B44,GCES!$B:$B,GCES!$E:$E,"",0,1)</f>
        <v/>
      </c>
      <c r="G44" s="28" t="str">
        <f t="shared" si="642"/>
        <v/>
      </c>
      <c r="H44" s="24" t="str">
        <f t="shared" si="643"/>
        <v/>
      </c>
      <c r="I44" s="23">
        <f>_xlfn.XLOOKUP($B44,GCES!$B:$B,GCES!$D:$D,"",0,1)</f>
        <v>92</v>
      </c>
      <c r="J44" s="28">
        <f t="shared" si="644"/>
        <v>8.6912442396313363</v>
      </c>
      <c r="K44" s="38">
        <v>10</v>
      </c>
      <c r="L44" s="23" t="str">
        <f>_xlfn.XLOOKUP($B44,GCES!$B:$B,GCES!$H:$H,"",0,1)</f>
        <v/>
      </c>
      <c r="M44" s="28" t="str">
        <f t="shared" si="646"/>
        <v/>
      </c>
      <c r="N44" s="24" t="str">
        <f t="shared" si="647"/>
        <v/>
      </c>
      <c r="O44" s="23" t="str">
        <f>_xlfn.XLOOKUP($B44,GCES!$B:$B,GCES!$G:$G,"",0,1)</f>
        <v/>
      </c>
      <c r="P44" s="28" t="str">
        <f t="shared" si="648"/>
        <v/>
      </c>
      <c r="Q44" s="24" t="str">
        <f t="shared" si="649"/>
        <v/>
      </c>
      <c r="R44" s="23" t="str">
        <f>_xlfn.XLOOKUP($B44,GCES!$B:$B,GCES!$L:$L,"",0,1)</f>
        <v/>
      </c>
      <c r="S44" s="28" t="str">
        <f t="shared" si="650"/>
        <v/>
      </c>
      <c r="T44" s="24" t="str">
        <f t="shared" si="651"/>
        <v/>
      </c>
      <c r="U44" s="23" t="str">
        <f>_xlfn.XLOOKUP($B44,GCES!$B:$B,GCES!$K:$K,"",0,1)</f>
        <v/>
      </c>
      <c r="V44" s="28" t="str">
        <f t="shared" si="652"/>
        <v/>
      </c>
      <c r="W44" s="24" t="str">
        <f t="shared" si="653"/>
        <v/>
      </c>
      <c r="X44" s="23" t="str">
        <f>_xlfn.XLOOKUP($B44,GCES!$B:$B,GCES!$S:$S,"",0,1)</f>
        <v/>
      </c>
      <c r="Y44" s="28" t="str">
        <f t="shared" si="654"/>
        <v/>
      </c>
      <c r="Z44" s="24" t="str">
        <f t="shared" si="655"/>
        <v/>
      </c>
      <c r="AA44" s="23" t="str">
        <f>_xlfn.XLOOKUP($B44,GCES!$B:$B,GCES!$R:$R,"",0,1)</f>
        <v/>
      </c>
      <c r="AB44" s="28" t="str">
        <f t="shared" si="656"/>
        <v/>
      </c>
      <c r="AC44" s="24" t="str">
        <f t="shared" si="657"/>
        <v/>
      </c>
      <c r="AD44" s="23" t="str">
        <f>_xlfn.XLOOKUP($B44,GCES!$B:$B,GCES!$AL:$AL,"",0,1)</f>
        <v/>
      </c>
      <c r="AE44" s="28" t="str">
        <f t="shared" si="658"/>
        <v/>
      </c>
      <c r="AF44" s="24" t="str">
        <f t="shared" si="659"/>
        <v/>
      </c>
      <c r="AG44" s="23" t="str">
        <f>_xlfn.XLOOKUP($B44,GCES!$B:$B,GCES!$AK:$AK,"",0,1)</f>
        <v/>
      </c>
      <c r="AH44" s="28" t="str">
        <f t="shared" si="660"/>
        <v/>
      </c>
      <c r="AI44" s="24" t="str">
        <f t="shared" si="661"/>
        <v/>
      </c>
      <c r="AJ44" s="23" t="str">
        <f>_xlfn.XLOOKUP($B44,GCES!$B:$B,GCES!$AQ:$AQ,"",0,1)</f>
        <v/>
      </c>
      <c r="AK44" s="28" t="str">
        <f t="shared" si="662"/>
        <v/>
      </c>
      <c r="AL44" s="24" t="str">
        <f t="shared" si="663"/>
        <v/>
      </c>
      <c r="AM44" s="23" t="str">
        <f>_xlfn.XLOOKUP($B44,GCES!$B:$B,GCES!$AP:$AP,"",0,1)</f>
        <v/>
      </c>
      <c r="AN44" s="28" t="str">
        <f t="shared" si="664"/>
        <v/>
      </c>
      <c r="AO44" s="24" t="str">
        <f t="shared" si="665"/>
        <v/>
      </c>
      <c r="AP44" s="23" t="str">
        <f>_xlfn.XLOOKUP($B44,GCES!$B:$B,GCES!$V:$V,"",0,1)</f>
        <v/>
      </c>
      <c r="AQ44" s="28" t="str">
        <f t="shared" si="666"/>
        <v/>
      </c>
      <c r="AR44" s="24" t="str">
        <f t="shared" si="667"/>
        <v/>
      </c>
      <c r="AS44" s="23" t="str">
        <f>_xlfn.XLOOKUP($B44,GCES!$B:$B,GCES!$AH:$AH,"",0,1)</f>
        <v/>
      </c>
      <c r="AT44" s="28" t="str">
        <f t="shared" si="668"/>
        <v/>
      </c>
      <c r="AU44" s="24" t="str">
        <f t="shared" si="669"/>
        <v/>
      </c>
      <c r="AV44" s="23" t="str">
        <f>_xlfn.XLOOKUP($B44,GCES!$B:$B,GCES!$AG:$AG,"",0,1)</f>
        <v/>
      </c>
      <c r="AW44" s="28" t="str">
        <f t="shared" si="670"/>
        <v/>
      </c>
      <c r="AX44" s="24" t="str">
        <f t="shared" si="671"/>
        <v/>
      </c>
      <c r="AY44" s="90" t="str">
        <f>_xlfn.XLOOKUP($B44,GCES!$B:$B,GCES!$AO:$AO,"",0,1)</f>
        <v/>
      </c>
      <c r="AZ44" s="28" t="str">
        <f t="shared" si="672"/>
        <v/>
      </c>
      <c r="BA44" s="24" t="str">
        <f t="shared" si="673"/>
        <v/>
      </c>
      <c r="BB44" s="97">
        <f t="shared" si="90"/>
        <v>18</v>
      </c>
      <c r="BC44" s="23">
        <f>_xlfn.XLOOKUP($B44,GCES!$B:$B,GCES!$F:$F,"",0,1)</f>
        <v>16</v>
      </c>
      <c r="BD44" s="28">
        <f t="shared" si="674"/>
        <v>4.1333333333333337</v>
      </c>
      <c r="BE44" s="26">
        <f t="shared" si="675"/>
        <v>4</v>
      </c>
      <c r="BF44" s="23" t="str">
        <f>_xlfn.XLOOKUP($B44,GCES!$B:$B,GCES!$J:$J,"",0,1)</f>
        <v/>
      </c>
      <c r="BG44" s="28" t="str">
        <f t="shared" si="676"/>
        <v/>
      </c>
      <c r="BH44" s="24" t="str">
        <f t="shared" si="677"/>
        <v/>
      </c>
      <c r="BI44" s="23" t="str">
        <f>_xlfn.XLOOKUP($B44,GCES!$B:$B,GCES!$I:$I,"",0,1)</f>
        <v/>
      </c>
      <c r="BJ44" s="28" t="str">
        <f t="shared" si="678"/>
        <v/>
      </c>
      <c r="BK44" s="24" t="str">
        <f t="shared" si="679"/>
        <v/>
      </c>
      <c r="BL44" s="23" t="str">
        <f>_xlfn.XLOOKUP($B44,GCES!$B:$B,GCES!$AN:$AN,"",0,1)</f>
        <v/>
      </c>
      <c r="BM44" s="28" t="str">
        <f t="shared" si="680"/>
        <v/>
      </c>
      <c r="BN44" s="24" t="str">
        <f t="shared" si="681"/>
        <v/>
      </c>
      <c r="BO44" s="23">
        <f>_xlfn.XLOOKUP($B44,GCES!$B:$B,GCES!$AM:$AM,"",0,1)</f>
        <v>16</v>
      </c>
      <c r="BP44" s="28">
        <f t="shared" si="682"/>
        <v>3.870967741935484</v>
      </c>
      <c r="BQ44" s="24">
        <f t="shared" si="683"/>
        <v>4</v>
      </c>
      <c r="BR44" s="23">
        <f>_xlfn.XLOOKUP($B44,GCES!$B:$B,GCES!$Z:$Z,"",0,1)</f>
        <v>32</v>
      </c>
      <c r="BS44" s="28">
        <f t="shared" si="684"/>
        <v>8.9600000000000009</v>
      </c>
      <c r="BT44" s="38">
        <v>10</v>
      </c>
      <c r="BU44" s="23">
        <f>_xlfn.XLOOKUP($B44,GCES!$B:$B,GCES!$Y:$Y,"",0,1)</f>
        <v>12</v>
      </c>
      <c r="BV44" s="28">
        <f t="shared" si="686"/>
        <v>14</v>
      </c>
      <c r="BW44" s="24">
        <f t="shared" si="687"/>
        <v>14</v>
      </c>
      <c r="BX44" s="23">
        <f>_xlfn.XLOOKUP($B44,GCES!$B:$B,GCES!$AC:$AC,"",0,1)</f>
        <v>68</v>
      </c>
      <c r="BY44" s="28">
        <f t="shared" si="688"/>
        <v>21.387096774193548</v>
      </c>
      <c r="BZ44" s="38">
        <v>20</v>
      </c>
      <c r="CA44" s="23" t="str">
        <f>_xlfn.XLOOKUP($B44,GCES!$B:$B,GCES!$AB:$AB,"",0,1)</f>
        <v/>
      </c>
      <c r="CB44" s="28" t="str">
        <f t="shared" si="690"/>
        <v/>
      </c>
      <c r="CC44" s="24" t="str">
        <f t="shared" si="691"/>
        <v/>
      </c>
      <c r="CD44" s="23">
        <f>_xlfn.XLOOKUP($B44,GCES!$B:$B,GCES!$AS:$AS,"",0,1)</f>
        <v>16</v>
      </c>
      <c r="CE44" s="28">
        <f t="shared" si="692"/>
        <v>5.7142857142857144</v>
      </c>
      <c r="CF44" s="24">
        <f t="shared" si="693"/>
        <v>6</v>
      </c>
      <c r="CG44" s="23" t="str">
        <f>_xlfn.XLOOKUP($B44,GCES!$B:$B,GCES!$AR:$AR,"",0,1)</f>
        <v/>
      </c>
      <c r="CH44" s="28" t="str">
        <f t="shared" si="694"/>
        <v/>
      </c>
      <c r="CI44" s="26" t="str">
        <f t="shared" si="695"/>
        <v/>
      </c>
      <c r="CJ44" s="23" t="str">
        <f>_xlfn.XLOOKUP($B44,GCES!$B:$B,GCES!$N:$N,"",0,1)</f>
        <v/>
      </c>
      <c r="CK44" s="28" t="str">
        <f t="shared" si="696"/>
        <v/>
      </c>
      <c r="CL44" s="24" t="str">
        <f t="shared" si="697"/>
        <v/>
      </c>
      <c r="CM44" s="23" t="str">
        <f>_xlfn.XLOOKUP($B44,GCES!$B:$B,GCES!$M:$M,"",0,1)</f>
        <v/>
      </c>
      <c r="CN44" s="28" t="str">
        <f t="shared" si="698"/>
        <v/>
      </c>
      <c r="CO44" s="24" t="str">
        <f t="shared" si="699"/>
        <v/>
      </c>
      <c r="CP44" s="90" t="str">
        <f>_xlfn.XLOOKUP($B44,GCES!$B:$B,GCES!$AD:$AD,"",0,1)</f>
        <v/>
      </c>
      <c r="CQ44" s="28" t="str">
        <f t="shared" si="700"/>
        <v/>
      </c>
      <c r="CR44" s="26" t="str">
        <f t="shared" si="701"/>
        <v/>
      </c>
      <c r="CS44" s="23" t="str">
        <f>_xlfn.XLOOKUP($B44,GCES!$B:$B,GCES!$AJ:$AJ,"",0,1)</f>
        <v/>
      </c>
      <c r="CT44" s="28" t="str">
        <f t="shared" si="702"/>
        <v/>
      </c>
      <c r="CU44" s="24" t="str">
        <f t="shared" si="703"/>
        <v/>
      </c>
      <c r="CV44" s="23">
        <f>_xlfn.XLOOKUP($B44,GCES!$B:$B,GCES!$AI:$AI,"",0,1)</f>
        <v>16</v>
      </c>
      <c r="CW44" s="28">
        <f t="shared" si="704"/>
        <v>5.12</v>
      </c>
      <c r="CX44" s="24">
        <f t="shared" si="705"/>
        <v>6</v>
      </c>
      <c r="CY44" s="100">
        <f t="shared" si="706"/>
        <v>64</v>
      </c>
      <c r="CZ44" s="95">
        <f t="shared" si="707"/>
        <v>82</v>
      </c>
    </row>
    <row r="45" spans="1:104" x14ac:dyDescent="0.25">
      <c r="A45" s="27" t="s">
        <v>115</v>
      </c>
      <c r="B45" s="88" t="s">
        <v>70</v>
      </c>
      <c r="C45" s="23">
        <f>_xlfn.XLOOKUP($B45,GCES!$B:$B,GCES!$C:$C,"",0,1)</f>
        <v>36</v>
      </c>
      <c r="D45" s="28">
        <f t="shared" si="640"/>
        <v>7.8904109589041092</v>
      </c>
      <c r="E45" s="26">
        <f t="shared" si="641"/>
        <v>8</v>
      </c>
      <c r="F45" s="23" t="str">
        <f>_xlfn.XLOOKUP($B45,GCES!$B:$B,GCES!$E:$E,"",0,1)</f>
        <v/>
      </c>
      <c r="G45" s="28" t="str">
        <f t="shared" si="642"/>
        <v/>
      </c>
      <c r="H45" s="24" t="str">
        <f t="shared" si="643"/>
        <v/>
      </c>
      <c r="I45" s="23">
        <f>_xlfn.XLOOKUP($B45,GCES!$B:$B,GCES!$D:$D,"",0,1)</f>
        <v>92</v>
      </c>
      <c r="J45" s="28">
        <f t="shared" si="644"/>
        <v>8.6912442396313363</v>
      </c>
      <c r="K45" s="38">
        <v>10</v>
      </c>
      <c r="L45" s="23" t="str">
        <f>_xlfn.XLOOKUP($B45,GCES!$B:$B,GCES!$H:$H,"",0,1)</f>
        <v/>
      </c>
      <c r="M45" s="28" t="str">
        <f t="shared" si="646"/>
        <v/>
      </c>
      <c r="N45" s="24" t="str">
        <f t="shared" si="647"/>
        <v/>
      </c>
      <c r="O45" s="23" t="str">
        <f>_xlfn.XLOOKUP($B45,GCES!$B:$B,GCES!$G:$G,"",0,1)</f>
        <v/>
      </c>
      <c r="P45" s="28" t="str">
        <f t="shared" si="648"/>
        <v/>
      </c>
      <c r="Q45" s="24" t="str">
        <f t="shared" si="649"/>
        <v/>
      </c>
      <c r="R45" s="23" t="str">
        <f>_xlfn.XLOOKUP($B45,GCES!$B:$B,GCES!$L:$L,"",0,1)</f>
        <v/>
      </c>
      <c r="S45" s="28" t="str">
        <f t="shared" si="650"/>
        <v/>
      </c>
      <c r="T45" s="24" t="str">
        <f t="shared" si="651"/>
        <v/>
      </c>
      <c r="U45" s="23" t="str">
        <f>_xlfn.XLOOKUP($B45,GCES!$B:$B,GCES!$K:$K,"",0,1)</f>
        <v/>
      </c>
      <c r="V45" s="28" t="str">
        <f t="shared" si="652"/>
        <v/>
      </c>
      <c r="W45" s="24" t="str">
        <f t="shared" si="653"/>
        <v/>
      </c>
      <c r="X45" s="23" t="str">
        <f>_xlfn.XLOOKUP($B45,GCES!$B:$B,GCES!$S:$S,"",0,1)</f>
        <v/>
      </c>
      <c r="Y45" s="28" t="str">
        <f t="shared" si="654"/>
        <v/>
      </c>
      <c r="Z45" s="24" t="str">
        <f t="shared" si="655"/>
        <v/>
      </c>
      <c r="AA45" s="23" t="str">
        <f>_xlfn.XLOOKUP($B45,GCES!$B:$B,GCES!$R:$R,"",0,1)</f>
        <v/>
      </c>
      <c r="AB45" s="28" t="str">
        <f t="shared" si="656"/>
        <v/>
      </c>
      <c r="AC45" s="24" t="str">
        <f t="shared" si="657"/>
        <v/>
      </c>
      <c r="AD45" s="23" t="str">
        <f>_xlfn.XLOOKUP($B45,GCES!$B:$B,GCES!$AL:$AL,"",0,1)</f>
        <v/>
      </c>
      <c r="AE45" s="28" t="str">
        <f t="shared" si="658"/>
        <v/>
      </c>
      <c r="AF45" s="24" t="str">
        <f t="shared" si="659"/>
        <v/>
      </c>
      <c r="AG45" s="23" t="str">
        <f>_xlfn.XLOOKUP($B45,GCES!$B:$B,GCES!$AK:$AK,"",0,1)</f>
        <v/>
      </c>
      <c r="AH45" s="28" t="str">
        <f t="shared" si="660"/>
        <v/>
      </c>
      <c r="AI45" s="24" t="str">
        <f t="shared" si="661"/>
        <v/>
      </c>
      <c r="AJ45" s="23" t="str">
        <f>_xlfn.XLOOKUP($B45,GCES!$B:$B,GCES!$AQ:$AQ,"",0,1)</f>
        <v/>
      </c>
      <c r="AK45" s="28" t="str">
        <f t="shared" si="662"/>
        <v/>
      </c>
      <c r="AL45" s="24" t="str">
        <f t="shared" si="663"/>
        <v/>
      </c>
      <c r="AM45" s="23">
        <f>_xlfn.XLOOKUP($B45,GCES!$B:$B,GCES!$AP:$AP,"",0,1)</f>
        <v>20</v>
      </c>
      <c r="AN45" s="28">
        <f t="shared" si="664"/>
        <v>7.2222222222222223</v>
      </c>
      <c r="AO45" s="24">
        <f t="shared" si="665"/>
        <v>8</v>
      </c>
      <c r="AP45" s="23" t="str">
        <f>_xlfn.XLOOKUP($B45,GCES!$B:$B,GCES!$V:$V,"",0,1)</f>
        <v/>
      </c>
      <c r="AQ45" s="28" t="str">
        <f t="shared" si="666"/>
        <v/>
      </c>
      <c r="AR45" s="24" t="str">
        <f t="shared" si="667"/>
        <v/>
      </c>
      <c r="AS45" s="23" t="str">
        <f>_xlfn.XLOOKUP($B45,GCES!$B:$B,GCES!$AH:$AH,"",0,1)</f>
        <v/>
      </c>
      <c r="AT45" s="28" t="str">
        <f t="shared" si="668"/>
        <v/>
      </c>
      <c r="AU45" s="24" t="str">
        <f t="shared" si="669"/>
        <v/>
      </c>
      <c r="AV45" s="23" t="str">
        <f>_xlfn.XLOOKUP($B45,GCES!$B:$B,GCES!$AG:$AG,"",0,1)</f>
        <v/>
      </c>
      <c r="AW45" s="28" t="str">
        <f t="shared" si="670"/>
        <v/>
      </c>
      <c r="AX45" s="24" t="str">
        <f t="shared" si="671"/>
        <v/>
      </c>
      <c r="AY45" s="90">
        <f>_xlfn.XLOOKUP($B45,GCES!$B:$B,GCES!$AO:$AO,"",0,1)</f>
        <v>16</v>
      </c>
      <c r="AZ45" s="28">
        <f t="shared" si="672"/>
        <v>2.9333333333333331</v>
      </c>
      <c r="BA45" s="24">
        <f t="shared" si="673"/>
        <v>4</v>
      </c>
      <c r="BB45" s="97">
        <f t="shared" si="90"/>
        <v>30</v>
      </c>
      <c r="BC45" s="23">
        <f>_xlfn.XLOOKUP($B45,GCES!$B:$B,GCES!$F:$F,"",0,1)</f>
        <v>16</v>
      </c>
      <c r="BD45" s="28">
        <f t="shared" si="674"/>
        <v>4.1333333333333337</v>
      </c>
      <c r="BE45" s="26">
        <f t="shared" si="675"/>
        <v>4</v>
      </c>
      <c r="BF45" s="23" t="str">
        <f>_xlfn.XLOOKUP($B45,GCES!$B:$B,GCES!$J:$J,"",0,1)</f>
        <v/>
      </c>
      <c r="BG45" s="28" t="str">
        <f t="shared" si="676"/>
        <v/>
      </c>
      <c r="BH45" s="24" t="str">
        <f t="shared" si="677"/>
        <v/>
      </c>
      <c r="BI45" s="23" t="str">
        <f>_xlfn.XLOOKUP($B45,GCES!$B:$B,GCES!$I:$I,"",0,1)</f>
        <v/>
      </c>
      <c r="BJ45" s="28" t="str">
        <f t="shared" si="678"/>
        <v/>
      </c>
      <c r="BK45" s="24" t="str">
        <f t="shared" si="679"/>
        <v/>
      </c>
      <c r="BL45" s="23" t="str">
        <f>_xlfn.XLOOKUP($B45,GCES!$B:$B,GCES!$AN:$AN,"",0,1)</f>
        <v/>
      </c>
      <c r="BM45" s="28" t="str">
        <f t="shared" si="680"/>
        <v/>
      </c>
      <c r="BN45" s="24" t="str">
        <f t="shared" si="681"/>
        <v/>
      </c>
      <c r="BO45" s="23">
        <f>_xlfn.XLOOKUP($B45,GCES!$B:$B,GCES!$AM:$AM,"",0,1)</f>
        <v>16</v>
      </c>
      <c r="BP45" s="28">
        <f t="shared" si="682"/>
        <v>3.870967741935484</v>
      </c>
      <c r="BQ45" s="24">
        <f t="shared" si="683"/>
        <v>4</v>
      </c>
      <c r="BR45" s="23">
        <f>_xlfn.XLOOKUP($B45,GCES!$B:$B,GCES!$Z:$Z,"",0,1)</f>
        <v>16</v>
      </c>
      <c r="BS45" s="28">
        <f t="shared" si="684"/>
        <v>4.4800000000000004</v>
      </c>
      <c r="BT45" s="24">
        <f t="shared" si="685"/>
        <v>4</v>
      </c>
      <c r="BU45" s="23" t="str">
        <f>_xlfn.XLOOKUP($B45,GCES!$B:$B,GCES!$Y:$Y,"",0,1)</f>
        <v/>
      </c>
      <c r="BV45" s="28" t="str">
        <f t="shared" si="686"/>
        <v/>
      </c>
      <c r="BW45" s="24" t="str">
        <f t="shared" si="687"/>
        <v/>
      </c>
      <c r="BX45" s="23">
        <f>_xlfn.XLOOKUP($B45,GCES!$B:$B,GCES!$AC:$AC,"",0,1)</f>
        <v>16</v>
      </c>
      <c r="BY45" s="28">
        <f t="shared" si="688"/>
        <v>5.032258064516129</v>
      </c>
      <c r="BZ45" s="24">
        <f t="shared" si="689"/>
        <v>6</v>
      </c>
      <c r="CA45" s="23" t="str">
        <f>_xlfn.XLOOKUP($B45,GCES!$B:$B,GCES!$AB:$AB,"",0,1)</f>
        <v/>
      </c>
      <c r="CB45" s="28" t="str">
        <f t="shared" si="690"/>
        <v/>
      </c>
      <c r="CC45" s="24" t="str">
        <f t="shared" si="691"/>
        <v/>
      </c>
      <c r="CD45" s="23">
        <f>_xlfn.XLOOKUP($B45,GCES!$B:$B,GCES!$AS:$AS,"",0,1)</f>
        <v>28</v>
      </c>
      <c r="CE45" s="28">
        <f t="shared" si="692"/>
        <v>10</v>
      </c>
      <c r="CF45" s="24">
        <f t="shared" si="693"/>
        <v>10</v>
      </c>
      <c r="CG45" s="23">
        <f>_xlfn.XLOOKUP($B45,GCES!$B:$B,GCES!$AR:$AR,"",0,1)</f>
        <v>16</v>
      </c>
      <c r="CH45" s="28">
        <f t="shared" si="694"/>
        <v>5.2173913043478262</v>
      </c>
      <c r="CI45" s="26">
        <f t="shared" si="695"/>
        <v>6</v>
      </c>
      <c r="CJ45" s="23" t="str">
        <f>_xlfn.XLOOKUP($B45,GCES!$B:$B,GCES!$N:$N,"",0,1)</f>
        <v/>
      </c>
      <c r="CK45" s="28" t="str">
        <f t="shared" si="696"/>
        <v/>
      </c>
      <c r="CL45" s="24" t="str">
        <f t="shared" si="697"/>
        <v/>
      </c>
      <c r="CM45" s="23" t="str">
        <f>_xlfn.XLOOKUP($B45,GCES!$B:$B,GCES!$M:$M,"",0,1)</f>
        <v/>
      </c>
      <c r="CN45" s="28" t="str">
        <f t="shared" si="698"/>
        <v/>
      </c>
      <c r="CO45" s="24" t="str">
        <f t="shared" si="699"/>
        <v/>
      </c>
      <c r="CP45" s="90" t="str">
        <f>_xlfn.XLOOKUP($B45,GCES!$B:$B,GCES!$AD:$AD,"",0,1)</f>
        <v/>
      </c>
      <c r="CQ45" s="28" t="str">
        <f t="shared" si="700"/>
        <v/>
      </c>
      <c r="CR45" s="26" t="str">
        <f t="shared" si="701"/>
        <v/>
      </c>
      <c r="CS45" s="23" t="str">
        <f>_xlfn.XLOOKUP($B45,GCES!$B:$B,GCES!$AJ:$AJ,"",0,1)</f>
        <v/>
      </c>
      <c r="CT45" s="28" t="str">
        <f t="shared" si="702"/>
        <v/>
      </c>
      <c r="CU45" s="24" t="str">
        <f t="shared" si="703"/>
        <v/>
      </c>
      <c r="CV45" s="23" t="str">
        <f>_xlfn.XLOOKUP($B45,GCES!$B:$B,GCES!$AI:$AI,"",0,1)</f>
        <v/>
      </c>
      <c r="CW45" s="28" t="str">
        <f t="shared" si="704"/>
        <v/>
      </c>
      <c r="CX45" s="24" t="str">
        <f t="shared" si="705"/>
        <v/>
      </c>
      <c r="CY45" s="100">
        <f t="shared" si="706"/>
        <v>34</v>
      </c>
      <c r="CZ45" s="95">
        <f t="shared" si="707"/>
        <v>64</v>
      </c>
    </row>
    <row r="46" spans="1:104" x14ac:dyDescent="0.25">
      <c r="A46" s="27" t="s">
        <v>110</v>
      </c>
      <c r="B46" s="88" t="s">
        <v>251</v>
      </c>
      <c r="C46" s="23" t="str">
        <f>_xlfn.XLOOKUP($B46,GCES!$B:$B,GCES!$C:$C,"",0,1)</f>
        <v/>
      </c>
      <c r="D46" s="28" t="str">
        <f t="shared" si="640"/>
        <v/>
      </c>
      <c r="E46" s="26" t="str">
        <f t="shared" si="641"/>
        <v/>
      </c>
      <c r="F46" s="23" t="str">
        <f>_xlfn.XLOOKUP($B46,GCES!$B:$B,GCES!$E:$E,"",0,1)</f>
        <v/>
      </c>
      <c r="G46" s="28" t="str">
        <f t="shared" si="642"/>
        <v/>
      </c>
      <c r="H46" s="24" t="str">
        <f t="shared" si="643"/>
        <v/>
      </c>
      <c r="I46" s="23" t="str">
        <f>_xlfn.XLOOKUP($B46,GCES!$B:$B,GCES!$D:$D,"",0,1)</f>
        <v/>
      </c>
      <c r="J46" s="28" t="str">
        <f t="shared" si="644"/>
        <v/>
      </c>
      <c r="K46" s="24" t="str">
        <f t="shared" si="645"/>
        <v/>
      </c>
      <c r="L46" s="23" t="str">
        <f>_xlfn.XLOOKUP($B46,GCES!$B:$B,GCES!$H:$H,"",0,1)</f>
        <v/>
      </c>
      <c r="M46" s="28" t="str">
        <f t="shared" si="646"/>
        <v/>
      </c>
      <c r="N46" s="24" t="str">
        <f t="shared" si="647"/>
        <v/>
      </c>
      <c r="O46" s="23" t="str">
        <f>_xlfn.XLOOKUP($B46,GCES!$B:$B,GCES!$G:$G,"",0,1)</f>
        <v/>
      </c>
      <c r="P46" s="28" t="str">
        <f t="shared" si="648"/>
        <v/>
      </c>
      <c r="Q46" s="24" t="str">
        <f t="shared" si="649"/>
        <v/>
      </c>
      <c r="R46" s="23" t="str">
        <f>_xlfn.XLOOKUP($B46,GCES!$B:$B,GCES!$L:$L,"",0,1)</f>
        <v/>
      </c>
      <c r="S46" s="28" t="str">
        <f t="shared" si="650"/>
        <v/>
      </c>
      <c r="T46" s="24" t="str">
        <f t="shared" si="651"/>
        <v/>
      </c>
      <c r="U46" s="23" t="str">
        <f>_xlfn.XLOOKUP($B46,GCES!$B:$B,GCES!$K:$K,"",0,1)</f>
        <v/>
      </c>
      <c r="V46" s="28" t="str">
        <f t="shared" si="652"/>
        <v/>
      </c>
      <c r="W46" s="24" t="str">
        <f t="shared" si="653"/>
        <v/>
      </c>
      <c r="X46" s="23" t="str">
        <f>_xlfn.XLOOKUP($B46,GCES!$B:$B,GCES!$S:$S,"",0,1)</f>
        <v/>
      </c>
      <c r="Y46" s="28" t="str">
        <f t="shared" si="654"/>
        <v/>
      </c>
      <c r="Z46" s="24" t="str">
        <f t="shared" si="655"/>
        <v/>
      </c>
      <c r="AA46" s="23" t="str">
        <f>_xlfn.XLOOKUP($B46,GCES!$B:$B,GCES!$R:$R,"",0,1)</f>
        <v/>
      </c>
      <c r="AB46" s="28" t="str">
        <f t="shared" si="656"/>
        <v/>
      </c>
      <c r="AC46" s="24" t="str">
        <f t="shared" si="657"/>
        <v/>
      </c>
      <c r="AD46" s="23" t="str">
        <f>_xlfn.XLOOKUP($B46,GCES!$B:$B,GCES!$AL:$AL,"",0,1)</f>
        <v/>
      </c>
      <c r="AE46" s="28" t="str">
        <f t="shared" si="658"/>
        <v/>
      </c>
      <c r="AF46" s="24" t="str">
        <f t="shared" si="659"/>
        <v/>
      </c>
      <c r="AG46" s="23" t="str">
        <f>_xlfn.XLOOKUP($B46,GCES!$B:$B,GCES!$AK:$AK,"",0,1)</f>
        <v/>
      </c>
      <c r="AH46" s="28" t="str">
        <f t="shared" si="660"/>
        <v/>
      </c>
      <c r="AI46" s="24" t="str">
        <f t="shared" si="661"/>
        <v/>
      </c>
      <c r="AJ46" s="23" t="str">
        <f>_xlfn.XLOOKUP($B46,GCES!$B:$B,GCES!$AQ:$AQ,"",0,1)</f>
        <v/>
      </c>
      <c r="AK46" s="28" t="str">
        <f t="shared" si="662"/>
        <v/>
      </c>
      <c r="AL46" s="24" t="str">
        <f t="shared" si="663"/>
        <v/>
      </c>
      <c r="AM46" s="23" t="str">
        <f>_xlfn.XLOOKUP($B46,GCES!$B:$B,GCES!$AP:$AP,"",0,1)</f>
        <v/>
      </c>
      <c r="AN46" s="28" t="str">
        <f t="shared" si="664"/>
        <v/>
      </c>
      <c r="AO46" s="24" t="str">
        <f t="shared" si="665"/>
        <v/>
      </c>
      <c r="AP46" s="23" t="str">
        <f>_xlfn.XLOOKUP($B46,GCES!$B:$B,GCES!$V:$V,"",0,1)</f>
        <v/>
      </c>
      <c r="AQ46" s="28" t="str">
        <f t="shared" si="666"/>
        <v/>
      </c>
      <c r="AR46" s="24" t="str">
        <f t="shared" si="667"/>
        <v/>
      </c>
      <c r="AS46" s="23" t="str">
        <f>_xlfn.XLOOKUP($B46,GCES!$B:$B,GCES!$AH:$AH,"",0,1)</f>
        <v/>
      </c>
      <c r="AT46" s="28" t="str">
        <f t="shared" si="668"/>
        <v/>
      </c>
      <c r="AU46" s="24" t="str">
        <f t="shared" si="669"/>
        <v/>
      </c>
      <c r="AV46" s="23" t="str">
        <f>_xlfn.XLOOKUP($B46,GCES!$B:$B,GCES!$AG:$AG,"",0,1)</f>
        <v/>
      </c>
      <c r="AW46" s="28" t="str">
        <f t="shared" si="670"/>
        <v/>
      </c>
      <c r="AX46" s="24" t="str">
        <f t="shared" si="671"/>
        <v/>
      </c>
      <c r="AY46" s="90" t="str">
        <f>_xlfn.XLOOKUP($B46,GCES!$B:$B,GCES!$AO:$AO,"",0,1)</f>
        <v/>
      </c>
      <c r="AZ46" s="28" t="str">
        <f t="shared" si="672"/>
        <v/>
      </c>
      <c r="BA46" s="24" t="str">
        <f t="shared" si="673"/>
        <v/>
      </c>
      <c r="BB46" s="97">
        <f t="shared" si="90"/>
        <v>0</v>
      </c>
      <c r="BC46" s="23" t="str">
        <f>_xlfn.XLOOKUP($B46,GCES!$B:$B,GCES!$F:$F,"",0,1)</f>
        <v/>
      </c>
      <c r="BD46" s="28" t="str">
        <f t="shared" si="674"/>
        <v/>
      </c>
      <c r="BE46" s="26" t="str">
        <f t="shared" si="675"/>
        <v/>
      </c>
      <c r="BF46" s="23" t="str">
        <f>_xlfn.XLOOKUP($B46,GCES!$B:$B,GCES!$J:$J,"",0,1)</f>
        <v/>
      </c>
      <c r="BG46" s="28" t="str">
        <f t="shared" si="676"/>
        <v/>
      </c>
      <c r="BH46" s="24" t="str">
        <f t="shared" si="677"/>
        <v/>
      </c>
      <c r="BI46" s="23" t="str">
        <f>_xlfn.XLOOKUP($B46,GCES!$B:$B,GCES!$I:$I,"",0,1)</f>
        <v/>
      </c>
      <c r="BJ46" s="28" t="str">
        <f t="shared" si="678"/>
        <v/>
      </c>
      <c r="BK46" s="24" t="str">
        <f t="shared" si="679"/>
        <v/>
      </c>
      <c r="BL46" s="23" t="str">
        <f>_xlfn.XLOOKUP($B46,GCES!$B:$B,GCES!$AN:$AN,"",0,1)</f>
        <v/>
      </c>
      <c r="BM46" s="28" t="str">
        <f t="shared" si="680"/>
        <v/>
      </c>
      <c r="BN46" s="24" t="str">
        <f t="shared" si="681"/>
        <v/>
      </c>
      <c r="BO46" s="23" t="str">
        <f>_xlfn.XLOOKUP($B46,GCES!$B:$B,GCES!$AM:$AM,"",0,1)</f>
        <v/>
      </c>
      <c r="BP46" s="28" t="str">
        <f t="shared" si="682"/>
        <v/>
      </c>
      <c r="BQ46" s="24" t="str">
        <f t="shared" si="683"/>
        <v/>
      </c>
      <c r="BR46" s="23" t="str">
        <f>_xlfn.XLOOKUP($B46,GCES!$B:$B,GCES!$Z:$Z,"",0,1)</f>
        <v/>
      </c>
      <c r="BS46" s="28" t="str">
        <f t="shared" si="684"/>
        <v/>
      </c>
      <c r="BT46" s="24" t="str">
        <f t="shared" si="685"/>
        <v/>
      </c>
      <c r="BU46" s="23" t="str">
        <f>_xlfn.XLOOKUP($B46,GCES!$B:$B,GCES!$Y:$Y,"",0,1)</f>
        <v/>
      </c>
      <c r="BV46" s="28" t="str">
        <f t="shared" si="686"/>
        <v/>
      </c>
      <c r="BW46" s="24" t="str">
        <f t="shared" si="687"/>
        <v/>
      </c>
      <c r="BX46" s="23" t="str">
        <f>_xlfn.XLOOKUP($B46,GCES!$B:$B,GCES!$AC:$AC,"",0,1)</f>
        <v/>
      </c>
      <c r="BY46" s="28" t="str">
        <f t="shared" si="688"/>
        <v/>
      </c>
      <c r="BZ46" s="24" t="str">
        <f t="shared" si="689"/>
        <v/>
      </c>
      <c r="CA46" s="23" t="str">
        <f>_xlfn.XLOOKUP($B46,GCES!$B:$B,GCES!$AB:$AB,"",0,1)</f>
        <v/>
      </c>
      <c r="CB46" s="28" t="str">
        <f t="shared" si="690"/>
        <v/>
      </c>
      <c r="CC46" s="24" t="str">
        <f t="shared" si="691"/>
        <v/>
      </c>
      <c r="CD46" s="23" t="str">
        <f>_xlfn.XLOOKUP($B46,GCES!$B:$B,GCES!$AS:$AS,"",0,1)</f>
        <v/>
      </c>
      <c r="CE46" s="28" t="str">
        <f t="shared" si="692"/>
        <v/>
      </c>
      <c r="CF46" s="24" t="str">
        <f t="shared" si="693"/>
        <v/>
      </c>
      <c r="CG46" s="23" t="str">
        <f>_xlfn.XLOOKUP($B46,GCES!$B:$B,GCES!$AR:$AR,"",0,1)</f>
        <v/>
      </c>
      <c r="CH46" s="28" t="str">
        <f t="shared" si="694"/>
        <v/>
      </c>
      <c r="CI46" s="26" t="str">
        <f t="shared" si="695"/>
        <v/>
      </c>
      <c r="CJ46" s="23" t="str">
        <f>_xlfn.XLOOKUP($B46,GCES!$B:$B,GCES!$N:$N,"",0,1)</f>
        <v/>
      </c>
      <c r="CK46" s="28" t="str">
        <f t="shared" si="696"/>
        <v/>
      </c>
      <c r="CL46" s="24" t="str">
        <f t="shared" si="697"/>
        <v/>
      </c>
      <c r="CM46" s="23" t="str">
        <f>_xlfn.XLOOKUP($B46,GCES!$B:$B,GCES!$M:$M,"",0,1)</f>
        <v/>
      </c>
      <c r="CN46" s="28" t="str">
        <f t="shared" si="698"/>
        <v/>
      </c>
      <c r="CO46" s="24" t="str">
        <f t="shared" si="699"/>
        <v/>
      </c>
      <c r="CP46" s="90" t="str">
        <f>_xlfn.XLOOKUP($B46,GCES!$B:$B,GCES!$AD:$AD,"",0,1)</f>
        <v/>
      </c>
      <c r="CQ46" s="28" t="str">
        <f t="shared" si="700"/>
        <v/>
      </c>
      <c r="CR46" s="26" t="str">
        <f t="shared" si="701"/>
        <v/>
      </c>
      <c r="CS46" s="23" t="str">
        <f>_xlfn.XLOOKUP($B46,GCES!$B:$B,GCES!$AJ:$AJ,"",0,1)</f>
        <v/>
      </c>
      <c r="CT46" s="28" t="str">
        <f t="shared" si="702"/>
        <v/>
      </c>
      <c r="CU46" s="24" t="str">
        <f t="shared" si="703"/>
        <v/>
      </c>
      <c r="CV46" s="23" t="str">
        <f>_xlfn.XLOOKUP($B46,GCES!$B:$B,GCES!$AI:$AI,"",0,1)</f>
        <v/>
      </c>
      <c r="CW46" s="28" t="str">
        <f t="shared" si="704"/>
        <v/>
      </c>
      <c r="CX46" s="24" t="str">
        <f t="shared" si="705"/>
        <v/>
      </c>
      <c r="CY46" s="100">
        <f t="shared" si="706"/>
        <v>0</v>
      </c>
      <c r="CZ46" s="95">
        <f t="shared" si="707"/>
        <v>0</v>
      </c>
    </row>
    <row r="47" spans="1:104" s="5" customFormat="1" ht="14.4" customHeight="1" x14ac:dyDescent="0.25">
      <c r="A47" s="129" t="s">
        <v>136</v>
      </c>
      <c r="B47" s="130"/>
      <c r="C47" s="71">
        <f t="shared" ref="C47:AH47" si="708">SUM(C43:C46)</f>
        <v>76</v>
      </c>
      <c r="D47" s="72">
        <f t="shared" si="708"/>
        <v>16.657534246575342</v>
      </c>
      <c r="E47" s="73">
        <f t="shared" si="708"/>
        <v>16</v>
      </c>
      <c r="F47" s="71">
        <f t="shared" si="708"/>
        <v>0</v>
      </c>
      <c r="G47" s="72">
        <f t="shared" si="708"/>
        <v>0</v>
      </c>
      <c r="H47" s="74">
        <f t="shared" si="708"/>
        <v>0</v>
      </c>
      <c r="I47" s="71">
        <f t="shared" si="708"/>
        <v>232</v>
      </c>
      <c r="J47" s="72">
        <f t="shared" si="708"/>
        <v>21.917050691244242</v>
      </c>
      <c r="K47" s="74">
        <f t="shared" si="708"/>
        <v>24</v>
      </c>
      <c r="L47" s="71">
        <f t="shared" si="708"/>
        <v>0</v>
      </c>
      <c r="M47" s="72">
        <f t="shared" si="708"/>
        <v>0</v>
      </c>
      <c r="N47" s="74">
        <f t="shared" si="708"/>
        <v>0</v>
      </c>
      <c r="O47" s="71">
        <f t="shared" si="708"/>
        <v>0</v>
      </c>
      <c r="P47" s="72">
        <f t="shared" si="708"/>
        <v>0</v>
      </c>
      <c r="Q47" s="74">
        <f t="shared" si="708"/>
        <v>0</v>
      </c>
      <c r="R47" s="71">
        <f t="shared" si="708"/>
        <v>0</v>
      </c>
      <c r="S47" s="72">
        <f t="shared" si="708"/>
        <v>0</v>
      </c>
      <c r="T47" s="74">
        <f t="shared" si="708"/>
        <v>0</v>
      </c>
      <c r="U47" s="71">
        <f t="shared" si="708"/>
        <v>0</v>
      </c>
      <c r="V47" s="72">
        <f t="shared" si="708"/>
        <v>0</v>
      </c>
      <c r="W47" s="74">
        <f t="shared" si="708"/>
        <v>0</v>
      </c>
      <c r="X47" s="71">
        <f t="shared" si="708"/>
        <v>0</v>
      </c>
      <c r="Y47" s="72">
        <f t="shared" si="708"/>
        <v>0</v>
      </c>
      <c r="Z47" s="74">
        <f t="shared" si="708"/>
        <v>0</v>
      </c>
      <c r="AA47" s="71">
        <f t="shared" si="708"/>
        <v>0</v>
      </c>
      <c r="AB47" s="72">
        <f t="shared" si="708"/>
        <v>0</v>
      </c>
      <c r="AC47" s="74">
        <f t="shared" si="708"/>
        <v>0</v>
      </c>
      <c r="AD47" s="71">
        <f t="shared" si="708"/>
        <v>0</v>
      </c>
      <c r="AE47" s="72">
        <f t="shared" si="708"/>
        <v>0</v>
      </c>
      <c r="AF47" s="74">
        <f t="shared" si="708"/>
        <v>0</v>
      </c>
      <c r="AG47" s="71">
        <f t="shared" si="708"/>
        <v>0</v>
      </c>
      <c r="AH47" s="72">
        <f t="shared" si="708"/>
        <v>0</v>
      </c>
      <c r="AI47" s="74">
        <f t="shared" ref="AI47:BA47" si="709">SUM(AI43:AI46)</f>
        <v>0</v>
      </c>
      <c r="AJ47" s="71">
        <f t="shared" si="709"/>
        <v>0</v>
      </c>
      <c r="AK47" s="72">
        <f t="shared" si="709"/>
        <v>0</v>
      </c>
      <c r="AL47" s="74">
        <f t="shared" si="709"/>
        <v>0</v>
      </c>
      <c r="AM47" s="71">
        <f t="shared" si="709"/>
        <v>20</v>
      </c>
      <c r="AN47" s="72">
        <f t="shared" si="709"/>
        <v>7.2222222222222223</v>
      </c>
      <c r="AO47" s="74">
        <f t="shared" si="709"/>
        <v>8</v>
      </c>
      <c r="AP47" s="71">
        <f t="shared" si="709"/>
        <v>0</v>
      </c>
      <c r="AQ47" s="72">
        <f t="shared" si="709"/>
        <v>0</v>
      </c>
      <c r="AR47" s="74">
        <f t="shared" si="709"/>
        <v>0</v>
      </c>
      <c r="AS47" s="71">
        <f t="shared" si="709"/>
        <v>0</v>
      </c>
      <c r="AT47" s="72">
        <f t="shared" si="709"/>
        <v>0</v>
      </c>
      <c r="AU47" s="74">
        <f t="shared" si="709"/>
        <v>0</v>
      </c>
      <c r="AV47" s="71">
        <f t="shared" si="709"/>
        <v>0</v>
      </c>
      <c r="AW47" s="72">
        <f t="shared" si="709"/>
        <v>0</v>
      </c>
      <c r="AX47" s="74">
        <f t="shared" si="709"/>
        <v>0</v>
      </c>
      <c r="AY47" s="91">
        <f t="shared" si="709"/>
        <v>16</v>
      </c>
      <c r="AZ47" s="72">
        <f t="shared" si="709"/>
        <v>2.9333333333333331</v>
      </c>
      <c r="BA47" s="74">
        <f t="shared" si="709"/>
        <v>4</v>
      </c>
      <c r="BB47" s="97">
        <f t="shared" si="90"/>
        <v>52</v>
      </c>
      <c r="BC47" s="71">
        <f t="shared" ref="BC47:CX47" si="710">SUM(BC43:BC46)</f>
        <v>32</v>
      </c>
      <c r="BD47" s="72">
        <f t="shared" si="710"/>
        <v>8.2666666666666675</v>
      </c>
      <c r="BE47" s="74">
        <f t="shared" si="710"/>
        <v>8</v>
      </c>
      <c r="BF47" s="71">
        <f t="shared" si="710"/>
        <v>0</v>
      </c>
      <c r="BG47" s="72">
        <f t="shared" si="710"/>
        <v>0</v>
      </c>
      <c r="BH47" s="74">
        <f t="shared" si="710"/>
        <v>0</v>
      </c>
      <c r="BI47" s="71">
        <f t="shared" si="710"/>
        <v>0</v>
      </c>
      <c r="BJ47" s="72">
        <f t="shared" si="710"/>
        <v>0</v>
      </c>
      <c r="BK47" s="74">
        <f t="shared" si="710"/>
        <v>0</v>
      </c>
      <c r="BL47" s="91">
        <f t="shared" si="710"/>
        <v>0</v>
      </c>
      <c r="BM47" s="72">
        <f t="shared" si="710"/>
        <v>0</v>
      </c>
      <c r="BN47" s="74">
        <f t="shared" si="710"/>
        <v>0</v>
      </c>
      <c r="BO47" s="71">
        <f t="shared" si="710"/>
        <v>32</v>
      </c>
      <c r="BP47" s="72">
        <f t="shared" si="710"/>
        <v>7.741935483870968</v>
      </c>
      <c r="BQ47" s="74">
        <f t="shared" si="710"/>
        <v>8</v>
      </c>
      <c r="BR47" s="71">
        <f t="shared" si="710"/>
        <v>56</v>
      </c>
      <c r="BS47" s="72">
        <f t="shared" si="710"/>
        <v>15.680000000000001</v>
      </c>
      <c r="BT47" s="74">
        <f t="shared" si="710"/>
        <v>18</v>
      </c>
      <c r="BU47" s="71">
        <f t="shared" si="710"/>
        <v>12</v>
      </c>
      <c r="BV47" s="72">
        <f t="shared" si="710"/>
        <v>14</v>
      </c>
      <c r="BW47" s="74">
        <f t="shared" si="710"/>
        <v>14</v>
      </c>
      <c r="BX47" s="91">
        <f t="shared" si="710"/>
        <v>112</v>
      </c>
      <c r="BY47" s="72">
        <f t="shared" si="710"/>
        <v>35.225806451612904</v>
      </c>
      <c r="BZ47" s="74">
        <f t="shared" si="710"/>
        <v>34</v>
      </c>
      <c r="CA47" s="71">
        <f t="shared" si="710"/>
        <v>0</v>
      </c>
      <c r="CB47" s="72">
        <f t="shared" si="710"/>
        <v>0</v>
      </c>
      <c r="CC47" s="74">
        <f t="shared" si="710"/>
        <v>0</v>
      </c>
      <c r="CD47" s="71">
        <f t="shared" si="710"/>
        <v>44</v>
      </c>
      <c r="CE47" s="72">
        <f t="shared" si="710"/>
        <v>15.714285714285715</v>
      </c>
      <c r="CF47" s="74">
        <f t="shared" si="710"/>
        <v>16</v>
      </c>
      <c r="CG47" s="71">
        <f t="shared" si="710"/>
        <v>16</v>
      </c>
      <c r="CH47" s="72">
        <f t="shared" si="710"/>
        <v>5.2173913043478262</v>
      </c>
      <c r="CI47" s="74">
        <f t="shared" si="710"/>
        <v>6</v>
      </c>
      <c r="CJ47" s="91">
        <f t="shared" si="710"/>
        <v>0</v>
      </c>
      <c r="CK47" s="72">
        <f t="shared" si="710"/>
        <v>0</v>
      </c>
      <c r="CL47" s="74">
        <f t="shared" si="710"/>
        <v>0</v>
      </c>
      <c r="CM47" s="71">
        <f t="shared" si="710"/>
        <v>0</v>
      </c>
      <c r="CN47" s="72">
        <f t="shared" si="710"/>
        <v>0</v>
      </c>
      <c r="CO47" s="74">
        <f t="shared" si="710"/>
        <v>0</v>
      </c>
      <c r="CP47" s="71">
        <f t="shared" si="710"/>
        <v>0</v>
      </c>
      <c r="CQ47" s="72">
        <f t="shared" si="710"/>
        <v>0</v>
      </c>
      <c r="CR47" s="74">
        <f t="shared" si="710"/>
        <v>0</v>
      </c>
      <c r="CS47" s="71">
        <f t="shared" si="710"/>
        <v>0</v>
      </c>
      <c r="CT47" s="72">
        <f t="shared" si="710"/>
        <v>0</v>
      </c>
      <c r="CU47" s="74">
        <f t="shared" si="710"/>
        <v>0</v>
      </c>
      <c r="CV47" s="91">
        <f t="shared" si="710"/>
        <v>20</v>
      </c>
      <c r="CW47" s="72">
        <f t="shared" si="710"/>
        <v>6.4</v>
      </c>
      <c r="CX47" s="74">
        <f t="shared" si="710"/>
        <v>6</v>
      </c>
      <c r="CY47" s="100">
        <f t="shared" si="0"/>
        <v>110</v>
      </c>
      <c r="CZ47" s="95">
        <f t="shared" si="1"/>
        <v>162</v>
      </c>
    </row>
    <row r="48" spans="1:104" x14ac:dyDescent="0.25">
      <c r="A48" s="27" t="s">
        <v>120</v>
      </c>
      <c r="B48" s="88" t="s">
        <v>81</v>
      </c>
      <c r="C48" s="23" t="str">
        <f>_xlfn.XLOOKUP($B48,GCES!$B:$B,GCES!$C:$C,"",0,1)</f>
        <v/>
      </c>
      <c r="D48" s="28" t="str">
        <f t="shared" ref="D48:D51" si="711">IF(C48="","",D$58*C48/C$57)</f>
        <v/>
      </c>
      <c r="E48" s="26" t="str">
        <f t="shared" ref="E48:E51" si="712">IF(C48="","",IF(D48&gt;4,ROUND(D48/2,0)*2,IF(D48&gt;D$59,4,"")))</f>
        <v/>
      </c>
      <c r="F48" s="23" t="str">
        <f>_xlfn.XLOOKUP($B48,GCES!$B:$B,GCES!$E:$E,"",0,1)</f>
        <v/>
      </c>
      <c r="G48" s="28" t="str">
        <f t="shared" ref="G48:G51" si="713">IF(F48="","",G$58*F48/F$57)</f>
        <v/>
      </c>
      <c r="H48" s="24" t="str">
        <f t="shared" ref="H48:H51" si="714">IF(F48="","",IF(G48&gt;4,ROUND(G48/2,0)*2,IF(G48&gt;G$59,4,"")))</f>
        <v/>
      </c>
      <c r="I48" s="23">
        <f>_xlfn.XLOOKUP($B48,GCES!$B:$B,GCES!$D:$D,"",0,1)</f>
        <v>16</v>
      </c>
      <c r="J48" s="28">
        <f t="shared" ref="J48:J51" si="715">IF(I48="","",J$58*I48/I$57)</f>
        <v>1.5115207373271888</v>
      </c>
      <c r="K48" s="24" t="str">
        <f t="shared" ref="K48:K51" si="716">IF(I48="","",IF(J48&gt;4,ROUND(J48/2,0)*2,IF(J48&gt;J$59,4,"")))</f>
        <v/>
      </c>
      <c r="L48" s="23" t="str">
        <f>_xlfn.XLOOKUP($B48,GCES!$B:$B,GCES!$H:$H,"",0,1)</f>
        <v/>
      </c>
      <c r="M48" s="28" t="str">
        <f t="shared" ref="M48:M51" si="717">IF(L48="","",M$58*L48/L$57)</f>
        <v/>
      </c>
      <c r="N48" s="24" t="str">
        <f t="shared" ref="N48:N51" si="718">IF(L48="","",IF(M48&gt;4,ROUND(M48/2,0)*2,IF(M48&gt;M$59,4,"")))</f>
        <v/>
      </c>
      <c r="O48" s="23" t="str">
        <f>_xlfn.XLOOKUP($B48,GCES!$B:$B,GCES!$G:$G,"",0,1)</f>
        <v/>
      </c>
      <c r="P48" s="28" t="str">
        <f t="shared" ref="P48:P51" si="719">IF(O48="","",P$58*O48/O$57)</f>
        <v/>
      </c>
      <c r="Q48" s="24" t="str">
        <f t="shared" ref="Q48:Q51" si="720">IF(O48="","",IF(P48&gt;4,ROUND(P48/2,0)*2,IF(P48&gt;P$59,4,"")))</f>
        <v/>
      </c>
      <c r="R48" s="23" t="str">
        <f>_xlfn.XLOOKUP($B48,GCES!$B:$B,GCES!$L:$L,"",0,1)</f>
        <v/>
      </c>
      <c r="S48" s="28" t="str">
        <f t="shared" ref="S48:S51" si="721">IF(R48="","",S$58*R48/R$57)</f>
        <v/>
      </c>
      <c r="T48" s="24" t="str">
        <f t="shared" ref="T48:T51" si="722">IF(R48="","",IF(S48&gt;4,ROUND(S48/2,0)*2,IF(S48&gt;S$59,4,"")))</f>
        <v/>
      </c>
      <c r="U48" s="23" t="str">
        <f>_xlfn.XLOOKUP($B48,GCES!$B:$B,GCES!$K:$K,"",0,1)</f>
        <v/>
      </c>
      <c r="V48" s="28" t="str">
        <f t="shared" ref="V48:V51" si="723">IF(U48="","",V$58*U48/U$57)</f>
        <v/>
      </c>
      <c r="W48" s="24" t="str">
        <f t="shared" ref="W48:W51" si="724">IF(U48="","",IF(V48&gt;4,ROUND(V48/2,0)*2,IF(V48&gt;V$59,4,"")))</f>
        <v/>
      </c>
      <c r="X48" s="23" t="str">
        <f>_xlfn.XLOOKUP($B48,GCES!$B:$B,GCES!$S:$S,"",0,1)</f>
        <v/>
      </c>
      <c r="Y48" s="28" t="str">
        <f t="shared" ref="Y48:Y51" si="725">IF(X48="","",Y$58*X48/X$57)</f>
        <v/>
      </c>
      <c r="Z48" s="24" t="str">
        <f t="shared" ref="Z48:Z51" si="726">IF(X48="","",IF(Y48&gt;4,ROUND(Y48/2,0)*2,IF(Y48&gt;Y$59,4,"")))</f>
        <v/>
      </c>
      <c r="AA48" s="23" t="str">
        <f>_xlfn.XLOOKUP($B48,GCES!$B:$B,GCES!$R:$R,"",0,1)</f>
        <v/>
      </c>
      <c r="AB48" s="28" t="str">
        <f t="shared" ref="AB48:AB51" si="727">IF(AA48="","",AB$58*AA48/AA$57)</f>
        <v/>
      </c>
      <c r="AC48" s="24" t="str">
        <f t="shared" ref="AC48:AC51" si="728">IF(AA48="","",IF(AB48&gt;4,ROUND(AB48/2,0)*2,IF(AB48&gt;AB$59,4,"")))</f>
        <v/>
      </c>
      <c r="AD48" s="23" t="str">
        <f>_xlfn.XLOOKUP($B48,GCES!$B:$B,GCES!$AL:$AL,"",0,1)</f>
        <v/>
      </c>
      <c r="AE48" s="28" t="str">
        <f t="shared" ref="AE48:AE51" si="729">IF(AD48="","",AE$58*AD48/AD$57)</f>
        <v/>
      </c>
      <c r="AF48" s="24" t="str">
        <f t="shared" ref="AF48:AF51" si="730">IF(AD48="","",IF(AE48&gt;4,ROUND(AE48/2,0)*2,IF(AE48&gt;AE$59,4,"")))</f>
        <v/>
      </c>
      <c r="AG48" s="23" t="str">
        <f>_xlfn.XLOOKUP($B48,GCES!$B:$B,GCES!$AK:$AK,"",0,1)</f>
        <v/>
      </c>
      <c r="AH48" s="28" t="str">
        <f t="shared" ref="AH48:AH51" si="731">IF(AG48="","",AH$58*AG48/AG$57)</f>
        <v/>
      </c>
      <c r="AI48" s="24" t="str">
        <f t="shared" ref="AI48:AI51" si="732">IF(AG48="","",IF(AH48&gt;4,ROUND(AH48/2,0)*2,IF(AH48&gt;AH$59,4,"")))</f>
        <v/>
      </c>
      <c r="AJ48" s="23" t="str">
        <f>_xlfn.XLOOKUP($B48,GCES!$B:$B,GCES!$AQ:$AQ,"",0,1)</f>
        <v/>
      </c>
      <c r="AK48" s="28" t="str">
        <f t="shared" ref="AK48:AK51" si="733">IF(AJ48="","",AK$58*AJ48/AJ$57)</f>
        <v/>
      </c>
      <c r="AL48" s="24" t="str">
        <f t="shared" ref="AL48:AL50" si="734">IF(AJ48="","",IF(AK48&gt;4,ROUND(AK48/2,0)*2,IF(AK48&gt;AK$59,4,"")))</f>
        <v/>
      </c>
      <c r="AM48" s="23" t="str">
        <f>_xlfn.XLOOKUP($B48,GCES!$B:$B,GCES!$AP:$AP,"",0,1)</f>
        <v/>
      </c>
      <c r="AN48" s="28" t="str">
        <f t="shared" ref="AN48:AN51" si="735">IF(AM48="","",AN$58*AM48/AM$57)</f>
        <v/>
      </c>
      <c r="AO48" s="24" t="str">
        <f t="shared" ref="AO48:AO51" si="736">IF(AM48="","",IF(AN48&gt;4,ROUND(AN48/2,0)*2,IF(AN48&gt;AN$59,4,"")))</f>
        <v/>
      </c>
      <c r="AP48" s="23" t="str">
        <f>_xlfn.XLOOKUP($B48,GCES!$B:$B,GCES!$V:$V,"",0,1)</f>
        <v/>
      </c>
      <c r="AQ48" s="28" t="str">
        <f t="shared" ref="AQ48:AQ51" si="737">IF(AP48="","",AQ$58*AP48/AP$57)</f>
        <v/>
      </c>
      <c r="AR48" s="24" t="str">
        <f t="shared" ref="AR48:AR51" si="738">IF(AP48="","",IF(AQ48&gt;4,ROUND(AQ48/2,0)*2,IF(AQ48&gt;AQ$59,4,"")))</f>
        <v/>
      </c>
      <c r="AS48" s="23" t="str">
        <f>_xlfn.XLOOKUP($B48,GCES!$B:$B,GCES!$AH:$AH,"",0,1)</f>
        <v/>
      </c>
      <c r="AT48" s="28" t="str">
        <f t="shared" ref="AT48:AT51" si="739">IF(AS48="","",AT$58*AS48/AS$57)</f>
        <v/>
      </c>
      <c r="AU48" s="24" t="str">
        <f t="shared" ref="AU48:AU51" si="740">IF(AS48="","",IF(AT48&gt;4,ROUND(AT48/2,0)*2,IF(AT48&gt;AT$59,4,"")))</f>
        <v/>
      </c>
      <c r="AV48" s="23" t="str">
        <f>_xlfn.XLOOKUP($B48,GCES!$B:$B,GCES!$AG:$AG,"",0,1)</f>
        <v/>
      </c>
      <c r="AW48" s="28" t="str">
        <f t="shared" ref="AW48:AW51" si="741">IF(AV48="","",AW$58*AV48/AV$57)</f>
        <v/>
      </c>
      <c r="AX48" s="24" t="str">
        <f t="shared" ref="AX48:AX51" si="742">IF(AV48="","",IF(AW48&gt;4,ROUND(AW48/2,0)*2,IF(AW48&gt;AW$59,4,"")))</f>
        <v/>
      </c>
      <c r="AY48" s="90" t="str">
        <f>_xlfn.XLOOKUP($B48,GCES!$B:$B,GCES!$AO:$AO,"",0,1)</f>
        <v/>
      </c>
      <c r="AZ48" s="28" t="str">
        <f t="shared" ref="AZ48:AZ51" si="743">IF(AY48="","",AZ$58*AY48/AY$57)</f>
        <v/>
      </c>
      <c r="BA48" s="24" t="str">
        <f t="shared" ref="BA48:BA51" si="744">IF(AY48="","",IF(AZ48&gt;4,ROUND(AZ48/2,0)*2,IF(AZ48&gt;AZ$59,4,"")))</f>
        <v/>
      </c>
      <c r="BB48" s="97">
        <f t="shared" si="90"/>
        <v>0</v>
      </c>
      <c r="BC48" s="23">
        <f>_xlfn.XLOOKUP($B48,GCES!$B:$B,GCES!$F:$F,"",0,1)</f>
        <v>16</v>
      </c>
      <c r="BD48" s="28">
        <f t="shared" ref="BD48:BD51" si="745">IF(BC48="","",BD$58*BC48/BC$57)</f>
        <v>4.1333333333333337</v>
      </c>
      <c r="BE48" s="26">
        <f t="shared" ref="BE48:BE51" si="746">IF(BC48="","",IF(BD48&gt;4,ROUND(BD48/2,0)*2,IF(BD48&gt;BD$59,4,"")))</f>
        <v>4</v>
      </c>
      <c r="BF48" s="23">
        <f>_xlfn.XLOOKUP($B48,GCES!$B:$B,GCES!$J:$J,"",0,1)</f>
        <v>32</v>
      </c>
      <c r="BG48" s="28">
        <f t="shared" ref="BG48:BG51" si="747">IF(BF48="","",BG$58*BF48/BF$57)</f>
        <v>5.471502590673575</v>
      </c>
      <c r="BH48" s="24">
        <f t="shared" ref="BH48:BH51" si="748">IF(BF48="","",IF(BG48&gt;4,ROUND(BG48/2,0)*2,IF(BG48&gt;BG$59,4,"")))</f>
        <v>6</v>
      </c>
      <c r="BI48" s="23" t="str">
        <f>_xlfn.XLOOKUP($B48,GCES!$B:$B,GCES!$I:$I,"",0,1)</f>
        <v/>
      </c>
      <c r="BJ48" s="28" t="str">
        <f t="shared" ref="BJ48:BJ51" si="749">IF(BI48="","",BJ$58*BI48/BI$57)</f>
        <v/>
      </c>
      <c r="BK48" s="24" t="str">
        <f t="shared" ref="BK48:BK51" si="750">IF(BI48="","",IF(BJ48&gt;4,ROUND(BJ48/2,0)*2,IF(BJ48&gt;BJ$59,4,"")))</f>
        <v/>
      </c>
      <c r="BL48" s="23" t="str">
        <f>_xlfn.XLOOKUP($B48,GCES!$B:$B,GCES!$AN:$AN,"",0,1)</f>
        <v/>
      </c>
      <c r="BM48" s="28" t="str">
        <f t="shared" ref="BM48:BM51" si="751">IF(BL48="","",BM$58*BL48/BL$57)</f>
        <v/>
      </c>
      <c r="BN48" s="24" t="str">
        <f t="shared" ref="BN48:BN51" si="752">IF(BL48="","",IF(BM48&gt;4,ROUND(BM48/2,0)*2,IF(BM48&gt;BM$59,4,"")))</f>
        <v/>
      </c>
      <c r="BO48" s="23" t="str">
        <f>_xlfn.XLOOKUP($B48,GCES!$B:$B,GCES!$AM:$AM,"",0,1)</f>
        <v/>
      </c>
      <c r="BP48" s="28" t="str">
        <f t="shared" ref="BP48:BP51" si="753">IF(BO48="","",BP$58*BO48/BO$57)</f>
        <v/>
      </c>
      <c r="BQ48" s="24" t="str">
        <f t="shared" ref="BQ48:BQ51" si="754">IF(BO48="","",IF(BP48&gt;4,ROUND(BP48/2,0)*2,IF(BP48&gt;BP$59,4,"")))</f>
        <v/>
      </c>
      <c r="BR48" s="23">
        <f>_xlfn.XLOOKUP($B48,GCES!$B:$B,GCES!$Z:$Z,"",0,1)</f>
        <v>28</v>
      </c>
      <c r="BS48" s="28">
        <f t="shared" ref="BS48:BS51" si="755">IF(BR48="","",BS$58*BR48/BR$57)</f>
        <v>7.84</v>
      </c>
      <c r="BT48" s="24">
        <f t="shared" ref="BT48:BT51" si="756">IF(BR48="","",IF(BS48&gt;4,ROUND(BS48/2,0)*2,IF(BS48&gt;BS$59,4,"")))</f>
        <v>8</v>
      </c>
      <c r="BU48" s="23" t="str">
        <f>_xlfn.XLOOKUP($B48,GCES!$B:$B,GCES!$Y:$Y,"",0,1)</f>
        <v/>
      </c>
      <c r="BV48" s="28" t="str">
        <f t="shared" ref="BV48:BV51" si="757">IF(BU48="","",BV$58*BU48/BU$57)</f>
        <v/>
      </c>
      <c r="BW48" s="24" t="str">
        <f t="shared" ref="BW48:BW51" si="758">IF(BU48="","",IF(BV48&gt;4,ROUND(BV48/2,0)*2,IF(BV48&gt;BV$59,4,"")))</f>
        <v/>
      </c>
      <c r="BX48" s="23">
        <f>_xlfn.XLOOKUP($B48,GCES!$B:$B,GCES!$AC:$AC,"",0,1)</f>
        <v>52</v>
      </c>
      <c r="BY48" s="28">
        <f t="shared" ref="BY48:BY51" si="759">IF(BX48="","",BY$58*BX48/BX$57)</f>
        <v>16.35483870967742</v>
      </c>
      <c r="BZ48" s="24">
        <f t="shared" ref="BZ48:BZ51" si="760">IF(BX48="","",IF(BY48&gt;4,ROUND(BY48/2,0)*2,IF(BY48&gt;BY$59,4,"")))</f>
        <v>16</v>
      </c>
      <c r="CA48" s="23" t="str">
        <f>_xlfn.XLOOKUP($B48,GCES!$B:$B,GCES!$AB:$AB,"",0,1)</f>
        <v/>
      </c>
      <c r="CB48" s="28" t="str">
        <f t="shared" ref="CB48:CB51" si="761">IF(CA48="","",CB$58*CA48/CA$57)</f>
        <v/>
      </c>
      <c r="CC48" s="24" t="str">
        <f t="shared" ref="CC48:CC51" si="762">IF(CA48="","",IF(CB48&gt;4,ROUND(CB48/2,0)*2,IF(CB48&gt;CB$59,4,"")))</f>
        <v/>
      </c>
      <c r="CD48" s="23" t="str">
        <f>_xlfn.XLOOKUP($B48,GCES!$B:$B,GCES!$AS:$AS,"",0,1)</f>
        <v/>
      </c>
      <c r="CE48" s="28" t="str">
        <f t="shared" ref="CE48:CE51" si="763">IF(CD48="","",CE$58*CD48/CD$57)</f>
        <v/>
      </c>
      <c r="CF48" s="24" t="str">
        <f t="shared" ref="CF48:CF51" si="764">IF(CD48="","",IF(CE48&gt;4,ROUND(CE48/2,0)*2,IF(CE48&gt;CE$59,4,"")))</f>
        <v/>
      </c>
      <c r="CG48" s="23" t="str">
        <f>_xlfn.XLOOKUP($B48,GCES!$B:$B,GCES!$AR:$AR,"",0,1)</f>
        <v/>
      </c>
      <c r="CH48" s="28" t="str">
        <f t="shared" ref="CH48:CH51" si="765">IF(CG48="","",CH$58*CG48/CG$57)</f>
        <v/>
      </c>
      <c r="CI48" s="26" t="str">
        <f t="shared" ref="CI48:CI51" si="766">IF(CG48="","",IF(CH48&gt;4,ROUND(CH48/2,0)*2,IF(CH48&gt;CH$59,4,"")))</f>
        <v/>
      </c>
      <c r="CJ48" s="23">
        <f>_xlfn.XLOOKUP($B48,GCES!$B:$B,GCES!$N:$N,"",0,1)</f>
        <v>56</v>
      </c>
      <c r="CK48" s="28">
        <f t="shared" ref="CK48:CK51" si="767">IF(CJ48="","",CK$58*CJ48/CJ$57)</f>
        <v>14.857142857142858</v>
      </c>
      <c r="CL48" s="38">
        <v>16</v>
      </c>
      <c r="CM48" s="23" t="str">
        <f>_xlfn.XLOOKUP($B48,GCES!$B:$B,GCES!$M:$M,"",0,1)</f>
        <v/>
      </c>
      <c r="CN48" s="28" t="str">
        <f t="shared" ref="CN48:CN51" si="768">IF(CM48="","",CN$58*CM48/CM$57)</f>
        <v/>
      </c>
      <c r="CO48" s="24" t="str">
        <f t="shared" ref="CO48:CO51" si="769">IF(CM48="","",IF(CN48&gt;4,ROUND(CN48/2,0)*2,IF(CN48&gt;CN$59,4,"")))</f>
        <v/>
      </c>
      <c r="CP48" s="90" t="str">
        <f>_xlfn.XLOOKUP($B48,GCES!$B:$B,GCES!$AD:$AD,"",0,1)</f>
        <v/>
      </c>
      <c r="CQ48" s="28" t="str">
        <f t="shared" ref="CQ48:CQ51" si="770">IF(CP48="","",CQ$58*CP48/CP$57)</f>
        <v/>
      </c>
      <c r="CR48" s="26" t="str">
        <f t="shared" ref="CR48:CR51" si="771">IF(CP48="","",IF(CQ48&gt;4,ROUND(CQ48/2,0)*2,IF(CQ48&gt;CQ$59,4,"")))</f>
        <v/>
      </c>
      <c r="CS48" s="23">
        <f>_xlfn.XLOOKUP($B48,GCES!$B:$B,GCES!$AJ:$AJ,"",0,1)</f>
        <v>24</v>
      </c>
      <c r="CT48" s="28">
        <f t="shared" ref="CT48:CT51" si="772">IF(CS48="","",CT$58*CS48/CS$57)</f>
        <v>6</v>
      </c>
      <c r="CU48" s="24">
        <f t="shared" ref="CU48:CU51" si="773">IF(CS48="","",IF(CT48&gt;4,ROUND(CT48/2,0)*2,IF(CT48&gt;CT$59,4,"")))</f>
        <v>6</v>
      </c>
      <c r="CV48" s="23" t="str">
        <f>_xlfn.XLOOKUP($B48,GCES!$B:$B,GCES!$AI:$AI,"",0,1)</f>
        <v/>
      </c>
      <c r="CW48" s="28" t="str">
        <f t="shared" ref="CW48:CW51" si="774">IF(CV48="","",CW$58*CV48/CV$57)</f>
        <v/>
      </c>
      <c r="CX48" s="24" t="str">
        <f t="shared" ref="CX48:CX51" si="775">IF(CV48="","",IF(CW48&gt;4,ROUND(CW48/2,0)*2,IF(CW48&gt;CW$59,4,"")))</f>
        <v/>
      </c>
      <c r="CY48" s="100">
        <f t="shared" ref="CY48:CY51" si="776">SUM(BE48,BH48,BK48,BN48,BQ48,BT48,BW48,BZ48,CC48,CF48,CI48,CL48,CO48,CR48,CU48,CX48)</f>
        <v>56</v>
      </c>
      <c r="CZ48" s="95">
        <f t="shared" ref="CZ48:CZ51" si="777">SUM(BB48,CY48)</f>
        <v>56</v>
      </c>
    </row>
    <row r="49" spans="1:104" x14ac:dyDescent="0.25">
      <c r="A49" s="27" t="s">
        <v>119</v>
      </c>
      <c r="B49" s="88" t="s">
        <v>80</v>
      </c>
      <c r="C49" s="23">
        <f>_xlfn.XLOOKUP($B49,GCES!$B:$B,GCES!$C:$C,"",0,1)</f>
        <v>4</v>
      </c>
      <c r="D49" s="28">
        <f t="shared" si="711"/>
        <v>0.87671232876712324</v>
      </c>
      <c r="E49" s="26" t="str">
        <f t="shared" si="712"/>
        <v/>
      </c>
      <c r="F49" s="23" t="str">
        <f>_xlfn.XLOOKUP($B49,GCES!$B:$B,GCES!$E:$E,"",0,1)</f>
        <v/>
      </c>
      <c r="G49" s="28" t="str">
        <f t="shared" si="713"/>
        <v/>
      </c>
      <c r="H49" s="24" t="str">
        <f t="shared" si="714"/>
        <v/>
      </c>
      <c r="I49" s="23">
        <f>_xlfn.XLOOKUP($B49,GCES!$B:$B,GCES!$D:$D,"",0,1)</f>
        <v>36</v>
      </c>
      <c r="J49" s="28">
        <f t="shared" si="715"/>
        <v>3.4009216589861753</v>
      </c>
      <c r="K49" s="24">
        <f t="shared" si="716"/>
        <v>4</v>
      </c>
      <c r="L49" s="23" t="str">
        <f>_xlfn.XLOOKUP($B49,GCES!$B:$B,GCES!$H:$H,"",0,1)</f>
        <v/>
      </c>
      <c r="M49" s="28" t="str">
        <f t="shared" si="717"/>
        <v/>
      </c>
      <c r="N49" s="24" t="str">
        <f t="shared" si="718"/>
        <v/>
      </c>
      <c r="O49" s="23" t="str">
        <f>_xlfn.XLOOKUP($B49,GCES!$B:$B,GCES!$G:$G,"",0,1)</f>
        <v/>
      </c>
      <c r="P49" s="28" t="str">
        <f t="shared" si="719"/>
        <v/>
      </c>
      <c r="Q49" s="24" t="str">
        <f t="shared" si="720"/>
        <v/>
      </c>
      <c r="R49" s="23" t="str">
        <f>_xlfn.XLOOKUP($B49,GCES!$B:$B,GCES!$L:$L,"",0,1)</f>
        <v/>
      </c>
      <c r="S49" s="28" t="str">
        <f t="shared" si="721"/>
        <v/>
      </c>
      <c r="T49" s="24" t="str">
        <f t="shared" si="722"/>
        <v/>
      </c>
      <c r="U49" s="23" t="str">
        <f>_xlfn.XLOOKUP($B49,GCES!$B:$B,GCES!$K:$K,"",0,1)</f>
        <v/>
      </c>
      <c r="V49" s="28" t="str">
        <f t="shared" si="723"/>
        <v/>
      </c>
      <c r="W49" s="24" t="str">
        <f t="shared" si="724"/>
        <v/>
      </c>
      <c r="X49" s="23" t="str">
        <f>_xlfn.XLOOKUP($B49,GCES!$B:$B,GCES!$S:$S,"",0,1)</f>
        <v/>
      </c>
      <c r="Y49" s="28" t="str">
        <f t="shared" si="725"/>
        <v/>
      </c>
      <c r="Z49" s="24" t="str">
        <f t="shared" si="726"/>
        <v/>
      </c>
      <c r="AA49" s="23" t="str">
        <f>_xlfn.XLOOKUP($B49,GCES!$B:$B,GCES!$R:$R,"",0,1)</f>
        <v/>
      </c>
      <c r="AB49" s="28" t="str">
        <f t="shared" si="727"/>
        <v/>
      </c>
      <c r="AC49" s="24" t="str">
        <f t="shared" si="728"/>
        <v/>
      </c>
      <c r="AD49" s="23" t="str">
        <f>_xlfn.XLOOKUP($B49,GCES!$B:$B,GCES!$AL:$AL,"",0,1)</f>
        <v/>
      </c>
      <c r="AE49" s="28" t="str">
        <f t="shared" si="729"/>
        <v/>
      </c>
      <c r="AF49" s="24" t="str">
        <f t="shared" si="730"/>
        <v/>
      </c>
      <c r="AG49" s="23" t="str">
        <f>_xlfn.XLOOKUP($B49,GCES!$B:$B,GCES!$AK:$AK,"",0,1)</f>
        <v/>
      </c>
      <c r="AH49" s="28" t="str">
        <f t="shared" si="731"/>
        <v/>
      </c>
      <c r="AI49" s="24" t="str">
        <f t="shared" si="732"/>
        <v/>
      </c>
      <c r="AJ49" s="23" t="str">
        <f>_xlfn.XLOOKUP($B49,GCES!$B:$B,GCES!$AQ:$AQ,"",0,1)</f>
        <v/>
      </c>
      <c r="AK49" s="28" t="str">
        <f t="shared" si="733"/>
        <v/>
      </c>
      <c r="AL49" s="24" t="str">
        <f t="shared" si="734"/>
        <v/>
      </c>
      <c r="AM49" s="23" t="str">
        <f>_xlfn.XLOOKUP($B49,GCES!$B:$B,GCES!$AP:$AP,"",0,1)</f>
        <v/>
      </c>
      <c r="AN49" s="28" t="str">
        <f t="shared" si="735"/>
        <v/>
      </c>
      <c r="AO49" s="24" t="str">
        <f t="shared" si="736"/>
        <v/>
      </c>
      <c r="AP49" s="23" t="str">
        <f>_xlfn.XLOOKUP($B49,GCES!$B:$B,GCES!$V:$V,"",0,1)</f>
        <v/>
      </c>
      <c r="AQ49" s="28" t="str">
        <f t="shared" si="737"/>
        <v/>
      </c>
      <c r="AR49" s="24" t="str">
        <f t="shared" si="738"/>
        <v/>
      </c>
      <c r="AS49" s="23" t="str">
        <f>_xlfn.XLOOKUP($B49,GCES!$B:$B,GCES!$AH:$AH,"",0,1)</f>
        <v/>
      </c>
      <c r="AT49" s="28" t="str">
        <f t="shared" si="739"/>
        <v/>
      </c>
      <c r="AU49" s="24" t="str">
        <f t="shared" si="740"/>
        <v/>
      </c>
      <c r="AV49" s="23" t="str">
        <f>_xlfn.XLOOKUP($B49,GCES!$B:$B,GCES!$AG:$AG,"",0,1)</f>
        <v/>
      </c>
      <c r="AW49" s="28" t="str">
        <f t="shared" si="741"/>
        <v/>
      </c>
      <c r="AX49" s="24" t="str">
        <f t="shared" si="742"/>
        <v/>
      </c>
      <c r="AY49" s="90">
        <f>_xlfn.XLOOKUP($B49,GCES!$B:$B,GCES!$AO:$AO,"",0,1)</f>
        <v>0</v>
      </c>
      <c r="AZ49" s="28">
        <f t="shared" si="743"/>
        <v>0</v>
      </c>
      <c r="BA49" s="24" t="str">
        <f t="shared" si="744"/>
        <v/>
      </c>
      <c r="BB49" s="97">
        <f t="shared" si="90"/>
        <v>4</v>
      </c>
      <c r="BC49" s="23">
        <f>_xlfn.XLOOKUP($B49,GCES!$B:$B,GCES!$F:$F,"",0,1)</f>
        <v>8</v>
      </c>
      <c r="BD49" s="28">
        <f t="shared" si="745"/>
        <v>2.0666666666666669</v>
      </c>
      <c r="BE49" s="37">
        <v>4</v>
      </c>
      <c r="BF49" s="23" t="str">
        <f>_xlfn.XLOOKUP($B49,GCES!$B:$B,GCES!$J:$J,"",0,1)</f>
        <v/>
      </c>
      <c r="BG49" s="28" t="str">
        <f t="shared" si="747"/>
        <v/>
      </c>
      <c r="BH49" s="24" t="str">
        <f t="shared" si="748"/>
        <v/>
      </c>
      <c r="BI49" s="23" t="str">
        <f>_xlfn.XLOOKUP($B49,GCES!$B:$B,GCES!$I:$I,"",0,1)</f>
        <v/>
      </c>
      <c r="BJ49" s="28" t="str">
        <f t="shared" si="749"/>
        <v/>
      </c>
      <c r="BK49" s="24" t="str">
        <f t="shared" si="750"/>
        <v/>
      </c>
      <c r="BL49" s="23" t="str">
        <f>_xlfn.XLOOKUP($B49,GCES!$B:$B,GCES!$AN:$AN,"",0,1)</f>
        <v/>
      </c>
      <c r="BM49" s="28" t="str">
        <f t="shared" si="751"/>
        <v/>
      </c>
      <c r="BN49" s="24" t="str">
        <f t="shared" si="752"/>
        <v/>
      </c>
      <c r="BO49" s="23" t="str">
        <f>_xlfn.XLOOKUP($B49,GCES!$B:$B,GCES!$AM:$AM,"",0,1)</f>
        <v/>
      </c>
      <c r="BP49" s="28" t="str">
        <f t="shared" si="753"/>
        <v/>
      </c>
      <c r="BQ49" s="24" t="str">
        <f t="shared" si="754"/>
        <v/>
      </c>
      <c r="BR49" s="23">
        <f>_xlfn.XLOOKUP($B49,GCES!$B:$B,GCES!$Z:$Z,"",0,1)</f>
        <v>4</v>
      </c>
      <c r="BS49" s="28">
        <f t="shared" si="755"/>
        <v>1.1200000000000001</v>
      </c>
      <c r="BT49" s="24" t="str">
        <f t="shared" si="756"/>
        <v/>
      </c>
      <c r="BU49" s="23" t="str">
        <f>_xlfn.XLOOKUP($B49,GCES!$B:$B,GCES!$Y:$Y,"",0,1)</f>
        <v/>
      </c>
      <c r="BV49" s="28" t="str">
        <f t="shared" si="757"/>
        <v/>
      </c>
      <c r="BW49" s="24" t="str">
        <f t="shared" si="758"/>
        <v/>
      </c>
      <c r="BX49" s="23" t="str">
        <f>_xlfn.XLOOKUP($B49,GCES!$B:$B,GCES!$AC:$AC,"",0,1)</f>
        <v/>
      </c>
      <c r="BY49" s="28" t="str">
        <f t="shared" si="759"/>
        <v/>
      </c>
      <c r="BZ49" s="24" t="str">
        <f t="shared" si="760"/>
        <v/>
      </c>
      <c r="CA49" s="23" t="str">
        <f>_xlfn.XLOOKUP($B49,GCES!$B:$B,GCES!$AB:$AB,"",0,1)</f>
        <v/>
      </c>
      <c r="CB49" s="28" t="str">
        <f t="shared" si="761"/>
        <v/>
      </c>
      <c r="CC49" s="24" t="str">
        <f t="shared" si="762"/>
        <v/>
      </c>
      <c r="CD49" s="23" t="str">
        <f>_xlfn.XLOOKUP($B49,GCES!$B:$B,GCES!$AS:$AS,"",0,1)</f>
        <v/>
      </c>
      <c r="CE49" s="28" t="str">
        <f t="shared" si="763"/>
        <v/>
      </c>
      <c r="CF49" s="24" t="str">
        <f t="shared" si="764"/>
        <v/>
      </c>
      <c r="CG49" s="23" t="str">
        <f>_xlfn.XLOOKUP($B49,GCES!$B:$B,GCES!$AR:$AR,"",0,1)</f>
        <v/>
      </c>
      <c r="CH49" s="28" t="str">
        <f t="shared" si="765"/>
        <v/>
      </c>
      <c r="CI49" s="26" t="str">
        <f t="shared" si="766"/>
        <v/>
      </c>
      <c r="CJ49" s="23" t="str">
        <f>_xlfn.XLOOKUP($B49,GCES!$B:$B,GCES!$N:$N,"",0,1)</f>
        <v/>
      </c>
      <c r="CK49" s="28" t="str">
        <f t="shared" si="767"/>
        <v/>
      </c>
      <c r="CL49" s="24" t="str">
        <f t="shared" ref="CL49:CL51" si="778">IF(CJ49="","",IF(CK49&gt;4,ROUND(CK49/2,0)*2,IF(CK49&gt;CK$59,4,"")))</f>
        <v/>
      </c>
      <c r="CM49" s="23" t="str">
        <f>_xlfn.XLOOKUP($B49,GCES!$B:$B,GCES!$M:$M,"",0,1)</f>
        <v/>
      </c>
      <c r="CN49" s="28" t="str">
        <f t="shared" si="768"/>
        <v/>
      </c>
      <c r="CO49" s="24" t="str">
        <f t="shared" si="769"/>
        <v/>
      </c>
      <c r="CP49" s="90" t="str">
        <f>_xlfn.XLOOKUP($B49,GCES!$B:$B,GCES!$AD:$AD,"",0,1)</f>
        <v/>
      </c>
      <c r="CQ49" s="28" t="str">
        <f t="shared" si="770"/>
        <v/>
      </c>
      <c r="CR49" s="26" t="str">
        <f t="shared" si="771"/>
        <v/>
      </c>
      <c r="CS49" s="23" t="str">
        <f>_xlfn.XLOOKUP($B49,GCES!$B:$B,GCES!$AJ:$AJ,"",0,1)</f>
        <v/>
      </c>
      <c r="CT49" s="28" t="str">
        <f t="shared" si="772"/>
        <v/>
      </c>
      <c r="CU49" s="24" t="str">
        <f t="shared" si="773"/>
        <v/>
      </c>
      <c r="CV49" s="23" t="str">
        <f>_xlfn.XLOOKUP($B49,GCES!$B:$B,GCES!$AI:$AI,"",0,1)</f>
        <v/>
      </c>
      <c r="CW49" s="28" t="str">
        <f t="shared" si="774"/>
        <v/>
      </c>
      <c r="CX49" s="24" t="str">
        <f t="shared" si="775"/>
        <v/>
      </c>
      <c r="CY49" s="100">
        <f t="shared" si="776"/>
        <v>4</v>
      </c>
      <c r="CZ49" s="95">
        <f t="shared" si="777"/>
        <v>8</v>
      </c>
    </row>
    <row r="50" spans="1:104" x14ac:dyDescent="0.25">
      <c r="A50" s="27" t="s">
        <v>122</v>
      </c>
      <c r="B50" s="88" t="s">
        <v>252</v>
      </c>
      <c r="C50" s="23" t="str">
        <f>_xlfn.XLOOKUP($B50,GCES!$B:$B,GCES!$C:$C,"",0,1)</f>
        <v/>
      </c>
      <c r="D50" s="28" t="str">
        <f t="shared" si="711"/>
        <v/>
      </c>
      <c r="E50" s="26" t="str">
        <f t="shared" si="712"/>
        <v/>
      </c>
      <c r="F50" s="23" t="str">
        <f>_xlfn.XLOOKUP($B50,GCES!$B:$B,GCES!$E:$E,"",0,1)</f>
        <v/>
      </c>
      <c r="G50" s="28" t="str">
        <f t="shared" si="713"/>
        <v/>
      </c>
      <c r="H50" s="24" t="str">
        <f t="shared" si="714"/>
        <v/>
      </c>
      <c r="I50" s="23" t="str">
        <f>_xlfn.XLOOKUP($B50,GCES!$B:$B,GCES!$D:$D,"",0,1)</f>
        <v/>
      </c>
      <c r="J50" s="28" t="str">
        <f t="shared" si="715"/>
        <v/>
      </c>
      <c r="K50" s="24" t="str">
        <f t="shared" si="716"/>
        <v/>
      </c>
      <c r="L50" s="23" t="str">
        <f>_xlfn.XLOOKUP($B50,GCES!$B:$B,GCES!$H:$H,"",0,1)</f>
        <v/>
      </c>
      <c r="M50" s="28" t="str">
        <f t="shared" si="717"/>
        <v/>
      </c>
      <c r="N50" s="24" t="str">
        <f t="shared" si="718"/>
        <v/>
      </c>
      <c r="O50" s="23" t="str">
        <f>_xlfn.XLOOKUP($B50,GCES!$B:$B,GCES!$G:$G,"",0,1)</f>
        <v/>
      </c>
      <c r="P50" s="28" t="str">
        <f t="shared" si="719"/>
        <v/>
      </c>
      <c r="Q50" s="24" t="str">
        <f t="shared" si="720"/>
        <v/>
      </c>
      <c r="R50" s="23" t="str">
        <f>_xlfn.XLOOKUP($B50,GCES!$B:$B,GCES!$L:$L,"",0,1)</f>
        <v/>
      </c>
      <c r="S50" s="28" t="str">
        <f t="shared" si="721"/>
        <v/>
      </c>
      <c r="T50" s="24" t="str">
        <f t="shared" si="722"/>
        <v/>
      </c>
      <c r="U50" s="23" t="str">
        <f>_xlfn.XLOOKUP($B50,GCES!$B:$B,GCES!$K:$K,"",0,1)</f>
        <v/>
      </c>
      <c r="V50" s="28" t="str">
        <f t="shared" si="723"/>
        <v/>
      </c>
      <c r="W50" s="24" t="str">
        <f t="shared" si="724"/>
        <v/>
      </c>
      <c r="X50" s="23" t="str">
        <f>_xlfn.XLOOKUP($B50,GCES!$B:$B,GCES!$S:$S,"",0,1)</f>
        <v/>
      </c>
      <c r="Y50" s="28" t="str">
        <f t="shared" si="725"/>
        <v/>
      </c>
      <c r="Z50" s="24" t="str">
        <f t="shared" si="726"/>
        <v/>
      </c>
      <c r="AA50" s="23" t="str">
        <f>_xlfn.XLOOKUP($B50,GCES!$B:$B,GCES!$R:$R,"",0,1)</f>
        <v/>
      </c>
      <c r="AB50" s="28" t="str">
        <f t="shared" si="727"/>
        <v/>
      </c>
      <c r="AC50" s="24" t="str">
        <f t="shared" si="728"/>
        <v/>
      </c>
      <c r="AD50" s="23" t="str">
        <f>_xlfn.XLOOKUP($B50,GCES!$B:$B,GCES!$AL:$AL,"",0,1)</f>
        <v/>
      </c>
      <c r="AE50" s="28" t="str">
        <f t="shared" si="729"/>
        <v/>
      </c>
      <c r="AF50" s="24" t="str">
        <f t="shared" si="730"/>
        <v/>
      </c>
      <c r="AG50" s="23" t="str">
        <f>_xlfn.XLOOKUP($B50,GCES!$B:$B,GCES!$AK:$AK,"",0,1)</f>
        <v/>
      </c>
      <c r="AH50" s="28" t="str">
        <f t="shared" si="731"/>
        <v/>
      </c>
      <c r="AI50" s="24" t="str">
        <f t="shared" si="732"/>
        <v/>
      </c>
      <c r="AJ50" s="23" t="str">
        <f>_xlfn.XLOOKUP($B50,GCES!$B:$B,GCES!$AQ:$AQ,"",0,1)</f>
        <v/>
      </c>
      <c r="AK50" s="28" t="str">
        <f t="shared" si="733"/>
        <v/>
      </c>
      <c r="AL50" s="24" t="str">
        <f t="shared" si="734"/>
        <v/>
      </c>
      <c r="AM50" s="23" t="str">
        <f>_xlfn.XLOOKUP($B50,GCES!$B:$B,GCES!$AP:$AP,"",0,1)</f>
        <v/>
      </c>
      <c r="AN50" s="28" t="str">
        <f t="shared" si="735"/>
        <v/>
      </c>
      <c r="AO50" s="24" t="str">
        <f t="shared" si="736"/>
        <v/>
      </c>
      <c r="AP50" s="23" t="str">
        <f>_xlfn.XLOOKUP($B50,GCES!$B:$B,GCES!$V:$V,"",0,1)</f>
        <v/>
      </c>
      <c r="AQ50" s="28" t="str">
        <f t="shared" si="737"/>
        <v/>
      </c>
      <c r="AR50" s="24" t="str">
        <f t="shared" si="738"/>
        <v/>
      </c>
      <c r="AS50" s="23" t="str">
        <f>_xlfn.XLOOKUP($B50,GCES!$B:$B,GCES!$AH:$AH,"",0,1)</f>
        <v/>
      </c>
      <c r="AT50" s="28" t="str">
        <f t="shared" si="739"/>
        <v/>
      </c>
      <c r="AU50" s="24" t="str">
        <f t="shared" si="740"/>
        <v/>
      </c>
      <c r="AV50" s="23" t="str">
        <f>_xlfn.XLOOKUP($B50,GCES!$B:$B,GCES!$AG:$AG,"",0,1)</f>
        <v/>
      </c>
      <c r="AW50" s="28" t="str">
        <f t="shared" si="741"/>
        <v/>
      </c>
      <c r="AX50" s="24" t="str">
        <f t="shared" si="742"/>
        <v/>
      </c>
      <c r="AY50" s="90" t="str">
        <f>_xlfn.XLOOKUP($B50,GCES!$B:$B,GCES!$AO:$AO,"",0,1)</f>
        <v/>
      </c>
      <c r="AZ50" s="28" t="str">
        <f t="shared" si="743"/>
        <v/>
      </c>
      <c r="BA50" s="24" t="str">
        <f t="shared" si="744"/>
        <v/>
      </c>
      <c r="BB50" s="97">
        <f t="shared" si="90"/>
        <v>0</v>
      </c>
      <c r="BC50" s="23" t="str">
        <f>_xlfn.XLOOKUP($B50,GCES!$B:$B,GCES!$F:$F,"",0,1)</f>
        <v/>
      </c>
      <c r="BD50" s="28" t="str">
        <f t="shared" si="745"/>
        <v/>
      </c>
      <c r="BE50" s="26" t="str">
        <f t="shared" si="746"/>
        <v/>
      </c>
      <c r="BF50" s="23" t="str">
        <f>_xlfn.XLOOKUP($B50,GCES!$B:$B,GCES!$J:$J,"",0,1)</f>
        <v/>
      </c>
      <c r="BG50" s="28" t="str">
        <f t="shared" si="747"/>
        <v/>
      </c>
      <c r="BH50" s="24" t="str">
        <f t="shared" si="748"/>
        <v/>
      </c>
      <c r="BI50" s="23" t="str">
        <f>_xlfn.XLOOKUP($B50,GCES!$B:$B,GCES!$I:$I,"",0,1)</f>
        <v/>
      </c>
      <c r="BJ50" s="28" t="str">
        <f t="shared" si="749"/>
        <v/>
      </c>
      <c r="BK50" s="24" t="str">
        <f t="shared" si="750"/>
        <v/>
      </c>
      <c r="BL50" s="23" t="str">
        <f>_xlfn.XLOOKUP($B50,GCES!$B:$B,GCES!$AN:$AN,"",0,1)</f>
        <v/>
      </c>
      <c r="BM50" s="28" t="str">
        <f t="shared" si="751"/>
        <v/>
      </c>
      <c r="BN50" s="24" t="str">
        <f t="shared" si="752"/>
        <v/>
      </c>
      <c r="BO50" s="23" t="str">
        <f>_xlfn.XLOOKUP($B50,GCES!$B:$B,GCES!$AM:$AM,"",0,1)</f>
        <v/>
      </c>
      <c r="BP50" s="28" t="str">
        <f t="shared" si="753"/>
        <v/>
      </c>
      <c r="BQ50" s="24" t="str">
        <f t="shared" si="754"/>
        <v/>
      </c>
      <c r="BR50" s="23" t="str">
        <f>_xlfn.XLOOKUP($B50,GCES!$B:$B,GCES!$Z:$Z,"",0,1)</f>
        <v/>
      </c>
      <c r="BS50" s="28" t="str">
        <f t="shared" si="755"/>
        <v/>
      </c>
      <c r="BT50" s="24" t="str">
        <f t="shared" si="756"/>
        <v/>
      </c>
      <c r="BU50" s="23" t="str">
        <f>_xlfn.XLOOKUP($B50,GCES!$B:$B,GCES!$Y:$Y,"",0,1)</f>
        <v/>
      </c>
      <c r="BV50" s="28" t="str">
        <f t="shared" si="757"/>
        <v/>
      </c>
      <c r="BW50" s="24" t="str">
        <f t="shared" si="758"/>
        <v/>
      </c>
      <c r="BX50" s="23" t="str">
        <f>_xlfn.XLOOKUP($B50,GCES!$B:$B,GCES!$AC:$AC,"",0,1)</f>
        <v/>
      </c>
      <c r="BY50" s="28" t="str">
        <f t="shared" si="759"/>
        <v/>
      </c>
      <c r="BZ50" s="24" t="str">
        <f t="shared" si="760"/>
        <v/>
      </c>
      <c r="CA50" s="23" t="str">
        <f>_xlfn.XLOOKUP($B50,GCES!$B:$B,GCES!$AB:$AB,"",0,1)</f>
        <v/>
      </c>
      <c r="CB50" s="28" t="str">
        <f t="shared" si="761"/>
        <v/>
      </c>
      <c r="CC50" s="24" t="str">
        <f t="shared" si="762"/>
        <v/>
      </c>
      <c r="CD50" s="23" t="str">
        <f>_xlfn.XLOOKUP($B50,GCES!$B:$B,GCES!$AS:$AS,"",0,1)</f>
        <v/>
      </c>
      <c r="CE50" s="28" t="str">
        <f t="shared" si="763"/>
        <v/>
      </c>
      <c r="CF50" s="24" t="str">
        <f t="shared" si="764"/>
        <v/>
      </c>
      <c r="CG50" s="23" t="str">
        <f>_xlfn.XLOOKUP($B50,GCES!$B:$B,GCES!$AR:$AR,"",0,1)</f>
        <v/>
      </c>
      <c r="CH50" s="28" t="str">
        <f t="shared" si="765"/>
        <v/>
      </c>
      <c r="CI50" s="26" t="str">
        <f t="shared" si="766"/>
        <v/>
      </c>
      <c r="CJ50" s="23" t="str">
        <f>_xlfn.XLOOKUP($B50,GCES!$B:$B,GCES!$N:$N,"",0,1)</f>
        <v/>
      </c>
      <c r="CK50" s="28" t="str">
        <f t="shared" si="767"/>
        <v/>
      </c>
      <c r="CL50" s="24" t="str">
        <f t="shared" si="778"/>
        <v/>
      </c>
      <c r="CM50" s="23" t="str">
        <f>_xlfn.XLOOKUP($B50,GCES!$B:$B,GCES!$M:$M,"",0,1)</f>
        <v/>
      </c>
      <c r="CN50" s="28" t="str">
        <f t="shared" si="768"/>
        <v/>
      </c>
      <c r="CO50" s="24" t="str">
        <f t="shared" si="769"/>
        <v/>
      </c>
      <c r="CP50" s="90" t="str">
        <f>_xlfn.XLOOKUP($B50,GCES!$B:$B,GCES!$AD:$AD,"",0,1)</f>
        <v/>
      </c>
      <c r="CQ50" s="28" t="str">
        <f t="shared" si="770"/>
        <v/>
      </c>
      <c r="CR50" s="26" t="str">
        <f t="shared" si="771"/>
        <v/>
      </c>
      <c r="CS50" s="23" t="str">
        <f>_xlfn.XLOOKUP($B50,GCES!$B:$B,GCES!$AJ:$AJ,"",0,1)</f>
        <v/>
      </c>
      <c r="CT50" s="28" t="str">
        <f t="shared" si="772"/>
        <v/>
      </c>
      <c r="CU50" s="24" t="str">
        <f t="shared" si="773"/>
        <v/>
      </c>
      <c r="CV50" s="23" t="str">
        <f>_xlfn.XLOOKUP($B50,GCES!$B:$B,GCES!$AI:$AI,"",0,1)</f>
        <v/>
      </c>
      <c r="CW50" s="28" t="str">
        <f t="shared" si="774"/>
        <v/>
      </c>
      <c r="CX50" s="24" t="str">
        <f t="shared" si="775"/>
        <v/>
      </c>
      <c r="CY50" s="100">
        <f t="shared" si="776"/>
        <v>0</v>
      </c>
      <c r="CZ50" s="95">
        <f t="shared" si="777"/>
        <v>0</v>
      </c>
    </row>
    <row r="51" spans="1:104" x14ac:dyDescent="0.25">
      <c r="A51" s="27" t="s">
        <v>121</v>
      </c>
      <c r="B51" s="88" t="s">
        <v>144</v>
      </c>
      <c r="C51" s="23">
        <f>_xlfn.XLOOKUP($B51,GCES!$B:$B,GCES!$C:$C,"",0,1)</f>
        <v>16</v>
      </c>
      <c r="D51" s="28">
        <f t="shared" si="711"/>
        <v>3.506849315068493</v>
      </c>
      <c r="E51" s="26">
        <f t="shared" si="712"/>
        <v>4</v>
      </c>
      <c r="F51" s="23" t="str">
        <f>_xlfn.XLOOKUP($B51,GCES!$B:$B,GCES!$E:$E,"",0,1)</f>
        <v/>
      </c>
      <c r="G51" s="28" t="str">
        <f t="shared" si="713"/>
        <v/>
      </c>
      <c r="H51" s="24" t="str">
        <f t="shared" si="714"/>
        <v/>
      </c>
      <c r="I51" s="23">
        <f>_xlfn.XLOOKUP($B51,GCES!$B:$B,GCES!$D:$D,"",0,1)</f>
        <v>28</v>
      </c>
      <c r="J51" s="28">
        <f t="shared" si="715"/>
        <v>2.6451612903225805</v>
      </c>
      <c r="K51" s="24">
        <f t="shared" si="716"/>
        <v>4</v>
      </c>
      <c r="L51" s="23" t="str">
        <f>_xlfn.XLOOKUP($B51,GCES!$B:$B,GCES!$H:$H,"",0,1)</f>
        <v/>
      </c>
      <c r="M51" s="28" t="str">
        <f t="shared" si="717"/>
        <v/>
      </c>
      <c r="N51" s="24" t="str">
        <f t="shared" si="718"/>
        <v/>
      </c>
      <c r="O51" s="23" t="str">
        <f>_xlfn.XLOOKUP($B51,GCES!$B:$B,GCES!$G:$G,"",0,1)</f>
        <v/>
      </c>
      <c r="P51" s="28" t="str">
        <f t="shared" si="719"/>
        <v/>
      </c>
      <c r="Q51" s="24" t="str">
        <f t="shared" si="720"/>
        <v/>
      </c>
      <c r="R51" s="23" t="str">
        <f>_xlfn.XLOOKUP($B51,GCES!$B:$B,GCES!$L:$L,"",0,1)</f>
        <v/>
      </c>
      <c r="S51" s="28" t="str">
        <f t="shared" si="721"/>
        <v/>
      </c>
      <c r="T51" s="24" t="str">
        <f t="shared" si="722"/>
        <v/>
      </c>
      <c r="U51" s="23" t="str">
        <f>_xlfn.XLOOKUP($B51,GCES!$B:$B,GCES!$K:$K,"",0,1)</f>
        <v/>
      </c>
      <c r="V51" s="28" t="str">
        <f t="shared" si="723"/>
        <v/>
      </c>
      <c r="W51" s="24" t="str">
        <f t="shared" si="724"/>
        <v/>
      </c>
      <c r="X51" s="23" t="str">
        <f>_xlfn.XLOOKUP($B51,GCES!$B:$B,GCES!$S:$S,"",0,1)</f>
        <v/>
      </c>
      <c r="Y51" s="28" t="str">
        <f t="shared" si="725"/>
        <v/>
      </c>
      <c r="Z51" s="24" t="str">
        <f t="shared" si="726"/>
        <v/>
      </c>
      <c r="AA51" s="23" t="str">
        <f>_xlfn.XLOOKUP($B51,GCES!$B:$B,GCES!$R:$R,"",0,1)</f>
        <v/>
      </c>
      <c r="AB51" s="28" t="str">
        <f t="shared" si="727"/>
        <v/>
      </c>
      <c r="AC51" s="24" t="str">
        <f t="shared" si="728"/>
        <v/>
      </c>
      <c r="AD51" s="23" t="str">
        <f>_xlfn.XLOOKUP($B51,GCES!$B:$B,GCES!$AL:$AL,"",0,1)</f>
        <v/>
      </c>
      <c r="AE51" s="28" t="str">
        <f t="shared" si="729"/>
        <v/>
      </c>
      <c r="AF51" s="24" t="str">
        <f t="shared" si="730"/>
        <v/>
      </c>
      <c r="AG51" s="23" t="str">
        <f>_xlfn.XLOOKUP($B51,GCES!$B:$B,GCES!$AK:$AK,"",0,1)</f>
        <v/>
      </c>
      <c r="AH51" s="28" t="str">
        <f t="shared" si="731"/>
        <v/>
      </c>
      <c r="AI51" s="24" t="str">
        <f t="shared" si="732"/>
        <v/>
      </c>
      <c r="AJ51" s="23">
        <f>_xlfn.XLOOKUP($B51,GCES!$B:$B,GCES!$AQ:$AQ,"",0,1)</f>
        <v>16</v>
      </c>
      <c r="AK51" s="28">
        <f t="shared" si="733"/>
        <v>4.9411764705882355</v>
      </c>
      <c r="AL51" s="38">
        <v>6</v>
      </c>
      <c r="AM51" s="23" t="str">
        <f>_xlfn.XLOOKUP($B51,GCES!$B:$B,GCES!$AP:$AP,"",0,1)</f>
        <v/>
      </c>
      <c r="AN51" s="28" t="str">
        <f t="shared" si="735"/>
        <v/>
      </c>
      <c r="AO51" s="24" t="str">
        <f t="shared" si="736"/>
        <v/>
      </c>
      <c r="AP51" s="23" t="str">
        <f>_xlfn.XLOOKUP($B51,GCES!$B:$B,GCES!$V:$V,"",0,1)</f>
        <v/>
      </c>
      <c r="AQ51" s="28" t="str">
        <f t="shared" si="737"/>
        <v/>
      </c>
      <c r="AR51" s="24" t="str">
        <f t="shared" si="738"/>
        <v/>
      </c>
      <c r="AS51" s="23" t="str">
        <f>_xlfn.XLOOKUP($B51,GCES!$B:$B,GCES!$AH:$AH,"",0,1)</f>
        <v/>
      </c>
      <c r="AT51" s="28" t="str">
        <f t="shared" si="739"/>
        <v/>
      </c>
      <c r="AU51" s="24" t="str">
        <f t="shared" si="740"/>
        <v/>
      </c>
      <c r="AV51" s="23" t="str">
        <f>_xlfn.XLOOKUP($B51,GCES!$B:$B,GCES!$AG:$AG,"",0,1)</f>
        <v/>
      </c>
      <c r="AW51" s="28" t="str">
        <f t="shared" si="741"/>
        <v/>
      </c>
      <c r="AX51" s="24" t="str">
        <f t="shared" si="742"/>
        <v/>
      </c>
      <c r="AY51" s="90">
        <f>_xlfn.XLOOKUP($B51,GCES!$B:$B,GCES!$AO:$AO,"",0,1)</f>
        <v>16</v>
      </c>
      <c r="AZ51" s="28">
        <f t="shared" si="743"/>
        <v>2.9333333333333331</v>
      </c>
      <c r="BA51" s="24">
        <f t="shared" si="744"/>
        <v>4</v>
      </c>
      <c r="BB51" s="97">
        <f t="shared" si="90"/>
        <v>18</v>
      </c>
      <c r="BC51" s="23">
        <f>_xlfn.XLOOKUP($B51,GCES!$B:$B,GCES!$F:$F,"",0,1)</f>
        <v>8</v>
      </c>
      <c r="BD51" s="28">
        <f t="shared" si="745"/>
        <v>2.0666666666666669</v>
      </c>
      <c r="BE51" s="26" t="str">
        <f t="shared" si="746"/>
        <v/>
      </c>
      <c r="BF51" s="23" t="str">
        <f>_xlfn.XLOOKUP($B51,GCES!$B:$B,GCES!$J:$J,"",0,1)</f>
        <v/>
      </c>
      <c r="BG51" s="28" t="str">
        <f t="shared" si="747"/>
        <v/>
      </c>
      <c r="BH51" s="24" t="str">
        <f t="shared" si="748"/>
        <v/>
      </c>
      <c r="BI51" s="23" t="str">
        <f>_xlfn.XLOOKUP($B51,GCES!$B:$B,GCES!$I:$I,"",0,1)</f>
        <v/>
      </c>
      <c r="BJ51" s="28" t="str">
        <f t="shared" si="749"/>
        <v/>
      </c>
      <c r="BK51" s="24" t="str">
        <f t="shared" si="750"/>
        <v/>
      </c>
      <c r="BL51" s="23" t="str">
        <f>_xlfn.XLOOKUP($B51,GCES!$B:$B,GCES!$AN:$AN,"",0,1)</f>
        <v/>
      </c>
      <c r="BM51" s="28" t="str">
        <f t="shared" si="751"/>
        <v/>
      </c>
      <c r="BN51" s="24" t="str">
        <f t="shared" si="752"/>
        <v/>
      </c>
      <c r="BO51" s="23" t="str">
        <f>_xlfn.XLOOKUP($B51,GCES!$B:$B,GCES!$AM:$AM,"",0,1)</f>
        <v/>
      </c>
      <c r="BP51" s="28" t="str">
        <f t="shared" si="753"/>
        <v/>
      </c>
      <c r="BQ51" s="24" t="str">
        <f t="shared" si="754"/>
        <v/>
      </c>
      <c r="BR51" s="23">
        <f>_xlfn.XLOOKUP($B51,GCES!$B:$B,GCES!$Z:$Z,"",0,1)</f>
        <v>16</v>
      </c>
      <c r="BS51" s="28">
        <f t="shared" si="755"/>
        <v>4.4800000000000004</v>
      </c>
      <c r="BT51" s="24">
        <f t="shared" si="756"/>
        <v>4</v>
      </c>
      <c r="BU51" s="23" t="str">
        <f>_xlfn.XLOOKUP($B51,GCES!$B:$B,GCES!$Y:$Y,"",0,1)</f>
        <v/>
      </c>
      <c r="BV51" s="28" t="str">
        <f t="shared" si="757"/>
        <v/>
      </c>
      <c r="BW51" s="24" t="str">
        <f t="shared" si="758"/>
        <v/>
      </c>
      <c r="BX51" s="23">
        <f>_xlfn.XLOOKUP($B51,GCES!$B:$B,GCES!$AC:$AC,"",0,1)</f>
        <v>16</v>
      </c>
      <c r="BY51" s="28">
        <f t="shared" si="759"/>
        <v>5.032258064516129</v>
      </c>
      <c r="BZ51" s="24">
        <f t="shared" si="760"/>
        <v>6</v>
      </c>
      <c r="CA51" s="23" t="str">
        <f>_xlfn.XLOOKUP($B51,GCES!$B:$B,GCES!$AB:$AB,"",0,1)</f>
        <v/>
      </c>
      <c r="CB51" s="28" t="str">
        <f t="shared" si="761"/>
        <v/>
      </c>
      <c r="CC51" s="24" t="str">
        <f t="shared" si="762"/>
        <v/>
      </c>
      <c r="CD51" s="23" t="str">
        <f>_xlfn.XLOOKUP($B51,GCES!$B:$B,GCES!$AS:$AS,"",0,1)</f>
        <v/>
      </c>
      <c r="CE51" s="28" t="str">
        <f t="shared" si="763"/>
        <v/>
      </c>
      <c r="CF51" s="24" t="str">
        <f t="shared" si="764"/>
        <v/>
      </c>
      <c r="CG51" s="23" t="str">
        <f>_xlfn.XLOOKUP($B51,GCES!$B:$B,GCES!$AR:$AR,"",0,1)</f>
        <v/>
      </c>
      <c r="CH51" s="28" t="str">
        <f t="shared" si="765"/>
        <v/>
      </c>
      <c r="CI51" s="26" t="str">
        <f t="shared" si="766"/>
        <v/>
      </c>
      <c r="CJ51" s="23" t="str">
        <f>_xlfn.XLOOKUP($B51,GCES!$B:$B,GCES!$N:$N,"",0,1)</f>
        <v/>
      </c>
      <c r="CK51" s="28" t="str">
        <f t="shared" si="767"/>
        <v/>
      </c>
      <c r="CL51" s="24" t="str">
        <f t="shared" si="778"/>
        <v/>
      </c>
      <c r="CM51" s="23" t="str">
        <f>_xlfn.XLOOKUP($B51,GCES!$B:$B,GCES!$M:$M,"",0,1)</f>
        <v/>
      </c>
      <c r="CN51" s="28" t="str">
        <f t="shared" si="768"/>
        <v/>
      </c>
      <c r="CO51" s="24" t="str">
        <f t="shared" si="769"/>
        <v/>
      </c>
      <c r="CP51" s="90" t="str">
        <f>_xlfn.XLOOKUP($B51,GCES!$B:$B,GCES!$AD:$AD,"",0,1)</f>
        <v/>
      </c>
      <c r="CQ51" s="28" t="str">
        <f t="shared" si="770"/>
        <v/>
      </c>
      <c r="CR51" s="26" t="str">
        <f t="shared" si="771"/>
        <v/>
      </c>
      <c r="CS51" s="23">
        <f>_xlfn.XLOOKUP($B51,GCES!$B:$B,GCES!$AJ:$AJ,"",0,1)</f>
        <v>16</v>
      </c>
      <c r="CT51" s="28">
        <f t="shared" si="772"/>
        <v>4</v>
      </c>
      <c r="CU51" s="24">
        <f t="shared" si="773"/>
        <v>4</v>
      </c>
      <c r="CV51" s="23" t="str">
        <f>_xlfn.XLOOKUP($B51,GCES!$B:$B,GCES!$AI:$AI,"",0,1)</f>
        <v/>
      </c>
      <c r="CW51" s="28" t="str">
        <f t="shared" si="774"/>
        <v/>
      </c>
      <c r="CX51" s="24" t="str">
        <f t="shared" si="775"/>
        <v/>
      </c>
      <c r="CY51" s="100">
        <f t="shared" si="776"/>
        <v>14</v>
      </c>
      <c r="CZ51" s="95">
        <f t="shared" si="777"/>
        <v>32</v>
      </c>
    </row>
    <row r="52" spans="1:104" s="5" customFormat="1" ht="14.4" customHeight="1" x14ac:dyDescent="0.25">
      <c r="A52" s="129" t="s">
        <v>137</v>
      </c>
      <c r="B52" s="130"/>
      <c r="C52" s="71">
        <f>SUM(C48:C51)</f>
        <v>20</v>
      </c>
      <c r="D52" s="72">
        <f t="shared" ref="D52" si="779">SUM(D48:D51)</f>
        <v>4.3835616438356162</v>
      </c>
      <c r="E52" s="73">
        <f t="shared" ref="E52" si="780">SUM(E48:E51)</f>
        <v>4</v>
      </c>
      <c r="F52" s="71">
        <f t="shared" ref="F52:H52" si="781">SUM(F48:F51)</f>
        <v>0</v>
      </c>
      <c r="G52" s="72">
        <f t="shared" si="781"/>
        <v>0</v>
      </c>
      <c r="H52" s="74">
        <f t="shared" si="781"/>
        <v>0</v>
      </c>
      <c r="I52" s="71">
        <f t="shared" ref="I52:K52" si="782">SUM(I48:I51)</f>
        <v>80</v>
      </c>
      <c r="J52" s="72">
        <f t="shared" si="782"/>
        <v>7.5576036866359448</v>
      </c>
      <c r="K52" s="74">
        <f t="shared" si="782"/>
        <v>8</v>
      </c>
      <c r="L52" s="71">
        <f t="shared" ref="L52:M52" si="783">SUM(L48:L51)</f>
        <v>0</v>
      </c>
      <c r="M52" s="72">
        <f t="shared" si="783"/>
        <v>0</v>
      </c>
      <c r="N52" s="74">
        <f t="shared" ref="N52" si="784">SUM(N48:N51)</f>
        <v>0</v>
      </c>
      <c r="O52" s="71">
        <f t="shared" ref="O52:Q52" si="785">SUM(O48:O51)</f>
        <v>0</v>
      </c>
      <c r="P52" s="72">
        <f t="shared" si="785"/>
        <v>0</v>
      </c>
      <c r="Q52" s="74">
        <f t="shared" si="785"/>
        <v>0</v>
      </c>
      <c r="R52" s="71">
        <f t="shared" ref="R52:T52" si="786">SUM(R48:R51)</f>
        <v>0</v>
      </c>
      <c r="S52" s="72">
        <f t="shared" si="786"/>
        <v>0</v>
      </c>
      <c r="T52" s="74">
        <f t="shared" si="786"/>
        <v>0</v>
      </c>
      <c r="U52" s="71">
        <f t="shared" ref="U52:W52" si="787">SUM(U48:U51)</f>
        <v>0</v>
      </c>
      <c r="V52" s="72">
        <f t="shared" si="787"/>
        <v>0</v>
      </c>
      <c r="W52" s="74">
        <f t="shared" si="787"/>
        <v>0</v>
      </c>
      <c r="X52" s="71">
        <f t="shared" ref="X52:Z52" si="788">SUM(X48:X51)</f>
        <v>0</v>
      </c>
      <c r="Y52" s="72">
        <f t="shared" si="788"/>
        <v>0</v>
      </c>
      <c r="Z52" s="74">
        <f t="shared" si="788"/>
        <v>0</v>
      </c>
      <c r="AA52" s="71">
        <f t="shared" ref="AA52:AC52" si="789">SUM(AA48:AA51)</f>
        <v>0</v>
      </c>
      <c r="AB52" s="72">
        <f t="shared" si="789"/>
        <v>0</v>
      </c>
      <c r="AC52" s="74">
        <f t="shared" si="789"/>
        <v>0</v>
      </c>
      <c r="AD52" s="71">
        <f t="shared" ref="AD52:AF52" si="790">SUM(AD48:AD51)</f>
        <v>0</v>
      </c>
      <c r="AE52" s="72">
        <f t="shared" si="790"/>
        <v>0</v>
      </c>
      <c r="AF52" s="74">
        <f t="shared" si="790"/>
        <v>0</v>
      </c>
      <c r="AG52" s="71">
        <f t="shared" ref="AG52:AI52" si="791">SUM(AG48:AG51)</f>
        <v>0</v>
      </c>
      <c r="AH52" s="72">
        <f t="shared" si="791"/>
        <v>0</v>
      </c>
      <c r="AI52" s="74">
        <f t="shared" si="791"/>
        <v>0</v>
      </c>
      <c r="AJ52" s="71">
        <f t="shared" ref="AJ52:AL52" si="792">SUM(AJ48:AJ51)</f>
        <v>16</v>
      </c>
      <c r="AK52" s="72">
        <f t="shared" si="792"/>
        <v>4.9411764705882355</v>
      </c>
      <c r="AL52" s="74">
        <f t="shared" si="792"/>
        <v>6</v>
      </c>
      <c r="AM52" s="71">
        <f t="shared" ref="AM52:AO52" si="793">SUM(AM48:AM51)</f>
        <v>0</v>
      </c>
      <c r="AN52" s="72">
        <f t="shared" si="793"/>
        <v>0</v>
      </c>
      <c r="AO52" s="74">
        <f t="shared" si="793"/>
        <v>0</v>
      </c>
      <c r="AP52" s="71">
        <f t="shared" ref="AP52:AR52" si="794">SUM(AP48:AP51)</f>
        <v>0</v>
      </c>
      <c r="AQ52" s="72">
        <f t="shared" si="794"/>
        <v>0</v>
      </c>
      <c r="AR52" s="74">
        <f t="shared" si="794"/>
        <v>0</v>
      </c>
      <c r="AS52" s="71">
        <f t="shared" ref="AS52:AU52" si="795">SUM(AS48:AS51)</f>
        <v>0</v>
      </c>
      <c r="AT52" s="72">
        <f t="shared" si="795"/>
        <v>0</v>
      </c>
      <c r="AU52" s="74">
        <f t="shared" si="795"/>
        <v>0</v>
      </c>
      <c r="AV52" s="71">
        <f t="shared" ref="AV52:AX52" si="796">SUM(AV48:AV51)</f>
        <v>0</v>
      </c>
      <c r="AW52" s="72">
        <f t="shared" si="796"/>
        <v>0</v>
      </c>
      <c r="AX52" s="74">
        <f t="shared" si="796"/>
        <v>0</v>
      </c>
      <c r="AY52" s="91">
        <f t="shared" ref="AY52:BA52" si="797">SUM(AY48:AY51)</f>
        <v>16</v>
      </c>
      <c r="AZ52" s="72">
        <f t="shared" si="797"/>
        <v>2.9333333333333331</v>
      </c>
      <c r="BA52" s="74">
        <f t="shared" si="797"/>
        <v>4</v>
      </c>
      <c r="BB52" s="97">
        <f t="shared" si="90"/>
        <v>22</v>
      </c>
      <c r="BC52" s="71">
        <f t="shared" ref="BC52:CX52" si="798">SUM(BC48:BC51)</f>
        <v>32</v>
      </c>
      <c r="BD52" s="72">
        <f t="shared" si="798"/>
        <v>8.2666666666666675</v>
      </c>
      <c r="BE52" s="74">
        <f t="shared" si="798"/>
        <v>8</v>
      </c>
      <c r="BF52" s="71">
        <f t="shared" si="798"/>
        <v>32</v>
      </c>
      <c r="BG52" s="72">
        <f t="shared" si="798"/>
        <v>5.471502590673575</v>
      </c>
      <c r="BH52" s="74">
        <f t="shared" si="798"/>
        <v>6</v>
      </c>
      <c r="BI52" s="71">
        <f t="shared" si="798"/>
        <v>0</v>
      </c>
      <c r="BJ52" s="72">
        <f t="shared" si="798"/>
        <v>0</v>
      </c>
      <c r="BK52" s="74">
        <f t="shared" si="798"/>
        <v>0</v>
      </c>
      <c r="BL52" s="91">
        <f t="shared" si="798"/>
        <v>0</v>
      </c>
      <c r="BM52" s="72">
        <f t="shared" si="798"/>
        <v>0</v>
      </c>
      <c r="BN52" s="74">
        <f t="shared" si="798"/>
        <v>0</v>
      </c>
      <c r="BO52" s="71">
        <f t="shared" si="798"/>
        <v>0</v>
      </c>
      <c r="BP52" s="72">
        <f t="shared" si="798"/>
        <v>0</v>
      </c>
      <c r="BQ52" s="74">
        <f t="shared" si="798"/>
        <v>0</v>
      </c>
      <c r="BR52" s="71">
        <f t="shared" si="798"/>
        <v>48</v>
      </c>
      <c r="BS52" s="72">
        <f t="shared" si="798"/>
        <v>13.440000000000001</v>
      </c>
      <c r="BT52" s="74">
        <f t="shared" si="798"/>
        <v>12</v>
      </c>
      <c r="BU52" s="71">
        <f t="shared" si="798"/>
        <v>0</v>
      </c>
      <c r="BV52" s="72">
        <f t="shared" si="798"/>
        <v>0</v>
      </c>
      <c r="BW52" s="74">
        <f t="shared" si="798"/>
        <v>0</v>
      </c>
      <c r="BX52" s="91">
        <f t="shared" si="798"/>
        <v>68</v>
      </c>
      <c r="BY52" s="72">
        <f t="shared" si="798"/>
        <v>21.387096774193548</v>
      </c>
      <c r="BZ52" s="74">
        <f t="shared" si="798"/>
        <v>22</v>
      </c>
      <c r="CA52" s="71">
        <f t="shared" si="798"/>
        <v>0</v>
      </c>
      <c r="CB52" s="72">
        <f t="shared" si="798"/>
        <v>0</v>
      </c>
      <c r="CC52" s="74">
        <f t="shared" si="798"/>
        <v>0</v>
      </c>
      <c r="CD52" s="71">
        <f t="shared" si="798"/>
        <v>0</v>
      </c>
      <c r="CE52" s="72">
        <f t="shared" si="798"/>
        <v>0</v>
      </c>
      <c r="CF52" s="74">
        <f t="shared" si="798"/>
        <v>0</v>
      </c>
      <c r="CG52" s="71">
        <f t="shared" si="798"/>
        <v>0</v>
      </c>
      <c r="CH52" s="72">
        <f t="shared" si="798"/>
        <v>0</v>
      </c>
      <c r="CI52" s="74">
        <f t="shared" si="798"/>
        <v>0</v>
      </c>
      <c r="CJ52" s="91">
        <f t="shared" si="798"/>
        <v>56</v>
      </c>
      <c r="CK52" s="72">
        <f t="shared" si="798"/>
        <v>14.857142857142858</v>
      </c>
      <c r="CL52" s="74">
        <f t="shared" si="798"/>
        <v>16</v>
      </c>
      <c r="CM52" s="71">
        <f t="shared" si="798"/>
        <v>0</v>
      </c>
      <c r="CN52" s="72">
        <f t="shared" si="798"/>
        <v>0</v>
      </c>
      <c r="CO52" s="74">
        <f t="shared" si="798"/>
        <v>0</v>
      </c>
      <c r="CP52" s="71">
        <f t="shared" si="798"/>
        <v>0</v>
      </c>
      <c r="CQ52" s="72">
        <f t="shared" si="798"/>
        <v>0</v>
      </c>
      <c r="CR52" s="74">
        <f t="shared" si="798"/>
        <v>0</v>
      </c>
      <c r="CS52" s="71">
        <f t="shared" si="798"/>
        <v>40</v>
      </c>
      <c r="CT52" s="72">
        <f t="shared" si="798"/>
        <v>10</v>
      </c>
      <c r="CU52" s="74">
        <f t="shared" si="798"/>
        <v>10</v>
      </c>
      <c r="CV52" s="91">
        <f t="shared" si="798"/>
        <v>0</v>
      </c>
      <c r="CW52" s="72">
        <f t="shared" si="798"/>
        <v>0</v>
      </c>
      <c r="CX52" s="74">
        <f t="shared" si="798"/>
        <v>0</v>
      </c>
      <c r="CY52" s="100">
        <f t="shared" si="0"/>
        <v>74</v>
      </c>
      <c r="CZ52" s="95">
        <f t="shared" si="1"/>
        <v>96</v>
      </c>
    </row>
    <row r="53" spans="1:104" x14ac:dyDescent="0.25">
      <c r="A53" s="27" t="s">
        <v>124</v>
      </c>
      <c r="B53" s="88" t="s">
        <v>78</v>
      </c>
      <c r="C53" s="23" t="str">
        <f>_xlfn.XLOOKUP($B53,GCES!$B:$B,GCES!$C:$C,"",0,1)</f>
        <v/>
      </c>
      <c r="D53" s="28" t="str">
        <f t="shared" ref="D53:D54" si="799">IF(C53="","",D$58*C53/C$57)</f>
        <v/>
      </c>
      <c r="E53" s="26" t="str">
        <f t="shared" ref="E53:E54" si="800">IF(C53="","",IF(D53&gt;4,ROUND(D53/2,0)*2,IF(D53&gt;D$59,4,"")))</f>
        <v/>
      </c>
      <c r="F53" s="23" t="str">
        <f>_xlfn.XLOOKUP($B53,GCES!$B:$B,GCES!$E:$E,"",0,1)</f>
        <v/>
      </c>
      <c r="G53" s="28" t="str">
        <f t="shared" ref="G53:G54" si="801">IF(F53="","",G$58*F53/F$57)</f>
        <v/>
      </c>
      <c r="H53" s="24" t="str">
        <f t="shared" ref="H53:H54" si="802">IF(F53="","",IF(G53&gt;4,ROUND(G53/2,0)*2,IF(G53&gt;G$59,4,"")))</f>
        <v/>
      </c>
      <c r="I53" s="23">
        <f>_xlfn.XLOOKUP($B53,GCES!$B:$B,GCES!$D:$D,"",0,1)</f>
        <v>24</v>
      </c>
      <c r="J53" s="28">
        <f t="shared" ref="J53:J54" si="803">IF(I53="","",J$58*I53/I$57)</f>
        <v>2.2672811059907834</v>
      </c>
      <c r="K53" s="24"/>
      <c r="L53" s="23">
        <f>_xlfn.XLOOKUP($B53,GCES!$B:$B,GCES!$H:$H,"",0,1)</f>
        <v>16</v>
      </c>
      <c r="M53" s="28">
        <f t="shared" ref="M53:M54" si="804">IF(L53="","",M$58*L53/L$57)</f>
        <v>3.0476190476190474</v>
      </c>
      <c r="N53" s="24">
        <f t="shared" ref="N53:N54" si="805">IF(L53="","",IF(M53&gt;4,ROUND(M53/2,0)*2,IF(M53&gt;M$59,4,"")))</f>
        <v>4</v>
      </c>
      <c r="O53" s="23" t="str">
        <f>_xlfn.XLOOKUP($B53,GCES!$B:$B,GCES!$G:$G,"",0,1)</f>
        <v/>
      </c>
      <c r="P53" s="28" t="str">
        <f t="shared" ref="P53:P54" si="806">IF(O53="","",P$58*O53/O$57)</f>
        <v/>
      </c>
      <c r="Q53" s="24" t="str">
        <f t="shared" ref="Q53:Q54" si="807">IF(O53="","",IF(P53&gt;4,ROUND(P53/2,0)*2,IF(P53&gt;P$59,4,"")))</f>
        <v/>
      </c>
      <c r="R53" s="23" t="str">
        <f>_xlfn.XLOOKUP($B53,GCES!$B:$B,GCES!$L:$L,"",0,1)</f>
        <v/>
      </c>
      <c r="S53" s="28" t="str">
        <f t="shared" ref="S53:S54" si="808">IF(R53="","",S$58*R53/R$57)</f>
        <v/>
      </c>
      <c r="T53" s="24" t="str">
        <f t="shared" ref="T53:T54" si="809">IF(R53="","",IF(S53&gt;4,ROUND(S53/2,0)*2,IF(S53&gt;S$59,4,"")))</f>
        <v/>
      </c>
      <c r="U53" s="23" t="str">
        <f>_xlfn.XLOOKUP($B53,GCES!$B:$B,GCES!$K:$K,"",0,1)</f>
        <v/>
      </c>
      <c r="V53" s="28" t="str">
        <f t="shared" ref="V53:V54" si="810">IF(U53="","",V$58*U53/U$57)</f>
        <v/>
      </c>
      <c r="W53" s="24" t="str">
        <f t="shared" ref="W53:W54" si="811">IF(U53="","",IF(V53&gt;4,ROUND(V53/2,0)*2,IF(V53&gt;V$59,4,"")))</f>
        <v/>
      </c>
      <c r="X53" s="23">
        <f>_xlfn.XLOOKUP($B53,GCES!$B:$B,GCES!$S:$S,"",0,1)</f>
        <v>16</v>
      </c>
      <c r="Y53" s="28">
        <f t="shared" ref="Y53:Y54" si="812">IF(X53="","",Y$58*X53/X$57)</f>
        <v>5.6470588235294121</v>
      </c>
      <c r="Z53" s="24">
        <f t="shared" ref="Z53:Z54" si="813">IF(X53="","",IF(Y53&gt;4,ROUND(Y53/2,0)*2,IF(Y53&gt;Y$59,4,"")))</f>
        <v>6</v>
      </c>
      <c r="AA53" s="23" t="str">
        <f>_xlfn.XLOOKUP($B53,GCES!$B:$B,GCES!$R:$R,"",0,1)</f>
        <v/>
      </c>
      <c r="AB53" s="28" t="str">
        <f t="shared" ref="AB53:AB54" si="814">IF(AA53="","",AB$58*AA53/AA$57)</f>
        <v/>
      </c>
      <c r="AC53" s="24" t="str">
        <f t="shared" ref="AC53:AC54" si="815">IF(AA53="","",IF(AB53&gt;4,ROUND(AB53/2,0)*2,IF(AB53&gt;AB$59,4,"")))</f>
        <v/>
      </c>
      <c r="AD53" s="23">
        <f>_xlfn.XLOOKUP($B53,GCES!$B:$B,GCES!$AL:$AL,"",0,1)</f>
        <v>16</v>
      </c>
      <c r="AE53" s="28">
        <f t="shared" ref="AE53:AE54" si="816">IF(AD53="","",AE$58*AD53/AD$57)</f>
        <v>1.9230769230769231</v>
      </c>
      <c r="AF53" s="24" t="str">
        <f t="shared" ref="AF53:AF54" si="817">IF(AD53="","",IF(AE53&gt;4,ROUND(AE53/2,0)*2,IF(AE53&gt;AE$59,4,"")))</f>
        <v/>
      </c>
      <c r="AG53" s="23" t="str">
        <f>_xlfn.XLOOKUP($B53,GCES!$B:$B,GCES!$AK:$AK,"",0,1)</f>
        <v/>
      </c>
      <c r="AH53" s="28" t="str">
        <f t="shared" ref="AH53:AH54" si="818">IF(AG53="","",AH$58*AG53/AG$57)</f>
        <v/>
      </c>
      <c r="AI53" s="24" t="str">
        <f t="shared" ref="AI53:AI54" si="819">IF(AG53="","",IF(AH53&gt;4,ROUND(AH53/2,0)*2,IF(AH53&gt;AH$59,4,"")))</f>
        <v/>
      </c>
      <c r="AJ53" s="23">
        <f>_xlfn.XLOOKUP($B53,GCES!$B:$B,GCES!$AQ:$AQ,"",0,1)</f>
        <v>16</v>
      </c>
      <c r="AK53" s="28">
        <f t="shared" ref="AK53:AK54" si="820">IF(AJ53="","",AK$58*AJ53/AJ$57)</f>
        <v>4.9411764705882355</v>
      </c>
      <c r="AL53" s="24">
        <f t="shared" ref="AL53:AL54" si="821">IF(AJ53="","",IF(AK53&gt;4,ROUND(AK53/2,0)*2,IF(AK53&gt;AK$59,4,"")))</f>
        <v>4</v>
      </c>
      <c r="AM53" s="23" t="str">
        <f>_xlfn.XLOOKUP($B53,GCES!$B:$B,GCES!$AP:$AP,"",0,1)</f>
        <v/>
      </c>
      <c r="AN53" s="28" t="str">
        <f t="shared" ref="AN53:AN54" si="822">IF(AM53="","",AN$58*AM53/AM$57)</f>
        <v/>
      </c>
      <c r="AO53" s="24" t="str">
        <f t="shared" ref="AO53:AO54" si="823">IF(AM53="","",IF(AN53&gt;4,ROUND(AN53/2,0)*2,IF(AN53&gt;AN$59,4,"")))</f>
        <v/>
      </c>
      <c r="AP53" s="23" t="str">
        <f>_xlfn.XLOOKUP($B53,GCES!$B:$B,GCES!$V:$V,"",0,1)</f>
        <v/>
      </c>
      <c r="AQ53" s="28" t="str">
        <f t="shared" ref="AQ53:AQ54" si="824">IF(AP53="","",AQ$58*AP53/AP$57)</f>
        <v/>
      </c>
      <c r="AR53" s="24" t="str">
        <f t="shared" ref="AR53:AR54" si="825">IF(AP53="","",IF(AQ53&gt;4,ROUND(AQ53/2,0)*2,IF(AQ53&gt;AQ$59,4,"")))</f>
        <v/>
      </c>
      <c r="AS53" s="23">
        <f>_xlfn.XLOOKUP($B53,GCES!$B:$B,GCES!$AH:$AH,"",0,1)</f>
        <v>28</v>
      </c>
      <c r="AT53" s="28">
        <f t="shared" ref="AT53:AT54" si="826">IF(AS53="","",AT$58*AS53/AS$57)</f>
        <v>5.4285714285714288</v>
      </c>
      <c r="AU53" s="24">
        <f t="shared" ref="AU53:AU54" si="827">IF(AS53="","",IF(AT53&gt;4,ROUND(AT53/2,0)*2,IF(AT53&gt;AT$59,4,"")))</f>
        <v>6</v>
      </c>
      <c r="AV53" s="23" t="str">
        <f>_xlfn.XLOOKUP($B53,GCES!$B:$B,GCES!$AG:$AG,"",0,1)</f>
        <v/>
      </c>
      <c r="AW53" s="28" t="str">
        <f t="shared" ref="AW53:AW54" si="828">IF(AV53="","",AW$58*AV53/AV$57)</f>
        <v/>
      </c>
      <c r="AX53" s="24" t="str">
        <f t="shared" ref="AX53:AX54" si="829">IF(AV53="","",IF(AW53&gt;4,ROUND(AW53/2,0)*2,IF(AW53&gt;AW$59,4,"")))</f>
        <v/>
      </c>
      <c r="AY53" s="90">
        <f>_xlfn.XLOOKUP($B53,GCES!$B:$B,GCES!$AO:$AO,"",0,1)</f>
        <v>16</v>
      </c>
      <c r="AZ53" s="28">
        <f t="shared" ref="AZ53:AZ54" si="830">IF(AY53="","",AZ$58*AY53/AY$57)</f>
        <v>2.9333333333333331</v>
      </c>
      <c r="BA53" s="24">
        <f t="shared" ref="BA53:BA54" si="831">IF(AY53="","",IF(AZ53&gt;4,ROUND(AZ53/2,0)*2,IF(AZ53&gt;AZ$59,4,"")))</f>
        <v>4</v>
      </c>
      <c r="BB53" s="97">
        <f t="shared" si="90"/>
        <v>24</v>
      </c>
      <c r="BC53" s="23">
        <f>_xlfn.XLOOKUP($B53,GCES!$B:$B,GCES!$F:$F,"",0,1)</f>
        <v>16</v>
      </c>
      <c r="BD53" s="28">
        <f t="shared" ref="BD53:BD54" si="832">IF(BC53="","",BD$58*BC53/BC$57)</f>
        <v>4.1333333333333337</v>
      </c>
      <c r="BE53" s="26">
        <f t="shared" ref="BE53:BE54" si="833">IF(BC53="","",IF(BD53&gt;4,ROUND(BD53/2,0)*2,IF(BD53&gt;BD$59,4,"")))</f>
        <v>4</v>
      </c>
      <c r="BF53" s="23">
        <f>_xlfn.XLOOKUP($B53,GCES!$B:$B,GCES!$J:$J,"",0,1)</f>
        <v>44</v>
      </c>
      <c r="BG53" s="28">
        <f t="shared" ref="BG53:BG54" si="834">IF(BF53="","",BG$58*BF53/BF$57)</f>
        <v>7.5233160621761659</v>
      </c>
      <c r="BH53" s="38">
        <v>6</v>
      </c>
      <c r="BI53" s="23" t="str">
        <f>_xlfn.XLOOKUP($B53,GCES!$B:$B,GCES!$I:$I,"",0,1)</f>
        <v/>
      </c>
      <c r="BJ53" s="28" t="str">
        <f t="shared" ref="BJ53:BJ54" si="835">IF(BI53="","",BJ$58*BI53/BI$57)</f>
        <v/>
      </c>
      <c r="BK53" s="24" t="str">
        <f t="shared" ref="BK53:BK54" si="836">IF(BI53="","",IF(BJ53&gt;4,ROUND(BJ53/2,0)*2,IF(BJ53&gt;BJ$59,4,"")))</f>
        <v/>
      </c>
      <c r="BL53" s="23">
        <f>_xlfn.XLOOKUP($B53,GCES!$B:$B,GCES!$AN:$AN,"",0,1)</f>
        <v>20</v>
      </c>
      <c r="BM53" s="28">
        <f t="shared" ref="BM53:BM54" si="837">IF(BL53="","",BM$58*BL53/BL$57)</f>
        <v>5.7142857142857144</v>
      </c>
      <c r="BN53" s="24">
        <f t="shared" ref="BN53:BN54" si="838">IF(BL53="","",IF(BM53&gt;4,ROUND(BM53/2,0)*2,IF(BM53&gt;BM$59,4,"")))</f>
        <v>6</v>
      </c>
      <c r="BO53" s="23" t="str">
        <f>_xlfn.XLOOKUP($B53,GCES!$B:$B,GCES!$AM:$AM,"",0,1)</f>
        <v/>
      </c>
      <c r="BP53" s="28" t="str">
        <f t="shared" ref="BP53:BP54" si="839">IF(BO53="","",BP$58*BO53/BO$57)</f>
        <v/>
      </c>
      <c r="BQ53" s="24" t="str">
        <f t="shared" ref="BQ53:BQ54" si="840">IF(BO53="","",IF(BP53&gt;4,ROUND(BP53/2,0)*2,IF(BP53&gt;BP$59,4,"")))</f>
        <v/>
      </c>
      <c r="BR53" s="23" t="str">
        <f>_xlfn.XLOOKUP($B53,GCES!$B:$B,GCES!$Z:$Z,"",0,1)</f>
        <v/>
      </c>
      <c r="BS53" s="28" t="str">
        <f t="shared" ref="BS53:BS54" si="841">IF(BR53="","",BS$58*BR53/BR$57)</f>
        <v/>
      </c>
      <c r="BT53" s="24" t="str">
        <f t="shared" ref="BT53:BT54" si="842">IF(BR53="","",IF(BS53&gt;4,ROUND(BS53/2,0)*2,IF(BS53&gt;BS$59,4,"")))</f>
        <v/>
      </c>
      <c r="BU53" s="23" t="str">
        <f>_xlfn.XLOOKUP($B53,GCES!$B:$B,GCES!$Y:$Y,"",0,1)</f>
        <v/>
      </c>
      <c r="BV53" s="28" t="str">
        <f t="shared" ref="BV53:BV54" si="843">IF(BU53="","",BV$58*BU53/BU$57)</f>
        <v/>
      </c>
      <c r="BW53" s="24" t="str">
        <f t="shared" ref="BW53:BW54" si="844">IF(BU53="","",IF(BV53&gt;4,ROUND(BV53/2,0)*2,IF(BV53&gt;BV$59,4,"")))</f>
        <v/>
      </c>
      <c r="BX53" s="23">
        <f>_xlfn.XLOOKUP($B53,GCES!$B:$B,GCES!$AC:$AC,"",0,1)</f>
        <v>16</v>
      </c>
      <c r="BY53" s="28">
        <f t="shared" ref="BY53:BY54" si="845">IF(BX53="","",BY$58*BX53/BX$57)</f>
        <v>5.032258064516129</v>
      </c>
      <c r="BZ53" s="38">
        <v>4</v>
      </c>
      <c r="CA53" s="23" t="str">
        <f>_xlfn.XLOOKUP($B53,GCES!$B:$B,GCES!$AB:$AB,"",0,1)</f>
        <v/>
      </c>
      <c r="CB53" s="28" t="str">
        <f t="shared" ref="CB53:CB54" si="846">IF(CA53="","",CB$58*CA53/CA$57)</f>
        <v/>
      </c>
      <c r="CC53" s="24" t="str">
        <f t="shared" ref="CC53:CC54" si="847">IF(CA53="","",IF(CB53&gt;4,ROUND(CB53/2,0)*2,IF(CB53&gt;CB$59,4,"")))</f>
        <v/>
      </c>
      <c r="CD53" s="23">
        <f>_xlfn.XLOOKUP($B53,GCES!$B:$B,GCES!$AS:$AS,"",0,1)</f>
        <v>16</v>
      </c>
      <c r="CE53" s="28">
        <f t="shared" ref="CE53:CE54" si="848">IF(CD53="","",CE$58*CD53/CD$57)</f>
        <v>5.7142857142857144</v>
      </c>
      <c r="CF53" s="38">
        <v>4</v>
      </c>
      <c r="CG53" s="23" t="str">
        <f>_xlfn.XLOOKUP($B53,GCES!$B:$B,GCES!$AR:$AR,"",0,1)</f>
        <v/>
      </c>
      <c r="CH53" s="28" t="str">
        <f t="shared" ref="CH53:CH54" si="849">IF(CG53="","",CH$58*CG53/CG$57)</f>
        <v/>
      </c>
      <c r="CI53" s="26" t="str">
        <f t="shared" ref="CI53:CI54" si="850">IF(CG53="","",IF(CH53&gt;4,ROUND(CH53/2,0)*2,IF(CH53&gt;CH$59,4,"")))</f>
        <v/>
      </c>
      <c r="CJ53" s="23">
        <f>_xlfn.XLOOKUP($B53,GCES!$B:$B,GCES!$N:$N,"",0,1)</f>
        <v>32</v>
      </c>
      <c r="CK53" s="28">
        <f t="shared" ref="CK53:CK54" si="851">IF(CJ53="","",CK$58*CJ53/CJ$57)</f>
        <v>8.4897959183673475</v>
      </c>
      <c r="CL53" s="38">
        <v>10</v>
      </c>
      <c r="CM53" s="23" t="str">
        <f>_xlfn.XLOOKUP($B53,GCES!$B:$B,GCES!$M:$M,"",0,1)</f>
        <v/>
      </c>
      <c r="CN53" s="28" t="str">
        <f t="shared" ref="CN53:CN54" si="852">IF(CM53="","",CN$58*CM53/CM$57)</f>
        <v/>
      </c>
      <c r="CO53" s="24" t="str">
        <f t="shared" ref="CO53:CO54" si="853">IF(CM53="","",IF(CN53&gt;4,ROUND(CN53/2,0)*2,IF(CN53&gt;CN$59,4,"")))</f>
        <v/>
      </c>
      <c r="CP53" s="90" t="str">
        <f>_xlfn.XLOOKUP($B53,GCES!$B:$B,GCES!$AD:$AD,"",0,1)</f>
        <v/>
      </c>
      <c r="CQ53" s="28" t="str">
        <f t="shared" ref="CQ53:CQ54" si="854">IF(CP53="","",CQ$58*CP53/CP$57)</f>
        <v/>
      </c>
      <c r="CR53" s="26" t="str">
        <f t="shared" ref="CR53:CR54" si="855">IF(CP53="","",IF(CQ53&gt;4,ROUND(CQ53/2,0)*2,IF(CQ53&gt;CQ$59,4,"")))</f>
        <v/>
      </c>
      <c r="CS53" s="23">
        <f>_xlfn.XLOOKUP($B53,GCES!$B:$B,GCES!$AJ:$AJ,"",0,1)</f>
        <v>40</v>
      </c>
      <c r="CT53" s="28">
        <f t="shared" ref="CT53:CT54" si="856">IF(CS53="","",CT$58*CS53/CS$57)</f>
        <v>10</v>
      </c>
      <c r="CU53" s="24">
        <f t="shared" ref="CU53:CU54" si="857">IF(CS53="","",IF(CT53&gt;4,ROUND(CT53/2,0)*2,IF(CT53&gt;CT$59,4,"")))</f>
        <v>10</v>
      </c>
      <c r="CV53" s="23">
        <f>_xlfn.XLOOKUP($B53,GCES!$B:$B,GCES!$AI:$AI,"",0,1)</f>
        <v>16</v>
      </c>
      <c r="CW53" s="28">
        <f t="shared" ref="CW53:CW54" si="858">IF(CV53="","",CW$58*CV53/CV$57)</f>
        <v>5.12</v>
      </c>
      <c r="CX53" s="24">
        <f t="shared" ref="CX53:CX54" si="859">IF(CV53="","",IF(CW53&gt;4,ROUND(CW53/2,0)*2,IF(CW53&gt;CW$59,4,"")))</f>
        <v>6</v>
      </c>
      <c r="CY53" s="100">
        <f t="shared" ref="CY53:CY54" si="860">SUM(BE53,BH53,BK53,BN53,BQ53,BT53,BW53,BZ53,CC53,CF53,CI53,CL53,CO53,CR53,CU53,CX53)</f>
        <v>50</v>
      </c>
      <c r="CZ53" s="95">
        <f t="shared" ref="CZ53:CZ54" si="861">SUM(BB53,CY53)</f>
        <v>74</v>
      </c>
    </row>
    <row r="54" spans="1:104" x14ac:dyDescent="0.25">
      <c r="A54" s="27" t="s">
        <v>123</v>
      </c>
      <c r="B54" s="88" t="s">
        <v>77</v>
      </c>
      <c r="C54" s="23" t="str">
        <f>_xlfn.XLOOKUP($B54,GCES!$B:$B,GCES!$C:$C,"",0,1)</f>
        <v/>
      </c>
      <c r="D54" s="28" t="str">
        <f t="shared" si="799"/>
        <v/>
      </c>
      <c r="E54" s="26" t="str">
        <f t="shared" si="800"/>
        <v/>
      </c>
      <c r="F54" s="23">
        <f>_xlfn.XLOOKUP($B54,GCES!$B:$B,GCES!$E:$E,"",0,1)</f>
        <v>92</v>
      </c>
      <c r="G54" s="28">
        <f t="shared" si="801"/>
        <v>6</v>
      </c>
      <c r="H54" s="24">
        <f t="shared" si="802"/>
        <v>6</v>
      </c>
      <c r="I54" s="23">
        <f>_xlfn.XLOOKUP($B54,GCES!$B:$B,GCES!$D:$D,"",0,1)</f>
        <v>0</v>
      </c>
      <c r="J54" s="28">
        <f t="shared" si="803"/>
        <v>0</v>
      </c>
      <c r="K54" s="24" t="str">
        <f t="shared" ref="K54" si="862">IF(I54="","",IF(J54&gt;4,ROUND(J54/2,0)*2,IF(J54&gt;J$59,4,"")))</f>
        <v/>
      </c>
      <c r="L54" s="23" t="str">
        <f>_xlfn.XLOOKUP($B54,GCES!$B:$B,GCES!$H:$H,"",0,1)</f>
        <v/>
      </c>
      <c r="M54" s="28" t="str">
        <f t="shared" si="804"/>
        <v/>
      </c>
      <c r="N54" s="24" t="str">
        <f t="shared" si="805"/>
        <v/>
      </c>
      <c r="O54" s="23" t="str">
        <f>_xlfn.XLOOKUP($B54,GCES!$B:$B,GCES!$G:$G,"",0,1)</f>
        <v/>
      </c>
      <c r="P54" s="28" t="str">
        <f t="shared" si="806"/>
        <v/>
      </c>
      <c r="Q54" s="24" t="str">
        <f t="shared" si="807"/>
        <v/>
      </c>
      <c r="R54" s="23" t="str">
        <f>_xlfn.XLOOKUP($B54,GCES!$B:$B,GCES!$L:$L,"",0,1)</f>
        <v/>
      </c>
      <c r="S54" s="28" t="str">
        <f t="shared" si="808"/>
        <v/>
      </c>
      <c r="T54" s="24" t="str">
        <f t="shared" si="809"/>
        <v/>
      </c>
      <c r="U54" s="23" t="str">
        <f>_xlfn.XLOOKUP($B54,GCES!$B:$B,GCES!$K:$K,"",0,1)</f>
        <v/>
      </c>
      <c r="V54" s="28" t="str">
        <f t="shared" si="810"/>
        <v/>
      </c>
      <c r="W54" s="24" t="str">
        <f t="shared" si="811"/>
        <v/>
      </c>
      <c r="X54" s="23" t="str">
        <f>_xlfn.XLOOKUP($B54,GCES!$B:$B,GCES!$S:$S,"",0,1)</f>
        <v/>
      </c>
      <c r="Y54" s="28" t="str">
        <f t="shared" si="812"/>
        <v/>
      </c>
      <c r="Z54" s="24" t="str">
        <f t="shared" si="813"/>
        <v/>
      </c>
      <c r="AA54" s="23" t="str">
        <f>_xlfn.XLOOKUP($B54,GCES!$B:$B,GCES!$R:$R,"",0,1)</f>
        <v/>
      </c>
      <c r="AB54" s="28" t="str">
        <f t="shared" si="814"/>
        <v/>
      </c>
      <c r="AC54" s="24" t="str">
        <f t="shared" si="815"/>
        <v/>
      </c>
      <c r="AD54" s="23" t="str">
        <f>_xlfn.XLOOKUP($B54,GCES!$B:$B,GCES!$AL:$AL,"",0,1)</f>
        <v/>
      </c>
      <c r="AE54" s="28" t="str">
        <f t="shared" si="816"/>
        <v/>
      </c>
      <c r="AF54" s="24" t="str">
        <f t="shared" si="817"/>
        <v/>
      </c>
      <c r="AG54" s="23" t="str">
        <f>_xlfn.XLOOKUP($B54,GCES!$B:$B,GCES!$AK:$AK,"",0,1)</f>
        <v/>
      </c>
      <c r="AH54" s="28" t="str">
        <f t="shared" si="818"/>
        <v/>
      </c>
      <c r="AI54" s="24" t="str">
        <f t="shared" si="819"/>
        <v/>
      </c>
      <c r="AJ54" s="23" t="str">
        <f>_xlfn.XLOOKUP($B54,GCES!$B:$B,GCES!$AQ:$AQ,"",0,1)</f>
        <v/>
      </c>
      <c r="AK54" s="28" t="str">
        <f t="shared" si="820"/>
        <v/>
      </c>
      <c r="AL54" s="24" t="str">
        <f t="shared" si="821"/>
        <v/>
      </c>
      <c r="AM54" s="23" t="str">
        <f>_xlfn.XLOOKUP($B54,GCES!$B:$B,GCES!$AP:$AP,"",0,1)</f>
        <v/>
      </c>
      <c r="AN54" s="28" t="str">
        <f t="shared" si="822"/>
        <v/>
      </c>
      <c r="AO54" s="24" t="str">
        <f t="shared" si="823"/>
        <v/>
      </c>
      <c r="AP54" s="23" t="str">
        <f>_xlfn.XLOOKUP($B54,GCES!$B:$B,GCES!$V:$V,"",0,1)</f>
        <v/>
      </c>
      <c r="AQ54" s="28" t="str">
        <f t="shared" si="824"/>
        <v/>
      </c>
      <c r="AR54" s="24" t="str">
        <f t="shared" si="825"/>
        <v/>
      </c>
      <c r="AS54" s="23" t="str">
        <f>_xlfn.XLOOKUP($B54,GCES!$B:$B,GCES!$AH:$AH,"",0,1)</f>
        <v/>
      </c>
      <c r="AT54" s="28" t="str">
        <f t="shared" si="826"/>
        <v/>
      </c>
      <c r="AU54" s="24" t="str">
        <f t="shared" si="827"/>
        <v/>
      </c>
      <c r="AV54" s="23" t="str">
        <f>_xlfn.XLOOKUP($B54,GCES!$B:$B,GCES!$AG:$AG,"",0,1)</f>
        <v/>
      </c>
      <c r="AW54" s="28" t="str">
        <f t="shared" si="828"/>
        <v/>
      </c>
      <c r="AX54" s="24" t="str">
        <f t="shared" si="829"/>
        <v/>
      </c>
      <c r="AY54" s="90" t="str">
        <f>_xlfn.XLOOKUP($B54,GCES!$B:$B,GCES!$AO:$AO,"",0,1)</f>
        <v/>
      </c>
      <c r="AZ54" s="28" t="str">
        <f t="shared" si="830"/>
        <v/>
      </c>
      <c r="BA54" s="24" t="str">
        <f t="shared" si="831"/>
        <v/>
      </c>
      <c r="BB54" s="97">
        <f t="shared" si="90"/>
        <v>6</v>
      </c>
      <c r="BC54" s="23" t="str">
        <f>_xlfn.XLOOKUP($B54,GCES!$B:$B,GCES!$F:$F,"",0,1)</f>
        <v/>
      </c>
      <c r="BD54" s="28" t="str">
        <f t="shared" si="832"/>
        <v/>
      </c>
      <c r="BE54" s="26" t="str">
        <f t="shared" si="833"/>
        <v/>
      </c>
      <c r="BF54" s="23">
        <f>_xlfn.XLOOKUP($B54,GCES!$B:$B,GCES!$J:$J,"",0,1)</f>
        <v>16</v>
      </c>
      <c r="BG54" s="28">
        <f t="shared" si="834"/>
        <v>2.7357512953367875</v>
      </c>
      <c r="BH54" s="24">
        <f t="shared" ref="BH54" si="863">IF(BF54="","",IF(BG54&gt;4,ROUND(BG54/2,0)*2,IF(BG54&gt;BG$59,4,"")))</f>
        <v>4</v>
      </c>
      <c r="BI54" s="23" t="str">
        <f>_xlfn.XLOOKUP($B54,GCES!$B:$B,GCES!$I:$I,"",0,1)</f>
        <v/>
      </c>
      <c r="BJ54" s="28" t="str">
        <f t="shared" si="835"/>
        <v/>
      </c>
      <c r="BK54" s="24" t="str">
        <f t="shared" si="836"/>
        <v/>
      </c>
      <c r="BL54" s="23">
        <f>_xlfn.XLOOKUP($B54,GCES!$B:$B,GCES!$AN:$AN,"",0,1)</f>
        <v>20</v>
      </c>
      <c r="BM54" s="28">
        <f t="shared" si="837"/>
        <v>5.7142857142857144</v>
      </c>
      <c r="BN54" s="24">
        <f t="shared" si="838"/>
        <v>6</v>
      </c>
      <c r="BO54" s="23" t="str">
        <f>_xlfn.XLOOKUP($B54,GCES!$B:$B,GCES!$AM:$AM,"",0,1)</f>
        <v/>
      </c>
      <c r="BP54" s="28" t="str">
        <f t="shared" si="839"/>
        <v/>
      </c>
      <c r="BQ54" s="24" t="str">
        <f t="shared" si="840"/>
        <v/>
      </c>
      <c r="BR54" s="23">
        <f>_xlfn.XLOOKUP($B54,GCES!$B:$B,GCES!$Z:$Z,"",0,1)</f>
        <v>16</v>
      </c>
      <c r="BS54" s="28">
        <f t="shared" si="841"/>
        <v>4.4800000000000004</v>
      </c>
      <c r="BT54" s="24">
        <f t="shared" si="842"/>
        <v>4</v>
      </c>
      <c r="BU54" s="23" t="str">
        <f>_xlfn.XLOOKUP($B54,GCES!$B:$B,GCES!$Y:$Y,"",0,1)</f>
        <v/>
      </c>
      <c r="BV54" s="28" t="str">
        <f t="shared" si="843"/>
        <v/>
      </c>
      <c r="BW54" s="24" t="str">
        <f t="shared" si="844"/>
        <v/>
      </c>
      <c r="BX54" s="23" t="str">
        <f>_xlfn.XLOOKUP($B54,GCES!$B:$B,GCES!$AC:$AC,"",0,1)</f>
        <v/>
      </c>
      <c r="BY54" s="28" t="str">
        <f t="shared" si="845"/>
        <v/>
      </c>
      <c r="BZ54" s="24" t="str">
        <f t="shared" ref="BZ54" si="864">IF(BX54="","",IF(BY54&gt;4,ROUND(BY54/2,0)*2,IF(BY54&gt;BY$59,4,"")))</f>
        <v/>
      </c>
      <c r="CA54" s="23" t="str">
        <f>_xlfn.XLOOKUP($B54,GCES!$B:$B,GCES!$AB:$AB,"",0,1)</f>
        <v/>
      </c>
      <c r="CB54" s="28" t="str">
        <f t="shared" si="846"/>
        <v/>
      </c>
      <c r="CC54" s="24" t="str">
        <f t="shared" si="847"/>
        <v/>
      </c>
      <c r="CD54" s="23">
        <f>_xlfn.XLOOKUP($B54,GCES!$B:$B,GCES!$AS:$AS,"",0,1)</f>
        <v>16</v>
      </c>
      <c r="CE54" s="28">
        <f t="shared" si="848"/>
        <v>5.7142857142857144</v>
      </c>
      <c r="CF54" s="24">
        <f t="shared" ref="CF54" si="865">IF(CD54="","",IF(CE54&gt;4,ROUND(CE54/2,0)*2,IF(CE54&gt;CE$59,4,"")))</f>
        <v>6</v>
      </c>
      <c r="CG54" s="23" t="str">
        <f>_xlfn.XLOOKUP($B54,GCES!$B:$B,GCES!$AR:$AR,"",0,1)</f>
        <v/>
      </c>
      <c r="CH54" s="28" t="str">
        <f t="shared" si="849"/>
        <v/>
      </c>
      <c r="CI54" s="26" t="str">
        <f t="shared" si="850"/>
        <v/>
      </c>
      <c r="CJ54" s="23">
        <f>_xlfn.XLOOKUP($B54,GCES!$B:$B,GCES!$N:$N,"",0,1)</f>
        <v>16</v>
      </c>
      <c r="CK54" s="28">
        <f t="shared" si="851"/>
        <v>4.2448979591836737</v>
      </c>
      <c r="CL54" s="24">
        <f t="shared" ref="CL54" si="866">IF(CJ54="","",IF(CK54&gt;4,ROUND(CK54/2,0)*2,IF(CK54&gt;CK$59,4,"")))</f>
        <v>4</v>
      </c>
      <c r="CM54" s="23" t="str">
        <f>_xlfn.XLOOKUP($B54,GCES!$B:$B,GCES!$M:$M,"",0,1)</f>
        <v/>
      </c>
      <c r="CN54" s="28" t="str">
        <f t="shared" si="852"/>
        <v/>
      </c>
      <c r="CO54" s="24" t="str">
        <f t="shared" si="853"/>
        <v/>
      </c>
      <c r="CP54" s="90" t="str">
        <f>_xlfn.XLOOKUP($B54,GCES!$B:$B,GCES!$AD:$AD,"",0,1)</f>
        <v/>
      </c>
      <c r="CQ54" s="28" t="str">
        <f t="shared" si="854"/>
        <v/>
      </c>
      <c r="CR54" s="26" t="str">
        <f t="shared" si="855"/>
        <v/>
      </c>
      <c r="CS54" s="23">
        <f>_xlfn.XLOOKUP($B54,GCES!$B:$B,GCES!$AJ:$AJ,"",0,1)</f>
        <v>16</v>
      </c>
      <c r="CT54" s="28">
        <f t="shared" si="856"/>
        <v>4</v>
      </c>
      <c r="CU54" s="24">
        <f t="shared" si="857"/>
        <v>4</v>
      </c>
      <c r="CV54" s="23" t="str">
        <f>_xlfn.XLOOKUP($B54,GCES!$B:$B,GCES!$AI:$AI,"",0,1)</f>
        <v/>
      </c>
      <c r="CW54" s="28" t="str">
        <f t="shared" si="858"/>
        <v/>
      </c>
      <c r="CX54" s="24" t="str">
        <f t="shared" si="859"/>
        <v/>
      </c>
      <c r="CY54" s="100">
        <f t="shared" si="860"/>
        <v>28</v>
      </c>
      <c r="CZ54" s="95">
        <f t="shared" si="861"/>
        <v>34</v>
      </c>
    </row>
    <row r="55" spans="1:104" s="5" customFormat="1" ht="14.4" customHeight="1" x14ac:dyDescent="0.25">
      <c r="A55" s="129" t="s">
        <v>138</v>
      </c>
      <c r="B55" s="130"/>
      <c r="C55" s="71">
        <f t="shared" ref="C55:AH55" si="867">SUM(C53:C54)</f>
        <v>0</v>
      </c>
      <c r="D55" s="72">
        <f t="shared" si="867"/>
        <v>0</v>
      </c>
      <c r="E55" s="73">
        <f t="shared" si="867"/>
        <v>0</v>
      </c>
      <c r="F55" s="71">
        <f t="shared" si="867"/>
        <v>92</v>
      </c>
      <c r="G55" s="72">
        <f t="shared" si="867"/>
        <v>6</v>
      </c>
      <c r="H55" s="74">
        <f t="shared" si="867"/>
        <v>6</v>
      </c>
      <c r="I55" s="71">
        <f t="shared" si="867"/>
        <v>24</v>
      </c>
      <c r="J55" s="72">
        <f t="shared" si="867"/>
        <v>2.2672811059907834</v>
      </c>
      <c r="K55" s="74">
        <f t="shared" si="867"/>
        <v>0</v>
      </c>
      <c r="L55" s="71">
        <f t="shared" si="867"/>
        <v>16</v>
      </c>
      <c r="M55" s="72">
        <f t="shared" si="867"/>
        <v>3.0476190476190474</v>
      </c>
      <c r="N55" s="74">
        <f t="shared" si="867"/>
        <v>4</v>
      </c>
      <c r="O55" s="71">
        <f t="shared" si="867"/>
        <v>0</v>
      </c>
      <c r="P55" s="72">
        <f t="shared" si="867"/>
        <v>0</v>
      </c>
      <c r="Q55" s="74">
        <f t="shared" si="867"/>
        <v>0</v>
      </c>
      <c r="R55" s="71">
        <f t="shared" si="867"/>
        <v>0</v>
      </c>
      <c r="S55" s="72">
        <f t="shared" si="867"/>
        <v>0</v>
      </c>
      <c r="T55" s="74">
        <f t="shared" si="867"/>
        <v>0</v>
      </c>
      <c r="U55" s="71">
        <f t="shared" si="867"/>
        <v>0</v>
      </c>
      <c r="V55" s="72">
        <f t="shared" si="867"/>
        <v>0</v>
      </c>
      <c r="W55" s="74">
        <f t="shared" si="867"/>
        <v>0</v>
      </c>
      <c r="X55" s="71">
        <f t="shared" si="867"/>
        <v>16</v>
      </c>
      <c r="Y55" s="72">
        <f t="shared" si="867"/>
        <v>5.6470588235294121</v>
      </c>
      <c r="Z55" s="74">
        <f t="shared" si="867"/>
        <v>6</v>
      </c>
      <c r="AA55" s="71">
        <f t="shared" si="867"/>
        <v>0</v>
      </c>
      <c r="AB55" s="72">
        <f t="shared" si="867"/>
        <v>0</v>
      </c>
      <c r="AC55" s="74">
        <f t="shared" si="867"/>
        <v>0</v>
      </c>
      <c r="AD55" s="71">
        <f t="shared" si="867"/>
        <v>16</v>
      </c>
      <c r="AE55" s="72">
        <f t="shared" si="867"/>
        <v>1.9230769230769231</v>
      </c>
      <c r="AF55" s="74">
        <f t="shared" si="867"/>
        <v>0</v>
      </c>
      <c r="AG55" s="71">
        <f t="shared" si="867"/>
        <v>0</v>
      </c>
      <c r="AH55" s="72">
        <f t="shared" si="867"/>
        <v>0</v>
      </c>
      <c r="AI55" s="74">
        <f t="shared" ref="AI55:BA55" si="868">SUM(AI53:AI54)</f>
        <v>0</v>
      </c>
      <c r="AJ55" s="71">
        <f t="shared" si="868"/>
        <v>16</v>
      </c>
      <c r="AK55" s="72">
        <f t="shared" si="868"/>
        <v>4.9411764705882355</v>
      </c>
      <c r="AL55" s="74">
        <f t="shared" si="868"/>
        <v>4</v>
      </c>
      <c r="AM55" s="71">
        <f t="shared" si="868"/>
        <v>0</v>
      </c>
      <c r="AN55" s="72">
        <f t="shared" si="868"/>
        <v>0</v>
      </c>
      <c r="AO55" s="74">
        <f t="shared" si="868"/>
        <v>0</v>
      </c>
      <c r="AP55" s="71">
        <f t="shared" si="868"/>
        <v>0</v>
      </c>
      <c r="AQ55" s="72">
        <f t="shared" si="868"/>
        <v>0</v>
      </c>
      <c r="AR55" s="74">
        <f t="shared" si="868"/>
        <v>0</v>
      </c>
      <c r="AS55" s="71">
        <f t="shared" si="868"/>
        <v>28</v>
      </c>
      <c r="AT55" s="72">
        <f t="shared" si="868"/>
        <v>5.4285714285714288</v>
      </c>
      <c r="AU55" s="74">
        <f t="shared" si="868"/>
        <v>6</v>
      </c>
      <c r="AV55" s="71">
        <f t="shared" si="868"/>
        <v>0</v>
      </c>
      <c r="AW55" s="72">
        <f t="shared" si="868"/>
        <v>0</v>
      </c>
      <c r="AX55" s="74">
        <f t="shared" si="868"/>
        <v>0</v>
      </c>
      <c r="AY55" s="91">
        <f t="shared" si="868"/>
        <v>16</v>
      </c>
      <c r="AZ55" s="72">
        <f t="shared" si="868"/>
        <v>2.9333333333333331</v>
      </c>
      <c r="BA55" s="74">
        <f t="shared" si="868"/>
        <v>4</v>
      </c>
      <c r="BB55" s="97">
        <f t="shared" si="90"/>
        <v>30</v>
      </c>
      <c r="BC55" s="71">
        <f t="shared" ref="BC55:CX55" si="869">SUM(BC53:BC54)</f>
        <v>16</v>
      </c>
      <c r="BD55" s="72">
        <f t="shared" si="869"/>
        <v>4.1333333333333337</v>
      </c>
      <c r="BE55" s="74">
        <f t="shared" si="869"/>
        <v>4</v>
      </c>
      <c r="BF55" s="71">
        <f t="shared" si="869"/>
        <v>60</v>
      </c>
      <c r="BG55" s="72">
        <f t="shared" si="869"/>
        <v>10.259067357512954</v>
      </c>
      <c r="BH55" s="74">
        <f t="shared" si="869"/>
        <v>10</v>
      </c>
      <c r="BI55" s="71">
        <f t="shared" si="869"/>
        <v>0</v>
      </c>
      <c r="BJ55" s="72">
        <f t="shared" si="869"/>
        <v>0</v>
      </c>
      <c r="BK55" s="74">
        <f t="shared" si="869"/>
        <v>0</v>
      </c>
      <c r="BL55" s="91">
        <f t="shared" si="869"/>
        <v>40</v>
      </c>
      <c r="BM55" s="72">
        <f t="shared" si="869"/>
        <v>11.428571428571429</v>
      </c>
      <c r="BN55" s="74">
        <f t="shared" si="869"/>
        <v>12</v>
      </c>
      <c r="BO55" s="71">
        <f t="shared" si="869"/>
        <v>0</v>
      </c>
      <c r="BP55" s="72">
        <f t="shared" si="869"/>
        <v>0</v>
      </c>
      <c r="BQ55" s="74">
        <f t="shared" si="869"/>
        <v>0</v>
      </c>
      <c r="BR55" s="71">
        <f t="shared" si="869"/>
        <v>16</v>
      </c>
      <c r="BS55" s="72">
        <f t="shared" si="869"/>
        <v>4.4800000000000004</v>
      </c>
      <c r="BT55" s="74">
        <f t="shared" si="869"/>
        <v>4</v>
      </c>
      <c r="BU55" s="71">
        <f t="shared" si="869"/>
        <v>0</v>
      </c>
      <c r="BV55" s="72">
        <f t="shared" si="869"/>
        <v>0</v>
      </c>
      <c r="BW55" s="74">
        <f t="shared" si="869"/>
        <v>0</v>
      </c>
      <c r="BX55" s="91">
        <f t="shared" si="869"/>
        <v>16</v>
      </c>
      <c r="BY55" s="72">
        <f t="shared" si="869"/>
        <v>5.032258064516129</v>
      </c>
      <c r="BZ55" s="74">
        <f t="shared" si="869"/>
        <v>4</v>
      </c>
      <c r="CA55" s="71">
        <f t="shared" si="869"/>
        <v>0</v>
      </c>
      <c r="CB55" s="72">
        <f t="shared" si="869"/>
        <v>0</v>
      </c>
      <c r="CC55" s="74">
        <f t="shared" si="869"/>
        <v>0</v>
      </c>
      <c r="CD55" s="71">
        <f t="shared" si="869"/>
        <v>32</v>
      </c>
      <c r="CE55" s="72">
        <f t="shared" si="869"/>
        <v>11.428571428571429</v>
      </c>
      <c r="CF55" s="74">
        <f t="shared" si="869"/>
        <v>10</v>
      </c>
      <c r="CG55" s="71">
        <f t="shared" si="869"/>
        <v>0</v>
      </c>
      <c r="CH55" s="72">
        <f t="shared" si="869"/>
        <v>0</v>
      </c>
      <c r="CI55" s="74">
        <f t="shared" si="869"/>
        <v>0</v>
      </c>
      <c r="CJ55" s="91">
        <f t="shared" si="869"/>
        <v>48</v>
      </c>
      <c r="CK55" s="72">
        <f t="shared" si="869"/>
        <v>12.73469387755102</v>
      </c>
      <c r="CL55" s="74">
        <f t="shared" si="869"/>
        <v>14</v>
      </c>
      <c r="CM55" s="71">
        <f t="shared" si="869"/>
        <v>0</v>
      </c>
      <c r="CN55" s="72">
        <f t="shared" si="869"/>
        <v>0</v>
      </c>
      <c r="CO55" s="74">
        <f t="shared" si="869"/>
        <v>0</v>
      </c>
      <c r="CP55" s="71">
        <f t="shared" si="869"/>
        <v>0</v>
      </c>
      <c r="CQ55" s="72">
        <f t="shared" si="869"/>
        <v>0</v>
      </c>
      <c r="CR55" s="74">
        <f t="shared" si="869"/>
        <v>0</v>
      </c>
      <c r="CS55" s="71">
        <f t="shared" si="869"/>
        <v>56</v>
      </c>
      <c r="CT55" s="72">
        <f t="shared" si="869"/>
        <v>14</v>
      </c>
      <c r="CU55" s="74">
        <f t="shared" si="869"/>
        <v>14</v>
      </c>
      <c r="CV55" s="91">
        <f t="shared" si="869"/>
        <v>16</v>
      </c>
      <c r="CW55" s="72">
        <f t="shared" si="869"/>
        <v>5.12</v>
      </c>
      <c r="CX55" s="74">
        <f t="shared" si="869"/>
        <v>6</v>
      </c>
      <c r="CY55" s="100">
        <f t="shared" si="0"/>
        <v>78</v>
      </c>
      <c r="CZ55" s="95">
        <f t="shared" si="1"/>
        <v>108</v>
      </c>
    </row>
    <row r="56" spans="1:104" s="5" customFormat="1" ht="14.4" customHeight="1" x14ac:dyDescent="0.25">
      <c r="A56" s="134" t="s">
        <v>139</v>
      </c>
      <c r="B56" s="135"/>
      <c r="C56" s="75">
        <f t="shared" ref="C56:AH56" si="870">SUM(C42,C47,C52,C55)</f>
        <v>112</v>
      </c>
      <c r="D56" s="76">
        <f t="shared" si="870"/>
        <v>24.547945205479451</v>
      </c>
      <c r="E56" s="77">
        <f t="shared" si="870"/>
        <v>24</v>
      </c>
      <c r="F56" s="75">
        <f t="shared" si="870"/>
        <v>92</v>
      </c>
      <c r="G56" s="76">
        <f t="shared" si="870"/>
        <v>6</v>
      </c>
      <c r="H56" s="78">
        <f t="shared" si="870"/>
        <v>6</v>
      </c>
      <c r="I56" s="75">
        <f t="shared" si="870"/>
        <v>480</v>
      </c>
      <c r="J56" s="76">
        <f t="shared" si="870"/>
        <v>45.345622119815665</v>
      </c>
      <c r="K56" s="78">
        <f t="shared" si="870"/>
        <v>44</v>
      </c>
      <c r="L56" s="75">
        <f t="shared" si="870"/>
        <v>76</v>
      </c>
      <c r="M56" s="76">
        <f t="shared" si="870"/>
        <v>14.476190476190474</v>
      </c>
      <c r="N56" s="78">
        <f t="shared" si="870"/>
        <v>16</v>
      </c>
      <c r="O56" s="75">
        <f t="shared" si="870"/>
        <v>0</v>
      </c>
      <c r="P56" s="76">
        <f t="shared" si="870"/>
        <v>0</v>
      </c>
      <c r="Q56" s="78">
        <f t="shared" si="870"/>
        <v>0</v>
      </c>
      <c r="R56" s="75">
        <f t="shared" si="870"/>
        <v>16</v>
      </c>
      <c r="S56" s="76">
        <f t="shared" si="870"/>
        <v>7.4482758620689653</v>
      </c>
      <c r="T56" s="78">
        <f t="shared" si="870"/>
        <v>8</v>
      </c>
      <c r="U56" s="75">
        <f t="shared" si="870"/>
        <v>0</v>
      </c>
      <c r="V56" s="76">
        <f t="shared" si="870"/>
        <v>0</v>
      </c>
      <c r="W56" s="78">
        <f t="shared" si="870"/>
        <v>0</v>
      </c>
      <c r="X56" s="75">
        <f t="shared" si="870"/>
        <v>32</v>
      </c>
      <c r="Y56" s="76">
        <f t="shared" si="870"/>
        <v>11.294117647058824</v>
      </c>
      <c r="Z56" s="78">
        <f t="shared" si="870"/>
        <v>12</v>
      </c>
      <c r="AA56" s="75">
        <f t="shared" si="870"/>
        <v>0</v>
      </c>
      <c r="AB56" s="76">
        <f t="shared" si="870"/>
        <v>0</v>
      </c>
      <c r="AC56" s="78">
        <f t="shared" si="870"/>
        <v>0</v>
      </c>
      <c r="AD56" s="75">
        <f t="shared" si="870"/>
        <v>80</v>
      </c>
      <c r="AE56" s="76">
        <f t="shared" si="870"/>
        <v>9.615384615384615</v>
      </c>
      <c r="AF56" s="78">
        <f t="shared" si="870"/>
        <v>10</v>
      </c>
      <c r="AG56" s="75">
        <f t="shared" si="870"/>
        <v>0</v>
      </c>
      <c r="AH56" s="76">
        <f t="shared" si="870"/>
        <v>0</v>
      </c>
      <c r="AI56" s="78">
        <f t="shared" ref="AI56:BA56" si="871">SUM(AI42,AI47,AI52,AI55)</f>
        <v>0</v>
      </c>
      <c r="AJ56" s="75">
        <f t="shared" si="871"/>
        <v>48</v>
      </c>
      <c r="AK56" s="76">
        <f t="shared" si="871"/>
        <v>14.823529411764707</v>
      </c>
      <c r="AL56" s="78">
        <f t="shared" si="871"/>
        <v>14</v>
      </c>
      <c r="AM56" s="75">
        <f t="shared" si="871"/>
        <v>20</v>
      </c>
      <c r="AN56" s="76">
        <f t="shared" si="871"/>
        <v>7.2222222222222223</v>
      </c>
      <c r="AO56" s="78">
        <f t="shared" si="871"/>
        <v>8</v>
      </c>
      <c r="AP56" s="75">
        <f t="shared" si="871"/>
        <v>32</v>
      </c>
      <c r="AQ56" s="76">
        <f t="shared" si="871"/>
        <v>8.9142857142857146</v>
      </c>
      <c r="AR56" s="78">
        <f t="shared" si="871"/>
        <v>10</v>
      </c>
      <c r="AS56" s="75">
        <f t="shared" si="871"/>
        <v>52</v>
      </c>
      <c r="AT56" s="76">
        <f t="shared" si="871"/>
        <v>10.081632653061224</v>
      </c>
      <c r="AU56" s="78">
        <f t="shared" si="871"/>
        <v>10</v>
      </c>
      <c r="AV56" s="75">
        <f t="shared" si="871"/>
        <v>16</v>
      </c>
      <c r="AW56" s="76">
        <f t="shared" si="871"/>
        <v>3.7894736842105261</v>
      </c>
      <c r="AX56" s="78">
        <f t="shared" si="871"/>
        <v>4</v>
      </c>
      <c r="AY56" s="92">
        <f t="shared" si="871"/>
        <v>112</v>
      </c>
      <c r="AZ56" s="76">
        <f t="shared" si="871"/>
        <v>20.533333333333331</v>
      </c>
      <c r="BA56" s="78">
        <f t="shared" si="871"/>
        <v>20</v>
      </c>
      <c r="BB56" s="98">
        <f t="shared" si="90"/>
        <v>186</v>
      </c>
      <c r="BC56" s="75">
        <f t="shared" ref="BC56:CX56" si="872">SUM(BC42,BC47,BC52,BC55)</f>
        <v>112</v>
      </c>
      <c r="BD56" s="76">
        <f t="shared" si="872"/>
        <v>28.933333333333337</v>
      </c>
      <c r="BE56" s="78">
        <f t="shared" si="872"/>
        <v>28</v>
      </c>
      <c r="BF56" s="75">
        <f t="shared" si="872"/>
        <v>216</v>
      </c>
      <c r="BG56" s="76">
        <f t="shared" si="872"/>
        <v>36.932642487046635</v>
      </c>
      <c r="BH56" s="78">
        <f t="shared" si="872"/>
        <v>38</v>
      </c>
      <c r="BI56" s="75">
        <f t="shared" si="872"/>
        <v>32</v>
      </c>
      <c r="BJ56" s="76">
        <f t="shared" si="872"/>
        <v>5.6140350877192979</v>
      </c>
      <c r="BK56" s="78">
        <f t="shared" si="872"/>
        <v>4</v>
      </c>
      <c r="BL56" s="92">
        <f t="shared" si="872"/>
        <v>56</v>
      </c>
      <c r="BM56" s="76">
        <f t="shared" si="872"/>
        <v>16</v>
      </c>
      <c r="BN56" s="78">
        <f t="shared" si="872"/>
        <v>16</v>
      </c>
      <c r="BO56" s="75">
        <f t="shared" si="872"/>
        <v>48</v>
      </c>
      <c r="BP56" s="76">
        <f t="shared" si="872"/>
        <v>11.612903225806452</v>
      </c>
      <c r="BQ56" s="78">
        <f t="shared" si="872"/>
        <v>12</v>
      </c>
      <c r="BR56" s="75">
        <f t="shared" si="872"/>
        <v>136</v>
      </c>
      <c r="BS56" s="76">
        <f t="shared" si="872"/>
        <v>38.080000000000013</v>
      </c>
      <c r="BT56" s="78">
        <f t="shared" si="872"/>
        <v>38</v>
      </c>
      <c r="BU56" s="75">
        <f t="shared" si="872"/>
        <v>12</v>
      </c>
      <c r="BV56" s="76">
        <f t="shared" si="872"/>
        <v>14</v>
      </c>
      <c r="BW56" s="78">
        <f t="shared" si="872"/>
        <v>14</v>
      </c>
      <c r="BX56" s="92">
        <f t="shared" si="872"/>
        <v>228</v>
      </c>
      <c r="BY56" s="76">
        <f t="shared" si="872"/>
        <v>71.709677419354833</v>
      </c>
      <c r="BZ56" s="78">
        <f t="shared" si="872"/>
        <v>72</v>
      </c>
      <c r="CA56" s="75">
        <f t="shared" si="872"/>
        <v>0</v>
      </c>
      <c r="CB56" s="76">
        <f t="shared" si="872"/>
        <v>0</v>
      </c>
      <c r="CC56" s="78">
        <f t="shared" si="872"/>
        <v>0</v>
      </c>
      <c r="CD56" s="75">
        <f t="shared" si="872"/>
        <v>76</v>
      </c>
      <c r="CE56" s="76">
        <f t="shared" si="872"/>
        <v>27.142857142857146</v>
      </c>
      <c r="CF56" s="78">
        <f t="shared" si="872"/>
        <v>26</v>
      </c>
      <c r="CG56" s="75">
        <f t="shared" si="872"/>
        <v>16</v>
      </c>
      <c r="CH56" s="76">
        <f t="shared" si="872"/>
        <v>5.2173913043478262</v>
      </c>
      <c r="CI56" s="78">
        <f t="shared" si="872"/>
        <v>6</v>
      </c>
      <c r="CJ56" s="92">
        <f t="shared" si="872"/>
        <v>160</v>
      </c>
      <c r="CK56" s="76">
        <f t="shared" si="872"/>
        <v>42.448979591836732</v>
      </c>
      <c r="CL56" s="78">
        <f t="shared" si="872"/>
        <v>46</v>
      </c>
      <c r="CM56" s="75">
        <f t="shared" si="872"/>
        <v>0</v>
      </c>
      <c r="CN56" s="76">
        <f t="shared" si="872"/>
        <v>0</v>
      </c>
      <c r="CO56" s="78">
        <f t="shared" si="872"/>
        <v>0</v>
      </c>
      <c r="CP56" s="75">
        <f t="shared" si="872"/>
        <v>16</v>
      </c>
      <c r="CQ56" s="76">
        <f t="shared" si="872"/>
        <v>4</v>
      </c>
      <c r="CR56" s="78">
        <f t="shared" si="872"/>
        <v>4</v>
      </c>
      <c r="CS56" s="75">
        <f t="shared" si="872"/>
        <v>128</v>
      </c>
      <c r="CT56" s="76">
        <f t="shared" si="872"/>
        <v>32</v>
      </c>
      <c r="CU56" s="78">
        <f t="shared" si="872"/>
        <v>32</v>
      </c>
      <c r="CV56" s="92">
        <f t="shared" si="872"/>
        <v>84</v>
      </c>
      <c r="CW56" s="76">
        <f t="shared" si="872"/>
        <v>26.88</v>
      </c>
      <c r="CX56" s="78">
        <f t="shared" si="872"/>
        <v>26</v>
      </c>
      <c r="CY56" s="100">
        <f t="shared" si="0"/>
        <v>362</v>
      </c>
      <c r="CZ56" s="95">
        <f t="shared" si="1"/>
        <v>548</v>
      </c>
    </row>
    <row r="57" spans="1:104" s="5" customFormat="1" ht="15" customHeight="1" thickBot="1" x14ac:dyDescent="0.3">
      <c r="A57" s="132" t="s">
        <v>29</v>
      </c>
      <c r="B57" s="133"/>
      <c r="C57" s="79">
        <f t="shared" ref="C57:AH57" si="873">SUM(C37,C23,C56)</f>
        <v>292</v>
      </c>
      <c r="D57" s="80">
        <f t="shared" si="873"/>
        <v>64</v>
      </c>
      <c r="E57" s="81">
        <f t="shared" si="873"/>
        <v>64</v>
      </c>
      <c r="F57" s="79">
        <f t="shared" si="873"/>
        <v>92</v>
      </c>
      <c r="G57" s="80">
        <f t="shared" si="873"/>
        <v>6</v>
      </c>
      <c r="H57" s="82">
        <f t="shared" si="873"/>
        <v>6</v>
      </c>
      <c r="I57" s="79">
        <f t="shared" si="873"/>
        <v>868</v>
      </c>
      <c r="J57" s="80">
        <f t="shared" si="873"/>
        <v>82</v>
      </c>
      <c r="K57" s="82">
        <f t="shared" si="873"/>
        <v>82</v>
      </c>
      <c r="L57" s="79">
        <f t="shared" si="873"/>
        <v>336</v>
      </c>
      <c r="M57" s="80">
        <f t="shared" si="873"/>
        <v>63.999999999999993</v>
      </c>
      <c r="N57" s="82">
        <f t="shared" si="873"/>
        <v>64</v>
      </c>
      <c r="O57" s="79">
        <f t="shared" si="873"/>
        <v>36</v>
      </c>
      <c r="P57" s="80">
        <f t="shared" si="873"/>
        <v>6</v>
      </c>
      <c r="Q57" s="82">
        <f t="shared" si="873"/>
        <v>6</v>
      </c>
      <c r="R57" s="79">
        <f t="shared" si="873"/>
        <v>116</v>
      </c>
      <c r="S57" s="80">
        <f t="shared" si="873"/>
        <v>54</v>
      </c>
      <c r="T57" s="82">
        <f t="shared" si="873"/>
        <v>54</v>
      </c>
      <c r="U57" s="79">
        <f t="shared" si="873"/>
        <v>20</v>
      </c>
      <c r="V57" s="80">
        <f t="shared" si="873"/>
        <v>12</v>
      </c>
      <c r="W57" s="82">
        <f t="shared" si="873"/>
        <v>12</v>
      </c>
      <c r="X57" s="79">
        <f t="shared" si="873"/>
        <v>136</v>
      </c>
      <c r="Y57" s="80">
        <f t="shared" si="873"/>
        <v>48.000000000000007</v>
      </c>
      <c r="Z57" s="82">
        <f t="shared" si="873"/>
        <v>48</v>
      </c>
      <c r="AA57" s="79">
        <f t="shared" si="873"/>
        <v>88</v>
      </c>
      <c r="AB57" s="80">
        <f t="shared" si="873"/>
        <v>30</v>
      </c>
      <c r="AC57" s="82">
        <f t="shared" si="873"/>
        <v>30</v>
      </c>
      <c r="AD57" s="79">
        <f t="shared" si="873"/>
        <v>416</v>
      </c>
      <c r="AE57" s="80">
        <f t="shared" si="873"/>
        <v>49.999999999999993</v>
      </c>
      <c r="AF57" s="82">
        <f t="shared" si="873"/>
        <v>50</v>
      </c>
      <c r="AG57" s="79">
        <f t="shared" si="873"/>
        <v>72</v>
      </c>
      <c r="AH57" s="80">
        <f t="shared" si="873"/>
        <v>12</v>
      </c>
      <c r="AI57" s="82">
        <f t="shared" ref="AI57:BA57" si="874">SUM(AI37,AI23,AI56)</f>
        <v>12</v>
      </c>
      <c r="AJ57" s="79">
        <f t="shared" si="874"/>
        <v>136</v>
      </c>
      <c r="AK57" s="80">
        <f t="shared" si="874"/>
        <v>42</v>
      </c>
      <c r="AL57" s="82">
        <f t="shared" si="874"/>
        <v>42</v>
      </c>
      <c r="AM57" s="79">
        <f t="shared" si="874"/>
        <v>72</v>
      </c>
      <c r="AN57" s="80">
        <f t="shared" si="874"/>
        <v>26</v>
      </c>
      <c r="AO57" s="82">
        <f t="shared" si="874"/>
        <v>26</v>
      </c>
      <c r="AP57" s="79">
        <f t="shared" si="874"/>
        <v>280</v>
      </c>
      <c r="AQ57" s="80">
        <f t="shared" si="874"/>
        <v>77.999999999999986</v>
      </c>
      <c r="AR57" s="82">
        <f t="shared" si="874"/>
        <v>78</v>
      </c>
      <c r="AS57" s="79">
        <f t="shared" si="874"/>
        <v>392</v>
      </c>
      <c r="AT57" s="80">
        <f t="shared" si="874"/>
        <v>76</v>
      </c>
      <c r="AU57" s="82">
        <f t="shared" si="874"/>
        <v>76</v>
      </c>
      <c r="AV57" s="79">
        <f t="shared" si="874"/>
        <v>76</v>
      </c>
      <c r="AW57" s="80">
        <f t="shared" si="874"/>
        <v>18</v>
      </c>
      <c r="AX57" s="82">
        <f t="shared" si="874"/>
        <v>18</v>
      </c>
      <c r="AY57" s="93">
        <f t="shared" si="874"/>
        <v>360</v>
      </c>
      <c r="AZ57" s="80">
        <f t="shared" si="874"/>
        <v>66</v>
      </c>
      <c r="BA57" s="82">
        <f t="shared" si="874"/>
        <v>66</v>
      </c>
      <c r="BB57" s="99">
        <f t="shared" si="90"/>
        <v>734</v>
      </c>
      <c r="BC57" s="79">
        <f t="shared" ref="BC57:CX57" si="875">SUM(BC37,BC23,BC56)</f>
        <v>240</v>
      </c>
      <c r="BD57" s="80">
        <f t="shared" si="875"/>
        <v>62.000000000000014</v>
      </c>
      <c r="BE57" s="81">
        <f t="shared" si="875"/>
        <v>62</v>
      </c>
      <c r="BF57" s="79">
        <f t="shared" si="875"/>
        <v>386</v>
      </c>
      <c r="BG57" s="80">
        <f t="shared" si="875"/>
        <v>66</v>
      </c>
      <c r="BH57" s="82">
        <f t="shared" si="875"/>
        <v>66</v>
      </c>
      <c r="BI57" s="79">
        <f t="shared" si="875"/>
        <v>114</v>
      </c>
      <c r="BJ57" s="80">
        <f t="shared" si="875"/>
        <v>20</v>
      </c>
      <c r="BK57" s="82">
        <f t="shared" si="875"/>
        <v>20</v>
      </c>
      <c r="BL57" s="79">
        <f t="shared" si="875"/>
        <v>56</v>
      </c>
      <c r="BM57" s="80">
        <f t="shared" si="875"/>
        <v>16</v>
      </c>
      <c r="BN57" s="82">
        <f t="shared" si="875"/>
        <v>16</v>
      </c>
      <c r="BO57" s="79">
        <f t="shared" si="875"/>
        <v>248</v>
      </c>
      <c r="BP57" s="80">
        <f t="shared" si="875"/>
        <v>60</v>
      </c>
      <c r="BQ57" s="82">
        <f t="shared" si="875"/>
        <v>60</v>
      </c>
      <c r="BR57" s="79">
        <f t="shared" si="875"/>
        <v>200</v>
      </c>
      <c r="BS57" s="80">
        <f t="shared" si="875"/>
        <v>56.000000000000014</v>
      </c>
      <c r="BT57" s="82">
        <f t="shared" si="875"/>
        <v>56</v>
      </c>
      <c r="BU57" s="79">
        <f t="shared" si="875"/>
        <v>12</v>
      </c>
      <c r="BV57" s="80">
        <f t="shared" si="875"/>
        <v>14</v>
      </c>
      <c r="BW57" s="82">
        <f t="shared" si="875"/>
        <v>14</v>
      </c>
      <c r="BX57" s="79">
        <f t="shared" si="875"/>
        <v>248</v>
      </c>
      <c r="BY57" s="80">
        <f t="shared" si="875"/>
        <v>78</v>
      </c>
      <c r="BZ57" s="82">
        <f t="shared" si="875"/>
        <v>78</v>
      </c>
      <c r="CA57" s="79">
        <f t="shared" si="875"/>
        <v>16</v>
      </c>
      <c r="CB57" s="80">
        <f t="shared" si="875"/>
        <v>8</v>
      </c>
      <c r="CC57" s="82">
        <f t="shared" si="875"/>
        <v>8</v>
      </c>
      <c r="CD57" s="79">
        <f t="shared" si="875"/>
        <v>84</v>
      </c>
      <c r="CE57" s="80">
        <f t="shared" si="875"/>
        <v>30.000000000000004</v>
      </c>
      <c r="CF57" s="82">
        <f t="shared" si="875"/>
        <v>30</v>
      </c>
      <c r="CG57" s="79">
        <f t="shared" si="875"/>
        <v>92</v>
      </c>
      <c r="CH57" s="80">
        <f t="shared" si="875"/>
        <v>30</v>
      </c>
      <c r="CI57" s="81">
        <f t="shared" si="875"/>
        <v>30</v>
      </c>
      <c r="CJ57" s="79">
        <f t="shared" si="875"/>
        <v>196</v>
      </c>
      <c r="CK57" s="80">
        <f t="shared" si="875"/>
        <v>52</v>
      </c>
      <c r="CL57" s="82">
        <f t="shared" si="875"/>
        <v>52</v>
      </c>
      <c r="CM57" s="79">
        <f t="shared" si="875"/>
        <v>8</v>
      </c>
      <c r="CN57" s="80">
        <f t="shared" si="875"/>
        <v>6</v>
      </c>
      <c r="CO57" s="82">
        <f t="shared" si="875"/>
        <v>6</v>
      </c>
      <c r="CP57" s="93">
        <f t="shared" si="875"/>
        <v>256</v>
      </c>
      <c r="CQ57" s="80">
        <f t="shared" si="875"/>
        <v>64</v>
      </c>
      <c r="CR57" s="81">
        <f t="shared" si="875"/>
        <v>64</v>
      </c>
      <c r="CS57" s="79">
        <f t="shared" si="875"/>
        <v>128</v>
      </c>
      <c r="CT57" s="80">
        <f t="shared" si="875"/>
        <v>32</v>
      </c>
      <c r="CU57" s="82">
        <f t="shared" si="875"/>
        <v>32</v>
      </c>
      <c r="CV57" s="79">
        <f t="shared" si="875"/>
        <v>100</v>
      </c>
      <c r="CW57" s="80">
        <f t="shared" si="875"/>
        <v>32</v>
      </c>
      <c r="CX57" s="82">
        <f t="shared" si="875"/>
        <v>32</v>
      </c>
      <c r="CY57" s="101">
        <f t="shared" si="0"/>
        <v>626</v>
      </c>
      <c r="CZ57" s="96">
        <f t="shared" si="1"/>
        <v>1360</v>
      </c>
    </row>
    <row r="58" spans="1:104" x14ac:dyDescent="0.25">
      <c r="B58" s="1" t="s">
        <v>227</v>
      </c>
      <c r="D58" s="4">
        <v>64</v>
      </c>
      <c r="G58" s="4">
        <v>6</v>
      </c>
      <c r="J58" s="4">
        <v>82</v>
      </c>
      <c r="M58" s="4">
        <v>64</v>
      </c>
      <c r="P58" s="4">
        <v>6</v>
      </c>
      <c r="S58" s="4">
        <v>54</v>
      </c>
      <c r="V58" s="4">
        <v>12</v>
      </c>
      <c r="Y58" s="4">
        <v>48</v>
      </c>
      <c r="AB58" s="4">
        <v>30</v>
      </c>
      <c r="AE58" s="4">
        <v>50</v>
      </c>
      <c r="AH58" s="4">
        <v>12</v>
      </c>
      <c r="AK58" s="4">
        <v>42</v>
      </c>
      <c r="AN58" s="4">
        <v>26</v>
      </c>
      <c r="AQ58" s="4">
        <v>78</v>
      </c>
      <c r="AT58" s="4">
        <v>76</v>
      </c>
      <c r="AW58" s="4">
        <v>18</v>
      </c>
      <c r="AZ58" s="4">
        <v>66</v>
      </c>
      <c r="BD58" s="4">
        <v>62</v>
      </c>
      <c r="BG58" s="4">
        <v>66</v>
      </c>
      <c r="BJ58" s="4">
        <v>20</v>
      </c>
      <c r="BM58" s="4">
        <v>16</v>
      </c>
      <c r="BP58" s="4">
        <v>60</v>
      </c>
      <c r="BS58" s="4">
        <v>56</v>
      </c>
      <c r="BV58" s="4">
        <v>14</v>
      </c>
      <c r="BY58" s="4">
        <v>78</v>
      </c>
      <c r="CB58" s="4">
        <v>8</v>
      </c>
      <c r="CE58" s="4">
        <v>30</v>
      </c>
      <c r="CH58" s="4">
        <v>30</v>
      </c>
      <c r="CK58" s="4">
        <v>52</v>
      </c>
      <c r="CN58" s="4">
        <v>6</v>
      </c>
      <c r="CQ58" s="4">
        <v>64</v>
      </c>
      <c r="CT58" s="4">
        <v>32</v>
      </c>
      <c r="CW58" s="4">
        <v>32</v>
      </c>
    </row>
    <row r="59" spans="1:104" x14ac:dyDescent="0.25">
      <c r="D59" s="3">
        <v>1.5</v>
      </c>
      <c r="G59" s="3">
        <v>1.6</v>
      </c>
      <c r="J59" s="3">
        <v>1.6</v>
      </c>
      <c r="M59" s="3">
        <v>1.8</v>
      </c>
      <c r="P59" s="3">
        <v>2</v>
      </c>
      <c r="S59" s="3">
        <v>2.4</v>
      </c>
      <c r="V59" s="3">
        <v>2.6</v>
      </c>
      <c r="Y59" s="3">
        <v>2.5</v>
      </c>
      <c r="AB59" s="3">
        <v>2</v>
      </c>
      <c r="AE59" s="3">
        <v>2</v>
      </c>
      <c r="AH59" s="3">
        <v>1.1000000000000001</v>
      </c>
      <c r="AK59" s="3">
        <v>2.8</v>
      </c>
      <c r="AN59" s="3">
        <v>1.8</v>
      </c>
      <c r="AQ59" s="3">
        <v>2</v>
      </c>
      <c r="AT59" s="3">
        <v>1.8</v>
      </c>
      <c r="AW59" s="3">
        <v>1.7</v>
      </c>
      <c r="AZ59" s="3">
        <v>2</v>
      </c>
      <c r="BD59" s="3">
        <v>2.1</v>
      </c>
      <c r="BG59" s="3">
        <v>1.5</v>
      </c>
      <c r="BJ59" s="3">
        <v>2.2999999999999998</v>
      </c>
      <c r="BM59" s="3">
        <v>1.8</v>
      </c>
      <c r="BP59" s="3">
        <v>2</v>
      </c>
      <c r="BS59" s="3">
        <v>1.8</v>
      </c>
      <c r="BV59" s="3">
        <v>2.4</v>
      </c>
      <c r="BY59" s="3">
        <v>2</v>
      </c>
      <c r="CB59" s="3">
        <v>1.8</v>
      </c>
      <c r="CE59" s="3">
        <v>2</v>
      </c>
      <c r="CH59" s="3">
        <v>2.2200000000000002</v>
      </c>
      <c r="CK59" s="3">
        <v>2.5</v>
      </c>
      <c r="CN59" s="3">
        <v>1.8</v>
      </c>
      <c r="CQ59" s="3">
        <v>2.13</v>
      </c>
      <c r="CT59" s="3">
        <v>2.4</v>
      </c>
      <c r="CW59" s="3">
        <v>2.4</v>
      </c>
    </row>
    <row r="61" spans="1:104" ht="14.4" x14ac:dyDescent="0.3">
      <c r="D61"/>
      <c r="J61"/>
    </row>
    <row r="62" spans="1:104" x14ac:dyDescent="0.25">
      <c r="D62" s="4"/>
      <c r="G62" s="4"/>
      <c r="J62" s="4"/>
      <c r="M62" s="4"/>
      <c r="P62" s="4"/>
      <c r="S62" s="4"/>
      <c r="V62" s="4"/>
      <c r="Y62" s="4"/>
      <c r="AB62" s="4"/>
      <c r="AE62" s="4"/>
      <c r="AH62" s="4"/>
      <c r="AK62" s="4"/>
      <c r="AN62" s="4"/>
      <c r="AQ62" s="4"/>
      <c r="AT62" s="4"/>
      <c r="AW62" s="4"/>
      <c r="AZ62" s="4"/>
      <c r="BD62" s="4"/>
      <c r="BG62" s="4"/>
      <c r="BJ62" s="4"/>
      <c r="BM62" s="4"/>
      <c r="BP62" s="4"/>
      <c r="BS62" s="4"/>
      <c r="BV62" s="4"/>
      <c r="BY62" s="4"/>
      <c r="CB62" s="4"/>
      <c r="CE62" s="4"/>
      <c r="CH62" s="4"/>
      <c r="CK62" s="4"/>
      <c r="CN62" s="4"/>
      <c r="CQ62" s="4"/>
      <c r="CT62" s="4"/>
      <c r="CW62" s="4"/>
    </row>
    <row r="63" spans="1:104" x14ac:dyDescent="0.25">
      <c r="D63" s="4"/>
      <c r="G63" s="4"/>
      <c r="J63" s="4"/>
      <c r="M63" s="4"/>
      <c r="P63" s="4"/>
      <c r="S63" s="4"/>
      <c r="V63" s="4"/>
      <c r="Y63" s="4"/>
      <c r="AB63" s="4"/>
      <c r="AE63" s="4"/>
      <c r="AH63" s="4"/>
      <c r="AK63" s="4"/>
      <c r="AN63" s="4"/>
      <c r="AQ63" s="4"/>
      <c r="AT63" s="4"/>
      <c r="AW63" s="4"/>
      <c r="AZ63" s="4"/>
      <c r="BD63" s="4"/>
      <c r="BG63" s="4"/>
      <c r="BJ63" s="4"/>
      <c r="BM63" s="4"/>
      <c r="BP63" s="4"/>
      <c r="BS63" s="4"/>
      <c r="BV63" s="4"/>
      <c r="BY63" s="4"/>
      <c r="CB63" s="4"/>
      <c r="CE63" s="4"/>
      <c r="CH63" s="4"/>
      <c r="CK63" s="4"/>
      <c r="CN63" s="4"/>
      <c r="CQ63" s="4"/>
      <c r="CT63" s="4"/>
      <c r="CW63" s="4"/>
    </row>
    <row r="64" spans="1:104" x14ac:dyDescent="0.25">
      <c r="D64" s="4"/>
      <c r="G64" s="4"/>
      <c r="J64" s="4"/>
      <c r="M64" s="4"/>
      <c r="P64" s="4"/>
      <c r="S64" s="4"/>
      <c r="V64" s="4"/>
      <c r="Y64" s="4"/>
      <c r="AB64" s="4"/>
      <c r="AE64" s="4"/>
      <c r="AH64" s="4"/>
      <c r="AK64" s="4"/>
      <c r="AN64" s="4"/>
      <c r="AQ64" s="4"/>
      <c r="AT64" s="4"/>
      <c r="AW64" s="4"/>
      <c r="AZ64" s="4"/>
      <c r="BD64" s="4"/>
      <c r="BG64" s="4"/>
      <c r="BJ64" s="4"/>
      <c r="BM64" s="4"/>
      <c r="BP64" s="4"/>
      <c r="BS64" s="4"/>
      <c r="BV64" s="4"/>
      <c r="BY64" s="4"/>
      <c r="CB64" s="4"/>
      <c r="CE64" s="4"/>
      <c r="CH64" s="4"/>
      <c r="CK64" s="4"/>
      <c r="CN64" s="4"/>
      <c r="CQ64" s="4"/>
      <c r="CT64" s="4"/>
      <c r="CW64" s="4"/>
    </row>
    <row r="65" spans="4:98" x14ac:dyDescent="0.25">
      <c r="G65" s="3" t="str">
        <f>IF(G62=SUM(G64,J64),"",1)</f>
        <v/>
      </c>
      <c r="M65" s="3" t="str">
        <f>IF(M62=SUM(M64,P64),"",1)</f>
        <v/>
      </c>
      <c r="S65" s="3" t="str">
        <f>IF(S62=SUM(S64,V64),"",1)</f>
        <v/>
      </c>
      <c r="Y65" s="3" t="str">
        <f>IF(Y62=SUM(Y64,AB64),"",1)</f>
        <v/>
      </c>
      <c r="AE65" s="3" t="str">
        <f>IF(AE62=SUM(AE64,AH64),"",1)</f>
        <v/>
      </c>
      <c r="AK65" s="3" t="str">
        <f>IF(AK62=SUM(AK64,AN64),"",1)</f>
        <v/>
      </c>
      <c r="AT65" s="3" t="str">
        <f>IF(AT62=SUM(AT64,AW64),"",1)</f>
        <v/>
      </c>
      <c r="BG65" s="3" t="str">
        <f>IF(BG62=SUM(BG64,BJ64),"",1)</f>
        <v/>
      </c>
      <c r="BM65" s="3" t="str">
        <f>IF(BM62=SUM(BM64,BP64),"",1)</f>
        <v/>
      </c>
      <c r="BS65" s="3" t="str">
        <f>IF(BS62=SUM(BS64,BV64),"",1)</f>
        <v/>
      </c>
      <c r="BY65" s="3" t="str">
        <f>IF(BY62=SUM(BY64,CB64),"",1)</f>
        <v/>
      </c>
      <c r="CE65" s="3" t="str">
        <f>IF(CE62=SUM(CE64,CH64),"",1)</f>
        <v/>
      </c>
      <c r="CK65" s="3" t="str">
        <f>IF(CK62=SUM(CK64,CN64),"",1)</f>
        <v/>
      </c>
      <c r="CT65" s="3" t="str">
        <f>IF(CT62=SUM(CT64,CW64),"",1)</f>
        <v/>
      </c>
    </row>
    <row r="69" spans="4:98" ht="14.4" x14ac:dyDescent="0.3">
      <c r="D69"/>
    </row>
    <row r="70" spans="4:98" ht="14.4" x14ac:dyDescent="0.3">
      <c r="D70"/>
    </row>
    <row r="71" spans="4:98" ht="14.4" x14ac:dyDescent="0.3">
      <c r="D71"/>
    </row>
    <row r="72" spans="4:98" ht="14.4" x14ac:dyDescent="0.3">
      <c r="D72"/>
    </row>
    <row r="73" spans="4:98" ht="14.4" x14ac:dyDescent="0.3">
      <c r="D73"/>
    </row>
    <row r="74" spans="4:98" ht="14.4" x14ac:dyDescent="0.3">
      <c r="D74"/>
    </row>
    <row r="75" spans="4:98" ht="14.4" x14ac:dyDescent="0.3">
      <c r="D75"/>
    </row>
    <row r="76" spans="4:98" ht="14.4" x14ac:dyDescent="0.3">
      <c r="D76"/>
    </row>
  </sheetData>
  <mergeCells count="72">
    <mergeCell ref="I4:K4"/>
    <mergeCell ref="F3:K3"/>
    <mergeCell ref="C3:E3"/>
    <mergeCell ref="L3:Q3"/>
    <mergeCell ref="R3:W3"/>
    <mergeCell ref="O4:Q4"/>
    <mergeCell ref="R4:T4"/>
    <mergeCell ref="U4:W4"/>
    <mergeCell ref="X3:AC3"/>
    <mergeCell ref="CM4:CO4"/>
    <mergeCell ref="BL3:BQ3"/>
    <mergeCell ref="BX4:BZ4"/>
    <mergeCell ref="CA4:CC4"/>
    <mergeCell ref="AP3:AR3"/>
    <mergeCell ref="AS3:AX3"/>
    <mergeCell ref="BU4:BW4"/>
    <mergeCell ref="AD3:AI3"/>
    <mergeCell ref="AJ3:AO3"/>
    <mergeCell ref="X4:Z4"/>
    <mergeCell ref="AJ4:AL4"/>
    <mergeCell ref="AG4:AI4"/>
    <mergeCell ref="AA4:AC4"/>
    <mergeCell ref="AM4:AO4"/>
    <mergeCell ref="AD4:AF4"/>
    <mergeCell ref="CY3:CY5"/>
    <mergeCell ref="BC2:CY2"/>
    <mergeCell ref="C2:BB2"/>
    <mergeCell ref="CP3:CR3"/>
    <mergeCell ref="CP4:CR4"/>
    <mergeCell ref="CS3:CX3"/>
    <mergeCell ref="CS4:CU4"/>
    <mergeCell ref="CV4:CX4"/>
    <mergeCell ref="CD3:CI3"/>
    <mergeCell ref="CD4:CF4"/>
    <mergeCell ref="CG4:CI4"/>
    <mergeCell ref="CJ3:CO3"/>
    <mergeCell ref="CJ4:CL4"/>
    <mergeCell ref="C4:E4"/>
    <mergeCell ref="F4:H4"/>
    <mergeCell ref="L4:N4"/>
    <mergeCell ref="A42:B42"/>
    <mergeCell ref="BB3:BB5"/>
    <mergeCell ref="A57:B57"/>
    <mergeCell ref="A56:B56"/>
    <mergeCell ref="A55:B55"/>
    <mergeCell ref="A52:B52"/>
    <mergeCell ref="A47:B47"/>
    <mergeCell ref="A27:B27"/>
    <mergeCell ref="A36:B36"/>
    <mergeCell ref="A23:B23"/>
    <mergeCell ref="A22:B22"/>
    <mergeCell ref="A17:B17"/>
    <mergeCell ref="A14:B14"/>
    <mergeCell ref="A10:B10"/>
    <mergeCell ref="A37:B37"/>
    <mergeCell ref="A32:B32"/>
    <mergeCell ref="A1:AO1"/>
    <mergeCell ref="CZ2:CZ5"/>
    <mergeCell ref="AY3:BA4"/>
    <mergeCell ref="AS4:AU4"/>
    <mergeCell ref="AV4:AX4"/>
    <mergeCell ref="AP4:AR4"/>
    <mergeCell ref="BC3:BE3"/>
    <mergeCell ref="BF3:BK3"/>
    <mergeCell ref="BC4:BE4"/>
    <mergeCell ref="BF4:BH4"/>
    <mergeCell ref="BI4:BK4"/>
    <mergeCell ref="BL4:BN4"/>
    <mergeCell ref="BO4:BQ4"/>
    <mergeCell ref="BR3:BW3"/>
    <mergeCell ref="BX3:CC3"/>
    <mergeCell ref="BR4:BT4"/>
  </mergeCells>
  <printOptions horizontalCentered="1"/>
  <pageMargins left="0" right="0" top="0" bottom="0" header="0" footer="0"/>
  <pageSetup paperSize="9" scale="72" orientation="landscape" r:id="rId1"/>
  <colBreaks count="2" manualBreakCount="2">
    <brk id="41" max="56" man="1"/>
    <brk id="75" max="5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6C95-7D89-4674-973F-7EF8DEE371B4}">
  <sheetPr>
    <tabColor rgb="FF00B050"/>
  </sheetPr>
  <dimension ref="A1:AL57"/>
  <sheetViews>
    <sheetView view="pageBreakPreview" zoomScale="80" zoomScaleNormal="70" zoomScaleSheetLayoutView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Q42" sqref="AQ42"/>
    </sheetView>
  </sheetViews>
  <sheetFormatPr defaultColWidth="8.88671875" defaultRowHeight="13.2" x14ac:dyDescent="0.25"/>
  <cols>
    <col min="1" max="1" width="7.109375" style="7" bestFit="1" customWidth="1"/>
    <col min="2" max="2" width="21.21875" style="1" bestFit="1" customWidth="1"/>
    <col min="3" max="3" width="4.88671875" style="2" bestFit="1" customWidth="1"/>
    <col min="4" max="15" width="4.21875" style="2" customWidth="1"/>
    <col min="16" max="16" width="6.88671875" style="2" bestFit="1" customWidth="1"/>
    <col min="17" max="18" width="4.21875" style="2" customWidth="1"/>
    <col min="19" max="19" width="6.33203125" style="2" bestFit="1" customWidth="1"/>
    <col min="20" max="20" width="7.44140625" style="6" bestFit="1" customWidth="1"/>
    <col min="21" max="33" width="4.21875" style="2" customWidth="1"/>
    <col min="34" max="34" width="7" style="2" bestFit="1" customWidth="1"/>
    <col min="35" max="36" width="4.21875" style="2" customWidth="1"/>
    <col min="37" max="37" width="7.44140625" style="6" bestFit="1" customWidth="1"/>
    <col min="38" max="38" width="8.88671875" style="1" customWidth="1"/>
    <col min="39" max="16384" width="8.88671875" style="1"/>
  </cols>
  <sheetData>
    <row r="1" spans="1:38" ht="15.6" x14ac:dyDescent="0.3">
      <c r="A1" s="115" t="s">
        <v>258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</row>
    <row r="2" spans="1:38" ht="14.4" customHeight="1" x14ac:dyDescent="0.25">
      <c r="A2" s="17"/>
      <c r="B2" s="17"/>
      <c r="C2" s="145" t="s">
        <v>26</v>
      </c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4" t="s">
        <v>27</v>
      </c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6" t="s">
        <v>226</v>
      </c>
    </row>
    <row r="3" spans="1:38" ht="14.25" customHeight="1" x14ac:dyDescent="0.25">
      <c r="A3" s="2"/>
      <c r="B3" s="17"/>
      <c r="C3" s="18" t="s">
        <v>147</v>
      </c>
      <c r="D3" s="122" t="s">
        <v>256</v>
      </c>
      <c r="E3" s="122"/>
      <c r="F3" s="122" t="s">
        <v>148</v>
      </c>
      <c r="G3" s="122"/>
      <c r="H3" s="122" t="s">
        <v>149</v>
      </c>
      <c r="I3" s="122"/>
      <c r="J3" s="122" t="s">
        <v>2</v>
      </c>
      <c r="K3" s="122"/>
      <c r="L3" s="122" t="s">
        <v>24</v>
      </c>
      <c r="M3" s="122"/>
      <c r="N3" s="122" t="s">
        <v>150</v>
      </c>
      <c r="O3" s="122"/>
      <c r="P3" s="122" t="s">
        <v>151</v>
      </c>
      <c r="Q3" s="122" t="s">
        <v>152</v>
      </c>
      <c r="R3" s="122"/>
      <c r="S3" s="122" t="s">
        <v>153</v>
      </c>
      <c r="T3" s="145" t="s">
        <v>13</v>
      </c>
      <c r="U3" s="18" t="s">
        <v>147</v>
      </c>
      <c r="V3" s="122" t="s">
        <v>148</v>
      </c>
      <c r="W3" s="122"/>
      <c r="X3" s="122" t="s">
        <v>24</v>
      </c>
      <c r="Y3" s="122"/>
      <c r="Z3" s="122" t="s">
        <v>156</v>
      </c>
      <c r="AA3" s="122"/>
      <c r="AB3" s="122" t="s">
        <v>157</v>
      </c>
      <c r="AC3" s="122"/>
      <c r="AD3" s="122" t="s">
        <v>150</v>
      </c>
      <c r="AE3" s="122"/>
      <c r="AF3" s="122" t="s">
        <v>149</v>
      </c>
      <c r="AG3" s="122"/>
      <c r="AH3" s="122" t="s">
        <v>158</v>
      </c>
      <c r="AI3" s="122" t="s">
        <v>152</v>
      </c>
      <c r="AJ3" s="122"/>
      <c r="AK3" s="144" t="s">
        <v>13</v>
      </c>
      <c r="AL3" s="146"/>
    </row>
    <row r="4" spans="1:38" x14ac:dyDescent="0.25">
      <c r="A4" s="2"/>
      <c r="B4" s="17"/>
      <c r="C4" s="18" t="s">
        <v>154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45"/>
      <c r="U4" s="18" t="s">
        <v>155</v>
      </c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44"/>
      <c r="AL4" s="146"/>
    </row>
    <row r="5" spans="1:38" x14ac:dyDescent="0.25">
      <c r="A5" s="18" t="s">
        <v>146</v>
      </c>
      <c r="B5" s="34" t="s">
        <v>140</v>
      </c>
      <c r="C5" s="18" t="s">
        <v>8</v>
      </c>
      <c r="D5" s="18" t="s">
        <v>9</v>
      </c>
      <c r="E5" s="18" t="s">
        <v>8</v>
      </c>
      <c r="F5" s="18" t="s">
        <v>9</v>
      </c>
      <c r="G5" s="18" t="s">
        <v>8</v>
      </c>
      <c r="H5" s="18" t="s">
        <v>9</v>
      </c>
      <c r="I5" s="18" t="s">
        <v>8</v>
      </c>
      <c r="J5" s="18" t="s">
        <v>9</v>
      </c>
      <c r="K5" s="18" t="s">
        <v>8</v>
      </c>
      <c r="L5" s="18" t="s">
        <v>9</v>
      </c>
      <c r="M5" s="18" t="s">
        <v>8</v>
      </c>
      <c r="N5" s="18" t="s">
        <v>9</v>
      </c>
      <c r="O5" s="18" t="s">
        <v>8</v>
      </c>
      <c r="P5" s="18" t="s">
        <v>9</v>
      </c>
      <c r="Q5" s="18" t="s">
        <v>9</v>
      </c>
      <c r="R5" s="18" t="s">
        <v>8</v>
      </c>
      <c r="S5" s="122"/>
      <c r="T5" s="145"/>
      <c r="U5" s="18" t="s">
        <v>8</v>
      </c>
      <c r="V5" s="18" t="s">
        <v>9</v>
      </c>
      <c r="W5" s="18" t="s">
        <v>8</v>
      </c>
      <c r="X5" s="18" t="s">
        <v>9</v>
      </c>
      <c r="Y5" s="18" t="s">
        <v>8</v>
      </c>
      <c r="Z5" s="18" t="s">
        <v>9</v>
      </c>
      <c r="AA5" s="18" t="s">
        <v>8</v>
      </c>
      <c r="AB5" s="18" t="s">
        <v>9</v>
      </c>
      <c r="AC5" s="18" t="s">
        <v>8</v>
      </c>
      <c r="AD5" s="18" t="s">
        <v>9</v>
      </c>
      <c r="AE5" s="18" t="s">
        <v>8</v>
      </c>
      <c r="AF5" s="18" t="s">
        <v>9</v>
      </c>
      <c r="AG5" s="18" t="s">
        <v>8</v>
      </c>
      <c r="AH5" s="18" t="s">
        <v>9</v>
      </c>
      <c r="AI5" s="18" t="s">
        <v>9</v>
      </c>
      <c r="AJ5" s="18" t="s">
        <v>8</v>
      </c>
      <c r="AK5" s="144"/>
      <c r="AL5" s="146"/>
    </row>
    <row r="6" spans="1:38" x14ac:dyDescent="0.25">
      <c r="A6" s="35" t="str">
        <f>'2.0WS'!A6</f>
        <v>10</v>
      </c>
      <c r="B6" s="36" t="str">
        <f>'2.0WS'!B6</f>
        <v>ERODE</v>
      </c>
      <c r="C6" s="29" t="str">
        <f>'2.0WS'!E6</f>
        <v/>
      </c>
      <c r="D6" s="29" t="str">
        <f>'2.0WS'!H6</f>
        <v/>
      </c>
      <c r="E6" s="29" t="str">
        <f>'2.0WS'!K6</f>
        <v/>
      </c>
      <c r="F6" s="29" t="str">
        <f>'2.0WS'!N6</f>
        <v/>
      </c>
      <c r="G6" s="29" t="str">
        <f>'2.0WS'!Q6</f>
        <v/>
      </c>
      <c r="H6" s="29" t="str">
        <f>'2.0WS'!T6</f>
        <v/>
      </c>
      <c r="I6" s="29" t="str">
        <f>'2.0WS'!W6</f>
        <v/>
      </c>
      <c r="J6" s="29">
        <f>'2.0WS'!Z6</f>
        <v>6</v>
      </c>
      <c r="K6" s="29">
        <f>'2.0WS'!AC6</f>
        <v>8</v>
      </c>
      <c r="L6" s="29">
        <f>'2.0WS'!AF6</f>
        <v>6</v>
      </c>
      <c r="M6" s="29">
        <f>'2.0WS'!AI6</f>
        <v>4</v>
      </c>
      <c r="N6" s="29" t="str">
        <f>'2.0WS'!AL6</f>
        <v/>
      </c>
      <c r="O6" s="29" t="str">
        <f>'2.0WS'!AO6</f>
        <v/>
      </c>
      <c r="P6" s="29">
        <f>'2.0WS'!AR6</f>
        <v>4</v>
      </c>
      <c r="Q6" s="29" t="str">
        <f>'2.0WS'!AU6</f>
        <v/>
      </c>
      <c r="R6" s="29" t="str">
        <f>'2.0WS'!AX6</f>
        <v/>
      </c>
      <c r="S6" s="29">
        <f>'2.0WS'!BA6</f>
        <v>6</v>
      </c>
      <c r="T6" s="32">
        <f>SUM(C6:S6)</f>
        <v>34</v>
      </c>
      <c r="U6" s="29" t="str">
        <f>'2.0WS'!BE6</f>
        <v/>
      </c>
      <c r="V6" s="29" t="str">
        <f>'2.0WS'!BH6</f>
        <v/>
      </c>
      <c r="W6" s="29" t="str">
        <f>'2.0WS'!BK6</f>
        <v/>
      </c>
      <c r="X6" s="29" t="str">
        <f>'2.0WS'!BN6</f>
        <v/>
      </c>
      <c r="Y6" s="29">
        <f>'2.0WS'!BQ6</f>
        <v>4</v>
      </c>
      <c r="Z6" s="29" t="str">
        <f>'2.0WS'!BT6</f>
        <v/>
      </c>
      <c r="AA6" s="29" t="str">
        <f>'2.0WS'!BW6</f>
        <v/>
      </c>
      <c r="AB6" s="29" t="str">
        <f>'2.0WS'!BZ6</f>
        <v/>
      </c>
      <c r="AC6" s="29" t="str">
        <f>'2.0WS'!CC6</f>
        <v/>
      </c>
      <c r="AD6" s="29" t="str">
        <f>'2.0WS'!CF6</f>
        <v/>
      </c>
      <c r="AE6" s="29">
        <f>'2.0WS'!CI6</f>
        <v>6</v>
      </c>
      <c r="AF6" s="29" t="str">
        <f>'2.0WS'!CL6</f>
        <v/>
      </c>
      <c r="AG6" s="29" t="str">
        <f>'2.0WS'!CO6</f>
        <v/>
      </c>
      <c r="AH6" s="29" t="str">
        <f>'2.0WS'!CR6</f>
        <v/>
      </c>
      <c r="AI6" s="29" t="str">
        <f>'2.0WS'!CU6</f>
        <v/>
      </c>
      <c r="AJ6" s="29" t="str">
        <f>'2.0WS'!CX6</f>
        <v/>
      </c>
      <c r="AK6" s="86">
        <f>SUM(U6:AJ6)</f>
        <v>10</v>
      </c>
      <c r="AL6" s="33">
        <f>SUM(T6,AK6)</f>
        <v>44</v>
      </c>
    </row>
    <row r="7" spans="1:38" x14ac:dyDescent="0.25">
      <c r="A7" s="35" t="str">
        <f>'2.0WS'!A7</f>
        <v>11</v>
      </c>
      <c r="B7" s="36" t="str">
        <f>'2.0WS'!B7</f>
        <v>THE NILGIRIS</v>
      </c>
      <c r="C7" s="29" t="str">
        <f>'2.0WS'!E7</f>
        <v/>
      </c>
      <c r="D7" s="29" t="str">
        <f>'2.0WS'!H7</f>
        <v/>
      </c>
      <c r="E7" s="29" t="str">
        <f>'2.0WS'!K7</f>
        <v/>
      </c>
      <c r="F7" s="29" t="str">
        <f>'2.0WS'!N7</f>
        <v/>
      </c>
      <c r="G7" s="29" t="str">
        <f>'2.0WS'!Q7</f>
        <v/>
      </c>
      <c r="H7" s="29" t="str">
        <f>'2.0WS'!T7</f>
        <v/>
      </c>
      <c r="I7" s="29" t="str">
        <f>'2.0WS'!W7</f>
        <v/>
      </c>
      <c r="J7" s="29" t="str">
        <f>'2.0WS'!Z7</f>
        <v/>
      </c>
      <c r="K7" s="29" t="str">
        <f>'2.0WS'!AC7</f>
        <v/>
      </c>
      <c r="L7" s="29" t="str">
        <f>'2.0WS'!AF7</f>
        <v/>
      </c>
      <c r="M7" s="29" t="str">
        <f>'2.0WS'!AI7</f>
        <v/>
      </c>
      <c r="N7" s="29" t="str">
        <f>'2.0WS'!AL7</f>
        <v/>
      </c>
      <c r="O7" s="29" t="str">
        <f>'2.0WS'!AO7</f>
        <v/>
      </c>
      <c r="P7" s="29" t="str">
        <f>'2.0WS'!AR7</f>
        <v/>
      </c>
      <c r="Q7" s="29" t="str">
        <f>'2.0WS'!AU7</f>
        <v/>
      </c>
      <c r="R7" s="29" t="str">
        <f>'2.0WS'!AX7</f>
        <v/>
      </c>
      <c r="S7" s="29" t="str">
        <f>'2.0WS'!BA7</f>
        <v/>
      </c>
      <c r="T7" s="32">
        <f t="shared" ref="T7:T57" si="0">SUM(C7:S7)</f>
        <v>0</v>
      </c>
      <c r="U7" s="29" t="str">
        <f>'2.0WS'!BE7</f>
        <v/>
      </c>
      <c r="V7" s="29" t="str">
        <f>'2.0WS'!BH7</f>
        <v/>
      </c>
      <c r="W7" s="29" t="str">
        <f>'2.0WS'!BK7</f>
        <v/>
      </c>
      <c r="X7" s="29" t="str">
        <f>'2.0WS'!BN7</f>
        <v/>
      </c>
      <c r="Y7" s="29" t="str">
        <f>'2.0WS'!BQ7</f>
        <v/>
      </c>
      <c r="Z7" s="29" t="str">
        <f>'2.0WS'!BT7</f>
        <v/>
      </c>
      <c r="AA7" s="29" t="str">
        <f>'2.0WS'!BW7</f>
        <v/>
      </c>
      <c r="AB7" s="29" t="str">
        <f>'2.0WS'!BZ7</f>
        <v/>
      </c>
      <c r="AC7" s="29" t="str">
        <f>'2.0WS'!CC7</f>
        <v/>
      </c>
      <c r="AD7" s="29" t="str">
        <f>'2.0WS'!CF7</f>
        <v/>
      </c>
      <c r="AE7" s="29" t="str">
        <f>'2.0WS'!CI7</f>
        <v/>
      </c>
      <c r="AF7" s="29" t="str">
        <f>'2.0WS'!CL7</f>
        <v/>
      </c>
      <c r="AG7" s="29" t="str">
        <f>'2.0WS'!CO7</f>
        <v/>
      </c>
      <c r="AH7" s="29" t="str">
        <f>'2.0WS'!CR7</f>
        <v/>
      </c>
      <c r="AI7" s="29" t="str">
        <f>'2.0WS'!CU7</f>
        <v/>
      </c>
      <c r="AJ7" s="29" t="str">
        <f>'2.0WS'!CX7</f>
        <v/>
      </c>
      <c r="AK7" s="86">
        <f t="shared" ref="AK7:AK57" si="1">SUM(U7:AJ7)</f>
        <v>0</v>
      </c>
      <c r="AL7" s="33">
        <f t="shared" ref="AL7:AL57" si="2">SUM(T7,AK7)</f>
        <v>0</v>
      </c>
    </row>
    <row r="8" spans="1:38" x14ac:dyDescent="0.25">
      <c r="A8" s="35" t="str">
        <f>'2.0WS'!A8</f>
        <v>12</v>
      </c>
      <c r="B8" s="36" t="str">
        <f>'2.0WS'!B8</f>
        <v>COIMBATORE</v>
      </c>
      <c r="C8" s="29" t="str">
        <f>'2.0WS'!E8</f>
        <v/>
      </c>
      <c r="D8" s="29" t="str">
        <f>'2.0WS'!H8</f>
        <v/>
      </c>
      <c r="E8" s="29" t="str">
        <f>'2.0WS'!K8</f>
        <v/>
      </c>
      <c r="F8" s="29">
        <f>'2.0WS'!N8</f>
        <v>6</v>
      </c>
      <c r="G8" s="29" t="str">
        <f>'2.0WS'!Q8</f>
        <v/>
      </c>
      <c r="H8" s="29" t="str">
        <f>'2.0WS'!T8</f>
        <v/>
      </c>
      <c r="I8" s="29" t="str">
        <f>'2.0WS'!W8</f>
        <v/>
      </c>
      <c r="J8" s="29" t="str">
        <f>'2.0WS'!Z8</f>
        <v/>
      </c>
      <c r="K8" s="29" t="str">
        <f>'2.0WS'!AC8</f>
        <v/>
      </c>
      <c r="L8" s="29" t="str">
        <f>'2.0WS'!AF8</f>
        <v/>
      </c>
      <c r="M8" s="29" t="str">
        <f>'2.0WS'!AI8</f>
        <v/>
      </c>
      <c r="N8" s="29" t="str">
        <f>'2.0WS'!AL8</f>
        <v/>
      </c>
      <c r="O8" s="29" t="str">
        <f>'2.0WS'!AO8</f>
        <v/>
      </c>
      <c r="P8" s="29" t="str">
        <f>'2.0WS'!AR8</f>
        <v/>
      </c>
      <c r="Q8" s="29" t="str">
        <f>'2.0WS'!AU8</f>
        <v/>
      </c>
      <c r="R8" s="29" t="str">
        <f>'2.0WS'!AX8</f>
        <v/>
      </c>
      <c r="S8" s="29" t="str">
        <f>'2.0WS'!BA8</f>
        <v/>
      </c>
      <c r="T8" s="32">
        <f t="shared" si="0"/>
        <v>6</v>
      </c>
      <c r="U8" s="29" t="str">
        <f>'2.0WS'!BE8</f>
        <v/>
      </c>
      <c r="V8" s="29">
        <f>'2.0WS'!BH8</f>
        <v>6</v>
      </c>
      <c r="W8" s="29" t="str">
        <f>'2.0WS'!BK8</f>
        <v/>
      </c>
      <c r="X8" s="29" t="str">
        <f>'2.0WS'!BN8</f>
        <v/>
      </c>
      <c r="Y8" s="29" t="str">
        <f>'2.0WS'!BQ8</f>
        <v/>
      </c>
      <c r="Z8" s="29" t="str">
        <f>'2.0WS'!BT8</f>
        <v/>
      </c>
      <c r="AA8" s="29" t="str">
        <f>'2.0WS'!BW8</f>
        <v/>
      </c>
      <c r="AB8" s="29" t="str">
        <f>'2.0WS'!BZ8</f>
        <v/>
      </c>
      <c r="AC8" s="29" t="str">
        <f>'2.0WS'!CC8</f>
        <v/>
      </c>
      <c r="AD8" s="29" t="str">
        <f>'2.0WS'!CF8</f>
        <v/>
      </c>
      <c r="AE8" s="29" t="str">
        <f>'2.0WS'!CI8</f>
        <v/>
      </c>
      <c r="AF8" s="29" t="str">
        <f>'2.0WS'!CL8</f>
        <v/>
      </c>
      <c r="AG8" s="29" t="str">
        <f>'2.0WS'!CO8</f>
        <v/>
      </c>
      <c r="AH8" s="29">
        <f>'2.0WS'!CR8</f>
        <v>4</v>
      </c>
      <c r="AI8" s="29" t="str">
        <f>'2.0WS'!CU8</f>
        <v/>
      </c>
      <c r="AJ8" s="29" t="str">
        <f>'2.0WS'!CX8</f>
        <v/>
      </c>
      <c r="AK8" s="86">
        <f t="shared" si="1"/>
        <v>10</v>
      </c>
      <c r="AL8" s="33">
        <f t="shared" si="2"/>
        <v>16</v>
      </c>
    </row>
    <row r="9" spans="1:38" x14ac:dyDescent="0.25">
      <c r="A9" s="35" t="str">
        <f>'2.0WS'!A9</f>
        <v>32</v>
      </c>
      <c r="B9" s="36" t="str">
        <f>'2.0WS'!B9</f>
        <v>TIRUPPUR</v>
      </c>
      <c r="C9" s="29" t="str">
        <f>'2.0WS'!E9</f>
        <v/>
      </c>
      <c r="D9" s="29" t="str">
        <f>'2.0WS'!H9</f>
        <v/>
      </c>
      <c r="E9" s="29" t="str">
        <f>'2.0WS'!K9</f>
        <v/>
      </c>
      <c r="F9" s="29" t="str">
        <f>'2.0WS'!N9</f>
        <v/>
      </c>
      <c r="G9" s="29" t="str">
        <f>'2.0WS'!Q9</f>
        <v/>
      </c>
      <c r="H9" s="29" t="str">
        <f>'2.0WS'!T9</f>
        <v/>
      </c>
      <c r="I9" s="29" t="str">
        <f>'2.0WS'!W9</f>
        <v/>
      </c>
      <c r="J9" s="29" t="str">
        <f>'2.0WS'!Z9</f>
        <v/>
      </c>
      <c r="K9" s="29" t="str">
        <f>'2.0WS'!AC9</f>
        <v/>
      </c>
      <c r="L9" s="29" t="str">
        <f>'2.0WS'!AF9</f>
        <v/>
      </c>
      <c r="M9" s="29" t="str">
        <f>'2.0WS'!AI9</f>
        <v/>
      </c>
      <c r="N9" s="29" t="str">
        <f>'2.0WS'!AL9</f>
        <v/>
      </c>
      <c r="O9" s="29" t="str">
        <f>'2.0WS'!AO9</f>
        <v/>
      </c>
      <c r="P9" s="29" t="str">
        <f>'2.0WS'!AR9</f>
        <v/>
      </c>
      <c r="Q9" s="29" t="str">
        <f>'2.0WS'!AU9</f>
        <v/>
      </c>
      <c r="R9" s="29" t="str">
        <f>'2.0WS'!AX9</f>
        <v/>
      </c>
      <c r="S9" s="29" t="str">
        <f>'2.0WS'!BA9</f>
        <v/>
      </c>
      <c r="T9" s="32">
        <f t="shared" si="0"/>
        <v>0</v>
      </c>
      <c r="U9" s="29" t="str">
        <f>'2.0WS'!BE9</f>
        <v/>
      </c>
      <c r="V9" s="29" t="str">
        <f>'2.0WS'!BH9</f>
        <v/>
      </c>
      <c r="W9" s="29" t="str">
        <f>'2.0WS'!BK9</f>
        <v/>
      </c>
      <c r="X9" s="29" t="str">
        <f>'2.0WS'!BN9</f>
        <v/>
      </c>
      <c r="Y9" s="29" t="str">
        <f>'2.0WS'!BQ9</f>
        <v/>
      </c>
      <c r="Z9" s="29" t="str">
        <f>'2.0WS'!BT9</f>
        <v/>
      </c>
      <c r="AA9" s="29" t="str">
        <f>'2.0WS'!BW9</f>
        <v/>
      </c>
      <c r="AB9" s="29" t="str">
        <f>'2.0WS'!BZ9</f>
        <v/>
      </c>
      <c r="AC9" s="29" t="str">
        <f>'2.0WS'!CC9</f>
        <v/>
      </c>
      <c r="AD9" s="29" t="str">
        <f>'2.0WS'!CF9</f>
        <v/>
      </c>
      <c r="AE9" s="29" t="str">
        <f>'2.0WS'!CI9</f>
        <v/>
      </c>
      <c r="AF9" s="29" t="str">
        <f>'2.0WS'!CL9</f>
        <v/>
      </c>
      <c r="AG9" s="29" t="str">
        <f>'2.0WS'!CO9</f>
        <v/>
      </c>
      <c r="AH9" s="29" t="str">
        <f>'2.0WS'!CR9</f>
        <v/>
      </c>
      <c r="AI9" s="29" t="str">
        <f>'2.0WS'!CU9</f>
        <v/>
      </c>
      <c r="AJ9" s="29" t="str">
        <f>'2.0WS'!CX9</f>
        <v/>
      </c>
      <c r="AK9" s="86">
        <f t="shared" si="1"/>
        <v>0</v>
      </c>
      <c r="AL9" s="33">
        <f t="shared" si="2"/>
        <v>0</v>
      </c>
    </row>
    <row r="10" spans="1:38" s="5" customFormat="1" ht="14.4" customHeight="1" x14ac:dyDescent="0.25">
      <c r="A10" s="147" t="str">
        <f>'2.0WS'!A10</f>
        <v>SRO COIMBATORE TOTAL</v>
      </c>
      <c r="B10" s="147"/>
      <c r="C10" s="83">
        <f>SUM(C6:C9)</f>
        <v>0</v>
      </c>
      <c r="D10" s="83">
        <f t="shared" ref="D10:S10" si="3">SUM(D6:D9)</f>
        <v>0</v>
      </c>
      <c r="E10" s="83">
        <f t="shared" si="3"/>
        <v>0</v>
      </c>
      <c r="F10" s="83">
        <f t="shared" si="3"/>
        <v>6</v>
      </c>
      <c r="G10" s="83">
        <f t="shared" si="3"/>
        <v>0</v>
      </c>
      <c r="H10" s="83">
        <f t="shared" si="3"/>
        <v>0</v>
      </c>
      <c r="I10" s="83">
        <f t="shared" si="3"/>
        <v>0</v>
      </c>
      <c r="J10" s="83">
        <f t="shared" si="3"/>
        <v>6</v>
      </c>
      <c r="K10" s="83">
        <f t="shared" si="3"/>
        <v>8</v>
      </c>
      <c r="L10" s="83">
        <f t="shared" si="3"/>
        <v>6</v>
      </c>
      <c r="M10" s="83">
        <f t="shared" si="3"/>
        <v>4</v>
      </c>
      <c r="N10" s="83">
        <f t="shared" si="3"/>
        <v>0</v>
      </c>
      <c r="O10" s="83">
        <f t="shared" si="3"/>
        <v>0</v>
      </c>
      <c r="P10" s="83">
        <f t="shared" si="3"/>
        <v>4</v>
      </c>
      <c r="Q10" s="83">
        <f t="shared" si="3"/>
        <v>0</v>
      </c>
      <c r="R10" s="83">
        <f t="shared" si="3"/>
        <v>0</v>
      </c>
      <c r="S10" s="83">
        <f t="shared" si="3"/>
        <v>6</v>
      </c>
      <c r="T10" s="32">
        <f t="shared" si="0"/>
        <v>40</v>
      </c>
      <c r="U10" s="83">
        <f t="shared" ref="U10:AJ10" si="4">SUM(U6:U9)</f>
        <v>0</v>
      </c>
      <c r="V10" s="83">
        <f t="shared" si="4"/>
        <v>6</v>
      </c>
      <c r="W10" s="83">
        <f t="shared" si="4"/>
        <v>0</v>
      </c>
      <c r="X10" s="83">
        <f t="shared" si="4"/>
        <v>0</v>
      </c>
      <c r="Y10" s="83">
        <f t="shared" si="4"/>
        <v>4</v>
      </c>
      <c r="Z10" s="83">
        <f t="shared" si="4"/>
        <v>0</v>
      </c>
      <c r="AA10" s="83">
        <f t="shared" si="4"/>
        <v>0</v>
      </c>
      <c r="AB10" s="83">
        <f t="shared" si="4"/>
        <v>0</v>
      </c>
      <c r="AC10" s="83">
        <f t="shared" si="4"/>
        <v>0</v>
      </c>
      <c r="AD10" s="83">
        <f t="shared" si="4"/>
        <v>0</v>
      </c>
      <c r="AE10" s="83">
        <f t="shared" si="4"/>
        <v>6</v>
      </c>
      <c r="AF10" s="83">
        <f t="shared" si="4"/>
        <v>0</v>
      </c>
      <c r="AG10" s="83">
        <f t="shared" si="4"/>
        <v>0</v>
      </c>
      <c r="AH10" s="83">
        <f t="shared" si="4"/>
        <v>4</v>
      </c>
      <c r="AI10" s="83">
        <f t="shared" si="4"/>
        <v>0</v>
      </c>
      <c r="AJ10" s="83">
        <f t="shared" si="4"/>
        <v>0</v>
      </c>
      <c r="AK10" s="86">
        <f t="shared" si="1"/>
        <v>20</v>
      </c>
      <c r="AL10" s="33">
        <f t="shared" si="2"/>
        <v>60</v>
      </c>
    </row>
    <row r="11" spans="1:38" x14ac:dyDescent="0.25">
      <c r="A11" s="35" t="str">
        <f>'2.0WS'!A11</f>
        <v>05</v>
      </c>
      <c r="B11" s="36" t="str">
        <f>'2.0WS'!B11</f>
        <v>DHARMAPURI</v>
      </c>
      <c r="C11" s="29" t="str">
        <f>'2.0WS'!E11</f>
        <v/>
      </c>
      <c r="D11" s="29" t="str">
        <f>'2.0WS'!H11</f>
        <v/>
      </c>
      <c r="E11" s="29">
        <f>'2.0WS'!K11</f>
        <v>4</v>
      </c>
      <c r="F11" s="29">
        <f>'2.0WS'!N11</f>
        <v>6</v>
      </c>
      <c r="G11" s="29" t="str">
        <f>'2.0WS'!Q11</f>
        <v/>
      </c>
      <c r="H11" s="29" t="str">
        <f>'2.0WS'!T11</f>
        <v/>
      </c>
      <c r="I11" s="29" t="str">
        <f>'2.0WS'!W11</f>
        <v/>
      </c>
      <c r="J11" s="29">
        <f>'2.0WS'!Z11</f>
        <v>6</v>
      </c>
      <c r="K11" s="29">
        <f>'2.0WS'!AC11</f>
        <v>4</v>
      </c>
      <c r="L11" s="29">
        <f>'2.0WS'!AF11</f>
        <v>4</v>
      </c>
      <c r="M11" s="29" t="str">
        <f>'2.0WS'!AI11</f>
        <v/>
      </c>
      <c r="N11" s="29">
        <f>'2.0WS'!AL11</f>
        <v>4</v>
      </c>
      <c r="O11" s="29" t="str">
        <f>'2.0WS'!AO11</f>
        <v/>
      </c>
      <c r="P11" s="29">
        <f>'2.0WS'!AR11</f>
        <v>14</v>
      </c>
      <c r="Q11" s="29">
        <f>'2.0WS'!AU11</f>
        <v>10</v>
      </c>
      <c r="R11" s="29" t="str">
        <f>'2.0WS'!AX11</f>
        <v/>
      </c>
      <c r="S11" s="29">
        <f>'2.0WS'!BA11</f>
        <v>4</v>
      </c>
      <c r="T11" s="32">
        <f t="shared" si="0"/>
        <v>56</v>
      </c>
      <c r="U11" s="29">
        <f>'2.0WS'!BE11</f>
        <v>4</v>
      </c>
      <c r="V11" s="29" t="str">
        <f>'2.0WS'!BH11</f>
        <v/>
      </c>
      <c r="W11" s="29" t="str">
        <f>'2.0WS'!BK11</f>
        <v/>
      </c>
      <c r="X11" s="29" t="str">
        <f>'2.0WS'!BN11</f>
        <v/>
      </c>
      <c r="Y11" s="29">
        <f>'2.0WS'!BQ11</f>
        <v>4</v>
      </c>
      <c r="Z11" s="29" t="str">
        <f>'2.0WS'!BT11</f>
        <v/>
      </c>
      <c r="AA11" s="29" t="str">
        <f>'2.0WS'!BW11</f>
        <v/>
      </c>
      <c r="AB11" s="29" t="str">
        <f>'2.0WS'!BZ11</f>
        <v/>
      </c>
      <c r="AC11" s="29" t="str">
        <f>'2.0WS'!CC11</f>
        <v/>
      </c>
      <c r="AD11" s="29" t="str">
        <f>'2.0WS'!CF11</f>
        <v/>
      </c>
      <c r="AE11" s="29" t="str">
        <f>'2.0WS'!CI11</f>
        <v/>
      </c>
      <c r="AF11" s="29" t="str">
        <f>'2.0WS'!CL11</f>
        <v/>
      </c>
      <c r="AG11" s="29" t="str">
        <f>'2.0WS'!CO11</f>
        <v/>
      </c>
      <c r="AH11" s="29">
        <f>'2.0WS'!CR11</f>
        <v>12</v>
      </c>
      <c r="AI11" s="29" t="str">
        <f>'2.0WS'!CU11</f>
        <v/>
      </c>
      <c r="AJ11" s="29" t="str">
        <f>'2.0WS'!CX11</f>
        <v/>
      </c>
      <c r="AK11" s="86">
        <f t="shared" si="1"/>
        <v>20</v>
      </c>
      <c r="AL11" s="33">
        <f t="shared" si="2"/>
        <v>76</v>
      </c>
    </row>
    <row r="12" spans="1:38" x14ac:dyDescent="0.25">
      <c r="A12" s="35" t="str">
        <f>'2.0WS'!A12</f>
        <v>31</v>
      </c>
      <c r="B12" s="36" t="str">
        <f>'2.0WS'!B12</f>
        <v>KRISHNAGIRI</v>
      </c>
      <c r="C12" s="29">
        <f>'2.0WS'!E12</f>
        <v>4</v>
      </c>
      <c r="D12" s="29" t="str">
        <f>'2.0WS'!H12</f>
        <v/>
      </c>
      <c r="E12" s="29" t="str">
        <f>'2.0WS'!K12</f>
        <v/>
      </c>
      <c r="F12" s="29">
        <f>'2.0WS'!N12</f>
        <v>4</v>
      </c>
      <c r="G12" s="29" t="str">
        <f>'2.0WS'!Q12</f>
        <v/>
      </c>
      <c r="H12" s="29" t="str">
        <f>'2.0WS'!T12</f>
        <v/>
      </c>
      <c r="I12" s="29" t="str">
        <f>'2.0WS'!W12</f>
        <v/>
      </c>
      <c r="J12" s="29" t="str">
        <f>'2.0WS'!Z12</f>
        <v/>
      </c>
      <c r="K12" s="29">
        <f>'2.0WS'!AC12</f>
        <v>6</v>
      </c>
      <c r="L12" s="29">
        <f>'2.0WS'!AF12</f>
        <v>6</v>
      </c>
      <c r="M12" s="29" t="str">
        <f>'2.0WS'!AI12</f>
        <v/>
      </c>
      <c r="N12" s="29">
        <f>'2.0WS'!AL12</f>
        <v>6</v>
      </c>
      <c r="O12" s="29" t="str">
        <f>'2.0WS'!AO12</f>
        <v/>
      </c>
      <c r="P12" s="29">
        <f>'2.0WS'!AR12</f>
        <v>14</v>
      </c>
      <c r="Q12" s="29">
        <f>'2.0WS'!AU12</f>
        <v>4</v>
      </c>
      <c r="R12" s="29" t="str">
        <f>'2.0WS'!AX12</f>
        <v/>
      </c>
      <c r="S12" s="29" t="str">
        <f>'2.0WS'!BA12</f>
        <v/>
      </c>
      <c r="T12" s="32">
        <f t="shared" si="0"/>
        <v>44</v>
      </c>
      <c r="U12" s="29">
        <f>'2.0WS'!BE12</f>
        <v>4</v>
      </c>
      <c r="V12" s="29" t="str">
        <f>'2.0WS'!BH12</f>
        <v/>
      </c>
      <c r="W12" s="29" t="str">
        <f>'2.0WS'!BK12</f>
        <v/>
      </c>
      <c r="X12" s="29" t="str">
        <f>'2.0WS'!BN12</f>
        <v/>
      </c>
      <c r="Y12" s="29">
        <f>'2.0WS'!BQ12</f>
        <v>4</v>
      </c>
      <c r="Z12" s="29" t="str">
        <f>'2.0WS'!BT12</f>
        <v/>
      </c>
      <c r="AA12" s="29" t="str">
        <f>'2.0WS'!BW12</f>
        <v/>
      </c>
      <c r="AB12" s="29" t="str">
        <f>'2.0WS'!BZ12</f>
        <v/>
      </c>
      <c r="AC12" s="29" t="str">
        <f>'2.0WS'!CC12</f>
        <v/>
      </c>
      <c r="AD12" s="29" t="str">
        <f>'2.0WS'!CF12</f>
        <v/>
      </c>
      <c r="AE12" s="29" t="str">
        <f>'2.0WS'!CI12</f>
        <v/>
      </c>
      <c r="AF12" s="29" t="str">
        <f>'2.0WS'!CL12</f>
        <v/>
      </c>
      <c r="AG12" s="29" t="str">
        <f>'2.0WS'!CO12</f>
        <v/>
      </c>
      <c r="AH12" s="29">
        <f>'2.0WS'!CR12</f>
        <v>20</v>
      </c>
      <c r="AI12" s="29" t="str">
        <f>'2.0WS'!CU12</f>
        <v/>
      </c>
      <c r="AJ12" s="29" t="str">
        <f>'2.0WS'!CX12</f>
        <v/>
      </c>
      <c r="AK12" s="86">
        <f t="shared" si="1"/>
        <v>28</v>
      </c>
      <c r="AL12" s="33">
        <f t="shared" si="2"/>
        <v>72</v>
      </c>
    </row>
    <row r="13" spans="1:38" x14ac:dyDescent="0.25">
      <c r="A13" s="35" t="str">
        <f>'2.0WS'!A13</f>
        <v>36</v>
      </c>
      <c r="B13" s="36" t="str">
        <f>'2.0WS'!B13</f>
        <v>TIRUPATHUR</v>
      </c>
      <c r="C13" s="29" t="str">
        <f>'2.0WS'!E13</f>
        <v/>
      </c>
      <c r="D13" s="29" t="str">
        <f>'2.0WS'!H13</f>
        <v/>
      </c>
      <c r="E13" s="29" t="str">
        <f>'2.0WS'!K13</f>
        <v/>
      </c>
      <c r="F13" s="29">
        <f>'2.0WS'!N13</f>
        <v>4</v>
      </c>
      <c r="G13" s="29" t="str">
        <f>'2.0WS'!Q13</f>
        <v/>
      </c>
      <c r="H13" s="29">
        <f>'2.0WS'!T13</f>
        <v>6</v>
      </c>
      <c r="I13" s="29" t="str">
        <f>'2.0WS'!W13</f>
        <v/>
      </c>
      <c r="J13" s="29" t="str">
        <f>'2.0WS'!Z13</f>
        <v/>
      </c>
      <c r="K13" s="29" t="str">
        <f>'2.0WS'!AC13</f>
        <v/>
      </c>
      <c r="L13" s="29">
        <f>'2.0WS'!AF13</f>
        <v>4</v>
      </c>
      <c r="M13" s="29" t="str">
        <f>'2.0WS'!AI13</f>
        <v/>
      </c>
      <c r="N13" s="29" t="str">
        <f>'2.0WS'!AL13</f>
        <v/>
      </c>
      <c r="O13" s="29" t="str">
        <f>'2.0WS'!AO13</f>
        <v/>
      </c>
      <c r="P13" s="29">
        <f>'2.0WS'!AR13</f>
        <v>8</v>
      </c>
      <c r="Q13" s="29">
        <f>'2.0WS'!AU13</f>
        <v>6</v>
      </c>
      <c r="R13" s="29" t="str">
        <f>'2.0WS'!AX13</f>
        <v/>
      </c>
      <c r="S13" s="29" t="str">
        <f>'2.0WS'!BA13</f>
        <v/>
      </c>
      <c r="T13" s="32">
        <f t="shared" si="0"/>
        <v>28</v>
      </c>
      <c r="U13" s="29" t="str">
        <f>'2.0WS'!BE13</f>
        <v/>
      </c>
      <c r="V13" s="29" t="str">
        <f>'2.0WS'!BH13</f>
        <v/>
      </c>
      <c r="W13" s="29" t="str">
        <f>'2.0WS'!BK13</f>
        <v/>
      </c>
      <c r="X13" s="29" t="str">
        <f>'2.0WS'!BN13</f>
        <v/>
      </c>
      <c r="Y13" s="29" t="str">
        <f>'2.0WS'!BQ13</f>
        <v/>
      </c>
      <c r="Z13" s="29" t="str">
        <f>'2.0WS'!BT13</f>
        <v/>
      </c>
      <c r="AA13" s="29" t="str">
        <f>'2.0WS'!BW13</f>
        <v/>
      </c>
      <c r="AB13" s="29" t="str">
        <f>'2.0WS'!BZ13</f>
        <v/>
      </c>
      <c r="AC13" s="29" t="str">
        <f>'2.0WS'!CC13</f>
        <v/>
      </c>
      <c r="AD13" s="29" t="str">
        <f>'2.0WS'!CF13</f>
        <v/>
      </c>
      <c r="AE13" s="29" t="str">
        <f>'2.0WS'!CI13</f>
        <v/>
      </c>
      <c r="AF13" s="29" t="str">
        <f>'2.0WS'!CL13</f>
        <v/>
      </c>
      <c r="AG13" s="29" t="str">
        <f>'2.0WS'!CO13</f>
        <v/>
      </c>
      <c r="AH13" s="29">
        <f>'2.0WS'!CR13</f>
        <v>8</v>
      </c>
      <c r="AI13" s="29" t="str">
        <f>'2.0WS'!CU13</f>
        <v/>
      </c>
      <c r="AJ13" s="29" t="str">
        <f>'2.0WS'!CX13</f>
        <v/>
      </c>
      <c r="AK13" s="86">
        <f t="shared" si="1"/>
        <v>8</v>
      </c>
      <c r="AL13" s="33">
        <f t="shared" si="2"/>
        <v>36</v>
      </c>
    </row>
    <row r="14" spans="1:38" s="5" customFormat="1" ht="14.4" customHeight="1" x14ac:dyDescent="0.25">
      <c r="A14" s="147" t="str">
        <f>'2.0WS'!A14</f>
        <v>SRO DHARMAPURI TOTAL</v>
      </c>
      <c r="B14" s="147"/>
      <c r="C14" s="83">
        <f>SUM(C11:C13)</f>
        <v>4</v>
      </c>
      <c r="D14" s="83">
        <f t="shared" ref="D14:S14" si="5">SUM(D11:D13)</f>
        <v>0</v>
      </c>
      <c r="E14" s="83">
        <f t="shared" si="5"/>
        <v>4</v>
      </c>
      <c r="F14" s="83">
        <f t="shared" si="5"/>
        <v>14</v>
      </c>
      <c r="G14" s="83">
        <f t="shared" si="5"/>
        <v>0</v>
      </c>
      <c r="H14" s="83">
        <f t="shared" si="5"/>
        <v>6</v>
      </c>
      <c r="I14" s="83">
        <f t="shared" si="5"/>
        <v>0</v>
      </c>
      <c r="J14" s="83">
        <f t="shared" si="5"/>
        <v>6</v>
      </c>
      <c r="K14" s="83">
        <f t="shared" si="5"/>
        <v>10</v>
      </c>
      <c r="L14" s="83">
        <f t="shared" si="5"/>
        <v>14</v>
      </c>
      <c r="M14" s="83">
        <f t="shared" si="5"/>
        <v>0</v>
      </c>
      <c r="N14" s="83">
        <f t="shared" si="5"/>
        <v>10</v>
      </c>
      <c r="O14" s="83">
        <f t="shared" si="5"/>
        <v>0</v>
      </c>
      <c r="P14" s="83">
        <f t="shared" si="5"/>
        <v>36</v>
      </c>
      <c r="Q14" s="83">
        <f t="shared" si="5"/>
        <v>20</v>
      </c>
      <c r="R14" s="83">
        <f t="shared" si="5"/>
        <v>0</v>
      </c>
      <c r="S14" s="83">
        <f t="shared" si="5"/>
        <v>4</v>
      </c>
      <c r="T14" s="32">
        <f t="shared" si="0"/>
        <v>128</v>
      </c>
      <c r="U14" s="83">
        <f t="shared" ref="U14:AJ14" si="6">SUM(U11:U13)</f>
        <v>8</v>
      </c>
      <c r="V14" s="83">
        <f t="shared" si="6"/>
        <v>0</v>
      </c>
      <c r="W14" s="83">
        <f t="shared" si="6"/>
        <v>0</v>
      </c>
      <c r="X14" s="83">
        <f t="shared" si="6"/>
        <v>0</v>
      </c>
      <c r="Y14" s="83">
        <f t="shared" si="6"/>
        <v>8</v>
      </c>
      <c r="Z14" s="83">
        <f t="shared" si="6"/>
        <v>0</v>
      </c>
      <c r="AA14" s="83">
        <f t="shared" si="6"/>
        <v>0</v>
      </c>
      <c r="AB14" s="83">
        <f t="shared" si="6"/>
        <v>0</v>
      </c>
      <c r="AC14" s="83">
        <f t="shared" si="6"/>
        <v>0</v>
      </c>
      <c r="AD14" s="83">
        <f t="shared" si="6"/>
        <v>0</v>
      </c>
      <c r="AE14" s="83">
        <f t="shared" si="6"/>
        <v>0</v>
      </c>
      <c r="AF14" s="83">
        <f t="shared" si="6"/>
        <v>0</v>
      </c>
      <c r="AG14" s="83">
        <f t="shared" si="6"/>
        <v>0</v>
      </c>
      <c r="AH14" s="83">
        <f t="shared" si="6"/>
        <v>40</v>
      </c>
      <c r="AI14" s="83">
        <f t="shared" si="6"/>
        <v>0</v>
      </c>
      <c r="AJ14" s="83">
        <f t="shared" si="6"/>
        <v>0</v>
      </c>
      <c r="AK14" s="86">
        <f t="shared" si="1"/>
        <v>56</v>
      </c>
      <c r="AL14" s="33">
        <f t="shared" si="2"/>
        <v>184</v>
      </c>
    </row>
    <row r="15" spans="1:38" x14ac:dyDescent="0.25">
      <c r="A15" s="35" t="str">
        <f>'2.0WS'!A15</f>
        <v>08</v>
      </c>
      <c r="B15" s="36" t="str">
        <f>'2.0WS'!B15</f>
        <v>SALEM</v>
      </c>
      <c r="C15" s="29" t="str">
        <f>'2.0WS'!E15</f>
        <v/>
      </c>
      <c r="D15" s="29" t="str">
        <f>'2.0WS'!H15</f>
        <v/>
      </c>
      <c r="E15" s="29" t="str">
        <f>'2.0WS'!K15</f>
        <v/>
      </c>
      <c r="F15" s="29">
        <f>'2.0WS'!N15</f>
        <v>10</v>
      </c>
      <c r="G15" s="29" t="str">
        <f>'2.0WS'!Q15</f>
        <v/>
      </c>
      <c r="H15" s="29" t="str">
        <f>'2.0WS'!T15</f>
        <v/>
      </c>
      <c r="I15" s="29" t="str">
        <f>'2.0WS'!W15</f>
        <v/>
      </c>
      <c r="J15" s="29">
        <f>'2.0WS'!Z15</f>
        <v>6</v>
      </c>
      <c r="K15" s="29">
        <f>'2.0WS'!AC15</f>
        <v>6</v>
      </c>
      <c r="L15" s="29">
        <f>'2.0WS'!AF15</f>
        <v>6</v>
      </c>
      <c r="M15" s="29" t="str">
        <f>'2.0WS'!AI15</f>
        <v/>
      </c>
      <c r="N15" s="29">
        <f>'2.0WS'!AL15</f>
        <v>4</v>
      </c>
      <c r="O15" s="29">
        <f>'2.0WS'!AO15</f>
        <v>6</v>
      </c>
      <c r="P15" s="29">
        <f>'2.0WS'!AR15</f>
        <v>6</v>
      </c>
      <c r="Q15" s="29">
        <f>'2.0WS'!AU15</f>
        <v>10</v>
      </c>
      <c r="R15" s="29">
        <f>'2.0WS'!AX15</f>
        <v>4</v>
      </c>
      <c r="S15" s="29">
        <f>'2.0WS'!BA15</f>
        <v>4</v>
      </c>
      <c r="T15" s="32">
        <f t="shared" si="0"/>
        <v>62</v>
      </c>
      <c r="U15" s="29">
        <f>'2.0WS'!BE15</f>
        <v>4</v>
      </c>
      <c r="V15" s="29">
        <f>'2.0WS'!BH15</f>
        <v>4</v>
      </c>
      <c r="W15" s="29">
        <f>'2.0WS'!BK15</f>
        <v>6</v>
      </c>
      <c r="X15" s="29" t="str">
        <f>'2.0WS'!BN15</f>
        <v/>
      </c>
      <c r="Y15" s="29">
        <f>'2.0WS'!BQ15</f>
        <v>4</v>
      </c>
      <c r="Z15" s="29" t="str">
        <f>'2.0WS'!BT15</f>
        <v/>
      </c>
      <c r="AA15" s="29" t="str">
        <f>'2.0WS'!BW15</f>
        <v/>
      </c>
      <c r="AB15" s="29" t="str">
        <f>'2.0WS'!BZ15</f>
        <v/>
      </c>
      <c r="AC15" s="29" t="str">
        <f>'2.0WS'!CC15</f>
        <v/>
      </c>
      <c r="AD15" s="29" t="str">
        <f>'2.0WS'!CF15</f>
        <v/>
      </c>
      <c r="AE15" s="29">
        <f>'2.0WS'!CI15</f>
        <v>4</v>
      </c>
      <c r="AF15" s="29" t="str">
        <f>'2.0WS'!CL15</f>
        <v/>
      </c>
      <c r="AG15" s="29">
        <f>'2.0WS'!CO15</f>
        <v>6</v>
      </c>
      <c r="AH15" s="29">
        <f>'2.0WS'!CR15</f>
        <v>8</v>
      </c>
      <c r="AI15" s="29" t="str">
        <f>'2.0WS'!CU15</f>
        <v/>
      </c>
      <c r="AJ15" s="29">
        <f>'2.0WS'!CX15</f>
        <v>6</v>
      </c>
      <c r="AK15" s="86">
        <f t="shared" si="1"/>
        <v>42</v>
      </c>
      <c r="AL15" s="33">
        <f t="shared" si="2"/>
        <v>104</v>
      </c>
    </row>
    <row r="16" spans="1:38" x14ac:dyDescent="0.25">
      <c r="A16" s="35" t="str">
        <f>'2.0WS'!A16</f>
        <v>09</v>
      </c>
      <c r="B16" s="36" t="str">
        <f>'2.0WS'!B16</f>
        <v>NAMAKKAL</v>
      </c>
      <c r="C16" s="29" t="str">
        <f>'2.0WS'!E16</f>
        <v/>
      </c>
      <c r="D16" s="29" t="str">
        <f>'2.0WS'!H16</f>
        <v/>
      </c>
      <c r="E16" s="29">
        <f>'2.0WS'!K16</f>
        <v>4</v>
      </c>
      <c r="F16" s="29">
        <f>'2.0WS'!N16</f>
        <v>14</v>
      </c>
      <c r="G16" s="29">
        <f>'2.0WS'!Q16</f>
        <v>0</v>
      </c>
      <c r="H16" s="29" t="str">
        <f>'2.0WS'!T16</f>
        <v/>
      </c>
      <c r="I16" s="29" t="str">
        <f>'2.0WS'!W16</f>
        <v/>
      </c>
      <c r="J16" s="29" t="str">
        <f>'2.0WS'!Z16</f>
        <v/>
      </c>
      <c r="K16" s="29" t="str">
        <f>'2.0WS'!AC16</f>
        <v/>
      </c>
      <c r="L16" s="29">
        <f>'2.0WS'!AF16</f>
        <v>10</v>
      </c>
      <c r="M16" s="29" t="str">
        <f>'2.0WS'!AI16</f>
        <v/>
      </c>
      <c r="N16" s="29" t="str">
        <f>'2.0WS'!AL16</f>
        <v/>
      </c>
      <c r="O16" s="29" t="str">
        <f>'2.0WS'!AO16</f>
        <v/>
      </c>
      <c r="P16" s="29" t="str">
        <f>'2.0WS'!AR16</f>
        <v/>
      </c>
      <c r="Q16" s="29">
        <f>'2.0WS'!AU16</f>
        <v>4</v>
      </c>
      <c r="R16" s="29">
        <f>'2.0WS'!AX16</f>
        <v>4</v>
      </c>
      <c r="S16" s="29">
        <f>'2.0WS'!BA16</f>
        <v>4</v>
      </c>
      <c r="T16" s="32">
        <f t="shared" si="0"/>
        <v>40</v>
      </c>
      <c r="U16" s="29" t="str">
        <f>'2.0WS'!BE16</f>
        <v/>
      </c>
      <c r="V16" s="29">
        <f>'2.0WS'!BH16</f>
        <v>14</v>
      </c>
      <c r="W16" s="29">
        <f>'2.0WS'!BK16</f>
        <v>6</v>
      </c>
      <c r="X16" s="29" t="str">
        <f>'2.0WS'!BN16</f>
        <v/>
      </c>
      <c r="Y16" s="29">
        <f>'2.0WS'!BQ16</f>
        <v>4</v>
      </c>
      <c r="Z16" s="29" t="str">
        <f>'2.0WS'!BT16</f>
        <v/>
      </c>
      <c r="AA16" s="29" t="str">
        <f>'2.0WS'!BW16</f>
        <v/>
      </c>
      <c r="AB16" s="29" t="str">
        <f>'2.0WS'!BZ16</f>
        <v/>
      </c>
      <c r="AC16" s="29" t="str">
        <f>'2.0WS'!CC16</f>
        <v/>
      </c>
      <c r="AD16" s="29" t="str">
        <f>'2.0WS'!CF16</f>
        <v/>
      </c>
      <c r="AE16" s="29">
        <f>'2.0WS'!CI16</f>
        <v>4</v>
      </c>
      <c r="AF16" s="29" t="str">
        <f>'2.0WS'!CL16</f>
        <v/>
      </c>
      <c r="AG16" s="29" t="str">
        <f>'2.0WS'!CO16</f>
        <v/>
      </c>
      <c r="AH16" s="29" t="str">
        <f>'2.0WS'!CR16</f>
        <v/>
      </c>
      <c r="AI16" s="29" t="str">
        <f>'2.0WS'!CU16</f>
        <v/>
      </c>
      <c r="AJ16" s="29" t="str">
        <f>'2.0WS'!CX16</f>
        <v/>
      </c>
      <c r="AK16" s="86">
        <f t="shared" si="1"/>
        <v>28</v>
      </c>
      <c r="AL16" s="33">
        <f t="shared" si="2"/>
        <v>68</v>
      </c>
    </row>
    <row r="17" spans="1:38" s="5" customFormat="1" ht="14.4" customHeight="1" x14ac:dyDescent="0.25">
      <c r="A17" s="147" t="str">
        <f>'2.0WS'!A17</f>
        <v>SRO SALEM TOTAL</v>
      </c>
      <c r="B17" s="147"/>
      <c r="C17" s="83">
        <f>SUM(C15:C16)</f>
        <v>0</v>
      </c>
      <c r="D17" s="83">
        <f t="shared" ref="D17:S17" si="7">SUM(D15:D16)</f>
        <v>0</v>
      </c>
      <c r="E17" s="83">
        <f t="shared" si="7"/>
        <v>4</v>
      </c>
      <c r="F17" s="83">
        <f t="shared" si="7"/>
        <v>24</v>
      </c>
      <c r="G17" s="83">
        <f t="shared" si="7"/>
        <v>0</v>
      </c>
      <c r="H17" s="83">
        <f t="shared" si="7"/>
        <v>0</v>
      </c>
      <c r="I17" s="83">
        <f t="shared" si="7"/>
        <v>0</v>
      </c>
      <c r="J17" s="83">
        <f t="shared" si="7"/>
        <v>6</v>
      </c>
      <c r="K17" s="83">
        <f t="shared" si="7"/>
        <v>6</v>
      </c>
      <c r="L17" s="83">
        <f t="shared" si="7"/>
        <v>16</v>
      </c>
      <c r="M17" s="83">
        <f t="shared" si="7"/>
        <v>0</v>
      </c>
      <c r="N17" s="83">
        <f t="shared" si="7"/>
        <v>4</v>
      </c>
      <c r="O17" s="83">
        <f t="shared" si="7"/>
        <v>6</v>
      </c>
      <c r="P17" s="83">
        <f t="shared" si="7"/>
        <v>6</v>
      </c>
      <c r="Q17" s="83">
        <f t="shared" si="7"/>
        <v>14</v>
      </c>
      <c r="R17" s="83">
        <f t="shared" si="7"/>
        <v>8</v>
      </c>
      <c r="S17" s="83">
        <f t="shared" si="7"/>
        <v>8</v>
      </c>
      <c r="T17" s="32">
        <f t="shared" si="0"/>
        <v>102</v>
      </c>
      <c r="U17" s="83">
        <f t="shared" ref="U17:AJ17" si="8">SUM(U15:U16)</f>
        <v>4</v>
      </c>
      <c r="V17" s="83">
        <f t="shared" si="8"/>
        <v>18</v>
      </c>
      <c r="W17" s="83">
        <f t="shared" si="8"/>
        <v>12</v>
      </c>
      <c r="X17" s="83">
        <f t="shared" si="8"/>
        <v>0</v>
      </c>
      <c r="Y17" s="83">
        <f t="shared" si="8"/>
        <v>8</v>
      </c>
      <c r="Z17" s="83">
        <f t="shared" si="8"/>
        <v>0</v>
      </c>
      <c r="AA17" s="83">
        <f t="shared" si="8"/>
        <v>0</v>
      </c>
      <c r="AB17" s="83">
        <f t="shared" si="8"/>
        <v>0</v>
      </c>
      <c r="AC17" s="83">
        <f t="shared" si="8"/>
        <v>0</v>
      </c>
      <c r="AD17" s="83">
        <f t="shared" si="8"/>
        <v>0</v>
      </c>
      <c r="AE17" s="83">
        <f t="shared" si="8"/>
        <v>8</v>
      </c>
      <c r="AF17" s="83">
        <f t="shared" si="8"/>
        <v>0</v>
      </c>
      <c r="AG17" s="83">
        <f t="shared" si="8"/>
        <v>6</v>
      </c>
      <c r="AH17" s="83">
        <f t="shared" si="8"/>
        <v>8</v>
      </c>
      <c r="AI17" s="83">
        <f t="shared" si="8"/>
        <v>0</v>
      </c>
      <c r="AJ17" s="83">
        <f t="shared" si="8"/>
        <v>6</v>
      </c>
      <c r="AK17" s="86">
        <f t="shared" si="1"/>
        <v>70</v>
      </c>
      <c r="AL17" s="33">
        <f t="shared" si="2"/>
        <v>172</v>
      </c>
    </row>
    <row r="18" spans="1:38" x14ac:dyDescent="0.25">
      <c r="A18" s="35" t="str">
        <f>'2.0WS'!A18</f>
        <v>14</v>
      </c>
      <c r="B18" s="36" t="str">
        <f>'2.0WS'!B18</f>
        <v>KARUR</v>
      </c>
      <c r="C18" s="29" t="str">
        <f>'2.0WS'!E18</f>
        <v/>
      </c>
      <c r="D18" s="29" t="str">
        <f>'2.0WS'!H18</f>
        <v/>
      </c>
      <c r="E18" s="29" t="str">
        <f>'2.0WS'!K18</f>
        <v/>
      </c>
      <c r="F18" s="29">
        <f>'2.0WS'!N18</f>
        <v>4</v>
      </c>
      <c r="G18" s="29">
        <f>'2.0WS'!Q18</f>
        <v>6</v>
      </c>
      <c r="H18" s="29" t="str">
        <f>'2.0WS'!T18</f>
        <v/>
      </c>
      <c r="I18" s="29" t="str">
        <f>'2.0WS'!W18</f>
        <v/>
      </c>
      <c r="J18" s="29" t="str">
        <f>'2.0WS'!Z18</f>
        <v/>
      </c>
      <c r="K18" s="29" t="str">
        <f>'2.0WS'!AC18</f>
        <v/>
      </c>
      <c r="L18" s="29" t="str">
        <f>'2.0WS'!AF18</f>
        <v/>
      </c>
      <c r="M18" s="29" t="str">
        <f>'2.0WS'!AI18</f>
        <v/>
      </c>
      <c r="N18" s="29">
        <f>'2.0WS'!AL18</f>
        <v>8</v>
      </c>
      <c r="O18" s="29" t="str">
        <f>'2.0WS'!AO18</f>
        <v/>
      </c>
      <c r="P18" s="29">
        <f>'2.0WS'!AR18</f>
        <v>4</v>
      </c>
      <c r="Q18" s="29" t="str">
        <f>'2.0WS'!AU18</f>
        <v/>
      </c>
      <c r="R18" s="29" t="str">
        <f>'2.0WS'!AX18</f>
        <v/>
      </c>
      <c r="S18" s="29">
        <f>'2.0WS'!BA18</f>
        <v>4</v>
      </c>
      <c r="T18" s="32">
        <f t="shared" si="0"/>
        <v>26</v>
      </c>
      <c r="U18" s="29" t="str">
        <f>'2.0WS'!BE18</f>
        <v/>
      </c>
      <c r="V18" s="29">
        <f>'2.0WS'!BH18</f>
        <v>4</v>
      </c>
      <c r="W18" s="29">
        <f>'2.0WS'!BK18</f>
        <v>4</v>
      </c>
      <c r="X18" s="29" t="str">
        <f>'2.0WS'!BN18</f>
        <v/>
      </c>
      <c r="Y18" s="29">
        <f>'2.0WS'!BQ18</f>
        <v>4</v>
      </c>
      <c r="Z18" s="29" t="str">
        <f>'2.0WS'!BT18</f>
        <v/>
      </c>
      <c r="AA18" s="29" t="str">
        <f>'2.0WS'!BW18</f>
        <v/>
      </c>
      <c r="AB18" s="29" t="str">
        <f>'2.0WS'!BZ18</f>
        <v/>
      </c>
      <c r="AC18" s="29" t="str">
        <f>'2.0WS'!CC18</f>
        <v/>
      </c>
      <c r="AD18" s="29" t="str">
        <f>'2.0WS'!CF18</f>
        <v/>
      </c>
      <c r="AE18" s="29" t="str">
        <f>'2.0WS'!CI18</f>
        <v/>
      </c>
      <c r="AF18" s="29">
        <f>'2.0WS'!CL18</f>
        <v>6</v>
      </c>
      <c r="AG18" s="29" t="str">
        <f>'2.0WS'!CO18</f>
        <v/>
      </c>
      <c r="AH18" s="29">
        <f>'2.0WS'!CR18</f>
        <v>4</v>
      </c>
      <c r="AI18" s="29" t="str">
        <f>'2.0WS'!CU18</f>
        <v/>
      </c>
      <c r="AJ18" s="29" t="str">
        <f>'2.0WS'!CX18</f>
        <v/>
      </c>
      <c r="AK18" s="86">
        <f t="shared" si="1"/>
        <v>22</v>
      </c>
      <c r="AL18" s="33">
        <f t="shared" si="2"/>
        <v>48</v>
      </c>
    </row>
    <row r="19" spans="1:38" x14ac:dyDescent="0.25">
      <c r="A19" s="35" t="str">
        <f>'2.0WS'!A19</f>
        <v>15</v>
      </c>
      <c r="B19" s="36" t="str">
        <f>'2.0WS'!B19</f>
        <v>TIRUCHIRAPPALLI</v>
      </c>
      <c r="C19" s="29" t="str">
        <f>'2.0WS'!E19</f>
        <v/>
      </c>
      <c r="D19" s="29" t="str">
        <f>'2.0WS'!H19</f>
        <v/>
      </c>
      <c r="E19" s="29" t="str">
        <f>'2.0WS'!K19</f>
        <v/>
      </c>
      <c r="F19" s="29" t="str">
        <f>'2.0WS'!N19</f>
        <v/>
      </c>
      <c r="G19" s="29" t="str">
        <f>'2.0WS'!Q19</f>
        <v/>
      </c>
      <c r="H19" s="29" t="str">
        <f>'2.0WS'!T19</f>
        <v/>
      </c>
      <c r="I19" s="29" t="str">
        <f>'2.0WS'!W19</f>
        <v/>
      </c>
      <c r="J19" s="29" t="str">
        <f>'2.0WS'!Z19</f>
        <v/>
      </c>
      <c r="K19" s="29" t="str">
        <f>'2.0WS'!AC19</f>
        <v/>
      </c>
      <c r="L19" s="29" t="str">
        <f>'2.0WS'!AF19</f>
        <v/>
      </c>
      <c r="M19" s="29" t="str">
        <f>'2.0WS'!AI19</f>
        <v/>
      </c>
      <c r="N19" s="29" t="str">
        <f>'2.0WS'!AL19</f>
        <v/>
      </c>
      <c r="O19" s="29" t="str">
        <f>'2.0WS'!AO19</f>
        <v/>
      </c>
      <c r="P19" s="29" t="str">
        <f>'2.0WS'!AR19</f>
        <v/>
      </c>
      <c r="Q19" s="29" t="str">
        <f>'2.0WS'!AU19</f>
        <v/>
      </c>
      <c r="R19" s="29" t="str">
        <f>'2.0WS'!AX19</f>
        <v/>
      </c>
      <c r="S19" s="29" t="str">
        <f>'2.0WS'!BA19</f>
        <v/>
      </c>
      <c r="T19" s="32">
        <f t="shared" si="0"/>
        <v>0</v>
      </c>
      <c r="U19" s="29" t="str">
        <f>'2.0WS'!BE19</f>
        <v/>
      </c>
      <c r="V19" s="29" t="str">
        <f>'2.0WS'!BH19</f>
        <v/>
      </c>
      <c r="W19" s="29" t="str">
        <f>'2.0WS'!BK19</f>
        <v/>
      </c>
      <c r="X19" s="29" t="str">
        <f>'2.0WS'!BN19</f>
        <v/>
      </c>
      <c r="Y19" s="29" t="str">
        <f>'2.0WS'!BQ19</f>
        <v/>
      </c>
      <c r="Z19" s="29" t="str">
        <f>'2.0WS'!BT19</f>
        <v/>
      </c>
      <c r="AA19" s="29" t="str">
        <f>'2.0WS'!BW19</f>
        <v/>
      </c>
      <c r="AB19" s="29" t="str">
        <f>'2.0WS'!BZ19</f>
        <v/>
      </c>
      <c r="AC19" s="29" t="str">
        <f>'2.0WS'!CC19</f>
        <v/>
      </c>
      <c r="AD19" s="29" t="str">
        <f>'2.0WS'!CF19</f>
        <v/>
      </c>
      <c r="AE19" s="29" t="str">
        <f>'2.0WS'!CI19</f>
        <v/>
      </c>
      <c r="AF19" s="29" t="str">
        <f>'2.0WS'!CL19</f>
        <v/>
      </c>
      <c r="AG19" s="29" t="str">
        <f>'2.0WS'!CO19</f>
        <v/>
      </c>
      <c r="AH19" s="29" t="str">
        <f>'2.0WS'!CR19</f>
        <v/>
      </c>
      <c r="AI19" s="29" t="str">
        <f>'2.0WS'!CU19</f>
        <v/>
      </c>
      <c r="AJ19" s="29" t="str">
        <f>'2.0WS'!CX19</f>
        <v/>
      </c>
      <c r="AK19" s="86">
        <f t="shared" si="1"/>
        <v>0</v>
      </c>
      <c r="AL19" s="33">
        <f t="shared" si="2"/>
        <v>0</v>
      </c>
    </row>
    <row r="20" spans="1:38" x14ac:dyDescent="0.25">
      <c r="A20" s="35" t="str">
        <f>'2.0WS'!A20</f>
        <v>16</v>
      </c>
      <c r="B20" s="36" t="str">
        <f>'2.0WS'!B20</f>
        <v>PERAMBALUR</v>
      </c>
      <c r="C20" s="29" t="str">
        <f>'2.0WS'!E20</f>
        <v/>
      </c>
      <c r="D20" s="29" t="str">
        <f>'2.0WS'!H20</f>
        <v/>
      </c>
      <c r="E20" s="29" t="str">
        <f>'2.0WS'!K20</f>
        <v/>
      </c>
      <c r="F20" s="29" t="str">
        <f>'2.0WS'!N20</f>
        <v/>
      </c>
      <c r="G20" s="29" t="str">
        <f>'2.0WS'!Q20</f>
        <v/>
      </c>
      <c r="H20" s="29" t="str">
        <f>'2.0WS'!T20</f>
        <v/>
      </c>
      <c r="I20" s="29" t="str">
        <f>'2.0WS'!W20</f>
        <v/>
      </c>
      <c r="J20" s="29">
        <f>'2.0WS'!Z20</f>
        <v>6</v>
      </c>
      <c r="K20" s="29" t="str">
        <f>'2.0WS'!AC20</f>
        <v/>
      </c>
      <c r="L20" s="29" t="str">
        <f>'2.0WS'!AF20</f>
        <v/>
      </c>
      <c r="M20" s="29" t="str">
        <f>'2.0WS'!AI20</f>
        <v/>
      </c>
      <c r="N20" s="29" t="str">
        <f>'2.0WS'!AL20</f>
        <v/>
      </c>
      <c r="O20" s="29" t="str">
        <f>'2.0WS'!AO20</f>
        <v/>
      </c>
      <c r="P20" s="29">
        <f>'2.0WS'!AR20</f>
        <v>4</v>
      </c>
      <c r="Q20" s="29">
        <f>'2.0WS'!AU20</f>
        <v>12</v>
      </c>
      <c r="R20" s="29" t="str">
        <f>'2.0WS'!AX20</f>
        <v/>
      </c>
      <c r="S20" s="29">
        <f>'2.0WS'!BA20</f>
        <v>4</v>
      </c>
      <c r="T20" s="32">
        <f t="shared" si="0"/>
        <v>26</v>
      </c>
      <c r="U20" s="29" t="str">
        <f>'2.0WS'!BE20</f>
        <v/>
      </c>
      <c r="V20" s="29" t="str">
        <f>'2.0WS'!BH20</f>
        <v/>
      </c>
      <c r="W20" s="29" t="str">
        <f>'2.0WS'!BK20</f>
        <v/>
      </c>
      <c r="X20" s="29" t="str">
        <f>'2.0WS'!BN20</f>
        <v/>
      </c>
      <c r="Y20" s="29">
        <f>'2.0WS'!BQ20</f>
        <v>4</v>
      </c>
      <c r="Z20" s="29" t="str">
        <f>'2.0WS'!BT20</f>
        <v/>
      </c>
      <c r="AA20" s="29" t="str">
        <f>'2.0WS'!BW20</f>
        <v/>
      </c>
      <c r="AB20" s="29" t="str">
        <f>'2.0WS'!BZ20</f>
        <v/>
      </c>
      <c r="AC20" s="29" t="str">
        <f>'2.0WS'!CC20</f>
        <v/>
      </c>
      <c r="AD20" s="29" t="str">
        <f>'2.0WS'!CF20</f>
        <v/>
      </c>
      <c r="AE20" s="29" t="str">
        <f>'2.0WS'!CI20</f>
        <v/>
      </c>
      <c r="AF20" s="29" t="str">
        <f>'2.0WS'!CL20</f>
        <v/>
      </c>
      <c r="AG20" s="29" t="str">
        <f>'2.0WS'!CO20</f>
        <v/>
      </c>
      <c r="AH20" s="29" t="str">
        <f>'2.0WS'!CR20</f>
        <v/>
      </c>
      <c r="AI20" s="29" t="str">
        <f>'2.0WS'!CU20</f>
        <v/>
      </c>
      <c r="AJ20" s="29" t="str">
        <f>'2.0WS'!CX20</f>
        <v/>
      </c>
      <c r="AK20" s="86">
        <f t="shared" si="1"/>
        <v>4</v>
      </c>
      <c r="AL20" s="33">
        <f t="shared" si="2"/>
        <v>30</v>
      </c>
    </row>
    <row r="21" spans="1:38" x14ac:dyDescent="0.25">
      <c r="A21" s="35" t="str">
        <f>'2.0WS'!A21</f>
        <v>17</v>
      </c>
      <c r="B21" s="36" t="str">
        <f>'2.0WS'!B21</f>
        <v>ARIYALUR</v>
      </c>
      <c r="C21" s="29">
        <f>'2.0WS'!E21</f>
        <v>4</v>
      </c>
      <c r="D21" s="29" t="str">
        <f>'2.0WS'!H21</f>
        <v/>
      </c>
      <c r="E21" s="29">
        <f>'2.0WS'!K21</f>
        <v>4</v>
      </c>
      <c r="F21" s="29" t="str">
        <f>'2.0WS'!N21</f>
        <v/>
      </c>
      <c r="G21" s="29" t="str">
        <f>'2.0WS'!Q21</f>
        <v/>
      </c>
      <c r="H21" s="29">
        <f>'2.0WS'!T21</f>
        <v>8</v>
      </c>
      <c r="I21" s="29" t="str">
        <f>'2.0WS'!W21</f>
        <v/>
      </c>
      <c r="J21" s="29">
        <f>'2.0WS'!Z21</f>
        <v>6</v>
      </c>
      <c r="K21" s="29" t="str">
        <f>'2.0WS'!AC21</f>
        <v/>
      </c>
      <c r="L21" s="29" t="str">
        <f>'2.0WS'!AF21</f>
        <v/>
      </c>
      <c r="M21" s="29">
        <f>'2.0WS'!AI21</f>
        <v>0</v>
      </c>
      <c r="N21" s="29" t="str">
        <f>'2.0WS'!AL21</f>
        <v/>
      </c>
      <c r="O21" s="29">
        <f>'2.0WS'!AO21</f>
        <v>8</v>
      </c>
      <c r="P21" s="29" t="str">
        <f>'2.0WS'!AR21</f>
        <v/>
      </c>
      <c r="Q21" s="29">
        <f>'2.0WS'!AU21</f>
        <v>10</v>
      </c>
      <c r="R21" s="29" t="str">
        <f>'2.0WS'!AX21</f>
        <v/>
      </c>
      <c r="S21" s="29">
        <f>'2.0WS'!BA21</f>
        <v>0</v>
      </c>
      <c r="T21" s="32">
        <f t="shared" si="0"/>
        <v>40</v>
      </c>
      <c r="U21" s="29" t="str">
        <f>'2.0WS'!BE21</f>
        <v/>
      </c>
      <c r="V21" s="29" t="str">
        <f>'2.0WS'!BH21</f>
        <v/>
      </c>
      <c r="W21" s="29" t="str">
        <f>'2.0WS'!BK21</f>
        <v/>
      </c>
      <c r="X21" s="29" t="str">
        <f>'2.0WS'!BN21</f>
        <v/>
      </c>
      <c r="Y21" s="29">
        <f>'2.0WS'!BQ21</f>
        <v>4</v>
      </c>
      <c r="Z21" s="29">
        <f>'2.0WS'!BT21</f>
        <v>4</v>
      </c>
      <c r="AA21" s="29" t="str">
        <f>'2.0WS'!BW21</f>
        <v/>
      </c>
      <c r="AB21" s="29" t="str">
        <f>'2.0WS'!BZ21</f>
        <v/>
      </c>
      <c r="AC21" s="29" t="str">
        <f>'2.0WS'!CC21</f>
        <v/>
      </c>
      <c r="AD21" s="29" t="str">
        <f>'2.0WS'!CF21</f>
        <v/>
      </c>
      <c r="AE21" s="29" t="str">
        <f>'2.0WS'!CI21</f>
        <v/>
      </c>
      <c r="AF21" s="29" t="str">
        <f>'2.0WS'!CL21</f>
        <v/>
      </c>
      <c r="AG21" s="29" t="str">
        <f>'2.0WS'!CO21</f>
        <v/>
      </c>
      <c r="AH21" s="29" t="str">
        <f>'2.0WS'!CR21</f>
        <v/>
      </c>
      <c r="AI21" s="29" t="str">
        <f>'2.0WS'!CU21</f>
        <v/>
      </c>
      <c r="AJ21" s="29" t="str">
        <f>'2.0WS'!CX21</f>
        <v/>
      </c>
      <c r="AK21" s="86">
        <f t="shared" si="1"/>
        <v>8</v>
      </c>
      <c r="AL21" s="33">
        <f t="shared" si="2"/>
        <v>48</v>
      </c>
    </row>
    <row r="22" spans="1:38" s="5" customFormat="1" ht="14.4" customHeight="1" x14ac:dyDescent="0.25">
      <c r="A22" s="147" t="str">
        <f>'2.0WS'!A22</f>
        <v>SRO TIRUCHIRAPALLI TOTAL</v>
      </c>
      <c r="B22" s="147"/>
      <c r="C22" s="83">
        <f t="shared" ref="C22:S22" si="9">SUM(C18:C21)</f>
        <v>4</v>
      </c>
      <c r="D22" s="83">
        <f t="shared" si="9"/>
        <v>0</v>
      </c>
      <c r="E22" s="83">
        <f t="shared" si="9"/>
        <v>4</v>
      </c>
      <c r="F22" s="83">
        <f t="shared" si="9"/>
        <v>4</v>
      </c>
      <c r="G22" s="83">
        <f t="shared" si="9"/>
        <v>6</v>
      </c>
      <c r="H22" s="83">
        <f t="shared" si="9"/>
        <v>8</v>
      </c>
      <c r="I22" s="83">
        <f t="shared" si="9"/>
        <v>0</v>
      </c>
      <c r="J22" s="83">
        <f t="shared" si="9"/>
        <v>12</v>
      </c>
      <c r="K22" s="83">
        <f t="shared" si="9"/>
        <v>0</v>
      </c>
      <c r="L22" s="83">
        <f t="shared" si="9"/>
        <v>0</v>
      </c>
      <c r="M22" s="83">
        <f t="shared" si="9"/>
        <v>0</v>
      </c>
      <c r="N22" s="83">
        <f t="shared" si="9"/>
        <v>8</v>
      </c>
      <c r="O22" s="83">
        <f t="shared" si="9"/>
        <v>8</v>
      </c>
      <c r="P22" s="83">
        <f t="shared" si="9"/>
        <v>8</v>
      </c>
      <c r="Q22" s="83">
        <f t="shared" si="9"/>
        <v>22</v>
      </c>
      <c r="R22" s="83">
        <f t="shared" si="9"/>
        <v>0</v>
      </c>
      <c r="S22" s="83">
        <f t="shared" si="9"/>
        <v>8</v>
      </c>
      <c r="T22" s="32">
        <f t="shared" si="0"/>
        <v>92</v>
      </c>
      <c r="U22" s="83">
        <f t="shared" ref="U22:AJ22" si="10">SUM(U18:U21)</f>
        <v>0</v>
      </c>
      <c r="V22" s="83">
        <f t="shared" si="10"/>
        <v>4</v>
      </c>
      <c r="W22" s="83">
        <f t="shared" si="10"/>
        <v>4</v>
      </c>
      <c r="X22" s="83">
        <f t="shared" si="10"/>
        <v>0</v>
      </c>
      <c r="Y22" s="83">
        <f t="shared" si="10"/>
        <v>12</v>
      </c>
      <c r="Z22" s="83">
        <f t="shared" si="10"/>
        <v>4</v>
      </c>
      <c r="AA22" s="83">
        <f t="shared" si="10"/>
        <v>0</v>
      </c>
      <c r="AB22" s="83">
        <f t="shared" si="10"/>
        <v>0</v>
      </c>
      <c r="AC22" s="83">
        <f t="shared" si="10"/>
        <v>0</v>
      </c>
      <c r="AD22" s="83">
        <f t="shared" si="10"/>
        <v>0</v>
      </c>
      <c r="AE22" s="83">
        <f t="shared" si="10"/>
        <v>0</v>
      </c>
      <c r="AF22" s="83">
        <f t="shared" si="10"/>
        <v>6</v>
      </c>
      <c r="AG22" s="83">
        <f t="shared" si="10"/>
        <v>0</v>
      </c>
      <c r="AH22" s="83">
        <f t="shared" si="10"/>
        <v>4</v>
      </c>
      <c r="AI22" s="83">
        <f t="shared" si="10"/>
        <v>0</v>
      </c>
      <c r="AJ22" s="83">
        <f t="shared" si="10"/>
        <v>0</v>
      </c>
      <c r="AK22" s="86">
        <f t="shared" si="1"/>
        <v>34</v>
      </c>
      <c r="AL22" s="33">
        <f t="shared" si="2"/>
        <v>126</v>
      </c>
    </row>
    <row r="23" spans="1:38" s="5" customFormat="1" ht="14.4" customHeight="1" x14ac:dyDescent="0.25">
      <c r="A23" s="149" t="str">
        <f>'2.0WS'!A23</f>
        <v>RO COIMBATORE TOTAL</v>
      </c>
      <c r="B23" s="149"/>
      <c r="C23" s="84">
        <f>SUM(C22,C17,C14,C10)</f>
        <v>8</v>
      </c>
      <c r="D23" s="84">
        <f t="shared" ref="D23:S23" si="11">SUM(D22,D17,D14,D10)</f>
        <v>0</v>
      </c>
      <c r="E23" s="84">
        <f t="shared" si="11"/>
        <v>12</v>
      </c>
      <c r="F23" s="84">
        <f t="shared" si="11"/>
        <v>48</v>
      </c>
      <c r="G23" s="84">
        <f t="shared" si="11"/>
        <v>6</v>
      </c>
      <c r="H23" s="84">
        <f t="shared" si="11"/>
        <v>14</v>
      </c>
      <c r="I23" s="84">
        <f t="shared" si="11"/>
        <v>0</v>
      </c>
      <c r="J23" s="84">
        <f t="shared" si="11"/>
        <v>30</v>
      </c>
      <c r="K23" s="84">
        <f t="shared" si="11"/>
        <v>24</v>
      </c>
      <c r="L23" s="84">
        <f t="shared" si="11"/>
        <v>36</v>
      </c>
      <c r="M23" s="84">
        <f t="shared" si="11"/>
        <v>4</v>
      </c>
      <c r="N23" s="84">
        <f t="shared" si="11"/>
        <v>22</v>
      </c>
      <c r="O23" s="84">
        <f t="shared" si="11"/>
        <v>14</v>
      </c>
      <c r="P23" s="84">
        <f t="shared" si="11"/>
        <v>54</v>
      </c>
      <c r="Q23" s="84">
        <f t="shared" si="11"/>
        <v>56</v>
      </c>
      <c r="R23" s="84">
        <f t="shared" si="11"/>
        <v>8</v>
      </c>
      <c r="S23" s="84">
        <f t="shared" si="11"/>
        <v>26</v>
      </c>
      <c r="T23" s="32">
        <f t="shared" si="0"/>
        <v>362</v>
      </c>
      <c r="U23" s="84">
        <f t="shared" ref="U23:AJ23" si="12">SUM(U22,U17,U14,U10)</f>
        <v>12</v>
      </c>
      <c r="V23" s="84">
        <f t="shared" si="12"/>
        <v>28</v>
      </c>
      <c r="W23" s="84">
        <f t="shared" si="12"/>
        <v>16</v>
      </c>
      <c r="X23" s="84">
        <f t="shared" si="12"/>
        <v>0</v>
      </c>
      <c r="Y23" s="84">
        <f t="shared" si="12"/>
        <v>32</v>
      </c>
      <c r="Z23" s="84">
        <f t="shared" si="12"/>
        <v>4</v>
      </c>
      <c r="AA23" s="84">
        <f t="shared" si="12"/>
        <v>0</v>
      </c>
      <c r="AB23" s="84">
        <f t="shared" si="12"/>
        <v>0</v>
      </c>
      <c r="AC23" s="84">
        <f t="shared" si="12"/>
        <v>0</v>
      </c>
      <c r="AD23" s="84">
        <f t="shared" si="12"/>
        <v>0</v>
      </c>
      <c r="AE23" s="84">
        <f t="shared" si="12"/>
        <v>14</v>
      </c>
      <c r="AF23" s="84">
        <f t="shared" si="12"/>
        <v>6</v>
      </c>
      <c r="AG23" s="84">
        <f t="shared" si="12"/>
        <v>6</v>
      </c>
      <c r="AH23" s="84">
        <f t="shared" si="12"/>
        <v>56</v>
      </c>
      <c r="AI23" s="84">
        <f t="shared" si="12"/>
        <v>0</v>
      </c>
      <c r="AJ23" s="84">
        <f t="shared" si="12"/>
        <v>6</v>
      </c>
      <c r="AK23" s="86">
        <f t="shared" si="1"/>
        <v>180</v>
      </c>
      <c r="AL23" s="33">
        <f t="shared" si="2"/>
        <v>542</v>
      </c>
    </row>
    <row r="24" spans="1:38" x14ac:dyDescent="0.25">
      <c r="A24" s="35" t="str">
        <f>'2.0WS'!A24</f>
        <v>01</v>
      </c>
      <c r="B24" s="36" t="str">
        <f>'2.0WS'!B24</f>
        <v>THIRUVALLUR</v>
      </c>
      <c r="C24" s="29">
        <f>'2.0WS'!E24</f>
        <v>8</v>
      </c>
      <c r="D24" s="29" t="str">
        <f>'2.0WS'!H24</f>
        <v/>
      </c>
      <c r="E24" s="29">
        <f>'2.0WS'!K24</f>
        <v>6</v>
      </c>
      <c r="F24" s="29" t="str">
        <f>'2.0WS'!N24</f>
        <v/>
      </c>
      <c r="G24" s="29" t="str">
        <f>'2.0WS'!Q24</f>
        <v/>
      </c>
      <c r="H24" s="29" t="str">
        <f>'2.0WS'!T24</f>
        <v/>
      </c>
      <c r="I24" s="29" t="str">
        <f>'2.0WS'!W24</f>
        <v/>
      </c>
      <c r="J24" s="29" t="str">
        <f>'2.0WS'!Z24</f>
        <v/>
      </c>
      <c r="K24" s="29" t="str">
        <f>'2.0WS'!AC24</f>
        <v/>
      </c>
      <c r="L24" s="29" t="str">
        <f>'2.0WS'!AF24</f>
        <v/>
      </c>
      <c r="M24" s="29" t="str">
        <f>'2.0WS'!AI24</f>
        <v/>
      </c>
      <c r="N24" s="29" t="str">
        <f>'2.0WS'!AL24</f>
        <v/>
      </c>
      <c r="O24" s="29" t="str">
        <f>'2.0WS'!AO24</f>
        <v/>
      </c>
      <c r="P24" s="29" t="str">
        <f>'2.0WS'!AR24</f>
        <v/>
      </c>
      <c r="Q24" s="29" t="str">
        <f>'2.0WS'!AU24</f>
        <v/>
      </c>
      <c r="R24" s="29" t="str">
        <f>'2.0WS'!AX24</f>
        <v/>
      </c>
      <c r="S24" s="29">
        <f>'2.0WS'!BA24</f>
        <v>4</v>
      </c>
      <c r="T24" s="32">
        <f t="shared" si="0"/>
        <v>18</v>
      </c>
      <c r="U24" s="29">
        <f>'2.0WS'!BE24</f>
        <v>6</v>
      </c>
      <c r="V24" s="29" t="str">
        <f>'2.0WS'!BH24</f>
        <v/>
      </c>
      <c r="W24" s="29" t="str">
        <f>'2.0WS'!BK24</f>
        <v/>
      </c>
      <c r="X24" s="29" t="str">
        <f>'2.0WS'!BN24</f>
        <v/>
      </c>
      <c r="Y24" s="29">
        <f>'2.0WS'!BQ24</f>
        <v>4</v>
      </c>
      <c r="Z24" s="29" t="str">
        <f>'2.0WS'!BT24</f>
        <v/>
      </c>
      <c r="AA24" s="29" t="str">
        <f>'2.0WS'!BW24</f>
        <v/>
      </c>
      <c r="AB24" s="29" t="str">
        <f>'2.0WS'!BZ24</f>
        <v/>
      </c>
      <c r="AC24" s="29">
        <f>'2.0WS'!CC24</f>
        <v>8</v>
      </c>
      <c r="AD24" s="29" t="str">
        <f>'2.0WS'!CF24</f>
        <v/>
      </c>
      <c r="AE24" s="29" t="str">
        <f>'2.0WS'!CI24</f>
        <v/>
      </c>
      <c r="AF24" s="29" t="str">
        <f>'2.0WS'!CL24</f>
        <v/>
      </c>
      <c r="AG24" s="29" t="str">
        <f>'2.0WS'!CO24</f>
        <v/>
      </c>
      <c r="AH24" s="29" t="str">
        <f>'2.0WS'!CR24</f>
        <v/>
      </c>
      <c r="AI24" s="29" t="str">
        <f>'2.0WS'!CU24</f>
        <v/>
      </c>
      <c r="AJ24" s="29" t="str">
        <f>'2.0WS'!CX24</f>
        <v/>
      </c>
      <c r="AK24" s="86">
        <f t="shared" si="1"/>
        <v>18</v>
      </c>
      <c r="AL24" s="33">
        <f t="shared" si="2"/>
        <v>36</v>
      </c>
    </row>
    <row r="25" spans="1:38" x14ac:dyDescent="0.25">
      <c r="A25" s="35" t="str">
        <f>'2.0WS'!A25</f>
        <v>03</v>
      </c>
      <c r="B25" s="36" t="str">
        <f>'2.0WS'!B25</f>
        <v>KANCHEEPURAM</v>
      </c>
      <c r="C25" s="29">
        <f>'2.0WS'!E25</f>
        <v>4</v>
      </c>
      <c r="D25" s="29" t="str">
        <f>'2.0WS'!H25</f>
        <v/>
      </c>
      <c r="E25" s="29">
        <f>'2.0WS'!K25</f>
        <v>4</v>
      </c>
      <c r="F25" s="29" t="str">
        <f>'2.0WS'!N25</f>
        <v/>
      </c>
      <c r="G25" s="29" t="str">
        <f>'2.0WS'!Q25</f>
        <v/>
      </c>
      <c r="H25" s="29" t="str">
        <f>'2.0WS'!T25</f>
        <v/>
      </c>
      <c r="I25" s="29" t="str">
        <f>'2.0WS'!W25</f>
        <v/>
      </c>
      <c r="J25" s="29" t="str">
        <f>'2.0WS'!Z25</f>
        <v/>
      </c>
      <c r="K25" s="29" t="str">
        <f>'2.0WS'!AC25</f>
        <v/>
      </c>
      <c r="L25" s="29" t="str">
        <f>'2.0WS'!AF25</f>
        <v/>
      </c>
      <c r="M25" s="29">
        <f>'2.0WS'!AI25</f>
        <v>4</v>
      </c>
      <c r="N25" s="29" t="str">
        <f>'2.0WS'!AL25</f>
        <v/>
      </c>
      <c r="O25" s="29">
        <f>'2.0WS'!AO25</f>
        <v>0</v>
      </c>
      <c r="P25" s="29" t="str">
        <f>'2.0WS'!AR25</f>
        <v/>
      </c>
      <c r="Q25" s="29" t="str">
        <f>'2.0WS'!AU25</f>
        <v/>
      </c>
      <c r="R25" s="29" t="str">
        <f>'2.0WS'!AX25</f>
        <v/>
      </c>
      <c r="S25" s="29" t="str">
        <f>'2.0WS'!BA25</f>
        <v/>
      </c>
      <c r="T25" s="32">
        <f t="shared" si="0"/>
        <v>12</v>
      </c>
      <c r="U25" s="29" t="str">
        <f>'2.0WS'!BE25</f>
        <v/>
      </c>
      <c r="V25" s="29" t="str">
        <f>'2.0WS'!BH25</f>
        <v/>
      </c>
      <c r="W25" s="29" t="str">
        <f>'2.0WS'!BK25</f>
        <v/>
      </c>
      <c r="X25" s="29" t="str">
        <f>'2.0WS'!BN25</f>
        <v/>
      </c>
      <c r="Y25" s="29" t="str">
        <f>'2.0WS'!BQ25</f>
        <v/>
      </c>
      <c r="Z25" s="29" t="str">
        <f>'2.0WS'!BT25</f>
        <v/>
      </c>
      <c r="AA25" s="29" t="str">
        <f>'2.0WS'!BW25</f>
        <v/>
      </c>
      <c r="AB25" s="29" t="str">
        <f>'2.0WS'!BZ25</f>
        <v/>
      </c>
      <c r="AC25" s="29" t="str">
        <f>'2.0WS'!CC25</f>
        <v/>
      </c>
      <c r="AD25" s="29" t="str">
        <f>'2.0WS'!CF25</f>
        <v/>
      </c>
      <c r="AE25" s="29" t="str">
        <f>'2.0WS'!CI25</f>
        <v/>
      </c>
      <c r="AF25" s="29" t="str">
        <f>'2.0WS'!CL25</f>
        <v/>
      </c>
      <c r="AG25" s="29" t="str">
        <f>'2.0WS'!CO25</f>
        <v/>
      </c>
      <c r="AH25" s="29" t="str">
        <f>'2.0WS'!CR25</f>
        <v/>
      </c>
      <c r="AI25" s="29" t="str">
        <f>'2.0WS'!CU25</f>
        <v/>
      </c>
      <c r="AJ25" s="29" t="str">
        <f>'2.0WS'!CX25</f>
        <v/>
      </c>
      <c r="AK25" s="86">
        <f t="shared" si="1"/>
        <v>0</v>
      </c>
      <c r="AL25" s="33">
        <f t="shared" si="2"/>
        <v>12</v>
      </c>
    </row>
    <row r="26" spans="1:38" x14ac:dyDescent="0.25">
      <c r="A26" s="35" t="str">
        <f>'2.0WS'!A26</f>
        <v>33</v>
      </c>
      <c r="B26" s="36" t="str">
        <f>'2.0WS'!B26</f>
        <v>CHENGALPATTU</v>
      </c>
      <c r="C26" s="29">
        <f>'2.0WS'!E26</f>
        <v>4</v>
      </c>
      <c r="D26" s="29" t="str">
        <f>'2.0WS'!H26</f>
        <v/>
      </c>
      <c r="E26" s="29">
        <f>'2.0WS'!K26</f>
        <v>4</v>
      </c>
      <c r="F26" s="29" t="str">
        <f>'2.0WS'!N26</f>
        <v/>
      </c>
      <c r="G26" s="29" t="str">
        <f>'2.0WS'!Q26</f>
        <v/>
      </c>
      <c r="H26" s="29" t="str">
        <f>'2.0WS'!T26</f>
        <v/>
      </c>
      <c r="I26" s="29" t="str">
        <f>'2.0WS'!W26</f>
        <v/>
      </c>
      <c r="J26" s="29" t="str">
        <f>'2.0WS'!Z26</f>
        <v/>
      </c>
      <c r="K26" s="29" t="str">
        <f>'2.0WS'!AC26</f>
        <v/>
      </c>
      <c r="L26" s="29" t="str">
        <f>'2.0WS'!AF26</f>
        <v/>
      </c>
      <c r="M26" s="29" t="str">
        <f>'2.0WS'!AI26</f>
        <v/>
      </c>
      <c r="N26" s="29" t="str">
        <f>'2.0WS'!AL26</f>
        <v/>
      </c>
      <c r="O26" s="29">
        <f>'2.0WS'!AO26</f>
        <v>4</v>
      </c>
      <c r="P26" s="29" t="str">
        <f>'2.0WS'!AR26</f>
        <v/>
      </c>
      <c r="Q26" s="29" t="str">
        <f>'2.0WS'!AU26</f>
        <v/>
      </c>
      <c r="R26" s="29" t="str">
        <f>'2.0WS'!AX26</f>
        <v/>
      </c>
      <c r="S26" s="29">
        <f>'2.0WS'!BA26</f>
        <v>4</v>
      </c>
      <c r="T26" s="32">
        <f t="shared" si="0"/>
        <v>16</v>
      </c>
      <c r="U26" s="29">
        <f>'2.0WS'!BE26</f>
        <v>4</v>
      </c>
      <c r="V26" s="29" t="str">
        <f>'2.0WS'!BH26</f>
        <v/>
      </c>
      <c r="W26" s="29" t="str">
        <f>'2.0WS'!BK26</f>
        <v/>
      </c>
      <c r="X26" s="29" t="str">
        <f>'2.0WS'!BN26</f>
        <v/>
      </c>
      <c r="Y26" s="29">
        <f>'2.0WS'!BQ26</f>
        <v>4</v>
      </c>
      <c r="Z26" s="29" t="str">
        <f>'2.0WS'!BT26</f>
        <v/>
      </c>
      <c r="AA26" s="29" t="str">
        <f>'2.0WS'!BW26</f>
        <v/>
      </c>
      <c r="AB26" s="29" t="str">
        <f>'2.0WS'!BZ26</f>
        <v/>
      </c>
      <c r="AC26" s="29" t="str">
        <f>'2.0WS'!CC26</f>
        <v/>
      </c>
      <c r="AD26" s="29" t="str">
        <f>'2.0WS'!CF26</f>
        <v/>
      </c>
      <c r="AE26" s="29" t="str">
        <f>'2.0WS'!CI26</f>
        <v/>
      </c>
      <c r="AF26" s="29" t="str">
        <f>'2.0WS'!CL26</f>
        <v/>
      </c>
      <c r="AG26" s="29" t="str">
        <f>'2.0WS'!CO26</f>
        <v/>
      </c>
      <c r="AH26" s="29" t="str">
        <f>'2.0WS'!CR26</f>
        <v/>
      </c>
      <c r="AI26" s="29" t="str">
        <f>'2.0WS'!CU26</f>
        <v/>
      </c>
      <c r="AJ26" s="29" t="str">
        <f>'2.0WS'!CX26</f>
        <v/>
      </c>
      <c r="AK26" s="86">
        <f t="shared" si="1"/>
        <v>8</v>
      </c>
      <c r="AL26" s="33">
        <f t="shared" si="2"/>
        <v>24</v>
      </c>
    </row>
    <row r="27" spans="1:38" s="5" customFormat="1" ht="14.4" customHeight="1" x14ac:dyDescent="0.25">
      <c r="A27" s="147" t="str">
        <f>'2.0WS'!A27</f>
        <v>SRO CHENNAI TOTAL</v>
      </c>
      <c r="B27" s="147"/>
      <c r="C27" s="83">
        <f t="shared" ref="C27:S27" si="13">SUM(C24:C26)</f>
        <v>16</v>
      </c>
      <c r="D27" s="83">
        <f t="shared" si="13"/>
        <v>0</v>
      </c>
      <c r="E27" s="83">
        <f t="shared" si="13"/>
        <v>14</v>
      </c>
      <c r="F27" s="83">
        <f t="shared" si="13"/>
        <v>0</v>
      </c>
      <c r="G27" s="83">
        <f t="shared" si="13"/>
        <v>0</v>
      </c>
      <c r="H27" s="83">
        <f t="shared" si="13"/>
        <v>0</v>
      </c>
      <c r="I27" s="83">
        <f t="shared" si="13"/>
        <v>0</v>
      </c>
      <c r="J27" s="83">
        <f t="shared" si="13"/>
        <v>0</v>
      </c>
      <c r="K27" s="83">
        <f t="shared" si="13"/>
        <v>0</v>
      </c>
      <c r="L27" s="83">
        <f t="shared" si="13"/>
        <v>0</v>
      </c>
      <c r="M27" s="83">
        <f t="shared" si="13"/>
        <v>4</v>
      </c>
      <c r="N27" s="83">
        <f t="shared" si="13"/>
        <v>0</v>
      </c>
      <c r="O27" s="83">
        <f t="shared" si="13"/>
        <v>4</v>
      </c>
      <c r="P27" s="83">
        <f t="shared" si="13"/>
        <v>0</v>
      </c>
      <c r="Q27" s="83">
        <f t="shared" si="13"/>
        <v>0</v>
      </c>
      <c r="R27" s="83">
        <f t="shared" si="13"/>
        <v>0</v>
      </c>
      <c r="S27" s="83">
        <f t="shared" si="13"/>
        <v>8</v>
      </c>
      <c r="T27" s="32">
        <f t="shared" si="0"/>
        <v>46</v>
      </c>
      <c r="U27" s="83">
        <f t="shared" ref="U27:AJ27" si="14">SUM(U24:U26)</f>
        <v>10</v>
      </c>
      <c r="V27" s="83">
        <f t="shared" si="14"/>
        <v>0</v>
      </c>
      <c r="W27" s="83">
        <f t="shared" si="14"/>
        <v>0</v>
      </c>
      <c r="X27" s="83">
        <f t="shared" si="14"/>
        <v>0</v>
      </c>
      <c r="Y27" s="83">
        <f t="shared" si="14"/>
        <v>8</v>
      </c>
      <c r="Z27" s="83">
        <f t="shared" si="14"/>
        <v>0</v>
      </c>
      <c r="AA27" s="83">
        <f t="shared" si="14"/>
        <v>0</v>
      </c>
      <c r="AB27" s="83">
        <f t="shared" si="14"/>
        <v>0</v>
      </c>
      <c r="AC27" s="83">
        <f t="shared" si="14"/>
        <v>8</v>
      </c>
      <c r="AD27" s="83">
        <f t="shared" si="14"/>
        <v>0</v>
      </c>
      <c r="AE27" s="83">
        <f t="shared" si="14"/>
        <v>0</v>
      </c>
      <c r="AF27" s="83">
        <f t="shared" si="14"/>
        <v>0</v>
      </c>
      <c r="AG27" s="83">
        <f t="shared" si="14"/>
        <v>0</v>
      </c>
      <c r="AH27" s="83">
        <f t="shared" si="14"/>
        <v>0</v>
      </c>
      <c r="AI27" s="83">
        <f t="shared" si="14"/>
        <v>0</v>
      </c>
      <c r="AJ27" s="83">
        <f t="shared" si="14"/>
        <v>0</v>
      </c>
      <c r="AK27" s="86">
        <f t="shared" si="1"/>
        <v>26</v>
      </c>
      <c r="AL27" s="33">
        <f t="shared" si="2"/>
        <v>72</v>
      </c>
    </row>
    <row r="28" spans="1:38" x14ac:dyDescent="0.25">
      <c r="A28" s="35" t="str">
        <f>'2.0WS'!A28</f>
        <v>07</v>
      </c>
      <c r="B28" s="36" t="str">
        <f>'2.0WS'!B28</f>
        <v>VILUPPURAM</v>
      </c>
      <c r="C28" s="29" t="str">
        <f>'2.0WS'!E28</f>
        <v/>
      </c>
      <c r="D28" s="29" t="str">
        <f>'2.0WS'!H28</f>
        <v/>
      </c>
      <c r="E28" s="29" t="str">
        <f>'2.0WS'!K28</f>
        <v/>
      </c>
      <c r="F28" s="29" t="str">
        <f>'2.0WS'!N28</f>
        <v/>
      </c>
      <c r="G28" s="29" t="str">
        <f>'2.0WS'!Q28</f>
        <v/>
      </c>
      <c r="H28" s="29" t="str">
        <f>'2.0WS'!T28</f>
        <v/>
      </c>
      <c r="I28" s="29" t="str">
        <f>'2.0WS'!W28</f>
        <v/>
      </c>
      <c r="J28" s="29" t="str">
        <f>'2.0WS'!Z28</f>
        <v/>
      </c>
      <c r="K28" s="29" t="str">
        <f>'2.0WS'!AC28</f>
        <v/>
      </c>
      <c r="L28" s="29" t="str">
        <f>'2.0WS'!AF28</f>
        <v/>
      </c>
      <c r="M28" s="29" t="str">
        <f>'2.0WS'!AI28</f>
        <v/>
      </c>
      <c r="N28" s="29" t="str">
        <f>'2.0WS'!AL28</f>
        <v/>
      </c>
      <c r="O28" s="29" t="str">
        <f>'2.0WS'!AO28</f>
        <v/>
      </c>
      <c r="P28" s="29" t="str">
        <f>'2.0WS'!AR28</f>
        <v/>
      </c>
      <c r="Q28" s="29" t="str">
        <f>'2.0WS'!AU28</f>
        <v/>
      </c>
      <c r="R28" s="29" t="str">
        <f>'2.0WS'!AX28</f>
        <v/>
      </c>
      <c r="S28" s="29" t="str">
        <f>'2.0WS'!BA28</f>
        <v/>
      </c>
      <c r="T28" s="32">
        <f t="shared" si="0"/>
        <v>0</v>
      </c>
      <c r="U28" s="29" t="str">
        <f>'2.0WS'!BE28</f>
        <v/>
      </c>
      <c r="V28" s="29" t="str">
        <f>'2.0WS'!BH28</f>
        <v/>
      </c>
      <c r="W28" s="29" t="str">
        <f>'2.0WS'!BK28</f>
        <v/>
      </c>
      <c r="X28" s="29" t="str">
        <f>'2.0WS'!BN28</f>
        <v/>
      </c>
      <c r="Y28" s="29" t="str">
        <f>'2.0WS'!BQ28</f>
        <v/>
      </c>
      <c r="Z28" s="29" t="str">
        <f>'2.0WS'!BT28</f>
        <v/>
      </c>
      <c r="AA28" s="29" t="str">
        <f>'2.0WS'!BW28</f>
        <v/>
      </c>
      <c r="AB28" s="29" t="str">
        <f>'2.0WS'!BZ28</f>
        <v/>
      </c>
      <c r="AC28" s="29" t="str">
        <f>'2.0WS'!CC28</f>
        <v/>
      </c>
      <c r="AD28" s="29" t="str">
        <f>'2.0WS'!CF28</f>
        <v/>
      </c>
      <c r="AE28" s="29" t="str">
        <f>'2.0WS'!CI28</f>
        <v/>
      </c>
      <c r="AF28" s="29" t="str">
        <f>'2.0WS'!CL28</f>
        <v/>
      </c>
      <c r="AG28" s="29" t="str">
        <f>'2.0WS'!CO28</f>
        <v/>
      </c>
      <c r="AH28" s="29" t="str">
        <f>'2.0WS'!CR28</f>
        <v/>
      </c>
      <c r="AI28" s="29" t="str">
        <f>'2.0WS'!CU28</f>
        <v/>
      </c>
      <c r="AJ28" s="29" t="str">
        <f>'2.0WS'!CX28</f>
        <v/>
      </c>
      <c r="AK28" s="86">
        <f t="shared" si="1"/>
        <v>0</v>
      </c>
      <c r="AL28" s="33">
        <f t="shared" si="2"/>
        <v>0</v>
      </c>
    </row>
    <row r="29" spans="1:38" x14ac:dyDescent="0.25">
      <c r="A29" s="35" t="str">
        <f>'2.0WS'!A29</f>
        <v>18</v>
      </c>
      <c r="B29" s="36" t="str">
        <f>'2.0WS'!B29</f>
        <v>CUDDALORE</v>
      </c>
      <c r="C29" s="29">
        <f>'2.0WS'!E29</f>
        <v>8</v>
      </c>
      <c r="D29" s="29" t="str">
        <f>'2.0WS'!H29</f>
        <v/>
      </c>
      <c r="E29" s="29">
        <f>'2.0WS'!K29</f>
        <v>8</v>
      </c>
      <c r="F29" s="29" t="str">
        <f>'2.0WS'!N29</f>
        <v/>
      </c>
      <c r="G29" s="29" t="str">
        <f>'2.0WS'!Q29</f>
        <v/>
      </c>
      <c r="H29" s="29">
        <f>'2.0WS'!T29</f>
        <v>8</v>
      </c>
      <c r="I29" s="29">
        <f>'2.0WS'!W29</f>
        <v>12</v>
      </c>
      <c r="J29" s="29">
        <f>'2.0WS'!Z29</f>
        <v>6</v>
      </c>
      <c r="K29" s="29" t="str">
        <f>'2.0WS'!AC29</f>
        <v/>
      </c>
      <c r="L29" s="29" t="str">
        <f>'2.0WS'!AF29</f>
        <v/>
      </c>
      <c r="M29" s="29">
        <f>'2.0WS'!AI29</f>
        <v>4</v>
      </c>
      <c r="N29" s="29">
        <f>'2.0WS'!AL29</f>
        <v>6</v>
      </c>
      <c r="O29" s="29" t="str">
        <f>'2.0WS'!AO29</f>
        <v/>
      </c>
      <c r="P29" s="29" t="str">
        <f>'2.0WS'!AR29</f>
        <v/>
      </c>
      <c r="Q29" s="29">
        <f>'2.0WS'!AU29</f>
        <v>6</v>
      </c>
      <c r="R29" s="29" t="str">
        <f>'2.0WS'!AX29</f>
        <v/>
      </c>
      <c r="S29" s="29">
        <f>'2.0WS'!BA29</f>
        <v>6</v>
      </c>
      <c r="T29" s="32">
        <f t="shared" si="0"/>
        <v>64</v>
      </c>
      <c r="U29" s="29">
        <f>'2.0WS'!BE29</f>
        <v>4</v>
      </c>
      <c r="V29" s="29" t="str">
        <f>'2.0WS'!BH29</f>
        <v/>
      </c>
      <c r="W29" s="29" t="str">
        <f>'2.0WS'!BK29</f>
        <v/>
      </c>
      <c r="X29" s="29" t="str">
        <f>'2.0WS'!BN29</f>
        <v/>
      </c>
      <c r="Y29" s="29">
        <f>'2.0WS'!BQ29</f>
        <v>4</v>
      </c>
      <c r="Z29" s="29">
        <f>'2.0WS'!BT29</f>
        <v>8</v>
      </c>
      <c r="AA29" s="29" t="str">
        <f>'2.0WS'!BW29</f>
        <v/>
      </c>
      <c r="AB29" s="29">
        <f>'2.0WS'!BZ29</f>
        <v>6</v>
      </c>
      <c r="AC29" s="29" t="str">
        <f>'2.0WS'!CC29</f>
        <v/>
      </c>
      <c r="AD29" s="29" t="str">
        <f>'2.0WS'!CF29</f>
        <v/>
      </c>
      <c r="AE29" s="29">
        <f>'2.0WS'!CI29</f>
        <v>6</v>
      </c>
      <c r="AF29" s="29" t="str">
        <f>'2.0WS'!CL29</f>
        <v/>
      </c>
      <c r="AG29" s="29" t="str">
        <f>'2.0WS'!CO29</f>
        <v/>
      </c>
      <c r="AH29" s="29" t="str">
        <f>'2.0WS'!CR29</f>
        <v/>
      </c>
      <c r="AI29" s="29" t="str">
        <f>'2.0WS'!CU29</f>
        <v/>
      </c>
      <c r="AJ29" s="29" t="str">
        <f>'2.0WS'!CX29</f>
        <v/>
      </c>
      <c r="AK29" s="86">
        <f t="shared" si="1"/>
        <v>28</v>
      </c>
      <c r="AL29" s="33">
        <f t="shared" si="2"/>
        <v>92</v>
      </c>
    </row>
    <row r="30" spans="1:38" x14ac:dyDescent="0.25">
      <c r="A30" s="35" t="str">
        <f>'2.0WS'!A30</f>
        <v>34</v>
      </c>
      <c r="B30" s="36" t="str">
        <f>'2.0WS'!B30</f>
        <v>KALLAKURICHI</v>
      </c>
      <c r="C30" s="29">
        <f>'2.0WS'!E30</f>
        <v>4</v>
      </c>
      <c r="D30" s="29" t="str">
        <f>'2.0WS'!H30</f>
        <v/>
      </c>
      <c r="E30" s="29">
        <f>'2.0WS'!K30</f>
        <v>4</v>
      </c>
      <c r="F30" s="29" t="str">
        <f>'2.0WS'!N30</f>
        <v/>
      </c>
      <c r="G30" s="29" t="str">
        <f>'2.0WS'!Q30</f>
        <v/>
      </c>
      <c r="H30" s="29">
        <f>'2.0WS'!T30</f>
        <v>24</v>
      </c>
      <c r="I30" s="29" t="str">
        <f>'2.0WS'!W30</f>
        <v/>
      </c>
      <c r="J30" s="29" t="str">
        <f>'2.0WS'!Z30</f>
        <v/>
      </c>
      <c r="K30" s="29">
        <f>'2.0WS'!AC30</f>
        <v>6</v>
      </c>
      <c r="L30" s="29" t="str">
        <f>'2.0WS'!AF30</f>
        <v/>
      </c>
      <c r="M30" s="29">
        <f>'2.0WS'!AI30</f>
        <v>0</v>
      </c>
      <c r="N30" s="29" t="str">
        <f>'2.0WS'!AL30</f>
        <v/>
      </c>
      <c r="O30" s="29" t="str">
        <f>'2.0WS'!AO30</f>
        <v/>
      </c>
      <c r="P30" s="29" t="str">
        <f>'2.0WS'!AR30</f>
        <v/>
      </c>
      <c r="Q30" s="29">
        <f>'2.0WS'!AU30</f>
        <v>4</v>
      </c>
      <c r="R30" s="29">
        <f>'2.0WS'!AX30</f>
        <v>6</v>
      </c>
      <c r="S30" s="29">
        <f>'2.0WS'!BA30</f>
        <v>6</v>
      </c>
      <c r="T30" s="32">
        <f t="shared" si="0"/>
        <v>54</v>
      </c>
      <c r="U30" s="29">
        <f>'2.0WS'!BE30</f>
        <v>4</v>
      </c>
      <c r="V30" s="29" t="str">
        <f>'2.0WS'!BH30</f>
        <v/>
      </c>
      <c r="W30" s="29" t="str">
        <f>'2.0WS'!BK30</f>
        <v/>
      </c>
      <c r="X30" s="29" t="str">
        <f>'2.0WS'!BN30</f>
        <v/>
      </c>
      <c r="Y30" s="29" t="str">
        <f>'2.0WS'!BQ30</f>
        <v/>
      </c>
      <c r="Z30" s="29">
        <f>'2.0WS'!BT30</f>
        <v>6</v>
      </c>
      <c r="AA30" s="29" t="str">
        <f>'2.0WS'!BW30</f>
        <v/>
      </c>
      <c r="AB30" s="29" t="str">
        <f>'2.0WS'!BZ30</f>
        <v/>
      </c>
      <c r="AC30" s="29" t="str">
        <f>'2.0WS'!CC30</f>
        <v/>
      </c>
      <c r="AD30" s="29">
        <f>'2.0WS'!CF30</f>
        <v>4</v>
      </c>
      <c r="AE30" s="29">
        <f>'2.0WS'!CI30</f>
        <v>4</v>
      </c>
      <c r="AF30" s="29" t="str">
        <f>'2.0WS'!CL30</f>
        <v/>
      </c>
      <c r="AG30" s="29" t="str">
        <f>'2.0WS'!CO30</f>
        <v/>
      </c>
      <c r="AH30" s="29" t="str">
        <f>'2.0WS'!CR30</f>
        <v/>
      </c>
      <c r="AI30" s="29" t="str">
        <f>'2.0WS'!CU30</f>
        <v/>
      </c>
      <c r="AJ30" s="29" t="str">
        <f>'2.0WS'!CX30</f>
        <v/>
      </c>
      <c r="AK30" s="86">
        <f t="shared" si="1"/>
        <v>18</v>
      </c>
      <c r="AL30" s="33">
        <f t="shared" si="2"/>
        <v>72</v>
      </c>
    </row>
    <row r="31" spans="1:38" x14ac:dyDescent="0.25">
      <c r="A31" s="35" t="str">
        <f>'2.0WS'!A31</f>
        <v>38</v>
      </c>
      <c r="B31" s="36" t="str">
        <f>'2.0WS'!B31</f>
        <v>MAYILADUTHURAI</v>
      </c>
      <c r="C31" s="29" t="str">
        <f>'2.0WS'!E31</f>
        <v/>
      </c>
      <c r="D31" s="29" t="str">
        <f>'2.0WS'!H31</f>
        <v/>
      </c>
      <c r="E31" s="29" t="str">
        <f>'2.0WS'!K31</f>
        <v/>
      </c>
      <c r="F31" s="29" t="str">
        <f>'2.0WS'!N31</f>
        <v/>
      </c>
      <c r="G31" s="29" t="str">
        <f>'2.0WS'!Q31</f>
        <v/>
      </c>
      <c r="H31" s="29" t="str">
        <f>'2.0WS'!T31</f>
        <v/>
      </c>
      <c r="I31" s="29" t="str">
        <f>'2.0WS'!W31</f>
        <v/>
      </c>
      <c r="J31" s="29" t="str">
        <f>'2.0WS'!Z31</f>
        <v/>
      </c>
      <c r="K31" s="29" t="str">
        <f>'2.0WS'!AC31</f>
        <v/>
      </c>
      <c r="L31" s="29" t="str">
        <f>'2.0WS'!AF31</f>
        <v/>
      </c>
      <c r="M31" s="29" t="str">
        <f>'2.0WS'!AI31</f>
        <v/>
      </c>
      <c r="N31" s="29" t="str">
        <f>'2.0WS'!AL31</f>
        <v/>
      </c>
      <c r="O31" s="29" t="str">
        <f>'2.0WS'!AO31</f>
        <v/>
      </c>
      <c r="P31" s="29" t="str">
        <f>'2.0WS'!AR31</f>
        <v/>
      </c>
      <c r="Q31" s="29" t="str">
        <f>'2.0WS'!AU31</f>
        <v/>
      </c>
      <c r="R31" s="29" t="str">
        <f>'2.0WS'!AX31</f>
        <v/>
      </c>
      <c r="S31" s="29" t="str">
        <f>'2.0WS'!BA31</f>
        <v/>
      </c>
      <c r="T31" s="32">
        <f t="shared" si="0"/>
        <v>0</v>
      </c>
      <c r="U31" s="29" t="str">
        <f>'2.0WS'!BE31</f>
        <v/>
      </c>
      <c r="V31" s="29" t="str">
        <f>'2.0WS'!BH31</f>
        <v/>
      </c>
      <c r="W31" s="29" t="str">
        <f>'2.0WS'!BK31</f>
        <v/>
      </c>
      <c r="X31" s="29" t="str">
        <f>'2.0WS'!BN31</f>
        <v/>
      </c>
      <c r="Y31" s="29" t="str">
        <f>'2.0WS'!BQ31</f>
        <v/>
      </c>
      <c r="Z31" s="29" t="str">
        <f>'2.0WS'!BT31</f>
        <v/>
      </c>
      <c r="AA31" s="29" t="str">
        <f>'2.0WS'!BW31</f>
        <v/>
      </c>
      <c r="AB31" s="29" t="str">
        <f>'2.0WS'!BZ31</f>
        <v/>
      </c>
      <c r="AC31" s="29" t="str">
        <f>'2.0WS'!CC31</f>
        <v/>
      </c>
      <c r="AD31" s="29" t="str">
        <f>'2.0WS'!CF31</f>
        <v/>
      </c>
      <c r="AE31" s="29" t="str">
        <f>'2.0WS'!CI31</f>
        <v/>
      </c>
      <c r="AF31" s="29" t="str">
        <f>'2.0WS'!CL31</f>
        <v/>
      </c>
      <c r="AG31" s="29" t="str">
        <f>'2.0WS'!CO31</f>
        <v/>
      </c>
      <c r="AH31" s="29" t="str">
        <f>'2.0WS'!CR31</f>
        <v/>
      </c>
      <c r="AI31" s="29" t="str">
        <f>'2.0WS'!CU31</f>
        <v/>
      </c>
      <c r="AJ31" s="29" t="str">
        <f>'2.0WS'!CX31</f>
        <v/>
      </c>
      <c r="AK31" s="86">
        <f t="shared" si="1"/>
        <v>0</v>
      </c>
      <c r="AL31" s="33">
        <f t="shared" si="2"/>
        <v>0</v>
      </c>
    </row>
    <row r="32" spans="1:38" s="5" customFormat="1" ht="14.4" customHeight="1" x14ac:dyDescent="0.25">
      <c r="A32" s="147" t="str">
        <f>'2.0WS'!A32</f>
        <v>SRO CUDDALORE TOTAL</v>
      </c>
      <c r="B32" s="147"/>
      <c r="C32" s="83">
        <f t="shared" ref="C32:S32" si="15">SUM(C28:C31)</f>
        <v>12</v>
      </c>
      <c r="D32" s="83">
        <f t="shared" si="15"/>
        <v>0</v>
      </c>
      <c r="E32" s="83">
        <f t="shared" si="15"/>
        <v>12</v>
      </c>
      <c r="F32" s="83">
        <f t="shared" si="15"/>
        <v>0</v>
      </c>
      <c r="G32" s="83">
        <f t="shared" si="15"/>
        <v>0</v>
      </c>
      <c r="H32" s="83">
        <f t="shared" si="15"/>
        <v>32</v>
      </c>
      <c r="I32" s="83">
        <f t="shared" si="15"/>
        <v>12</v>
      </c>
      <c r="J32" s="83">
        <f t="shared" si="15"/>
        <v>6</v>
      </c>
      <c r="K32" s="83">
        <f t="shared" si="15"/>
        <v>6</v>
      </c>
      <c r="L32" s="83">
        <f t="shared" si="15"/>
        <v>0</v>
      </c>
      <c r="M32" s="83">
        <f t="shared" si="15"/>
        <v>4</v>
      </c>
      <c r="N32" s="83">
        <f t="shared" si="15"/>
        <v>6</v>
      </c>
      <c r="O32" s="83">
        <f t="shared" si="15"/>
        <v>0</v>
      </c>
      <c r="P32" s="83">
        <f t="shared" si="15"/>
        <v>0</v>
      </c>
      <c r="Q32" s="83">
        <f t="shared" si="15"/>
        <v>10</v>
      </c>
      <c r="R32" s="83">
        <f t="shared" si="15"/>
        <v>6</v>
      </c>
      <c r="S32" s="83">
        <f t="shared" si="15"/>
        <v>12</v>
      </c>
      <c r="T32" s="32">
        <f t="shared" si="0"/>
        <v>118</v>
      </c>
      <c r="U32" s="83">
        <f t="shared" ref="U32:AJ32" si="16">SUM(U28:U31)</f>
        <v>8</v>
      </c>
      <c r="V32" s="83">
        <f t="shared" si="16"/>
        <v>0</v>
      </c>
      <c r="W32" s="83">
        <f t="shared" si="16"/>
        <v>0</v>
      </c>
      <c r="X32" s="83">
        <f t="shared" si="16"/>
        <v>0</v>
      </c>
      <c r="Y32" s="83">
        <f t="shared" si="16"/>
        <v>4</v>
      </c>
      <c r="Z32" s="83">
        <f t="shared" si="16"/>
        <v>14</v>
      </c>
      <c r="AA32" s="83">
        <f t="shared" si="16"/>
        <v>0</v>
      </c>
      <c r="AB32" s="83">
        <f t="shared" si="16"/>
        <v>6</v>
      </c>
      <c r="AC32" s="83">
        <f t="shared" si="16"/>
        <v>0</v>
      </c>
      <c r="AD32" s="83">
        <f t="shared" si="16"/>
        <v>4</v>
      </c>
      <c r="AE32" s="83">
        <f t="shared" si="16"/>
        <v>10</v>
      </c>
      <c r="AF32" s="83">
        <f t="shared" si="16"/>
        <v>0</v>
      </c>
      <c r="AG32" s="83">
        <f t="shared" si="16"/>
        <v>0</v>
      </c>
      <c r="AH32" s="83">
        <f t="shared" si="16"/>
        <v>0</v>
      </c>
      <c r="AI32" s="83">
        <f t="shared" si="16"/>
        <v>0</v>
      </c>
      <c r="AJ32" s="83">
        <f t="shared" si="16"/>
        <v>0</v>
      </c>
      <c r="AK32" s="86">
        <f t="shared" si="1"/>
        <v>46</v>
      </c>
      <c r="AL32" s="33">
        <f t="shared" si="2"/>
        <v>164</v>
      </c>
    </row>
    <row r="33" spans="1:38" x14ac:dyDescent="0.25">
      <c r="A33" s="35" t="str">
        <f>'2.0WS'!A33</f>
        <v>04</v>
      </c>
      <c r="B33" s="36" t="str">
        <f>'2.0WS'!B33</f>
        <v>VELLORE</v>
      </c>
      <c r="C33" s="29" t="str">
        <f>'2.0WS'!E33</f>
        <v/>
      </c>
      <c r="D33" s="29" t="str">
        <f>'2.0WS'!H33</f>
        <v/>
      </c>
      <c r="E33" s="29" t="str">
        <f>'2.0WS'!K33</f>
        <v/>
      </c>
      <c r="F33" s="29" t="str">
        <f>'2.0WS'!N33</f>
        <v/>
      </c>
      <c r="G33" s="29" t="str">
        <f>'2.0WS'!Q33</f>
        <v/>
      </c>
      <c r="H33" s="29" t="str">
        <f>'2.0WS'!T33</f>
        <v/>
      </c>
      <c r="I33" s="29" t="str">
        <f>'2.0WS'!W33</f>
        <v/>
      </c>
      <c r="J33" s="29" t="str">
        <f>'2.0WS'!Z33</f>
        <v/>
      </c>
      <c r="K33" s="29" t="str">
        <f>'2.0WS'!AC33</f>
        <v/>
      </c>
      <c r="L33" s="29">
        <f>'2.0WS'!AF33</f>
        <v>4</v>
      </c>
      <c r="M33" s="29" t="str">
        <f>'2.0WS'!AI33</f>
        <v/>
      </c>
      <c r="N33" s="29" t="str">
        <f>'2.0WS'!AL33</f>
        <v/>
      </c>
      <c r="O33" s="29" t="str">
        <f>'2.0WS'!AO33</f>
        <v/>
      </c>
      <c r="P33" s="29">
        <f>'2.0WS'!AR33</f>
        <v>10</v>
      </c>
      <c r="Q33" s="29" t="str">
        <f>'2.0WS'!AU33</f>
        <v/>
      </c>
      <c r="R33" s="29" t="str">
        <f>'2.0WS'!AX33</f>
        <v/>
      </c>
      <c r="S33" s="29" t="str">
        <f>'2.0WS'!BA33</f>
        <v/>
      </c>
      <c r="T33" s="32">
        <f t="shared" si="0"/>
        <v>14</v>
      </c>
      <c r="U33" s="29" t="str">
        <f>'2.0WS'!BE33</f>
        <v/>
      </c>
      <c r="V33" s="29" t="str">
        <f>'2.0WS'!BH33</f>
        <v/>
      </c>
      <c r="W33" s="29" t="str">
        <f>'2.0WS'!BK33</f>
        <v/>
      </c>
      <c r="X33" s="29" t="str">
        <f>'2.0WS'!BN33</f>
        <v/>
      </c>
      <c r="Y33" s="29" t="str">
        <f>'2.0WS'!BQ33</f>
        <v/>
      </c>
      <c r="Z33" s="29" t="str">
        <f>'2.0WS'!BT33</f>
        <v/>
      </c>
      <c r="AA33" s="29" t="str">
        <f>'2.0WS'!BW33</f>
        <v/>
      </c>
      <c r="AB33" s="29" t="str">
        <f>'2.0WS'!BZ33</f>
        <v/>
      </c>
      <c r="AC33" s="29" t="str">
        <f>'2.0WS'!CC33</f>
        <v/>
      </c>
      <c r="AD33" s="29" t="str">
        <f>'2.0WS'!CF33</f>
        <v/>
      </c>
      <c r="AE33" s="29" t="str">
        <f>'2.0WS'!CI33</f>
        <v/>
      </c>
      <c r="AF33" s="29" t="str">
        <f>'2.0WS'!CL33</f>
        <v/>
      </c>
      <c r="AG33" s="29" t="str">
        <f>'2.0WS'!CO33</f>
        <v/>
      </c>
      <c r="AH33" s="29">
        <f>'2.0WS'!CR33</f>
        <v>4</v>
      </c>
      <c r="AI33" s="29" t="str">
        <f>'2.0WS'!CU33</f>
        <v/>
      </c>
      <c r="AJ33" s="29" t="str">
        <f>'2.0WS'!CX33</f>
        <v/>
      </c>
      <c r="AK33" s="86">
        <f t="shared" si="1"/>
        <v>4</v>
      </c>
      <c r="AL33" s="33">
        <f t="shared" si="2"/>
        <v>18</v>
      </c>
    </row>
    <row r="34" spans="1:38" x14ac:dyDescent="0.25">
      <c r="A34" s="35" t="str">
        <f>'2.0WS'!A34</f>
        <v>06</v>
      </c>
      <c r="B34" s="36" t="str">
        <f>'2.0WS'!B34</f>
        <v>TIRUVANNAMALAI</v>
      </c>
      <c r="C34" s="29" t="str">
        <f>'2.0WS'!E34</f>
        <v/>
      </c>
      <c r="D34" s="29" t="str">
        <f>'2.0WS'!H34</f>
        <v/>
      </c>
      <c r="E34" s="29" t="str">
        <f>'2.0WS'!K34</f>
        <v/>
      </c>
      <c r="F34" s="29" t="str">
        <f>'2.0WS'!N34</f>
        <v/>
      </c>
      <c r="G34" s="29" t="str">
        <f>'2.0WS'!Q34</f>
        <v/>
      </c>
      <c r="H34" s="29" t="str">
        <f>'2.0WS'!T34</f>
        <v/>
      </c>
      <c r="I34" s="29" t="str">
        <f>'2.0WS'!W34</f>
        <v/>
      </c>
      <c r="J34" s="29" t="str">
        <f>'2.0WS'!Z34</f>
        <v/>
      </c>
      <c r="K34" s="29" t="str">
        <f>'2.0WS'!AC34</f>
        <v/>
      </c>
      <c r="L34" s="29" t="str">
        <f>'2.0WS'!AF34</f>
        <v/>
      </c>
      <c r="M34" s="29" t="str">
        <f>'2.0WS'!AI34</f>
        <v/>
      </c>
      <c r="N34" s="29" t="str">
        <f>'2.0WS'!AL34</f>
        <v/>
      </c>
      <c r="O34" s="29" t="str">
        <f>'2.0WS'!AO34</f>
        <v/>
      </c>
      <c r="P34" s="29" t="str">
        <f>'2.0WS'!AR34</f>
        <v/>
      </c>
      <c r="Q34" s="29" t="str">
        <f>'2.0WS'!AU34</f>
        <v/>
      </c>
      <c r="R34" s="29" t="str">
        <f>'2.0WS'!AX34</f>
        <v/>
      </c>
      <c r="S34" s="29" t="str">
        <f>'2.0WS'!BA34</f>
        <v/>
      </c>
      <c r="T34" s="32">
        <f t="shared" si="0"/>
        <v>0</v>
      </c>
      <c r="U34" s="29" t="str">
        <f>'2.0WS'!BE34</f>
        <v/>
      </c>
      <c r="V34" s="29" t="str">
        <f>'2.0WS'!BH34</f>
        <v/>
      </c>
      <c r="W34" s="29" t="str">
        <f>'2.0WS'!BK34</f>
        <v/>
      </c>
      <c r="X34" s="29" t="str">
        <f>'2.0WS'!BN34</f>
        <v/>
      </c>
      <c r="Y34" s="29" t="str">
        <f>'2.0WS'!BQ34</f>
        <v/>
      </c>
      <c r="Z34" s="29" t="str">
        <f>'2.0WS'!BT34</f>
        <v/>
      </c>
      <c r="AA34" s="29" t="str">
        <f>'2.0WS'!BW34</f>
        <v/>
      </c>
      <c r="AB34" s="29" t="str">
        <f>'2.0WS'!BZ34</f>
        <v/>
      </c>
      <c r="AC34" s="29" t="str">
        <f>'2.0WS'!CC34</f>
        <v/>
      </c>
      <c r="AD34" s="29" t="str">
        <f>'2.0WS'!CF34</f>
        <v/>
      </c>
      <c r="AE34" s="29" t="str">
        <f>'2.0WS'!CI34</f>
        <v/>
      </c>
      <c r="AF34" s="29" t="str">
        <f>'2.0WS'!CL34</f>
        <v/>
      </c>
      <c r="AG34" s="29" t="str">
        <f>'2.0WS'!CO34</f>
        <v/>
      </c>
      <c r="AH34" s="29" t="str">
        <f>'2.0WS'!CR34</f>
        <v/>
      </c>
      <c r="AI34" s="29" t="str">
        <f>'2.0WS'!CU34</f>
        <v/>
      </c>
      <c r="AJ34" s="29" t="str">
        <f>'2.0WS'!CX34</f>
        <v/>
      </c>
      <c r="AK34" s="86">
        <f t="shared" si="1"/>
        <v>0</v>
      </c>
      <c r="AL34" s="33">
        <f t="shared" si="2"/>
        <v>0</v>
      </c>
    </row>
    <row r="35" spans="1:38" x14ac:dyDescent="0.25">
      <c r="A35" s="35" t="str">
        <f>'2.0WS'!A35</f>
        <v>35</v>
      </c>
      <c r="B35" s="36" t="str">
        <f>'2.0WS'!B35</f>
        <v>RANIPET</v>
      </c>
      <c r="C35" s="29">
        <f>'2.0WS'!E35</f>
        <v>4</v>
      </c>
      <c r="D35" s="29" t="str">
        <f>'2.0WS'!H35</f>
        <v/>
      </c>
      <c r="E35" s="29" t="str">
        <f>'2.0WS'!K35</f>
        <v/>
      </c>
      <c r="F35" s="29" t="str">
        <f>'2.0WS'!N35</f>
        <v/>
      </c>
      <c r="G35" s="29" t="str">
        <f>'2.0WS'!Q35</f>
        <v/>
      </c>
      <c r="H35" s="29" t="str">
        <f>'2.0WS'!T35</f>
        <v/>
      </c>
      <c r="I35" s="29" t="str">
        <f>'2.0WS'!W35</f>
        <v/>
      </c>
      <c r="J35" s="29" t="str">
        <f>'2.0WS'!Z35</f>
        <v/>
      </c>
      <c r="K35" s="29" t="str">
        <f>'2.0WS'!AC35</f>
        <v/>
      </c>
      <c r="L35" s="29" t="str">
        <f>'2.0WS'!AF35</f>
        <v/>
      </c>
      <c r="M35" s="29" t="str">
        <f>'2.0WS'!AI35</f>
        <v/>
      </c>
      <c r="N35" s="29" t="str">
        <f>'2.0WS'!AL35</f>
        <v/>
      </c>
      <c r="O35" s="29" t="str">
        <f>'2.0WS'!AO35</f>
        <v/>
      </c>
      <c r="P35" s="29">
        <f>'2.0WS'!AR35</f>
        <v>4</v>
      </c>
      <c r="Q35" s="29" t="str">
        <f>'2.0WS'!AU35</f>
        <v/>
      </c>
      <c r="R35" s="29" t="str">
        <f>'2.0WS'!AX35</f>
        <v/>
      </c>
      <c r="S35" s="29" t="str">
        <f>'2.0WS'!BA35</f>
        <v/>
      </c>
      <c r="T35" s="32">
        <f t="shared" si="0"/>
        <v>8</v>
      </c>
      <c r="U35" s="29">
        <f>'2.0WS'!BE35</f>
        <v>4</v>
      </c>
      <c r="V35" s="29" t="str">
        <f>'2.0WS'!BH35</f>
        <v/>
      </c>
      <c r="W35" s="29" t="str">
        <f>'2.0WS'!BK35</f>
        <v/>
      </c>
      <c r="X35" s="29" t="str">
        <f>'2.0WS'!BN35</f>
        <v/>
      </c>
      <c r="Y35" s="29">
        <f>'2.0WS'!BQ35</f>
        <v>4</v>
      </c>
      <c r="Z35" s="29" t="str">
        <f>'2.0WS'!BT35</f>
        <v/>
      </c>
      <c r="AA35" s="29" t="str">
        <f>'2.0WS'!BW35</f>
        <v/>
      </c>
      <c r="AB35" s="29" t="str">
        <f>'2.0WS'!BZ35</f>
        <v/>
      </c>
      <c r="AC35" s="29" t="str">
        <f>'2.0WS'!CC35</f>
        <v/>
      </c>
      <c r="AD35" s="29" t="str">
        <f>'2.0WS'!CF35</f>
        <v/>
      </c>
      <c r="AE35" s="29" t="str">
        <f>'2.0WS'!CI35</f>
        <v/>
      </c>
      <c r="AF35" s="29" t="str">
        <f>'2.0WS'!CL35</f>
        <v/>
      </c>
      <c r="AG35" s="29" t="str">
        <f>'2.0WS'!CO35</f>
        <v/>
      </c>
      <c r="AH35" s="29" t="str">
        <f>'2.0WS'!CR35</f>
        <v/>
      </c>
      <c r="AI35" s="29" t="str">
        <f>'2.0WS'!CU35</f>
        <v/>
      </c>
      <c r="AJ35" s="29" t="str">
        <f>'2.0WS'!CX35</f>
        <v/>
      </c>
      <c r="AK35" s="86">
        <f t="shared" si="1"/>
        <v>8</v>
      </c>
      <c r="AL35" s="33">
        <f t="shared" si="2"/>
        <v>16</v>
      </c>
    </row>
    <row r="36" spans="1:38" s="5" customFormat="1" ht="14.4" customHeight="1" x14ac:dyDescent="0.25">
      <c r="A36" s="147" t="str">
        <f>'2.0WS'!A36</f>
        <v>SRO VELLORE TOTAL</v>
      </c>
      <c r="B36" s="147"/>
      <c r="C36" s="83">
        <f t="shared" ref="C36:S36" si="17">SUM(C33:C35)</f>
        <v>4</v>
      </c>
      <c r="D36" s="83">
        <f t="shared" si="17"/>
        <v>0</v>
      </c>
      <c r="E36" s="83">
        <f t="shared" si="17"/>
        <v>0</v>
      </c>
      <c r="F36" s="83">
        <f t="shared" si="17"/>
        <v>0</v>
      </c>
      <c r="G36" s="83">
        <f t="shared" si="17"/>
        <v>0</v>
      </c>
      <c r="H36" s="83">
        <f t="shared" si="17"/>
        <v>0</v>
      </c>
      <c r="I36" s="83">
        <f t="shared" si="17"/>
        <v>0</v>
      </c>
      <c r="J36" s="83">
        <f t="shared" si="17"/>
        <v>0</v>
      </c>
      <c r="K36" s="83">
        <f t="shared" si="17"/>
        <v>0</v>
      </c>
      <c r="L36" s="83">
        <f t="shared" si="17"/>
        <v>4</v>
      </c>
      <c r="M36" s="83">
        <f t="shared" si="17"/>
        <v>0</v>
      </c>
      <c r="N36" s="83">
        <f t="shared" si="17"/>
        <v>0</v>
      </c>
      <c r="O36" s="83">
        <f t="shared" si="17"/>
        <v>0</v>
      </c>
      <c r="P36" s="83">
        <f t="shared" si="17"/>
        <v>14</v>
      </c>
      <c r="Q36" s="83">
        <f t="shared" si="17"/>
        <v>0</v>
      </c>
      <c r="R36" s="83">
        <f t="shared" si="17"/>
        <v>0</v>
      </c>
      <c r="S36" s="83">
        <f t="shared" si="17"/>
        <v>0</v>
      </c>
      <c r="T36" s="32">
        <f t="shared" si="0"/>
        <v>22</v>
      </c>
      <c r="U36" s="83">
        <f t="shared" ref="U36:AJ36" si="18">SUM(U33:U35)</f>
        <v>4</v>
      </c>
      <c r="V36" s="83">
        <f t="shared" si="18"/>
        <v>0</v>
      </c>
      <c r="W36" s="83">
        <f t="shared" si="18"/>
        <v>0</v>
      </c>
      <c r="X36" s="83">
        <f t="shared" si="18"/>
        <v>0</v>
      </c>
      <c r="Y36" s="83">
        <f t="shared" si="18"/>
        <v>4</v>
      </c>
      <c r="Z36" s="83">
        <f t="shared" si="18"/>
        <v>0</v>
      </c>
      <c r="AA36" s="83">
        <f t="shared" si="18"/>
        <v>0</v>
      </c>
      <c r="AB36" s="83">
        <f t="shared" si="18"/>
        <v>0</v>
      </c>
      <c r="AC36" s="83">
        <f t="shared" si="18"/>
        <v>0</v>
      </c>
      <c r="AD36" s="83">
        <f t="shared" si="18"/>
        <v>0</v>
      </c>
      <c r="AE36" s="83">
        <f t="shared" si="18"/>
        <v>0</v>
      </c>
      <c r="AF36" s="83">
        <f t="shared" si="18"/>
        <v>0</v>
      </c>
      <c r="AG36" s="83">
        <f t="shared" si="18"/>
        <v>0</v>
      </c>
      <c r="AH36" s="83">
        <f t="shared" si="18"/>
        <v>4</v>
      </c>
      <c r="AI36" s="83">
        <f t="shared" si="18"/>
        <v>0</v>
      </c>
      <c r="AJ36" s="83">
        <f t="shared" si="18"/>
        <v>0</v>
      </c>
      <c r="AK36" s="86">
        <f t="shared" si="1"/>
        <v>12</v>
      </c>
      <c r="AL36" s="33">
        <f t="shared" si="2"/>
        <v>34</v>
      </c>
    </row>
    <row r="37" spans="1:38" s="5" customFormat="1" ht="14.4" customHeight="1" x14ac:dyDescent="0.25">
      <c r="A37" s="149" t="str">
        <f>'2.0WS'!A37</f>
        <v>RO CHENNAI TOTAL</v>
      </c>
      <c r="B37" s="149"/>
      <c r="C37" s="84">
        <f>SUM(C36,C32,C27)</f>
        <v>32</v>
      </c>
      <c r="D37" s="84">
        <f t="shared" ref="D37:S37" si="19">SUM(D36,D32,D27)</f>
        <v>0</v>
      </c>
      <c r="E37" s="84">
        <f t="shared" si="19"/>
        <v>26</v>
      </c>
      <c r="F37" s="84">
        <f t="shared" si="19"/>
        <v>0</v>
      </c>
      <c r="G37" s="84">
        <f t="shared" si="19"/>
        <v>0</v>
      </c>
      <c r="H37" s="84">
        <f t="shared" si="19"/>
        <v>32</v>
      </c>
      <c r="I37" s="84">
        <f t="shared" si="19"/>
        <v>12</v>
      </c>
      <c r="J37" s="84">
        <f t="shared" si="19"/>
        <v>6</v>
      </c>
      <c r="K37" s="84">
        <f t="shared" si="19"/>
        <v>6</v>
      </c>
      <c r="L37" s="84">
        <f t="shared" si="19"/>
        <v>4</v>
      </c>
      <c r="M37" s="84">
        <f t="shared" si="19"/>
        <v>8</v>
      </c>
      <c r="N37" s="84">
        <f t="shared" si="19"/>
        <v>6</v>
      </c>
      <c r="O37" s="84">
        <f t="shared" si="19"/>
        <v>4</v>
      </c>
      <c r="P37" s="84">
        <f t="shared" si="19"/>
        <v>14</v>
      </c>
      <c r="Q37" s="84">
        <f t="shared" si="19"/>
        <v>10</v>
      </c>
      <c r="R37" s="84">
        <f t="shared" si="19"/>
        <v>6</v>
      </c>
      <c r="S37" s="84">
        <f t="shared" si="19"/>
        <v>20</v>
      </c>
      <c r="T37" s="32">
        <f t="shared" si="0"/>
        <v>186</v>
      </c>
      <c r="U37" s="84">
        <f t="shared" ref="U37:AJ37" si="20">SUM(U36,U32,U27)</f>
        <v>22</v>
      </c>
      <c r="V37" s="84">
        <f t="shared" si="20"/>
        <v>0</v>
      </c>
      <c r="W37" s="84">
        <f t="shared" si="20"/>
        <v>0</v>
      </c>
      <c r="X37" s="84">
        <f t="shared" si="20"/>
        <v>0</v>
      </c>
      <c r="Y37" s="84">
        <f t="shared" si="20"/>
        <v>16</v>
      </c>
      <c r="Z37" s="84">
        <f t="shared" si="20"/>
        <v>14</v>
      </c>
      <c r="AA37" s="84">
        <f t="shared" si="20"/>
        <v>0</v>
      </c>
      <c r="AB37" s="84">
        <f t="shared" si="20"/>
        <v>6</v>
      </c>
      <c r="AC37" s="84">
        <f t="shared" si="20"/>
        <v>8</v>
      </c>
      <c r="AD37" s="84">
        <f t="shared" si="20"/>
        <v>4</v>
      </c>
      <c r="AE37" s="84">
        <f t="shared" si="20"/>
        <v>10</v>
      </c>
      <c r="AF37" s="84">
        <f t="shared" si="20"/>
        <v>0</v>
      </c>
      <c r="AG37" s="84">
        <f t="shared" si="20"/>
        <v>0</v>
      </c>
      <c r="AH37" s="84">
        <f t="shared" si="20"/>
        <v>4</v>
      </c>
      <c r="AI37" s="84">
        <f t="shared" si="20"/>
        <v>0</v>
      </c>
      <c r="AJ37" s="84">
        <f t="shared" si="20"/>
        <v>0</v>
      </c>
      <c r="AK37" s="86">
        <f t="shared" si="1"/>
        <v>84</v>
      </c>
      <c r="AL37" s="33">
        <f t="shared" si="2"/>
        <v>270</v>
      </c>
    </row>
    <row r="38" spans="1:38" x14ac:dyDescent="0.25">
      <c r="A38" s="35" t="str">
        <f>'2.0WS'!A38</f>
        <v>13</v>
      </c>
      <c r="B38" s="36" t="str">
        <f>'2.0WS'!B38</f>
        <v>DINDIGUL</v>
      </c>
      <c r="C38" s="29" t="str">
        <f>'2.0WS'!E38</f>
        <v/>
      </c>
      <c r="D38" s="29" t="str">
        <f>'2.0WS'!H38</f>
        <v/>
      </c>
      <c r="E38" s="29" t="str">
        <f>'2.0WS'!K38</f>
        <v/>
      </c>
      <c r="F38" s="29">
        <f>'2.0WS'!N38</f>
        <v>4</v>
      </c>
      <c r="G38" s="29" t="str">
        <f>'2.0WS'!Q38</f>
        <v/>
      </c>
      <c r="H38" s="29" t="str">
        <f>'2.0WS'!T38</f>
        <v/>
      </c>
      <c r="I38" s="29" t="str">
        <f>'2.0WS'!W38</f>
        <v/>
      </c>
      <c r="J38" s="29" t="str">
        <f>'2.0WS'!Z38</f>
        <v/>
      </c>
      <c r="K38" s="29" t="str">
        <f>'2.0WS'!AC38</f>
        <v/>
      </c>
      <c r="L38" s="29">
        <f>'2.0WS'!AF38</f>
        <v>4</v>
      </c>
      <c r="M38" s="29" t="str">
        <f>'2.0WS'!AI38</f>
        <v/>
      </c>
      <c r="N38" s="29" t="str">
        <f>'2.0WS'!AL38</f>
        <v/>
      </c>
      <c r="O38" s="29" t="str">
        <f>'2.0WS'!AO38</f>
        <v/>
      </c>
      <c r="P38" s="29" t="str">
        <f>'2.0WS'!AR38</f>
        <v/>
      </c>
      <c r="Q38" s="29" t="str">
        <f>'2.0WS'!AU38</f>
        <v/>
      </c>
      <c r="R38" s="29" t="str">
        <f>'2.0WS'!AX38</f>
        <v/>
      </c>
      <c r="S38" s="29">
        <f>'2.0WS'!BA38</f>
        <v>4</v>
      </c>
      <c r="T38" s="32">
        <f t="shared" si="0"/>
        <v>12</v>
      </c>
      <c r="U38" s="29">
        <f>'2.0WS'!BE38</f>
        <v>4</v>
      </c>
      <c r="V38" s="29">
        <f>'2.0WS'!BH38</f>
        <v>14</v>
      </c>
      <c r="W38" s="29">
        <f>'2.0WS'!BK38</f>
        <v>0</v>
      </c>
      <c r="X38" s="29">
        <f>'2.0WS'!BN38</f>
        <v>4</v>
      </c>
      <c r="Y38" s="29">
        <f>'2.0WS'!BQ38</f>
        <v>4</v>
      </c>
      <c r="Z38" s="29">
        <f>'2.0WS'!BT38</f>
        <v>4</v>
      </c>
      <c r="AA38" s="29" t="str">
        <f>'2.0WS'!BW38</f>
        <v/>
      </c>
      <c r="AB38" s="29">
        <f>'2.0WS'!BZ38</f>
        <v>6</v>
      </c>
      <c r="AC38" s="29" t="str">
        <f>'2.0WS'!CC38</f>
        <v/>
      </c>
      <c r="AD38" s="29" t="str">
        <f>'2.0WS'!CF38</f>
        <v/>
      </c>
      <c r="AE38" s="29" t="str">
        <f>'2.0WS'!CI38</f>
        <v/>
      </c>
      <c r="AF38" s="29">
        <f>'2.0WS'!CL38</f>
        <v>4</v>
      </c>
      <c r="AG38" s="29" t="str">
        <f>'2.0WS'!CO38</f>
        <v/>
      </c>
      <c r="AH38" s="29">
        <f>'2.0WS'!CR38</f>
        <v>4</v>
      </c>
      <c r="AI38" s="29">
        <f>'2.0WS'!CU38</f>
        <v>4</v>
      </c>
      <c r="AJ38" s="29">
        <f>'2.0WS'!CX38</f>
        <v>4</v>
      </c>
      <c r="AK38" s="86">
        <f t="shared" si="1"/>
        <v>52</v>
      </c>
      <c r="AL38" s="33">
        <f t="shared" si="2"/>
        <v>64</v>
      </c>
    </row>
    <row r="39" spans="1:38" x14ac:dyDescent="0.25">
      <c r="A39" s="35" t="str">
        <f>'2.0WS'!A39</f>
        <v>23</v>
      </c>
      <c r="B39" s="36" t="str">
        <f>'2.0WS'!B39</f>
        <v>SIVAGANGAI</v>
      </c>
      <c r="C39" s="29" t="str">
        <f>'2.0WS'!E39</f>
        <v/>
      </c>
      <c r="D39" s="29" t="str">
        <f>'2.0WS'!H39</f>
        <v/>
      </c>
      <c r="E39" s="29">
        <f>'2.0WS'!K39</f>
        <v>8</v>
      </c>
      <c r="F39" s="29" t="str">
        <f>'2.0WS'!N39</f>
        <v/>
      </c>
      <c r="G39" s="29" t="str">
        <f>'2.0WS'!Q39</f>
        <v/>
      </c>
      <c r="H39" s="29" t="str">
        <f>'2.0WS'!T39</f>
        <v/>
      </c>
      <c r="I39" s="29" t="str">
        <f>'2.0WS'!W39</f>
        <v/>
      </c>
      <c r="J39" s="29" t="str">
        <f>'2.0WS'!Z39</f>
        <v/>
      </c>
      <c r="K39" s="29" t="str">
        <f>'2.0WS'!AC39</f>
        <v/>
      </c>
      <c r="L39" s="29">
        <f>'2.0WS'!AF39</f>
        <v>6</v>
      </c>
      <c r="M39" s="29" t="str">
        <f>'2.0WS'!AI39</f>
        <v/>
      </c>
      <c r="N39" s="29" t="str">
        <f>'2.0WS'!AL39</f>
        <v/>
      </c>
      <c r="O39" s="29" t="str">
        <f>'2.0WS'!AO39</f>
        <v/>
      </c>
      <c r="P39" s="29" t="str">
        <f>'2.0WS'!AR39</f>
        <v/>
      </c>
      <c r="Q39" s="29" t="str">
        <f>'2.0WS'!AU39</f>
        <v/>
      </c>
      <c r="R39" s="29" t="str">
        <f>'2.0WS'!AX39</f>
        <v/>
      </c>
      <c r="S39" s="29">
        <f>'2.0WS'!BA39</f>
        <v>4</v>
      </c>
      <c r="T39" s="32">
        <f t="shared" si="0"/>
        <v>18</v>
      </c>
      <c r="U39" s="29" t="str">
        <f>'2.0WS'!BE39</f>
        <v/>
      </c>
      <c r="V39" s="29" t="str">
        <f>'2.0WS'!BH39</f>
        <v/>
      </c>
      <c r="W39" s="29" t="str">
        <f>'2.0WS'!BK39</f>
        <v/>
      </c>
      <c r="X39" s="29" t="str">
        <f>'2.0WS'!BN39</f>
        <v/>
      </c>
      <c r="Y39" s="29" t="str">
        <f>'2.0WS'!BQ39</f>
        <v/>
      </c>
      <c r="Z39" s="29" t="str">
        <f>'2.0WS'!BT39</f>
        <v/>
      </c>
      <c r="AA39" s="29" t="str">
        <f>'2.0WS'!BW39</f>
        <v/>
      </c>
      <c r="AB39" s="29" t="str">
        <f>'2.0WS'!BZ39</f>
        <v/>
      </c>
      <c r="AC39" s="29" t="str">
        <f>'2.0WS'!CC39</f>
        <v/>
      </c>
      <c r="AD39" s="29" t="str">
        <f>'2.0WS'!CF39</f>
        <v/>
      </c>
      <c r="AE39" s="29" t="str">
        <f>'2.0WS'!CI39</f>
        <v/>
      </c>
      <c r="AF39" s="29" t="str">
        <f>'2.0WS'!CL39</f>
        <v/>
      </c>
      <c r="AG39" s="29" t="str">
        <f>'2.0WS'!CO39</f>
        <v/>
      </c>
      <c r="AH39" s="29" t="str">
        <f>'2.0WS'!CR39</f>
        <v/>
      </c>
      <c r="AI39" s="29" t="str">
        <f>'2.0WS'!CU39</f>
        <v/>
      </c>
      <c r="AJ39" s="29" t="str">
        <f>'2.0WS'!CX39</f>
        <v/>
      </c>
      <c r="AK39" s="86">
        <f t="shared" si="1"/>
        <v>0</v>
      </c>
      <c r="AL39" s="33">
        <f t="shared" si="2"/>
        <v>18</v>
      </c>
    </row>
    <row r="40" spans="1:38" x14ac:dyDescent="0.25">
      <c r="A40" s="35" t="str">
        <f>'2.0WS'!A40</f>
        <v>24</v>
      </c>
      <c r="B40" s="36" t="str">
        <f>'2.0WS'!B40</f>
        <v>MADURAI</v>
      </c>
      <c r="C40" s="29" t="str">
        <f>'2.0WS'!E40</f>
        <v/>
      </c>
      <c r="D40" s="29" t="str">
        <f>'2.0WS'!H40</f>
        <v/>
      </c>
      <c r="E40" s="29">
        <f>'2.0WS'!K40</f>
        <v>4</v>
      </c>
      <c r="F40" s="29">
        <f>'2.0WS'!N40</f>
        <v>4</v>
      </c>
      <c r="G40" s="29" t="str">
        <f>'2.0WS'!Q40</f>
        <v/>
      </c>
      <c r="H40" s="29">
        <f>'2.0WS'!T40</f>
        <v>8</v>
      </c>
      <c r="I40" s="29" t="str">
        <f>'2.0WS'!W40</f>
        <v/>
      </c>
      <c r="J40" s="29">
        <f>'2.0WS'!Z40</f>
        <v>6</v>
      </c>
      <c r="K40" s="29" t="str">
        <f>'2.0WS'!AC40</f>
        <v/>
      </c>
      <c r="L40" s="29" t="str">
        <f>'2.0WS'!AF40</f>
        <v/>
      </c>
      <c r="M40" s="29" t="str">
        <f>'2.0WS'!AI40</f>
        <v/>
      </c>
      <c r="N40" s="29" t="str">
        <f>'2.0WS'!AL40</f>
        <v/>
      </c>
      <c r="O40" s="29" t="str">
        <f>'2.0WS'!AO40</f>
        <v/>
      </c>
      <c r="P40" s="29">
        <f>'2.0WS'!AR40</f>
        <v>4</v>
      </c>
      <c r="Q40" s="29">
        <f>'2.0WS'!AU40</f>
        <v>4</v>
      </c>
      <c r="R40" s="29" t="str">
        <f>'2.0WS'!AX40</f>
        <v/>
      </c>
      <c r="S40" s="29">
        <f>'2.0WS'!BA40</f>
        <v>0</v>
      </c>
      <c r="T40" s="32">
        <f t="shared" si="0"/>
        <v>30</v>
      </c>
      <c r="U40" s="29">
        <f>'2.0WS'!BE40</f>
        <v>4</v>
      </c>
      <c r="V40" s="29">
        <f>'2.0WS'!BH40</f>
        <v>4</v>
      </c>
      <c r="W40" s="29" t="str">
        <f>'2.0WS'!BK40</f>
        <v/>
      </c>
      <c r="X40" s="29" t="str">
        <f>'2.0WS'!BN40</f>
        <v/>
      </c>
      <c r="Y40" s="29" t="str">
        <f>'2.0WS'!BQ40</f>
        <v/>
      </c>
      <c r="Z40" s="29" t="str">
        <f>'2.0WS'!BT40</f>
        <v/>
      </c>
      <c r="AA40" s="29" t="str">
        <f>'2.0WS'!BW40</f>
        <v/>
      </c>
      <c r="AB40" s="29" t="str">
        <f>'2.0WS'!BZ40</f>
        <v/>
      </c>
      <c r="AC40" s="29" t="str">
        <f>'2.0WS'!CC40</f>
        <v/>
      </c>
      <c r="AD40" s="29" t="str">
        <f>'2.0WS'!CF40</f>
        <v/>
      </c>
      <c r="AE40" s="29" t="str">
        <f>'2.0WS'!CI40</f>
        <v/>
      </c>
      <c r="AF40" s="29">
        <f>'2.0WS'!CL40</f>
        <v>4</v>
      </c>
      <c r="AG40" s="29" t="str">
        <f>'2.0WS'!CO40</f>
        <v/>
      </c>
      <c r="AH40" s="29" t="str">
        <f>'2.0WS'!CR40</f>
        <v/>
      </c>
      <c r="AI40" s="29">
        <f>'2.0WS'!CU40</f>
        <v>4</v>
      </c>
      <c r="AJ40" s="29">
        <f>'2.0WS'!CX40</f>
        <v>6</v>
      </c>
      <c r="AK40" s="86">
        <f t="shared" si="1"/>
        <v>22</v>
      </c>
      <c r="AL40" s="33">
        <f t="shared" si="2"/>
        <v>52</v>
      </c>
    </row>
    <row r="41" spans="1:38" x14ac:dyDescent="0.25">
      <c r="A41" s="35" t="str">
        <f>'2.0WS'!A41</f>
        <v>25</v>
      </c>
      <c r="B41" s="36" t="str">
        <f>'2.0WS'!B41</f>
        <v>THENI</v>
      </c>
      <c r="C41" s="29">
        <f>'2.0WS'!E41</f>
        <v>4</v>
      </c>
      <c r="D41" s="29" t="str">
        <f>'2.0WS'!H41</f>
        <v/>
      </c>
      <c r="E41" s="29" t="str">
        <f>'2.0WS'!K41</f>
        <v/>
      </c>
      <c r="F41" s="29">
        <f>'2.0WS'!N41</f>
        <v>4</v>
      </c>
      <c r="G41" s="29" t="str">
        <f>'2.0WS'!Q41</f>
        <v/>
      </c>
      <c r="H41" s="29" t="str">
        <f>'2.0WS'!T41</f>
        <v/>
      </c>
      <c r="I41" s="29" t="str">
        <f>'2.0WS'!W41</f>
        <v/>
      </c>
      <c r="J41" s="29" t="str">
        <f>'2.0WS'!Z41</f>
        <v/>
      </c>
      <c r="K41" s="29" t="str">
        <f>'2.0WS'!AC41</f>
        <v/>
      </c>
      <c r="L41" s="29" t="str">
        <f>'2.0WS'!AF41</f>
        <v/>
      </c>
      <c r="M41" s="29" t="str">
        <f>'2.0WS'!AI41</f>
        <v/>
      </c>
      <c r="N41" s="29">
        <f>'2.0WS'!AL41</f>
        <v>4</v>
      </c>
      <c r="O41" s="29" t="str">
        <f>'2.0WS'!AO41</f>
        <v/>
      </c>
      <c r="P41" s="29">
        <f>'2.0WS'!AR41</f>
        <v>6</v>
      </c>
      <c r="Q41" s="29" t="str">
        <f>'2.0WS'!AU41</f>
        <v/>
      </c>
      <c r="R41" s="29">
        <f>'2.0WS'!AX41</f>
        <v>4</v>
      </c>
      <c r="S41" s="29">
        <f>'2.0WS'!BA41</f>
        <v>0</v>
      </c>
      <c r="T41" s="32">
        <f t="shared" si="0"/>
        <v>22</v>
      </c>
      <c r="U41" s="29" t="str">
        <f>'2.0WS'!BE41</f>
        <v/>
      </c>
      <c r="V41" s="29">
        <f>'2.0WS'!BH41</f>
        <v>4</v>
      </c>
      <c r="W41" s="29">
        <f>'2.0WS'!BK41</f>
        <v>4</v>
      </c>
      <c r="X41" s="29" t="str">
        <f>'2.0WS'!BN41</f>
        <v/>
      </c>
      <c r="Y41" s="29" t="str">
        <f>'2.0WS'!BQ41</f>
        <v/>
      </c>
      <c r="Z41" s="29" t="str">
        <f>'2.0WS'!BT41</f>
        <v/>
      </c>
      <c r="AA41" s="29" t="str">
        <f>'2.0WS'!BW41</f>
        <v/>
      </c>
      <c r="AB41" s="29">
        <f>'2.0WS'!BZ41</f>
        <v>6</v>
      </c>
      <c r="AC41" s="29" t="str">
        <f>'2.0WS'!CC41</f>
        <v/>
      </c>
      <c r="AD41" s="29" t="str">
        <f>'2.0WS'!CF41</f>
        <v/>
      </c>
      <c r="AE41" s="29" t="str">
        <f>'2.0WS'!CI41</f>
        <v/>
      </c>
      <c r="AF41" s="29">
        <f>'2.0WS'!CL41</f>
        <v>8</v>
      </c>
      <c r="AG41" s="29" t="str">
        <f>'2.0WS'!CO41</f>
        <v/>
      </c>
      <c r="AH41" s="29" t="str">
        <f>'2.0WS'!CR41</f>
        <v/>
      </c>
      <c r="AI41" s="29" t="str">
        <f>'2.0WS'!CU41</f>
        <v/>
      </c>
      <c r="AJ41" s="29">
        <f>'2.0WS'!CX41</f>
        <v>4</v>
      </c>
      <c r="AK41" s="86">
        <f t="shared" si="1"/>
        <v>26</v>
      </c>
      <c r="AL41" s="33">
        <f t="shared" si="2"/>
        <v>48</v>
      </c>
    </row>
    <row r="42" spans="1:38" s="5" customFormat="1" ht="14.4" customHeight="1" x14ac:dyDescent="0.25">
      <c r="A42" s="147" t="str">
        <f>'2.0WS'!A42</f>
        <v>SRO MADURAI TOTAL</v>
      </c>
      <c r="B42" s="147"/>
      <c r="C42" s="83">
        <f t="shared" ref="C42" si="21">SUM(C38:C41)</f>
        <v>4</v>
      </c>
      <c r="D42" s="83">
        <f t="shared" ref="D42" si="22">SUM(D38:D41)</f>
        <v>0</v>
      </c>
      <c r="E42" s="83">
        <f t="shared" ref="E42" si="23">SUM(E38:E41)</f>
        <v>12</v>
      </c>
      <c r="F42" s="83">
        <f t="shared" ref="F42" si="24">SUM(F38:F41)</f>
        <v>12</v>
      </c>
      <c r="G42" s="83">
        <f t="shared" ref="G42" si="25">SUM(G38:G41)</f>
        <v>0</v>
      </c>
      <c r="H42" s="83">
        <f t="shared" ref="H42" si="26">SUM(H38:H41)</f>
        <v>8</v>
      </c>
      <c r="I42" s="83">
        <f t="shared" ref="I42" si="27">SUM(I38:I41)</f>
        <v>0</v>
      </c>
      <c r="J42" s="83">
        <f t="shared" ref="J42" si="28">SUM(J38:J41)</f>
        <v>6</v>
      </c>
      <c r="K42" s="83">
        <f t="shared" ref="K42" si="29">SUM(K38:K41)</f>
        <v>0</v>
      </c>
      <c r="L42" s="83">
        <f t="shared" ref="L42" si="30">SUM(L38:L41)</f>
        <v>10</v>
      </c>
      <c r="M42" s="83">
        <f t="shared" ref="M42" si="31">SUM(M38:M41)</f>
        <v>0</v>
      </c>
      <c r="N42" s="83">
        <f t="shared" ref="N42" si="32">SUM(N38:N41)</f>
        <v>4</v>
      </c>
      <c r="O42" s="83">
        <f t="shared" ref="O42" si="33">SUM(O38:O41)</f>
        <v>0</v>
      </c>
      <c r="P42" s="83">
        <f t="shared" ref="P42" si="34">SUM(P38:P41)</f>
        <v>10</v>
      </c>
      <c r="Q42" s="83">
        <f t="shared" ref="Q42" si="35">SUM(Q38:Q41)</f>
        <v>4</v>
      </c>
      <c r="R42" s="83">
        <f t="shared" ref="R42" si="36">SUM(R38:R41)</f>
        <v>4</v>
      </c>
      <c r="S42" s="83">
        <f t="shared" ref="S42" si="37">SUM(S38:S41)</f>
        <v>8</v>
      </c>
      <c r="T42" s="32">
        <f t="shared" si="0"/>
        <v>82</v>
      </c>
      <c r="U42" s="83">
        <f t="shared" ref="U42" si="38">SUM(U38:U41)</f>
        <v>8</v>
      </c>
      <c r="V42" s="83">
        <f t="shared" ref="V42" si="39">SUM(V38:V41)</f>
        <v>22</v>
      </c>
      <c r="W42" s="83">
        <f t="shared" ref="W42" si="40">SUM(W38:W41)</f>
        <v>4</v>
      </c>
      <c r="X42" s="83">
        <f t="shared" ref="X42" si="41">SUM(X38:X41)</f>
        <v>4</v>
      </c>
      <c r="Y42" s="83">
        <f t="shared" ref="Y42" si="42">SUM(Y38:Y41)</f>
        <v>4</v>
      </c>
      <c r="Z42" s="83">
        <f t="shared" ref="Z42" si="43">SUM(Z38:Z41)</f>
        <v>4</v>
      </c>
      <c r="AA42" s="83">
        <f t="shared" ref="AA42" si="44">SUM(AA38:AA41)</f>
        <v>0</v>
      </c>
      <c r="AB42" s="83">
        <f t="shared" ref="AB42" si="45">SUM(AB38:AB41)</f>
        <v>12</v>
      </c>
      <c r="AC42" s="83">
        <f t="shared" ref="AC42" si="46">SUM(AC38:AC41)</f>
        <v>0</v>
      </c>
      <c r="AD42" s="83">
        <f t="shared" ref="AD42" si="47">SUM(AD38:AD41)</f>
        <v>0</v>
      </c>
      <c r="AE42" s="83">
        <f t="shared" ref="AE42" si="48">SUM(AE38:AE41)</f>
        <v>0</v>
      </c>
      <c r="AF42" s="83">
        <f t="shared" ref="AF42" si="49">SUM(AF38:AF41)</f>
        <v>16</v>
      </c>
      <c r="AG42" s="83">
        <f t="shared" ref="AG42" si="50">SUM(AG38:AG41)</f>
        <v>0</v>
      </c>
      <c r="AH42" s="83">
        <f t="shared" ref="AH42" si="51">SUM(AH38:AH41)</f>
        <v>4</v>
      </c>
      <c r="AI42" s="83">
        <f t="shared" ref="AI42" si="52">SUM(AI38:AI41)</f>
        <v>8</v>
      </c>
      <c r="AJ42" s="83">
        <f t="shared" ref="AJ42" si="53">SUM(AJ38:AJ41)</f>
        <v>14</v>
      </c>
      <c r="AK42" s="86">
        <f t="shared" si="1"/>
        <v>100</v>
      </c>
      <c r="AL42" s="33">
        <f t="shared" si="2"/>
        <v>182</v>
      </c>
    </row>
    <row r="43" spans="1:38" x14ac:dyDescent="0.25">
      <c r="A43" s="35" t="str">
        <f>'2.0WS'!A43</f>
        <v>19</v>
      </c>
      <c r="B43" s="36" t="str">
        <f>'2.0WS'!B43</f>
        <v>NAGAPATTINAM</v>
      </c>
      <c r="C43" s="29" t="str">
        <f>'2.0WS'!E43</f>
        <v/>
      </c>
      <c r="D43" s="29" t="str">
        <f>'2.0WS'!H43</f>
        <v/>
      </c>
      <c r="E43" s="29">
        <f>'2.0WS'!K43</f>
        <v>4</v>
      </c>
      <c r="F43" s="29" t="str">
        <f>'2.0WS'!N43</f>
        <v/>
      </c>
      <c r="G43" s="29" t="str">
        <f>'2.0WS'!Q43</f>
        <v/>
      </c>
      <c r="H43" s="29" t="str">
        <f>'2.0WS'!T43</f>
        <v/>
      </c>
      <c r="I43" s="29" t="str">
        <f>'2.0WS'!W43</f>
        <v/>
      </c>
      <c r="J43" s="29" t="str">
        <f>'2.0WS'!Z43</f>
        <v/>
      </c>
      <c r="K43" s="29" t="str">
        <f>'2.0WS'!AC43</f>
        <v/>
      </c>
      <c r="L43" s="29" t="str">
        <f>'2.0WS'!AF43</f>
        <v/>
      </c>
      <c r="M43" s="29" t="str">
        <f>'2.0WS'!AI43</f>
        <v/>
      </c>
      <c r="N43" s="29" t="str">
        <f>'2.0WS'!AL43</f>
        <v/>
      </c>
      <c r="O43" s="29" t="str">
        <f>'2.0WS'!AO43</f>
        <v/>
      </c>
      <c r="P43" s="29" t="str">
        <f>'2.0WS'!AR43</f>
        <v/>
      </c>
      <c r="Q43" s="29" t="str">
        <f>'2.0WS'!AU43</f>
        <v/>
      </c>
      <c r="R43" s="29" t="str">
        <f>'2.0WS'!AX43</f>
        <v/>
      </c>
      <c r="S43" s="29" t="str">
        <f>'2.0WS'!BA43</f>
        <v/>
      </c>
      <c r="T43" s="32">
        <f t="shared" si="0"/>
        <v>4</v>
      </c>
      <c r="U43" s="29" t="str">
        <f>'2.0WS'!BE43</f>
        <v/>
      </c>
      <c r="V43" s="29" t="str">
        <f>'2.0WS'!BH43</f>
        <v/>
      </c>
      <c r="W43" s="29" t="str">
        <f>'2.0WS'!BK43</f>
        <v/>
      </c>
      <c r="X43" s="29" t="str">
        <f>'2.0WS'!BN43</f>
        <v/>
      </c>
      <c r="Y43" s="29" t="str">
        <f>'2.0WS'!BQ43</f>
        <v/>
      </c>
      <c r="Z43" s="29">
        <f>'2.0WS'!BT43</f>
        <v>4</v>
      </c>
      <c r="AA43" s="29" t="str">
        <f>'2.0WS'!BW43</f>
        <v/>
      </c>
      <c r="AB43" s="29">
        <f>'2.0WS'!BZ43</f>
        <v>8</v>
      </c>
      <c r="AC43" s="29" t="str">
        <f>'2.0WS'!CC43</f>
        <v/>
      </c>
      <c r="AD43" s="29" t="str">
        <f>'2.0WS'!CF43</f>
        <v/>
      </c>
      <c r="AE43" s="29" t="str">
        <f>'2.0WS'!CI43</f>
        <v/>
      </c>
      <c r="AF43" s="29" t="str">
        <f>'2.0WS'!CL43</f>
        <v/>
      </c>
      <c r="AG43" s="29" t="str">
        <f>'2.0WS'!CO43</f>
        <v/>
      </c>
      <c r="AH43" s="29" t="str">
        <f>'2.0WS'!CR43</f>
        <v/>
      </c>
      <c r="AI43" s="29" t="str">
        <f>'2.0WS'!CU43</f>
        <v/>
      </c>
      <c r="AJ43" s="29" t="str">
        <f>'2.0WS'!CX43</f>
        <v/>
      </c>
      <c r="AK43" s="86">
        <f t="shared" si="1"/>
        <v>12</v>
      </c>
      <c r="AL43" s="33">
        <f t="shared" si="2"/>
        <v>16</v>
      </c>
    </row>
    <row r="44" spans="1:38" x14ac:dyDescent="0.25">
      <c r="A44" s="35" t="str">
        <f>'2.0WS'!A44</f>
        <v>20</v>
      </c>
      <c r="B44" s="36" t="str">
        <f>'2.0WS'!B44</f>
        <v>THIRUVARUR</v>
      </c>
      <c r="C44" s="29">
        <f>'2.0WS'!E44</f>
        <v>8</v>
      </c>
      <c r="D44" s="29" t="str">
        <f>'2.0WS'!H44</f>
        <v/>
      </c>
      <c r="E44" s="29">
        <f>'2.0WS'!K44</f>
        <v>10</v>
      </c>
      <c r="F44" s="29" t="str">
        <f>'2.0WS'!N44</f>
        <v/>
      </c>
      <c r="G44" s="29" t="str">
        <f>'2.0WS'!Q44</f>
        <v/>
      </c>
      <c r="H44" s="29" t="str">
        <f>'2.0WS'!T44</f>
        <v/>
      </c>
      <c r="I44" s="29" t="str">
        <f>'2.0WS'!W44</f>
        <v/>
      </c>
      <c r="J44" s="29" t="str">
        <f>'2.0WS'!Z44</f>
        <v/>
      </c>
      <c r="K44" s="29" t="str">
        <f>'2.0WS'!AC44</f>
        <v/>
      </c>
      <c r="L44" s="29" t="str">
        <f>'2.0WS'!AF44</f>
        <v/>
      </c>
      <c r="M44" s="29" t="str">
        <f>'2.0WS'!AI44</f>
        <v/>
      </c>
      <c r="N44" s="29" t="str">
        <f>'2.0WS'!AL44</f>
        <v/>
      </c>
      <c r="O44" s="29" t="str">
        <f>'2.0WS'!AO44</f>
        <v/>
      </c>
      <c r="P44" s="29" t="str">
        <f>'2.0WS'!AR44</f>
        <v/>
      </c>
      <c r="Q44" s="29" t="str">
        <f>'2.0WS'!AU44</f>
        <v/>
      </c>
      <c r="R44" s="29" t="str">
        <f>'2.0WS'!AX44</f>
        <v/>
      </c>
      <c r="S44" s="29" t="str">
        <f>'2.0WS'!BA44</f>
        <v/>
      </c>
      <c r="T44" s="32">
        <f t="shared" si="0"/>
        <v>18</v>
      </c>
      <c r="U44" s="29">
        <f>'2.0WS'!BE44</f>
        <v>4</v>
      </c>
      <c r="V44" s="29" t="str">
        <f>'2.0WS'!BH44</f>
        <v/>
      </c>
      <c r="W44" s="29" t="str">
        <f>'2.0WS'!BK44</f>
        <v/>
      </c>
      <c r="X44" s="29" t="str">
        <f>'2.0WS'!BN44</f>
        <v/>
      </c>
      <c r="Y44" s="29">
        <f>'2.0WS'!BQ44</f>
        <v>4</v>
      </c>
      <c r="Z44" s="29">
        <f>'2.0WS'!BT44</f>
        <v>10</v>
      </c>
      <c r="AA44" s="29">
        <f>'2.0WS'!BW44</f>
        <v>14</v>
      </c>
      <c r="AB44" s="29">
        <f>'2.0WS'!BZ44</f>
        <v>20</v>
      </c>
      <c r="AC44" s="29" t="str">
        <f>'2.0WS'!CC44</f>
        <v/>
      </c>
      <c r="AD44" s="29">
        <f>'2.0WS'!CF44</f>
        <v>6</v>
      </c>
      <c r="AE44" s="29" t="str">
        <f>'2.0WS'!CI44</f>
        <v/>
      </c>
      <c r="AF44" s="29" t="str">
        <f>'2.0WS'!CL44</f>
        <v/>
      </c>
      <c r="AG44" s="29" t="str">
        <f>'2.0WS'!CO44</f>
        <v/>
      </c>
      <c r="AH44" s="29" t="str">
        <f>'2.0WS'!CR44</f>
        <v/>
      </c>
      <c r="AI44" s="29" t="str">
        <f>'2.0WS'!CU44</f>
        <v/>
      </c>
      <c r="AJ44" s="29">
        <f>'2.0WS'!CX44</f>
        <v>6</v>
      </c>
      <c r="AK44" s="86">
        <f t="shared" si="1"/>
        <v>64</v>
      </c>
      <c r="AL44" s="33">
        <f t="shared" si="2"/>
        <v>82</v>
      </c>
    </row>
    <row r="45" spans="1:38" x14ac:dyDescent="0.25">
      <c r="A45" s="35" t="str">
        <f>'2.0WS'!A45</f>
        <v>21</v>
      </c>
      <c r="B45" s="36" t="str">
        <f>'2.0WS'!B45</f>
        <v>THANJAVUR</v>
      </c>
      <c r="C45" s="29">
        <f>'2.0WS'!E45</f>
        <v>8</v>
      </c>
      <c r="D45" s="29" t="str">
        <f>'2.0WS'!H45</f>
        <v/>
      </c>
      <c r="E45" s="29">
        <f>'2.0WS'!K45</f>
        <v>10</v>
      </c>
      <c r="F45" s="29" t="str">
        <f>'2.0WS'!N45</f>
        <v/>
      </c>
      <c r="G45" s="29" t="str">
        <f>'2.0WS'!Q45</f>
        <v/>
      </c>
      <c r="H45" s="29" t="str">
        <f>'2.0WS'!T45</f>
        <v/>
      </c>
      <c r="I45" s="29" t="str">
        <f>'2.0WS'!W45</f>
        <v/>
      </c>
      <c r="J45" s="29" t="str">
        <f>'2.0WS'!Z45</f>
        <v/>
      </c>
      <c r="K45" s="29" t="str">
        <f>'2.0WS'!AC45</f>
        <v/>
      </c>
      <c r="L45" s="29" t="str">
        <f>'2.0WS'!AF45</f>
        <v/>
      </c>
      <c r="M45" s="29" t="str">
        <f>'2.0WS'!AI45</f>
        <v/>
      </c>
      <c r="N45" s="29" t="str">
        <f>'2.0WS'!AL45</f>
        <v/>
      </c>
      <c r="O45" s="29">
        <f>'2.0WS'!AO45</f>
        <v>8</v>
      </c>
      <c r="P45" s="29" t="str">
        <f>'2.0WS'!AR45</f>
        <v/>
      </c>
      <c r="Q45" s="29" t="str">
        <f>'2.0WS'!AU45</f>
        <v/>
      </c>
      <c r="R45" s="29" t="str">
        <f>'2.0WS'!AX45</f>
        <v/>
      </c>
      <c r="S45" s="29">
        <f>'2.0WS'!BA45</f>
        <v>4</v>
      </c>
      <c r="T45" s="32">
        <f t="shared" si="0"/>
        <v>30</v>
      </c>
      <c r="U45" s="29">
        <f>'2.0WS'!BE45</f>
        <v>4</v>
      </c>
      <c r="V45" s="29" t="str">
        <f>'2.0WS'!BH45</f>
        <v/>
      </c>
      <c r="W45" s="29" t="str">
        <f>'2.0WS'!BK45</f>
        <v/>
      </c>
      <c r="X45" s="29" t="str">
        <f>'2.0WS'!BN45</f>
        <v/>
      </c>
      <c r="Y45" s="29">
        <f>'2.0WS'!BQ45</f>
        <v>4</v>
      </c>
      <c r="Z45" s="29">
        <f>'2.0WS'!BT45</f>
        <v>4</v>
      </c>
      <c r="AA45" s="29" t="str">
        <f>'2.0WS'!BW45</f>
        <v/>
      </c>
      <c r="AB45" s="29">
        <f>'2.0WS'!BZ45</f>
        <v>6</v>
      </c>
      <c r="AC45" s="29" t="str">
        <f>'2.0WS'!CC45</f>
        <v/>
      </c>
      <c r="AD45" s="29">
        <f>'2.0WS'!CF45</f>
        <v>10</v>
      </c>
      <c r="AE45" s="29">
        <f>'2.0WS'!CI45</f>
        <v>6</v>
      </c>
      <c r="AF45" s="29" t="str">
        <f>'2.0WS'!CL45</f>
        <v/>
      </c>
      <c r="AG45" s="29" t="str">
        <f>'2.0WS'!CO45</f>
        <v/>
      </c>
      <c r="AH45" s="29" t="str">
        <f>'2.0WS'!CR45</f>
        <v/>
      </c>
      <c r="AI45" s="29" t="str">
        <f>'2.0WS'!CU45</f>
        <v/>
      </c>
      <c r="AJ45" s="29" t="str">
        <f>'2.0WS'!CX45</f>
        <v/>
      </c>
      <c r="AK45" s="86">
        <f t="shared" si="1"/>
        <v>34</v>
      </c>
      <c r="AL45" s="33">
        <f t="shared" si="2"/>
        <v>64</v>
      </c>
    </row>
    <row r="46" spans="1:38" x14ac:dyDescent="0.25">
      <c r="A46" s="35" t="str">
        <f>'2.0WS'!A46</f>
        <v>22</v>
      </c>
      <c r="B46" s="36" t="str">
        <f>'2.0WS'!B46</f>
        <v>PUDUKKOTTAI</v>
      </c>
      <c r="C46" s="29" t="str">
        <f>'2.0WS'!E46</f>
        <v/>
      </c>
      <c r="D46" s="29" t="str">
        <f>'2.0WS'!H46</f>
        <v/>
      </c>
      <c r="E46" s="29" t="str">
        <f>'2.0WS'!K46</f>
        <v/>
      </c>
      <c r="F46" s="29" t="str">
        <f>'2.0WS'!N46</f>
        <v/>
      </c>
      <c r="G46" s="29" t="str">
        <f>'2.0WS'!Q46</f>
        <v/>
      </c>
      <c r="H46" s="29" t="str">
        <f>'2.0WS'!T46</f>
        <v/>
      </c>
      <c r="I46" s="29" t="str">
        <f>'2.0WS'!W46</f>
        <v/>
      </c>
      <c r="J46" s="29" t="str">
        <f>'2.0WS'!Z46</f>
        <v/>
      </c>
      <c r="K46" s="29" t="str">
        <f>'2.0WS'!AC46</f>
        <v/>
      </c>
      <c r="L46" s="29" t="str">
        <f>'2.0WS'!AF46</f>
        <v/>
      </c>
      <c r="M46" s="29" t="str">
        <f>'2.0WS'!AI46</f>
        <v/>
      </c>
      <c r="N46" s="29" t="str">
        <f>'2.0WS'!AL46</f>
        <v/>
      </c>
      <c r="O46" s="29" t="str">
        <f>'2.0WS'!AO46</f>
        <v/>
      </c>
      <c r="P46" s="29" t="str">
        <f>'2.0WS'!AR46</f>
        <v/>
      </c>
      <c r="Q46" s="29" t="str">
        <f>'2.0WS'!AU46</f>
        <v/>
      </c>
      <c r="R46" s="29" t="str">
        <f>'2.0WS'!AX46</f>
        <v/>
      </c>
      <c r="S46" s="29" t="str">
        <f>'2.0WS'!BA46</f>
        <v/>
      </c>
      <c r="T46" s="32">
        <f t="shared" si="0"/>
        <v>0</v>
      </c>
      <c r="U46" s="29" t="str">
        <f>'2.0WS'!BE46</f>
        <v/>
      </c>
      <c r="V46" s="29" t="str">
        <f>'2.0WS'!BH46</f>
        <v/>
      </c>
      <c r="W46" s="29" t="str">
        <f>'2.0WS'!BK46</f>
        <v/>
      </c>
      <c r="X46" s="29" t="str">
        <f>'2.0WS'!BN46</f>
        <v/>
      </c>
      <c r="Y46" s="29" t="str">
        <f>'2.0WS'!BQ46</f>
        <v/>
      </c>
      <c r="Z46" s="29" t="str">
        <f>'2.0WS'!BT46</f>
        <v/>
      </c>
      <c r="AA46" s="29" t="str">
        <f>'2.0WS'!BW46</f>
        <v/>
      </c>
      <c r="AB46" s="29" t="str">
        <f>'2.0WS'!BZ46</f>
        <v/>
      </c>
      <c r="AC46" s="29" t="str">
        <f>'2.0WS'!CC46</f>
        <v/>
      </c>
      <c r="AD46" s="29" t="str">
        <f>'2.0WS'!CF46</f>
        <v/>
      </c>
      <c r="AE46" s="29" t="str">
        <f>'2.0WS'!CI46</f>
        <v/>
      </c>
      <c r="AF46" s="29" t="str">
        <f>'2.0WS'!CL46</f>
        <v/>
      </c>
      <c r="AG46" s="29" t="str">
        <f>'2.0WS'!CO46</f>
        <v/>
      </c>
      <c r="AH46" s="29" t="str">
        <f>'2.0WS'!CR46</f>
        <v/>
      </c>
      <c r="AI46" s="29" t="str">
        <f>'2.0WS'!CU46</f>
        <v/>
      </c>
      <c r="AJ46" s="29" t="str">
        <f>'2.0WS'!CX46</f>
        <v/>
      </c>
      <c r="AK46" s="86">
        <f t="shared" si="1"/>
        <v>0</v>
      </c>
      <c r="AL46" s="33">
        <f t="shared" si="2"/>
        <v>0</v>
      </c>
    </row>
    <row r="47" spans="1:38" s="5" customFormat="1" ht="14.4" customHeight="1" x14ac:dyDescent="0.25">
      <c r="A47" s="147" t="str">
        <f>'2.0WS'!A47</f>
        <v>SRO THANJAVUR TOTAL</v>
      </c>
      <c r="B47" s="147"/>
      <c r="C47" s="83">
        <f t="shared" ref="C47" si="54">SUM(C43:C46)</f>
        <v>16</v>
      </c>
      <c r="D47" s="83">
        <f t="shared" ref="D47" si="55">SUM(D43:D46)</f>
        <v>0</v>
      </c>
      <c r="E47" s="83">
        <f t="shared" ref="E47" si="56">SUM(E43:E46)</f>
        <v>24</v>
      </c>
      <c r="F47" s="83">
        <f t="shared" ref="F47" si="57">SUM(F43:F46)</f>
        <v>0</v>
      </c>
      <c r="G47" s="83">
        <f t="shared" ref="G47" si="58">SUM(G43:G46)</f>
        <v>0</v>
      </c>
      <c r="H47" s="83">
        <f t="shared" ref="H47" si="59">SUM(H43:H46)</f>
        <v>0</v>
      </c>
      <c r="I47" s="83">
        <f t="shared" ref="I47" si="60">SUM(I43:I46)</f>
        <v>0</v>
      </c>
      <c r="J47" s="83">
        <f t="shared" ref="J47" si="61">SUM(J43:J46)</f>
        <v>0</v>
      </c>
      <c r="K47" s="83">
        <f t="shared" ref="K47" si="62">SUM(K43:K46)</f>
        <v>0</v>
      </c>
      <c r="L47" s="83">
        <f t="shared" ref="L47" si="63">SUM(L43:L46)</f>
        <v>0</v>
      </c>
      <c r="M47" s="83">
        <f t="shared" ref="M47" si="64">SUM(M43:M46)</f>
        <v>0</v>
      </c>
      <c r="N47" s="83">
        <f t="shared" ref="N47" si="65">SUM(N43:N46)</f>
        <v>0</v>
      </c>
      <c r="O47" s="83">
        <f t="shared" ref="O47" si="66">SUM(O43:O46)</f>
        <v>8</v>
      </c>
      <c r="P47" s="83">
        <f t="shared" ref="P47" si="67">SUM(P43:P46)</f>
        <v>0</v>
      </c>
      <c r="Q47" s="83">
        <f t="shared" ref="Q47" si="68">SUM(Q43:Q46)</f>
        <v>0</v>
      </c>
      <c r="R47" s="83">
        <f t="shared" ref="R47" si="69">SUM(R43:R46)</f>
        <v>0</v>
      </c>
      <c r="S47" s="83">
        <f t="shared" ref="S47" si="70">SUM(S43:S46)</f>
        <v>4</v>
      </c>
      <c r="T47" s="32">
        <f t="shared" si="0"/>
        <v>52</v>
      </c>
      <c r="U47" s="83">
        <f t="shared" ref="U47" si="71">SUM(U43:U46)</f>
        <v>8</v>
      </c>
      <c r="V47" s="83">
        <f t="shared" ref="V47" si="72">SUM(V43:V46)</f>
        <v>0</v>
      </c>
      <c r="W47" s="83">
        <f t="shared" ref="W47" si="73">SUM(W43:W46)</f>
        <v>0</v>
      </c>
      <c r="X47" s="83">
        <f t="shared" ref="X47" si="74">SUM(X43:X46)</f>
        <v>0</v>
      </c>
      <c r="Y47" s="83">
        <f t="shared" ref="Y47" si="75">SUM(Y43:Y46)</f>
        <v>8</v>
      </c>
      <c r="Z47" s="83">
        <f t="shared" ref="Z47" si="76">SUM(Z43:Z46)</f>
        <v>18</v>
      </c>
      <c r="AA47" s="83">
        <f t="shared" ref="AA47" si="77">SUM(AA43:AA46)</f>
        <v>14</v>
      </c>
      <c r="AB47" s="83">
        <f t="shared" ref="AB47" si="78">SUM(AB43:AB46)</f>
        <v>34</v>
      </c>
      <c r="AC47" s="83">
        <f t="shared" ref="AC47" si="79">SUM(AC43:AC46)</f>
        <v>0</v>
      </c>
      <c r="AD47" s="83">
        <f t="shared" ref="AD47" si="80">SUM(AD43:AD46)</f>
        <v>16</v>
      </c>
      <c r="AE47" s="83">
        <f t="shared" ref="AE47" si="81">SUM(AE43:AE46)</f>
        <v>6</v>
      </c>
      <c r="AF47" s="83">
        <f t="shared" ref="AF47" si="82">SUM(AF43:AF46)</f>
        <v>0</v>
      </c>
      <c r="AG47" s="83">
        <f t="shared" ref="AG47" si="83">SUM(AG43:AG46)</f>
        <v>0</v>
      </c>
      <c r="AH47" s="83">
        <f t="shared" ref="AH47" si="84">SUM(AH43:AH46)</f>
        <v>0</v>
      </c>
      <c r="AI47" s="83">
        <f t="shared" ref="AI47" si="85">SUM(AI43:AI46)</f>
        <v>0</v>
      </c>
      <c r="AJ47" s="83">
        <f t="shared" ref="AJ47" si="86">SUM(AJ43:AJ46)</f>
        <v>6</v>
      </c>
      <c r="AK47" s="86">
        <f t="shared" si="1"/>
        <v>110</v>
      </c>
      <c r="AL47" s="33">
        <f t="shared" si="2"/>
        <v>162</v>
      </c>
    </row>
    <row r="48" spans="1:38" x14ac:dyDescent="0.25">
      <c r="A48" s="35" t="str">
        <f>'2.0WS'!A48</f>
        <v>28</v>
      </c>
      <c r="B48" s="36" t="str">
        <f>'2.0WS'!B48</f>
        <v>THOOTHUKUDI</v>
      </c>
      <c r="C48" s="29" t="str">
        <f>'2.0WS'!E48</f>
        <v/>
      </c>
      <c r="D48" s="29" t="str">
        <f>'2.0WS'!H48</f>
        <v/>
      </c>
      <c r="E48" s="29" t="str">
        <f>'2.0WS'!K48</f>
        <v/>
      </c>
      <c r="F48" s="29" t="str">
        <f>'2.0WS'!N48</f>
        <v/>
      </c>
      <c r="G48" s="29" t="str">
        <f>'2.0WS'!Q48</f>
        <v/>
      </c>
      <c r="H48" s="29" t="str">
        <f>'2.0WS'!T48</f>
        <v/>
      </c>
      <c r="I48" s="29" t="str">
        <f>'2.0WS'!W48</f>
        <v/>
      </c>
      <c r="J48" s="29" t="str">
        <f>'2.0WS'!Z48</f>
        <v/>
      </c>
      <c r="K48" s="29" t="str">
        <f>'2.0WS'!AC48</f>
        <v/>
      </c>
      <c r="L48" s="29" t="str">
        <f>'2.0WS'!AF48</f>
        <v/>
      </c>
      <c r="M48" s="29" t="str">
        <f>'2.0WS'!AI48</f>
        <v/>
      </c>
      <c r="N48" s="29" t="str">
        <f>'2.0WS'!AL48</f>
        <v/>
      </c>
      <c r="O48" s="29" t="str">
        <f>'2.0WS'!AO48</f>
        <v/>
      </c>
      <c r="P48" s="29" t="str">
        <f>'2.0WS'!AR48</f>
        <v/>
      </c>
      <c r="Q48" s="29" t="str">
        <f>'2.0WS'!AU48</f>
        <v/>
      </c>
      <c r="R48" s="29" t="str">
        <f>'2.0WS'!AX48</f>
        <v/>
      </c>
      <c r="S48" s="29" t="str">
        <f>'2.0WS'!BA48</f>
        <v/>
      </c>
      <c r="T48" s="32">
        <f t="shared" si="0"/>
        <v>0</v>
      </c>
      <c r="U48" s="29">
        <f>'2.0WS'!BE48</f>
        <v>4</v>
      </c>
      <c r="V48" s="29">
        <f>'2.0WS'!BH48</f>
        <v>6</v>
      </c>
      <c r="W48" s="29" t="str">
        <f>'2.0WS'!BK48</f>
        <v/>
      </c>
      <c r="X48" s="29" t="str">
        <f>'2.0WS'!BN48</f>
        <v/>
      </c>
      <c r="Y48" s="29" t="str">
        <f>'2.0WS'!BQ48</f>
        <v/>
      </c>
      <c r="Z48" s="29">
        <f>'2.0WS'!BT48</f>
        <v>8</v>
      </c>
      <c r="AA48" s="29" t="str">
        <f>'2.0WS'!BW48</f>
        <v/>
      </c>
      <c r="AB48" s="29">
        <f>'2.0WS'!BZ48</f>
        <v>16</v>
      </c>
      <c r="AC48" s="29" t="str">
        <f>'2.0WS'!CC48</f>
        <v/>
      </c>
      <c r="AD48" s="29" t="str">
        <f>'2.0WS'!CF48</f>
        <v/>
      </c>
      <c r="AE48" s="29" t="str">
        <f>'2.0WS'!CI48</f>
        <v/>
      </c>
      <c r="AF48" s="29">
        <f>'2.0WS'!CL48</f>
        <v>16</v>
      </c>
      <c r="AG48" s="29" t="str">
        <f>'2.0WS'!CO48</f>
        <v/>
      </c>
      <c r="AH48" s="29" t="str">
        <f>'2.0WS'!CR48</f>
        <v/>
      </c>
      <c r="AI48" s="29">
        <f>'2.0WS'!CU48</f>
        <v>6</v>
      </c>
      <c r="AJ48" s="29" t="str">
        <f>'2.0WS'!CX48</f>
        <v/>
      </c>
      <c r="AK48" s="86">
        <f t="shared" si="1"/>
        <v>56</v>
      </c>
      <c r="AL48" s="33">
        <f t="shared" si="2"/>
        <v>56</v>
      </c>
    </row>
    <row r="49" spans="1:38" x14ac:dyDescent="0.25">
      <c r="A49" s="35" t="str">
        <f>'2.0WS'!A49</f>
        <v>29</v>
      </c>
      <c r="B49" s="36" t="str">
        <f>'2.0WS'!B49</f>
        <v>TIRUNELVELI</v>
      </c>
      <c r="C49" s="29" t="str">
        <f>'2.0WS'!E49</f>
        <v/>
      </c>
      <c r="D49" s="29" t="str">
        <f>'2.0WS'!H49</f>
        <v/>
      </c>
      <c r="E49" s="29">
        <f>'2.0WS'!K49</f>
        <v>4</v>
      </c>
      <c r="F49" s="29" t="str">
        <f>'2.0WS'!N49</f>
        <v/>
      </c>
      <c r="G49" s="29" t="str">
        <f>'2.0WS'!Q49</f>
        <v/>
      </c>
      <c r="H49" s="29" t="str">
        <f>'2.0WS'!T49</f>
        <v/>
      </c>
      <c r="I49" s="29" t="str">
        <f>'2.0WS'!W49</f>
        <v/>
      </c>
      <c r="J49" s="29" t="str">
        <f>'2.0WS'!Z49</f>
        <v/>
      </c>
      <c r="K49" s="29" t="str">
        <f>'2.0WS'!AC49</f>
        <v/>
      </c>
      <c r="L49" s="29" t="str">
        <f>'2.0WS'!AF49</f>
        <v/>
      </c>
      <c r="M49" s="29" t="str">
        <f>'2.0WS'!AI49</f>
        <v/>
      </c>
      <c r="N49" s="29" t="str">
        <f>'2.0WS'!AL49</f>
        <v/>
      </c>
      <c r="O49" s="29" t="str">
        <f>'2.0WS'!AO49</f>
        <v/>
      </c>
      <c r="P49" s="29" t="str">
        <f>'2.0WS'!AR49</f>
        <v/>
      </c>
      <c r="Q49" s="29" t="str">
        <f>'2.0WS'!AU49</f>
        <v/>
      </c>
      <c r="R49" s="29" t="str">
        <f>'2.0WS'!AX49</f>
        <v/>
      </c>
      <c r="S49" s="29" t="str">
        <f>'2.0WS'!BA49</f>
        <v/>
      </c>
      <c r="T49" s="32">
        <f t="shared" si="0"/>
        <v>4</v>
      </c>
      <c r="U49" s="29">
        <f>'2.0WS'!BE49</f>
        <v>4</v>
      </c>
      <c r="V49" s="29" t="str">
        <f>'2.0WS'!BH49</f>
        <v/>
      </c>
      <c r="W49" s="29" t="str">
        <f>'2.0WS'!BK49</f>
        <v/>
      </c>
      <c r="X49" s="29" t="str">
        <f>'2.0WS'!BN49</f>
        <v/>
      </c>
      <c r="Y49" s="29" t="str">
        <f>'2.0WS'!BQ49</f>
        <v/>
      </c>
      <c r="Z49" s="29" t="str">
        <f>'2.0WS'!BT49</f>
        <v/>
      </c>
      <c r="AA49" s="29" t="str">
        <f>'2.0WS'!BW49</f>
        <v/>
      </c>
      <c r="AB49" s="29" t="str">
        <f>'2.0WS'!BZ49</f>
        <v/>
      </c>
      <c r="AC49" s="29" t="str">
        <f>'2.0WS'!CC49</f>
        <v/>
      </c>
      <c r="AD49" s="29" t="str">
        <f>'2.0WS'!CF49</f>
        <v/>
      </c>
      <c r="AE49" s="29" t="str">
        <f>'2.0WS'!CI49</f>
        <v/>
      </c>
      <c r="AF49" s="29" t="str">
        <f>'2.0WS'!CL49</f>
        <v/>
      </c>
      <c r="AG49" s="29" t="str">
        <f>'2.0WS'!CO49</f>
        <v/>
      </c>
      <c r="AH49" s="29" t="str">
        <f>'2.0WS'!CR49</f>
        <v/>
      </c>
      <c r="AI49" s="29" t="str">
        <f>'2.0WS'!CU49</f>
        <v/>
      </c>
      <c r="AJ49" s="29" t="str">
        <f>'2.0WS'!CX49</f>
        <v/>
      </c>
      <c r="AK49" s="86">
        <f t="shared" si="1"/>
        <v>4</v>
      </c>
      <c r="AL49" s="33">
        <f t="shared" si="2"/>
        <v>8</v>
      </c>
    </row>
    <row r="50" spans="1:38" x14ac:dyDescent="0.25">
      <c r="A50" s="35" t="str">
        <f>'2.0WS'!A50</f>
        <v>30</v>
      </c>
      <c r="B50" s="36" t="str">
        <f>'2.0WS'!B50</f>
        <v>KANNIYAKUMARI</v>
      </c>
      <c r="C50" s="29" t="str">
        <f>'2.0WS'!E50</f>
        <v/>
      </c>
      <c r="D50" s="29" t="str">
        <f>'2.0WS'!H50</f>
        <v/>
      </c>
      <c r="E50" s="29" t="str">
        <f>'2.0WS'!K50</f>
        <v/>
      </c>
      <c r="F50" s="29" t="str">
        <f>'2.0WS'!N50</f>
        <v/>
      </c>
      <c r="G50" s="29" t="str">
        <f>'2.0WS'!Q50</f>
        <v/>
      </c>
      <c r="H50" s="29" t="str">
        <f>'2.0WS'!T50</f>
        <v/>
      </c>
      <c r="I50" s="29" t="str">
        <f>'2.0WS'!W50</f>
        <v/>
      </c>
      <c r="J50" s="29" t="str">
        <f>'2.0WS'!Z50</f>
        <v/>
      </c>
      <c r="K50" s="29" t="str">
        <f>'2.0WS'!AC50</f>
        <v/>
      </c>
      <c r="L50" s="29" t="str">
        <f>'2.0WS'!AF50</f>
        <v/>
      </c>
      <c r="M50" s="29" t="str">
        <f>'2.0WS'!AI50</f>
        <v/>
      </c>
      <c r="N50" s="29" t="str">
        <f>'2.0WS'!AL50</f>
        <v/>
      </c>
      <c r="O50" s="29" t="str">
        <f>'2.0WS'!AO50</f>
        <v/>
      </c>
      <c r="P50" s="29" t="str">
        <f>'2.0WS'!AR50</f>
        <v/>
      </c>
      <c r="Q50" s="29" t="str">
        <f>'2.0WS'!AU50</f>
        <v/>
      </c>
      <c r="R50" s="29" t="str">
        <f>'2.0WS'!AX50</f>
        <v/>
      </c>
      <c r="S50" s="29" t="str">
        <f>'2.0WS'!BA50</f>
        <v/>
      </c>
      <c r="T50" s="32">
        <f t="shared" si="0"/>
        <v>0</v>
      </c>
      <c r="U50" s="29" t="str">
        <f>'2.0WS'!BE50</f>
        <v/>
      </c>
      <c r="V50" s="29" t="str">
        <f>'2.0WS'!BH50</f>
        <v/>
      </c>
      <c r="W50" s="29" t="str">
        <f>'2.0WS'!BK50</f>
        <v/>
      </c>
      <c r="X50" s="29" t="str">
        <f>'2.0WS'!BN50</f>
        <v/>
      </c>
      <c r="Y50" s="29" t="str">
        <f>'2.0WS'!BQ50</f>
        <v/>
      </c>
      <c r="Z50" s="29" t="str">
        <f>'2.0WS'!BT50</f>
        <v/>
      </c>
      <c r="AA50" s="29" t="str">
        <f>'2.0WS'!BW50</f>
        <v/>
      </c>
      <c r="AB50" s="29" t="str">
        <f>'2.0WS'!BZ50</f>
        <v/>
      </c>
      <c r="AC50" s="29" t="str">
        <f>'2.0WS'!CC50</f>
        <v/>
      </c>
      <c r="AD50" s="29" t="str">
        <f>'2.0WS'!CF50</f>
        <v/>
      </c>
      <c r="AE50" s="29" t="str">
        <f>'2.0WS'!CI50</f>
        <v/>
      </c>
      <c r="AF50" s="29" t="str">
        <f>'2.0WS'!CL50</f>
        <v/>
      </c>
      <c r="AG50" s="29" t="str">
        <f>'2.0WS'!CO50</f>
        <v/>
      </c>
      <c r="AH50" s="29" t="str">
        <f>'2.0WS'!CR50</f>
        <v/>
      </c>
      <c r="AI50" s="29" t="str">
        <f>'2.0WS'!CU50</f>
        <v/>
      </c>
      <c r="AJ50" s="29" t="str">
        <f>'2.0WS'!CX50</f>
        <v/>
      </c>
      <c r="AK50" s="86">
        <f t="shared" si="1"/>
        <v>0</v>
      </c>
      <c r="AL50" s="33">
        <f t="shared" si="2"/>
        <v>0</v>
      </c>
    </row>
    <row r="51" spans="1:38" x14ac:dyDescent="0.25">
      <c r="A51" s="35" t="str">
        <f>'2.0WS'!A51</f>
        <v>37</v>
      </c>
      <c r="B51" s="36" t="str">
        <f>'2.0WS'!B51</f>
        <v>TENKASI</v>
      </c>
      <c r="C51" s="29">
        <f>'2.0WS'!E51</f>
        <v>4</v>
      </c>
      <c r="D51" s="29" t="str">
        <f>'2.0WS'!H51</f>
        <v/>
      </c>
      <c r="E51" s="29">
        <f>'2.0WS'!K51</f>
        <v>4</v>
      </c>
      <c r="F51" s="29" t="str">
        <f>'2.0WS'!N51</f>
        <v/>
      </c>
      <c r="G51" s="29" t="str">
        <f>'2.0WS'!Q51</f>
        <v/>
      </c>
      <c r="H51" s="29" t="str">
        <f>'2.0WS'!T51</f>
        <v/>
      </c>
      <c r="I51" s="29" t="str">
        <f>'2.0WS'!W51</f>
        <v/>
      </c>
      <c r="J51" s="29" t="str">
        <f>'2.0WS'!Z51</f>
        <v/>
      </c>
      <c r="K51" s="29" t="str">
        <f>'2.0WS'!AC51</f>
        <v/>
      </c>
      <c r="L51" s="29" t="str">
        <f>'2.0WS'!AF51</f>
        <v/>
      </c>
      <c r="M51" s="29" t="str">
        <f>'2.0WS'!AI51</f>
        <v/>
      </c>
      <c r="N51" s="29">
        <f>'2.0WS'!AL51</f>
        <v>6</v>
      </c>
      <c r="O51" s="29" t="str">
        <f>'2.0WS'!AO51</f>
        <v/>
      </c>
      <c r="P51" s="29" t="str">
        <f>'2.0WS'!AR51</f>
        <v/>
      </c>
      <c r="Q51" s="29" t="str">
        <f>'2.0WS'!AU51</f>
        <v/>
      </c>
      <c r="R51" s="29" t="str">
        <f>'2.0WS'!AX51</f>
        <v/>
      </c>
      <c r="S51" s="29">
        <f>'2.0WS'!BA51</f>
        <v>4</v>
      </c>
      <c r="T51" s="32">
        <f t="shared" si="0"/>
        <v>18</v>
      </c>
      <c r="U51" s="29" t="str">
        <f>'2.0WS'!BE51</f>
        <v/>
      </c>
      <c r="V51" s="29" t="str">
        <f>'2.0WS'!BH51</f>
        <v/>
      </c>
      <c r="W51" s="29" t="str">
        <f>'2.0WS'!BK51</f>
        <v/>
      </c>
      <c r="X51" s="29" t="str">
        <f>'2.0WS'!BN51</f>
        <v/>
      </c>
      <c r="Y51" s="29" t="str">
        <f>'2.0WS'!BQ51</f>
        <v/>
      </c>
      <c r="Z51" s="29">
        <f>'2.0WS'!BT51</f>
        <v>4</v>
      </c>
      <c r="AA51" s="29" t="str">
        <f>'2.0WS'!BW51</f>
        <v/>
      </c>
      <c r="AB51" s="29">
        <f>'2.0WS'!BZ51</f>
        <v>6</v>
      </c>
      <c r="AC51" s="29" t="str">
        <f>'2.0WS'!CC51</f>
        <v/>
      </c>
      <c r="AD51" s="29" t="str">
        <f>'2.0WS'!CF51</f>
        <v/>
      </c>
      <c r="AE51" s="29" t="str">
        <f>'2.0WS'!CI51</f>
        <v/>
      </c>
      <c r="AF51" s="29" t="str">
        <f>'2.0WS'!CL51</f>
        <v/>
      </c>
      <c r="AG51" s="29" t="str">
        <f>'2.0WS'!CO51</f>
        <v/>
      </c>
      <c r="AH51" s="29" t="str">
        <f>'2.0WS'!CR51</f>
        <v/>
      </c>
      <c r="AI51" s="29">
        <f>'2.0WS'!CU51</f>
        <v>4</v>
      </c>
      <c r="AJ51" s="29" t="str">
        <f>'2.0WS'!CX51</f>
        <v/>
      </c>
      <c r="AK51" s="86">
        <f t="shared" si="1"/>
        <v>14</v>
      </c>
      <c r="AL51" s="33">
        <f t="shared" si="2"/>
        <v>32</v>
      </c>
    </row>
    <row r="52" spans="1:38" s="5" customFormat="1" ht="14.4" customHeight="1" x14ac:dyDescent="0.25">
      <c r="A52" s="147" t="str">
        <f>'2.0WS'!A52</f>
        <v>SRO TIRUNELVELI TOTAL</v>
      </c>
      <c r="B52" s="147"/>
      <c r="C52" s="83">
        <f t="shared" ref="C52" si="87">SUM(C48:C51)</f>
        <v>4</v>
      </c>
      <c r="D52" s="83">
        <f t="shared" ref="D52" si="88">SUM(D48:D51)</f>
        <v>0</v>
      </c>
      <c r="E52" s="83">
        <f t="shared" ref="E52" si="89">SUM(E48:E51)</f>
        <v>8</v>
      </c>
      <c r="F52" s="83">
        <f t="shared" ref="F52" si="90">SUM(F48:F51)</f>
        <v>0</v>
      </c>
      <c r="G52" s="83">
        <f t="shared" ref="G52" si="91">SUM(G48:G51)</f>
        <v>0</v>
      </c>
      <c r="H52" s="83">
        <f t="shared" ref="H52" si="92">SUM(H48:H51)</f>
        <v>0</v>
      </c>
      <c r="I52" s="83">
        <f t="shared" ref="I52" si="93">SUM(I48:I51)</f>
        <v>0</v>
      </c>
      <c r="J52" s="83">
        <f t="shared" ref="J52" si="94">SUM(J48:J51)</f>
        <v>0</v>
      </c>
      <c r="K52" s="83">
        <f t="shared" ref="K52" si="95">SUM(K48:K51)</f>
        <v>0</v>
      </c>
      <c r="L52" s="83">
        <f t="shared" ref="L52" si="96">SUM(L48:L51)</f>
        <v>0</v>
      </c>
      <c r="M52" s="83">
        <f t="shared" ref="M52" si="97">SUM(M48:M51)</f>
        <v>0</v>
      </c>
      <c r="N52" s="83">
        <f t="shared" ref="N52" si="98">SUM(N48:N51)</f>
        <v>6</v>
      </c>
      <c r="O52" s="83">
        <f t="shared" ref="O52" si="99">SUM(O48:O51)</f>
        <v>0</v>
      </c>
      <c r="P52" s="83">
        <f t="shared" ref="P52" si="100">SUM(P48:P51)</f>
        <v>0</v>
      </c>
      <c r="Q52" s="83">
        <f t="shared" ref="Q52" si="101">SUM(Q48:Q51)</f>
        <v>0</v>
      </c>
      <c r="R52" s="83">
        <f t="shared" ref="R52" si="102">SUM(R48:R51)</f>
        <v>0</v>
      </c>
      <c r="S52" s="83">
        <f t="shared" ref="S52" si="103">SUM(S48:S51)</f>
        <v>4</v>
      </c>
      <c r="T52" s="32">
        <f t="shared" si="0"/>
        <v>22</v>
      </c>
      <c r="U52" s="83">
        <f t="shared" ref="U52" si="104">SUM(U48:U51)</f>
        <v>8</v>
      </c>
      <c r="V52" s="83">
        <f t="shared" ref="V52" si="105">SUM(V48:V51)</f>
        <v>6</v>
      </c>
      <c r="W52" s="83">
        <f t="shared" ref="W52" si="106">SUM(W48:W51)</f>
        <v>0</v>
      </c>
      <c r="X52" s="83">
        <f t="shared" ref="X52" si="107">SUM(X48:X51)</f>
        <v>0</v>
      </c>
      <c r="Y52" s="83">
        <f t="shared" ref="Y52" si="108">SUM(Y48:Y51)</f>
        <v>0</v>
      </c>
      <c r="Z52" s="83">
        <f t="shared" ref="Z52" si="109">SUM(Z48:Z51)</f>
        <v>12</v>
      </c>
      <c r="AA52" s="83">
        <f t="shared" ref="AA52" si="110">SUM(AA48:AA51)</f>
        <v>0</v>
      </c>
      <c r="AB52" s="83">
        <f t="shared" ref="AB52" si="111">SUM(AB48:AB51)</f>
        <v>22</v>
      </c>
      <c r="AC52" s="83">
        <f t="shared" ref="AC52" si="112">SUM(AC48:AC51)</f>
        <v>0</v>
      </c>
      <c r="AD52" s="83">
        <f t="shared" ref="AD52" si="113">SUM(AD48:AD51)</f>
        <v>0</v>
      </c>
      <c r="AE52" s="83">
        <f t="shared" ref="AE52" si="114">SUM(AE48:AE51)</f>
        <v>0</v>
      </c>
      <c r="AF52" s="83">
        <f t="shared" ref="AF52" si="115">SUM(AF48:AF51)</f>
        <v>16</v>
      </c>
      <c r="AG52" s="83">
        <f t="shared" ref="AG52" si="116">SUM(AG48:AG51)</f>
        <v>0</v>
      </c>
      <c r="AH52" s="83">
        <f t="shared" ref="AH52" si="117">SUM(AH48:AH51)</f>
        <v>0</v>
      </c>
      <c r="AI52" s="83">
        <f t="shared" ref="AI52" si="118">SUM(AI48:AI51)</f>
        <v>10</v>
      </c>
      <c r="AJ52" s="83">
        <f t="shared" ref="AJ52" si="119">SUM(AJ48:AJ51)</f>
        <v>0</v>
      </c>
      <c r="AK52" s="86">
        <f t="shared" si="1"/>
        <v>74</v>
      </c>
      <c r="AL52" s="33">
        <f t="shared" si="2"/>
        <v>96</v>
      </c>
    </row>
    <row r="53" spans="1:38" x14ac:dyDescent="0.25">
      <c r="A53" s="35" t="str">
        <f>'2.0WS'!A53</f>
        <v>26</v>
      </c>
      <c r="B53" s="36" t="str">
        <f>'2.0WS'!B53</f>
        <v>VIRUDHUNAGAR</v>
      </c>
      <c r="C53" s="29" t="str">
        <f>'2.0WS'!E53</f>
        <v/>
      </c>
      <c r="D53" s="29" t="str">
        <f>'2.0WS'!H53</f>
        <v/>
      </c>
      <c r="E53" s="29">
        <f>'2.0WS'!K53</f>
        <v>0</v>
      </c>
      <c r="F53" s="29">
        <f>'2.0WS'!N53</f>
        <v>4</v>
      </c>
      <c r="G53" s="29" t="str">
        <f>'2.0WS'!Q53</f>
        <v/>
      </c>
      <c r="H53" s="29" t="str">
        <f>'2.0WS'!T53</f>
        <v/>
      </c>
      <c r="I53" s="29" t="str">
        <f>'2.0WS'!W53</f>
        <v/>
      </c>
      <c r="J53" s="29">
        <f>'2.0WS'!Z53</f>
        <v>6</v>
      </c>
      <c r="K53" s="29" t="str">
        <f>'2.0WS'!AC53</f>
        <v/>
      </c>
      <c r="L53" s="29" t="str">
        <f>'2.0WS'!AF53</f>
        <v/>
      </c>
      <c r="M53" s="29" t="str">
        <f>'2.0WS'!AI53</f>
        <v/>
      </c>
      <c r="N53" s="29">
        <f>'2.0WS'!AL53</f>
        <v>4</v>
      </c>
      <c r="O53" s="29" t="str">
        <f>'2.0WS'!AO53</f>
        <v/>
      </c>
      <c r="P53" s="29" t="str">
        <f>'2.0WS'!AR53</f>
        <v/>
      </c>
      <c r="Q53" s="29">
        <f>'2.0WS'!AU53</f>
        <v>6</v>
      </c>
      <c r="R53" s="29" t="str">
        <f>'2.0WS'!AX53</f>
        <v/>
      </c>
      <c r="S53" s="29">
        <f>'2.0WS'!BA53</f>
        <v>4</v>
      </c>
      <c r="T53" s="32">
        <f t="shared" si="0"/>
        <v>24</v>
      </c>
      <c r="U53" s="29">
        <f>'2.0WS'!BE53</f>
        <v>4</v>
      </c>
      <c r="V53" s="29">
        <f>'2.0WS'!BH53</f>
        <v>6</v>
      </c>
      <c r="W53" s="29" t="str">
        <f>'2.0WS'!BK53</f>
        <v/>
      </c>
      <c r="X53" s="29">
        <f>'2.0WS'!BN53</f>
        <v>6</v>
      </c>
      <c r="Y53" s="29" t="str">
        <f>'2.0WS'!BQ53</f>
        <v/>
      </c>
      <c r="Z53" s="29" t="str">
        <f>'2.0WS'!BT53</f>
        <v/>
      </c>
      <c r="AA53" s="29" t="str">
        <f>'2.0WS'!BW53</f>
        <v/>
      </c>
      <c r="AB53" s="29">
        <f>'2.0WS'!BZ53</f>
        <v>4</v>
      </c>
      <c r="AC53" s="29" t="str">
        <f>'2.0WS'!CC53</f>
        <v/>
      </c>
      <c r="AD53" s="29">
        <f>'2.0WS'!CF53</f>
        <v>4</v>
      </c>
      <c r="AE53" s="29" t="str">
        <f>'2.0WS'!CI53</f>
        <v/>
      </c>
      <c r="AF53" s="29">
        <f>'2.0WS'!CL53</f>
        <v>10</v>
      </c>
      <c r="AG53" s="29" t="str">
        <f>'2.0WS'!CO53</f>
        <v/>
      </c>
      <c r="AH53" s="29" t="str">
        <f>'2.0WS'!CR53</f>
        <v/>
      </c>
      <c r="AI53" s="29">
        <f>'2.0WS'!CU53</f>
        <v>10</v>
      </c>
      <c r="AJ53" s="29">
        <f>'2.0WS'!CX53</f>
        <v>6</v>
      </c>
      <c r="AK53" s="86">
        <f t="shared" si="1"/>
        <v>50</v>
      </c>
      <c r="AL53" s="33">
        <f t="shared" si="2"/>
        <v>74</v>
      </c>
    </row>
    <row r="54" spans="1:38" x14ac:dyDescent="0.25">
      <c r="A54" s="35" t="str">
        <f>'2.0WS'!A54</f>
        <v>27</v>
      </c>
      <c r="B54" s="36" t="str">
        <f>'2.0WS'!B54</f>
        <v>RAMANATHAPURAM</v>
      </c>
      <c r="C54" s="29" t="str">
        <f>'2.0WS'!E54</f>
        <v/>
      </c>
      <c r="D54" s="29">
        <f>'2.0WS'!H54</f>
        <v>6</v>
      </c>
      <c r="E54" s="29" t="str">
        <f>'2.0WS'!K54</f>
        <v/>
      </c>
      <c r="F54" s="29" t="str">
        <f>'2.0WS'!N54</f>
        <v/>
      </c>
      <c r="G54" s="29" t="str">
        <f>'2.0WS'!Q54</f>
        <v/>
      </c>
      <c r="H54" s="29" t="str">
        <f>'2.0WS'!T54</f>
        <v/>
      </c>
      <c r="I54" s="29" t="str">
        <f>'2.0WS'!W54</f>
        <v/>
      </c>
      <c r="J54" s="29" t="str">
        <f>'2.0WS'!Z54</f>
        <v/>
      </c>
      <c r="K54" s="29" t="str">
        <f>'2.0WS'!AC54</f>
        <v/>
      </c>
      <c r="L54" s="29" t="str">
        <f>'2.0WS'!AF54</f>
        <v/>
      </c>
      <c r="M54" s="29" t="str">
        <f>'2.0WS'!AI54</f>
        <v/>
      </c>
      <c r="N54" s="29" t="str">
        <f>'2.0WS'!AL54</f>
        <v/>
      </c>
      <c r="O54" s="29" t="str">
        <f>'2.0WS'!AO54</f>
        <v/>
      </c>
      <c r="P54" s="29" t="str">
        <f>'2.0WS'!AR54</f>
        <v/>
      </c>
      <c r="Q54" s="29" t="str">
        <f>'2.0WS'!AU54</f>
        <v/>
      </c>
      <c r="R54" s="29" t="str">
        <f>'2.0WS'!AX54</f>
        <v/>
      </c>
      <c r="S54" s="29" t="str">
        <f>'2.0WS'!BA54</f>
        <v/>
      </c>
      <c r="T54" s="32">
        <f t="shared" si="0"/>
        <v>6</v>
      </c>
      <c r="U54" s="29" t="str">
        <f>'2.0WS'!BE54</f>
        <v/>
      </c>
      <c r="V54" s="29">
        <f>'2.0WS'!BH54</f>
        <v>4</v>
      </c>
      <c r="W54" s="29" t="str">
        <f>'2.0WS'!BK54</f>
        <v/>
      </c>
      <c r="X54" s="29">
        <f>'2.0WS'!BN54</f>
        <v>6</v>
      </c>
      <c r="Y54" s="29" t="str">
        <f>'2.0WS'!BQ54</f>
        <v/>
      </c>
      <c r="Z54" s="29">
        <f>'2.0WS'!BT54</f>
        <v>4</v>
      </c>
      <c r="AA54" s="29" t="str">
        <f>'2.0WS'!BW54</f>
        <v/>
      </c>
      <c r="AB54" s="29" t="str">
        <f>'2.0WS'!BZ54</f>
        <v/>
      </c>
      <c r="AC54" s="29" t="str">
        <f>'2.0WS'!CC54</f>
        <v/>
      </c>
      <c r="AD54" s="29">
        <f>'2.0WS'!CF54</f>
        <v>6</v>
      </c>
      <c r="AE54" s="29" t="str">
        <f>'2.0WS'!CI54</f>
        <v/>
      </c>
      <c r="AF54" s="29">
        <f>'2.0WS'!CL54</f>
        <v>4</v>
      </c>
      <c r="AG54" s="29" t="str">
        <f>'2.0WS'!CO54</f>
        <v/>
      </c>
      <c r="AH54" s="29" t="str">
        <f>'2.0WS'!CR54</f>
        <v/>
      </c>
      <c r="AI54" s="29">
        <f>'2.0WS'!CU54</f>
        <v>4</v>
      </c>
      <c r="AJ54" s="29" t="str">
        <f>'2.0WS'!CX54</f>
        <v/>
      </c>
      <c r="AK54" s="86">
        <f t="shared" si="1"/>
        <v>28</v>
      </c>
      <c r="AL54" s="33">
        <f t="shared" si="2"/>
        <v>34</v>
      </c>
    </row>
    <row r="55" spans="1:38" s="5" customFormat="1" ht="14.4" customHeight="1" x14ac:dyDescent="0.25">
      <c r="A55" s="147" t="str">
        <f>'2.0WS'!A55</f>
        <v>SRO VIRUDHNAGAR TOTAL</v>
      </c>
      <c r="B55" s="147"/>
      <c r="C55" s="83">
        <f t="shared" ref="C55:S55" si="120">SUM(C53:C54)</f>
        <v>0</v>
      </c>
      <c r="D55" s="83">
        <f t="shared" si="120"/>
        <v>6</v>
      </c>
      <c r="E55" s="83">
        <f t="shared" si="120"/>
        <v>0</v>
      </c>
      <c r="F55" s="83">
        <f t="shared" si="120"/>
        <v>4</v>
      </c>
      <c r="G55" s="83">
        <f t="shared" si="120"/>
        <v>0</v>
      </c>
      <c r="H55" s="83">
        <f t="shared" si="120"/>
        <v>0</v>
      </c>
      <c r="I55" s="83">
        <f t="shared" si="120"/>
        <v>0</v>
      </c>
      <c r="J55" s="83">
        <f t="shared" si="120"/>
        <v>6</v>
      </c>
      <c r="K55" s="83">
        <f t="shared" si="120"/>
        <v>0</v>
      </c>
      <c r="L55" s="83">
        <f t="shared" si="120"/>
        <v>0</v>
      </c>
      <c r="M55" s="83">
        <f t="shared" si="120"/>
        <v>0</v>
      </c>
      <c r="N55" s="83">
        <f t="shared" si="120"/>
        <v>4</v>
      </c>
      <c r="O55" s="83">
        <f t="shared" si="120"/>
        <v>0</v>
      </c>
      <c r="P55" s="83">
        <f t="shared" si="120"/>
        <v>0</v>
      </c>
      <c r="Q55" s="83">
        <f t="shared" si="120"/>
        <v>6</v>
      </c>
      <c r="R55" s="83">
        <f t="shared" si="120"/>
        <v>0</v>
      </c>
      <c r="S55" s="83">
        <f t="shared" si="120"/>
        <v>4</v>
      </c>
      <c r="T55" s="32">
        <f t="shared" si="0"/>
        <v>30</v>
      </c>
      <c r="U55" s="83">
        <f t="shared" ref="U55:AJ55" si="121">SUM(U53:U54)</f>
        <v>4</v>
      </c>
      <c r="V55" s="83">
        <f t="shared" si="121"/>
        <v>10</v>
      </c>
      <c r="W55" s="83">
        <f t="shared" si="121"/>
        <v>0</v>
      </c>
      <c r="X55" s="83">
        <f t="shared" si="121"/>
        <v>12</v>
      </c>
      <c r="Y55" s="83">
        <f t="shared" si="121"/>
        <v>0</v>
      </c>
      <c r="Z55" s="83">
        <f t="shared" si="121"/>
        <v>4</v>
      </c>
      <c r="AA55" s="83">
        <f t="shared" si="121"/>
        <v>0</v>
      </c>
      <c r="AB55" s="83">
        <f t="shared" si="121"/>
        <v>4</v>
      </c>
      <c r="AC55" s="83">
        <f t="shared" si="121"/>
        <v>0</v>
      </c>
      <c r="AD55" s="83">
        <f t="shared" si="121"/>
        <v>10</v>
      </c>
      <c r="AE55" s="83">
        <f t="shared" si="121"/>
        <v>0</v>
      </c>
      <c r="AF55" s="83">
        <f t="shared" si="121"/>
        <v>14</v>
      </c>
      <c r="AG55" s="83">
        <f t="shared" si="121"/>
        <v>0</v>
      </c>
      <c r="AH55" s="83">
        <f t="shared" si="121"/>
        <v>0</v>
      </c>
      <c r="AI55" s="83">
        <f t="shared" si="121"/>
        <v>14</v>
      </c>
      <c r="AJ55" s="83">
        <f t="shared" si="121"/>
        <v>6</v>
      </c>
      <c r="AK55" s="86">
        <f t="shared" si="1"/>
        <v>78</v>
      </c>
      <c r="AL55" s="33">
        <f t="shared" si="2"/>
        <v>108</v>
      </c>
    </row>
    <row r="56" spans="1:38" s="5" customFormat="1" ht="14.4" customHeight="1" x14ac:dyDescent="0.25">
      <c r="A56" s="149" t="str">
        <f>'2.0WS'!A56</f>
        <v>RO MADURAI TOTAL</v>
      </c>
      <c r="B56" s="149"/>
      <c r="C56" s="84">
        <f>SUM(C55,C52,C47,C42)</f>
        <v>24</v>
      </c>
      <c r="D56" s="84">
        <f t="shared" ref="D56:S56" si="122">SUM(D55,D52,D47,D42)</f>
        <v>6</v>
      </c>
      <c r="E56" s="84">
        <f t="shared" si="122"/>
        <v>44</v>
      </c>
      <c r="F56" s="84">
        <f t="shared" si="122"/>
        <v>16</v>
      </c>
      <c r="G56" s="84">
        <f t="shared" si="122"/>
        <v>0</v>
      </c>
      <c r="H56" s="84">
        <f t="shared" si="122"/>
        <v>8</v>
      </c>
      <c r="I56" s="84">
        <f t="shared" si="122"/>
        <v>0</v>
      </c>
      <c r="J56" s="84">
        <f t="shared" si="122"/>
        <v>12</v>
      </c>
      <c r="K56" s="84">
        <f t="shared" si="122"/>
        <v>0</v>
      </c>
      <c r="L56" s="84">
        <f t="shared" si="122"/>
        <v>10</v>
      </c>
      <c r="M56" s="84">
        <f t="shared" si="122"/>
        <v>0</v>
      </c>
      <c r="N56" s="84">
        <f t="shared" si="122"/>
        <v>14</v>
      </c>
      <c r="O56" s="84">
        <f t="shared" si="122"/>
        <v>8</v>
      </c>
      <c r="P56" s="84">
        <f t="shared" si="122"/>
        <v>10</v>
      </c>
      <c r="Q56" s="84">
        <f t="shared" si="122"/>
        <v>10</v>
      </c>
      <c r="R56" s="84">
        <f t="shared" si="122"/>
        <v>4</v>
      </c>
      <c r="S56" s="84">
        <f t="shared" si="122"/>
        <v>20</v>
      </c>
      <c r="T56" s="94">
        <f t="shared" si="0"/>
        <v>186</v>
      </c>
      <c r="U56" s="84">
        <f t="shared" ref="U56:AJ56" si="123">SUM(U55,U52,U47,U42)</f>
        <v>28</v>
      </c>
      <c r="V56" s="84">
        <f t="shared" si="123"/>
        <v>38</v>
      </c>
      <c r="W56" s="84">
        <f t="shared" si="123"/>
        <v>4</v>
      </c>
      <c r="X56" s="84">
        <f t="shared" si="123"/>
        <v>16</v>
      </c>
      <c r="Y56" s="84">
        <f t="shared" si="123"/>
        <v>12</v>
      </c>
      <c r="Z56" s="84">
        <f t="shared" si="123"/>
        <v>38</v>
      </c>
      <c r="AA56" s="84">
        <f t="shared" si="123"/>
        <v>14</v>
      </c>
      <c r="AB56" s="84">
        <f t="shared" si="123"/>
        <v>72</v>
      </c>
      <c r="AC56" s="84">
        <f t="shared" si="123"/>
        <v>0</v>
      </c>
      <c r="AD56" s="84">
        <f t="shared" si="123"/>
        <v>26</v>
      </c>
      <c r="AE56" s="84">
        <f t="shared" si="123"/>
        <v>6</v>
      </c>
      <c r="AF56" s="84">
        <f t="shared" si="123"/>
        <v>46</v>
      </c>
      <c r="AG56" s="84">
        <f t="shared" si="123"/>
        <v>0</v>
      </c>
      <c r="AH56" s="84">
        <f t="shared" si="123"/>
        <v>4</v>
      </c>
      <c r="AI56" s="84">
        <f t="shared" si="123"/>
        <v>32</v>
      </c>
      <c r="AJ56" s="84">
        <f t="shared" si="123"/>
        <v>26</v>
      </c>
      <c r="AK56" s="86">
        <f t="shared" si="1"/>
        <v>362</v>
      </c>
      <c r="AL56" s="33">
        <f t="shared" si="2"/>
        <v>548</v>
      </c>
    </row>
    <row r="57" spans="1:38" s="5" customFormat="1" ht="15" customHeight="1" x14ac:dyDescent="0.25">
      <c r="A57" s="148" t="str">
        <f>'2.0WS'!A57</f>
        <v>STATE TOTAL</v>
      </c>
      <c r="B57" s="148"/>
      <c r="C57" s="85">
        <f>SUM(C56,C37,C23)</f>
        <v>64</v>
      </c>
      <c r="D57" s="85">
        <f t="shared" ref="D57:S57" si="124">SUM(D56,D37,D23)</f>
        <v>6</v>
      </c>
      <c r="E57" s="85">
        <f t="shared" si="124"/>
        <v>82</v>
      </c>
      <c r="F57" s="85">
        <f t="shared" si="124"/>
        <v>64</v>
      </c>
      <c r="G57" s="85">
        <f t="shared" si="124"/>
        <v>6</v>
      </c>
      <c r="H57" s="85">
        <f t="shared" si="124"/>
        <v>54</v>
      </c>
      <c r="I57" s="85">
        <f t="shared" si="124"/>
        <v>12</v>
      </c>
      <c r="J57" s="85">
        <f t="shared" si="124"/>
        <v>48</v>
      </c>
      <c r="K57" s="85">
        <f t="shared" si="124"/>
        <v>30</v>
      </c>
      <c r="L57" s="85">
        <f t="shared" si="124"/>
        <v>50</v>
      </c>
      <c r="M57" s="85">
        <f t="shared" si="124"/>
        <v>12</v>
      </c>
      <c r="N57" s="85">
        <f t="shared" si="124"/>
        <v>42</v>
      </c>
      <c r="O57" s="85">
        <f t="shared" si="124"/>
        <v>26</v>
      </c>
      <c r="P57" s="85">
        <f t="shared" si="124"/>
        <v>78</v>
      </c>
      <c r="Q57" s="85">
        <f t="shared" si="124"/>
        <v>76</v>
      </c>
      <c r="R57" s="85">
        <f t="shared" si="124"/>
        <v>18</v>
      </c>
      <c r="S57" s="85">
        <f t="shared" si="124"/>
        <v>66</v>
      </c>
      <c r="T57" s="94">
        <f t="shared" si="0"/>
        <v>734</v>
      </c>
      <c r="U57" s="85">
        <f t="shared" ref="U57:AJ57" si="125">SUM(U56,U37,U23)</f>
        <v>62</v>
      </c>
      <c r="V57" s="85">
        <f t="shared" si="125"/>
        <v>66</v>
      </c>
      <c r="W57" s="85">
        <f t="shared" si="125"/>
        <v>20</v>
      </c>
      <c r="X57" s="85">
        <f t="shared" si="125"/>
        <v>16</v>
      </c>
      <c r="Y57" s="85">
        <f t="shared" si="125"/>
        <v>60</v>
      </c>
      <c r="Z57" s="85">
        <f t="shared" si="125"/>
        <v>56</v>
      </c>
      <c r="AA57" s="85">
        <f t="shared" si="125"/>
        <v>14</v>
      </c>
      <c r="AB57" s="85">
        <f t="shared" si="125"/>
        <v>78</v>
      </c>
      <c r="AC57" s="85">
        <f t="shared" si="125"/>
        <v>8</v>
      </c>
      <c r="AD57" s="85">
        <f t="shared" si="125"/>
        <v>30</v>
      </c>
      <c r="AE57" s="85">
        <f t="shared" si="125"/>
        <v>30</v>
      </c>
      <c r="AF57" s="85">
        <f t="shared" si="125"/>
        <v>52</v>
      </c>
      <c r="AG57" s="85">
        <f t="shared" si="125"/>
        <v>6</v>
      </c>
      <c r="AH57" s="85">
        <f t="shared" si="125"/>
        <v>64</v>
      </c>
      <c r="AI57" s="85">
        <f t="shared" si="125"/>
        <v>32</v>
      </c>
      <c r="AJ57" s="85">
        <f t="shared" si="125"/>
        <v>32</v>
      </c>
      <c r="AK57" s="86">
        <f t="shared" si="1"/>
        <v>626</v>
      </c>
      <c r="AL57" s="33">
        <f t="shared" si="2"/>
        <v>1360</v>
      </c>
    </row>
  </sheetData>
  <mergeCells count="38">
    <mergeCell ref="A1:AL1"/>
    <mergeCell ref="F3:G4"/>
    <mergeCell ref="H3:I4"/>
    <mergeCell ref="J3:K4"/>
    <mergeCell ref="L3:M4"/>
    <mergeCell ref="N3:O4"/>
    <mergeCell ref="P3:P4"/>
    <mergeCell ref="Z3:AA4"/>
    <mergeCell ref="AB3:AC4"/>
    <mergeCell ref="AD3:AE4"/>
    <mergeCell ref="AF3:AG4"/>
    <mergeCell ref="AH3:AH4"/>
    <mergeCell ref="AI3:AJ4"/>
    <mergeCell ref="A57:B57"/>
    <mergeCell ref="A22:B22"/>
    <mergeCell ref="A23:B23"/>
    <mergeCell ref="A27:B27"/>
    <mergeCell ref="A32:B32"/>
    <mergeCell ref="A36:B36"/>
    <mergeCell ref="A37:B37"/>
    <mergeCell ref="A42:B42"/>
    <mergeCell ref="A47:B47"/>
    <mergeCell ref="A52:B52"/>
    <mergeCell ref="A55:B55"/>
    <mergeCell ref="A56:B56"/>
    <mergeCell ref="A10:B10"/>
    <mergeCell ref="A14:B14"/>
    <mergeCell ref="A17:B17"/>
    <mergeCell ref="V3:W4"/>
    <mergeCell ref="X3:Y4"/>
    <mergeCell ref="Q3:R4"/>
    <mergeCell ref="S3:S5"/>
    <mergeCell ref="D3:E4"/>
    <mergeCell ref="AK3:AK5"/>
    <mergeCell ref="T3:T5"/>
    <mergeCell ref="C2:T2"/>
    <mergeCell ref="U2:AK2"/>
    <mergeCell ref="AL2:AL5"/>
  </mergeCells>
  <printOptions horizontalCentered="1"/>
  <pageMargins left="0" right="0" top="0" bottom="0" header="0" footer="0"/>
  <pageSetup paperSize="9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F6BE-EF16-4708-949E-95358E90F33B}">
  <sheetPr>
    <tabColor rgb="FFFFFF00"/>
  </sheetPr>
  <dimension ref="A1:F29"/>
  <sheetViews>
    <sheetView view="pageBreakPreview" zoomScaleNormal="100" zoomScaleSheetLayoutView="100" workbookViewId="0">
      <selection activeCell="H20" sqref="H20"/>
    </sheetView>
  </sheetViews>
  <sheetFormatPr defaultColWidth="9.109375" defaultRowHeight="13.8" x14ac:dyDescent="0.3"/>
  <cols>
    <col min="1" max="1" width="22.21875" style="40" bestFit="1" customWidth="1"/>
    <col min="2" max="4" width="9.88671875" style="40" customWidth="1"/>
    <col min="5" max="5" width="18.109375" style="40" customWidth="1"/>
    <col min="6" max="6" width="16.88671875" style="40" bestFit="1" customWidth="1"/>
    <col min="7" max="16384" width="9.109375" style="40"/>
  </cols>
  <sheetData>
    <row r="1" spans="1:6" x14ac:dyDescent="0.3">
      <c r="A1" s="103" t="s">
        <v>159</v>
      </c>
      <c r="B1" s="103"/>
      <c r="C1" s="103"/>
      <c r="D1" s="103"/>
      <c r="E1" s="103"/>
      <c r="F1" s="103"/>
    </row>
    <row r="2" spans="1:6" x14ac:dyDescent="0.3">
      <c r="A2" s="103" t="s">
        <v>229</v>
      </c>
      <c r="B2" s="150"/>
      <c r="C2" s="150"/>
      <c r="D2" s="150"/>
      <c r="E2" s="150"/>
      <c r="F2" s="150"/>
    </row>
    <row r="3" spans="1:6" x14ac:dyDescent="0.3">
      <c r="A3" s="39"/>
      <c r="B3" s="41"/>
      <c r="C3" s="41"/>
      <c r="D3" s="41"/>
      <c r="E3" s="41"/>
      <c r="F3" s="41"/>
    </row>
    <row r="4" spans="1:6" x14ac:dyDescent="0.3">
      <c r="A4" s="42" t="s">
        <v>167</v>
      </c>
      <c r="B4" s="41"/>
      <c r="C4" s="41"/>
      <c r="D4" s="41"/>
      <c r="E4" s="41"/>
      <c r="F4" s="39" t="str">
        <f>"YEAR: "&amp;RIGHT('2.0WS'!$A$1,7)</f>
        <v>YEAR: 2026-27</v>
      </c>
    </row>
    <row r="5" spans="1:6" x14ac:dyDescent="0.3">
      <c r="A5" s="42" t="s">
        <v>168</v>
      </c>
      <c r="B5" s="41"/>
      <c r="C5" s="41"/>
      <c r="D5" s="41"/>
      <c r="E5" s="41"/>
      <c r="F5" s="102" t="s">
        <v>259</v>
      </c>
    </row>
    <row r="6" spans="1:6" x14ac:dyDescent="0.3">
      <c r="A6" s="42" t="s">
        <v>165</v>
      </c>
      <c r="B6" s="39"/>
      <c r="C6" s="39"/>
      <c r="D6" s="43"/>
      <c r="E6" s="43"/>
      <c r="F6" s="39"/>
    </row>
    <row r="7" spans="1:6" ht="27.75" customHeight="1" x14ac:dyDescent="0.3">
      <c r="A7" s="55" t="s">
        <v>160</v>
      </c>
      <c r="B7" s="45" t="s">
        <v>161</v>
      </c>
      <c r="C7" s="45" t="s">
        <v>162</v>
      </c>
      <c r="D7" s="45" t="s">
        <v>163</v>
      </c>
      <c r="E7" s="56" t="s">
        <v>230</v>
      </c>
      <c r="F7" s="56" t="s">
        <v>164</v>
      </c>
    </row>
    <row r="8" spans="1:6" x14ac:dyDescent="0.3">
      <c r="A8" s="44" t="s">
        <v>16</v>
      </c>
      <c r="B8" s="44" t="s">
        <v>17</v>
      </c>
      <c r="C8" s="44" t="s">
        <v>18</v>
      </c>
      <c r="D8" s="44" t="s">
        <v>19</v>
      </c>
      <c r="E8" s="44" t="s">
        <v>20</v>
      </c>
      <c r="F8" s="46" t="s">
        <v>21</v>
      </c>
    </row>
    <row r="9" spans="1:6" x14ac:dyDescent="0.3">
      <c r="A9" s="47" t="s">
        <v>65</v>
      </c>
      <c r="B9" s="48" t="s">
        <v>104</v>
      </c>
      <c r="C9" s="49">
        <v>10</v>
      </c>
      <c r="D9" s="50">
        <f>C9/2</f>
        <v>5</v>
      </c>
      <c r="E9" s="51" t="s">
        <v>261</v>
      </c>
      <c r="F9" s="51" t="s">
        <v>260</v>
      </c>
    </row>
    <row r="10" spans="1:6" x14ac:dyDescent="0.3">
      <c r="A10" s="47" t="s">
        <v>84</v>
      </c>
      <c r="B10" s="48" t="s">
        <v>105</v>
      </c>
      <c r="C10" s="49">
        <v>4</v>
      </c>
      <c r="D10" s="50">
        <f t="shared" ref="D10:D19" si="0">C10/2</f>
        <v>2</v>
      </c>
      <c r="E10" s="51"/>
      <c r="F10" s="51" t="s">
        <v>22</v>
      </c>
    </row>
    <row r="11" spans="1:6" x14ac:dyDescent="0.3">
      <c r="A11" s="47" t="s">
        <v>143</v>
      </c>
      <c r="B11" s="48" t="s">
        <v>93</v>
      </c>
      <c r="C11" s="49">
        <v>6</v>
      </c>
      <c r="D11" s="50">
        <f t="shared" si="0"/>
        <v>3</v>
      </c>
      <c r="E11" s="51">
        <v>2</v>
      </c>
      <c r="F11" s="51" t="s">
        <v>262</v>
      </c>
    </row>
    <row r="12" spans="1:6" x14ac:dyDescent="0.3">
      <c r="A12" s="47" t="s">
        <v>63</v>
      </c>
      <c r="B12" s="48" t="s">
        <v>106</v>
      </c>
      <c r="C12" s="49">
        <v>10</v>
      </c>
      <c r="D12" s="50">
        <f t="shared" si="0"/>
        <v>5</v>
      </c>
      <c r="E12" s="51">
        <v>3</v>
      </c>
      <c r="F12" s="51" t="s">
        <v>263</v>
      </c>
    </row>
    <row r="13" spans="1:6" x14ac:dyDescent="0.3">
      <c r="A13" s="47" t="s">
        <v>64</v>
      </c>
      <c r="B13" s="48" t="s">
        <v>107</v>
      </c>
      <c r="C13" s="49">
        <v>4</v>
      </c>
      <c r="D13" s="50">
        <f t="shared" si="0"/>
        <v>2</v>
      </c>
      <c r="E13" s="51">
        <v>2</v>
      </c>
      <c r="F13" s="51">
        <v>1</v>
      </c>
    </row>
    <row r="14" spans="1:6" x14ac:dyDescent="0.3">
      <c r="A14" s="47" t="s">
        <v>69</v>
      </c>
      <c r="B14" s="48" t="s">
        <v>23</v>
      </c>
      <c r="C14" s="49">
        <v>12</v>
      </c>
      <c r="D14" s="50">
        <f t="shared" si="0"/>
        <v>6</v>
      </c>
      <c r="E14" s="51">
        <v>4</v>
      </c>
      <c r="F14" s="51" t="s">
        <v>264</v>
      </c>
    </row>
    <row r="15" spans="1:6" x14ac:dyDescent="0.3">
      <c r="A15" s="47" t="s">
        <v>85</v>
      </c>
      <c r="B15" s="48" t="s">
        <v>111</v>
      </c>
      <c r="C15" s="49">
        <v>10</v>
      </c>
      <c r="D15" s="50">
        <f t="shared" si="0"/>
        <v>5</v>
      </c>
      <c r="E15" s="51">
        <v>2</v>
      </c>
      <c r="F15" s="51" t="s">
        <v>265</v>
      </c>
    </row>
    <row r="16" spans="1:6" x14ac:dyDescent="0.3">
      <c r="A16" s="47" t="s">
        <v>59</v>
      </c>
      <c r="B16" s="48" t="s">
        <v>97</v>
      </c>
      <c r="C16" s="49">
        <v>6</v>
      </c>
      <c r="D16" s="50">
        <f t="shared" si="0"/>
        <v>3</v>
      </c>
      <c r="E16" s="51">
        <v>1</v>
      </c>
      <c r="F16" s="51" t="s">
        <v>266</v>
      </c>
    </row>
    <row r="17" spans="1:6" x14ac:dyDescent="0.3">
      <c r="A17" s="47" t="s">
        <v>87</v>
      </c>
      <c r="B17" s="48" t="s">
        <v>99</v>
      </c>
      <c r="C17" s="49">
        <v>4</v>
      </c>
      <c r="D17" s="50">
        <f t="shared" si="0"/>
        <v>2</v>
      </c>
      <c r="E17" s="51">
        <v>2</v>
      </c>
      <c r="F17" s="51">
        <v>1</v>
      </c>
    </row>
    <row r="18" spans="1:6" x14ac:dyDescent="0.3">
      <c r="A18" s="47" t="s">
        <v>74</v>
      </c>
      <c r="B18" s="48" t="s">
        <v>112</v>
      </c>
      <c r="C18" s="49">
        <v>4</v>
      </c>
      <c r="D18" s="50">
        <f t="shared" si="0"/>
        <v>2</v>
      </c>
      <c r="E18" s="51"/>
      <c r="F18" s="51" t="s">
        <v>22</v>
      </c>
    </row>
    <row r="19" spans="1:6" x14ac:dyDescent="0.3">
      <c r="A19" s="47" t="s">
        <v>78</v>
      </c>
      <c r="B19" s="48" t="s">
        <v>124</v>
      </c>
      <c r="C19" s="49">
        <v>6</v>
      </c>
      <c r="D19" s="50">
        <f t="shared" si="0"/>
        <v>3</v>
      </c>
      <c r="E19" s="51">
        <v>2</v>
      </c>
      <c r="F19" s="51" t="s">
        <v>262</v>
      </c>
    </row>
    <row r="20" spans="1:6" x14ac:dyDescent="0.3">
      <c r="A20" s="44" t="s">
        <v>13</v>
      </c>
      <c r="B20" s="50"/>
      <c r="C20" s="50">
        <f>SUM(C9:C19)</f>
        <v>76</v>
      </c>
      <c r="D20" s="50">
        <f>SUM(D9:D19)</f>
        <v>38</v>
      </c>
      <c r="E20" s="52"/>
      <c r="F20" s="50"/>
    </row>
    <row r="21" spans="1:6" x14ac:dyDescent="0.3">
      <c r="A21" s="53"/>
      <c r="B21" s="54"/>
      <c r="C21" s="54"/>
      <c r="D21" s="54"/>
      <c r="E21" s="54"/>
      <c r="F21" s="54"/>
    </row>
    <row r="22" spans="1:6" x14ac:dyDescent="0.3">
      <c r="A22" s="42" t="s">
        <v>166</v>
      </c>
      <c r="B22" s="39"/>
      <c r="C22" s="39"/>
      <c r="D22" s="39"/>
      <c r="E22" s="41"/>
      <c r="F22" s="39"/>
    </row>
    <row r="23" spans="1:6" ht="30.15" customHeight="1" x14ac:dyDescent="0.3">
      <c r="A23" s="55" t="s">
        <v>160</v>
      </c>
      <c r="B23" s="45" t="s">
        <v>161</v>
      </c>
      <c r="C23" s="45" t="s">
        <v>162</v>
      </c>
      <c r="D23" s="45" t="s">
        <v>163</v>
      </c>
      <c r="E23" s="56" t="s">
        <v>230</v>
      </c>
      <c r="F23" s="56" t="s">
        <v>164</v>
      </c>
    </row>
    <row r="24" spans="1:6" x14ac:dyDescent="0.3">
      <c r="A24" s="44" t="s">
        <v>16</v>
      </c>
      <c r="B24" s="44" t="s">
        <v>17</v>
      </c>
      <c r="C24" s="44" t="s">
        <v>18</v>
      </c>
      <c r="D24" s="44" t="s">
        <v>19</v>
      </c>
      <c r="E24" s="44" t="s">
        <v>20</v>
      </c>
      <c r="F24" s="46" t="s">
        <v>21</v>
      </c>
    </row>
    <row r="25" spans="1:6" x14ac:dyDescent="0.3">
      <c r="A25" s="47" t="s">
        <v>63</v>
      </c>
      <c r="B25" s="48" t="s">
        <v>106</v>
      </c>
      <c r="C25" s="49">
        <v>4</v>
      </c>
      <c r="D25" s="50">
        <f>C25/2</f>
        <v>2</v>
      </c>
      <c r="E25" s="51">
        <v>1</v>
      </c>
      <c r="F25" s="51">
        <v>2</v>
      </c>
    </row>
    <row r="26" spans="1:6" x14ac:dyDescent="0.3">
      <c r="A26" s="47" t="s">
        <v>64</v>
      </c>
      <c r="B26" s="48" t="s">
        <v>107</v>
      </c>
      <c r="C26" s="49">
        <v>4</v>
      </c>
      <c r="D26" s="50">
        <f t="shared" ref="D26:D27" si="1">C26/2</f>
        <v>2</v>
      </c>
      <c r="E26" s="51"/>
      <c r="F26" s="51" t="s">
        <v>22</v>
      </c>
    </row>
    <row r="27" spans="1:6" x14ac:dyDescent="0.3">
      <c r="A27" s="47" t="s">
        <v>87</v>
      </c>
      <c r="B27" s="48" t="s">
        <v>99</v>
      </c>
      <c r="C27" s="49">
        <v>6</v>
      </c>
      <c r="D27" s="50">
        <f t="shared" si="1"/>
        <v>3</v>
      </c>
      <c r="E27" s="51">
        <v>1</v>
      </c>
      <c r="F27" s="51" t="s">
        <v>266</v>
      </c>
    </row>
    <row r="28" spans="1:6" x14ac:dyDescent="0.3">
      <c r="A28" s="47" t="s">
        <v>75</v>
      </c>
      <c r="B28" s="48" t="s">
        <v>113</v>
      </c>
      <c r="C28" s="49">
        <v>4</v>
      </c>
      <c r="D28" s="50">
        <f>C28/2</f>
        <v>2</v>
      </c>
      <c r="E28" s="51">
        <v>2</v>
      </c>
      <c r="F28" s="51">
        <v>1</v>
      </c>
    </row>
    <row r="29" spans="1:6" x14ac:dyDescent="0.3">
      <c r="A29" s="44" t="s">
        <v>13</v>
      </c>
      <c r="B29" s="55"/>
      <c r="C29" s="50">
        <f>SUM(C25:C28)</f>
        <v>18</v>
      </c>
      <c r="D29" s="50">
        <f>SUM(D25:D28)</f>
        <v>9</v>
      </c>
      <c r="E29" s="50"/>
      <c r="F29" s="50"/>
    </row>
  </sheetData>
  <mergeCells count="2">
    <mergeCell ref="A1:F1"/>
    <mergeCell ref="A2:F2"/>
  </mergeCells>
  <printOptions horizontalCentered="1"/>
  <pageMargins left="1" right="1" top="1" bottom="1" header="0.5" footer="0.5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B5F4-9584-4658-94FC-0B74B0EAF1DC}">
  <sheetPr>
    <tabColor rgb="FF66FFFF"/>
  </sheetPr>
  <dimension ref="A1:F26"/>
  <sheetViews>
    <sheetView view="pageBreakPreview" zoomScaleNormal="100" zoomScaleSheetLayoutView="100" workbookViewId="0">
      <selection activeCell="F26" sqref="F26"/>
    </sheetView>
  </sheetViews>
  <sheetFormatPr defaultColWidth="9.109375" defaultRowHeight="13.8" x14ac:dyDescent="0.3"/>
  <cols>
    <col min="1" max="1" width="22.21875" style="40" bestFit="1" customWidth="1"/>
    <col min="2" max="2" width="9.88671875" style="40" customWidth="1"/>
    <col min="3" max="4" width="11.109375" style="40" customWidth="1"/>
    <col min="5" max="5" width="19.109375" style="40" bestFit="1" customWidth="1"/>
    <col min="6" max="6" width="16.88671875" style="40" bestFit="1" customWidth="1"/>
    <col min="7" max="16384" width="9.109375" style="40"/>
  </cols>
  <sheetData>
    <row r="1" spans="1:6" x14ac:dyDescent="0.3">
      <c r="A1" s="103" t="s">
        <v>159</v>
      </c>
      <c r="B1" s="103"/>
      <c r="C1" s="103"/>
      <c r="D1" s="103"/>
      <c r="E1" s="103"/>
      <c r="F1" s="103"/>
    </row>
    <row r="2" spans="1:6" x14ac:dyDescent="0.3">
      <c r="A2" s="103" t="s">
        <v>229</v>
      </c>
      <c r="B2" s="103"/>
      <c r="C2" s="103"/>
      <c r="D2" s="103"/>
      <c r="E2" s="103"/>
      <c r="F2" s="103"/>
    </row>
    <row r="3" spans="1:6" x14ac:dyDescent="0.3">
      <c r="A3" s="39"/>
      <c r="B3" s="41"/>
      <c r="C3" s="41"/>
      <c r="D3" s="41"/>
      <c r="E3" s="41"/>
      <c r="F3" s="41"/>
    </row>
    <row r="4" spans="1:6" x14ac:dyDescent="0.3">
      <c r="A4" s="42" t="str">
        <f>KH_COTT!A4</f>
        <v>STATE:  TAMIL NADU</v>
      </c>
      <c r="B4" s="41"/>
      <c r="C4" s="41"/>
      <c r="D4" s="41"/>
      <c r="E4" s="41"/>
      <c r="F4" s="39" t="str">
        <f>KH_COTT!F4</f>
        <v>YEAR: 2026-27</v>
      </c>
    </row>
    <row r="5" spans="1:6" x14ac:dyDescent="0.3">
      <c r="A5" s="42" t="s">
        <v>169</v>
      </c>
      <c r="B5" s="41"/>
      <c r="C5" s="41"/>
      <c r="D5" s="41"/>
      <c r="E5" s="41"/>
      <c r="F5" s="102" t="s">
        <v>259</v>
      </c>
    </row>
    <row r="6" spans="1:6" x14ac:dyDescent="0.3">
      <c r="A6" s="42" t="str">
        <f>KH_COTT!A6</f>
        <v>CROP: COTTON (UI)</v>
      </c>
      <c r="B6" s="39"/>
      <c r="C6" s="39"/>
      <c r="D6" s="43"/>
      <c r="E6" s="43"/>
      <c r="F6" s="41"/>
    </row>
    <row r="7" spans="1:6" ht="29.4" customHeight="1" x14ac:dyDescent="0.3">
      <c r="A7" s="55" t="s">
        <v>160</v>
      </c>
      <c r="B7" s="56" t="s">
        <v>161</v>
      </c>
      <c r="C7" s="56" t="s">
        <v>162</v>
      </c>
      <c r="D7" s="56" t="s">
        <v>163</v>
      </c>
      <c r="E7" s="56" t="s">
        <v>230</v>
      </c>
      <c r="F7" s="56" t="s">
        <v>164</v>
      </c>
    </row>
    <row r="8" spans="1:6" x14ac:dyDescent="0.3">
      <c r="A8" s="44" t="s">
        <v>16</v>
      </c>
      <c r="B8" s="44" t="s">
        <v>17</v>
      </c>
      <c r="C8" s="44" t="s">
        <v>18</v>
      </c>
      <c r="D8" s="44" t="s">
        <v>19</v>
      </c>
      <c r="E8" s="44" t="s">
        <v>20</v>
      </c>
      <c r="F8" s="46" t="s">
        <v>21</v>
      </c>
    </row>
    <row r="9" spans="1:6" x14ac:dyDescent="0.3">
      <c r="A9" s="47" t="s">
        <v>76</v>
      </c>
      <c r="B9" s="48" t="s">
        <v>114</v>
      </c>
      <c r="C9" s="49">
        <v>4</v>
      </c>
      <c r="D9" s="50">
        <f>C9/2</f>
        <v>2</v>
      </c>
      <c r="E9" s="51">
        <v>1</v>
      </c>
      <c r="F9" s="51">
        <v>2</v>
      </c>
    </row>
    <row r="10" spans="1:6" x14ac:dyDescent="0.3">
      <c r="A10" s="47" t="s">
        <v>74</v>
      </c>
      <c r="B10" s="48" t="s">
        <v>112</v>
      </c>
      <c r="C10" s="49">
        <v>4</v>
      </c>
      <c r="D10" s="50">
        <f t="shared" ref="D10:D14" si="0">C10/2</f>
        <v>2</v>
      </c>
      <c r="E10" s="51"/>
      <c r="F10" s="51" t="s">
        <v>22</v>
      </c>
    </row>
    <row r="11" spans="1:6" x14ac:dyDescent="0.3">
      <c r="A11" s="47" t="s">
        <v>81</v>
      </c>
      <c r="B11" s="48" t="s">
        <v>120</v>
      </c>
      <c r="C11" s="49">
        <v>6</v>
      </c>
      <c r="D11" s="50">
        <f t="shared" si="0"/>
        <v>3</v>
      </c>
      <c r="E11" s="51">
        <v>1</v>
      </c>
      <c r="F11" s="51" t="s">
        <v>266</v>
      </c>
    </row>
    <row r="12" spans="1:6" x14ac:dyDescent="0.3">
      <c r="A12" s="47" t="s">
        <v>144</v>
      </c>
      <c r="B12" s="48" t="s">
        <v>121</v>
      </c>
      <c r="C12" s="49">
        <v>4</v>
      </c>
      <c r="D12" s="50">
        <f t="shared" si="0"/>
        <v>2</v>
      </c>
      <c r="E12" s="51">
        <v>2</v>
      </c>
      <c r="F12" s="51">
        <v>1</v>
      </c>
    </row>
    <row r="13" spans="1:6" x14ac:dyDescent="0.3">
      <c r="A13" s="47" t="s">
        <v>78</v>
      </c>
      <c r="B13" s="48" t="s">
        <v>124</v>
      </c>
      <c r="C13" s="49">
        <v>10</v>
      </c>
      <c r="D13" s="50">
        <f t="shared" si="0"/>
        <v>5</v>
      </c>
      <c r="E13" s="51">
        <v>4</v>
      </c>
      <c r="F13" s="51" t="s">
        <v>267</v>
      </c>
    </row>
    <row r="14" spans="1:6" x14ac:dyDescent="0.3">
      <c r="A14" s="47" t="s">
        <v>77</v>
      </c>
      <c r="B14" s="48" t="s">
        <v>123</v>
      </c>
      <c r="C14" s="49">
        <v>4</v>
      </c>
      <c r="D14" s="50">
        <f t="shared" si="0"/>
        <v>2</v>
      </c>
      <c r="E14" s="51"/>
      <c r="F14" s="51" t="s">
        <v>22</v>
      </c>
    </row>
    <row r="15" spans="1:6" x14ac:dyDescent="0.3">
      <c r="A15" s="44" t="s">
        <v>13</v>
      </c>
      <c r="B15" s="50"/>
      <c r="C15" s="50">
        <f>SUM(C9:C14)</f>
        <v>32</v>
      </c>
      <c r="D15" s="50">
        <f>SUM(D9:D14)</f>
        <v>16</v>
      </c>
      <c r="E15" s="52"/>
      <c r="F15" s="50"/>
    </row>
    <row r="16" spans="1:6" x14ac:dyDescent="0.3">
      <c r="A16" s="53"/>
      <c r="B16" s="54"/>
      <c r="C16" s="54"/>
      <c r="D16" s="54"/>
      <c r="E16" s="54"/>
      <c r="F16" s="54"/>
    </row>
    <row r="17" spans="1:6" x14ac:dyDescent="0.3">
      <c r="A17" s="42" t="str">
        <f>KH_COTT!A22</f>
        <v>CROP: COTTON (IR)</v>
      </c>
      <c r="B17" s="39"/>
      <c r="C17" s="39"/>
      <c r="D17" s="39"/>
      <c r="E17" s="41"/>
      <c r="F17" s="41"/>
    </row>
    <row r="18" spans="1:6" ht="30.15" customHeight="1" x14ac:dyDescent="0.3">
      <c r="A18" s="55" t="s">
        <v>160</v>
      </c>
      <c r="B18" s="56" t="s">
        <v>161</v>
      </c>
      <c r="C18" s="56" t="s">
        <v>162</v>
      </c>
      <c r="D18" s="56" t="s">
        <v>163</v>
      </c>
      <c r="E18" s="56" t="s">
        <v>230</v>
      </c>
      <c r="F18" s="56" t="s">
        <v>164</v>
      </c>
    </row>
    <row r="19" spans="1:6" x14ac:dyDescent="0.3">
      <c r="A19" s="44" t="s">
        <v>16</v>
      </c>
      <c r="B19" s="44" t="s">
        <v>17</v>
      </c>
      <c r="C19" s="44" t="s">
        <v>18</v>
      </c>
      <c r="D19" s="44" t="s">
        <v>19</v>
      </c>
      <c r="E19" s="44" t="s">
        <v>20</v>
      </c>
      <c r="F19" s="46" t="s">
        <v>21</v>
      </c>
    </row>
    <row r="20" spans="1:6" x14ac:dyDescent="0.3">
      <c r="A20" s="47" t="s">
        <v>63</v>
      </c>
      <c r="B20" s="48" t="s">
        <v>106</v>
      </c>
      <c r="C20" s="49">
        <v>6</v>
      </c>
      <c r="D20" s="50">
        <f>C20/2</f>
        <v>3</v>
      </c>
      <c r="E20" s="51">
        <v>1</v>
      </c>
      <c r="F20" s="51" t="s">
        <v>266</v>
      </c>
    </row>
    <row r="21" spans="1:6" x14ac:dyDescent="0.3">
      <c r="A21" s="47" t="s">
        <v>76</v>
      </c>
      <c r="B21" s="48" t="s">
        <v>114</v>
      </c>
      <c r="C21" s="49">
        <v>4</v>
      </c>
      <c r="D21" s="50">
        <f t="shared" ref="D21:D25" si="1">C21/2</f>
        <v>2</v>
      </c>
      <c r="E21" s="51">
        <v>2</v>
      </c>
      <c r="F21" s="51">
        <v>1</v>
      </c>
    </row>
    <row r="22" spans="1:6" x14ac:dyDescent="0.3">
      <c r="A22" s="47" t="s">
        <v>74</v>
      </c>
      <c r="B22" s="48" t="s">
        <v>112</v>
      </c>
      <c r="C22" s="49">
        <v>6</v>
      </c>
      <c r="D22" s="50">
        <f t="shared" si="1"/>
        <v>3</v>
      </c>
      <c r="E22" s="51"/>
      <c r="F22" s="51" t="s">
        <v>268</v>
      </c>
    </row>
    <row r="23" spans="1:6" x14ac:dyDescent="0.3">
      <c r="A23" s="47" t="s">
        <v>75</v>
      </c>
      <c r="B23" s="48" t="s">
        <v>113</v>
      </c>
      <c r="C23" s="49">
        <v>4</v>
      </c>
      <c r="D23" s="50">
        <f t="shared" si="1"/>
        <v>2</v>
      </c>
      <c r="E23" s="51">
        <v>1</v>
      </c>
      <c r="F23" s="51">
        <v>2</v>
      </c>
    </row>
    <row r="24" spans="1:6" x14ac:dyDescent="0.3">
      <c r="A24" s="47" t="s">
        <v>71</v>
      </c>
      <c r="B24" s="48" t="s">
        <v>116</v>
      </c>
      <c r="C24" s="49">
        <v>6</v>
      </c>
      <c r="D24" s="50">
        <f t="shared" si="1"/>
        <v>3</v>
      </c>
      <c r="E24" s="51">
        <v>3</v>
      </c>
      <c r="F24" s="51" t="s">
        <v>22</v>
      </c>
    </row>
    <row r="25" spans="1:6" x14ac:dyDescent="0.3">
      <c r="A25" s="47" t="s">
        <v>78</v>
      </c>
      <c r="B25" s="48" t="s">
        <v>124</v>
      </c>
      <c r="C25" s="49">
        <v>6</v>
      </c>
      <c r="D25" s="50">
        <f t="shared" si="1"/>
        <v>3</v>
      </c>
      <c r="E25" s="51"/>
      <c r="F25" s="51" t="s">
        <v>268</v>
      </c>
    </row>
    <row r="26" spans="1:6" x14ac:dyDescent="0.3">
      <c r="A26" s="44" t="s">
        <v>13</v>
      </c>
      <c r="B26" s="55"/>
      <c r="C26" s="50">
        <f>SUM(C20:C25)</f>
        <v>32</v>
      </c>
      <c r="D26" s="50">
        <f>SUM(D20:D25)</f>
        <v>16</v>
      </c>
      <c r="E26" s="50"/>
      <c r="F26" s="50"/>
    </row>
  </sheetData>
  <mergeCells count="2">
    <mergeCell ref="A1:F1"/>
    <mergeCell ref="A2:F2"/>
  </mergeCells>
  <printOptions horizontalCentered="1"/>
  <pageMargins left="1" right="1" top="1" bottom="1" header="0.5" footer="0.5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Dist-wise</vt:lpstr>
      <vt:lpstr>GCES</vt:lpstr>
      <vt:lpstr>2.0WS</vt:lpstr>
      <vt:lpstr>2.0WP</vt:lpstr>
      <vt:lpstr>KH_COTT</vt:lpstr>
      <vt:lpstr>RB_COTT</vt:lpstr>
      <vt:lpstr>'2.0WP'!Print_Area</vt:lpstr>
      <vt:lpstr>'2.0WS'!Print_Area</vt:lpstr>
      <vt:lpstr>GCES!Print_Area</vt:lpstr>
      <vt:lpstr>KH_COTT!Print_Area</vt:lpstr>
      <vt:lpstr>RB_COTT!Print_Area</vt:lpstr>
      <vt:lpstr>'2.0WP'!Print_Titles</vt:lpstr>
      <vt:lpstr>'2.0WS'!Print_Titles</vt:lpstr>
      <vt:lpstr>GCES!Print_Titles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2026-07-24T07:30:21Z</dcterms:modified>
</cp:coreProperties>
</file>
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24A75117-B23F-4DA2-A92B-3F2DE27E3EAD}" xr6:coauthVersionLast="47" xr6:coauthVersionMax="47" xr10:uidLastSave="{00000000-0000-0000-0000-000000000000}"/>
  <bookViews>
    <workbookView xWindow="-108" yWindow="-108" windowWidth="23256" windowHeight="12456" tabRatio="742" activeTab="2" xr2:uid="{00000000-000D-0000-FFFF-FFFF00000000}"/>
  </bookViews>
  <sheets>
    <sheet name="2.0WP - Cen" sheetId="30" r:id="rId1"/>
    <sheet name="2.0WP - State" sheetId="31" r:id="rId2"/>
    <sheet name="2.0WP - DIFF" sheetId="32" r:id="rId3"/>
  </sheets>
  <externalReferences>
    <externalReference r:id="rId4"/>
    <externalReference r:id="rId5"/>
  </externalReferences>
  <definedNames>
    <definedName name="_xlnm._FilterDatabase" localSheetId="0" hidden="1">'2.0WP - Cen'!$A$5:$T$57</definedName>
    <definedName name="_xlnm._FilterDatabase" localSheetId="2" hidden="1">'2.0WP - DIFF'!$A$5:$T$57</definedName>
    <definedName name="_xlnm._FilterDatabase" localSheetId="1" hidden="1">'2.0WP - State'!$A$5:$T$57</definedName>
    <definedName name="_xlnm.Print_Area" localSheetId="0">'2.0WP - Cen'!$A$1:$AL$57</definedName>
    <definedName name="_xlnm.Print_Area" localSheetId="2">'2.0WP - DIFF'!$A$1:$AL$57</definedName>
    <definedName name="_xlnm.Print_Area" localSheetId="1">'2.0WP - State'!$A$1:$AL$57</definedName>
    <definedName name="_xlnm.Print_Titles" localSheetId="0">'2.0WP - Cen'!$A:$B</definedName>
    <definedName name="_xlnm.Print_Titles" localSheetId="2">'2.0WP - DIFF'!$A:$B</definedName>
    <definedName name="_xlnm.Print_Titles" localSheetId="1">'2.0WP - State'!$A:$B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4" i="31" l="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J53" i="31"/>
  <c r="AI53" i="31"/>
  <c r="AH53" i="31"/>
  <c r="AG53" i="31"/>
  <c r="AF53" i="31"/>
  <c r="AF53" i="32" s="1"/>
  <c r="AE53" i="31"/>
  <c r="AD53" i="31"/>
  <c r="AC53" i="31"/>
  <c r="AB53" i="31"/>
  <c r="AA53" i="31"/>
  <c r="Z53" i="31"/>
  <c r="Y53" i="31"/>
  <c r="X53" i="31"/>
  <c r="W53" i="31"/>
  <c r="V53" i="31"/>
  <c r="U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J48" i="31"/>
  <c r="AI48" i="31"/>
  <c r="AH48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C48" i="32" s="1"/>
  <c r="AJ46" i="31"/>
  <c r="AI46" i="31"/>
  <c r="AH46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S46" i="31"/>
  <c r="R46" i="31"/>
  <c r="Q46" i="31"/>
  <c r="P46" i="31"/>
  <c r="P46" i="32" s="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V40" i="32" s="1"/>
  <c r="U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J35" i="31"/>
  <c r="AI35" i="31"/>
  <c r="AH35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J33" i="31"/>
  <c r="AI33" i="31"/>
  <c r="AH33" i="31"/>
  <c r="AG33" i="31"/>
  <c r="AF33" i="31"/>
  <c r="AE33" i="31"/>
  <c r="AD33" i="31"/>
  <c r="AC33" i="31"/>
  <c r="AB33" i="31"/>
  <c r="AA33" i="31"/>
  <c r="AA33" i="32" s="1"/>
  <c r="Z33" i="31"/>
  <c r="Y33" i="31"/>
  <c r="X33" i="31"/>
  <c r="W33" i="31"/>
  <c r="V33" i="31"/>
  <c r="U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J30" i="31"/>
  <c r="AI30" i="31"/>
  <c r="AI30" i="32" s="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S28" i="31"/>
  <c r="R28" i="31"/>
  <c r="R28" i="32" s="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J26" i="31"/>
  <c r="AI26" i="31"/>
  <c r="AH26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J25" i="31"/>
  <c r="AI25" i="31"/>
  <c r="AH25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D25" i="32" s="1"/>
  <c r="C25" i="31"/>
  <c r="AJ24" i="31"/>
  <c r="AI24" i="31"/>
  <c r="AH24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J20" i="31"/>
  <c r="AI20" i="31"/>
  <c r="AH20" i="31"/>
  <c r="AG20" i="31"/>
  <c r="AF20" i="31"/>
  <c r="AE20" i="31"/>
  <c r="AE20" i="32" s="1"/>
  <c r="AD20" i="31"/>
  <c r="AC20" i="31"/>
  <c r="AB20" i="31"/>
  <c r="AA20" i="31"/>
  <c r="Z20" i="31"/>
  <c r="Y20" i="31"/>
  <c r="X20" i="31"/>
  <c r="W20" i="31"/>
  <c r="V20" i="31"/>
  <c r="U20" i="31"/>
  <c r="S20" i="31"/>
  <c r="R20" i="31"/>
  <c r="Q20" i="31"/>
  <c r="P20" i="31"/>
  <c r="O20" i="31"/>
  <c r="N20" i="31"/>
  <c r="M20" i="31"/>
  <c r="L20" i="31"/>
  <c r="K20" i="31"/>
  <c r="J20" i="31"/>
  <c r="J20" i="32" s="1"/>
  <c r="I20" i="31"/>
  <c r="H20" i="31"/>
  <c r="G20" i="31"/>
  <c r="F20" i="31"/>
  <c r="E20" i="31"/>
  <c r="D20" i="31"/>
  <c r="C20" i="31"/>
  <c r="C20" i="32" s="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S19" i="31"/>
  <c r="R19" i="31"/>
  <c r="R19" i="32" s="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C19" i="32" s="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J16" i="31"/>
  <c r="AI16" i="31"/>
  <c r="AH16" i="31"/>
  <c r="AG16" i="31"/>
  <c r="AF16" i="31"/>
  <c r="AE16" i="31"/>
  <c r="AD16" i="31"/>
  <c r="AD16" i="32" s="1"/>
  <c r="AC16" i="31"/>
  <c r="AB16" i="31"/>
  <c r="AA16" i="31"/>
  <c r="Z16" i="31"/>
  <c r="Y16" i="31"/>
  <c r="X16" i="31"/>
  <c r="W16" i="31"/>
  <c r="W16" i="32" s="1"/>
  <c r="V16" i="31"/>
  <c r="U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J15" i="31"/>
  <c r="AI15" i="31"/>
  <c r="AH15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J13" i="31"/>
  <c r="AJ13" i="32" s="1"/>
  <c r="AI13" i="31"/>
  <c r="AH13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H13" i="32" s="1"/>
  <c r="G13" i="31"/>
  <c r="F13" i="31"/>
  <c r="E13" i="31"/>
  <c r="D13" i="31"/>
  <c r="C13" i="31"/>
  <c r="AJ12" i="31"/>
  <c r="AI12" i="31"/>
  <c r="AH12" i="31"/>
  <c r="AG12" i="31"/>
  <c r="AF12" i="31"/>
  <c r="AE12" i="31"/>
  <c r="AD12" i="31"/>
  <c r="AC12" i="31"/>
  <c r="AC12" i="32" s="1"/>
  <c r="AB12" i="31"/>
  <c r="AA12" i="31"/>
  <c r="Z12" i="31"/>
  <c r="Y12" i="31"/>
  <c r="X12" i="31"/>
  <c r="W12" i="31"/>
  <c r="V12" i="31"/>
  <c r="U12" i="31"/>
  <c r="U12" i="32" s="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J11" i="31"/>
  <c r="AI11" i="31"/>
  <c r="AH11" i="31"/>
  <c r="AH11" i="32" s="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J9" i="31"/>
  <c r="AI9" i="31"/>
  <c r="AH9" i="31"/>
  <c r="AG9" i="31"/>
  <c r="AF9" i="31"/>
  <c r="AE9" i="31"/>
  <c r="AD9" i="31"/>
  <c r="AC9" i="31"/>
  <c r="AC9" i="32" s="1"/>
  <c r="AB9" i="31"/>
  <c r="AB9" i="32" s="1"/>
  <c r="AA9" i="31"/>
  <c r="Z9" i="31"/>
  <c r="Y9" i="31"/>
  <c r="X9" i="31"/>
  <c r="W9" i="31"/>
  <c r="V9" i="31"/>
  <c r="U9" i="31"/>
  <c r="S9" i="31"/>
  <c r="R9" i="31"/>
  <c r="Q9" i="31"/>
  <c r="P9" i="31"/>
  <c r="O9" i="31"/>
  <c r="N9" i="31"/>
  <c r="N9" i="32" s="1"/>
  <c r="M9" i="31"/>
  <c r="L9" i="31"/>
  <c r="K9" i="31"/>
  <c r="J9" i="31"/>
  <c r="I9" i="31"/>
  <c r="I9" i="32" s="1"/>
  <c r="H9" i="31"/>
  <c r="G9" i="31"/>
  <c r="F9" i="31"/>
  <c r="E9" i="31"/>
  <c r="D9" i="31"/>
  <c r="C9" i="31"/>
  <c r="AJ8" i="31"/>
  <c r="AI8" i="31"/>
  <c r="AH8" i="31"/>
  <c r="AG8" i="31"/>
  <c r="AF8" i="31"/>
  <c r="AE8" i="31"/>
  <c r="AD8" i="31"/>
  <c r="AC8" i="31"/>
  <c r="AC8" i="32" s="1"/>
  <c r="AB8" i="31"/>
  <c r="AA8" i="31"/>
  <c r="Z8" i="31"/>
  <c r="Y8" i="31"/>
  <c r="X8" i="31"/>
  <c r="W8" i="31"/>
  <c r="V8" i="31"/>
  <c r="U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G8" i="32" s="1"/>
  <c r="F8" i="31"/>
  <c r="E8" i="31"/>
  <c r="D8" i="31"/>
  <c r="C8" i="31"/>
  <c r="AJ7" i="31"/>
  <c r="AI7" i="31"/>
  <c r="AH7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J6" i="31"/>
  <c r="AI6" i="31"/>
  <c r="AH6" i="31"/>
  <c r="AG6" i="31"/>
  <c r="AF6" i="31"/>
  <c r="AE6" i="31"/>
  <c r="AD6" i="31"/>
  <c r="AC6" i="31"/>
  <c r="AB6" i="31"/>
  <c r="AA6" i="31"/>
  <c r="Z6" i="31"/>
  <c r="Z6" i="32" s="1"/>
  <c r="Y6" i="31"/>
  <c r="X6" i="31"/>
  <c r="W6" i="31"/>
  <c r="V6" i="31"/>
  <c r="U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57" i="31"/>
  <c r="A56" i="31"/>
  <c r="A55" i="31"/>
  <c r="B54" i="31"/>
  <c r="A54" i="31"/>
  <c r="B53" i="31"/>
  <c r="A53" i="31"/>
  <c r="A52" i="31"/>
  <c r="B51" i="31"/>
  <c r="A51" i="31"/>
  <c r="B50" i="31"/>
  <c r="A50" i="31"/>
  <c r="B49" i="31"/>
  <c r="A49" i="31"/>
  <c r="B48" i="31"/>
  <c r="A48" i="31"/>
  <c r="A47" i="31"/>
  <c r="B46" i="31"/>
  <c r="A46" i="31"/>
  <c r="B45" i="31"/>
  <c r="A45" i="31"/>
  <c r="B44" i="31"/>
  <c r="A44" i="31"/>
  <c r="B43" i="31"/>
  <c r="A43" i="31"/>
  <c r="A42" i="31"/>
  <c r="B41" i="31"/>
  <c r="A41" i="31"/>
  <c r="B40" i="31"/>
  <c r="A40" i="31"/>
  <c r="B39" i="31"/>
  <c r="A39" i="31"/>
  <c r="B38" i="31"/>
  <c r="A38" i="31"/>
  <c r="A37" i="31"/>
  <c r="A36" i="31"/>
  <c r="B35" i="31"/>
  <c r="A35" i="31"/>
  <c r="B34" i="31"/>
  <c r="A34" i="31"/>
  <c r="B33" i="31"/>
  <c r="A33" i="31"/>
  <c r="A32" i="31"/>
  <c r="B31" i="31"/>
  <c r="A31" i="31"/>
  <c r="B30" i="31"/>
  <c r="A30" i="31"/>
  <c r="B29" i="31"/>
  <c r="A29" i="31"/>
  <c r="B28" i="31"/>
  <c r="A28" i="31"/>
  <c r="A27" i="31"/>
  <c r="B26" i="31"/>
  <c r="A26" i="31"/>
  <c r="B25" i="31"/>
  <c r="A25" i="31"/>
  <c r="B24" i="31"/>
  <c r="A24" i="31"/>
  <c r="A23" i="31"/>
  <c r="A22" i="31"/>
  <c r="B21" i="31"/>
  <c r="A21" i="31"/>
  <c r="B20" i="31"/>
  <c r="A20" i="31"/>
  <c r="B19" i="31"/>
  <c r="A19" i="31"/>
  <c r="B18" i="31"/>
  <c r="A18" i="31"/>
  <c r="A17" i="31"/>
  <c r="B16" i="31"/>
  <c r="A16" i="31"/>
  <c r="B15" i="31"/>
  <c r="A15" i="31"/>
  <c r="A14" i="31"/>
  <c r="B13" i="31"/>
  <c r="A13" i="31"/>
  <c r="B12" i="31"/>
  <c r="A12" i="31"/>
  <c r="B11" i="31"/>
  <c r="A11" i="31"/>
  <c r="A10" i="31"/>
  <c r="B9" i="31"/>
  <c r="A9" i="31"/>
  <c r="B8" i="31"/>
  <c r="A8" i="31"/>
  <c r="B7" i="31"/>
  <c r="A7" i="31"/>
  <c r="B6" i="31"/>
  <c r="A6" i="31"/>
  <c r="AJ54" i="30"/>
  <c r="AJ54" i="32" s="1"/>
  <c r="AI54" i="30"/>
  <c r="AI54" i="32" s="1"/>
  <c r="AH54" i="30"/>
  <c r="AG54" i="30"/>
  <c r="AF54" i="30"/>
  <c r="AE54" i="30"/>
  <c r="AD54" i="30"/>
  <c r="AC54" i="30"/>
  <c r="AC54" i="32" s="1"/>
  <c r="AB54" i="30"/>
  <c r="AB54" i="32" s="1"/>
  <c r="AA54" i="30"/>
  <c r="Z54" i="30"/>
  <c r="Y54" i="30"/>
  <c r="X54" i="30"/>
  <c r="W54" i="30"/>
  <c r="V54" i="30"/>
  <c r="U54" i="30"/>
  <c r="S54" i="30"/>
  <c r="R54" i="30"/>
  <c r="Q54" i="30"/>
  <c r="P54" i="30"/>
  <c r="O54" i="30"/>
  <c r="N54" i="30"/>
  <c r="M54" i="30"/>
  <c r="L54" i="30"/>
  <c r="K54" i="30"/>
  <c r="K54" i="32" s="1"/>
  <c r="J54" i="30"/>
  <c r="I54" i="30"/>
  <c r="H54" i="30"/>
  <c r="H54" i="32" s="1"/>
  <c r="G54" i="30"/>
  <c r="F54" i="30"/>
  <c r="E54" i="30"/>
  <c r="D54" i="30"/>
  <c r="C54" i="30"/>
  <c r="C54" i="32" s="1"/>
  <c r="AJ53" i="30"/>
  <c r="AI53" i="30"/>
  <c r="AI53" i="32" s="1"/>
  <c r="AH53" i="30"/>
  <c r="AG53" i="30"/>
  <c r="AG53" i="32" s="1"/>
  <c r="AF53" i="30"/>
  <c r="AE53" i="30"/>
  <c r="AE53" i="32" s="1"/>
  <c r="AD53" i="30"/>
  <c r="AD53" i="32" s="1"/>
  <c r="AC53" i="30"/>
  <c r="AC53" i="32" s="1"/>
  <c r="AB53" i="30"/>
  <c r="AB53" i="32" s="1"/>
  <c r="AA53" i="30"/>
  <c r="AA53" i="32" s="1"/>
  <c r="Z53" i="30"/>
  <c r="Z53" i="32" s="1"/>
  <c r="Y53" i="30"/>
  <c r="Y53" i="32" s="1"/>
  <c r="X53" i="30"/>
  <c r="W53" i="30"/>
  <c r="V53" i="30"/>
  <c r="U53" i="30"/>
  <c r="U53" i="32" s="1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D53" i="32" s="1"/>
  <c r="C53" i="30"/>
  <c r="C53" i="32" s="1"/>
  <c r="AJ51" i="30"/>
  <c r="AI51" i="30"/>
  <c r="AI51" i="32" s="1"/>
  <c r="AH51" i="30"/>
  <c r="AG51" i="30"/>
  <c r="AG51" i="32" s="1"/>
  <c r="AF51" i="30"/>
  <c r="AF51" i="32" s="1"/>
  <c r="AE51" i="30"/>
  <c r="AE51" i="32" s="1"/>
  <c r="AD51" i="30"/>
  <c r="AD51" i="32" s="1"/>
  <c r="AC51" i="30"/>
  <c r="AB51" i="30"/>
  <c r="AA51" i="30"/>
  <c r="Z51" i="30"/>
  <c r="Y51" i="30"/>
  <c r="X51" i="30"/>
  <c r="W51" i="30"/>
  <c r="V51" i="30"/>
  <c r="V51" i="32" s="1"/>
  <c r="U51" i="30"/>
  <c r="U51" i="32" s="1"/>
  <c r="S51" i="30"/>
  <c r="R51" i="30"/>
  <c r="R51" i="32" s="1"/>
  <c r="Q51" i="30"/>
  <c r="Q51" i="32" s="1"/>
  <c r="P51" i="30"/>
  <c r="O51" i="30"/>
  <c r="O51" i="32" s="1"/>
  <c r="N51" i="30"/>
  <c r="N51" i="32" s="1"/>
  <c r="M51" i="30"/>
  <c r="M51" i="32" s="1"/>
  <c r="L51" i="30"/>
  <c r="K51" i="30"/>
  <c r="J51" i="30"/>
  <c r="I51" i="30"/>
  <c r="H51" i="30"/>
  <c r="G51" i="30"/>
  <c r="F51" i="30"/>
  <c r="E51" i="30"/>
  <c r="D51" i="30"/>
  <c r="C51" i="30"/>
  <c r="AJ50" i="30"/>
  <c r="AI50" i="30"/>
  <c r="AI50" i="32" s="1"/>
  <c r="AH50" i="30"/>
  <c r="AG50" i="30"/>
  <c r="AF50" i="30"/>
  <c r="AF50" i="32" s="1"/>
  <c r="AE50" i="30"/>
  <c r="AE50" i="32" s="1"/>
  <c r="AD50" i="30"/>
  <c r="AD50" i="32" s="1"/>
  <c r="AC50" i="30"/>
  <c r="AC50" i="32" s="1"/>
  <c r="AB50" i="30"/>
  <c r="AB50" i="32" s="1"/>
  <c r="AA50" i="30"/>
  <c r="Z50" i="30"/>
  <c r="Y50" i="30"/>
  <c r="X50" i="30"/>
  <c r="W50" i="30"/>
  <c r="W50" i="32" s="1"/>
  <c r="V50" i="30"/>
  <c r="U50" i="30"/>
  <c r="S50" i="30"/>
  <c r="R50" i="30"/>
  <c r="Q50" i="30"/>
  <c r="P50" i="30"/>
  <c r="O50" i="30"/>
  <c r="O50" i="32" s="1"/>
  <c r="N50" i="30"/>
  <c r="N50" i="32" s="1"/>
  <c r="M50" i="30"/>
  <c r="L50" i="30"/>
  <c r="K50" i="30"/>
  <c r="K50" i="32" s="1"/>
  <c r="J50" i="30"/>
  <c r="J50" i="32" s="1"/>
  <c r="I50" i="30"/>
  <c r="H50" i="30"/>
  <c r="G50" i="30"/>
  <c r="F50" i="30"/>
  <c r="F50" i="32" s="1"/>
  <c r="E50" i="30"/>
  <c r="D50" i="30"/>
  <c r="D50" i="32" s="1"/>
  <c r="C50" i="30"/>
  <c r="AJ49" i="30"/>
  <c r="AI49" i="30"/>
  <c r="AH49" i="30"/>
  <c r="AG49" i="30"/>
  <c r="AF49" i="30"/>
  <c r="AE49" i="30"/>
  <c r="AD49" i="30"/>
  <c r="AD49" i="32" s="1"/>
  <c r="AC49" i="30"/>
  <c r="AC49" i="32" s="1"/>
  <c r="AB49" i="30"/>
  <c r="AB49" i="32" s="1"/>
  <c r="AA49" i="30"/>
  <c r="Z49" i="30"/>
  <c r="Y49" i="30"/>
  <c r="X49" i="30"/>
  <c r="X49" i="32" s="1"/>
  <c r="W49" i="30"/>
  <c r="W49" i="32" s="1"/>
  <c r="V49" i="30"/>
  <c r="V49" i="32" s="1"/>
  <c r="U49" i="30"/>
  <c r="S49" i="30"/>
  <c r="R49" i="30"/>
  <c r="Q49" i="30"/>
  <c r="P49" i="30"/>
  <c r="P49" i="32" s="1"/>
  <c r="O49" i="30"/>
  <c r="N49" i="30"/>
  <c r="M49" i="30"/>
  <c r="L49" i="30"/>
  <c r="K49" i="30"/>
  <c r="J49" i="30"/>
  <c r="I49" i="30"/>
  <c r="H49" i="30"/>
  <c r="G49" i="30"/>
  <c r="G49" i="32" s="1"/>
  <c r="F49" i="30"/>
  <c r="F49" i="32" s="1"/>
  <c r="E49" i="30"/>
  <c r="D49" i="30"/>
  <c r="C49" i="30"/>
  <c r="AJ48" i="30"/>
  <c r="AI48" i="30"/>
  <c r="AI48" i="32" s="1"/>
  <c r="AH48" i="30"/>
  <c r="AH48" i="32" s="1"/>
  <c r="AG48" i="30"/>
  <c r="AG48" i="32" s="1"/>
  <c r="AF48" i="30"/>
  <c r="AE48" i="30"/>
  <c r="AE48" i="32" s="1"/>
  <c r="AD48" i="30"/>
  <c r="AD48" i="32" s="1"/>
  <c r="AC48" i="30"/>
  <c r="AC48" i="32" s="1"/>
  <c r="AB48" i="30"/>
  <c r="AA48" i="30"/>
  <c r="Z48" i="30"/>
  <c r="Y48" i="30"/>
  <c r="X48" i="30"/>
  <c r="W48" i="30"/>
  <c r="W48" i="32" s="1"/>
  <c r="V48" i="30"/>
  <c r="V48" i="32" s="1"/>
  <c r="U48" i="30"/>
  <c r="U48" i="32" s="1"/>
  <c r="S48" i="30"/>
  <c r="R48" i="30"/>
  <c r="Q48" i="30"/>
  <c r="Q48" i="32" s="1"/>
  <c r="P48" i="30"/>
  <c r="O48" i="30"/>
  <c r="N48" i="30"/>
  <c r="M48" i="30"/>
  <c r="L48" i="30"/>
  <c r="K48" i="30"/>
  <c r="J48" i="30"/>
  <c r="I48" i="30"/>
  <c r="H48" i="30"/>
  <c r="H48" i="32" s="1"/>
  <c r="G48" i="30"/>
  <c r="F48" i="30"/>
  <c r="E48" i="30"/>
  <c r="D48" i="30"/>
  <c r="C48" i="30"/>
  <c r="AJ46" i="30"/>
  <c r="AI46" i="30"/>
  <c r="AI46" i="32" s="1"/>
  <c r="AH46" i="30"/>
  <c r="AH46" i="32" s="1"/>
  <c r="AG46" i="30"/>
  <c r="AF46" i="30"/>
  <c r="AE46" i="30"/>
  <c r="AD46" i="30"/>
  <c r="AD46" i="32" s="1"/>
  <c r="AC46" i="30"/>
  <c r="AB46" i="30"/>
  <c r="AA46" i="30"/>
  <c r="Z46" i="30"/>
  <c r="Z46" i="32" s="1"/>
  <c r="Y46" i="30"/>
  <c r="X46" i="30"/>
  <c r="X46" i="32" s="1"/>
  <c r="W46" i="30"/>
  <c r="W46" i="32" s="1"/>
  <c r="V46" i="30"/>
  <c r="V46" i="32" s="1"/>
  <c r="U46" i="30"/>
  <c r="S46" i="30"/>
  <c r="S46" i="32" s="1"/>
  <c r="R46" i="30"/>
  <c r="Q46" i="30"/>
  <c r="P46" i="30"/>
  <c r="O46" i="30"/>
  <c r="N46" i="30"/>
  <c r="M46" i="30"/>
  <c r="L46" i="30"/>
  <c r="K46" i="30"/>
  <c r="J46" i="30"/>
  <c r="I46" i="30"/>
  <c r="I46" i="32" s="1"/>
  <c r="H46" i="30"/>
  <c r="H46" i="32" s="1"/>
  <c r="G46" i="30"/>
  <c r="F46" i="30"/>
  <c r="F46" i="32" s="1"/>
  <c r="E46" i="30"/>
  <c r="D46" i="30"/>
  <c r="C46" i="30"/>
  <c r="AJ45" i="30"/>
  <c r="AJ45" i="32" s="1"/>
  <c r="AI45" i="30"/>
  <c r="AH45" i="30"/>
  <c r="AG45" i="30"/>
  <c r="AF45" i="30"/>
  <c r="AE45" i="30"/>
  <c r="AD45" i="30"/>
  <c r="AC45" i="30"/>
  <c r="AB45" i="30"/>
  <c r="AA45" i="30"/>
  <c r="AA45" i="32" s="1"/>
  <c r="Z45" i="30"/>
  <c r="Z45" i="32" s="1"/>
  <c r="Y45" i="30"/>
  <c r="X45" i="30"/>
  <c r="X45" i="32" s="1"/>
  <c r="W45" i="30"/>
  <c r="W45" i="32" s="1"/>
  <c r="V45" i="30"/>
  <c r="U45" i="30"/>
  <c r="U45" i="32" s="1"/>
  <c r="S45" i="30"/>
  <c r="S45" i="32" s="1"/>
  <c r="R45" i="30"/>
  <c r="R45" i="32" s="1"/>
  <c r="Q45" i="30"/>
  <c r="P45" i="30"/>
  <c r="O45" i="30"/>
  <c r="N45" i="30"/>
  <c r="M45" i="30"/>
  <c r="L45" i="30"/>
  <c r="K45" i="30"/>
  <c r="J45" i="30"/>
  <c r="I45" i="30"/>
  <c r="H45" i="30"/>
  <c r="G45" i="30"/>
  <c r="G45" i="32" s="1"/>
  <c r="F45" i="30"/>
  <c r="F45" i="32" s="1"/>
  <c r="E45" i="30"/>
  <c r="D45" i="30"/>
  <c r="D45" i="32" s="1"/>
  <c r="C45" i="30"/>
  <c r="C45" i="32" s="1"/>
  <c r="AJ44" i="30"/>
  <c r="AI44" i="30"/>
  <c r="AH44" i="30"/>
  <c r="AG44" i="30"/>
  <c r="AG44" i="32" s="1"/>
  <c r="AF44" i="30"/>
  <c r="AE44" i="30"/>
  <c r="AD44" i="30"/>
  <c r="AC44" i="30"/>
  <c r="AB44" i="30"/>
  <c r="AB44" i="32" s="1"/>
  <c r="AA44" i="30"/>
  <c r="Z44" i="30"/>
  <c r="Y44" i="30"/>
  <c r="X44" i="30"/>
  <c r="W44" i="30"/>
  <c r="V44" i="30"/>
  <c r="V44" i="32" s="1"/>
  <c r="U44" i="30"/>
  <c r="U44" i="32" s="1"/>
  <c r="S44" i="30"/>
  <c r="S44" i="32" s="1"/>
  <c r="R44" i="30"/>
  <c r="R44" i="32" s="1"/>
  <c r="Q44" i="30"/>
  <c r="Q44" i="32" s="1"/>
  <c r="P44" i="30"/>
  <c r="O44" i="30"/>
  <c r="N44" i="30"/>
  <c r="M44" i="30"/>
  <c r="L44" i="30"/>
  <c r="K44" i="30"/>
  <c r="K44" i="32" s="1"/>
  <c r="J44" i="30"/>
  <c r="I44" i="30"/>
  <c r="I44" i="32" s="1"/>
  <c r="H44" i="30"/>
  <c r="G44" i="30"/>
  <c r="G44" i="32" s="1"/>
  <c r="F44" i="30"/>
  <c r="E44" i="30"/>
  <c r="D44" i="30"/>
  <c r="C44" i="30"/>
  <c r="AJ43" i="30"/>
  <c r="AI43" i="30"/>
  <c r="AH43" i="30"/>
  <c r="AH43" i="32" s="1"/>
  <c r="AG43" i="30"/>
  <c r="AG43" i="32" s="1"/>
  <c r="AF43" i="30"/>
  <c r="AE43" i="30"/>
  <c r="AD43" i="30"/>
  <c r="AC43" i="30"/>
  <c r="AC43" i="32" s="1"/>
  <c r="AB43" i="30"/>
  <c r="AB43" i="32" s="1"/>
  <c r="AA43" i="30"/>
  <c r="AA43" i="32" s="1"/>
  <c r="Z43" i="30"/>
  <c r="Z43" i="32" s="1"/>
  <c r="Y43" i="30"/>
  <c r="X43" i="30"/>
  <c r="W43" i="30"/>
  <c r="V43" i="30"/>
  <c r="V43" i="32" s="1"/>
  <c r="U43" i="30"/>
  <c r="U43" i="32" s="1"/>
  <c r="S43" i="30"/>
  <c r="R43" i="30"/>
  <c r="R43" i="32" s="1"/>
  <c r="Q43" i="30"/>
  <c r="P43" i="30"/>
  <c r="O43" i="30"/>
  <c r="N43" i="30"/>
  <c r="M43" i="30"/>
  <c r="L43" i="30"/>
  <c r="L43" i="32" s="1"/>
  <c r="K43" i="30"/>
  <c r="K43" i="32" s="1"/>
  <c r="J43" i="30"/>
  <c r="I43" i="30"/>
  <c r="H43" i="30"/>
  <c r="G43" i="30"/>
  <c r="F43" i="30"/>
  <c r="F43" i="32" s="1"/>
  <c r="E43" i="30"/>
  <c r="E43" i="32" s="1"/>
  <c r="D43" i="30"/>
  <c r="C43" i="30"/>
  <c r="AJ41" i="30"/>
  <c r="AI41" i="30"/>
  <c r="AH41" i="30"/>
  <c r="AG41" i="30"/>
  <c r="AF41" i="30"/>
  <c r="AE41" i="30"/>
  <c r="AD41" i="30"/>
  <c r="AC41" i="30"/>
  <c r="AB41" i="30"/>
  <c r="AA41" i="30"/>
  <c r="AA41" i="32" s="1"/>
  <c r="Z41" i="30"/>
  <c r="Z41" i="32" s="1"/>
  <c r="Y41" i="30"/>
  <c r="X41" i="30"/>
  <c r="X41" i="32" s="1"/>
  <c r="W41" i="30"/>
  <c r="W41" i="32" s="1"/>
  <c r="V41" i="30"/>
  <c r="U41" i="30"/>
  <c r="U41" i="32" s="1"/>
  <c r="S41" i="30"/>
  <c r="S41" i="32" s="1"/>
  <c r="R41" i="30"/>
  <c r="R41" i="32" s="1"/>
  <c r="Q41" i="30"/>
  <c r="P41" i="30"/>
  <c r="O41" i="30"/>
  <c r="N41" i="30"/>
  <c r="M41" i="30"/>
  <c r="M41" i="32" s="1"/>
  <c r="L41" i="30"/>
  <c r="K41" i="30"/>
  <c r="J41" i="30"/>
  <c r="I41" i="30"/>
  <c r="H41" i="30"/>
  <c r="G41" i="30"/>
  <c r="F41" i="30"/>
  <c r="F41" i="32" s="1"/>
  <c r="E41" i="30"/>
  <c r="E41" i="32" s="1"/>
  <c r="D41" i="30"/>
  <c r="C41" i="30"/>
  <c r="AJ40" i="30"/>
  <c r="AI40" i="30"/>
  <c r="AI40" i="32" s="1"/>
  <c r="AH40" i="30"/>
  <c r="AG40" i="30"/>
  <c r="AF40" i="30"/>
  <c r="AE40" i="30"/>
  <c r="AE40" i="32" s="1"/>
  <c r="AD40" i="30"/>
  <c r="AC40" i="30"/>
  <c r="AB40" i="30"/>
  <c r="AA40" i="30"/>
  <c r="Z40" i="30"/>
  <c r="Y40" i="30"/>
  <c r="X40" i="30"/>
  <c r="W40" i="30"/>
  <c r="V40" i="30"/>
  <c r="U40" i="30"/>
  <c r="S40" i="30"/>
  <c r="S40" i="32" s="1"/>
  <c r="R40" i="30"/>
  <c r="R40" i="32" s="1"/>
  <c r="Q40" i="30"/>
  <c r="P40" i="30"/>
  <c r="O40" i="30"/>
  <c r="N40" i="30"/>
  <c r="N40" i="32" s="1"/>
  <c r="M40" i="30"/>
  <c r="M40" i="32" s="1"/>
  <c r="L40" i="30"/>
  <c r="L40" i="32" s="1"/>
  <c r="K40" i="30"/>
  <c r="K40" i="32" s="1"/>
  <c r="J40" i="30"/>
  <c r="J40" i="32" s="1"/>
  <c r="I40" i="30"/>
  <c r="H40" i="30"/>
  <c r="G40" i="30"/>
  <c r="G40" i="32" s="1"/>
  <c r="F40" i="30"/>
  <c r="E40" i="30"/>
  <c r="D40" i="30"/>
  <c r="C40" i="30"/>
  <c r="AJ39" i="30"/>
  <c r="AI39" i="30"/>
  <c r="AH39" i="30"/>
  <c r="AG39" i="30"/>
  <c r="AF39" i="30"/>
  <c r="AF39" i="32" s="1"/>
  <c r="AE39" i="30"/>
  <c r="AE39" i="32" s="1"/>
  <c r="AD39" i="30"/>
  <c r="AC39" i="30"/>
  <c r="AB39" i="30"/>
  <c r="AA39" i="30"/>
  <c r="Z39" i="30"/>
  <c r="Y39" i="30"/>
  <c r="Y39" i="32" s="1"/>
  <c r="X39" i="30"/>
  <c r="X39" i="32" s="1"/>
  <c r="W39" i="30"/>
  <c r="V39" i="30"/>
  <c r="U39" i="30"/>
  <c r="S39" i="30"/>
  <c r="R39" i="30"/>
  <c r="Q39" i="30"/>
  <c r="P39" i="30"/>
  <c r="O39" i="30"/>
  <c r="N39" i="30"/>
  <c r="M39" i="30"/>
  <c r="M39" i="32" s="1"/>
  <c r="L39" i="30"/>
  <c r="L39" i="32" s="1"/>
  <c r="K39" i="30"/>
  <c r="K39" i="32" s="1"/>
  <c r="J39" i="30"/>
  <c r="I39" i="30"/>
  <c r="I39" i="32" s="1"/>
  <c r="H39" i="30"/>
  <c r="H39" i="32" s="1"/>
  <c r="G39" i="30"/>
  <c r="G39" i="32" s="1"/>
  <c r="F39" i="30"/>
  <c r="E39" i="30"/>
  <c r="E39" i="32" s="1"/>
  <c r="D39" i="30"/>
  <c r="D39" i="32" s="1"/>
  <c r="C39" i="30"/>
  <c r="AJ38" i="30"/>
  <c r="AI38" i="30"/>
  <c r="AH38" i="30"/>
  <c r="AG38" i="30"/>
  <c r="AG38" i="32" s="1"/>
  <c r="AF38" i="30"/>
  <c r="AE38" i="30"/>
  <c r="AD38" i="30"/>
  <c r="AC38" i="30"/>
  <c r="AB38" i="30"/>
  <c r="AA38" i="30"/>
  <c r="Z38" i="30"/>
  <c r="Z38" i="32" s="1"/>
  <c r="Y38" i="30"/>
  <c r="Y38" i="32" s="1"/>
  <c r="X38" i="30"/>
  <c r="W38" i="30"/>
  <c r="V38" i="30"/>
  <c r="U38" i="30"/>
  <c r="U38" i="32" s="1"/>
  <c r="S38" i="30"/>
  <c r="R38" i="30"/>
  <c r="Q38" i="30"/>
  <c r="P38" i="30"/>
  <c r="P38" i="32" s="1"/>
  <c r="O38" i="30"/>
  <c r="N38" i="30"/>
  <c r="M38" i="30"/>
  <c r="M38" i="32" s="1"/>
  <c r="L38" i="30"/>
  <c r="L38" i="32" s="1"/>
  <c r="K38" i="30"/>
  <c r="J38" i="30"/>
  <c r="I38" i="30"/>
  <c r="H38" i="30"/>
  <c r="G38" i="30"/>
  <c r="F38" i="30"/>
  <c r="E38" i="30"/>
  <c r="E38" i="32" s="1"/>
  <c r="D38" i="30"/>
  <c r="D38" i="32" s="1"/>
  <c r="C38" i="30"/>
  <c r="AJ35" i="30"/>
  <c r="AI35" i="30"/>
  <c r="AH35" i="30"/>
  <c r="AH35" i="32" s="1"/>
  <c r="AG35" i="30"/>
  <c r="AG35" i="32" s="1"/>
  <c r="AF35" i="30"/>
  <c r="AF35" i="32" s="1"/>
  <c r="AE35" i="30"/>
  <c r="AE35" i="32" s="1"/>
  <c r="AD35" i="30"/>
  <c r="AC35" i="30"/>
  <c r="AB35" i="30"/>
  <c r="AA35" i="30"/>
  <c r="AA35" i="32" s="1"/>
  <c r="Z35" i="30"/>
  <c r="Y35" i="30"/>
  <c r="X35" i="30"/>
  <c r="W35" i="30"/>
  <c r="V35" i="30"/>
  <c r="U35" i="30"/>
  <c r="S35" i="30"/>
  <c r="R35" i="30"/>
  <c r="Q35" i="30"/>
  <c r="Q35" i="32" s="1"/>
  <c r="P35" i="30"/>
  <c r="P35" i="32" s="1"/>
  <c r="O35" i="30"/>
  <c r="N35" i="30"/>
  <c r="M35" i="30"/>
  <c r="M35" i="32" s="1"/>
  <c r="L35" i="30"/>
  <c r="K35" i="30"/>
  <c r="K35" i="32" s="1"/>
  <c r="J35" i="30"/>
  <c r="J35" i="32" s="1"/>
  <c r="I35" i="30"/>
  <c r="I35" i="32" s="1"/>
  <c r="H35" i="30"/>
  <c r="G35" i="30"/>
  <c r="G35" i="32" s="1"/>
  <c r="F35" i="30"/>
  <c r="E35" i="30"/>
  <c r="E35" i="32" s="1"/>
  <c r="D35" i="30"/>
  <c r="C35" i="30"/>
  <c r="AJ34" i="30"/>
  <c r="AI34" i="30"/>
  <c r="AH34" i="30"/>
  <c r="AG34" i="30"/>
  <c r="AF34" i="30"/>
  <c r="AE34" i="30"/>
  <c r="AD34" i="30"/>
  <c r="AC34" i="30"/>
  <c r="AC34" i="32" s="1"/>
  <c r="AB34" i="30"/>
  <c r="AB34" i="32" s="1"/>
  <c r="AA34" i="30"/>
  <c r="AA34" i="32" s="1"/>
  <c r="Z34" i="30"/>
  <c r="Y34" i="30"/>
  <c r="Y34" i="32" s="1"/>
  <c r="X34" i="30"/>
  <c r="X34" i="32" s="1"/>
  <c r="W34" i="30"/>
  <c r="V34" i="30"/>
  <c r="U34" i="30"/>
  <c r="S34" i="30"/>
  <c r="R34" i="30"/>
  <c r="R34" i="32" s="1"/>
  <c r="Q34" i="30"/>
  <c r="P34" i="30"/>
  <c r="O34" i="30"/>
  <c r="N34" i="30"/>
  <c r="M34" i="30"/>
  <c r="L34" i="30"/>
  <c r="K34" i="30"/>
  <c r="K34" i="32" s="1"/>
  <c r="J34" i="30"/>
  <c r="J34" i="32" s="1"/>
  <c r="I34" i="30"/>
  <c r="I34" i="32" s="1"/>
  <c r="H34" i="30"/>
  <c r="H34" i="32" s="1"/>
  <c r="G34" i="30"/>
  <c r="G34" i="32" s="1"/>
  <c r="F34" i="30"/>
  <c r="E34" i="30"/>
  <c r="D34" i="30"/>
  <c r="C34" i="30"/>
  <c r="AJ33" i="30"/>
  <c r="AJ33" i="32" s="1"/>
  <c r="AI33" i="30"/>
  <c r="AH33" i="30"/>
  <c r="AG33" i="30"/>
  <c r="AF33" i="30"/>
  <c r="AF33" i="32" s="1"/>
  <c r="AE33" i="30"/>
  <c r="AD33" i="30"/>
  <c r="AC33" i="30"/>
  <c r="AB33" i="30"/>
  <c r="AA33" i="30"/>
  <c r="Z33" i="30"/>
  <c r="Y33" i="30"/>
  <c r="X33" i="30"/>
  <c r="X33" i="32" s="1"/>
  <c r="W33" i="30"/>
  <c r="V33" i="30"/>
  <c r="U33" i="30"/>
  <c r="S33" i="30"/>
  <c r="S33" i="32" s="1"/>
  <c r="R33" i="30"/>
  <c r="R33" i="32" s="1"/>
  <c r="Q33" i="30"/>
  <c r="Q33" i="32" s="1"/>
  <c r="P33" i="30"/>
  <c r="P33" i="32" s="1"/>
  <c r="O33" i="30"/>
  <c r="O33" i="32" s="1"/>
  <c r="N33" i="30"/>
  <c r="M33" i="30"/>
  <c r="L33" i="30"/>
  <c r="L33" i="32" s="1"/>
  <c r="K33" i="30"/>
  <c r="J33" i="30"/>
  <c r="I33" i="30"/>
  <c r="I33" i="32" s="1"/>
  <c r="H33" i="30"/>
  <c r="G33" i="30"/>
  <c r="G33" i="32" s="1"/>
  <c r="F33" i="30"/>
  <c r="E33" i="30"/>
  <c r="D33" i="30"/>
  <c r="C33" i="30"/>
  <c r="C33" i="32" s="1"/>
  <c r="AJ31" i="30"/>
  <c r="AJ31" i="32" s="1"/>
  <c r="AI31" i="30"/>
  <c r="AH31" i="30"/>
  <c r="AH31" i="32" s="1"/>
  <c r="AG31" i="30"/>
  <c r="AF31" i="30"/>
  <c r="AE31" i="30"/>
  <c r="AD31" i="30"/>
  <c r="AD31" i="32" s="1"/>
  <c r="AC31" i="30"/>
  <c r="AB31" i="30"/>
  <c r="AA31" i="30"/>
  <c r="AA31" i="32" s="1"/>
  <c r="Z31" i="30"/>
  <c r="Y31" i="30"/>
  <c r="Y31" i="32" s="1"/>
  <c r="X31" i="30"/>
  <c r="W31" i="30"/>
  <c r="V31" i="30"/>
  <c r="U31" i="30"/>
  <c r="S31" i="30"/>
  <c r="R31" i="30"/>
  <c r="Q31" i="30"/>
  <c r="P31" i="30"/>
  <c r="P31" i="32" s="1"/>
  <c r="O31" i="30"/>
  <c r="N31" i="30"/>
  <c r="N31" i="32" s="1"/>
  <c r="M31" i="30"/>
  <c r="M31" i="32" s="1"/>
  <c r="L31" i="30"/>
  <c r="L31" i="32" s="1"/>
  <c r="K31" i="30"/>
  <c r="J31" i="30"/>
  <c r="J31" i="32" s="1"/>
  <c r="I31" i="30"/>
  <c r="I31" i="32" s="1"/>
  <c r="H31" i="30"/>
  <c r="H31" i="32" s="1"/>
  <c r="G31" i="30"/>
  <c r="F31" i="30"/>
  <c r="E31" i="30"/>
  <c r="D31" i="30"/>
  <c r="D31" i="32" s="1"/>
  <c r="C31" i="30"/>
  <c r="C31" i="32" s="1"/>
  <c r="AJ30" i="30"/>
  <c r="AI30" i="30"/>
  <c r="AH30" i="30"/>
  <c r="AG30" i="30"/>
  <c r="AF30" i="30"/>
  <c r="AE30" i="30"/>
  <c r="AE30" i="32" s="1"/>
  <c r="AD30" i="30"/>
  <c r="AC30" i="30"/>
  <c r="AB30" i="30"/>
  <c r="AA30" i="30"/>
  <c r="Z30" i="30"/>
  <c r="Y30" i="30"/>
  <c r="X30" i="30"/>
  <c r="W30" i="30"/>
  <c r="V30" i="30"/>
  <c r="V30" i="32" s="1"/>
  <c r="U30" i="30"/>
  <c r="S30" i="30"/>
  <c r="S30" i="32" s="1"/>
  <c r="R30" i="30"/>
  <c r="Q30" i="30"/>
  <c r="Q30" i="32" s="1"/>
  <c r="P30" i="30"/>
  <c r="O30" i="30"/>
  <c r="N30" i="30"/>
  <c r="M30" i="30"/>
  <c r="L30" i="30"/>
  <c r="K30" i="30"/>
  <c r="J30" i="30"/>
  <c r="J30" i="32" s="1"/>
  <c r="I30" i="30"/>
  <c r="I30" i="32" s="1"/>
  <c r="H30" i="30"/>
  <c r="G30" i="30"/>
  <c r="F30" i="30"/>
  <c r="E30" i="30"/>
  <c r="E30" i="32" s="1"/>
  <c r="D30" i="30"/>
  <c r="D30" i="32" s="1"/>
  <c r="C30" i="30"/>
  <c r="C30" i="32" s="1"/>
  <c r="AJ29" i="30"/>
  <c r="AJ29" i="32" s="1"/>
  <c r="AI29" i="30"/>
  <c r="AI29" i="32" s="1"/>
  <c r="AH29" i="30"/>
  <c r="AG29" i="30"/>
  <c r="AF29" i="30"/>
  <c r="AF29" i="32" s="1"/>
  <c r="AE29" i="30"/>
  <c r="AD29" i="30"/>
  <c r="AC29" i="30"/>
  <c r="AB29" i="30"/>
  <c r="AA29" i="30"/>
  <c r="Z29" i="30"/>
  <c r="Y29" i="30"/>
  <c r="X29" i="30"/>
  <c r="W29" i="30"/>
  <c r="W29" i="32" s="1"/>
  <c r="V29" i="30"/>
  <c r="V29" i="32" s="1"/>
  <c r="U29" i="30"/>
  <c r="S29" i="30"/>
  <c r="S29" i="32" s="1"/>
  <c r="R29" i="30"/>
  <c r="Q29" i="30"/>
  <c r="P29" i="30"/>
  <c r="O29" i="30"/>
  <c r="O29" i="32" s="1"/>
  <c r="N29" i="30"/>
  <c r="N29" i="32" s="1"/>
  <c r="M29" i="30"/>
  <c r="L29" i="30"/>
  <c r="K29" i="30"/>
  <c r="J29" i="30"/>
  <c r="I29" i="30"/>
  <c r="H29" i="30"/>
  <c r="G29" i="30"/>
  <c r="F29" i="30"/>
  <c r="E29" i="30"/>
  <c r="D29" i="30"/>
  <c r="C29" i="30"/>
  <c r="C29" i="32" s="1"/>
  <c r="AJ28" i="30"/>
  <c r="AJ28" i="32" s="1"/>
  <c r="AI28" i="30"/>
  <c r="AH28" i="30"/>
  <c r="AH28" i="32" s="1"/>
  <c r="AG28" i="30"/>
  <c r="AG28" i="32" s="1"/>
  <c r="AF28" i="30"/>
  <c r="AF28" i="32" s="1"/>
  <c r="AE28" i="30"/>
  <c r="AD28" i="30"/>
  <c r="AD28" i="32" s="1"/>
  <c r="AC28" i="30"/>
  <c r="AC28" i="32" s="1"/>
  <c r="AB28" i="30"/>
  <c r="AA28" i="30"/>
  <c r="Z28" i="30"/>
  <c r="Y28" i="30"/>
  <c r="X28" i="30"/>
  <c r="X28" i="32" s="1"/>
  <c r="W28" i="30"/>
  <c r="W28" i="32" s="1"/>
  <c r="V28" i="30"/>
  <c r="U28" i="30"/>
  <c r="S28" i="30"/>
  <c r="R28" i="30"/>
  <c r="Q28" i="30"/>
  <c r="P28" i="30"/>
  <c r="P28" i="32" s="1"/>
  <c r="O28" i="30"/>
  <c r="O28" i="32" s="1"/>
  <c r="N28" i="30"/>
  <c r="M28" i="30"/>
  <c r="L28" i="30"/>
  <c r="L28" i="32" s="1"/>
  <c r="K28" i="30"/>
  <c r="K28" i="32" s="1"/>
  <c r="J28" i="30"/>
  <c r="I28" i="30"/>
  <c r="H28" i="30"/>
  <c r="G28" i="30"/>
  <c r="G28" i="32" s="1"/>
  <c r="F28" i="30"/>
  <c r="E28" i="30"/>
  <c r="D28" i="30"/>
  <c r="C28" i="30"/>
  <c r="AJ26" i="30"/>
  <c r="AI26" i="30"/>
  <c r="AH26" i="30"/>
  <c r="AG26" i="30"/>
  <c r="AG26" i="32" s="1"/>
  <c r="AF26" i="30"/>
  <c r="AE26" i="30"/>
  <c r="AE26" i="32" s="1"/>
  <c r="AD26" i="30"/>
  <c r="AD26" i="32" s="1"/>
  <c r="AC26" i="30"/>
  <c r="AC26" i="32" s="1"/>
  <c r="AB26" i="30"/>
  <c r="AA26" i="30"/>
  <c r="Z26" i="30"/>
  <c r="Y26" i="30"/>
  <c r="Y26" i="32" s="1"/>
  <c r="X26" i="30"/>
  <c r="X26" i="32" s="1"/>
  <c r="W26" i="30"/>
  <c r="W26" i="32" s="1"/>
  <c r="V26" i="30"/>
  <c r="V26" i="32" s="1"/>
  <c r="U26" i="30"/>
  <c r="S26" i="30"/>
  <c r="R26" i="30"/>
  <c r="Q26" i="30"/>
  <c r="Q26" i="32" s="1"/>
  <c r="P26" i="30"/>
  <c r="O26" i="30"/>
  <c r="N26" i="30"/>
  <c r="M26" i="30"/>
  <c r="L26" i="30"/>
  <c r="K26" i="30"/>
  <c r="J26" i="30"/>
  <c r="I26" i="30"/>
  <c r="H26" i="30"/>
  <c r="H26" i="32" s="1"/>
  <c r="G26" i="30"/>
  <c r="G26" i="32" s="1"/>
  <c r="F26" i="30"/>
  <c r="E26" i="30"/>
  <c r="D26" i="30"/>
  <c r="C26" i="30"/>
  <c r="AJ25" i="30"/>
  <c r="AJ25" i="32" s="1"/>
  <c r="AI25" i="30"/>
  <c r="AI25" i="32" s="1"/>
  <c r="AH25" i="30"/>
  <c r="AH25" i="32" s="1"/>
  <c r="AG25" i="30"/>
  <c r="AF25" i="30"/>
  <c r="AE25" i="30"/>
  <c r="AD25" i="30"/>
  <c r="AD25" i="32" s="1"/>
  <c r="AC25" i="30"/>
  <c r="AB25" i="30"/>
  <c r="AA25" i="30"/>
  <c r="Z25" i="30"/>
  <c r="Y25" i="30"/>
  <c r="X25" i="30"/>
  <c r="W25" i="30"/>
  <c r="V25" i="30"/>
  <c r="V25" i="32" s="1"/>
  <c r="U25" i="30"/>
  <c r="S25" i="30"/>
  <c r="S25" i="32" s="1"/>
  <c r="R25" i="30"/>
  <c r="R25" i="32" s="1"/>
  <c r="Q25" i="30"/>
  <c r="Q25" i="32" s="1"/>
  <c r="P25" i="30"/>
  <c r="P25" i="32" s="1"/>
  <c r="O25" i="30"/>
  <c r="N25" i="30"/>
  <c r="N25" i="32" s="1"/>
  <c r="M25" i="30"/>
  <c r="L25" i="30"/>
  <c r="K25" i="30"/>
  <c r="J25" i="30"/>
  <c r="I25" i="30"/>
  <c r="I25" i="32" s="1"/>
  <c r="H25" i="30"/>
  <c r="H25" i="32" s="1"/>
  <c r="G25" i="30"/>
  <c r="F25" i="30"/>
  <c r="E25" i="30"/>
  <c r="D25" i="30"/>
  <c r="C25" i="30"/>
  <c r="AJ24" i="30"/>
  <c r="AJ24" i="32" s="1"/>
  <c r="AI24" i="30"/>
  <c r="AI24" i="32" s="1"/>
  <c r="AH24" i="30"/>
  <c r="AG24" i="30"/>
  <c r="AF24" i="30"/>
  <c r="AF24" i="32" s="1"/>
  <c r="AE24" i="30"/>
  <c r="AE24" i="32" s="1"/>
  <c r="AD24" i="30"/>
  <c r="AC24" i="30"/>
  <c r="AB24" i="30"/>
  <c r="AA24" i="30"/>
  <c r="AA24" i="32" s="1"/>
  <c r="Z24" i="30"/>
  <c r="Y24" i="30"/>
  <c r="X24" i="30"/>
  <c r="X24" i="32" s="1"/>
  <c r="W24" i="30"/>
  <c r="W24" i="32" s="1"/>
  <c r="V24" i="30"/>
  <c r="U24" i="30"/>
  <c r="S24" i="30"/>
  <c r="R24" i="30"/>
  <c r="Q24" i="30"/>
  <c r="P24" i="30"/>
  <c r="O24" i="30"/>
  <c r="O24" i="32" s="1"/>
  <c r="N24" i="30"/>
  <c r="N24" i="32" s="1"/>
  <c r="M24" i="30"/>
  <c r="L24" i="30"/>
  <c r="K24" i="30"/>
  <c r="J24" i="30"/>
  <c r="J24" i="32" s="1"/>
  <c r="I24" i="30"/>
  <c r="I24" i="32" s="1"/>
  <c r="H24" i="30"/>
  <c r="H24" i="32" s="1"/>
  <c r="G24" i="30"/>
  <c r="G24" i="32" s="1"/>
  <c r="F24" i="30"/>
  <c r="E24" i="30"/>
  <c r="D24" i="30"/>
  <c r="C24" i="30"/>
  <c r="C24" i="32" s="1"/>
  <c r="AJ21" i="30"/>
  <c r="AI21" i="30"/>
  <c r="AH21" i="30"/>
  <c r="AG21" i="30"/>
  <c r="AF21" i="30"/>
  <c r="AE21" i="30"/>
  <c r="AD21" i="30"/>
  <c r="AC21" i="30"/>
  <c r="AB21" i="30"/>
  <c r="AB21" i="32" s="1"/>
  <c r="AA21" i="30"/>
  <c r="AA21" i="32" s="1"/>
  <c r="Z21" i="30"/>
  <c r="Y21" i="30"/>
  <c r="Y21" i="32" s="1"/>
  <c r="X21" i="30"/>
  <c r="W21" i="30"/>
  <c r="V21" i="30"/>
  <c r="V21" i="32" s="1"/>
  <c r="U21" i="30"/>
  <c r="U21" i="32" s="1"/>
  <c r="S21" i="30"/>
  <c r="S21" i="32" s="1"/>
  <c r="R21" i="30"/>
  <c r="Q21" i="30"/>
  <c r="P21" i="30"/>
  <c r="O21" i="30"/>
  <c r="N21" i="30"/>
  <c r="M21" i="30"/>
  <c r="L21" i="30"/>
  <c r="K21" i="30"/>
  <c r="J21" i="30"/>
  <c r="I21" i="30"/>
  <c r="H21" i="30"/>
  <c r="H21" i="32" s="1"/>
  <c r="G21" i="30"/>
  <c r="G21" i="32" s="1"/>
  <c r="F21" i="30"/>
  <c r="E21" i="30"/>
  <c r="E21" i="32" s="1"/>
  <c r="D21" i="30"/>
  <c r="D21" i="32" s="1"/>
  <c r="C21" i="30"/>
  <c r="C21" i="32" s="1"/>
  <c r="AJ20" i="30"/>
  <c r="AI20" i="30"/>
  <c r="AH20" i="30"/>
  <c r="AG20" i="30"/>
  <c r="AF20" i="30"/>
  <c r="AE20" i="30"/>
  <c r="AD20" i="30"/>
  <c r="AC20" i="30"/>
  <c r="AC20" i="32" s="1"/>
  <c r="AB20" i="30"/>
  <c r="AB20" i="32" s="1"/>
  <c r="AA20" i="30"/>
  <c r="Z20" i="30"/>
  <c r="Y20" i="30"/>
  <c r="X20" i="30"/>
  <c r="W20" i="30"/>
  <c r="V20" i="30"/>
  <c r="V20" i="32" s="1"/>
  <c r="U20" i="30"/>
  <c r="U20" i="32" s="1"/>
  <c r="S20" i="30"/>
  <c r="S20" i="32" s="1"/>
  <c r="R20" i="30"/>
  <c r="Q20" i="30"/>
  <c r="Q20" i="32" s="1"/>
  <c r="P20" i="30"/>
  <c r="P20" i="32" s="1"/>
  <c r="O20" i="30"/>
  <c r="N20" i="30"/>
  <c r="M20" i="30"/>
  <c r="L20" i="30"/>
  <c r="L20" i="32" s="1"/>
  <c r="K20" i="30"/>
  <c r="J20" i="30"/>
  <c r="I20" i="30"/>
  <c r="H20" i="30"/>
  <c r="G20" i="30"/>
  <c r="F20" i="30"/>
  <c r="E20" i="30"/>
  <c r="D20" i="30"/>
  <c r="C20" i="30"/>
  <c r="AJ19" i="30"/>
  <c r="AI19" i="30"/>
  <c r="AI19" i="32" s="1"/>
  <c r="AH19" i="30"/>
  <c r="AH19" i="32" s="1"/>
  <c r="AG19" i="30"/>
  <c r="AF19" i="30"/>
  <c r="AE19" i="30"/>
  <c r="AD19" i="30"/>
  <c r="AD19" i="32" s="1"/>
  <c r="AC19" i="30"/>
  <c r="AC19" i="32" s="1"/>
  <c r="AB19" i="30"/>
  <c r="AA19" i="30"/>
  <c r="AA19" i="32" s="1"/>
  <c r="Z19" i="30"/>
  <c r="Y19" i="30"/>
  <c r="X19" i="30"/>
  <c r="W19" i="30"/>
  <c r="W19" i="32" s="1"/>
  <c r="V19" i="30"/>
  <c r="U19" i="30"/>
  <c r="U19" i="32" s="1"/>
  <c r="S19" i="30"/>
  <c r="R19" i="30"/>
  <c r="Q19" i="30"/>
  <c r="P19" i="30"/>
  <c r="O19" i="30"/>
  <c r="N19" i="30"/>
  <c r="M19" i="30"/>
  <c r="M19" i="32" s="1"/>
  <c r="L19" i="30"/>
  <c r="L19" i="32" s="1"/>
  <c r="K19" i="30"/>
  <c r="J19" i="30"/>
  <c r="I19" i="30"/>
  <c r="H19" i="30"/>
  <c r="G19" i="30"/>
  <c r="G19" i="32" s="1"/>
  <c r="F19" i="30"/>
  <c r="F19" i="32" s="1"/>
  <c r="E19" i="30"/>
  <c r="E19" i="32" s="1"/>
  <c r="D19" i="30"/>
  <c r="C19" i="30"/>
  <c r="AJ18" i="30"/>
  <c r="AI18" i="30"/>
  <c r="AH18" i="30"/>
  <c r="AG18" i="30"/>
  <c r="AF18" i="30"/>
  <c r="AE18" i="30"/>
  <c r="AD18" i="30"/>
  <c r="AC18" i="30"/>
  <c r="AB18" i="30"/>
  <c r="AB18" i="32" s="1"/>
  <c r="AA18" i="30"/>
  <c r="AA18" i="32" s="1"/>
  <c r="Z18" i="30"/>
  <c r="Y18" i="30"/>
  <c r="Y18" i="32" s="1"/>
  <c r="X18" i="30"/>
  <c r="X18" i="32" s="1"/>
  <c r="W18" i="30"/>
  <c r="W18" i="32" s="1"/>
  <c r="V18" i="30"/>
  <c r="U18" i="30"/>
  <c r="S18" i="30"/>
  <c r="S18" i="32" s="1"/>
  <c r="R18" i="30"/>
  <c r="Q18" i="30"/>
  <c r="P18" i="30"/>
  <c r="O18" i="30"/>
  <c r="N18" i="30"/>
  <c r="N18" i="32" s="1"/>
  <c r="M18" i="30"/>
  <c r="M18" i="32" s="1"/>
  <c r="L18" i="30"/>
  <c r="L18" i="32" s="1"/>
  <c r="K18" i="30"/>
  <c r="J18" i="30"/>
  <c r="I18" i="30"/>
  <c r="H18" i="30"/>
  <c r="G18" i="30"/>
  <c r="G18" i="32" s="1"/>
  <c r="F18" i="30"/>
  <c r="F18" i="32" s="1"/>
  <c r="E18" i="30"/>
  <c r="D18" i="30"/>
  <c r="C18" i="30"/>
  <c r="C18" i="32" s="1"/>
  <c r="AJ16" i="30"/>
  <c r="AJ16" i="32" s="1"/>
  <c r="AI16" i="30"/>
  <c r="AH16" i="30"/>
  <c r="AG16" i="30"/>
  <c r="AF16" i="30"/>
  <c r="AF16" i="32" s="1"/>
  <c r="AE16" i="30"/>
  <c r="AD16" i="30"/>
  <c r="AC16" i="30"/>
  <c r="AB16" i="30"/>
  <c r="AA16" i="30"/>
  <c r="Z16" i="30"/>
  <c r="Y16" i="30"/>
  <c r="X16" i="30"/>
  <c r="W16" i="30"/>
  <c r="V16" i="30"/>
  <c r="U16" i="30"/>
  <c r="U16" i="32" s="1"/>
  <c r="S16" i="30"/>
  <c r="S16" i="32" s="1"/>
  <c r="R16" i="30"/>
  <c r="Q16" i="30"/>
  <c r="P16" i="30"/>
  <c r="O16" i="30"/>
  <c r="O16" i="32" s="1"/>
  <c r="N16" i="30"/>
  <c r="N16" i="32" s="1"/>
  <c r="M16" i="30"/>
  <c r="M16" i="32" s="1"/>
  <c r="L16" i="30"/>
  <c r="L16" i="32" s="1"/>
  <c r="K16" i="30"/>
  <c r="K16" i="32" s="1"/>
  <c r="J16" i="30"/>
  <c r="I16" i="30"/>
  <c r="H16" i="30"/>
  <c r="H16" i="32" s="1"/>
  <c r="G16" i="30"/>
  <c r="F16" i="30"/>
  <c r="E16" i="30"/>
  <c r="D16" i="30"/>
  <c r="C16" i="30"/>
  <c r="AJ15" i="30"/>
  <c r="AI15" i="30"/>
  <c r="AH15" i="30"/>
  <c r="AG15" i="30"/>
  <c r="AG15" i="32" s="1"/>
  <c r="AF15" i="30"/>
  <c r="AF15" i="32" s="1"/>
  <c r="AE15" i="30"/>
  <c r="AD15" i="30"/>
  <c r="AD15" i="32" s="1"/>
  <c r="AC15" i="30"/>
  <c r="AC15" i="32" s="1"/>
  <c r="AC17" i="32" s="1"/>
  <c r="AB15" i="30"/>
  <c r="AA15" i="30"/>
  <c r="AA15" i="32" s="1"/>
  <c r="Z15" i="30"/>
  <c r="Z15" i="32" s="1"/>
  <c r="Y15" i="30"/>
  <c r="Y15" i="32" s="1"/>
  <c r="X15" i="30"/>
  <c r="W15" i="30"/>
  <c r="V15" i="30"/>
  <c r="U15" i="30"/>
  <c r="U15" i="32" s="1"/>
  <c r="S15" i="30"/>
  <c r="S15" i="32" s="1"/>
  <c r="R15" i="30"/>
  <c r="R15" i="32" s="1"/>
  <c r="Q15" i="30"/>
  <c r="P15" i="30"/>
  <c r="O15" i="30"/>
  <c r="N15" i="30"/>
  <c r="M15" i="30"/>
  <c r="M15" i="32" s="1"/>
  <c r="L15" i="30"/>
  <c r="L15" i="32" s="1"/>
  <c r="K15" i="30"/>
  <c r="J15" i="30"/>
  <c r="I15" i="30"/>
  <c r="I15" i="32" s="1"/>
  <c r="H15" i="30"/>
  <c r="G15" i="30"/>
  <c r="F15" i="30"/>
  <c r="E15" i="30"/>
  <c r="D15" i="30"/>
  <c r="C15" i="30"/>
  <c r="AJ13" i="30"/>
  <c r="AI13" i="30"/>
  <c r="AH13" i="30"/>
  <c r="AH13" i="32" s="1"/>
  <c r="AG13" i="30"/>
  <c r="AG13" i="32" s="1"/>
  <c r="AF13" i="30"/>
  <c r="AE13" i="30"/>
  <c r="AD13" i="30"/>
  <c r="AC13" i="30"/>
  <c r="AB13" i="30"/>
  <c r="AA13" i="30"/>
  <c r="AA13" i="32" s="1"/>
  <c r="Z13" i="30"/>
  <c r="Z13" i="32" s="1"/>
  <c r="Y13" i="30"/>
  <c r="Y13" i="32" s="1"/>
  <c r="X13" i="30"/>
  <c r="W13" i="30"/>
  <c r="W13" i="32" s="1"/>
  <c r="V13" i="30"/>
  <c r="U13" i="30"/>
  <c r="S13" i="30"/>
  <c r="R13" i="30"/>
  <c r="Q13" i="30"/>
  <c r="Q13" i="32" s="1"/>
  <c r="P13" i="30"/>
  <c r="O13" i="30"/>
  <c r="O13" i="32" s="1"/>
  <c r="N13" i="30"/>
  <c r="N13" i="32" s="1"/>
  <c r="M13" i="30"/>
  <c r="M13" i="32" s="1"/>
  <c r="L13" i="30"/>
  <c r="K13" i="30"/>
  <c r="K13" i="32" s="1"/>
  <c r="J13" i="30"/>
  <c r="I13" i="30"/>
  <c r="H13" i="30"/>
  <c r="G13" i="30"/>
  <c r="F13" i="30"/>
  <c r="E13" i="30"/>
  <c r="E13" i="32" s="1"/>
  <c r="D13" i="30"/>
  <c r="C13" i="30"/>
  <c r="AJ12" i="30"/>
  <c r="AI12" i="30"/>
  <c r="AI12" i="32" s="1"/>
  <c r="AH12" i="30"/>
  <c r="AH12" i="32" s="1"/>
  <c r="AG12" i="30"/>
  <c r="AF12" i="30"/>
  <c r="AE12" i="30"/>
  <c r="AD12" i="30"/>
  <c r="AC12" i="30"/>
  <c r="AB12" i="30"/>
  <c r="AB12" i="32" s="1"/>
  <c r="AA12" i="30"/>
  <c r="Z12" i="30"/>
  <c r="Y12" i="30"/>
  <c r="X12" i="30"/>
  <c r="W12" i="30"/>
  <c r="V12" i="30"/>
  <c r="U12" i="30"/>
  <c r="S12" i="30"/>
  <c r="R12" i="30"/>
  <c r="R12" i="32" s="1"/>
  <c r="Q12" i="30"/>
  <c r="Q12" i="32" s="1"/>
  <c r="P12" i="30"/>
  <c r="O12" i="30"/>
  <c r="O12" i="32" s="1"/>
  <c r="N12" i="30"/>
  <c r="M12" i="30"/>
  <c r="L12" i="30"/>
  <c r="L12" i="32" s="1"/>
  <c r="K12" i="30"/>
  <c r="K12" i="32" s="1"/>
  <c r="J12" i="30"/>
  <c r="I12" i="30"/>
  <c r="H12" i="30"/>
  <c r="H12" i="32" s="1"/>
  <c r="G12" i="30"/>
  <c r="G12" i="32" s="1"/>
  <c r="F12" i="30"/>
  <c r="F12" i="32" s="1"/>
  <c r="E12" i="30"/>
  <c r="D12" i="30"/>
  <c r="C12" i="30"/>
  <c r="AJ11" i="30"/>
  <c r="AI11" i="30"/>
  <c r="AH11" i="30"/>
  <c r="AG11" i="30"/>
  <c r="AF11" i="30"/>
  <c r="AE11" i="30"/>
  <c r="AD11" i="30"/>
  <c r="AC11" i="30"/>
  <c r="AC11" i="32" s="1"/>
  <c r="AB11" i="30"/>
  <c r="AA11" i="30"/>
  <c r="Z11" i="30"/>
  <c r="Y11" i="30"/>
  <c r="Y11" i="32" s="1"/>
  <c r="X11" i="30"/>
  <c r="W11" i="30"/>
  <c r="V11" i="30"/>
  <c r="U11" i="30"/>
  <c r="S11" i="30"/>
  <c r="S11" i="32" s="1"/>
  <c r="R11" i="30"/>
  <c r="R11" i="32" s="1"/>
  <c r="Q11" i="30"/>
  <c r="P11" i="30"/>
  <c r="O11" i="30"/>
  <c r="N11" i="30"/>
  <c r="M11" i="30"/>
  <c r="L11" i="30"/>
  <c r="L11" i="32" s="1"/>
  <c r="K11" i="30"/>
  <c r="K11" i="32" s="1"/>
  <c r="J11" i="30"/>
  <c r="J11" i="32" s="1"/>
  <c r="I11" i="30"/>
  <c r="H11" i="30"/>
  <c r="H11" i="32" s="1"/>
  <c r="G11" i="30"/>
  <c r="F11" i="30"/>
  <c r="E11" i="30"/>
  <c r="D11" i="30"/>
  <c r="C11" i="30"/>
  <c r="C11" i="32" s="1"/>
  <c r="AJ9" i="30"/>
  <c r="AI9" i="30"/>
  <c r="AH9" i="30"/>
  <c r="AH9" i="32" s="1"/>
  <c r="AG9" i="30"/>
  <c r="AG9" i="32" s="1"/>
  <c r="AF9" i="30"/>
  <c r="AE9" i="30"/>
  <c r="AE9" i="32" s="1"/>
  <c r="AD9" i="30"/>
  <c r="AC9" i="30"/>
  <c r="AB9" i="30"/>
  <c r="AA9" i="30"/>
  <c r="Z9" i="30"/>
  <c r="Y9" i="30"/>
  <c r="Y9" i="32" s="1"/>
  <c r="X9" i="30"/>
  <c r="W9" i="30"/>
  <c r="V9" i="30"/>
  <c r="U9" i="30"/>
  <c r="U9" i="32" s="1"/>
  <c r="S9" i="30"/>
  <c r="S9" i="32" s="1"/>
  <c r="R9" i="30"/>
  <c r="Q9" i="30"/>
  <c r="Q9" i="32" s="1"/>
  <c r="P9" i="30"/>
  <c r="O9" i="30"/>
  <c r="N9" i="30"/>
  <c r="M9" i="30"/>
  <c r="M9" i="32" s="1"/>
  <c r="L9" i="30"/>
  <c r="K9" i="30"/>
  <c r="J9" i="30"/>
  <c r="J9" i="32" s="1"/>
  <c r="I9" i="30"/>
  <c r="H9" i="30"/>
  <c r="G9" i="30"/>
  <c r="F9" i="30"/>
  <c r="E9" i="30"/>
  <c r="D9" i="30"/>
  <c r="D9" i="32" s="1"/>
  <c r="C9" i="30"/>
  <c r="C9" i="32" s="1"/>
  <c r="AJ8" i="30"/>
  <c r="AJ8" i="32" s="1"/>
  <c r="AI8" i="30"/>
  <c r="AI8" i="32" s="1"/>
  <c r="AH8" i="30"/>
  <c r="AH8" i="32" s="1"/>
  <c r="AG8" i="30"/>
  <c r="AF8" i="30"/>
  <c r="AE8" i="30"/>
  <c r="AE8" i="32" s="1"/>
  <c r="AD8" i="30"/>
  <c r="AC8" i="30"/>
  <c r="AB8" i="30"/>
  <c r="AB8" i="32" s="1"/>
  <c r="AA8" i="30"/>
  <c r="AA8" i="32" s="1"/>
  <c r="Z8" i="30"/>
  <c r="Z8" i="32" s="1"/>
  <c r="Y8" i="30"/>
  <c r="X8" i="30"/>
  <c r="W8" i="30"/>
  <c r="V8" i="30"/>
  <c r="U8" i="30"/>
  <c r="S8" i="30"/>
  <c r="R8" i="30"/>
  <c r="Q8" i="30"/>
  <c r="P8" i="30"/>
  <c r="O8" i="30"/>
  <c r="N8" i="30"/>
  <c r="N8" i="32" s="1"/>
  <c r="M8" i="30"/>
  <c r="L8" i="30"/>
  <c r="K8" i="30"/>
  <c r="J8" i="30"/>
  <c r="J8" i="32" s="1"/>
  <c r="I8" i="30"/>
  <c r="H8" i="30"/>
  <c r="G8" i="30"/>
  <c r="F8" i="30"/>
  <c r="E8" i="30"/>
  <c r="E8" i="32" s="1"/>
  <c r="D8" i="30"/>
  <c r="D8" i="32" s="1"/>
  <c r="C8" i="30"/>
  <c r="C8" i="32" s="1"/>
  <c r="AJ7" i="30"/>
  <c r="AI7" i="30"/>
  <c r="AH7" i="30"/>
  <c r="AG7" i="30"/>
  <c r="AF7" i="30"/>
  <c r="AF7" i="32" s="1"/>
  <c r="AE7" i="30"/>
  <c r="AE7" i="32" s="1"/>
  <c r="AD7" i="30"/>
  <c r="AD7" i="32" s="1"/>
  <c r="AC7" i="30"/>
  <c r="AB7" i="30"/>
  <c r="AB7" i="32" s="1"/>
  <c r="AA7" i="30"/>
  <c r="Z7" i="30"/>
  <c r="Y7" i="30"/>
  <c r="X7" i="30"/>
  <c r="W7" i="30"/>
  <c r="W7" i="32" s="1"/>
  <c r="V7" i="30"/>
  <c r="U7" i="30"/>
  <c r="U7" i="32" s="1"/>
  <c r="S7" i="30"/>
  <c r="S7" i="32" s="1"/>
  <c r="R7" i="30"/>
  <c r="R7" i="32" s="1"/>
  <c r="Q7" i="30"/>
  <c r="P7" i="30"/>
  <c r="P7" i="32" s="1"/>
  <c r="O7" i="30"/>
  <c r="N7" i="30"/>
  <c r="M7" i="30"/>
  <c r="L7" i="30"/>
  <c r="K7" i="30"/>
  <c r="J7" i="30"/>
  <c r="I7" i="30"/>
  <c r="H7" i="30"/>
  <c r="G7" i="30"/>
  <c r="F7" i="30"/>
  <c r="F7" i="32" s="1"/>
  <c r="E7" i="30"/>
  <c r="E7" i="32" s="1"/>
  <c r="D7" i="30"/>
  <c r="C7" i="30"/>
  <c r="C7" i="32" s="1"/>
  <c r="AJ6" i="30"/>
  <c r="AJ6" i="32" s="1"/>
  <c r="AI6" i="30"/>
  <c r="AH6" i="30"/>
  <c r="AG6" i="30"/>
  <c r="AG6" i="32" s="1"/>
  <c r="AF6" i="30"/>
  <c r="AE6" i="30"/>
  <c r="AD6" i="30"/>
  <c r="AD6" i="32" s="1"/>
  <c r="AC6" i="30"/>
  <c r="AB6" i="30"/>
  <c r="AA6" i="30"/>
  <c r="Z6" i="30"/>
  <c r="Y6" i="30"/>
  <c r="X6" i="30"/>
  <c r="X6" i="32" s="1"/>
  <c r="W6" i="30"/>
  <c r="W6" i="32" s="1"/>
  <c r="V6" i="30"/>
  <c r="U6" i="30"/>
  <c r="U6" i="32" s="1"/>
  <c r="S6" i="30"/>
  <c r="R6" i="30"/>
  <c r="Q6" i="30"/>
  <c r="Q6" i="32" s="1"/>
  <c r="P6" i="30"/>
  <c r="P6" i="32" s="1"/>
  <c r="O6" i="30"/>
  <c r="O6" i="32" s="1"/>
  <c r="N6" i="30"/>
  <c r="M6" i="30"/>
  <c r="M6" i="32" s="1"/>
  <c r="L6" i="30"/>
  <c r="K6" i="30"/>
  <c r="J6" i="30"/>
  <c r="I6" i="30"/>
  <c r="H6" i="30"/>
  <c r="G6" i="30"/>
  <c r="F6" i="30"/>
  <c r="E6" i="30"/>
  <c r="D6" i="30"/>
  <c r="C6" i="30"/>
  <c r="A57" i="32"/>
  <c r="A56" i="32"/>
  <c r="A55" i="32"/>
  <c r="B54" i="32"/>
  <c r="A54" i="32"/>
  <c r="B53" i="32"/>
  <c r="A53" i="32"/>
  <c r="A52" i="32"/>
  <c r="B51" i="32"/>
  <c r="A51" i="32"/>
  <c r="B50" i="32"/>
  <c r="A50" i="32"/>
  <c r="B49" i="32"/>
  <c r="A49" i="32"/>
  <c r="B48" i="32"/>
  <c r="A48" i="32"/>
  <c r="A47" i="32"/>
  <c r="B46" i="32"/>
  <c r="A46" i="32"/>
  <c r="B45" i="32"/>
  <c r="A45" i="32"/>
  <c r="B44" i="32"/>
  <c r="A44" i="32"/>
  <c r="B43" i="32"/>
  <c r="A43" i="32"/>
  <c r="A42" i="32"/>
  <c r="B41" i="32"/>
  <c r="A41" i="32"/>
  <c r="B40" i="32"/>
  <c r="A40" i="32"/>
  <c r="B39" i="32"/>
  <c r="A39" i="32"/>
  <c r="B38" i="32"/>
  <c r="A38" i="32"/>
  <c r="A37" i="32"/>
  <c r="A36" i="32"/>
  <c r="B35" i="32"/>
  <c r="A35" i="32"/>
  <c r="B34" i="32"/>
  <c r="A34" i="32"/>
  <c r="B33" i="32"/>
  <c r="A33" i="32"/>
  <c r="A32" i="32"/>
  <c r="B31" i="32"/>
  <c r="A31" i="32"/>
  <c r="B30" i="32"/>
  <c r="A30" i="32"/>
  <c r="B29" i="32"/>
  <c r="A29" i="32"/>
  <c r="B28" i="32"/>
  <c r="A28" i="32"/>
  <c r="A27" i="32"/>
  <c r="B26" i="32"/>
  <c r="A26" i="32"/>
  <c r="B25" i="32"/>
  <c r="A25" i="32"/>
  <c r="B24" i="32"/>
  <c r="A24" i="32"/>
  <c r="A23" i="32"/>
  <c r="A22" i="32"/>
  <c r="B21" i="32"/>
  <c r="A21" i="32"/>
  <c r="B20" i="32"/>
  <c r="A20" i="32"/>
  <c r="B19" i="32"/>
  <c r="A19" i="32"/>
  <c r="B18" i="32"/>
  <c r="A18" i="32"/>
  <c r="A17" i="32"/>
  <c r="B16" i="32"/>
  <c r="A16" i="32"/>
  <c r="B15" i="32"/>
  <c r="A15" i="32"/>
  <c r="A14" i="32"/>
  <c r="B13" i="32"/>
  <c r="A13" i="32"/>
  <c r="B12" i="32"/>
  <c r="A12" i="32"/>
  <c r="B11" i="32"/>
  <c r="A11" i="32"/>
  <c r="A10" i="32"/>
  <c r="B9" i="32"/>
  <c r="A9" i="32"/>
  <c r="B8" i="32"/>
  <c r="A8" i="32"/>
  <c r="B7" i="32"/>
  <c r="A7" i="32"/>
  <c r="B6" i="32"/>
  <c r="A6" i="32"/>
  <c r="A57" i="30"/>
  <c r="A56" i="30"/>
  <c r="A55" i="30"/>
  <c r="B54" i="30"/>
  <c r="A54" i="30"/>
  <c r="B53" i="30"/>
  <c r="A53" i="30"/>
  <c r="A52" i="30"/>
  <c r="B51" i="30"/>
  <c r="A51" i="30"/>
  <c r="B50" i="30"/>
  <c r="A50" i="30"/>
  <c r="B49" i="30"/>
  <c r="A49" i="30"/>
  <c r="B48" i="30"/>
  <c r="A48" i="30"/>
  <c r="A47" i="30"/>
  <c r="B46" i="30"/>
  <c r="A46" i="30"/>
  <c r="B45" i="30"/>
  <c r="A45" i="30"/>
  <c r="B44" i="30"/>
  <c r="A44" i="30"/>
  <c r="B43" i="30"/>
  <c r="A43" i="30"/>
  <c r="A42" i="30"/>
  <c r="B41" i="30"/>
  <c r="A41" i="30"/>
  <c r="B40" i="30"/>
  <c r="A40" i="30"/>
  <c r="B39" i="30"/>
  <c r="A39" i="30"/>
  <c r="B38" i="30"/>
  <c r="A38" i="30"/>
  <c r="A37" i="30"/>
  <c r="A36" i="30"/>
  <c r="B35" i="30"/>
  <c r="A35" i="30"/>
  <c r="B34" i="30"/>
  <c r="A34" i="30"/>
  <c r="B33" i="30"/>
  <c r="A33" i="30"/>
  <c r="A32" i="30"/>
  <c r="B31" i="30"/>
  <c r="A31" i="30"/>
  <c r="B30" i="30"/>
  <c r="A30" i="30"/>
  <c r="B29" i="30"/>
  <c r="A29" i="30"/>
  <c r="B28" i="30"/>
  <c r="A28" i="30"/>
  <c r="A27" i="30"/>
  <c r="B26" i="30"/>
  <c r="A26" i="30"/>
  <c r="B25" i="30"/>
  <c r="A25" i="30"/>
  <c r="B24" i="30"/>
  <c r="A24" i="30"/>
  <c r="A23" i="30"/>
  <c r="A22" i="30"/>
  <c r="B21" i="30"/>
  <c r="A21" i="30"/>
  <c r="B20" i="30"/>
  <c r="A20" i="30"/>
  <c r="B19" i="30"/>
  <c r="A19" i="30"/>
  <c r="B18" i="30"/>
  <c r="A18" i="30"/>
  <c r="A17" i="30"/>
  <c r="B16" i="30"/>
  <c r="A16" i="30"/>
  <c r="B15" i="30"/>
  <c r="A15" i="30"/>
  <c r="A14" i="30"/>
  <c r="B13" i="30"/>
  <c r="A13" i="30"/>
  <c r="B12" i="30"/>
  <c r="A12" i="30"/>
  <c r="B11" i="30"/>
  <c r="A11" i="30"/>
  <c r="A10" i="30"/>
  <c r="B9" i="30"/>
  <c r="A9" i="30"/>
  <c r="B8" i="30"/>
  <c r="A8" i="30"/>
  <c r="B7" i="30"/>
  <c r="A7" i="30"/>
  <c r="B6" i="30"/>
  <c r="A6" i="30"/>
  <c r="AH54" i="32"/>
  <c r="AG54" i="32"/>
  <c r="AF54" i="32"/>
  <c r="Z54" i="32"/>
  <c r="Y54" i="32"/>
  <c r="X54" i="32"/>
  <c r="Q54" i="32"/>
  <c r="P54" i="32"/>
  <c r="O54" i="32"/>
  <c r="L54" i="32"/>
  <c r="J54" i="32"/>
  <c r="I54" i="32"/>
  <c r="G54" i="32"/>
  <c r="AH53" i="32"/>
  <c r="R53" i="32"/>
  <c r="Q53" i="32"/>
  <c r="Q55" i="32" s="1"/>
  <c r="P53" i="32"/>
  <c r="P55" i="32" s="1"/>
  <c r="N53" i="32"/>
  <c r="L53" i="32"/>
  <c r="K53" i="32"/>
  <c r="J53" i="32"/>
  <c r="I53" i="32"/>
  <c r="H53" i="32"/>
  <c r="AJ51" i="32"/>
  <c r="AH51" i="32"/>
  <c r="AB51" i="32"/>
  <c r="AA51" i="32"/>
  <c r="Z51" i="32"/>
  <c r="S51" i="32"/>
  <c r="L51" i="32"/>
  <c r="K51" i="32"/>
  <c r="J51" i="32"/>
  <c r="I51" i="32"/>
  <c r="C51" i="32"/>
  <c r="AJ50" i="32"/>
  <c r="AG50" i="32"/>
  <c r="AA50" i="32"/>
  <c r="U50" i="32"/>
  <c r="S50" i="32"/>
  <c r="R50" i="32"/>
  <c r="P50" i="32"/>
  <c r="M50" i="32"/>
  <c r="L50" i="32"/>
  <c r="C50" i="32"/>
  <c r="AJ49" i="32"/>
  <c r="AH49" i="32"/>
  <c r="AF49" i="32"/>
  <c r="AE49" i="32"/>
  <c r="U49" i="32"/>
  <c r="S49" i="32"/>
  <c r="R49" i="32"/>
  <c r="Q49" i="32"/>
  <c r="O49" i="32"/>
  <c r="N49" i="32"/>
  <c r="M49" i="32"/>
  <c r="L49" i="32"/>
  <c r="K49" i="32"/>
  <c r="E49" i="32"/>
  <c r="D49" i="32"/>
  <c r="C49" i="32"/>
  <c r="AF48" i="32"/>
  <c r="R48" i="32"/>
  <c r="P48" i="32"/>
  <c r="O48" i="32"/>
  <c r="N48" i="32"/>
  <c r="M48" i="32"/>
  <c r="L48" i="32"/>
  <c r="F48" i="32"/>
  <c r="E48" i="32"/>
  <c r="D48" i="32"/>
  <c r="AJ46" i="32"/>
  <c r="AG46" i="32"/>
  <c r="AF46" i="32"/>
  <c r="AE46" i="32"/>
  <c r="Q46" i="32"/>
  <c r="O46" i="32"/>
  <c r="N46" i="32"/>
  <c r="M46" i="32"/>
  <c r="G46" i="32"/>
  <c r="E46" i="32"/>
  <c r="C46" i="32"/>
  <c r="AI45" i="32"/>
  <c r="AH45" i="32"/>
  <c r="AG45" i="32"/>
  <c r="AF45" i="32"/>
  <c r="AE45" i="32"/>
  <c r="Y45" i="32"/>
  <c r="Q45" i="32"/>
  <c r="P45" i="32"/>
  <c r="O45" i="32"/>
  <c r="N45" i="32"/>
  <c r="H45" i="32"/>
  <c r="AJ44" i="32"/>
  <c r="AI44" i="32"/>
  <c r="AH44" i="32"/>
  <c r="AF44" i="32"/>
  <c r="Z44" i="32"/>
  <c r="Y44" i="32"/>
  <c r="X44" i="32"/>
  <c r="P44" i="32"/>
  <c r="O44" i="32"/>
  <c r="H44" i="32"/>
  <c r="E44" i="32"/>
  <c r="C44" i="32"/>
  <c r="AJ43" i="32"/>
  <c r="AI43" i="32"/>
  <c r="Y43" i="32"/>
  <c r="X43" i="32"/>
  <c r="W43" i="32"/>
  <c r="Q43" i="32"/>
  <c r="P43" i="32"/>
  <c r="N43" i="32"/>
  <c r="J43" i="32"/>
  <c r="I43" i="32"/>
  <c r="H43" i="32"/>
  <c r="D43" i="32"/>
  <c r="C43" i="32"/>
  <c r="AJ41" i="32"/>
  <c r="AI41" i="32"/>
  <c r="AH41" i="32"/>
  <c r="AB41" i="32"/>
  <c r="V41" i="32"/>
  <c r="Q41" i="32"/>
  <c r="K41" i="32"/>
  <c r="J41" i="32"/>
  <c r="I41" i="32"/>
  <c r="G41" i="32"/>
  <c r="D41" i="32"/>
  <c r="C41" i="32"/>
  <c r="AJ40" i="32"/>
  <c r="AC40" i="32"/>
  <c r="AB40" i="32"/>
  <c r="AA40" i="32"/>
  <c r="Y40" i="32"/>
  <c r="W40" i="32"/>
  <c r="U40" i="32"/>
  <c r="H40" i="32"/>
  <c r="F40" i="32"/>
  <c r="E40" i="32"/>
  <c r="D40" i="32"/>
  <c r="C40" i="32"/>
  <c r="AJ39" i="32"/>
  <c r="AD39" i="32"/>
  <c r="AC39" i="32"/>
  <c r="AB39" i="32"/>
  <c r="Z39" i="32"/>
  <c r="W39" i="32"/>
  <c r="V39" i="32"/>
  <c r="U39" i="32"/>
  <c r="S39" i="32"/>
  <c r="J39" i="32"/>
  <c r="F39" i="32"/>
  <c r="C39" i="32"/>
  <c r="AE38" i="32"/>
  <c r="AD38" i="32"/>
  <c r="AC38" i="32"/>
  <c r="AA38" i="32"/>
  <c r="X38" i="32"/>
  <c r="W38" i="32"/>
  <c r="V38" i="32"/>
  <c r="N38" i="32"/>
  <c r="J38" i="32"/>
  <c r="H38" i="32"/>
  <c r="G38" i="32"/>
  <c r="F38" i="32"/>
  <c r="AD35" i="32"/>
  <c r="AB35" i="32"/>
  <c r="Z35" i="32"/>
  <c r="Y35" i="32"/>
  <c r="X35" i="32"/>
  <c r="W35" i="32"/>
  <c r="V35" i="32"/>
  <c r="O35" i="32"/>
  <c r="N35" i="32"/>
  <c r="H35" i="32"/>
  <c r="F35" i="32"/>
  <c r="AG34" i="32"/>
  <c r="AF34" i="32"/>
  <c r="AE34" i="32"/>
  <c r="Z34" i="32"/>
  <c r="W34" i="32"/>
  <c r="P34" i="32"/>
  <c r="O34" i="32"/>
  <c r="N34" i="32"/>
  <c r="L34" i="32"/>
  <c r="F34" i="32"/>
  <c r="AH33" i="32"/>
  <c r="AG33" i="32"/>
  <c r="AD33" i="32"/>
  <c r="AB33" i="32"/>
  <c r="Z33" i="32"/>
  <c r="Y33" i="32"/>
  <c r="M33" i="32"/>
  <c r="K33" i="32"/>
  <c r="J33" i="32"/>
  <c r="H33" i="32"/>
  <c r="AI31" i="32"/>
  <c r="AG31" i="32"/>
  <c r="AE31" i="32"/>
  <c r="AC31" i="32"/>
  <c r="AB31" i="32"/>
  <c r="Z31" i="32"/>
  <c r="R31" i="32"/>
  <c r="Q31" i="32"/>
  <c r="K31" i="32"/>
  <c r="AJ30" i="32"/>
  <c r="AH30" i="32"/>
  <c r="AG30" i="32"/>
  <c r="AF30" i="32"/>
  <c r="AD30" i="32"/>
  <c r="AC30" i="32"/>
  <c r="AB30" i="32"/>
  <c r="AA30" i="32"/>
  <c r="Z30" i="32"/>
  <c r="R30" i="32"/>
  <c r="O30" i="32"/>
  <c r="M30" i="32"/>
  <c r="L30" i="32"/>
  <c r="K30" i="32"/>
  <c r="AG29" i="32"/>
  <c r="AE29" i="32"/>
  <c r="AD29" i="32"/>
  <c r="AC29" i="32"/>
  <c r="AB29" i="32"/>
  <c r="AA29" i="32"/>
  <c r="U29" i="32"/>
  <c r="R29" i="32"/>
  <c r="P29" i="32"/>
  <c r="M29" i="32"/>
  <c r="L29" i="32"/>
  <c r="K29" i="32"/>
  <c r="J29" i="32"/>
  <c r="D29" i="32"/>
  <c r="AE28" i="32"/>
  <c r="AB28" i="32"/>
  <c r="V28" i="32"/>
  <c r="U28" i="32"/>
  <c r="S28" i="32"/>
  <c r="Q28" i="32"/>
  <c r="N28" i="32"/>
  <c r="M28" i="32"/>
  <c r="E28" i="32"/>
  <c r="D28" i="32"/>
  <c r="C28" i="32"/>
  <c r="AI26" i="32"/>
  <c r="AF26" i="32"/>
  <c r="U26" i="32"/>
  <c r="R26" i="32"/>
  <c r="P26" i="32"/>
  <c r="O26" i="32"/>
  <c r="N26" i="32"/>
  <c r="M26" i="32"/>
  <c r="L26" i="32"/>
  <c r="F26" i="32"/>
  <c r="E26" i="32"/>
  <c r="D26" i="32"/>
  <c r="AG25" i="32"/>
  <c r="AE25" i="32"/>
  <c r="AE27" i="32" s="1"/>
  <c r="X25" i="32"/>
  <c r="W25" i="32"/>
  <c r="O25" i="32"/>
  <c r="M25" i="32"/>
  <c r="G25" i="32"/>
  <c r="F25" i="32"/>
  <c r="E25" i="32"/>
  <c r="C25" i="32"/>
  <c r="AH24" i="32"/>
  <c r="AG24" i="32"/>
  <c r="Y24" i="32"/>
  <c r="U24" i="32"/>
  <c r="R24" i="32"/>
  <c r="Q24" i="32"/>
  <c r="P24" i="32"/>
  <c r="F24" i="32"/>
  <c r="D24" i="32"/>
  <c r="AJ21" i="32"/>
  <c r="AI21" i="32"/>
  <c r="AH21" i="32"/>
  <c r="AG21" i="32"/>
  <c r="AF21" i="32"/>
  <c r="Z21" i="32"/>
  <c r="X21" i="32"/>
  <c r="R21" i="32"/>
  <c r="Q21" i="32"/>
  <c r="P21" i="32"/>
  <c r="O21" i="32"/>
  <c r="I21" i="32"/>
  <c r="AJ20" i="32"/>
  <c r="AI20" i="32"/>
  <c r="AH20" i="32"/>
  <c r="AG20" i="32"/>
  <c r="AA20" i="32"/>
  <c r="Z20" i="32"/>
  <c r="Y20" i="32"/>
  <c r="R20" i="32"/>
  <c r="I20" i="32"/>
  <c r="H20" i="32"/>
  <c r="F20" i="32"/>
  <c r="D20" i="32"/>
  <c r="AJ19" i="32"/>
  <c r="AB19" i="32"/>
  <c r="Z19" i="32"/>
  <c r="X19" i="32"/>
  <c r="V19" i="32"/>
  <c r="S19" i="32"/>
  <c r="Q19" i="32"/>
  <c r="K19" i="32"/>
  <c r="J19" i="32"/>
  <c r="I19" i="32"/>
  <c r="D19" i="32"/>
  <c r="AJ18" i="32"/>
  <c r="AI18" i="32"/>
  <c r="AC18" i="32"/>
  <c r="V18" i="32"/>
  <c r="U18" i="32"/>
  <c r="R18" i="32"/>
  <c r="K18" i="32"/>
  <c r="J18" i="32"/>
  <c r="H18" i="32"/>
  <c r="E18" i="32"/>
  <c r="D18" i="32"/>
  <c r="AC16" i="32"/>
  <c r="AB16" i="32"/>
  <c r="Z16" i="32"/>
  <c r="X16" i="32"/>
  <c r="V16" i="32"/>
  <c r="I16" i="32"/>
  <c r="G16" i="32"/>
  <c r="F16" i="32"/>
  <c r="E16" i="32"/>
  <c r="D16" i="32"/>
  <c r="C16" i="32"/>
  <c r="AE15" i="32"/>
  <c r="X15" i="32"/>
  <c r="W15" i="32"/>
  <c r="V15" i="32"/>
  <c r="J15" i="32"/>
  <c r="H15" i="32"/>
  <c r="G15" i="32"/>
  <c r="F15" i="32"/>
  <c r="E15" i="32"/>
  <c r="D15" i="32"/>
  <c r="C15" i="32"/>
  <c r="AF13" i="32"/>
  <c r="AE13" i="32"/>
  <c r="AD13" i="32"/>
  <c r="AB13" i="32"/>
  <c r="X13" i="32"/>
  <c r="V13" i="32"/>
  <c r="I13" i="32"/>
  <c r="G13" i="32"/>
  <c r="F13" i="32"/>
  <c r="AG12" i="32"/>
  <c r="AF12" i="32"/>
  <c r="AE12" i="32"/>
  <c r="AA12" i="32"/>
  <c r="Z12" i="32"/>
  <c r="Y12" i="32"/>
  <c r="X12" i="32"/>
  <c r="W12" i="32"/>
  <c r="P12" i="32"/>
  <c r="N12" i="32"/>
  <c r="J12" i="32"/>
  <c r="AG11" i="32"/>
  <c r="AF11" i="32"/>
  <c r="AD11" i="32"/>
  <c r="AB11" i="32"/>
  <c r="AA11" i="32"/>
  <c r="Z11" i="32"/>
  <c r="X11" i="32"/>
  <c r="Q11" i="32"/>
  <c r="P11" i="32"/>
  <c r="O11" i="32"/>
  <c r="M11" i="32"/>
  <c r="I11" i="32"/>
  <c r="G11" i="32"/>
  <c r="AI9" i="32"/>
  <c r="AA9" i="32"/>
  <c r="Z9" i="32"/>
  <c r="R9" i="32"/>
  <c r="P9" i="32"/>
  <c r="L9" i="32"/>
  <c r="K9" i="32"/>
  <c r="H9" i="32"/>
  <c r="AF8" i="32"/>
  <c r="AD8" i="32"/>
  <c r="S8" i="32"/>
  <c r="R8" i="32"/>
  <c r="Q8" i="32"/>
  <c r="O8" i="32"/>
  <c r="M8" i="32"/>
  <c r="L8" i="32"/>
  <c r="K8" i="32"/>
  <c r="I8" i="32"/>
  <c r="AJ7" i="32"/>
  <c r="AG7" i="32"/>
  <c r="AC7" i="32"/>
  <c r="AA7" i="32"/>
  <c r="N7" i="32"/>
  <c r="M7" i="32"/>
  <c r="L7" i="32"/>
  <c r="K7" i="32"/>
  <c r="J7" i="32"/>
  <c r="D7" i="32"/>
  <c r="AI6" i="32"/>
  <c r="AF6" i="32"/>
  <c r="AE6" i="32"/>
  <c r="AC6" i="32"/>
  <c r="AB6" i="32"/>
  <c r="V6" i="32"/>
  <c r="S6" i="32"/>
  <c r="N6" i="32"/>
  <c r="L6" i="32"/>
  <c r="K6" i="32"/>
  <c r="E6" i="32"/>
  <c r="D6" i="32"/>
  <c r="C6" i="32"/>
  <c r="AD17" i="32" l="1"/>
  <c r="S17" i="32"/>
  <c r="AH6" i="32"/>
  <c r="AF25" i="32"/>
  <c r="I12" i="32"/>
  <c r="AF55" i="32"/>
  <c r="I6" i="32"/>
  <c r="X8" i="32"/>
  <c r="D12" i="32"/>
  <c r="AG18" i="32"/>
  <c r="M21" i="32"/>
  <c r="AA16" i="32"/>
  <c r="I17" i="32"/>
  <c r="G17" i="32"/>
  <c r="N15" i="32"/>
  <c r="W20" i="32"/>
  <c r="W22" i="32" s="1"/>
  <c r="AH55" i="32"/>
  <c r="AI7" i="32"/>
  <c r="AI10" i="32" s="1"/>
  <c r="AG55" i="32"/>
  <c r="Q34" i="32"/>
  <c r="Q36" i="32" s="1"/>
  <c r="K38" i="32"/>
  <c r="AF38" i="32"/>
  <c r="L41" i="32"/>
  <c r="S43" i="32"/>
  <c r="AA44" i="32"/>
  <c r="G48" i="32"/>
  <c r="V50" i="32"/>
  <c r="AC51" i="32"/>
  <c r="AJ53" i="32"/>
  <c r="H7" i="32"/>
  <c r="W9" i="32"/>
  <c r="AK9" i="32" s="1"/>
  <c r="C13" i="32"/>
  <c r="H17" i="32"/>
  <c r="AA36" i="32"/>
  <c r="F21" i="32"/>
  <c r="V7" i="32"/>
  <c r="AK7" i="32" s="1"/>
  <c r="AJ9" i="32"/>
  <c r="P13" i="32"/>
  <c r="P14" i="32" s="1"/>
  <c r="AE16" i="32"/>
  <c r="AE17" i="32" s="1"/>
  <c r="K20" i="32"/>
  <c r="K22" i="32" s="1"/>
  <c r="Z24" i="32"/>
  <c r="F28" i="32"/>
  <c r="U30" i="32"/>
  <c r="AI33" i="32"/>
  <c r="O38" i="32"/>
  <c r="AD40" i="32"/>
  <c r="J44" i="32"/>
  <c r="Y46" i="32"/>
  <c r="E50" i="32"/>
  <c r="S53" i="32"/>
  <c r="S55" i="32" s="1"/>
  <c r="AA54" i="32"/>
  <c r="AA55" i="32" s="1"/>
  <c r="F6" i="32"/>
  <c r="U8" i="32"/>
  <c r="U10" i="32" s="1"/>
  <c r="AI11" i="32"/>
  <c r="O15" i="32"/>
  <c r="AD18" i="32"/>
  <c r="J21" i="32"/>
  <c r="Y25" i="32"/>
  <c r="Y27" i="32" s="1"/>
  <c r="E29" i="32"/>
  <c r="S31" i="32"/>
  <c r="S32" i="32" s="1"/>
  <c r="AH34" i="32"/>
  <c r="N39" i="32"/>
  <c r="AC41" i="32"/>
  <c r="I45" i="32"/>
  <c r="X48" i="32"/>
  <c r="D51" i="32"/>
  <c r="R54" i="32"/>
  <c r="G6" i="32"/>
  <c r="V8" i="32"/>
  <c r="AJ11" i="32"/>
  <c r="P15" i="32"/>
  <c r="AE18" i="32"/>
  <c r="K21" i="32"/>
  <c r="Z25" i="32"/>
  <c r="F29" i="32"/>
  <c r="U31" i="32"/>
  <c r="AI34" i="32"/>
  <c r="O39" i="32"/>
  <c r="AD41" i="32"/>
  <c r="AD42" i="32" s="1"/>
  <c r="J45" i="32"/>
  <c r="Y48" i="32"/>
  <c r="E51" i="32"/>
  <c r="S54" i="32"/>
  <c r="Y7" i="32"/>
  <c r="S13" i="32"/>
  <c r="I28" i="32"/>
  <c r="O7" i="32"/>
  <c r="AD9" i="32"/>
  <c r="AD10" i="32" s="1"/>
  <c r="J13" i="32"/>
  <c r="Y16" i="32"/>
  <c r="E20" i="32"/>
  <c r="S24" i="32"/>
  <c r="AH26" i="32"/>
  <c r="N30" i="32"/>
  <c r="N32" i="32" s="1"/>
  <c r="AC33" i="32"/>
  <c r="I38" i="32"/>
  <c r="T38" i="32" s="1"/>
  <c r="X40" i="32"/>
  <c r="D44" i="32"/>
  <c r="R46" i="32"/>
  <c r="AG49" i="32"/>
  <c r="AG52" i="32" s="1"/>
  <c r="M53" i="32"/>
  <c r="AG8" i="32"/>
  <c r="Q29" i="32"/>
  <c r="AI28" i="32"/>
  <c r="AI22" i="32"/>
  <c r="AB55" i="32"/>
  <c r="M54" i="32"/>
  <c r="AD54" i="32"/>
  <c r="M55" i="32"/>
  <c r="AC55" i="32"/>
  <c r="T13" i="31"/>
  <c r="AA17" i="32"/>
  <c r="AH29" i="32"/>
  <c r="AH32" i="32" s="1"/>
  <c r="P30" i="32"/>
  <c r="O31" i="32"/>
  <c r="O32" i="32" s="1"/>
  <c r="AF31" i="32"/>
  <c r="N33" i="32"/>
  <c r="N36" i="32" s="1"/>
  <c r="AE33" i="32"/>
  <c r="AE36" i="32" s="1"/>
  <c r="M34" i="32"/>
  <c r="M36" i="32" s="1"/>
  <c r="AD34" i="32"/>
  <c r="AD36" i="32" s="1"/>
  <c r="L35" i="32"/>
  <c r="AC35" i="32"/>
  <c r="AB38" i="32"/>
  <c r="AA39" i="32"/>
  <c r="I40" i="32"/>
  <c r="Z40" i="32"/>
  <c r="H41" i="32"/>
  <c r="Y41" i="32"/>
  <c r="G43" i="32"/>
  <c r="F44" i="32"/>
  <c r="F47" i="32" s="1"/>
  <c r="W44" i="32"/>
  <c r="W47" i="32" s="1"/>
  <c r="E45" i="32"/>
  <c r="V45" i="32"/>
  <c r="V47" i="32" s="1"/>
  <c r="D46" i="32"/>
  <c r="U46" i="32"/>
  <c r="U47" i="32" s="1"/>
  <c r="S48" i="32"/>
  <c r="S52" i="32" s="1"/>
  <c r="AJ48" i="32"/>
  <c r="AI49" i="32"/>
  <c r="AI52" i="32" s="1"/>
  <c r="Q50" i="32"/>
  <c r="Q52" i="32" s="1"/>
  <c r="AH50" i="32"/>
  <c r="AH52" i="32" s="1"/>
  <c r="P51" i="32"/>
  <c r="O53" i="32"/>
  <c r="O55" i="32" s="1"/>
  <c r="N54" i="32"/>
  <c r="N55" i="32" s="1"/>
  <c r="AE54" i="32"/>
  <c r="AE55" i="32" s="1"/>
  <c r="X14" i="32"/>
  <c r="L32" i="32"/>
  <c r="S22" i="32"/>
  <c r="L55" i="32"/>
  <c r="I55" i="32"/>
  <c r="E52" i="32"/>
  <c r="AJ55" i="32"/>
  <c r="AI55" i="32"/>
  <c r="T7" i="31"/>
  <c r="T8" i="31"/>
  <c r="T9" i="31"/>
  <c r="T11" i="31"/>
  <c r="T12" i="31"/>
  <c r="T15" i="31"/>
  <c r="T16" i="31"/>
  <c r="T18" i="31"/>
  <c r="T19" i="31"/>
  <c r="T20" i="31"/>
  <c r="T21" i="31"/>
  <c r="T24" i="31"/>
  <c r="T25" i="31"/>
  <c r="T26" i="31"/>
  <c r="T28" i="31"/>
  <c r="T29" i="31"/>
  <c r="T30" i="31"/>
  <c r="T31" i="31"/>
  <c r="T33" i="31"/>
  <c r="T34" i="31"/>
  <c r="T35" i="31"/>
  <c r="T38" i="31"/>
  <c r="T39" i="31"/>
  <c r="T40" i="31"/>
  <c r="T41" i="31"/>
  <c r="T43" i="31"/>
  <c r="T44" i="31"/>
  <c r="T45" i="31"/>
  <c r="T46" i="31"/>
  <c r="T48" i="31"/>
  <c r="T49" i="31"/>
  <c r="T50" i="31"/>
  <c r="T51" i="31"/>
  <c r="T53" i="31"/>
  <c r="T54" i="31"/>
  <c r="AA14" i="32"/>
  <c r="AB14" i="32"/>
  <c r="G14" i="32"/>
  <c r="U22" i="32"/>
  <c r="F42" i="32"/>
  <c r="F17" i="32"/>
  <c r="L13" i="32"/>
  <c r="L17" i="32"/>
  <c r="Y55" i="32"/>
  <c r="R22" i="32"/>
  <c r="AH27" i="32"/>
  <c r="R6" i="32"/>
  <c r="Q7" i="32"/>
  <c r="Q10" i="32" s="1"/>
  <c r="AH7" i="32"/>
  <c r="P8" i="32"/>
  <c r="O9" i="32"/>
  <c r="AF9" i="32"/>
  <c r="N11" i="32"/>
  <c r="N14" i="32" s="1"/>
  <c r="AE11" i="32"/>
  <c r="AE14" i="32" s="1"/>
  <c r="M12" i="32"/>
  <c r="M14" i="32" s="1"/>
  <c r="AD12" i="32"/>
  <c r="AD14" i="32" s="1"/>
  <c r="AC13" i="32"/>
  <c r="AC14" i="32" s="1"/>
  <c r="K15" i="32"/>
  <c r="K17" i="32" s="1"/>
  <c r="AB15" i="32"/>
  <c r="AB17" i="32" s="1"/>
  <c r="J16" i="32"/>
  <c r="J17" i="32" s="1"/>
  <c r="I18" i="32"/>
  <c r="I22" i="32" s="1"/>
  <c r="Z18" i="32"/>
  <c r="Z22" i="32" s="1"/>
  <c r="H19" i="32"/>
  <c r="H22" i="32" s="1"/>
  <c r="Y19" i="32"/>
  <c r="Y22" i="32" s="1"/>
  <c r="G20" i="32"/>
  <c r="G22" i="32" s="1"/>
  <c r="X20" i="32"/>
  <c r="W21" i="32"/>
  <c r="E24" i="32"/>
  <c r="E27" i="32" s="1"/>
  <c r="V24" i="32"/>
  <c r="V27" i="32" s="1"/>
  <c r="U25" i="32"/>
  <c r="U27" i="32" s="1"/>
  <c r="C26" i="32"/>
  <c r="S26" i="32"/>
  <c r="AJ26" i="32"/>
  <c r="AJ27" i="32" s="1"/>
  <c r="N27" i="32"/>
  <c r="D52" i="32"/>
  <c r="R55" i="32"/>
  <c r="AA26" i="32"/>
  <c r="W31" i="32"/>
  <c r="E33" i="32"/>
  <c r="R38" i="32"/>
  <c r="AI38" i="32"/>
  <c r="AE43" i="32"/>
  <c r="J48" i="32"/>
  <c r="AA48" i="32"/>
  <c r="F53" i="32"/>
  <c r="W53" i="32"/>
  <c r="U52" i="32"/>
  <c r="G50" i="32"/>
  <c r="J6" i="32"/>
  <c r="J10" i="32" s="1"/>
  <c r="U13" i="32"/>
  <c r="AJ15" i="32"/>
  <c r="AJ17" i="32" s="1"/>
  <c r="AG47" i="32"/>
  <c r="C52" i="32"/>
  <c r="J55" i="32"/>
  <c r="AD55" i="32"/>
  <c r="Q14" i="32"/>
  <c r="D10" i="32"/>
  <c r="K14" i="32"/>
  <c r="AH47" i="32"/>
  <c r="P36" i="32"/>
  <c r="I42" i="32"/>
  <c r="P47" i="32"/>
  <c r="AB32" i="32"/>
  <c r="Z42" i="32"/>
  <c r="C55" i="32"/>
  <c r="AF27" i="32"/>
  <c r="O27" i="32"/>
  <c r="F27" i="32"/>
  <c r="P27" i="32"/>
  <c r="E17" i="32"/>
  <c r="V9" i="32"/>
  <c r="J25" i="32"/>
  <c r="D54" i="32"/>
  <c r="D55" i="32" s="1"/>
  <c r="AJ12" i="32"/>
  <c r="W30" i="32"/>
  <c r="W32" i="32" s="1"/>
  <c r="J42" i="32"/>
  <c r="F9" i="32"/>
  <c r="E11" i="32"/>
  <c r="V11" i="32"/>
  <c r="AI15" i="32"/>
  <c r="Q16" i="32"/>
  <c r="AH16" i="32"/>
  <c r="P18" i="32"/>
  <c r="O19" i="32"/>
  <c r="AF19" i="32"/>
  <c r="N20" i="32"/>
  <c r="AD21" i="32"/>
  <c r="L24" i="32"/>
  <c r="AC24" i="32"/>
  <c r="K25" i="32"/>
  <c r="AB25" i="32"/>
  <c r="J26" i="32"/>
  <c r="J27" i="32" s="1"/>
  <c r="Z28" i="32"/>
  <c r="H29" i="32"/>
  <c r="Y29" i="32"/>
  <c r="G30" i="32"/>
  <c r="T30" i="32" s="1"/>
  <c r="X30" i="32"/>
  <c r="F31" i="32"/>
  <c r="F32" i="32" s="1"/>
  <c r="V33" i="32"/>
  <c r="D34" i="32"/>
  <c r="D36" i="32" s="1"/>
  <c r="U34" i="32"/>
  <c r="C35" i="32"/>
  <c r="S35" i="32"/>
  <c r="AJ35" i="32"/>
  <c r="Q39" i="32"/>
  <c r="AH39" i="32"/>
  <c r="P40" i="32"/>
  <c r="AG40" i="32"/>
  <c r="O41" i="32"/>
  <c r="AF41" i="32"/>
  <c r="M44" i="32"/>
  <c r="AD44" i="32"/>
  <c r="L45" i="32"/>
  <c r="AC45" i="32"/>
  <c r="K46" i="32"/>
  <c r="AB46" i="32"/>
  <c r="I49" i="32"/>
  <c r="Z49" i="32"/>
  <c r="H50" i="32"/>
  <c r="Y50" i="32"/>
  <c r="G51" i="32"/>
  <c r="X51" i="32"/>
  <c r="E54" i="32"/>
  <c r="V54" i="32"/>
  <c r="U11" i="32"/>
  <c r="F51" i="32"/>
  <c r="F52" i="32" s="1"/>
  <c r="AA6" i="32"/>
  <c r="AA10" i="32" s="1"/>
  <c r="I7" i="32"/>
  <c r="I10" i="32" s="1"/>
  <c r="Z7" i="32"/>
  <c r="H8" i="32"/>
  <c r="Y8" i="32"/>
  <c r="G9" i="32"/>
  <c r="X9" i="32"/>
  <c r="F11" i="32"/>
  <c r="F14" i="32" s="1"/>
  <c r="W11" i="32"/>
  <c r="W14" i="32" s="1"/>
  <c r="E12" i="32"/>
  <c r="V12" i="32"/>
  <c r="D13" i="32"/>
  <c r="R16" i="32"/>
  <c r="R17" i="32" s="1"/>
  <c r="AI16" i="32"/>
  <c r="Q18" i="32"/>
  <c r="Q22" i="32" s="1"/>
  <c r="AH18" i="32"/>
  <c r="AH22" i="32" s="1"/>
  <c r="P19" i="32"/>
  <c r="AG19" i="32"/>
  <c r="AG22" i="32" s="1"/>
  <c r="O20" i="32"/>
  <c r="AF20" i="32"/>
  <c r="N21" i="32"/>
  <c r="AE21" i="32"/>
  <c r="M24" i="32"/>
  <c r="M27" i="32" s="1"/>
  <c r="AD24" i="32"/>
  <c r="AD27" i="32" s="1"/>
  <c r="L25" i="32"/>
  <c r="AC25" i="32"/>
  <c r="K26" i="32"/>
  <c r="AB26" i="32"/>
  <c r="J28" i="32"/>
  <c r="J32" i="32" s="1"/>
  <c r="AA28" i="32"/>
  <c r="AA32" i="32" s="1"/>
  <c r="I29" i="32"/>
  <c r="I32" i="32" s="1"/>
  <c r="Z29" i="32"/>
  <c r="H30" i="32"/>
  <c r="Y30" i="32"/>
  <c r="G31" i="32"/>
  <c r="X31" i="32"/>
  <c r="F33" i="32"/>
  <c r="F36" i="32" s="1"/>
  <c r="W33" i="32"/>
  <c r="W36" i="32" s="1"/>
  <c r="E34" i="32"/>
  <c r="V34" i="32"/>
  <c r="D35" i="32"/>
  <c r="U35" i="32"/>
  <c r="C38" i="32"/>
  <c r="C42" i="32" s="1"/>
  <c r="S38" i="32"/>
  <c r="S42" i="32" s="1"/>
  <c r="AJ38" i="32"/>
  <c r="AJ42" i="32" s="1"/>
  <c r="R39" i="32"/>
  <c r="AI39" i="32"/>
  <c r="Q40" i="32"/>
  <c r="AH40" i="32"/>
  <c r="P41" i="32"/>
  <c r="AG41" i="32"/>
  <c r="O43" i="32"/>
  <c r="O47" i="32" s="1"/>
  <c r="AF43" i="32"/>
  <c r="AF47" i="32" s="1"/>
  <c r="N44" i="32"/>
  <c r="N47" i="32" s="1"/>
  <c r="AE44" i="32"/>
  <c r="M45" i="32"/>
  <c r="AD45" i="32"/>
  <c r="L46" i="32"/>
  <c r="AC46" i="32"/>
  <c r="K48" i="32"/>
  <c r="K52" i="32" s="1"/>
  <c r="AB48" i="32"/>
  <c r="AB52" i="32" s="1"/>
  <c r="J49" i="32"/>
  <c r="AA49" i="32"/>
  <c r="I50" i="32"/>
  <c r="Z50" i="32"/>
  <c r="H51" i="32"/>
  <c r="Y51" i="32"/>
  <c r="G53" i="32"/>
  <c r="G55" i="32" s="1"/>
  <c r="X53" i="32"/>
  <c r="X55" i="32" s="1"/>
  <c r="F54" i="32"/>
  <c r="W54" i="32"/>
  <c r="H6" i="32"/>
  <c r="D11" i="32"/>
  <c r="AI13" i="32"/>
  <c r="AI14" i="32" s="1"/>
  <c r="AG16" i="32"/>
  <c r="AG17" i="32" s="1"/>
  <c r="AD20" i="32"/>
  <c r="AD22" i="32" s="1"/>
  <c r="Z26" i="32"/>
  <c r="Z27" i="32" s="1"/>
  <c r="C34" i="32"/>
  <c r="T34" i="32" s="1"/>
  <c r="AF40" i="32"/>
  <c r="V53" i="32"/>
  <c r="S10" i="32"/>
  <c r="Q27" i="32"/>
  <c r="W27" i="32"/>
  <c r="V42" i="32"/>
  <c r="G42" i="32"/>
  <c r="Z55" i="32"/>
  <c r="F8" i="32"/>
  <c r="R13" i="32"/>
  <c r="R14" i="32" s="1"/>
  <c r="AF18" i="32"/>
  <c r="AC21" i="32"/>
  <c r="AC22" i="32" s="1"/>
  <c r="Y28" i="32"/>
  <c r="E31" i="32"/>
  <c r="AJ34" i="32"/>
  <c r="O40" i="32"/>
  <c r="X50" i="32"/>
  <c r="AJ10" i="32"/>
  <c r="Y17" i="32"/>
  <c r="R27" i="32"/>
  <c r="H42" i="32"/>
  <c r="H55" i="32"/>
  <c r="C12" i="32"/>
  <c r="O18" i="32"/>
  <c r="L21" i="32"/>
  <c r="X29" i="32"/>
  <c r="AI35" i="32"/>
  <c r="I48" i="32"/>
  <c r="Z17" i="32"/>
  <c r="S27" i="32"/>
  <c r="AF36" i="32"/>
  <c r="D42" i="32"/>
  <c r="X42" i="32"/>
  <c r="AJ52" i="32"/>
  <c r="V52" i="32"/>
  <c r="AC42" i="32"/>
  <c r="W8" i="32"/>
  <c r="AH15" i="32"/>
  <c r="AE19" i="32"/>
  <c r="K24" i="32"/>
  <c r="G29" i="32"/>
  <c r="U33" i="32"/>
  <c r="AH38" i="32"/>
  <c r="N41" i="32"/>
  <c r="M43" i="32"/>
  <c r="L44" i="32"/>
  <c r="AC44" i="32"/>
  <c r="J46" i="32"/>
  <c r="Z48" i="32"/>
  <c r="Z52" i="32" s="1"/>
  <c r="Z56" i="32" s="1"/>
  <c r="H49" i="32"/>
  <c r="W51" i="32"/>
  <c r="W52" i="32" s="1"/>
  <c r="E42" i="32"/>
  <c r="Y14" i="32"/>
  <c r="AJ22" i="32"/>
  <c r="AC36" i="32"/>
  <c r="AH36" i="32"/>
  <c r="M52" i="32"/>
  <c r="G7" i="32"/>
  <c r="AA25" i="32"/>
  <c r="AF14" i="32"/>
  <c r="J36" i="32"/>
  <c r="O36" i="32"/>
  <c r="N52" i="32"/>
  <c r="Y6" i="32"/>
  <c r="H28" i="32"/>
  <c r="X47" i="32"/>
  <c r="AD52" i="32"/>
  <c r="Y49" i="32"/>
  <c r="D22" i="32"/>
  <c r="X22" i="32"/>
  <c r="Y47" i="32"/>
  <c r="L52" i="32"/>
  <c r="AE52" i="32"/>
  <c r="AJ32" i="32"/>
  <c r="H36" i="32"/>
  <c r="Z47" i="32"/>
  <c r="E9" i="32"/>
  <c r="E10" i="32" s="1"/>
  <c r="Q15" i="32"/>
  <c r="N19" i="32"/>
  <c r="N22" i="32" s="1"/>
  <c r="AB24" i="32"/>
  <c r="F30" i="32"/>
  <c r="D33" i="32"/>
  <c r="R35" i="32"/>
  <c r="R36" i="32" s="1"/>
  <c r="AG39" i="32"/>
  <c r="AD43" i="32"/>
  <c r="AD47" i="32" s="1"/>
  <c r="AB45" i="32"/>
  <c r="AA46" i="32"/>
  <c r="AA47" i="32" s="1"/>
  <c r="E53" i="32"/>
  <c r="O17" i="32"/>
  <c r="AJ47" i="32"/>
  <c r="X7" i="32"/>
  <c r="S12" i="32"/>
  <c r="S14" i="32" s="1"/>
  <c r="S23" i="32" s="1"/>
  <c r="P16" i="32"/>
  <c r="M20" i="32"/>
  <c r="T20" i="32" s="1"/>
  <c r="I26" i="32"/>
  <c r="V31" i="32"/>
  <c r="V32" i="32" s="1"/>
  <c r="S34" i="32"/>
  <c r="Q38" i="32"/>
  <c r="P39" i="32"/>
  <c r="AE41" i="32"/>
  <c r="AE42" i="32" s="1"/>
  <c r="K45" i="32"/>
  <c r="U54" i="32"/>
  <c r="AG32" i="32"/>
  <c r="C47" i="32"/>
  <c r="K27" i="32"/>
  <c r="W17" i="32"/>
  <c r="AG10" i="32"/>
  <c r="X17" i="32"/>
  <c r="O14" i="32"/>
  <c r="AH10" i="32"/>
  <c r="K55" i="32"/>
  <c r="V22" i="32"/>
  <c r="D17" i="32"/>
  <c r="Z14" i="32"/>
  <c r="L10" i="32"/>
  <c r="M32" i="32"/>
  <c r="U42" i="32"/>
  <c r="V17" i="32"/>
  <c r="AB36" i="32"/>
  <c r="Z10" i="32"/>
  <c r="J14" i="32"/>
  <c r="N17" i="32"/>
  <c r="AI32" i="32"/>
  <c r="X27" i="32"/>
  <c r="M10" i="32"/>
  <c r="AE10" i="32"/>
  <c r="N10" i="32"/>
  <c r="O10" i="32"/>
  <c r="J22" i="32"/>
  <c r="AF52" i="32"/>
  <c r="P10" i="32"/>
  <c r="AA22" i="32"/>
  <c r="K36" i="32"/>
  <c r="W42" i="32"/>
  <c r="AB22" i="32"/>
  <c r="L36" i="32"/>
  <c r="K42" i="32"/>
  <c r="O52" i="32"/>
  <c r="R10" i="32"/>
  <c r="Q32" i="32"/>
  <c r="L42" i="32"/>
  <c r="E47" i="32"/>
  <c r="P52" i="32"/>
  <c r="G27" i="32"/>
  <c r="R32" i="32"/>
  <c r="K32" i="32"/>
  <c r="AD32" i="32"/>
  <c r="AG36" i="32"/>
  <c r="C10" i="32"/>
  <c r="L22" i="32"/>
  <c r="E22" i="32"/>
  <c r="H27" i="32"/>
  <c r="AI27" i="32"/>
  <c r="X36" i="32"/>
  <c r="R52" i="32"/>
  <c r="H14" i="32"/>
  <c r="F22" i="32"/>
  <c r="U32" i="32"/>
  <c r="AC32" i="32"/>
  <c r="AB42" i="32"/>
  <c r="C27" i="32"/>
  <c r="I14" i="32"/>
  <c r="M17" i="32"/>
  <c r="G36" i="32"/>
  <c r="M42" i="32"/>
  <c r="Q47" i="32"/>
  <c r="D32" i="32"/>
  <c r="G47" i="32"/>
  <c r="R47" i="32"/>
  <c r="AF17" i="32"/>
  <c r="AG27" i="32"/>
  <c r="Y36" i="32"/>
  <c r="H47" i="32"/>
  <c r="T54" i="32"/>
  <c r="Z36" i="32"/>
  <c r="I47" i="32"/>
  <c r="AC52" i="32"/>
  <c r="AF10" i="32"/>
  <c r="AB10" i="32"/>
  <c r="AG14" i="32"/>
  <c r="D27" i="32"/>
  <c r="AE32" i="32"/>
  <c r="K10" i="32"/>
  <c r="AC10" i="32"/>
  <c r="AH14" i="32"/>
  <c r="AF32" i="32"/>
  <c r="P32" i="32"/>
  <c r="I36" i="32"/>
  <c r="S47" i="32"/>
  <c r="W55" i="32"/>
  <c r="Y42" i="32"/>
  <c r="AI47" i="32"/>
  <c r="AA42" i="32"/>
  <c r="C32" i="32"/>
  <c r="C22" i="32"/>
  <c r="C17" i="32"/>
  <c r="U17" i="32"/>
  <c r="R55" i="31"/>
  <c r="Q55" i="31"/>
  <c r="V55" i="31"/>
  <c r="S55" i="31"/>
  <c r="E55" i="31"/>
  <c r="D55" i="31"/>
  <c r="C55" i="31"/>
  <c r="AJ55" i="31"/>
  <c r="AI55" i="31"/>
  <c r="AH55" i="31"/>
  <c r="AG55" i="31"/>
  <c r="AF55" i="31"/>
  <c r="AE55" i="31"/>
  <c r="AD55" i="31"/>
  <c r="AC55" i="31"/>
  <c r="AB55" i="31"/>
  <c r="X55" i="31"/>
  <c r="P55" i="31"/>
  <c r="O55" i="31"/>
  <c r="N55" i="31"/>
  <c r="M55" i="31"/>
  <c r="L55" i="31"/>
  <c r="H55" i="31"/>
  <c r="AH52" i="31"/>
  <c r="R52" i="31"/>
  <c r="W52" i="31"/>
  <c r="V52" i="31"/>
  <c r="AK49" i="31"/>
  <c r="F52" i="31"/>
  <c r="E52" i="31"/>
  <c r="D52" i="31"/>
  <c r="AJ52" i="31"/>
  <c r="AD52" i="31"/>
  <c r="AC52" i="31"/>
  <c r="AB52" i="31"/>
  <c r="AA52" i="31"/>
  <c r="Z52" i="31"/>
  <c r="Y52" i="31"/>
  <c r="M52" i="31"/>
  <c r="L52" i="31"/>
  <c r="K52" i="31"/>
  <c r="J52" i="31"/>
  <c r="I52" i="31"/>
  <c r="Q47" i="31"/>
  <c r="E47" i="31"/>
  <c r="AG47" i="31"/>
  <c r="AE47" i="31"/>
  <c r="AD47" i="31"/>
  <c r="AC47" i="31"/>
  <c r="AB47" i="31"/>
  <c r="AA47" i="31"/>
  <c r="Z47" i="31"/>
  <c r="Y47" i="31"/>
  <c r="O47" i="31"/>
  <c r="N47" i="31"/>
  <c r="M47" i="31"/>
  <c r="L47" i="31"/>
  <c r="K47" i="31"/>
  <c r="J47" i="31"/>
  <c r="I47" i="31"/>
  <c r="H47" i="31"/>
  <c r="AD42" i="31"/>
  <c r="AB42" i="31"/>
  <c r="AA42" i="31"/>
  <c r="Z42" i="31"/>
  <c r="N42" i="31"/>
  <c r="L42" i="31"/>
  <c r="K42" i="31"/>
  <c r="J42" i="31"/>
  <c r="I42" i="31"/>
  <c r="P36" i="31"/>
  <c r="N36" i="31"/>
  <c r="AH36" i="31"/>
  <c r="AG36" i="31"/>
  <c r="AF36" i="31"/>
  <c r="AE36" i="31"/>
  <c r="AD36" i="31"/>
  <c r="AC36" i="31"/>
  <c r="AA36" i="31"/>
  <c r="Q36" i="31"/>
  <c r="O36" i="31"/>
  <c r="M36" i="31"/>
  <c r="K36" i="31"/>
  <c r="H36" i="31"/>
  <c r="U32" i="31"/>
  <c r="E32" i="31"/>
  <c r="Y32" i="31"/>
  <c r="X32" i="31"/>
  <c r="H32" i="31"/>
  <c r="F32" i="31"/>
  <c r="AF32" i="31"/>
  <c r="AE32" i="31"/>
  <c r="AD32" i="31"/>
  <c r="AC32" i="31"/>
  <c r="AB32" i="31"/>
  <c r="W32" i="31"/>
  <c r="O32" i="31"/>
  <c r="N32" i="31"/>
  <c r="M32" i="31"/>
  <c r="L32" i="31"/>
  <c r="G32" i="31"/>
  <c r="AJ27" i="31"/>
  <c r="R27" i="31"/>
  <c r="AK25" i="31"/>
  <c r="D27" i="31"/>
  <c r="AH27" i="31"/>
  <c r="AG27" i="31"/>
  <c r="AE27" i="31"/>
  <c r="AB27" i="31"/>
  <c r="AA27" i="31"/>
  <c r="Z27" i="31"/>
  <c r="Y27" i="31"/>
  <c r="X27" i="31"/>
  <c r="O27" i="31"/>
  <c r="M27" i="31"/>
  <c r="L27" i="31"/>
  <c r="K27" i="31"/>
  <c r="J27" i="31"/>
  <c r="I27" i="31"/>
  <c r="H27" i="31"/>
  <c r="G27" i="31"/>
  <c r="AF22" i="31"/>
  <c r="AD22" i="31"/>
  <c r="AC22" i="31"/>
  <c r="AB22" i="31"/>
  <c r="AA22" i="31"/>
  <c r="Z22" i="31"/>
  <c r="P22" i="31"/>
  <c r="N22" i="31"/>
  <c r="M22" i="31"/>
  <c r="L22" i="31"/>
  <c r="K22" i="31"/>
  <c r="J22" i="31"/>
  <c r="I22" i="31"/>
  <c r="O17" i="31"/>
  <c r="N17" i="31"/>
  <c r="M17" i="31"/>
  <c r="AH17" i="31"/>
  <c r="AE17" i="31"/>
  <c r="AD17" i="31"/>
  <c r="AC17" i="31"/>
  <c r="AB17" i="31"/>
  <c r="AA17" i="31"/>
  <c r="W17" i="31"/>
  <c r="V17" i="31"/>
  <c r="R17" i="31"/>
  <c r="L17" i="31"/>
  <c r="K17" i="31"/>
  <c r="J17" i="31"/>
  <c r="F17" i="31"/>
  <c r="E17" i="31"/>
  <c r="N14" i="31"/>
  <c r="L14" i="31"/>
  <c r="AH14" i="31"/>
  <c r="AG14" i="31"/>
  <c r="AF14" i="31"/>
  <c r="AE14" i="31"/>
  <c r="AD14" i="31"/>
  <c r="AC14" i="31"/>
  <c r="AB14" i="31"/>
  <c r="AA14" i="31"/>
  <c r="Z14" i="31"/>
  <c r="Y14" i="31"/>
  <c r="Q14" i="31"/>
  <c r="P14" i="31"/>
  <c r="O14" i="31"/>
  <c r="M14" i="31"/>
  <c r="K14" i="31"/>
  <c r="J14" i="31"/>
  <c r="I14" i="31"/>
  <c r="H14" i="31"/>
  <c r="C10" i="31"/>
  <c r="AK8" i="31"/>
  <c r="Y10" i="31"/>
  <c r="X10" i="31"/>
  <c r="I10" i="31"/>
  <c r="H10" i="31"/>
  <c r="G10" i="31"/>
  <c r="AI10" i="31"/>
  <c r="AG10" i="31"/>
  <c r="AF10" i="31"/>
  <c r="AE10" i="31"/>
  <c r="AD10" i="31"/>
  <c r="AC10" i="31"/>
  <c r="AB10" i="31"/>
  <c r="AA10" i="31"/>
  <c r="U10" i="31"/>
  <c r="S10" i="31"/>
  <c r="P10" i="31"/>
  <c r="O10" i="31"/>
  <c r="N10" i="31"/>
  <c r="M10" i="31"/>
  <c r="L10" i="31"/>
  <c r="K10" i="31"/>
  <c r="J10" i="31"/>
  <c r="E10" i="31"/>
  <c r="P17" i="32" l="1"/>
  <c r="AH37" i="32"/>
  <c r="W10" i="32"/>
  <c r="Q37" i="32"/>
  <c r="N37" i="32"/>
  <c r="T13" i="32"/>
  <c r="S56" i="32"/>
  <c r="AJ36" i="32"/>
  <c r="AJ37" i="32" s="1"/>
  <c r="E32" i="32"/>
  <c r="D47" i="32"/>
  <c r="D56" i="32" s="1"/>
  <c r="AI37" i="32"/>
  <c r="AK12" i="32"/>
  <c r="H52" i="32"/>
  <c r="H56" i="32" s="1"/>
  <c r="AI36" i="32"/>
  <c r="AI42" i="32"/>
  <c r="AI56" i="32" s="1"/>
  <c r="AJ14" i="32"/>
  <c r="K47" i="32"/>
  <c r="K56" i="32" s="1"/>
  <c r="T25" i="32"/>
  <c r="AK54" i="32"/>
  <c r="AL54" i="32" s="1"/>
  <c r="H10" i="32"/>
  <c r="H23" i="32" s="1"/>
  <c r="V10" i="32"/>
  <c r="J47" i="32"/>
  <c r="P42" i="32"/>
  <c r="C14" i="32"/>
  <c r="AA52" i="32"/>
  <c r="AA56" i="32" s="1"/>
  <c r="R42" i="32"/>
  <c r="Q17" i="32"/>
  <c r="Q23" i="32" s="1"/>
  <c r="J52" i="32"/>
  <c r="L27" i="32"/>
  <c r="L37" i="32" s="1"/>
  <c r="AA27" i="32"/>
  <c r="G10" i="32"/>
  <c r="V36" i="32"/>
  <c r="V37" i="32" s="1"/>
  <c r="E36" i="32"/>
  <c r="AK6" i="32"/>
  <c r="T50" i="32"/>
  <c r="Z32" i="32"/>
  <c r="AJ56" i="32"/>
  <c r="T44" i="32"/>
  <c r="AL44" i="32" s="1"/>
  <c r="AK16" i="32"/>
  <c r="AL16" i="32" s="1"/>
  <c r="M47" i="32"/>
  <c r="M56" i="32" s="1"/>
  <c r="T53" i="32"/>
  <c r="AH42" i="32"/>
  <c r="AH56" i="32" s="1"/>
  <c r="Y32" i="32"/>
  <c r="Y37" i="32" s="1"/>
  <c r="AK45" i="32"/>
  <c r="AK18" i="32"/>
  <c r="W56" i="32"/>
  <c r="T46" i="32"/>
  <c r="AD37" i="32"/>
  <c r="O37" i="32"/>
  <c r="T24" i="32"/>
  <c r="AE47" i="32"/>
  <c r="T45" i="32"/>
  <c r="AK15" i="32"/>
  <c r="T16" i="32"/>
  <c r="T15" i="32"/>
  <c r="AL15" i="32" s="1"/>
  <c r="AE56" i="32"/>
  <c r="T41" i="32"/>
  <c r="T48" i="32"/>
  <c r="AL48" i="32" s="1"/>
  <c r="AK26" i="32"/>
  <c r="AK35" i="32"/>
  <c r="AK48" i="32"/>
  <c r="T6" i="32"/>
  <c r="AK39" i="32"/>
  <c r="D14" i="32"/>
  <c r="D23" i="32" s="1"/>
  <c r="F10" i="32"/>
  <c r="F23" i="32" s="1"/>
  <c r="T35" i="32"/>
  <c r="AK21" i="32"/>
  <c r="S36" i="32"/>
  <c r="S37" i="32" s="1"/>
  <c r="S57" i="32" s="1"/>
  <c r="F55" i="32"/>
  <c r="T55" i="32" s="1"/>
  <c r="T39" i="32"/>
  <c r="R37" i="32"/>
  <c r="AB27" i="32"/>
  <c r="AB37" i="32" s="1"/>
  <c r="L14" i="32"/>
  <c r="L23" i="32" s="1"/>
  <c r="AG37" i="32"/>
  <c r="U55" i="32"/>
  <c r="U56" i="32" s="1"/>
  <c r="AK30" i="32"/>
  <c r="AL30" i="32" s="1"/>
  <c r="AH17" i="32"/>
  <c r="AK17" i="32" s="1"/>
  <c r="AC47" i="32"/>
  <c r="AC56" i="32" s="1"/>
  <c r="AF37" i="32"/>
  <c r="X52" i="32"/>
  <c r="X56" i="32" s="1"/>
  <c r="V55" i="32"/>
  <c r="V56" i="32" s="1"/>
  <c r="I52" i="32"/>
  <c r="I56" i="32" s="1"/>
  <c r="Q42" i="32"/>
  <c r="Q56" i="32" s="1"/>
  <c r="AK41" i="32"/>
  <c r="T29" i="32"/>
  <c r="E14" i="32"/>
  <c r="E23" i="32" s="1"/>
  <c r="AK13" i="32"/>
  <c r="AL13" i="32" s="1"/>
  <c r="G52" i="32"/>
  <c r="G56" i="32" s="1"/>
  <c r="AA37" i="32"/>
  <c r="T40" i="32"/>
  <c r="AK40" i="32"/>
  <c r="U14" i="32"/>
  <c r="AF42" i="32"/>
  <c r="AF56" i="32" s="1"/>
  <c r="T31" i="32"/>
  <c r="AD56" i="32"/>
  <c r="N42" i="32"/>
  <c r="Z23" i="32"/>
  <c r="C36" i="32"/>
  <c r="AC23" i="32"/>
  <c r="T7" i="32"/>
  <c r="AL7" i="32" s="1"/>
  <c r="AK11" i="32"/>
  <c r="P56" i="32"/>
  <c r="T49" i="32"/>
  <c r="AK34" i="32"/>
  <c r="AL34" i="32" s="1"/>
  <c r="AK19" i="32"/>
  <c r="T28" i="32"/>
  <c r="W37" i="32"/>
  <c r="AB47" i="32"/>
  <c r="O22" i="32"/>
  <c r="O23" i="32" s="1"/>
  <c r="T26" i="32"/>
  <c r="T21" i="32"/>
  <c r="AK33" i="32"/>
  <c r="T18" i="32"/>
  <c r="AL18" i="32" s="1"/>
  <c r="AK28" i="32"/>
  <c r="P37" i="32"/>
  <c r="AK20" i="32"/>
  <c r="AL20" i="32" s="1"/>
  <c r="T8" i="32"/>
  <c r="Y52" i="32"/>
  <c r="AK52" i="32" s="1"/>
  <c r="AG42" i="32"/>
  <c r="AG56" i="32" s="1"/>
  <c r="G32" i="32"/>
  <c r="X32" i="32"/>
  <c r="X37" i="32" s="1"/>
  <c r="E55" i="32"/>
  <c r="AK44" i="32"/>
  <c r="AK46" i="32"/>
  <c r="AK38" i="32"/>
  <c r="AL38" i="32" s="1"/>
  <c r="AK50" i="32"/>
  <c r="AL50" i="32" s="1"/>
  <c r="X10" i="32"/>
  <c r="X23" i="32" s="1"/>
  <c r="AJ23" i="32"/>
  <c r="AK29" i="32"/>
  <c r="V14" i="32"/>
  <c r="V23" i="32" s="1"/>
  <c r="AK49" i="32"/>
  <c r="AL49" i="32" s="1"/>
  <c r="D37" i="32"/>
  <c r="Y10" i="32"/>
  <c r="Y23" i="32" s="1"/>
  <c r="T43" i="32"/>
  <c r="T11" i="32"/>
  <c r="AK8" i="32"/>
  <c r="L47" i="32"/>
  <c r="L56" i="32" s="1"/>
  <c r="AK24" i="32"/>
  <c r="AK43" i="32"/>
  <c r="AK31" i="32"/>
  <c r="M22" i="32"/>
  <c r="M23" i="32" s="1"/>
  <c r="H32" i="32"/>
  <c r="H37" i="32" s="1"/>
  <c r="AF22" i="32"/>
  <c r="AF23" i="32" s="1"/>
  <c r="AI17" i="32"/>
  <c r="AI23" i="32" s="1"/>
  <c r="U36" i="32"/>
  <c r="U37" i="32" s="1"/>
  <c r="AK51" i="32"/>
  <c r="AK25" i="32"/>
  <c r="O42" i="32"/>
  <c r="O56" i="32" s="1"/>
  <c r="K37" i="32"/>
  <c r="AK53" i="32"/>
  <c r="AL53" i="32" s="1"/>
  <c r="Z37" i="32"/>
  <c r="Z57" i="32" s="1"/>
  <c r="F37" i="32"/>
  <c r="T9" i="32"/>
  <c r="AL9" i="32" s="1"/>
  <c r="I23" i="32"/>
  <c r="I27" i="32"/>
  <c r="I37" i="32" s="1"/>
  <c r="P22" i="32"/>
  <c r="P23" i="32" s="1"/>
  <c r="T51" i="32"/>
  <c r="AE37" i="32"/>
  <c r="AD23" i="32"/>
  <c r="M37" i="32"/>
  <c r="AC27" i="32"/>
  <c r="K23" i="32"/>
  <c r="R23" i="32"/>
  <c r="T19" i="32"/>
  <c r="T12" i="32"/>
  <c r="AL12" i="32" s="1"/>
  <c r="AE22" i="32"/>
  <c r="AG23" i="32"/>
  <c r="T33" i="32"/>
  <c r="N23" i="32"/>
  <c r="R56" i="32"/>
  <c r="J23" i="32"/>
  <c r="G23" i="32"/>
  <c r="C56" i="32"/>
  <c r="J56" i="32"/>
  <c r="AB23" i="32"/>
  <c r="E37" i="32"/>
  <c r="T17" i="32"/>
  <c r="J37" i="32"/>
  <c r="C37" i="32"/>
  <c r="E56" i="32"/>
  <c r="AA23" i="32"/>
  <c r="W23" i="32"/>
  <c r="C23" i="32"/>
  <c r="AK13" i="31"/>
  <c r="AL13" i="31" s="1"/>
  <c r="AK35" i="31"/>
  <c r="AL35" i="31" s="1"/>
  <c r="AK45" i="31"/>
  <c r="AL45" i="31" s="1"/>
  <c r="AL21" i="31"/>
  <c r="AK26" i="31"/>
  <c r="I32" i="31"/>
  <c r="Z32" i="31"/>
  <c r="Y36" i="31"/>
  <c r="Y37" i="31" s="1"/>
  <c r="G52" i="31"/>
  <c r="X52" i="31"/>
  <c r="AK50" i="31"/>
  <c r="AL50" i="31" s="1"/>
  <c r="F55" i="31"/>
  <c r="W55" i="31"/>
  <c r="AK21" i="31"/>
  <c r="J32" i="31"/>
  <c r="AA32" i="31"/>
  <c r="AA37" i="31" s="1"/>
  <c r="AK31" i="31"/>
  <c r="AL31" i="31" s="1"/>
  <c r="I36" i="31"/>
  <c r="Z36" i="31"/>
  <c r="AK41" i="31"/>
  <c r="AL41" i="31" s="1"/>
  <c r="H52" i="31"/>
  <c r="G55" i="31"/>
  <c r="K32" i="31"/>
  <c r="K37" i="31" s="1"/>
  <c r="J36" i="31"/>
  <c r="AK46" i="31"/>
  <c r="Y55" i="31"/>
  <c r="AB36" i="31"/>
  <c r="AB37" i="31" s="1"/>
  <c r="AC42" i="31"/>
  <c r="AC56" i="31" s="1"/>
  <c r="AK51" i="31"/>
  <c r="I55" i="31"/>
  <c r="I56" i="31" s="1"/>
  <c r="Z55" i="31"/>
  <c r="Z56" i="31" s="1"/>
  <c r="Q10" i="31"/>
  <c r="AH10" i="31"/>
  <c r="P32" i="31"/>
  <c r="AG32" i="31"/>
  <c r="AG37" i="31" s="1"/>
  <c r="L36" i="31"/>
  <c r="L37" i="31" s="1"/>
  <c r="M42" i="31"/>
  <c r="M56" i="31" s="1"/>
  <c r="N52" i="31"/>
  <c r="N56" i="31" s="1"/>
  <c r="AE52" i="31"/>
  <c r="J55" i="31"/>
  <c r="J56" i="31" s="1"/>
  <c r="AA55" i="31"/>
  <c r="AA56" i="31" s="1"/>
  <c r="AK54" i="31"/>
  <c r="AL54" i="31" s="1"/>
  <c r="R10" i="31"/>
  <c r="AF17" i="31"/>
  <c r="AF23" i="31" s="1"/>
  <c r="AE22" i="31"/>
  <c r="AE23" i="31" s="1"/>
  <c r="AC27" i="31"/>
  <c r="Q32" i="31"/>
  <c r="AH32" i="31"/>
  <c r="AH37" i="31" s="1"/>
  <c r="AE42" i="31"/>
  <c r="O52" i="31"/>
  <c r="O56" i="31" s="1"/>
  <c r="AF52" i="31"/>
  <c r="K55" i="31"/>
  <c r="K56" i="31" s="1"/>
  <c r="U55" i="31"/>
  <c r="AK9" i="31"/>
  <c r="T6" i="31"/>
  <c r="P17" i="31"/>
  <c r="P23" i="31" s="1"/>
  <c r="AG17" i="31"/>
  <c r="O22" i="31"/>
  <c r="O23" i="31" s="1"/>
  <c r="AD27" i="31"/>
  <c r="AD37" i="31" s="1"/>
  <c r="R32" i="31"/>
  <c r="AI32" i="31"/>
  <c r="AI42" i="31"/>
  <c r="O42" i="31"/>
  <c r="AF42" i="31"/>
  <c r="P52" i="31"/>
  <c r="AG52" i="31"/>
  <c r="AK40" i="31"/>
  <c r="AL40" i="31" s="1"/>
  <c r="AK6" i="31"/>
  <c r="R14" i="31"/>
  <c r="AI14" i="31"/>
  <c r="AK15" i="31"/>
  <c r="Q17" i="31"/>
  <c r="AG22" i="31"/>
  <c r="Q27" i="31"/>
  <c r="N27" i="31"/>
  <c r="N37" i="31" s="1"/>
  <c r="C32" i="31"/>
  <c r="S32" i="31"/>
  <c r="AJ32" i="31"/>
  <c r="R36" i="31"/>
  <c r="AI36" i="31"/>
  <c r="C42" i="31"/>
  <c r="S42" i="31"/>
  <c r="AJ42" i="31"/>
  <c r="P42" i="31"/>
  <c r="AG42" i="31"/>
  <c r="AF47" i="31"/>
  <c r="Q52" i="31"/>
  <c r="C14" i="31"/>
  <c r="S14" i="31"/>
  <c r="AJ14" i="31"/>
  <c r="AI17" i="31"/>
  <c r="U22" i="31"/>
  <c r="Q22" i="31"/>
  <c r="AH22" i="31"/>
  <c r="AI27" i="31"/>
  <c r="AF27" i="31"/>
  <c r="AF37" i="31" s="1"/>
  <c r="D32" i="31"/>
  <c r="AK28" i="31"/>
  <c r="AL28" i="31" s="1"/>
  <c r="C36" i="31"/>
  <c r="S36" i="31"/>
  <c r="AJ36" i="31"/>
  <c r="D42" i="31"/>
  <c r="AK38" i="31"/>
  <c r="AL38" i="31" s="1"/>
  <c r="Q42" i="31"/>
  <c r="AH42" i="31"/>
  <c r="P47" i="31"/>
  <c r="AJ10" i="31"/>
  <c r="D14" i="31"/>
  <c r="U14" i="31"/>
  <c r="C17" i="31"/>
  <c r="S17" i="31"/>
  <c r="AJ17" i="31"/>
  <c r="E22" i="31"/>
  <c r="V22" i="31"/>
  <c r="R22" i="31"/>
  <c r="AI22" i="31"/>
  <c r="C27" i="31"/>
  <c r="S27" i="31"/>
  <c r="P27" i="31"/>
  <c r="D36" i="31"/>
  <c r="U36" i="31"/>
  <c r="E42" i="31"/>
  <c r="E56" i="31" s="1"/>
  <c r="V42" i="31"/>
  <c r="R42" i="31"/>
  <c r="AK43" i="31"/>
  <c r="AH47" i="31"/>
  <c r="AK7" i="31"/>
  <c r="E14" i="31"/>
  <c r="V14" i="31"/>
  <c r="G17" i="31"/>
  <c r="X17" i="31"/>
  <c r="D17" i="31"/>
  <c r="AK16" i="31"/>
  <c r="F22" i="31"/>
  <c r="W22" i="31"/>
  <c r="C22" i="31"/>
  <c r="S22" i="31"/>
  <c r="AJ22" i="31"/>
  <c r="AK24" i="31"/>
  <c r="AL24" i="31" s="1"/>
  <c r="E36" i="31"/>
  <c r="V36" i="31"/>
  <c r="F42" i="31"/>
  <c r="W42" i="31"/>
  <c r="V47" i="31"/>
  <c r="R47" i="31"/>
  <c r="AI47" i="31"/>
  <c r="AK48" i="31"/>
  <c r="V10" i="31"/>
  <c r="F14" i="31"/>
  <c r="W14" i="31"/>
  <c r="H17" i="31"/>
  <c r="Y17" i="31"/>
  <c r="G22" i="31"/>
  <c r="X22" i="31"/>
  <c r="D22" i="31"/>
  <c r="AK19" i="31"/>
  <c r="E27" i="31"/>
  <c r="V27" i="31"/>
  <c r="AK29" i="31"/>
  <c r="F36" i="31"/>
  <c r="W36" i="31"/>
  <c r="G42" i="31"/>
  <c r="X42" i="31"/>
  <c r="AK39" i="31"/>
  <c r="AL39" i="31" s="1"/>
  <c r="F47" i="31"/>
  <c r="W47" i="31"/>
  <c r="C47" i="31"/>
  <c r="S47" i="31"/>
  <c r="AJ47" i="31"/>
  <c r="AI52" i="31"/>
  <c r="AK53" i="31"/>
  <c r="AL53" i="31" s="1"/>
  <c r="AK20" i="31"/>
  <c r="AK30" i="31"/>
  <c r="Z10" i="31"/>
  <c r="F10" i="31"/>
  <c r="W10" i="31"/>
  <c r="AL8" i="31"/>
  <c r="G14" i="31"/>
  <c r="X14" i="31"/>
  <c r="AK12" i="31"/>
  <c r="AL12" i="31" s="1"/>
  <c r="I17" i="31"/>
  <c r="I23" i="31" s="1"/>
  <c r="Z17" i="31"/>
  <c r="H22" i="31"/>
  <c r="Y22" i="31"/>
  <c r="F27" i="31"/>
  <c r="W27" i="31"/>
  <c r="AL25" i="31"/>
  <c r="V32" i="31"/>
  <c r="G36" i="31"/>
  <c r="G37" i="31" s="1"/>
  <c r="X36" i="31"/>
  <c r="X37" i="31" s="1"/>
  <c r="AK34" i="31"/>
  <c r="H42" i="31"/>
  <c r="Y42" i="31"/>
  <c r="G47" i="31"/>
  <c r="X47" i="31"/>
  <c r="D47" i="31"/>
  <c r="U47" i="31"/>
  <c r="C52" i="31"/>
  <c r="S52" i="31"/>
  <c r="H37" i="31"/>
  <c r="J23" i="31"/>
  <c r="AA23" i="31"/>
  <c r="K23" i="31"/>
  <c r="AB23" i="31"/>
  <c r="L23" i="31"/>
  <c r="AC23" i="31"/>
  <c r="M23" i="31"/>
  <c r="AC37" i="31"/>
  <c r="N23" i="31"/>
  <c r="M37" i="31"/>
  <c r="AB56" i="31"/>
  <c r="AE37" i="31"/>
  <c r="L56" i="31"/>
  <c r="AD23" i="31"/>
  <c r="O37" i="31"/>
  <c r="AD56" i="31"/>
  <c r="AK18" i="31"/>
  <c r="AL18" i="31" s="1"/>
  <c r="D10" i="31"/>
  <c r="AL49" i="31"/>
  <c r="U27" i="31"/>
  <c r="U52" i="31"/>
  <c r="AK44" i="31"/>
  <c r="AK33" i="31"/>
  <c r="AK11" i="31"/>
  <c r="U42" i="31"/>
  <c r="U17" i="31"/>
  <c r="AL25" i="32" l="1"/>
  <c r="AK14" i="32"/>
  <c r="AK27" i="32"/>
  <c r="D57" i="32"/>
  <c r="Y23" i="31"/>
  <c r="T52" i="32"/>
  <c r="T32" i="32"/>
  <c r="I37" i="31"/>
  <c r="AL24" i="32"/>
  <c r="AL6" i="32"/>
  <c r="T10" i="32"/>
  <c r="AL45" i="32"/>
  <c r="AL28" i="32"/>
  <c r="T27" i="32"/>
  <c r="AL27" i="32" s="1"/>
  <c r="AL33" i="32"/>
  <c r="AL43" i="32"/>
  <c r="AG23" i="31"/>
  <c r="AL26" i="32"/>
  <c r="AL8" i="32"/>
  <c r="U23" i="32"/>
  <c r="U57" i="32" s="1"/>
  <c r="AL51" i="32"/>
  <c r="AJ57" i="32"/>
  <c r="P57" i="32"/>
  <c r="AL41" i="32"/>
  <c r="AK32" i="32"/>
  <c r="Q57" i="32"/>
  <c r="AK22" i="32"/>
  <c r="AL35" i="32"/>
  <c r="AH23" i="32"/>
  <c r="AH57" i="32" s="1"/>
  <c r="AL46" i="32"/>
  <c r="AF56" i="31"/>
  <c r="AF57" i="31" s="1"/>
  <c r="Y56" i="32"/>
  <c r="Y57" i="32" s="1"/>
  <c r="AJ37" i="31"/>
  <c r="AG56" i="31"/>
  <c r="AG57" i="31" s="1"/>
  <c r="AK36" i="32"/>
  <c r="AK47" i="32"/>
  <c r="AL39" i="32"/>
  <c r="T36" i="32"/>
  <c r="AL36" i="32" s="1"/>
  <c r="AL52" i="32"/>
  <c r="H23" i="31"/>
  <c r="O57" i="32"/>
  <c r="F56" i="32"/>
  <c r="F57" i="32" s="1"/>
  <c r="V57" i="32"/>
  <c r="AL29" i="32"/>
  <c r="AK55" i="32"/>
  <c r="AL55" i="32" s="1"/>
  <c r="I57" i="32"/>
  <c r="AL40" i="32"/>
  <c r="AE23" i="32"/>
  <c r="AE57" i="32" s="1"/>
  <c r="AL19" i="32"/>
  <c r="T14" i="32"/>
  <c r="AL14" i="32" s="1"/>
  <c r="AL21" i="32"/>
  <c r="Q37" i="31"/>
  <c r="AL17" i="32"/>
  <c r="H57" i="32"/>
  <c r="AA57" i="32"/>
  <c r="R57" i="32"/>
  <c r="T42" i="32"/>
  <c r="AG57" i="32"/>
  <c r="AB56" i="32"/>
  <c r="AB57" i="32" s="1"/>
  <c r="N56" i="32"/>
  <c r="N57" i="32" s="1"/>
  <c r="AF57" i="32"/>
  <c r="D56" i="31"/>
  <c r="G37" i="32"/>
  <c r="T37" i="32" s="1"/>
  <c r="AJ56" i="31"/>
  <c r="Z37" i="31"/>
  <c r="AC37" i="32"/>
  <c r="AC57" i="32" s="1"/>
  <c r="AL31" i="32"/>
  <c r="AK10" i="32"/>
  <c r="F37" i="31"/>
  <c r="W57" i="32"/>
  <c r="P37" i="31"/>
  <c r="AK42" i="32"/>
  <c r="AL42" i="32" s="1"/>
  <c r="AD57" i="32"/>
  <c r="L57" i="32"/>
  <c r="W37" i="31"/>
  <c r="Z23" i="31"/>
  <c r="K57" i="32"/>
  <c r="R56" i="31"/>
  <c r="V56" i="31"/>
  <c r="C23" i="31"/>
  <c r="X57" i="32"/>
  <c r="E37" i="31"/>
  <c r="AL11" i="32"/>
  <c r="M57" i="32"/>
  <c r="G23" i="31"/>
  <c r="T47" i="32"/>
  <c r="T36" i="31"/>
  <c r="J57" i="32"/>
  <c r="W56" i="31"/>
  <c r="T22" i="32"/>
  <c r="AL22" i="32" s="1"/>
  <c r="T27" i="31"/>
  <c r="F56" i="31"/>
  <c r="G57" i="32"/>
  <c r="P56" i="31"/>
  <c r="X56" i="31"/>
  <c r="AI57" i="32"/>
  <c r="AK14" i="31"/>
  <c r="AH56" i="31"/>
  <c r="T22" i="31"/>
  <c r="S56" i="31"/>
  <c r="AL6" i="31"/>
  <c r="T23" i="32"/>
  <c r="AL32" i="32"/>
  <c r="C57" i="32"/>
  <c r="E57" i="32"/>
  <c r="Q56" i="31"/>
  <c r="T55" i="31"/>
  <c r="T52" i="31"/>
  <c r="C56" i="31"/>
  <c r="AK55" i="31"/>
  <c r="AL55" i="31" s="1"/>
  <c r="T42" i="31"/>
  <c r="Y56" i="31"/>
  <c r="Y57" i="31" s="1"/>
  <c r="AK47" i="31"/>
  <c r="H56" i="31"/>
  <c r="G56" i="31"/>
  <c r="G57" i="31" s="1"/>
  <c r="AI56" i="31"/>
  <c r="AE56" i="31"/>
  <c r="AE57" i="31" s="1"/>
  <c r="R37" i="31"/>
  <c r="AI37" i="31"/>
  <c r="V37" i="31"/>
  <c r="U37" i="31"/>
  <c r="D37" i="31"/>
  <c r="J37" i="31"/>
  <c r="J57" i="31" s="1"/>
  <c r="K57" i="31"/>
  <c r="T32" i="31"/>
  <c r="AC57" i="31"/>
  <c r="AK10" i="31"/>
  <c r="F23" i="31"/>
  <c r="E23" i="31"/>
  <c r="AK17" i="31"/>
  <c r="T14" i="31"/>
  <c r="S23" i="31"/>
  <c r="T17" i="31"/>
  <c r="I57" i="31"/>
  <c r="W23" i="31"/>
  <c r="X23" i="31"/>
  <c r="AI23" i="31"/>
  <c r="AJ23" i="31"/>
  <c r="V23" i="31"/>
  <c r="R23" i="31"/>
  <c r="T10" i="31"/>
  <c r="C37" i="31"/>
  <c r="AL48" i="31"/>
  <c r="AK36" i="31"/>
  <c r="AK32" i="31"/>
  <c r="AK22" i="31"/>
  <c r="AL22" i="31" s="1"/>
  <c r="AL7" i="31"/>
  <c r="AL30" i="31"/>
  <c r="AL19" i="31"/>
  <c r="AL20" i="31"/>
  <c r="AL51" i="31"/>
  <c r="AK42" i="31"/>
  <c r="T47" i="31"/>
  <c r="S37" i="31"/>
  <c r="AL9" i="31"/>
  <c r="AL16" i="31"/>
  <c r="AL34" i="31"/>
  <c r="AH23" i="31"/>
  <c r="AL46" i="31"/>
  <c r="AL26" i="31"/>
  <c r="AL15" i="31"/>
  <c r="AL43" i="31"/>
  <c r="Q23" i="31"/>
  <c r="AL29" i="31"/>
  <c r="AK52" i="31"/>
  <c r="AK27" i="31"/>
  <c r="O57" i="31"/>
  <c r="N57" i="31"/>
  <c r="AL11" i="31"/>
  <c r="U23" i="31"/>
  <c r="U56" i="31"/>
  <c r="AL33" i="31"/>
  <c r="D23" i="31"/>
  <c r="L57" i="31"/>
  <c r="AL44" i="31"/>
  <c r="AA57" i="31"/>
  <c r="AD57" i="31"/>
  <c r="M57" i="31"/>
  <c r="AB57" i="31"/>
  <c r="T56" i="32" l="1"/>
  <c r="AL47" i="32"/>
  <c r="AL10" i="32"/>
  <c r="Z57" i="31"/>
  <c r="AH57" i="31"/>
  <c r="AK56" i="32"/>
  <c r="AK23" i="32"/>
  <c r="P57" i="31"/>
  <c r="Q57" i="31"/>
  <c r="AL10" i="31"/>
  <c r="AK57" i="32"/>
  <c r="AL57" i="32" s="1"/>
  <c r="X57" i="31"/>
  <c r="AK37" i="32"/>
  <c r="E57" i="31"/>
  <c r="AL37" i="32"/>
  <c r="T57" i="32"/>
  <c r="F57" i="31"/>
  <c r="AL23" i="32"/>
  <c r="C57" i="31"/>
  <c r="V57" i="31"/>
  <c r="AJ57" i="31"/>
  <c r="R57" i="31"/>
  <c r="AL42" i="31"/>
  <c r="AL27" i="31"/>
  <c r="AL56" i="32"/>
  <c r="AL52" i="31"/>
  <c r="AK37" i="31"/>
  <c r="T37" i="31"/>
  <c r="AL37" i="31" s="1"/>
  <c r="T56" i="31"/>
  <c r="T23" i="31"/>
  <c r="AL47" i="31"/>
  <c r="AL36" i="31"/>
  <c r="W57" i="31"/>
  <c r="AL17" i="31"/>
  <c r="AL14" i="31"/>
  <c r="H57" i="31"/>
  <c r="AI57" i="31"/>
  <c r="AL32" i="31"/>
  <c r="S57" i="31"/>
  <c r="AK23" i="31"/>
  <c r="D57" i="31"/>
  <c r="U57" i="31"/>
  <c r="AK56" i="31"/>
  <c r="AK57" i="31" l="1"/>
  <c r="T57" i="31"/>
  <c r="AL56" i="31"/>
  <c r="AL23" i="31"/>
  <c r="AL57" i="31"/>
  <c r="V55" i="30"/>
  <c r="AK54" i="30"/>
  <c r="E55" i="30"/>
  <c r="T54" i="30"/>
  <c r="Z55" i="30"/>
  <c r="Y55" i="30"/>
  <c r="W55" i="30"/>
  <c r="K55" i="30"/>
  <c r="J55" i="30"/>
  <c r="I55" i="30"/>
  <c r="G55" i="30"/>
  <c r="T53" i="30"/>
  <c r="Y52" i="30"/>
  <c r="J52" i="30"/>
  <c r="I52" i="30"/>
  <c r="T51" i="30"/>
  <c r="AB52" i="30"/>
  <c r="AK50" i="30"/>
  <c r="L52" i="30"/>
  <c r="K52" i="30"/>
  <c r="T50" i="30"/>
  <c r="AD52" i="30"/>
  <c r="AC52" i="30"/>
  <c r="N52" i="30"/>
  <c r="M52" i="30"/>
  <c r="T49" i="30"/>
  <c r="AJ52" i="30"/>
  <c r="AI52" i="30"/>
  <c r="AG52" i="30"/>
  <c r="AF52" i="30"/>
  <c r="AE52" i="30"/>
  <c r="D52" i="30"/>
  <c r="T48" i="30"/>
  <c r="AH47" i="30"/>
  <c r="AG47" i="30"/>
  <c r="Q47" i="30"/>
  <c r="T46" i="30"/>
  <c r="AJ47" i="30"/>
  <c r="AI47" i="30"/>
  <c r="AK45" i="30"/>
  <c r="S47" i="30"/>
  <c r="C47" i="30"/>
  <c r="AK44" i="30"/>
  <c r="F47" i="30"/>
  <c r="E47" i="30"/>
  <c r="T44" i="30"/>
  <c r="AC47" i="30"/>
  <c r="AB47" i="30"/>
  <c r="AA47" i="30"/>
  <c r="Z47" i="30"/>
  <c r="Y47" i="30"/>
  <c r="X47" i="30"/>
  <c r="W47" i="30"/>
  <c r="K47" i="30"/>
  <c r="J47" i="30"/>
  <c r="I47" i="30"/>
  <c r="H47" i="30"/>
  <c r="G47" i="30"/>
  <c r="T43" i="30"/>
  <c r="Z42" i="30"/>
  <c r="AK41" i="30"/>
  <c r="L42" i="30"/>
  <c r="T41" i="30"/>
  <c r="AB42" i="30"/>
  <c r="AK40" i="30"/>
  <c r="K42" i="30"/>
  <c r="T40" i="30"/>
  <c r="AL40" i="30" s="1"/>
  <c r="AD42" i="30"/>
  <c r="AC42" i="30"/>
  <c r="M42" i="30"/>
  <c r="T39" i="30"/>
  <c r="AI42" i="30"/>
  <c r="AH42" i="30"/>
  <c r="AG42" i="30"/>
  <c r="AF42" i="30"/>
  <c r="AE42" i="30"/>
  <c r="R42" i="30"/>
  <c r="P42" i="30"/>
  <c r="O42" i="30"/>
  <c r="E42" i="30"/>
  <c r="D42" i="30"/>
  <c r="C42" i="30"/>
  <c r="V36" i="30"/>
  <c r="AK35" i="30"/>
  <c r="F36" i="30"/>
  <c r="E36" i="30"/>
  <c r="T35" i="30"/>
  <c r="AB36" i="30"/>
  <c r="X36" i="30"/>
  <c r="W36" i="30"/>
  <c r="H36" i="30"/>
  <c r="G36" i="30"/>
  <c r="T34" i="30"/>
  <c r="AD36" i="30"/>
  <c r="AC36" i="30"/>
  <c r="AA36" i="30"/>
  <c r="Z36" i="30"/>
  <c r="Y36" i="30"/>
  <c r="N36" i="30"/>
  <c r="M36" i="30"/>
  <c r="L36" i="30"/>
  <c r="K36" i="30"/>
  <c r="J36" i="30"/>
  <c r="I36" i="30"/>
  <c r="T33" i="30"/>
  <c r="AB32" i="30"/>
  <c r="AA32" i="30"/>
  <c r="L32" i="30"/>
  <c r="K32" i="30"/>
  <c r="T31" i="30"/>
  <c r="AD32" i="30"/>
  <c r="AK30" i="30"/>
  <c r="N32" i="30"/>
  <c r="M32" i="30"/>
  <c r="T30" i="30"/>
  <c r="AF32" i="30"/>
  <c r="AE32" i="30"/>
  <c r="P32" i="30"/>
  <c r="O32" i="30"/>
  <c r="T29" i="30"/>
  <c r="AJ32" i="30"/>
  <c r="AI32" i="30"/>
  <c r="AH32" i="30"/>
  <c r="AK28" i="30"/>
  <c r="Q32" i="30"/>
  <c r="F32" i="30"/>
  <c r="C32" i="30"/>
  <c r="AK26" i="30"/>
  <c r="S27" i="30"/>
  <c r="D27" i="30"/>
  <c r="C27" i="30"/>
  <c r="V27" i="30"/>
  <c r="AK25" i="30"/>
  <c r="F27" i="30"/>
  <c r="E27" i="30"/>
  <c r="T25" i="30"/>
  <c r="AA27" i="30"/>
  <c r="Z27" i="30"/>
  <c r="Y27" i="30"/>
  <c r="X27" i="30"/>
  <c r="W27" i="30"/>
  <c r="L27" i="30"/>
  <c r="J27" i="30"/>
  <c r="I27" i="30"/>
  <c r="H27" i="30"/>
  <c r="G27" i="30"/>
  <c r="T24" i="30"/>
  <c r="AK21" i="30"/>
  <c r="AK20" i="30"/>
  <c r="AK19" i="30"/>
  <c r="Y22" i="30"/>
  <c r="X22" i="30"/>
  <c r="W22" i="30"/>
  <c r="V22" i="30"/>
  <c r="U22" i="30"/>
  <c r="E22" i="30"/>
  <c r="F22" i="30"/>
  <c r="J22" i="30"/>
  <c r="H22" i="30"/>
  <c r="G22" i="30"/>
  <c r="AK16" i="30"/>
  <c r="AA17" i="30"/>
  <c r="Y17" i="30"/>
  <c r="H17" i="30"/>
  <c r="M17" i="30"/>
  <c r="L17" i="30"/>
  <c r="J17" i="30"/>
  <c r="T15" i="30"/>
  <c r="AK13" i="30"/>
  <c r="AK12" i="30"/>
  <c r="AE14" i="30"/>
  <c r="AD14" i="30"/>
  <c r="AC14" i="30"/>
  <c r="AB14" i="30"/>
  <c r="AA14" i="30"/>
  <c r="J14" i="30"/>
  <c r="K14" i="30"/>
  <c r="P14" i="30"/>
  <c r="N14" i="30"/>
  <c r="M14" i="30"/>
  <c r="L14" i="30"/>
  <c r="AK9" i="30"/>
  <c r="AK8" i="30"/>
  <c r="AK7" i="30"/>
  <c r="AF10" i="30"/>
  <c r="AE10" i="30"/>
  <c r="AK6" i="30"/>
  <c r="T6" i="30"/>
  <c r="N10" i="30"/>
  <c r="Q10" i="30"/>
  <c r="R10" i="30"/>
  <c r="I10" i="30"/>
  <c r="H10" i="30"/>
  <c r="M10" i="30"/>
  <c r="P10" i="30"/>
  <c r="G10" i="30"/>
  <c r="O10" i="30"/>
  <c r="AI55" i="30"/>
  <c r="AH55" i="30"/>
  <c r="AG55" i="30"/>
  <c r="S55" i="30"/>
  <c r="R55" i="30"/>
  <c r="Q55" i="30"/>
  <c r="C55" i="30"/>
  <c r="AA55" i="30"/>
  <c r="AJ55" i="30"/>
  <c r="AF55" i="30"/>
  <c r="AE55" i="30"/>
  <c r="AD55" i="30"/>
  <c r="AC55" i="30"/>
  <c r="AB55" i="30"/>
  <c r="X55" i="30"/>
  <c r="P55" i="30"/>
  <c r="O55" i="30"/>
  <c r="N55" i="30"/>
  <c r="M55" i="30"/>
  <c r="L55" i="30"/>
  <c r="H55" i="30"/>
  <c r="F55" i="30"/>
  <c r="AH52" i="30"/>
  <c r="R52" i="30"/>
  <c r="W52" i="30"/>
  <c r="V52" i="30"/>
  <c r="U52" i="30"/>
  <c r="G52" i="30"/>
  <c r="F52" i="30"/>
  <c r="E52" i="30"/>
  <c r="Z52" i="30"/>
  <c r="X52" i="30"/>
  <c r="S52" i="30"/>
  <c r="Q52" i="30"/>
  <c r="P52" i="30"/>
  <c r="O52" i="30"/>
  <c r="H52" i="30"/>
  <c r="AE47" i="30"/>
  <c r="O47" i="30"/>
  <c r="R47" i="30"/>
  <c r="D47" i="30"/>
  <c r="AF47" i="30"/>
  <c r="AD47" i="30"/>
  <c r="V47" i="30"/>
  <c r="P47" i="30"/>
  <c r="N47" i="30"/>
  <c r="M47" i="30"/>
  <c r="L47" i="30"/>
  <c r="Q42" i="30"/>
  <c r="N42" i="30"/>
  <c r="AJ42" i="30"/>
  <c r="X42" i="30"/>
  <c r="W42" i="30"/>
  <c r="V42" i="30"/>
  <c r="U42" i="30"/>
  <c r="S42" i="30"/>
  <c r="J42" i="30"/>
  <c r="I42" i="30"/>
  <c r="H42" i="30"/>
  <c r="G42" i="30"/>
  <c r="F42" i="30"/>
  <c r="AG36" i="30"/>
  <c r="AJ36" i="30"/>
  <c r="AI36" i="30"/>
  <c r="AH36" i="30"/>
  <c r="AF36" i="30"/>
  <c r="AE36" i="30"/>
  <c r="S36" i="30"/>
  <c r="R36" i="30"/>
  <c r="Q36" i="30"/>
  <c r="P36" i="30"/>
  <c r="O36" i="30"/>
  <c r="D36" i="30"/>
  <c r="C36" i="30"/>
  <c r="U32" i="30"/>
  <c r="E32" i="30"/>
  <c r="AK31" i="30"/>
  <c r="Z32" i="30"/>
  <c r="Y32" i="30"/>
  <c r="J32" i="30"/>
  <c r="I32" i="30"/>
  <c r="X32" i="30"/>
  <c r="W32" i="30"/>
  <c r="V32" i="30"/>
  <c r="S32" i="30"/>
  <c r="R32" i="30"/>
  <c r="H32" i="30"/>
  <c r="G32" i="30"/>
  <c r="D32" i="30"/>
  <c r="AH27" i="30"/>
  <c r="AB27" i="30"/>
  <c r="R27" i="30"/>
  <c r="AC27" i="30"/>
  <c r="M27" i="30"/>
  <c r="AJ27" i="30"/>
  <c r="AI27" i="30"/>
  <c r="AG27" i="30"/>
  <c r="AF27" i="30"/>
  <c r="AE27" i="30"/>
  <c r="AD27" i="30"/>
  <c r="Q27" i="30"/>
  <c r="P27" i="30"/>
  <c r="O27" i="30"/>
  <c r="N27" i="30"/>
  <c r="K27" i="30"/>
  <c r="AD22" i="30"/>
  <c r="N22" i="30"/>
  <c r="T21" i="30"/>
  <c r="AH22" i="30"/>
  <c r="R22" i="30"/>
  <c r="AJ22" i="30"/>
  <c r="AI22" i="30"/>
  <c r="AG22" i="30"/>
  <c r="AF22" i="30"/>
  <c r="AE22" i="30"/>
  <c r="AC22" i="30"/>
  <c r="AB22" i="30"/>
  <c r="AA22" i="30"/>
  <c r="Z22" i="30"/>
  <c r="S22" i="30"/>
  <c r="Q22" i="30"/>
  <c r="P22" i="30"/>
  <c r="O22" i="30"/>
  <c r="M22" i="30"/>
  <c r="L22" i="30"/>
  <c r="K22" i="30"/>
  <c r="C22" i="30"/>
  <c r="AE17" i="30"/>
  <c r="W17" i="30"/>
  <c r="U17" i="30"/>
  <c r="O17" i="30"/>
  <c r="K17" i="30"/>
  <c r="G17" i="30"/>
  <c r="E17" i="30"/>
  <c r="AJ17" i="30"/>
  <c r="AI17" i="30"/>
  <c r="S17" i="30"/>
  <c r="D17" i="30"/>
  <c r="C17" i="30"/>
  <c r="AH17" i="30"/>
  <c r="AG17" i="30"/>
  <c r="AF17" i="30"/>
  <c r="AD17" i="30"/>
  <c r="AC17" i="30"/>
  <c r="AB17" i="30"/>
  <c r="Z17" i="30"/>
  <c r="X17" i="30"/>
  <c r="V17" i="30"/>
  <c r="R17" i="30"/>
  <c r="Q17" i="30"/>
  <c r="P17" i="30"/>
  <c r="N17" i="30"/>
  <c r="F17" i="30"/>
  <c r="AJ14" i="30"/>
  <c r="D14" i="30"/>
  <c r="W14" i="30"/>
  <c r="O14" i="30"/>
  <c r="G14" i="30"/>
  <c r="AI14" i="30"/>
  <c r="AH14" i="30"/>
  <c r="AG14" i="30"/>
  <c r="AF14" i="30"/>
  <c r="Z14" i="30"/>
  <c r="Y14" i="30"/>
  <c r="X14" i="30"/>
  <c r="V14" i="30"/>
  <c r="U14" i="30"/>
  <c r="S14" i="30"/>
  <c r="R14" i="30"/>
  <c r="Q14" i="30"/>
  <c r="I14" i="30"/>
  <c r="H14" i="30"/>
  <c r="F14" i="30"/>
  <c r="E14" i="30"/>
  <c r="C14" i="30"/>
  <c r="AI10" i="30"/>
  <c r="S10" i="30"/>
  <c r="C10" i="30"/>
  <c r="AA10" i="30"/>
  <c r="K10" i="30"/>
  <c r="T9" i="30"/>
  <c r="AJ10" i="30"/>
  <c r="AH10" i="30"/>
  <c r="AG10" i="30"/>
  <c r="AC10" i="30"/>
  <c r="AB10" i="30"/>
  <c r="Z10" i="30"/>
  <c r="Y10" i="30"/>
  <c r="X10" i="30"/>
  <c r="W10" i="30"/>
  <c r="V10" i="30"/>
  <c r="L10" i="30"/>
  <c r="J10" i="30"/>
  <c r="F10" i="30"/>
  <c r="E10" i="30"/>
  <c r="I37" i="30" l="1"/>
  <c r="E23" i="30"/>
  <c r="AL31" i="30"/>
  <c r="AL41" i="30"/>
  <c r="G56" i="30"/>
  <c r="V23" i="30"/>
  <c r="W56" i="30"/>
  <c r="E37" i="30"/>
  <c r="Y37" i="30"/>
  <c r="T42" i="30"/>
  <c r="AL54" i="30"/>
  <c r="T45" i="30"/>
  <c r="AL45" i="30" s="1"/>
  <c r="AB56" i="30"/>
  <c r="AK46" i="30"/>
  <c r="AL46" i="30" s="1"/>
  <c r="AK43" i="30"/>
  <c r="AL43" i="30" s="1"/>
  <c r="F56" i="30"/>
  <c r="T38" i="30"/>
  <c r="AJ56" i="30"/>
  <c r="AK48" i="30"/>
  <c r="AL48" i="30" s="1"/>
  <c r="AK39" i="30"/>
  <c r="AL39" i="30" s="1"/>
  <c r="U55" i="30"/>
  <c r="AK55" i="30" s="1"/>
  <c r="X56" i="30"/>
  <c r="AA52" i="30"/>
  <c r="AK52" i="30" s="1"/>
  <c r="Y42" i="30"/>
  <c r="Y56" i="30" s="1"/>
  <c r="AA42" i="30"/>
  <c r="AK53" i="30"/>
  <c r="AL53" i="30" s="1"/>
  <c r="AK51" i="30"/>
  <c r="AL51" i="30" s="1"/>
  <c r="AA37" i="30"/>
  <c r="K37" i="30"/>
  <c r="L37" i="30"/>
  <c r="AB37" i="30"/>
  <c r="AL30" i="30"/>
  <c r="S37" i="30"/>
  <c r="AK34" i="30"/>
  <c r="AL34" i="30" s="1"/>
  <c r="T28" i="30"/>
  <c r="AL28" i="30" s="1"/>
  <c r="U36" i="30"/>
  <c r="AK36" i="30" s="1"/>
  <c r="AK29" i="30"/>
  <c r="AL29" i="30" s="1"/>
  <c r="T26" i="30"/>
  <c r="AL26" i="30" s="1"/>
  <c r="AK24" i="30"/>
  <c r="AL24" i="30" s="1"/>
  <c r="AC32" i="30"/>
  <c r="AC37" i="30" s="1"/>
  <c r="R37" i="30"/>
  <c r="AG32" i="30"/>
  <c r="AF37" i="30"/>
  <c r="AI37" i="30"/>
  <c r="O37" i="30"/>
  <c r="AJ37" i="30"/>
  <c r="T19" i="30"/>
  <c r="AL19" i="30" s="1"/>
  <c r="AL6" i="30"/>
  <c r="AH23" i="30"/>
  <c r="AG23" i="30"/>
  <c r="AD10" i="30"/>
  <c r="AD23" i="30" s="1"/>
  <c r="S23" i="30"/>
  <c r="I17" i="30"/>
  <c r="T17" i="30" s="1"/>
  <c r="T18" i="30"/>
  <c r="T20" i="30"/>
  <c r="AL20" i="30" s="1"/>
  <c r="T12" i="30"/>
  <c r="AL12" i="30" s="1"/>
  <c r="AL9" i="30"/>
  <c r="AK15" i="30"/>
  <c r="AL15" i="30" s="1"/>
  <c r="AC23" i="30"/>
  <c r="AE23" i="30"/>
  <c r="AL21" i="30"/>
  <c r="AF23" i="30"/>
  <c r="Q23" i="30"/>
  <c r="P23" i="30"/>
  <c r="T7" i="30"/>
  <c r="AL7" i="30" s="1"/>
  <c r="T8" i="30"/>
  <c r="AL8" i="30" s="1"/>
  <c r="L23" i="30"/>
  <c r="O23" i="30"/>
  <c r="F23" i="30"/>
  <c r="AK17" i="30"/>
  <c r="M23" i="30"/>
  <c r="P37" i="30"/>
  <c r="Y23" i="30"/>
  <c r="N23" i="30"/>
  <c r="Q37" i="30"/>
  <c r="AH37" i="30"/>
  <c r="V56" i="30"/>
  <c r="C37" i="30"/>
  <c r="T36" i="30"/>
  <c r="AG37" i="30"/>
  <c r="T32" i="30"/>
  <c r="D37" i="30"/>
  <c r="T47" i="30"/>
  <c r="H56" i="30"/>
  <c r="AI23" i="30"/>
  <c r="E56" i="30"/>
  <c r="C23" i="30"/>
  <c r="AJ23" i="30"/>
  <c r="T27" i="30"/>
  <c r="W37" i="30"/>
  <c r="AL50" i="30"/>
  <c r="Q56" i="30"/>
  <c r="AK22" i="30"/>
  <c r="G37" i="30"/>
  <c r="R56" i="30"/>
  <c r="L56" i="30"/>
  <c r="AC56" i="30"/>
  <c r="I56" i="30"/>
  <c r="Z56" i="30"/>
  <c r="S56" i="30"/>
  <c r="R23" i="30"/>
  <c r="W23" i="30"/>
  <c r="AL25" i="30"/>
  <c r="Z37" i="30"/>
  <c r="AL35" i="30"/>
  <c r="M56" i="30"/>
  <c r="AD56" i="30"/>
  <c r="J56" i="30"/>
  <c r="X23" i="30"/>
  <c r="N56" i="30"/>
  <c r="AE56" i="30"/>
  <c r="K56" i="30"/>
  <c r="AG56" i="30"/>
  <c r="AF56" i="30"/>
  <c r="H23" i="30"/>
  <c r="H37" i="30"/>
  <c r="AK14" i="30"/>
  <c r="Z23" i="30"/>
  <c r="F37" i="30"/>
  <c r="N37" i="30"/>
  <c r="P56" i="30"/>
  <c r="AI56" i="30"/>
  <c r="G23" i="30"/>
  <c r="T14" i="30"/>
  <c r="O56" i="30"/>
  <c r="AH56" i="30"/>
  <c r="J23" i="30"/>
  <c r="AA23" i="30"/>
  <c r="M37" i="30"/>
  <c r="X37" i="30"/>
  <c r="J37" i="30"/>
  <c r="V37" i="30"/>
  <c r="K23" i="30"/>
  <c r="AB23" i="30"/>
  <c r="AE37" i="30"/>
  <c r="AD37" i="30"/>
  <c r="AK18" i="30"/>
  <c r="D10" i="30"/>
  <c r="T10" i="30" s="1"/>
  <c r="C52" i="30"/>
  <c r="T52" i="30" s="1"/>
  <c r="U10" i="30"/>
  <c r="U23" i="30" s="1"/>
  <c r="AK38" i="30"/>
  <c r="AK49" i="30"/>
  <c r="AL49" i="30" s="1"/>
  <c r="T13" i="30"/>
  <c r="AL13" i="30" s="1"/>
  <c r="U27" i="30"/>
  <c r="AK27" i="30" s="1"/>
  <c r="D55" i="30"/>
  <c r="T16" i="30"/>
  <c r="AL16" i="30" s="1"/>
  <c r="AL44" i="30"/>
  <c r="D22" i="30"/>
  <c r="AK33" i="30"/>
  <c r="AL33" i="30" s="1"/>
  <c r="U47" i="30"/>
  <c r="AK47" i="30" s="1"/>
  <c r="T11" i="30"/>
  <c r="AK11" i="30"/>
  <c r="I22" i="30"/>
  <c r="AB57" i="30" l="1"/>
  <c r="M57" i="30"/>
  <c r="E57" i="30"/>
  <c r="Q57" i="30"/>
  <c r="D23" i="30"/>
  <c r="C56" i="30"/>
  <c r="F57" i="30"/>
  <c r="AF57" i="30"/>
  <c r="AL17" i="30"/>
  <c r="AK42" i="30"/>
  <c r="AL42" i="30" s="1"/>
  <c r="AJ57" i="30"/>
  <c r="X57" i="30"/>
  <c r="AA56" i="30"/>
  <c r="AA57" i="30" s="1"/>
  <c r="AL47" i="30"/>
  <c r="W57" i="30"/>
  <c r="AK32" i="30"/>
  <c r="AL32" i="30" s="1"/>
  <c r="AG57" i="30"/>
  <c r="J57" i="30"/>
  <c r="P57" i="30"/>
  <c r="AD57" i="30"/>
  <c r="Y57" i="30"/>
  <c r="AK10" i="30"/>
  <c r="I23" i="30"/>
  <c r="S57" i="30"/>
  <c r="AL10" i="30"/>
  <c r="L57" i="30"/>
  <c r="AL18" i="30"/>
  <c r="R57" i="30"/>
  <c r="H57" i="30"/>
  <c r="G57" i="30"/>
  <c r="O57" i="30"/>
  <c r="C57" i="30"/>
  <c r="V57" i="30"/>
  <c r="D56" i="30"/>
  <c r="T55" i="30"/>
  <c r="AL55" i="30" s="1"/>
  <c r="AK23" i="30"/>
  <c r="U37" i="30"/>
  <c r="AK37" i="30" s="1"/>
  <c r="AL27" i="30"/>
  <c r="AL52" i="30"/>
  <c r="AH57" i="30"/>
  <c r="K57" i="30"/>
  <c r="AL38" i="30"/>
  <c r="AE57" i="30"/>
  <c r="T22" i="30"/>
  <c r="AL22" i="30" s="1"/>
  <c r="AL11" i="30"/>
  <c r="AL14" i="30"/>
  <c r="N57" i="30"/>
  <c r="Z57" i="30"/>
  <c r="AI57" i="30"/>
  <c r="U56" i="30"/>
  <c r="AC57" i="30"/>
  <c r="AL36" i="30"/>
  <c r="T37" i="30"/>
  <c r="AL37" i="30" l="1"/>
  <c r="T23" i="30"/>
  <c r="I57" i="30"/>
  <c r="D57" i="30"/>
  <c r="U57" i="30"/>
  <c r="AK57" i="30" s="1"/>
  <c r="AK56" i="30"/>
  <c r="AL23" i="30"/>
  <c r="T56" i="30"/>
  <c r="AL56" i="30" s="1"/>
  <c r="T57" i="30"/>
  <c r="AL57" i="30" s="1"/>
</calcChain>
</file>

<file path=xl/sharedStrings.xml><?xml version="1.0" encoding="utf-8"?>
<sst xmlns="http://schemas.openxmlformats.org/spreadsheetml/2006/main" count="183" uniqueCount="26">
  <si>
    <t>MAIZE</t>
  </si>
  <si>
    <t>IR</t>
  </si>
  <si>
    <t>UI</t>
  </si>
  <si>
    <t>TOTAL</t>
  </si>
  <si>
    <t>GNUT</t>
  </si>
  <si>
    <t>KHARIF</t>
  </si>
  <si>
    <t>RABI</t>
  </si>
  <si>
    <t>DIST_NM</t>
  </si>
  <si>
    <t>D_CD</t>
  </si>
  <si>
    <t>PAD</t>
  </si>
  <si>
    <t>JWAR</t>
  </si>
  <si>
    <t>BJRA</t>
  </si>
  <si>
    <t>GNGL</t>
  </si>
  <si>
    <t>RGRM</t>
  </si>
  <si>
    <t>COTT</t>
  </si>
  <si>
    <t>SCAN</t>
  </si>
  <si>
    <t>I</t>
  </si>
  <si>
    <t>III</t>
  </si>
  <si>
    <t>BGRM</t>
  </si>
  <si>
    <t>GGRM</t>
  </si>
  <si>
    <t>HGRM</t>
  </si>
  <si>
    <t>GRAND TOTAL</t>
  </si>
  <si>
    <t>PAD-II</t>
  </si>
  <si>
    <t>CENTRAL WORK PROGRAMME FOR AS2.0 OF TAMIL NADU BASED ON CES PLANNING 2026-27</t>
  </si>
  <si>
    <t>STATE WORK PROGRAMME FOR AS2.0 OF TAMIL NADU BASED ON CES PLANNING 2026-27</t>
  </si>
  <si>
    <t>DIFFERENCE IN CENTRAL &amp; STATE (CENTRAL - STATE) WORK PROGRAMME FOR AS2.0 OF TAMIL NADU BASED ON CES PLANNING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</si>
</sst>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BE7A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7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D8479C91-70C6-491E-ABED-52B317C22105}"/>
    <cellStyle name="Normal 3" xfId="2" xr:uid="{A1CB7F0E-34FB-4FC4-8D78-367CD95E7AE1}"/>
    <cellStyle name="Normal 4" xfId="3" xr:uid="{AE8D71B7-1FD9-4739-83E1-28810721EBAA}"/>
  </cellStyles>
  <dxfs count="0"/>
  <tableStyles count="0" defaultTableStyle="TableStyleMedium2" defaultPivotStyle="PivotStyleMedium9"/>
  <colors>
    <mruColors>
      <color rgb="FF66FFFF"/>
      <color rgb="FFABE7A1"/>
      <color rgb="FFAAFCF8"/>
      <color rgb="FFFFFF99"/>
      <color rgb="FFA3E7FF"/>
      <color rgb="FF85DFFF"/>
      <color rgb="FFACF2C0"/>
      <color rgb="FFDBF5D7"/>
      <color rgb="FF37FF91"/>
      <color rgb="FFE5F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%20TN%20A.S.%202.0%20-%20CEN%20-%20WS+WP%202026-2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TN%20A.S.%202.0%20-%20STATE%20-%20WS+WP%202026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-wise"/>
      <sheetName val="GCES"/>
      <sheetName val="2.0WS"/>
      <sheetName val="2.0WP"/>
      <sheetName val="KH_COTT"/>
      <sheetName val="RB_COTT"/>
    </sheetNames>
    <sheetDataSet>
      <sheetData sheetId="0"/>
      <sheetData sheetId="1"/>
      <sheetData sheetId="2">
        <row r="6">
          <cell r="A6" t="str">
            <v>10</v>
          </cell>
          <cell r="B6" t="str">
            <v>ERODE</v>
          </cell>
        </row>
        <row r="7">
          <cell r="A7" t="str">
            <v>11</v>
          </cell>
          <cell r="B7" t="str">
            <v>THE NILGIRIS</v>
          </cell>
        </row>
        <row r="8">
          <cell r="A8" t="str">
            <v>12</v>
          </cell>
          <cell r="B8" t="str">
            <v>COIMBATORE</v>
          </cell>
        </row>
        <row r="9">
          <cell r="A9" t="str">
            <v>32</v>
          </cell>
          <cell r="B9" t="str">
            <v>TIRUPPUR</v>
          </cell>
        </row>
        <row r="10">
          <cell r="A10" t="str">
            <v>SRO COIMBATORE TOTAL</v>
          </cell>
        </row>
        <row r="11">
          <cell r="A11" t="str">
            <v>05</v>
          </cell>
          <cell r="B11" t="str">
            <v>DHARMAPURI</v>
          </cell>
        </row>
        <row r="12">
          <cell r="A12" t="str">
            <v>31</v>
          </cell>
          <cell r="B12" t="str">
            <v>KRISHNAGIRI</v>
          </cell>
        </row>
        <row r="13">
          <cell r="A13" t="str">
            <v>36</v>
          </cell>
          <cell r="B13" t="str">
            <v>TIRUPATHUR</v>
          </cell>
        </row>
        <row r="14">
          <cell r="A14" t="str">
            <v>SRO DHARMAPURI TOTAL</v>
          </cell>
        </row>
        <row r="15">
          <cell r="A15" t="str">
            <v>08</v>
          </cell>
          <cell r="B15" t="str">
            <v>SALEM</v>
          </cell>
        </row>
        <row r="16">
          <cell r="A16" t="str">
            <v>09</v>
          </cell>
          <cell r="B16" t="str">
            <v>NAMAKKAL</v>
          </cell>
        </row>
        <row r="17">
          <cell r="A17" t="str">
            <v>SRO SALEM TOTAL</v>
          </cell>
        </row>
        <row r="18">
          <cell r="A18" t="str">
            <v>14</v>
          </cell>
          <cell r="B18" t="str">
            <v>KARUR</v>
          </cell>
        </row>
        <row r="19">
          <cell r="A19" t="str">
            <v>15</v>
          </cell>
          <cell r="B19" t="str">
            <v>TIRUCHIRAPPALLI</v>
          </cell>
        </row>
        <row r="20">
          <cell r="A20" t="str">
            <v>16</v>
          </cell>
          <cell r="B20" t="str">
            <v>PERAMBALUR</v>
          </cell>
        </row>
        <row r="21">
          <cell r="A21" t="str">
            <v>17</v>
          </cell>
          <cell r="B21" t="str">
            <v>ARIYALUR</v>
          </cell>
        </row>
        <row r="22">
          <cell r="A22" t="str">
            <v>SRO TIRUCHIRAPALLI TOTAL</v>
          </cell>
        </row>
        <row r="23">
          <cell r="A23" t="str">
            <v>RO COIMBATORE TOTAL</v>
          </cell>
        </row>
        <row r="24">
          <cell r="A24" t="str">
            <v>01</v>
          </cell>
          <cell r="B24" t="str">
            <v>THIRUVALLUR</v>
          </cell>
        </row>
        <row r="25">
          <cell r="A25" t="str">
            <v>03</v>
          </cell>
          <cell r="B25" t="str">
            <v>KANCHEEPURAM</v>
          </cell>
        </row>
        <row r="26">
          <cell r="A26" t="str">
            <v>33</v>
          </cell>
          <cell r="B26" t="str">
            <v>CHENGALPATTU</v>
          </cell>
        </row>
        <row r="27">
          <cell r="A27" t="str">
            <v>SRO CHENNAI TOTAL</v>
          </cell>
        </row>
        <row r="28">
          <cell r="A28" t="str">
            <v>07</v>
          </cell>
          <cell r="B28" t="str">
            <v>VILUPPURAM</v>
          </cell>
        </row>
        <row r="29">
          <cell r="A29" t="str">
            <v>18</v>
          </cell>
          <cell r="B29" t="str">
            <v>CUDDALORE</v>
          </cell>
        </row>
        <row r="30">
          <cell r="A30" t="str">
            <v>34</v>
          </cell>
          <cell r="B30" t="str">
            <v>KALLAKURICHI</v>
          </cell>
        </row>
        <row r="31">
          <cell r="A31" t="str">
            <v>38</v>
          </cell>
          <cell r="B31" t="str">
            <v>MAYILADUTHURAI</v>
          </cell>
        </row>
        <row r="32">
          <cell r="A32" t="str">
            <v>SRO CUDDALORE TOTAL</v>
          </cell>
        </row>
        <row r="33">
          <cell r="A33" t="str">
            <v>04</v>
          </cell>
          <cell r="B33" t="str">
            <v>VELLORE</v>
          </cell>
        </row>
        <row r="34">
          <cell r="A34" t="str">
            <v>06</v>
          </cell>
          <cell r="B34" t="str">
            <v>TIRUVANNAMALAI</v>
          </cell>
        </row>
        <row r="35">
          <cell r="A35" t="str">
            <v>35</v>
          </cell>
          <cell r="B35" t="str">
            <v>RANIPET</v>
          </cell>
        </row>
        <row r="36">
          <cell r="A36" t="str">
            <v>SRO VELLORE TOTAL</v>
          </cell>
        </row>
        <row r="37">
          <cell r="A37" t="str">
            <v>RO CHENNAI TOTAL</v>
          </cell>
        </row>
        <row r="38">
          <cell r="A38" t="str">
            <v>13</v>
          </cell>
          <cell r="B38" t="str">
            <v>DINDIGUL</v>
          </cell>
        </row>
        <row r="39">
          <cell r="A39" t="str">
            <v>23</v>
          </cell>
          <cell r="B39" t="str">
            <v>SIVAGANGAI</v>
          </cell>
        </row>
        <row r="40">
          <cell r="A40" t="str">
            <v>24</v>
          </cell>
          <cell r="B40" t="str">
            <v>MADURAI</v>
          </cell>
        </row>
        <row r="41">
          <cell r="A41" t="str">
            <v>25</v>
          </cell>
          <cell r="B41" t="str">
            <v>THENI</v>
          </cell>
        </row>
        <row r="42">
          <cell r="A42" t="str">
            <v>SRO MADURAI TOTAL</v>
          </cell>
        </row>
        <row r="43">
          <cell r="A43" t="str">
            <v>19</v>
          </cell>
          <cell r="B43" t="str">
            <v>NAGAPATTINAM</v>
          </cell>
        </row>
        <row r="44">
          <cell r="A44" t="str">
            <v>20</v>
          </cell>
          <cell r="B44" t="str">
            <v>THIRUVARUR</v>
          </cell>
        </row>
        <row r="45">
          <cell r="A45" t="str">
            <v>21</v>
          </cell>
          <cell r="B45" t="str">
            <v>THANJAVUR</v>
          </cell>
        </row>
        <row r="46">
          <cell r="A46" t="str">
            <v>22</v>
          </cell>
          <cell r="B46" t="str">
            <v>PUDUKKOTTAI</v>
          </cell>
        </row>
        <row r="47">
          <cell r="A47" t="str">
            <v>SRO THANJAVUR TOTAL</v>
          </cell>
        </row>
        <row r="48">
          <cell r="A48" t="str">
            <v>28</v>
          </cell>
          <cell r="B48" t="str">
            <v>THOOTHUKUDI</v>
          </cell>
        </row>
        <row r="49">
          <cell r="A49" t="str">
            <v>29</v>
          </cell>
          <cell r="B49" t="str">
            <v>TIRUNELVELI</v>
          </cell>
        </row>
        <row r="50">
          <cell r="A50" t="str">
            <v>30</v>
          </cell>
          <cell r="B50" t="str">
            <v>KANNIYAKUMARI</v>
          </cell>
        </row>
        <row r="51">
          <cell r="A51" t="str">
            <v>37</v>
          </cell>
          <cell r="B51" t="str">
            <v>TENKASI</v>
          </cell>
        </row>
        <row r="52">
          <cell r="A52" t="str">
            <v>SRO TIRUNELVELI TOTAL</v>
          </cell>
        </row>
        <row r="53">
          <cell r="A53" t="str">
            <v>26</v>
          </cell>
          <cell r="B53" t="str">
            <v>VIRUDHUNAGAR</v>
          </cell>
        </row>
        <row r="54">
          <cell r="A54" t="str">
            <v>27</v>
          </cell>
          <cell r="B54" t="str">
            <v>RAMANATHAPURAM</v>
          </cell>
        </row>
        <row r="55">
          <cell r="A55" t="str">
            <v>SRO VIRUDHNAGAR TOTAL</v>
          </cell>
        </row>
        <row r="56">
          <cell r="A56" t="str">
            <v>RO MADURAI TOTAL</v>
          </cell>
        </row>
        <row r="57">
          <cell r="A57" t="str">
            <v>STATE TOTAL</v>
          </cell>
        </row>
      </sheetData>
      <sheetData sheetId="3">
        <row r="6"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>
            <v>6</v>
          </cell>
          <cell r="K6">
            <v>8</v>
          </cell>
          <cell r="L6">
            <v>6</v>
          </cell>
          <cell r="M6">
            <v>4</v>
          </cell>
          <cell r="N6" t="str">
            <v/>
          </cell>
          <cell r="O6" t="str">
            <v/>
          </cell>
          <cell r="P6">
            <v>4</v>
          </cell>
          <cell r="Q6" t="str">
            <v/>
          </cell>
          <cell r="R6" t="str">
            <v/>
          </cell>
          <cell r="S6">
            <v>6</v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>
            <v>4</v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</v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</row>
        <row r="7"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</row>
        <row r="8">
          <cell r="C8" t="str">
            <v/>
          </cell>
          <cell r="D8" t="str">
            <v/>
          </cell>
          <cell r="E8" t="str">
            <v/>
          </cell>
          <cell r="F8">
            <v>6</v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U8" t="str">
            <v/>
          </cell>
          <cell r="V8">
            <v>6</v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>
            <v>4</v>
          </cell>
          <cell r="AI8" t="str">
            <v/>
          </cell>
          <cell r="AJ8" t="str">
            <v/>
          </cell>
        </row>
        <row r="9"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</row>
        <row r="11">
          <cell r="C11" t="str">
            <v/>
          </cell>
          <cell r="D11" t="str">
            <v/>
          </cell>
          <cell r="E11">
            <v>4</v>
          </cell>
          <cell r="F11">
            <v>6</v>
          </cell>
          <cell r="G11" t="str">
            <v/>
          </cell>
          <cell r="H11" t="str">
            <v/>
          </cell>
          <cell r="I11" t="str">
            <v/>
          </cell>
          <cell r="J11">
            <v>6</v>
          </cell>
          <cell r="K11">
            <v>4</v>
          </cell>
          <cell r="L11">
            <v>4</v>
          </cell>
          <cell r="M11" t="str">
            <v/>
          </cell>
          <cell r="N11">
            <v>4</v>
          </cell>
          <cell r="O11" t="str">
            <v/>
          </cell>
          <cell r="P11">
            <v>14</v>
          </cell>
          <cell r="Q11">
            <v>10</v>
          </cell>
          <cell r="R11" t="str">
            <v/>
          </cell>
          <cell r="S11">
            <v>4</v>
          </cell>
          <cell r="U11">
            <v>4</v>
          </cell>
          <cell r="V11" t="str">
            <v/>
          </cell>
          <cell r="W11" t="str">
            <v/>
          </cell>
          <cell r="X11" t="str">
            <v/>
          </cell>
          <cell r="Y11">
            <v>4</v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>
            <v>12</v>
          </cell>
          <cell r="AI11" t="str">
            <v/>
          </cell>
          <cell r="AJ11" t="str">
            <v/>
          </cell>
        </row>
        <row r="12">
          <cell r="C12">
            <v>4</v>
          </cell>
          <cell r="D12" t="str">
            <v/>
          </cell>
          <cell r="E12" t="str">
            <v/>
          </cell>
          <cell r="F12">
            <v>4</v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>
            <v>6</v>
          </cell>
          <cell r="L12">
            <v>6</v>
          </cell>
          <cell r="M12" t="str">
            <v/>
          </cell>
          <cell r="N12">
            <v>6</v>
          </cell>
          <cell r="O12" t="str">
            <v/>
          </cell>
          <cell r="P12">
            <v>14</v>
          </cell>
          <cell r="Q12">
            <v>4</v>
          </cell>
          <cell r="R12" t="str">
            <v/>
          </cell>
          <cell r="S12" t="str">
            <v/>
          </cell>
          <cell r="U12">
            <v>4</v>
          </cell>
          <cell r="V12" t="str">
            <v/>
          </cell>
          <cell r="W12" t="str">
            <v/>
          </cell>
          <cell r="X12" t="str">
            <v/>
          </cell>
          <cell r="Y12">
            <v>4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>
            <v>20</v>
          </cell>
          <cell r="AI12" t="str">
            <v/>
          </cell>
          <cell r="AJ12" t="str">
            <v/>
          </cell>
        </row>
        <row r="13">
          <cell r="C13" t="str">
            <v/>
          </cell>
          <cell r="D13" t="str">
            <v/>
          </cell>
          <cell r="E13" t="str">
            <v/>
          </cell>
          <cell r="F13">
            <v>4</v>
          </cell>
          <cell r="G13" t="str">
            <v/>
          </cell>
          <cell r="H13">
            <v>6</v>
          </cell>
          <cell r="I13" t="str">
            <v/>
          </cell>
          <cell r="J13" t="str">
            <v/>
          </cell>
          <cell r="K13" t="str">
            <v/>
          </cell>
          <cell r="L13">
            <v>4</v>
          </cell>
          <cell r="M13" t="str">
            <v/>
          </cell>
          <cell r="N13" t="str">
            <v/>
          </cell>
          <cell r="O13" t="str">
            <v/>
          </cell>
          <cell r="P13">
            <v>8</v>
          </cell>
          <cell r="Q13">
            <v>6</v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>
            <v>8</v>
          </cell>
          <cell r="AI13" t="str">
            <v/>
          </cell>
          <cell r="AJ13" t="str">
            <v/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>
            <v>10</v>
          </cell>
          <cell r="G15" t="str">
            <v/>
          </cell>
          <cell r="H15" t="str">
            <v/>
          </cell>
          <cell r="I15" t="str">
            <v/>
          </cell>
          <cell r="J15">
            <v>6</v>
          </cell>
          <cell r="K15">
            <v>6</v>
          </cell>
          <cell r="L15">
            <v>6</v>
          </cell>
          <cell r="M15" t="str">
            <v/>
          </cell>
          <cell r="N15">
            <v>4</v>
          </cell>
          <cell r="O15">
            <v>6</v>
          </cell>
          <cell r="P15">
            <v>6</v>
          </cell>
          <cell r="Q15">
            <v>10</v>
          </cell>
          <cell r="R15">
            <v>4</v>
          </cell>
          <cell r="S15">
            <v>4</v>
          </cell>
          <cell r="U15">
            <v>4</v>
          </cell>
          <cell r="V15">
            <v>4</v>
          </cell>
          <cell r="W15">
            <v>6</v>
          </cell>
          <cell r="X15" t="str">
            <v/>
          </cell>
          <cell r="Y15">
            <v>4</v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>
            <v>4</v>
          </cell>
          <cell r="AF15" t="str">
            <v/>
          </cell>
          <cell r="AG15">
            <v>6</v>
          </cell>
          <cell r="AH15">
            <v>8</v>
          </cell>
          <cell r="AI15" t="str">
            <v/>
          </cell>
          <cell r="AJ15">
            <v>6</v>
          </cell>
        </row>
        <row r="16">
          <cell r="C16" t="str">
            <v/>
          </cell>
          <cell r="D16" t="str">
            <v/>
          </cell>
          <cell r="E16">
            <v>4</v>
          </cell>
          <cell r="F16">
            <v>14</v>
          </cell>
          <cell r="G16">
            <v>0</v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>
            <v>10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>
            <v>4</v>
          </cell>
          <cell r="R16">
            <v>4</v>
          </cell>
          <cell r="S16">
            <v>4</v>
          </cell>
          <cell r="U16" t="str">
            <v/>
          </cell>
          <cell r="V16">
            <v>14</v>
          </cell>
          <cell r="W16">
            <v>6</v>
          </cell>
          <cell r="X16" t="str">
            <v/>
          </cell>
          <cell r="Y16">
            <v>4</v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>
            <v>4</v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>
            <v>4</v>
          </cell>
          <cell r="G18">
            <v>6</v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>
            <v>8</v>
          </cell>
          <cell r="O18" t="str">
            <v/>
          </cell>
          <cell r="P18">
            <v>4</v>
          </cell>
          <cell r="Q18" t="str">
            <v/>
          </cell>
          <cell r="R18" t="str">
            <v/>
          </cell>
          <cell r="S18">
            <v>4</v>
          </cell>
          <cell r="U18" t="str">
            <v/>
          </cell>
          <cell r="V18">
            <v>4</v>
          </cell>
          <cell r="W18">
            <v>4</v>
          </cell>
          <cell r="X18" t="str">
            <v/>
          </cell>
          <cell r="Y18">
            <v>4</v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>
            <v>6</v>
          </cell>
          <cell r="AG18" t="str">
            <v/>
          </cell>
          <cell r="AH18">
            <v>4</v>
          </cell>
          <cell r="AI18" t="str">
            <v/>
          </cell>
          <cell r="AJ18" t="str">
            <v/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>
            <v>6</v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>
            <v>4</v>
          </cell>
          <cell r="Q20">
            <v>12</v>
          </cell>
          <cell r="R20" t="str">
            <v/>
          </cell>
          <cell r="S20">
            <v>4</v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>
            <v>4</v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</row>
        <row r="21">
          <cell r="C21">
            <v>4</v>
          </cell>
          <cell r="D21" t="str">
            <v/>
          </cell>
          <cell r="E21">
            <v>4</v>
          </cell>
          <cell r="F21" t="str">
            <v/>
          </cell>
          <cell r="G21" t="str">
            <v/>
          </cell>
          <cell r="H21">
            <v>8</v>
          </cell>
          <cell r="I21" t="str">
            <v/>
          </cell>
          <cell r="J21">
            <v>6</v>
          </cell>
          <cell r="K21" t="str">
            <v/>
          </cell>
          <cell r="L21" t="str">
            <v/>
          </cell>
          <cell r="M21">
            <v>0</v>
          </cell>
          <cell r="N21" t="str">
            <v/>
          </cell>
          <cell r="O21">
            <v>8</v>
          </cell>
          <cell r="P21" t="str">
            <v/>
          </cell>
          <cell r="Q21">
            <v>10</v>
          </cell>
          <cell r="R21" t="str">
            <v/>
          </cell>
          <cell r="S21">
            <v>0</v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</row>
        <row r="24">
          <cell r="C24">
            <v>8</v>
          </cell>
          <cell r="D24" t="str">
            <v/>
          </cell>
          <cell r="E24">
            <v>6</v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>
            <v>4</v>
          </cell>
          <cell r="U24">
            <v>6</v>
          </cell>
          <cell r="V24" t="str">
            <v/>
          </cell>
          <cell r="W24" t="str">
            <v/>
          </cell>
          <cell r="X24" t="str">
            <v/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>
            <v>8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</row>
        <row r="25">
          <cell r="C25">
            <v>4</v>
          </cell>
          <cell r="D25" t="str">
            <v/>
          </cell>
          <cell r="E25">
            <v>4</v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>
            <v>4</v>
          </cell>
          <cell r="N25" t="str">
            <v/>
          </cell>
          <cell r="O25">
            <v>0</v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</row>
        <row r="26">
          <cell r="C26">
            <v>4</v>
          </cell>
          <cell r="D26" t="str">
            <v/>
          </cell>
          <cell r="E26">
            <v>4</v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>
            <v>4</v>
          </cell>
          <cell r="P26" t="str">
            <v/>
          </cell>
          <cell r="Q26" t="str">
            <v/>
          </cell>
          <cell r="R26" t="str">
            <v/>
          </cell>
          <cell r="S26">
            <v>4</v>
          </cell>
          <cell r="U26">
            <v>4</v>
          </cell>
          <cell r="V26" t="str">
            <v/>
          </cell>
          <cell r="W26" t="str">
            <v/>
          </cell>
          <cell r="X26" t="str">
            <v/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</row>
        <row r="29">
          <cell r="C29">
            <v>8</v>
          </cell>
          <cell r="D29" t="str">
            <v/>
          </cell>
          <cell r="E29">
            <v>8</v>
          </cell>
          <cell r="F29" t="str">
            <v/>
          </cell>
          <cell r="G29" t="str">
            <v/>
          </cell>
          <cell r="H29">
            <v>8</v>
          </cell>
          <cell r="I29">
            <v>12</v>
          </cell>
          <cell r="J29">
            <v>6</v>
          </cell>
          <cell r="K29" t="str">
            <v/>
          </cell>
          <cell r="L29" t="str">
            <v/>
          </cell>
          <cell r="M29">
            <v>4</v>
          </cell>
          <cell r="N29">
            <v>6</v>
          </cell>
          <cell r="O29" t="str">
            <v/>
          </cell>
          <cell r="P29" t="str">
            <v/>
          </cell>
          <cell r="Q29">
            <v>6</v>
          </cell>
          <cell r="R29" t="str">
            <v/>
          </cell>
          <cell r="S29">
            <v>6</v>
          </cell>
          <cell r="U29">
            <v>4</v>
          </cell>
          <cell r="V29" t="str">
            <v/>
          </cell>
          <cell r="W29" t="str">
            <v/>
          </cell>
          <cell r="X29" t="str">
            <v/>
          </cell>
          <cell r="Y29">
            <v>4</v>
          </cell>
          <cell r="Z29">
            <v>8</v>
          </cell>
          <cell r="AA29" t="str">
            <v/>
          </cell>
          <cell r="AB29">
            <v>6</v>
          </cell>
          <cell r="AC29" t="str">
            <v/>
          </cell>
          <cell r="AD29" t="str">
            <v/>
          </cell>
          <cell r="AE29">
            <v>6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</row>
        <row r="30">
          <cell r="C30">
            <v>4</v>
          </cell>
          <cell r="D30" t="str">
            <v/>
          </cell>
          <cell r="E30">
            <v>4</v>
          </cell>
          <cell r="F30" t="str">
            <v/>
          </cell>
          <cell r="G30" t="str">
            <v/>
          </cell>
          <cell r="H30">
            <v>24</v>
          </cell>
          <cell r="I30" t="str">
            <v/>
          </cell>
          <cell r="J30" t="str">
            <v/>
          </cell>
          <cell r="K30">
            <v>6</v>
          </cell>
          <cell r="L30" t="str">
            <v/>
          </cell>
          <cell r="M30">
            <v>0</v>
          </cell>
          <cell r="N30" t="str">
            <v/>
          </cell>
          <cell r="O30" t="str">
            <v/>
          </cell>
          <cell r="P30" t="str">
            <v/>
          </cell>
          <cell r="Q30">
            <v>4</v>
          </cell>
          <cell r="R30">
            <v>6</v>
          </cell>
          <cell r="S30">
            <v>6</v>
          </cell>
          <cell r="U30">
            <v>4</v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>
            <v>6</v>
          </cell>
          <cell r="AA30" t="str">
            <v/>
          </cell>
          <cell r="AB30" t="str">
            <v/>
          </cell>
          <cell r="AC30" t="str">
            <v/>
          </cell>
          <cell r="AD30">
            <v>4</v>
          </cell>
          <cell r="AE30">
            <v>4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</row>
        <row r="33"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>
            <v>4</v>
          </cell>
          <cell r="M33" t="str">
            <v/>
          </cell>
          <cell r="N33" t="str">
            <v/>
          </cell>
          <cell r="O33" t="str">
            <v/>
          </cell>
          <cell r="P33">
            <v>10</v>
          </cell>
          <cell r="Q33" t="str">
            <v/>
          </cell>
          <cell r="R33" t="str">
            <v/>
          </cell>
          <cell r="S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4</v>
          </cell>
          <cell r="AI33" t="str">
            <v/>
          </cell>
          <cell r="AJ33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</row>
        <row r="35">
          <cell r="C35">
            <v>4</v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>
            <v>4</v>
          </cell>
          <cell r="Q35" t="str">
            <v/>
          </cell>
          <cell r="R35" t="str">
            <v/>
          </cell>
          <cell r="S35" t="str">
            <v/>
          </cell>
          <cell r="U35">
            <v>4</v>
          </cell>
          <cell r="V35" t="str">
            <v/>
          </cell>
          <cell r="W35" t="str">
            <v/>
          </cell>
          <cell r="X35" t="str">
            <v/>
          </cell>
          <cell r="Y35">
            <v>4</v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>
            <v>4</v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>
            <v>4</v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>
            <v>4</v>
          </cell>
          <cell r="U38">
            <v>4</v>
          </cell>
          <cell r="V38">
            <v>14</v>
          </cell>
          <cell r="W38">
            <v>0</v>
          </cell>
          <cell r="X38">
            <v>4</v>
          </cell>
          <cell r="Y38">
            <v>4</v>
          </cell>
          <cell r="Z38">
            <v>4</v>
          </cell>
          <cell r="AA38" t="str">
            <v/>
          </cell>
          <cell r="AB38">
            <v>6</v>
          </cell>
          <cell r="AC38" t="str">
            <v/>
          </cell>
          <cell r="AD38" t="str">
            <v/>
          </cell>
          <cell r="AE38" t="str">
            <v/>
          </cell>
          <cell r="AF38">
            <v>4</v>
          </cell>
          <cell r="AG38" t="str">
            <v/>
          </cell>
          <cell r="AH38">
            <v>4</v>
          </cell>
          <cell r="AI38">
            <v>4</v>
          </cell>
          <cell r="AJ38">
            <v>4</v>
          </cell>
        </row>
        <row r="39">
          <cell r="C39" t="str">
            <v/>
          </cell>
          <cell r="D39" t="str">
            <v/>
          </cell>
          <cell r="E39">
            <v>8</v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>
            <v>6</v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>
            <v>4</v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</row>
        <row r="40">
          <cell r="C40" t="str">
            <v/>
          </cell>
          <cell r="D40" t="str">
            <v/>
          </cell>
          <cell r="E40">
            <v>4</v>
          </cell>
          <cell r="F40">
            <v>4</v>
          </cell>
          <cell r="G40" t="str">
            <v/>
          </cell>
          <cell r="H40">
            <v>8</v>
          </cell>
          <cell r="I40" t="str">
            <v/>
          </cell>
          <cell r="J40">
            <v>6</v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>
            <v>4</v>
          </cell>
          <cell r="Q40">
            <v>4</v>
          </cell>
          <cell r="R40" t="str">
            <v/>
          </cell>
          <cell r="S40">
            <v>0</v>
          </cell>
          <cell r="U40">
            <v>4</v>
          </cell>
          <cell r="V40">
            <v>4</v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>
            <v>4</v>
          </cell>
          <cell r="AG40" t="str">
            <v/>
          </cell>
          <cell r="AH40" t="str">
            <v/>
          </cell>
          <cell r="AI40">
            <v>4</v>
          </cell>
          <cell r="AJ40">
            <v>6</v>
          </cell>
        </row>
        <row r="41">
          <cell r="C41">
            <v>4</v>
          </cell>
          <cell r="D41" t="str">
            <v/>
          </cell>
          <cell r="E41" t="str">
            <v/>
          </cell>
          <cell r="F41">
            <v>4</v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>
            <v>4</v>
          </cell>
          <cell r="O41" t="str">
            <v/>
          </cell>
          <cell r="P41">
            <v>6</v>
          </cell>
          <cell r="Q41" t="str">
            <v/>
          </cell>
          <cell r="R41">
            <v>4</v>
          </cell>
          <cell r="S41">
            <v>0</v>
          </cell>
          <cell r="U41" t="str">
            <v/>
          </cell>
          <cell r="V41">
            <v>4</v>
          </cell>
          <cell r="W41">
            <v>4</v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>
            <v>6</v>
          </cell>
          <cell r="AC41" t="str">
            <v/>
          </cell>
          <cell r="AD41" t="str">
            <v/>
          </cell>
          <cell r="AE41" t="str">
            <v/>
          </cell>
          <cell r="AF41">
            <v>8</v>
          </cell>
          <cell r="AG41" t="str">
            <v/>
          </cell>
          <cell r="AH41" t="str">
            <v/>
          </cell>
          <cell r="AI41" t="str">
            <v/>
          </cell>
          <cell r="AJ41">
            <v>4</v>
          </cell>
        </row>
        <row r="43">
          <cell r="C43" t="str">
            <v/>
          </cell>
          <cell r="D43" t="str">
            <v/>
          </cell>
          <cell r="E43">
            <v>4</v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>
            <v>4</v>
          </cell>
          <cell r="AA43" t="str">
            <v/>
          </cell>
          <cell r="AB43">
            <v>8</v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</row>
        <row r="44">
          <cell r="C44">
            <v>8</v>
          </cell>
          <cell r="D44" t="str">
            <v/>
          </cell>
          <cell r="E44">
            <v>10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U44">
            <v>4</v>
          </cell>
          <cell r="V44" t="str">
            <v/>
          </cell>
          <cell r="W44" t="str">
            <v/>
          </cell>
          <cell r="X44" t="str">
            <v/>
          </cell>
          <cell r="Y44">
            <v>4</v>
          </cell>
          <cell r="Z44">
            <v>10</v>
          </cell>
          <cell r="AA44">
            <v>14</v>
          </cell>
          <cell r="AB44">
            <v>20</v>
          </cell>
          <cell r="AC44" t="str">
            <v/>
          </cell>
          <cell r="AD44">
            <v>6</v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>
            <v>6</v>
          </cell>
        </row>
        <row r="45">
          <cell r="C45">
            <v>8</v>
          </cell>
          <cell r="D45" t="str">
            <v/>
          </cell>
          <cell r="E45">
            <v>10</v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>
            <v>8</v>
          </cell>
          <cell r="P45" t="str">
            <v/>
          </cell>
          <cell r="Q45" t="str">
            <v/>
          </cell>
          <cell r="R45" t="str">
            <v/>
          </cell>
          <cell r="S45">
            <v>4</v>
          </cell>
          <cell r="U45">
            <v>4</v>
          </cell>
          <cell r="V45" t="str">
            <v/>
          </cell>
          <cell r="W45" t="str">
            <v/>
          </cell>
          <cell r="X45" t="str">
            <v/>
          </cell>
          <cell r="Y45">
            <v>4</v>
          </cell>
          <cell r="Z45">
            <v>4</v>
          </cell>
          <cell r="AA45" t="str">
            <v/>
          </cell>
          <cell r="AB45">
            <v>6</v>
          </cell>
          <cell r="AC45" t="str">
            <v/>
          </cell>
          <cell r="AD45">
            <v>10</v>
          </cell>
          <cell r="AE45">
            <v>6</v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U48">
            <v>4</v>
          </cell>
          <cell r="V48">
            <v>6</v>
          </cell>
          <cell r="W48" t="str">
            <v/>
          </cell>
          <cell r="X48" t="str">
            <v/>
          </cell>
          <cell r="Y48" t="str">
            <v/>
          </cell>
          <cell r="Z48">
            <v>8</v>
          </cell>
          <cell r="AA48" t="str">
            <v/>
          </cell>
          <cell r="AB48">
            <v>16</v>
          </cell>
          <cell r="AC48" t="str">
            <v/>
          </cell>
          <cell r="AD48" t="str">
            <v/>
          </cell>
          <cell r="AE48" t="str">
            <v/>
          </cell>
          <cell r="AF48">
            <v>16</v>
          </cell>
          <cell r="AG48" t="str">
            <v/>
          </cell>
          <cell r="AH48" t="str">
            <v/>
          </cell>
          <cell r="AI48">
            <v>6</v>
          </cell>
          <cell r="AJ48" t="str">
            <v/>
          </cell>
        </row>
        <row r="49">
          <cell r="C49" t="str">
            <v/>
          </cell>
          <cell r="D49" t="str">
            <v/>
          </cell>
          <cell r="E49">
            <v>4</v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U49">
            <v>4</v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</row>
        <row r="51">
          <cell r="C51">
            <v>4</v>
          </cell>
          <cell r="D51" t="str">
            <v/>
          </cell>
          <cell r="E51">
            <v>4</v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>
            <v>6</v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>
            <v>4</v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>
            <v>4</v>
          </cell>
          <cell r="AA51" t="str">
            <v/>
          </cell>
          <cell r="AB51">
            <v>6</v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>
            <v>4</v>
          </cell>
          <cell r="AJ51" t="str">
            <v/>
          </cell>
        </row>
        <row r="53">
          <cell r="C53" t="str">
            <v/>
          </cell>
          <cell r="D53" t="str">
            <v/>
          </cell>
          <cell r="E53">
            <v>0</v>
          </cell>
          <cell r="F53">
            <v>4</v>
          </cell>
          <cell r="G53" t="str">
            <v/>
          </cell>
          <cell r="H53" t="str">
            <v/>
          </cell>
          <cell r="I53" t="str">
            <v/>
          </cell>
          <cell r="J53">
            <v>6</v>
          </cell>
          <cell r="K53" t="str">
            <v/>
          </cell>
          <cell r="L53" t="str">
            <v/>
          </cell>
          <cell r="M53" t="str">
            <v/>
          </cell>
          <cell r="N53">
            <v>4</v>
          </cell>
          <cell r="O53" t="str">
            <v/>
          </cell>
          <cell r="P53" t="str">
            <v/>
          </cell>
          <cell r="Q53">
            <v>6</v>
          </cell>
          <cell r="R53" t="str">
            <v/>
          </cell>
          <cell r="S53">
            <v>4</v>
          </cell>
          <cell r="U53">
            <v>4</v>
          </cell>
          <cell r="V53">
            <v>6</v>
          </cell>
          <cell r="W53" t="str">
            <v/>
          </cell>
          <cell r="X53">
            <v>6</v>
          </cell>
          <cell r="Y53" t="str">
            <v/>
          </cell>
          <cell r="Z53" t="str">
            <v/>
          </cell>
          <cell r="AA53" t="str">
            <v/>
          </cell>
          <cell r="AB53">
            <v>4</v>
          </cell>
          <cell r="AC53" t="str">
            <v/>
          </cell>
          <cell r="AD53">
            <v>4</v>
          </cell>
          <cell r="AE53" t="str">
            <v/>
          </cell>
          <cell r="AF53">
            <v>10</v>
          </cell>
          <cell r="AG53" t="str">
            <v/>
          </cell>
          <cell r="AH53" t="str">
            <v/>
          </cell>
          <cell r="AI53">
            <v>10</v>
          </cell>
          <cell r="AJ53">
            <v>6</v>
          </cell>
        </row>
        <row r="54">
          <cell r="C54" t="str">
            <v/>
          </cell>
          <cell r="D54">
            <v>6</v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U54" t="str">
            <v/>
          </cell>
          <cell r="V54">
            <v>4</v>
          </cell>
          <cell r="W54" t="str">
            <v/>
          </cell>
          <cell r="X54">
            <v>6</v>
          </cell>
          <cell r="Y54" t="str">
            <v/>
          </cell>
          <cell r="Z54">
            <v>4</v>
          </cell>
          <cell r="AA54" t="str">
            <v/>
          </cell>
          <cell r="AB54" t="str">
            <v/>
          </cell>
          <cell r="AC54" t="str">
            <v/>
          </cell>
          <cell r="AD54">
            <v>6</v>
          </cell>
          <cell r="AE54" t="str">
            <v/>
          </cell>
          <cell r="AF54">
            <v>4</v>
          </cell>
          <cell r="AG54" t="str">
            <v/>
          </cell>
          <cell r="AH54" t="str">
            <v/>
          </cell>
          <cell r="AI54">
            <v>4</v>
          </cell>
          <cell r="AJ54" t="str">
            <v/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-wise"/>
      <sheetName val="GCES"/>
      <sheetName val="2.0WS"/>
      <sheetName val="2.0WP"/>
      <sheetName val="KH_COTT"/>
      <sheetName val="RB_COTT"/>
    </sheetNames>
    <sheetDataSet>
      <sheetData sheetId="0"/>
      <sheetData sheetId="1"/>
      <sheetData sheetId="2">
        <row r="6">
          <cell r="A6" t="str">
            <v>10</v>
          </cell>
          <cell r="B6" t="str">
            <v>ERODE</v>
          </cell>
        </row>
        <row r="7">
          <cell r="A7" t="str">
            <v>11</v>
          </cell>
          <cell r="B7" t="str">
            <v>THE NILGIRIS</v>
          </cell>
        </row>
        <row r="8">
          <cell r="A8" t="str">
            <v>12</v>
          </cell>
          <cell r="B8" t="str">
            <v>COIMBATORE</v>
          </cell>
        </row>
        <row r="9">
          <cell r="A9" t="str">
            <v>32</v>
          </cell>
          <cell r="B9" t="str">
            <v>TIRUPPUR</v>
          </cell>
        </row>
        <row r="10">
          <cell r="A10" t="str">
            <v>SRO COIMBATORE TOTAL</v>
          </cell>
        </row>
        <row r="11">
          <cell r="A11" t="str">
            <v>05</v>
          </cell>
          <cell r="B11" t="str">
            <v>DHARMAPURI</v>
          </cell>
        </row>
        <row r="12">
          <cell r="A12" t="str">
            <v>31</v>
          </cell>
          <cell r="B12" t="str">
            <v>KRISHNAGIRI</v>
          </cell>
        </row>
        <row r="13">
          <cell r="A13" t="str">
            <v>36</v>
          </cell>
          <cell r="B13" t="str">
            <v>TIRUPATHUR</v>
          </cell>
        </row>
        <row r="14">
          <cell r="A14" t="str">
            <v>SRO DHARMAPURI TOTAL</v>
          </cell>
        </row>
        <row r="15">
          <cell r="A15" t="str">
            <v>08</v>
          </cell>
          <cell r="B15" t="str">
            <v>SALEM</v>
          </cell>
        </row>
        <row r="16">
          <cell r="A16" t="str">
            <v>09</v>
          </cell>
          <cell r="B16" t="str">
            <v>NAMAKKAL</v>
          </cell>
        </row>
        <row r="17">
          <cell r="A17" t="str">
            <v>SRO SALEM TOTAL</v>
          </cell>
        </row>
        <row r="18">
          <cell r="A18" t="str">
            <v>14</v>
          </cell>
          <cell r="B18" t="str">
            <v>KARUR</v>
          </cell>
        </row>
        <row r="19">
          <cell r="A19" t="str">
            <v>15</v>
          </cell>
          <cell r="B19" t="str">
            <v>TIRUCHIRAPPALLI</v>
          </cell>
        </row>
        <row r="20">
          <cell r="A20" t="str">
            <v>16</v>
          </cell>
          <cell r="B20" t="str">
            <v>PERAMBALUR</v>
          </cell>
        </row>
        <row r="21">
          <cell r="A21" t="str">
            <v>17</v>
          </cell>
          <cell r="B21" t="str">
            <v>ARIYALUR</v>
          </cell>
        </row>
        <row r="22">
          <cell r="A22" t="str">
            <v>SRO TIRUCHIRAPALLI TOTAL</v>
          </cell>
        </row>
        <row r="23">
          <cell r="A23" t="str">
            <v>RO COIMBATORE TOTAL</v>
          </cell>
        </row>
        <row r="24">
          <cell r="A24" t="str">
            <v>01</v>
          </cell>
          <cell r="B24" t="str">
            <v>THIRUVALLUR</v>
          </cell>
        </row>
        <row r="25">
          <cell r="A25" t="str">
            <v>03</v>
          </cell>
          <cell r="B25" t="str">
            <v>KANCHEEPURAM</v>
          </cell>
        </row>
        <row r="26">
          <cell r="A26" t="str">
            <v>33</v>
          </cell>
          <cell r="B26" t="str">
            <v>CHENGALPATTU</v>
          </cell>
        </row>
        <row r="27">
          <cell r="A27" t="str">
            <v>SRO CHENNAI TOTAL</v>
          </cell>
        </row>
        <row r="28">
          <cell r="A28" t="str">
            <v>07</v>
          </cell>
          <cell r="B28" t="str">
            <v>VILUPPURAM</v>
          </cell>
        </row>
        <row r="29">
          <cell r="A29" t="str">
            <v>18</v>
          </cell>
          <cell r="B29" t="str">
            <v>CUDDALORE</v>
          </cell>
        </row>
        <row r="30">
          <cell r="A30" t="str">
            <v>34</v>
          </cell>
          <cell r="B30" t="str">
            <v>KALLAKURICHI</v>
          </cell>
        </row>
        <row r="31">
          <cell r="A31" t="str">
            <v>38</v>
          </cell>
          <cell r="B31" t="str">
            <v>MAYILADUTHURAI</v>
          </cell>
        </row>
        <row r="32">
          <cell r="A32" t="str">
            <v>SRO CUDDALORE TOTAL</v>
          </cell>
        </row>
        <row r="33">
          <cell r="A33" t="str">
            <v>04</v>
          </cell>
          <cell r="B33" t="str">
            <v>VELLORE</v>
          </cell>
        </row>
        <row r="34">
          <cell r="A34" t="str">
            <v>06</v>
          </cell>
          <cell r="B34" t="str">
            <v>TIRUVANNAMALAI</v>
          </cell>
        </row>
        <row r="35">
          <cell r="A35" t="str">
            <v>35</v>
          </cell>
          <cell r="B35" t="str">
            <v>RANIPET</v>
          </cell>
        </row>
        <row r="36">
          <cell r="A36" t="str">
            <v>SRO VELLORE TOTAL</v>
          </cell>
        </row>
        <row r="37">
          <cell r="A37" t="str">
            <v>RO CHENNAI TOTAL</v>
          </cell>
        </row>
        <row r="38">
          <cell r="A38" t="str">
            <v>13</v>
          </cell>
          <cell r="B38" t="str">
            <v>DINDIGUL</v>
          </cell>
        </row>
        <row r="39">
          <cell r="A39" t="str">
            <v>23</v>
          </cell>
          <cell r="B39" t="str">
            <v>SIVAGANGAI</v>
          </cell>
        </row>
        <row r="40">
          <cell r="A40" t="str">
            <v>24</v>
          </cell>
          <cell r="B40" t="str">
            <v>MADURAI</v>
          </cell>
        </row>
        <row r="41">
          <cell r="A41" t="str">
            <v>25</v>
          </cell>
          <cell r="B41" t="str">
            <v>THENI</v>
          </cell>
        </row>
        <row r="42">
          <cell r="A42" t="str">
            <v>SRO MADURAI TOTAL</v>
          </cell>
        </row>
        <row r="43">
          <cell r="A43" t="str">
            <v>19</v>
          </cell>
          <cell r="B43" t="str">
            <v>NAGAPATTINAM</v>
          </cell>
        </row>
        <row r="44">
          <cell r="A44" t="str">
            <v>20</v>
          </cell>
          <cell r="B44" t="str">
            <v>THIRUVARUR</v>
          </cell>
        </row>
        <row r="45">
          <cell r="A45" t="str">
            <v>21</v>
          </cell>
          <cell r="B45" t="str">
            <v>THANJAVUR</v>
          </cell>
        </row>
        <row r="46">
          <cell r="A46" t="str">
            <v>22</v>
          </cell>
          <cell r="B46" t="str">
            <v>PUDUKKOTTAI</v>
          </cell>
        </row>
        <row r="47">
          <cell r="A47" t="str">
            <v>SRO THANJAVUR TOTAL</v>
          </cell>
        </row>
        <row r="48">
          <cell r="A48" t="str">
            <v>28</v>
          </cell>
          <cell r="B48" t="str">
            <v>THOOTHUKUDI</v>
          </cell>
        </row>
        <row r="49">
          <cell r="A49" t="str">
            <v>29</v>
          </cell>
          <cell r="B49" t="str">
            <v>TIRUNELVELI</v>
          </cell>
        </row>
        <row r="50">
          <cell r="A50" t="str">
            <v>30</v>
          </cell>
          <cell r="B50" t="str">
            <v>KANNIYAKUMARI</v>
          </cell>
        </row>
        <row r="51">
          <cell r="A51" t="str">
            <v>37</v>
          </cell>
          <cell r="B51" t="str">
            <v>TENKASI</v>
          </cell>
        </row>
        <row r="52">
          <cell r="A52" t="str">
            <v>SRO TIRUNELVELI TOTAL</v>
          </cell>
        </row>
        <row r="53">
          <cell r="A53" t="str">
            <v>26</v>
          </cell>
          <cell r="B53" t="str">
            <v>VIRUDHUNAGAR</v>
          </cell>
        </row>
        <row r="54">
          <cell r="A54" t="str">
            <v>27</v>
          </cell>
          <cell r="B54" t="str">
            <v>RAMANATHAPURAM</v>
          </cell>
        </row>
        <row r="55">
          <cell r="A55" t="str">
            <v>SRO VIRUDHNAGAR TOTAL</v>
          </cell>
        </row>
        <row r="56">
          <cell r="A56" t="str">
            <v>RO MADURAI TOTAL</v>
          </cell>
        </row>
        <row r="57">
          <cell r="A57" t="str">
            <v>STATE TOTAL</v>
          </cell>
        </row>
      </sheetData>
      <sheetData sheetId="3">
        <row r="6"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>
            <v>4</v>
          </cell>
          <cell r="K6">
            <v>4</v>
          </cell>
          <cell r="L6">
            <v>4</v>
          </cell>
          <cell r="M6">
            <v>4</v>
          </cell>
          <cell r="N6" t="str">
            <v/>
          </cell>
          <cell r="O6" t="str">
            <v/>
          </cell>
          <cell r="P6">
            <v>0</v>
          </cell>
          <cell r="Q6" t="str">
            <v/>
          </cell>
          <cell r="R6" t="str">
            <v/>
          </cell>
          <cell r="S6">
            <v>4</v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>
            <v>4</v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4</v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</row>
        <row r="7"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</row>
        <row r="8">
          <cell r="C8" t="str">
            <v/>
          </cell>
          <cell r="D8" t="str">
            <v/>
          </cell>
          <cell r="E8" t="str">
            <v/>
          </cell>
          <cell r="F8">
            <v>4</v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U8" t="str">
            <v/>
          </cell>
          <cell r="V8">
            <v>4</v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>
            <v>4</v>
          </cell>
          <cell r="AI8" t="str">
            <v/>
          </cell>
          <cell r="AJ8" t="str">
            <v/>
          </cell>
        </row>
        <row r="9"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</row>
        <row r="11">
          <cell r="C11" t="str">
            <v/>
          </cell>
          <cell r="D11" t="str">
            <v/>
          </cell>
          <cell r="E11">
            <v>4</v>
          </cell>
          <cell r="F11">
            <v>4</v>
          </cell>
          <cell r="G11" t="str">
            <v/>
          </cell>
          <cell r="H11" t="str">
            <v/>
          </cell>
          <cell r="I11" t="str">
            <v/>
          </cell>
          <cell r="J11">
            <v>4</v>
          </cell>
          <cell r="K11">
            <v>0</v>
          </cell>
          <cell r="L11">
            <v>4</v>
          </cell>
          <cell r="M11" t="str">
            <v/>
          </cell>
          <cell r="N11">
            <v>4</v>
          </cell>
          <cell r="O11" t="str">
            <v/>
          </cell>
          <cell r="P11">
            <v>6</v>
          </cell>
          <cell r="Q11">
            <v>4</v>
          </cell>
          <cell r="R11" t="str">
            <v/>
          </cell>
          <cell r="S11">
            <v>4</v>
          </cell>
          <cell r="U11">
            <v>4</v>
          </cell>
          <cell r="V11" t="str">
            <v/>
          </cell>
          <cell r="W11" t="str">
            <v/>
          </cell>
          <cell r="X11" t="str">
            <v/>
          </cell>
          <cell r="Y11">
            <v>4</v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>
            <v>8</v>
          </cell>
          <cell r="AI11" t="str">
            <v/>
          </cell>
          <cell r="AJ11" t="str">
            <v/>
          </cell>
        </row>
        <row r="12">
          <cell r="C12">
            <v>4</v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>
            <v>4</v>
          </cell>
          <cell r="L12">
            <v>4</v>
          </cell>
          <cell r="M12" t="str">
            <v/>
          </cell>
          <cell r="N12">
            <v>4</v>
          </cell>
          <cell r="O12" t="str">
            <v/>
          </cell>
          <cell r="P12">
            <v>6</v>
          </cell>
          <cell r="Q12" t="str">
            <v/>
          </cell>
          <cell r="R12" t="str">
            <v/>
          </cell>
          <cell r="S12" t="str">
            <v/>
          </cell>
          <cell r="U12">
            <v>4</v>
          </cell>
          <cell r="V12" t="str">
            <v/>
          </cell>
          <cell r="W12" t="str">
            <v/>
          </cell>
          <cell r="X12" t="str">
            <v/>
          </cell>
          <cell r="Y12">
            <v>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>
            <v>14</v>
          </cell>
          <cell r="AI12" t="str">
            <v/>
          </cell>
          <cell r="AJ12" t="str">
            <v/>
          </cell>
        </row>
        <row r="13"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>
            <v>4</v>
          </cell>
          <cell r="I13" t="str">
            <v/>
          </cell>
          <cell r="J13" t="str">
            <v/>
          </cell>
          <cell r="K13" t="str">
            <v/>
          </cell>
          <cell r="L13">
            <v>4</v>
          </cell>
          <cell r="M13" t="str">
            <v/>
          </cell>
          <cell r="N13" t="str">
            <v/>
          </cell>
          <cell r="O13" t="str">
            <v/>
          </cell>
          <cell r="P13">
            <v>4</v>
          </cell>
          <cell r="Q13">
            <v>4</v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>
            <v>4</v>
          </cell>
          <cell r="AI13" t="str">
            <v/>
          </cell>
          <cell r="AJ13" t="str">
            <v/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>
            <v>6</v>
          </cell>
          <cell r="G15" t="str">
            <v/>
          </cell>
          <cell r="H15" t="str">
            <v/>
          </cell>
          <cell r="I15" t="str">
            <v/>
          </cell>
          <cell r="J15">
            <v>0</v>
          </cell>
          <cell r="K15">
            <v>4</v>
          </cell>
          <cell r="L15">
            <v>4</v>
          </cell>
          <cell r="M15" t="str">
            <v/>
          </cell>
          <cell r="N15">
            <v>0</v>
          </cell>
          <cell r="O15">
            <v>4</v>
          </cell>
          <cell r="P15">
            <v>4</v>
          </cell>
          <cell r="Q15">
            <v>4</v>
          </cell>
          <cell r="R15" t="str">
            <v/>
          </cell>
          <cell r="S15" t="str">
            <v/>
          </cell>
          <cell r="U15">
            <v>4</v>
          </cell>
          <cell r="V15">
            <v>0</v>
          </cell>
          <cell r="W15">
            <v>6</v>
          </cell>
          <cell r="X15" t="str">
            <v/>
          </cell>
          <cell r="Y15">
            <v>0</v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>
            <v>0</v>
          </cell>
          <cell r="AF15" t="str">
            <v/>
          </cell>
          <cell r="AG15">
            <v>4</v>
          </cell>
          <cell r="AH15">
            <v>6</v>
          </cell>
          <cell r="AI15" t="str">
            <v/>
          </cell>
          <cell r="AJ15">
            <v>4</v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>
            <v>10</v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>
            <v>4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>
            <v>4</v>
          </cell>
          <cell r="S16">
            <v>4</v>
          </cell>
          <cell r="U16" t="str">
            <v/>
          </cell>
          <cell r="V16">
            <v>6</v>
          </cell>
          <cell r="W16">
            <v>4</v>
          </cell>
          <cell r="X16" t="str">
            <v/>
          </cell>
          <cell r="Y16">
            <v>4</v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>
            <v>4</v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>
            <v>4</v>
          </cell>
          <cell r="G18">
            <v>4</v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>
            <v>4</v>
          </cell>
          <cell r="O18" t="str">
            <v/>
          </cell>
          <cell r="P18">
            <v>4</v>
          </cell>
          <cell r="Q18" t="str">
            <v/>
          </cell>
          <cell r="R18" t="str">
            <v/>
          </cell>
          <cell r="S18" t="str">
            <v/>
          </cell>
          <cell r="U18" t="str">
            <v/>
          </cell>
          <cell r="V18">
            <v>4</v>
          </cell>
          <cell r="W18" t="str">
            <v/>
          </cell>
          <cell r="X18" t="str">
            <v/>
          </cell>
          <cell r="Y18">
            <v>0</v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>
            <v>4</v>
          </cell>
          <cell r="AG18" t="str">
            <v/>
          </cell>
          <cell r="AH18">
            <v>4</v>
          </cell>
          <cell r="AI18" t="str">
            <v/>
          </cell>
          <cell r="AJ18" t="str">
            <v/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>
            <v>4</v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>
            <v>4</v>
          </cell>
          <cell r="Q20">
            <v>4</v>
          </cell>
          <cell r="R20" t="str">
            <v/>
          </cell>
          <cell r="S20">
            <v>4</v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>
            <v>4</v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</row>
        <row r="21">
          <cell r="C21">
            <v>0</v>
          </cell>
          <cell r="D21" t="str">
            <v/>
          </cell>
          <cell r="E21">
            <v>4</v>
          </cell>
          <cell r="F21" t="str">
            <v/>
          </cell>
          <cell r="G21" t="str">
            <v/>
          </cell>
          <cell r="H21">
            <v>4</v>
          </cell>
          <cell r="I21" t="str">
            <v/>
          </cell>
          <cell r="J21">
            <v>4</v>
          </cell>
          <cell r="K21" t="str">
            <v/>
          </cell>
          <cell r="L21" t="str">
            <v/>
          </cell>
          <cell r="M21">
            <v>0</v>
          </cell>
          <cell r="N21" t="str">
            <v/>
          </cell>
          <cell r="O21">
            <v>4</v>
          </cell>
          <cell r="P21" t="str">
            <v/>
          </cell>
          <cell r="Q21">
            <v>4</v>
          </cell>
          <cell r="R21" t="str">
            <v/>
          </cell>
          <cell r="S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>
            <v>0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</row>
        <row r="24">
          <cell r="C24">
            <v>4</v>
          </cell>
          <cell r="D24" t="str">
            <v/>
          </cell>
          <cell r="E24">
            <v>4</v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>
            <v>4</v>
          </cell>
          <cell r="U24">
            <v>4</v>
          </cell>
          <cell r="V24" t="str">
            <v/>
          </cell>
          <cell r="W24" t="str">
            <v/>
          </cell>
          <cell r="X24" t="str">
            <v/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>
            <v>4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</row>
        <row r="25">
          <cell r="C25">
            <v>4</v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>
            <v>0</v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</row>
        <row r="26">
          <cell r="C26">
            <v>4</v>
          </cell>
          <cell r="D26" t="str">
            <v/>
          </cell>
          <cell r="E26">
            <v>4</v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>
            <v>4</v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</row>
        <row r="29">
          <cell r="C29">
            <v>4</v>
          </cell>
          <cell r="D29" t="str">
            <v/>
          </cell>
          <cell r="E29">
            <v>6</v>
          </cell>
          <cell r="F29" t="str">
            <v/>
          </cell>
          <cell r="G29" t="str">
            <v/>
          </cell>
          <cell r="H29">
            <v>6</v>
          </cell>
          <cell r="I29">
            <v>8</v>
          </cell>
          <cell r="J29">
            <v>4</v>
          </cell>
          <cell r="K29" t="str">
            <v/>
          </cell>
          <cell r="L29" t="str">
            <v/>
          </cell>
          <cell r="M29">
            <v>4</v>
          </cell>
          <cell r="N29">
            <v>4</v>
          </cell>
          <cell r="O29" t="str">
            <v/>
          </cell>
          <cell r="P29" t="str">
            <v/>
          </cell>
          <cell r="Q29">
            <v>4</v>
          </cell>
          <cell r="R29" t="str">
            <v/>
          </cell>
          <cell r="S29">
            <v>4</v>
          </cell>
          <cell r="U29">
            <v>4</v>
          </cell>
          <cell r="V29" t="str">
            <v/>
          </cell>
          <cell r="W29" t="str">
            <v/>
          </cell>
          <cell r="X29" t="str">
            <v/>
          </cell>
          <cell r="Y29">
            <v>0</v>
          </cell>
          <cell r="Z29">
            <v>4</v>
          </cell>
          <cell r="AA29" t="str">
            <v/>
          </cell>
          <cell r="AB29">
            <v>4</v>
          </cell>
          <cell r="AC29" t="str">
            <v/>
          </cell>
          <cell r="AD29" t="str">
            <v/>
          </cell>
          <cell r="AE29">
            <v>4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</row>
        <row r="30">
          <cell r="C30">
            <v>0</v>
          </cell>
          <cell r="D30" t="str">
            <v/>
          </cell>
          <cell r="E30">
            <v>4</v>
          </cell>
          <cell r="F30" t="str">
            <v/>
          </cell>
          <cell r="G30" t="str">
            <v/>
          </cell>
          <cell r="H30">
            <v>14</v>
          </cell>
          <cell r="I30" t="str">
            <v/>
          </cell>
          <cell r="J30" t="str">
            <v/>
          </cell>
          <cell r="K30">
            <v>4</v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>
            <v>4</v>
          </cell>
          <cell r="S30">
            <v>4</v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>
            <v>4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</row>
        <row r="33"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>
            <v>4</v>
          </cell>
          <cell r="M33" t="str">
            <v/>
          </cell>
          <cell r="N33" t="str">
            <v/>
          </cell>
          <cell r="O33" t="str">
            <v/>
          </cell>
          <cell r="P33">
            <v>4</v>
          </cell>
          <cell r="Q33" t="str">
            <v/>
          </cell>
          <cell r="R33" t="str">
            <v/>
          </cell>
          <cell r="S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</row>
        <row r="35">
          <cell r="C35">
            <v>4</v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>
            <v>4</v>
          </cell>
          <cell r="Q35" t="str">
            <v/>
          </cell>
          <cell r="R35" t="str">
            <v/>
          </cell>
          <cell r="S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>
            <v>4</v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>
            <v>4</v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>
            <v>4</v>
          </cell>
          <cell r="U38">
            <v>4</v>
          </cell>
          <cell r="V38">
            <v>8</v>
          </cell>
          <cell r="W38" t="str">
            <v/>
          </cell>
          <cell r="X38">
            <v>4</v>
          </cell>
          <cell r="Y38">
            <v>0</v>
          </cell>
          <cell r="Z38">
            <v>0</v>
          </cell>
          <cell r="AA38" t="str">
            <v/>
          </cell>
          <cell r="AB38">
            <v>0</v>
          </cell>
          <cell r="AC38" t="str">
            <v/>
          </cell>
          <cell r="AD38" t="str">
            <v/>
          </cell>
          <cell r="AE38" t="str">
            <v/>
          </cell>
          <cell r="AF38">
            <v>4</v>
          </cell>
          <cell r="AG38" t="str">
            <v/>
          </cell>
          <cell r="AH38">
            <v>0</v>
          </cell>
          <cell r="AI38">
            <v>0</v>
          </cell>
          <cell r="AJ38">
            <v>0</v>
          </cell>
        </row>
        <row r="39">
          <cell r="C39" t="str">
            <v/>
          </cell>
          <cell r="D39" t="str">
            <v/>
          </cell>
          <cell r="E39">
            <v>4</v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>
            <v>4</v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>
            <v>4</v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</row>
        <row r="40">
          <cell r="C40" t="str">
            <v/>
          </cell>
          <cell r="D40" t="str">
            <v/>
          </cell>
          <cell r="E40">
            <v>4</v>
          </cell>
          <cell r="F40">
            <v>4</v>
          </cell>
          <cell r="G40" t="str">
            <v/>
          </cell>
          <cell r="H40">
            <v>4</v>
          </cell>
          <cell r="I40" t="str">
            <v/>
          </cell>
          <cell r="J40">
            <v>0</v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>
            <v>0</v>
          </cell>
          <cell r="Q40">
            <v>4</v>
          </cell>
          <cell r="R40" t="str">
            <v/>
          </cell>
          <cell r="S40" t="str">
            <v/>
          </cell>
          <cell r="U40">
            <v>4</v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>
            <v>4</v>
          </cell>
          <cell r="AG40" t="str">
            <v/>
          </cell>
          <cell r="AH40" t="str">
            <v/>
          </cell>
          <cell r="AI40">
            <v>4</v>
          </cell>
          <cell r="AJ40">
            <v>4</v>
          </cell>
        </row>
        <row r="41">
          <cell r="C41">
            <v>4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>
            <v>4</v>
          </cell>
          <cell r="O41" t="str">
            <v/>
          </cell>
          <cell r="P41">
            <v>4</v>
          </cell>
          <cell r="Q41" t="str">
            <v/>
          </cell>
          <cell r="R41" t="str">
            <v/>
          </cell>
          <cell r="S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>
            <v>4</v>
          </cell>
          <cell r="AC41" t="str">
            <v/>
          </cell>
          <cell r="AD41" t="str">
            <v/>
          </cell>
          <cell r="AE41" t="str">
            <v/>
          </cell>
          <cell r="AF41">
            <v>4</v>
          </cell>
          <cell r="AG41" t="str">
            <v/>
          </cell>
          <cell r="AH41" t="str">
            <v/>
          </cell>
          <cell r="AI41" t="str">
            <v/>
          </cell>
          <cell r="AJ41">
            <v>4</v>
          </cell>
        </row>
        <row r="43">
          <cell r="C43" t="str">
            <v/>
          </cell>
          <cell r="D43" t="str">
            <v/>
          </cell>
          <cell r="E43">
            <v>4</v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>
            <v>4</v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</row>
        <row r="44">
          <cell r="C44">
            <v>4</v>
          </cell>
          <cell r="D44" t="str">
            <v/>
          </cell>
          <cell r="E44">
            <v>6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U44">
            <v>0</v>
          </cell>
          <cell r="V44" t="str">
            <v/>
          </cell>
          <cell r="W44" t="str">
            <v/>
          </cell>
          <cell r="X44" t="str">
            <v/>
          </cell>
          <cell r="Y44">
            <v>0</v>
          </cell>
          <cell r="Z44">
            <v>4</v>
          </cell>
          <cell r="AA44">
            <v>8</v>
          </cell>
          <cell r="AB44">
            <v>8</v>
          </cell>
          <cell r="AC44" t="str">
            <v/>
          </cell>
          <cell r="AD44">
            <v>4</v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>
            <v>4</v>
          </cell>
        </row>
        <row r="45">
          <cell r="C45">
            <v>4</v>
          </cell>
          <cell r="D45" t="str">
            <v/>
          </cell>
          <cell r="E45">
            <v>4</v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>
            <v>4</v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U45">
            <v>4</v>
          </cell>
          <cell r="V45" t="str">
            <v/>
          </cell>
          <cell r="W45" t="str">
            <v/>
          </cell>
          <cell r="X45" t="str">
            <v/>
          </cell>
          <cell r="Y45">
            <v>4</v>
          </cell>
          <cell r="Z45">
            <v>4</v>
          </cell>
          <cell r="AA45" t="str">
            <v/>
          </cell>
          <cell r="AB45">
            <v>4</v>
          </cell>
          <cell r="AC45" t="str">
            <v/>
          </cell>
          <cell r="AD45">
            <v>8</v>
          </cell>
          <cell r="AE45">
            <v>4</v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U48">
            <v>4</v>
          </cell>
          <cell r="V48">
            <v>4</v>
          </cell>
          <cell r="W48" t="str">
            <v/>
          </cell>
          <cell r="X48" t="str">
            <v/>
          </cell>
          <cell r="Y48" t="str">
            <v/>
          </cell>
          <cell r="Z48">
            <v>4</v>
          </cell>
          <cell r="AA48" t="str">
            <v/>
          </cell>
          <cell r="AB48">
            <v>8</v>
          </cell>
          <cell r="AC48" t="str">
            <v/>
          </cell>
          <cell r="AD48" t="str">
            <v/>
          </cell>
          <cell r="AE48" t="str">
            <v/>
          </cell>
          <cell r="AF48">
            <v>10</v>
          </cell>
          <cell r="AG48" t="str">
            <v/>
          </cell>
          <cell r="AH48" t="str">
            <v/>
          </cell>
          <cell r="AI48">
            <v>4</v>
          </cell>
          <cell r="AJ48" t="str">
            <v/>
          </cell>
        </row>
        <row r="49">
          <cell r="C49" t="str">
            <v/>
          </cell>
          <cell r="D49" t="str">
            <v/>
          </cell>
          <cell r="E49">
            <v>4</v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</row>
        <row r="51">
          <cell r="C51">
            <v>4</v>
          </cell>
          <cell r="D51" t="str">
            <v/>
          </cell>
          <cell r="E51">
            <v>4</v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>
            <v>4</v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>
            <v>4</v>
          </cell>
          <cell r="AA51" t="str">
            <v/>
          </cell>
          <cell r="AB51">
            <v>4</v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>
            <v>4</v>
          </cell>
          <cell r="AJ51" t="str">
            <v/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>
            <v>4</v>
          </cell>
          <cell r="K53" t="str">
            <v/>
          </cell>
          <cell r="L53" t="str">
            <v/>
          </cell>
          <cell r="M53" t="str">
            <v/>
          </cell>
          <cell r="N53">
            <v>0</v>
          </cell>
          <cell r="O53" t="str">
            <v/>
          </cell>
          <cell r="P53" t="str">
            <v/>
          </cell>
          <cell r="Q53">
            <v>4</v>
          </cell>
          <cell r="R53" t="str">
            <v/>
          </cell>
          <cell r="S53">
            <v>4</v>
          </cell>
          <cell r="U53">
            <v>4</v>
          </cell>
          <cell r="V53">
            <v>4</v>
          </cell>
          <cell r="W53" t="str">
            <v/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>
            <v>0</v>
          </cell>
          <cell r="AC53" t="str">
            <v/>
          </cell>
          <cell r="AD53">
            <v>4</v>
          </cell>
          <cell r="AE53" t="str">
            <v/>
          </cell>
          <cell r="AF53">
            <v>6</v>
          </cell>
          <cell r="AG53" t="str">
            <v/>
          </cell>
          <cell r="AH53" t="str">
            <v/>
          </cell>
          <cell r="AI53">
            <v>4</v>
          </cell>
          <cell r="AJ53">
            <v>4</v>
          </cell>
        </row>
        <row r="54">
          <cell r="C54" t="str">
            <v/>
          </cell>
          <cell r="D54">
            <v>4</v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U54" t="str">
            <v/>
          </cell>
          <cell r="V54" t="str">
            <v/>
          </cell>
          <cell r="W54" t="str">
            <v/>
          </cell>
          <cell r="X54">
            <v>4</v>
          </cell>
          <cell r="Y54" t="str">
            <v/>
          </cell>
          <cell r="Z54">
            <v>4</v>
          </cell>
          <cell r="AA54" t="str">
            <v/>
          </cell>
          <cell r="AB54" t="str">
            <v/>
          </cell>
          <cell r="AC54" t="str">
            <v/>
          </cell>
          <cell r="AD54">
            <v>4</v>
          </cell>
          <cell r="AE54" t="str">
            <v/>
          </cell>
          <cell r="AF54">
            <v>4</v>
          </cell>
          <cell r="AG54" t="str">
            <v/>
          </cell>
          <cell r="AH54" t="str">
            <v/>
          </cell>
          <cell r="AI54">
            <v>4</v>
          </cell>
          <cell r="AJ54" t="str">
            <v/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A63F-78A8-44C9-A2AE-A0C0059BD8D5}">
  <sheetPr>
    <tabColor rgb="FF00B050"/>
  </sheetPr>
  <dimension ref="A1:AL57"/>
  <sheetViews>
    <sheetView view="pageBreakPreview" zoomScale="85" zoomScaleNormal="70" zoomScaleSheetLayoutView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K57" sqref="AK57"/>
    </sheetView>
  </sheetViews>
  <sheetFormatPr defaultColWidth="8.88671875" defaultRowHeight="13.2" x14ac:dyDescent="0.25"/>
  <cols>
    <col min="1" max="1" width="7.109375" style="5" bestFit="1" customWidth="1"/>
    <col min="2" max="2" width="21.21875" style="1" bestFit="1" customWidth="1"/>
    <col min="3" max="3" width="4.88671875" style="2" bestFit="1" customWidth="1"/>
    <col min="4" max="15" width="4.21875" style="2" customWidth="1"/>
    <col min="16" max="16" width="6.88671875" style="2" bestFit="1" customWidth="1"/>
    <col min="17" max="18" width="4.21875" style="2" customWidth="1"/>
    <col min="19" max="19" width="6.33203125" style="2" bestFit="1" customWidth="1"/>
    <col min="20" max="20" width="7.44140625" style="4" bestFit="1" customWidth="1"/>
    <col min="21" max="33" width="4.21875" style="2" customWidth="1"/>
    <col min="34" max="34" width="7" style="2" bestFit="1" customWidth="1"/>
    <col min="35" max="36" width="4.21875" style="2" customWidth="1"/>
    <col min="37" max="37" width="7.44140625" style="4" bestFit="1" customWidth="1"/>
    <col min="38" max="38" width="8.88671875" style="1" customWidth="1"/>
    <col min="39" max="16384" width="8.88671875" style="1"/>
  </cols>
  <sheetData>
    <row r="1" spans="1:38" ht="15.6" x14ac:dyDescent="0.3">
      <c r="A1" s="24" t="s">
        <v>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ht="14.4" customHeight="1" x14ac:dyDescent="0.25">
      <c r="A2" s="6"/>
      <c r="B2" s="6"/>
      <c r="C2" s="23" t="s">
        <v>5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5" t="s">
        <v>6</v>
      </c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6" t="s">
        <v>21</v>
      </c>
    </row>
    <row r="3" spans="1:38" ht="14.25" customHeight="1" x14ac:dyDescent="0.25">
      <c r="A3" s="2"/>
      <c r="B3" s="6"/>
      <c r="C3" s="7" t="s">
        <v>9</v>
      </c>
      <c r="D3" s="22" t="s">
        <v>22</v>
      </c>
      <c r="E3" s="22"/>
      <c r="F3" s="22" t="s">
        <v>10</v>
      </c>
      <c r="G3" s="22"/>
      <c r="H3" s="22" t="s">
        <v>11</v>
      </c>
      <c r="I3" s="22"/>
      <c r="J3" s="22" t="s">
        <v>0</v>
      </c>
      <c r="K3" s="22"/>
      <c r="L3" s="22" t="s">
        <v>4</v>
      </c>
      <c r="M3" s="22"/>
      <c r="N3" s="22" t="s">
        <v>12</v>
      </c>
      <c r="O3" s="22"/>
      <c r="P3" s="22" t="s">
        <v>13</v>
      </c>
      <c r="Q3" s="22" t="s">
        <v>14</v>
      </c>
      <c r="R3" s="22"/>
      <c r="S3" s="22" t="s">
        <v>15</v>
      </c>
      <c r="T3" s="23" t="s">
        <v>3</v>
      </c>
      <c r="U3" s="7" t="s">
        <v>9</v>
      </c>
      <c r="V3" s="22" t="s">
        <v>10</v>
      </c>
      <c r="W3" s="22"/>
      <c r="X3" s="22" t="s">
        <v>4</v>
      </c>
      <c r="Y3" s="22"/>
      <c r="Z3" s="22" t="s">
        <v>18</v>
      </c>
      <c r="AA3" s="22"/>
      <c r="AB3" s="22" t="s">
        <v>19</v>
      </c>
      <c r="AC3" s="22"/>
      <c r="AD3" s="22" t="s">
        <v>12</v>
      </c>
      <c r="AE3" s="22"/>
      <c r="AF3" s="22" t="s">
        <v>11</v>
      </c>
      <c r="AG3" s="22"/>
      <c r="AH3" s="22" t="s">
        <v>20</v>
      </c>
      <c r="AI3" s="22" t="s">
        <v>14</v>
      </c>
      <c r="AJ3" s="22"/>
      <c r="AK3" s="25" t="s">
        <v>3</v>
      </c>
      <c r="AL3" s="26"/>
    </row>
    <row r="4" spans="1:38" x14ac:dyDescent="0.25">
      <c r="A4" s="2"/>
      <c r="B4" s="6"/>
      <c r="C4" s="7" t="s">
        <v>16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7" t="s">
        <v>17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5"/>
      <c r="AL4" s="26"/>
    </row>
    <row r="5" spans="1:38" x14ac:dyDescent="0.25">
      <c r="A5" s="7" t="s">
        <v>8</v>
      </c>
      <c r="B5" s="11" t="s">
        <v>7</v>
      </c>
      <c r="C5" s="7" t="s">
        <v>1</v>
      </c>
      <c r="D5" s="7" t="s">
        <v>2</v>
      </c>
      <c r="E5" s="7" t="s">
        <v>1</v>
      </c>
      <c r="F5" s="7" t="s">
        <v>2</v>
      </c>
      <c r="G5" s="7" t="s">
        <v>1</v>
      </c>
      <c r="H5" s="7" t="s">
        <v>2</v>
      </c>
      <c r="I5" s="7" t="s">
        <v>1</v>
      </c>
      <c r="J5" s="7" t="s">
        <v>2</v>
      </c>
      <c r="K5" s="7" t="s">
        <v>1</v>
      </c>
      <c r="L5" s="7" t="s">
        <v>2</v>
      </c>
      <c r="M5" s="7" t="s">
        <v>1</v>
      </c>
      <c r="N5" s="7" t="s">
        <v>2</v>
      </c>
      <c r="O5" s="7" t="s">
        <v>1</v>
      </c>
      <c r="P5" s="7" t="s">
        <v>2</v>
      </c>
      <c r="Q5" s="7" t="s">
        <v>2</v>
      </c>
      <c r="R5" s="7" t="s">
        <v>1</v>
      </c>
      <c r="S5" s="22"/>
      <c r="T5" s="23"/>
      <c r="U5" s="7" t="s">
        <v>1</v>
      </c>
      <c r="V5" s="7" t="s">
        <v>2</v>
      </c>
      <c r="W5" s="7" t="s">
        <v>1</v>
      </c>
      <c r="X5" s="7" t="s">
        <v>2</v>
      </c>
      <c r="Y5" s="7" t="s">
        <v>1</v>
      </c>
      <c r="Z5" s="7" t="s">
        <v>2</v>
      </c>
      <c r="AA5" s="7" t="s">
        <v>1</v>
      </c>
      <c r="AB5" s="7" t="s">
        <v>2</v>
      </c>
      <c r="AC5" s="7" t="s">
        <v>1</v>
      </c>
      <c r="AD5" s="7" t="s">
        <v>2</v>
      </c>
      <c r="AE5" s="7" t="s">
        <v>1</v>
      </c>
      <c r="AF5" s="7" t="s">
        <v>2</v>
      </c>
      <c r="AG5" s="7" t="s">
        <v>1</v>
      </c>
      <c r="AH5" s="7" t="s">
        <v>2</v>
      </c>
      <c r="AI5" s="7" t="s">
        <v>2</v>
      </c>
      <c r="AJ5" s="7" t="s">
        <v>1</v>
      </c>
      <c r="AK5" s="25"/>
      <c r="AL5" s="26"/>
    </row>
    <row r="6" spans="1:38" x14ac:dyDescent="0.25">
      <c r="A6" s="12" t="str">
        <f>'[1]2.0WS'!A6</f>
        <v>10</v>
      </c>
      <c r="B6" s="13" t="str">
        <f>'[1]2.0WS'!B6</f>
        <v>ERODE</v>
      </c>
      <c r="C6" s="8" t="str">
        <f>'[1]2.0WP'!C6</f>
        <v/>
      </c>
      <c r="D6" s="8" t="str">
        <f>'[1]2.0WP'!D6</f>
        <v/>
      </c>
      <c r="E6" s="8" t="str">
        <f>'[1]2.0WP'!E6</f>
        <v/>
      </c>
      <c r="F6" s="8" t="str">
        <f>'[1]2.0WP'!F6</f>
        <v/>
      </c>
      <c r="G6" s="8" t="str">
        <f>'[1]2.0WP'!G6</f>
        <v/>
      </c>
      <c r="H6" s="8" t="str">
        <f>'[1]2.0WP'!H6</f>
        <v/>
      </c>
      <c r="I6" s="8" t="str">
        <f>'[1]2.0WP'!I6</f>
        <v/>
      </c>
      <c r="J6" s="8">
        <f>'[1]2.0WP'!J6</f>
        <v>6</v>
      </c>
      <c r="K6" s="8">
        <f>'[1]2.0WP'!K6</f>
        <v>8</v>
      </c>
      <c r="L6" s="8">
        <f>'[1]2.0WP'!L6</f>
        <v>6</v>
      </c>
      <c r="M6" s="8">
        <f>'[1]2.0WP'!M6</f>
        <v>4</v>
      </c>
      <c r="N6" s="8" t="str">
        <f>'[1]2.0WP'!N6</f>
        <v/>
      </c>
      <c r="O6" s="8" t="str">
        <f>'[1]2.0WP'!O6</f>
        <v/>
      </c>
      <c r="P6" s="8">
        <f>'[1]2.0WP'!P6</f>
        <v>4</v>
      </c>
      <c r="Q6" s="8" t="str">
        <f>'[1]2.0WP'!Q6</f>
        <v/>
      </c>
      <c r="R6" s="8" t="str">
        <f>'[1]2.0WP'!R6</f>
        <v/>
      </c>
      <c r="S6" s="8">
        <f>'[1]2.0WP'!S6</f>
        <v>6</v>
      </c>
      <c r="T6" s="9">
        <f>SUM(C6:S6)</f>
        <v>34</v>
      </c>
      <c r="U6" s="8" t="str">
        <f>'[1]2.0WP'!U6</f>
        <v/>
      </c>
      <c r="V6" s="8" t="str">
        <f>'[1]2.0WP'!V6</f>
        <v/>
      </c>
      <c r="W6" s="8" t="str">
        <f>'[1]2.0WP'!W6</f>
        <v/>
      </c>
      <c r="X6" s="8" t="str">
        <f>'[1]2.0WP'!X6</f>
        <v/>
      </c>
      <c r="Y6" s="8">
        <f>'[1]2.0WP'!Y6</f>
        <v>4</v>
      </c>
      <c r="Z6" s="8" t="str">
        <f>'[1]2.0WP'!Z6</f>
        <v/>
      </c>
      <c r="AA6" s="8" t="str">
        <f>'[1]2.0WP'!AA6</f>
        <v/>
      </c>
      <c r="AB6" s="8" t="str">
        <f>'[1]2.0WP'!AB6</f>
        <v/>
      </c>
      <c r="AC6" s="8" t="str">
        <f>'[1]2.0WP'!AC6</f>
        <v/>
      </c>
      <c r="AD6" s="8" t="str">
        <f>'[1]2.0WP'!AD6</f>
        <v/>
      </c>
      <c r="AE6" s="8">
        <f>'[1]2.0WP'!AE6</f>
        <v>6</v>
      </c>
      <c r="AF6" s="8" t="str">
        <f>'[1]2.0WP'!AF6</f>
        <v/>
      </c>
      <c r="AG6" s="8" t="str">
        <f>'[1]2.0WP'!AG6</f>
        <v/>
      </c>
      <c r="AH6" s="8" t="str">
        <f>'[1]2.0WP'!AH6</f>
        <v/>
      </c>
      <c r="AI6" s="8" t="str">
        <f>'[1]2.0WP'!AI6</f>
        <v/>
      </c>
      <c r="AJ6" s="8" t="str">
        <f>'[1]2.0WP'!AJ6</f>
        <v/>
      </c>
      <c r="AK6" s="17">
        <f>SUM(U6:AJ6)</f>
        <v>10</v>
      </c>
      <c r="AL6" s="10">
        <f>SUM(T6,AK6)</f>
        <v>44</v>
      </c>
    </row>
    <row r="7" spans="1:38" x14ac:dyDescent="0.25">
      <c r="A7" s="12" t="str">
        <f>'[1]2.0WS'!A7</f>
        <v>11</v>
      </c>
      <c r="B7" s="13" t="str">
        <f>'[1]2.0WS'!B7</f>
        <v>THE NILGIRIS</v>
      </c>
      <c r="C7" s="8" t="str">
        <f>'[1]2.0WP'!C7</f>
        <v/>
      </c>
      <c r="D7" s="8" t="str">
        <f>'[1]2.0WP'!D7</f>
        <v/>
      </c>
      <c r="E7" s="8" t="str">
        <f>'[1]2.0WP'!E7</f>
        <v/>
      </c>
      <c r="F7" s="8" t="str">
        <f>'[1]2.0WP'!F7</f>
        <v/>
      </c>
      <c r="G7" s="8" t="str">
        <f>'[1]2.0WP'!G7</f>
        <v/>
      </c>
      <c r="H7" s="8" t="str">
        <f>'[1]2.0WP'!H7</f>
        <v/>
      </c>
      <c r="I7" s="8" t="str">
        <f>'[1]2.0WP'!I7</f>
        <v/>
      </c>
      <c r="J7" s="8" t="str">
        <f>'[1]2.0WP'!J7</f>
        <v/>
      </c>
      <c r="K7" s="8" t="str">
        <f>'[1]2.0WP'!K7</f>
        <v/>
      </c>
      <c r="L7" s="8" t="str">
        <f>'[1]2.0WP'!L7</f>
        <v/>
      </c>
      <c r="M7" s="8" t="str">
        <f>'[1]2.0WP'!M7</f>
        <v/>
      </c>
      <c r="N7" s="8" t="str">
        <f>'[1]2.0WP'!N7</f>
        <v/>
      </c>
      <c r="O7" s="8" t="str">
        <f>'[1]2.0WP'!O7</f>
        <v/>
      </c>
      <c r="P7" s="8" t="str">
        <f>'[1]2.0WP'!P7</f>
        <v/>
      </c>
      <c r="Q7" s="8" t="str">
        <f>'[1]2.0WP'!Q7</f>
        <v/>
      </c>
      <c r="R7" s="8" t="str">
        <f>'[1]2.0WP'!R7</f>
        <v/>
      </c>
      <c r="S7" s="8" t="str">
        <f>'[1]2.0WP'!S7</f>
        <v/>
      </c>
      <c r="T7" s="9">
        <f t="shared" ref="T7:T57" si="0">SUM(C7:S7)</f>
        <v>0</v>
      </c>
      <c r="U7" s="8" t="str">
        <f>'[1]2.0WP'!U7</f>
        <v/>
      </c>
      <c r="V7" s="8" t="str">
        <f>'[1]2.0WP'!V7</f>
        <v/>
      </c>
      <c r="W7" s="8" t="str">
        <f>'[1]2.0WP'!W7</f>
        <v/>
      </c>
      <c r="X7" s="8" t="str">
        <f>'[1]2.0WP'!X7</f>
        <v/>
      </c>
      <c r="Y7" s="8" t="str">
        <f>'[1]2.0WP'!Y7</f>
        <v/>
      </c>
      <c r="Z7" s="8" t="str">
        <f>'[1]2.0WP'!Z7</f>
        <v/>
      </c>
      <c r="AA7" s="8" t="str">
        <f>'[1]2.0WP'!AA7</f>
        <v/>
      </c>
      <c r="AB7" s="8" t="str">
        <f>'[1]2.0WP'!AB7</f>
        <v/>
      </c>
      <c r="AC7" s="8" t="str">
        <f>'[1]2.0WP'!AC7</f>
        <v/>
      </c>
      <c r="AD7" s="8" t="str">
        <f>'[1]2.0WP'!AD7</f>
        <v/>
      </c>
      <c r="AE7" s="8" t="str">
        <f>'[1]2.0WP'!AE7</f>
        <v/>
      </c>
      <c r="AF7" s="8" t="str">
        <f>'[1]2.0WP'!AF7</f>
        <v/>
      </c>
      <c r="AG7" s="8" t="str">
        <f>'[1]2.0WP'!AG7</f>
        <v/>
      </c>
      <c r="AH7" s="8" t="str">
        <f>'[1]2.0WP'!AH7</f>
        <v/>
      </c>
      <c r="AI7" s="8" t="str">
        <f>'[1]2.0WP'!AI7</f>
        <v/>
      </c>
      <c r="AJ7" s="8" t="str">
        <f>'[1]2.0WP'!AJ7</f>
        <v/>
      </c>
      <c r="AK7" s="17">
        <f t="shared" ref="AK7:AK57" si="1">SUM(U7:AJ7)</f>
        <v>0</v>
      </c>
      <c r="AL7" s="10">
        <f t="shared" ref="AL7:AL57" si="2">SUM(T7,AK7)</f>
        <v>0</v>
      </c>
    </row>
    <row r="8" spans="1:38" x14ac:dyDescent="0.25">
      <c r="A8" s="12" t="str">
        <f>'[1]2.0WS'!A8</f>
        <v>12</v>
      </c>
      <c r="B8" s="13" t="str">
        <f>'[1]2.0WS'!B8</f>
        <v>COIMBATORE</v>
      </c>
      <c r="C8" s="8" t="str">
        <f>'[1]2.0WP'!C8</f>
        <v/>
      </c>
      <c r="D8" s="8" t="str">
        <f>'[1]2.0WP'!D8</f>
        <v/>
      </c>
      <c r="E8" s="8" t="str">
        <f>'[1]2.0WP'!E8</f>
        <v/>
      </c>
      <c r="F8" s="8">
        <f>'[1]2.0WP'!F8</f>
        <v>6</v>
      </c>
      <c r="G8" s="8" t="str">
        <f>'[1]2.0WP'!G8</f>
        <v/>
      </c>
      <c r="H8" s="8" t="str">
        <f>'[1]2.0WP'!H8</f>
        <v/>
      </c>
      <c r="I8" s="8" t="str">
        <f>'[1]2.0WP'!I8</f>
        <v/>
      </c>
      <c r="J8" s="8" t="str">
        <f>'[1]2.0WP'!J8</f>
        <v/>
      </c>
      <c r="K8" s="8" t="str">
        <f>'[1]2.0WP'!K8</f>
        <v/>
      </c>
      <c r="L8" s="8" t="str">
        <f>'[1]2.0WP'!L8</f>
        <v/>
      </c>
      <c r="M8" s="8" t="str">
        <f>'[1]2.0WP'!M8</f>
        <v/>
      </c>
      <c r="N8" s="8" t="str">
        <f>'[1]2.0WP'!N8</f>
        <v/>
      </c>
      <c r="O8" s="8" t="str">
        <f>'[1]2.0WP'!O8</f>
        <v/>
      </c>
      <c r="P8" s="8" t="str">
        <f>'[1]2.0WP'!P8</f>
        <v/>
      </c>
      <c r="Q8" s="8" t="str">
        <f>'[1]2.0WP'!Q8</f>
        <v/>
      </c>
      <c r="R8" s="8" t="str">
        <f>'[1]2.0WP'!R8</f>
        <v/>
      </c>
      <c r="S8" s="8" t="str">
        <f>'[1]2.0WP'!S8</f>
        <v/>
      </c>
      <c r="T8" s="9">
        <f t="shared" si="0"/>
        <v>6</v>
      </c>
      <c r="U8" s="8" t="str">
        <f>'[1]2.0WP'!U8</f>
        <v/>
      </c>
      <c r="V8" s="8">
        <f>'[1]2.0WP'!V8</f>
        <v>6</v>
      </c>
      <c r="W8" s="8" t="str">
        <f>'[1]2.0WP'!W8</f>
        <v/>
      </c>
      <c r="X8" s="8" t="str">
        <f>'[1]2.0WP'!X8</f>
        <v/>
      </c>
      <c r="Y8" s="8" t="str">
        <f>'[1]2.0WP'!Y8</f>
        <v/>
      </c>
      <c r="Z8" s="8" t="str">
        <f>'[1]2.0WP'!Z8</f>
        <v/>
      </c>
      <c r="AA8" s="8" t="str">
        <f>'[1]2.0WP'!AA8</f>
        <v/>
      </c>
      <c r="AB8" s="8" t="str">
        <f>'[1]2.0WP'!AB8</f>
        <v/>
      </c>
      <c r="AC8" s="8" t="str">
        <f>'[1]2.0WP'!AC8</f>
        <v/>
      </c>
      <c r="AD8" s="8" t="str">
        <f>'[1]2.0WP'!AD8</f>
        <v/>
      </c>
      <c r="AE8" s="8" t="str">
        <f>'[1]2.0WP'!AE8</f>
        <v/>
      </c>
      <c r="AF8" s="8" t="str">
        <f>'[1]2.0WP'!AF8</f>
        <v/>
      </c>
      <c r="AG8" s="8" t="str">
        <f>'[1]2.0WP'!AG8</f>
        <v/>
      </c>
      <c r="AH8" s="8">
        <f>'[1]2.0WP'!AH8</f>
        <v>4</v>
      </c>
      <c r="AI8" s="8" t="str">
        <f>'[1]2.0WP'!AI8</f>
        <v/>
      </c>
      <c r="AJ8" s="8" t="str">
        <f>'[1]2.0WP'!AJ8</f>
        <v/>
      </c>
      <c r="AK8" s="17">
        <f t="shared" si="1"/>
        <v>10</v>
      </c>
      <c r="AL8" s="10">
        <f t="shared" si="2"/>
        <v>16</v>
      </c>
    </row>
    <row r="9" spans="1:38" x14ac:dyDescent="0.25">
      <c r="A9" s="12" t="str">
        <f>'[1]2.0WS'!A9</f>
        <v>32</v>
      </c>
      <c r="B9" s="13" t="str">
        <f>'[1]2.0WS'!B9</f>
        <v>TIRUPPUR</v>
      </c>
      <c r="C9" s="8" t="str">
        <f>'[1]2.0WP'!C9</f>
        <v/>
      </c>
      <c r="D9" s="8" t="str">
        <f>'[1]2.0WP'!D9</f>
        <v/>
      </c>
      <c r="E9" s="8" t="str">
        <f>'[1]2.0WP'!E9</f>
        <v/>
      </c>
      <c r="F9" s="8" t="str">
        <f>'[1]2.0WP'!F9</f>
        <v/>
      </c>
      <c r="G9" s="8" t="str">
        <f>'[1]2.0WP'!G9</f>
        <v/>
      </c>
      <c r="H9" s="8" t="str">
        <f>'[1]2.0WP'!H9</f>
        <v/>
      </c>
      <c r="I9" s="8" t="str">
        <f>'[1]2.0WP'!I9</f>
        <v/>
      </c>
      <c r="J9" s="8" t="str">
        <f>'[1]2.0WP'!J9</f>
        <v/>
      </c>
      <c r="K9" s="8" t="str">
        <f>'[1]2.0WP'!K9</f>
        <v/>
      </c>
      <c r="L9" s="8" t="str">
        <f>'[1]2.0WP'!L9</f>
        <v/>
      </c>
      <c r="M9" s="8" t="str">
        <f>'[1]2.0WP'!M9</f>
        <v/>
      </c>
      <c r="N9" s="8" t="str">
        <f>'[1]2.0WP'!N9</f>
        <v/>
      </c>
      <c r="O9" s="8" t="str">
        <f>'[1]2.0WP'!O9</f>
        <v/>
      </c>
      <c r="P9" s="8" t="str">
        <f>'[1]2.0WP'!P9</f>
        <v/>
      </c>
      <c r="Q9" s="8" t="str">
        <f>'[1]2.0WP'!Q9</f>
        <v/>
      </c>
      <c r="R9" s="8" t="str">
        <f>'[1]2.0WP'!R9</f>
        <v/>
      </c>
      <c r="S9" s="8" t="str">
        <f>'[1]2.0WP'!S9</f>
        <v/>
      </c>
      <c r="T9" s="9">
        <f t="shared" si="0"/>
        <v>0</v>
      </c>
      <c r="U9" s="8" t="str">
        <f>'[1]2.0WP'!U9</f>
        <v/>
      </c>
      <c r="V9" s="8" t="str">
        <f>'[1]2.0WP'!V9</f>
        <v/>
      </c>
      <c r="W9" s="8" t="str">
        <f>'[1]2.0WP'!W9</f>
        <v/>
      </c>
      <c r="X9" s="8" t="str">
        <f>'[1]2.0WP'!X9</f>
        <v/>
      </c>
      <c r="Y9" s="8" t="str">
        <f>'[1]2.0WP'!Y9</f>
        <v/>
      </c>
      <c r="Z9" s="8" t="str">
        <f>'[1]2.0WP'!Z9</f>
        <v/>
      </c>
      <c r="AA9" s="8" t="str">
        <f>'[1]2.0WP'!AA9</f>
        <v/>
      </c>
      <c r="AB9" s="8" t="str">
        <f>'[1]2.0WP'!AB9</f>
        <v/>
      </c>
      <c r="AC9" s="8" t="str">
        <f>'[1]2.0WP'!AC9</f>
        <v/>
      </c>
      <c r="AD9" s="8" t="str">
        <f>'[1]2.0WP'!AD9</f>
        <v/>
      </c>
      <c r="AE9" s="8" t="str">
        <f>'[1]2.0WP'!AE9</f>
        <v/>
      </c>
      <c r="AF9" s="8" t="str">
        <f>'[1]2.0WP'!AF9</f>
        <v/>
      </c>
      <c r="AG9" s="8" t="str">
        <f>'[1]2.0WP'!AG9</f>
        <v/>
      </c>
      <c r="AH9" s="8" t="str">
        <f>'[1]2.0WP'!AH9</f>
        <v/>
      </c>
      <c r="AI9" s="8" t="str">
        <f>'[1]2.0WP'!AI9</f>
        <v/>
      </c>
      <c r="AJ9" s="8" t="str">
        <f>'[1]2.0WP'!AJ9</f>
        <v/>
      </c>
      <c r="AK9" s="17">
        <f t="shared" si="1"/>
        <v>0</v>
      </c>
      <c r="AL9" s="10">
        <f t="shared" si="2"/>
        <v>0</v>
      </c>
    </row>
    <row r="10" spans="1:38" s="3" customFormat="1" ht="14.4" customHeight="1" x14ac:dyDescent="0.25">
      <c r="A10" s="19" t="str">
        <f>'[1]2.0WS'!A10</f>
        <v>SRO COIMBATORE TOTAL</v>
      </c>
      <c r="B10" s="19"/>
      <c r="C10" s="14">
        <f>SUM(C6:C9)</f>
        <v>0</v>
      </c>
      <c r="D10" s="14">
        <f t="shared" ref="D10:S10" si="3">SUM(D6:D9)</f>
        <v>0</v>
      </c>
      <c r="E10" s="14">
        <f t="shared" si="3"/>
        <v>0</v>
      </c>
      <c r="F10" s="14">
        <f t="shared" si="3"/>
        <v>6</v>
      </c>
      <c r="G10" s="14">
        <f t="shared" si="3"/>
        <v>0</v>
      </c>
      <c r="H10" s="14">
        <f t="shared" si="3"/>
        <v>0</v>
      </c>
      <c r="I10" s="14">
        <f t="shared" si="3"/>
        <v>0</v>
      </c>
      <c r="J10" s="14">
        <f t="shared" si="3"/>
        <v>6</v>
      </c>
      <c r="K10" s="14">
        <f t="shared" si="3"/>
        <v>8</v>
      </c>
      <c r="L10" s="14">
        <f t="shared" si="3"/>
        <v>6</v>
      </c>
      <c r="M10" s="14">
        <f t="shared" si="3"/>
        <v>4</v>
      </c>
      <c r="N10" s="14">
        <f t="shared" si="3"/>
        <v>0</v>
      </c>
      <c r="O10" s="14">
        <f t="shared" si="3"/>
        <v>0</v>
      </c>
      <c r="P10" s="14">
        <f t="shared" si="3"/>
        <v>4</v>
      </c>
      <c r="Q10" s="14">
        <f t="shared" si="3"/>
        <v>0</v>
      </c>
      <c r="R10" s="14">
        <f t="shared" si="3"/>
        <v>0</v>
      </c>
      <c r="S10" s="14">
        <f t="shared" si="3"/>
        <v>6</v>
      </c>
      <c r="T10" s="9">
        <f t="shared" si="0"/>
        <v>40</v>
      </c>
      <c r="U10" s="14">
        <f t="shared" ref="U10:AJ10" si="4">SUM(U6:U9)</f>
        <v>0</v>
      </c>
      <c r="V10" s="14">
        <f t="shared" si="4"/>
        <v>6</v>
      </c>
      <c r="W10" s="14">
        <f t="shared" si="4"/>
        <v>0</v>
      </c>
      <c r="X10" s="14">
        <f t="shared" si="4"/>
        <v>0</v>
      </c>
      <c r="Y10" s="14">
        <f t="shared" si="4"/>
        <v>4</v>
      </c>
      <c r="Z10" s="14">
        <f t="shared" si="4"/>
        <v>0</v>
      </c>
      <c r="AA10" s="14">
        <f t="shared" si="4"/>
        <v>0</v>
      </c>
      <c r="AB10" s="14">
        <f t="shared" si="4"/>
        <v>0</v>
      </c>
      <c r="AC10" s="14">
        <f t="shared" si="4"/>
        <v>0</v>
      </c>
      <c r="AD10" s="14">
        <f t="shared" si="4"/>
        <v>0</v>
      </c>
      <c r="AE10" s="14">
        <f t="shared" si="4"/>
        <v>6</v>
      </c>
      <c r="AF10" s="14">
        <f t="shared" si="4"/>
        <v>0</v>
      </c>
      <c r="AG10" s="14">
        <f t="shared" si="4"/>
        <v>0</v>
      </c>
      <c r="AH10" s="14">
        <f t="shared" si="4"/>
        <v>4</v>
      </c>
      <c r="AI10" s="14">
        <f t="shared" si="4"/>
        <v>0</v>
      </c>
      <c r="AJ10" s="14">
        <f t="shared" si="4"/>
        <v>0</v>
      </c>
      <c r="AK10" s="17">
        <f t="shared" si="1"/>
        <v>20</v>
      </c>
      <c r="AL10" s="10">
        <f t="shared" si="2"/>
        <v>60</v>
      </c>
    </row>
    <row r="11" spans="1:38" x14ac:dyDescent="0.25">
      <c r="A11" s="12" t="str">
        <f>'[1]2.0WS'!A11</f>
        <v>05</v>
      </c>
      <c r="B11" s="13" t="str">
        <f>'[1]2.0WS'!B11</f>
        <v>DHARMAPURI</v>
      </c>
      <c r="C11" s="8" t="str">
        <f>'[1]2.0WP'!C11</f>
        <v/>
      </c>
      <c r="D11" s="8" t="str">
        <f>'[1]2.0WP'!D11</f>
        <v/>
      </c>
      <c r="E11" s="8">
        <f>'[1]2.0WP'!E11</f>
        <v>4</v>
      </c>
      <c r="F11" s="8">
        <f>'[1]2.0WP'!F11</f>
        <v>6</v>
      </c>
      <c r="G11" s="8" t="str">
        <f>'[1]2.0WP'!G11</f>
        <v/>
      </c>
      <c r="H11" s="8" t="str">
        <f>'[1]2.0WP'!H11</f>
        <v/>
      </c>
      <c r="I11" s="8" t="str">
        <f>'[1]2.0WP'!I11</f>
        <v/>
      </c>
      <c r="J11" s="8">
        <f>'[1]2.0WP'!J11</f>
        <v>6</v>
      </c>
      <c r="K11" s="8">
        <f>'[1]2.0WP'!K11</f>
        <v>4</v>
      </c>
      <c r="L11" s="8">
        <f>'[1]2.0WP'!L11</f>
        <v>4</v>
      </c>
      <c r="M11" s="8" t="str">
        <f>'[1]2.0WP'!M11</f>
        <v/>
      </c>
      <c r="N11" s="8">
        <f>'[1]2.0WP'!N11</f>
        <v>4</v>
      </c>
      <c r="O11" s="8" t="str">
        <f>'[1]2.0WP'!O11</f>
        <v/>
      </c>
      <c r="P11" s="8">
        <f>'[1]2.0WP'!P11</f>
        <v>14</v>
      </c>
      <c r="Q11" s="8">
        <f>'[1]2.0WP'!Q11</f>
        <v>10</v>
      </c>
      <c r="R11" s="8" t="str">
        <f>'[1]2.0WP'!R11</f>
        <v/>
      </c>
      <c r="S11" s="8">
        <f>'[1]2.0WP'!S11</f>
        <v>4</v>
      </c>
      <c r="T11" s="9">
        <f t="shared" si="0"/>
        <v>56</v>
      </c>
      <c r="U11" s="8">
        <f>'[1]2.0WP'!U11</f>
        <v>4</v>
      </c>
      <c r="V11" s="8" t="str">
        <f>'[1]2.0WP'!V11</f>
        <v/>
      </c>
      <c r="W11" s="8" t="str">
        <f>'[1]2.0WP'!W11</f>
        <v/>
      </c>
      <c r="X11" s="8" t="str">
        <f>'[1]2.0WP'!X11</f>
        <v/>
      </c>
      <c r="Y11" s="8">
        <f>'[1]2.0WP'!Y11</f>
        <v>4</v>
      </c>
      <c r="Z11" s="8" t="str">
        <f>'[1]2.0WP'!Z11</f>
        <v/>
      </c>
      <c r="AA11" s="8" t="str">
        <f>'[1]2.0WP'!AA11</f>
        <v/>
      </c>
      <c r="AB11" s="8" t="str">
        <f>'[1]2.0WP'!AB11</f>
        <v/>
      </c>
      <c r="AC11" s="8" t="str">
        <f>'[1]2.0WP'!AC11</f>
        <v/>
      </c>
      <c r="AD11" s="8" t="str">
        <f>'[1]2.0WP'!AD11</f>
        <v/>
      </c>
      <c r="AE11" s="8" t="str">
        <f>'[1]2.0WP'!AE11</f>
        <v/>
      </c>
      <c r="AF11" s="8" t="str">
        <f>'[1]2.0WP'!AF11</f>
        <v/>
      </c>
      <c r="AG11" s="8" t="str">
        <f>'[1]2.0WP'!AG11</f>
        <v/>
      </c>
      <c r="AH11" s="8">
        <f>'[1]2.0WP'!AH11</f>
        <v>12</v>
      </c>
      <c r="AI11" s="8" t="str">
        <f>'[1]2.0WP'!AI11</f>
        <v/>
      </c>
      <c r="AJ11" s="8" t="str">
        <f>'[1]2.0WP'!AJ11</f>
        <v/>
      </c>
      <c r="AK11" s="17">
        <f t="shared" si="1"/>
        <v>20</v>
      </c>
      <c r="AL11" s="10">
        <f t="shared" si="2"/>
        <v>76</v>
      </c>
    </row>
    <row r="12" spans="1:38" x14ac:dyDescent="0.25">
      <c r="A12" s="12" t="str">
        <f>'[1]2.0WS'!A12</f>
        <v>31</v>
      </c>
      <c r="B12" s="13" t="str">
        <f>'[1]2.0WS'!B12</f>
        <v>KRISHNAGIRI</v>
      </c>
      <c r="C12" s="8">
        <f>'[1]2.0WP'!C12</f>
        <v>4</v>
      </c>
      <c r="D12" s="8" t="str">
        <f>'[1]2.0WP'!D12</f>
        <v/>
      </c>
      <c r="E12" s="8" t="str">
        <f>'[1]2.0WP'!E12</f>
        <v/>
      </c>
      <c r="F12" s="8">
        <f>'[1]2.0WP'!F12</f>
        <v>4</v>
      </c>
      <c r="G12" s="8" t="str">
        <f>'[1]2.0WP'!G12</f>
        <v/>
      </c>
      <c r="H12" s="8" t="str">
        <f>'[1]2.0WP'!H12</f>
        <v/>
      </c>
      <c r="I12" s="8" t="str">
        <f>'[1]2.0WP'!I12</f>
        <v/>
      </c>
      <c r="J12" s="8" t="str">
        <f>'[1]2.0WP'!J12</f>
        <v/>
      </c>
      <c r="K12" s="8">
        <f>'[1]2.0WP'!K12</f>
        <v>6</v>
      </c>
      <c r="L12" s="8">
        <f>'[1]2.0WP'!L12</f>
        <v>6</v>
      </c>
      <c r="M12" s="8" t="str">
        <f>'[1]2.0WP'!M12</f>
        <v/>
      </c>
      <c r="N12" s="8">
        <f>'[1]2.0WP'!N12</f>
        <v>6</v>
      </c>
      <c r="O12" s="8" t="str">
        <f>'[1]2.0WP'!O12</f>
        <v/>
      </c>
      <c r="P12" s="8">
        <f>'[1]2.0WP'!P12</f>
        <v>14</v>
      </c>
      <c r="Q12" s="8">
        <f>'[1]2.0WP'!Q12</f>
        <v>4</v>
      </c>
      <c r="R12" s="8" t="str">
        <f>'[1]2.0WP'!R12</f>
        <v/>
      </c>
      <c r="S12" s="8" t="str">
        <f>'[1]2.0WP'!S12</f>
        <v/>
      </c>
      <c r="T12" s="9">
        <f t="shared" si="0"/>
        <v>44</v>
      </c>
      <c r="U12" s="8">
        <f>'[1]2.0WP'!U12</f>
        <v>4</v>
      </c>
      <c r="V12" s="8" t="str">
        <f>'[1]2.0WP'!V12</f>
        <v/>
      </c>
      <c r="W12" s="8" t="str">
        <f>'[1]2.0WP'!W12</f>
        <v/>
      </c>
      <c r="X12" s="8" t="str">
        <f>'[1]2.0WP'!X12</f>
        <v/>
      </c>
      <c r="Y12" s="8">
        <f>'[1]2.0WP'!Y12</f>
        <v>4</v>
      </c>
      <c r="Z12" s="8" t="str">
        <f>'[1]2.0WP'!Z12</f>
        <v/>
      </c>
      <c r="AA12" s="8" t="str">
        <f>'[1]2.0WP'!AA12</f>
        <v/>
      </c>
      <c r="AB12" s="8" t="str">
        <f>'[1]2.0WP'!AB12</f>
        <v/>
      </c>
      <c r="AC12" s="8" t="str">
        <f>'[1]2.0WP'!AC12</f>
        <v/>
      </c>
      <c r="AD12" s="8" t="str">
        <f>'[1]2.0WP'!AD12</f>
        <v/>
      </c>
      <c r="AE12" s="8" t="str">
        <f>'[1]2.0WP'!AE12</f>
        <v/>
      </c>
      <c r="AF12" s="8" t="str">
        <f>'[1]2.0WP'!AF12</f>
        <v/>
      </c>
      <c r="AG12" s="8" t="str">
        <f>'[1]2.0WP'!AG12</f>
        <v/>
      </c>
      <c r="AH12" s="8">
        <f>'[1]2.0WP'!AH12</f>
        <v>20</v>
      </c>
      <c r="AI12" s="8" t="str">
        <f>'[1]2.0WP'!AI12</f>
        <v/>
      </c>
      <c r="AJ12" s="8" t="str">
        <f>'[1]2.0WP'!AJ12</f>
        <v/>
      </c>
      <c r="AK12" s="17">
        <f t="shared" si="1"/>
        <v>28</v>
      </c>
      <c r="AL12" s="10">
        <f t="shared" si="2"/>
        <v>72</v>
      </c>
    </row>
    <row r="13" spans="1:38" x14ac:dyDescent="0.25">
      <c r="A13" s="12" t="str">
        <f>'[1]2.0WS'!A13</f>
        <v>36</v>
      </c>
      <c r="B13" s="13" t="str">
        <f>'[1]2.0WS'!B13</f>
        <v>TIRUPATHUR</v>
      </c>
      <c r="C13" s="8" t="str">
        <f>'[1]2.0WP'!C13</f>
        <v/>
      </c>
      <c r="D13" s="8" t="str">
        <f>'[1]2.0WP'!D13</f>
        <v/>
      </c>
      <c r="E13" s="8" t="str">
        <f>'[1]2.0WP'!E13</f>
        <v/>
      </c>
      <c r="F13" s="8">
        <f>'[1]2.0WP'!F13</f>
        <v>4</v>
      </c>
      <c r="G13" s="8" t="str">
        <f>'[1]2.0WP'!G13</f>
        <v/>
      </c>
      <c r="H13" s="8">
        <f>'[1]2.0WP'!H13</f>
        <v>6</v>
      </c>
      <c r="I13" s="8" t="str">
        <f>'[1]2.0WP'!I13</f>
        <v/>
      </c>
      <c r="J13" s="8" t="str">
        <f>'[1]2.0WP'!J13</f>
        <v/>
      </c>
      <c r="K13" s="8" t="str">
        <f>'[1]2.0WP'!K13</f>
        <v/>
      </c>
      <c r="L13" s="8">
        <f>'[1]2.0WP'!L13</f>
        <v>4</v>
      </c>
      <c r="M13" s="8" t="str">
        <f>'[1]2.0WP'!M13</f>
        <v/>
      </c>
      <c r="N13" s="8" t="str">
        <f>'[1]2.0WP'!N13</f>
        <v/>
      </c>
      <c r="O13" s="8" t="str">
        <f>'[1]2.0WP'!O13</f>
        <v/>
      </c>
      <c r="P13" s="8">
        <f>'[1]2.0WP'!P13</f>
        <v>8</v>
      </c>
      <c r="Q13" s="8">
        <f>'[1]2.0WP'!Q13</f>
        <v>6</v>
      </c>
      <c r="R13" s="8" t="str">
        <f>'[1]2.0WP'!R13</f>
        <v/>
      </c>
      <c r="S13" s="8" t="str">
        <f>'[1]2.0WP'!S13</f>
        <v/>
      </c>
      <c r="T13" s="9">
        <f t="shared" si="0"/>
        <v>28</v>
      </c>
      <c r="U13" s="8" t="str">
        <f>'[1]2.0WP'!U13</f>
        <v/>
      </c>
      <c r="V13" s="8" t="str">
        <f>'[1]2.0WP'!V13</f>
        <v/>
      </c>
      <c r="W13" s="8" t="str">
        <f>'[1]2.0WP'!W13</f>
        <v/>
      </c>
      <c r="X13" s="8" t="str">
        <f>'[1]2.0WP'!X13</f>
        <v/>
      </c>
      <c r="Y13" s="8" t="str">
        <f>'[1]2.0WP'!Y13</f>
        <v/>
      </c>
      <c r="Z13" s="8" t="str">
        <f>'[1]2.0WP'!Z13</f>
        <v/>
      </c>
      <c r="AA13" s="8" t="str">
        <f>'[1]2.0WP'!AA13</f>
        <v/>
      </c>
      <c r="AB13" s="8" t="str">
        <f>'[1]2.0WP'!AB13</f>
        <v/>
      </c>
      <c r="AC13" s="8" t="str">
        <f>'[1]2.0WP'!AC13</f>
        <v/>
      </c>
      <c r="AD13" s="8" t="str">
        <f>'[1]2.0WP'!AD13</f>
        <v/>
      </c>
      <c r="AE13" s="8" t="str">
        <f>'[1]2.0WP'!AE13</f>
        <v/>
      </c>
      <c r="AF13" s="8" t="str">
        <f>'[1]2.0WP'!AF13</f>
        <v/>
      </c>
      <c r="AG13" s="8" t="str">
        <f>'[1]2.0WP'!AG13</f>
        <v/>
      </c>
      <c r="AH13" s="8">
        <f>'[1]2.0WP'!AH13</f>
        <v>8</v>
      </c>
      <c r="AI13" s="8" t="str">
        <f>'[1]2.0WP'!AI13</f>
        <v/>
      </c>
      <c r="AJ13" s="8" t="str">
        <f>'[1]2.0WP'!AJ13</f>
        <v/>
      </c>
      <c r="AK13" s="17">
        <f t="shared" si="1"/>
        <v>8</v>
      </c>
      <c r="AL13" s="10">
        <f t="shared" si="2"/>
        <v>36</v>
      </c>
    </row>
    <row r="14" spans="1:38" s="3" customFormat="1" ht="14.4" customHeight="1" x14ac:dyDescent="0.25">
      <c r="A14" s="19" t="str">
        <f>'[1]2.0WS'!A14</f>
        <v>SRO DHARMAPURI TOTAL</v>
      </c>
      <c r="B14" s="19"/>
      <c r="C14" s="14">
        <f>SUM(C11:C13)</f>
        <v>4</v>
      </c>
      <c r="D14" s="14">
        <f t="shared" ref="D14:S14" si="5">SUM(D11:D13)</f>
        <v>0</v>
      </c>
      <c r="E14" s="14">
        <f t="shared" si="5"/>
        <v>4</v>
      </c>
      <c r="F14" s="14">
        <f t="shared" si="5"/>
        <v>14</v>
      </c>
      <c r="G14" s="14">
        <f t="shared" si="5"/>
        <v>0</v>
      </c>
      <c r="H14" s="14">
        <f t="shared" si="5"/>
        <v>6</v>
      </c>
      <c r="I14" s="14">
        <f t="shared" si="5"/>
        <v>0</v>
      </c>
      <c r="J14" s="14">
        <f t="shared" si="5"/>
        <v>6</v>
      </c>
      <c r="K14" s="14">
        <f t="shared" si="5"/>
        <v>10</v>
      </c>
      <c r="L14" s="14">
        <f t="shared" si="5"/>
        <v>14</v>
      </c>
      <c r="M14" s="14">
        <f t="shared" si="5"/>
        <v>0</v>
      </c>
      <c r="N14" s="14">
        <f t="shared" si="5"/>
        <v>10</v>
      </c>
      <c r="O14" s="14">
        <f t="shared" si="5"/>
        <v>0</v>
      </c>
      <c r="P14" s="14">
        <f t="shared" si="5"/>
        <v>36</v>
      </c>
      <c r="Q14" s="14">
        <f t="shared" si="5"/>
        <v>20</v>
      </c>
      <c r="R14" s="14">
        <f t="shared" si="5"/>
        <v>0</v>
      </c>
      <c r="S14" s="14">
        <f t="shared" si="5"/>
        <v>4</v>
      </c>
      <c r="T14" s="9">
        <f t="shared" si="0"/>
        <v>128</v>
      </c>
      <c r="U14" s="14">
        <f t="shared" ref="U14:AJ14" si="6">SUM(U11:U13)</f>
        <v>8</v>
      </c>
      <c r="V14" s="14">
        <f t="shared" si="6"/>
        <v>0</v>
      </c>
      <c r="W14" s="14">
        <f t="shared" si="6"/>
        <v>0</v>
      </c>
      <c r="X14" s="14">
        <f t="shared" si="6"/>
        <v>0</v>
      </c>
      <c r="Y14" s="14">
        <f t="shared" si="6"/>
        <v>8</v>
      </c>
      <c r="Z14" s="14">
        <f t="shared" si="6"/>
        <v>0</v>
      </c>
      <c r="AA14" s="14">
        <f t="shared" si="6"/>
        <v>0</v>
      </c>
      <c r="AB14" s="14">
        <f t="shared" si="6"/>
        <v>0</v>
      </c>
      <c r="AC14" s="14">
        <f t="shared" si="6"/>
        <v>0</v>
      </c>
      <c r="AD14" s="14">
        <f t="shared" si="6"/>
        <v>0</v>
      </c>
      <c r="AE14" s="14">
        <f t="shared" si="6"/>
        <v>0</v>
      </c>
      <c r="AF14" s="14">
        <f t="shared" si="6"/>
        <v>0</v>
      </c>
      <c r="AG14" s="14">
        <f t="shared" si="6"/>
        <v>0</v>
      </c>
      <c r="AH14" s="14">
        <f t="shared" si="6"/>
        <v>40</v>
      </c>
      <c r="AI14" s="14">
        <f t="shared" si="6"/>
        <v>0</v>
      </c>
      <c r="AJ14" s="14">
        <f t="shared" si="6"/>
        <v>0</v>
      </c>
      <c r="AK14" s="17">
        <f t="shared" si="1"/>
        <v>56</v>
      </c>
      <c r="AL14" s="10">
        <f t="shared" si="2"/>
        <v>184</v>
      </c>
    </row>
    <row r="15" spans="1:38" x14ac:dyDescent="0.25">
      <c r="A15" s="12" t="str">
        <f>'[1]2.0WS'!A15</f>
        <v>08</v>
      </c>
      <c r="B15" s="13" t="str">
        <f>'[1]2.0WS'!B15</f>
        <v>SALEM</v>
      </c>
      <c r="C15" s="8" t="str">
        <f>'[1]2.0WP'!C15</f>
        <v/>
      </c>
      <c r="D15" s="8" t="str">
        <f>'[1]2.0WP'!D15</f>
        <v/>
      </c>
      <c r="E15" s="8" t="str">
        <f>'[1]2.0WP'!E15</f>
        <v/>
      </c>
      <c r="F15" s="8">
        <f>'[1]2.0WP'!F15</f>
        <v>10</v>
      </c>
      <c r="G15" s="8" t="str">
        <f>'[1]2.0WP'!G15</f>
        <v/>
      </c>
      <c r="H15" s="8" t="str">
        <f>'[1]2.0WP'!H15</f>
        <v/>
      </c>
      <c r="I15" s="8" t="str">
        <f>'[1]2.0WP'!I15</f>
        <v/>
      </c>
      <c r="J15" s="8">
        <f>'[1]2.0WP'!J15</f>
        <v>6</v>
      </c>
      <c r="K15" s="8">
        <f>'[1]2.0WP'!K15</f>
        <v>6</v>
      </c>
      <c r="L15" s="8">
        <f>'[1]2.0WP'!L15</f>
        <v>6</v>
      </c>
      <c r="M15" s="8" t="str">
        <f>'[1]2.0WP'!M15</f>
        <v/>
      </c>
      <c r="N15" s="8">
        <f>'[1]2.0WP'!N15</f>
        <v>4</v>
      </c>
      <c r="O15" s="8">
        <f>'[1]2.0WP'!O15</f>
        <v>6</v>
      </c>
      <c r="P15" s="8">
        <f>'[1]2.0WP'!P15</f>
        <v>6</v>
      </c>
      <c r="Q15" s="8">
        <f>'[1]2.0WP'!Q15</f>
        <v>10</v>
      </c>
      <c r="R15" s="8">
        <f>'[1]2.0WP'!R15</f>
        <v>4</v>
      </c>
      <c r="S15" s="8">
        <f>'[1]2.0WP'!S15</f>
        <v>4</v>
      </c>
      <c r="T15" s="9">
        <f t="shared" si="0"/>
        <v>62</v>
      </c>
      <c r="U15" s="8">
        <f>'[1]2.0WP'!U15</f>
        <v>4</v>
      </c>
      <c r="V15" s="8">
        <f>'[1]2.0WP'!V15</f>
        <v>4</v>
      </c>
      <c r="W15" s="8">
        <f>'[1]2.0WP'!W15</f>
        <v>6</v>
      </c>
      <c r="X15" s="8" t="str">
        <f>'[1]2.0WP'!X15</f>
        <v/>
      </c>
      <c r="Y15" s="8">
        <f>'[1]2.0WP'!Y15</f>
        <v>4</v>
      </c>
      <c r="Z15" s="8" t="str">
        <f>'[1]2.0WP'!Z15</f>
        <v/>
      </c>
      <c r="AA15" s="8" t="str">
        <f>'[1]2.0WP'!AA15</f>
        <v/>
      </c>
      <c r="AB15" s="8" t="str">
        <f>'[1]2.0WP'!AB15</f>
        <v/>
      </c>
      <c r="AC15" s="8" t="str">
        <f>'[1]2.0WP'!AC15</f>
        <v/>
      </c>
      <c r="AD15" s="8" t="str">
        <f>'[1]2.0WP'!AD15</f>
        <v/>
      </c>
      <c r="AE15" s="8">
        <f>'[1]2.0WP'!AE15</f>
        <v>4</v>
      </c>
      <c r="AF15" s="8" t="str">
        <f>'[1]2.0WP'!AF15</f>
        <v/>
      </c>
      <c r="AG15" s="8">
        <f>'[1]2.0WP'!AG15</f>
        <v>6</v>
      </c>
      <c r="AH15" s="8">
        <f>'[1]2.0WP'!AH15</f>
        <v>8</v>
      </c>
      <c r="AI15" s="8" t="str">
        <f>'[1]2.0WP'!AI15</f>
        <v/>
      </c>
      <c r="AJ15" s="8">
        <f>'[1]2.0WP'!AJ15</f>
        <v>6</v>
      </c>
      <c r="AK15" s="17">
        <f t="shared" si="1"/>
        <v>42</v>
      </c>
      <c r="AL15" s="10">
        <f t="shared" si="2"/>
        <v>104</v>
      </c>
    </row>
    <row r="16" spans="1:38" x14ac:dyDescent="0.25">
      <c r="A16" s="12" t="str">
        <f>'[1]2.0WS'!A16</f>
        <v>09</v>
      </c>
      <c r="B16" s="13" t="str">
        <f>'[1]2.0WS'!B16</f>
        <v>NAMAKKAL</v>
      </c>
      <c r="C16" s="8" t="str">
        <f>'[1]2.0WP'!C16</f>
        <v/>
      </c>
      <c r="D16" s="8" t="str">
        <f>'[1]2.0WP'!D16</f>
        <v/>
      </c>
      <c r="E16" s="8">
        <f>'[1]2.0WP'!E16</f>
        <v>4</v>
      </c>
      <c r="F16" s="8">
        <f>'[1]2.0WP'!F16</f>
        <v>14</v>
      </c>
      <c r="G16" s="8">
        <f>'[1]2.0WP'!G16</f>
        <v>0</v>
      </c>
      <c r="H16" s="8" t="str">
        <f>'[1]2.0WP'!H16</f>
        <v/>
      </c>
      <c r="I16" s="8" t="str">
        <f>'[1]2.0WP'!I16</f>
        <v/>
      </c>
      <c r="J16" s="8" t="str">
        <f>'[1]2.0WP'!J16</f>
        <v/>
      </c>
      <c r="K16" s="8" t="str">
        <f>'[1]2.0WP'!K16</f>
        <v/>
      </c>
      <c r="L16" s="8">
        <f>'[1]2.0WP'!L16</f>
        <v>10</v>
      </c>
      <c r="M16" s="8" t="str">
        <f>'[1]2.0WP'!M16</f>
        <v/>
      </c>
      <c r="N16" s="8" t="str">
        <f>'[1]2.0WP'!N16</f>
        <v/>
      </c>
      <c r="O16" s="8" t="str">
        <f>'[1]2.0WP'!O16</f>
        <v/>
      </c>
      <c r="P16" s="8" t="str">
        <f>'[1]2.0WP'!P16</f>
        <v/>
      </c>
      <c r="Q16" s="8">
        <f>'[1]2.0WP'!Q16</f>
        <v>4</v>
      </c>
      <c r="R16" s="8">
        <f>'[1]2.0WP'!R16</f>
        <v>4</v>
      </c>
      <c r="S16" s="8">
        <f>'[1]2.0WP'!S16</f>
        <v>4</v>
      </c>
      <c r="T16" s="9">
        <f t="shared" si="0"/>
        <v>40</v>
      </c>
      <c r="U16" s="8" t="str">
        <f>'[1]2.0WP'!U16</f>
        <v/>
      </c>
      <c r="V16" s="8">
        <f>'[1]2.0WP'!V16</f>
        <v>14</v>
      </c>
      <c r="W16" s="8">
        <f>'[1]2.0WP'!W16</f>
        <v>6</v>
      </c>
      <c r="X16" s="8" t="str">
        <f>'[1]2.0WP'!X16</f>
        <v/>
      </c>
      <c r="Y16" s="8">
        <f>'[1]2.0WP'!Y16</f>
        <v>4</v>
      </c>
      <c r="Z16" s="8" t="str">
        <f>'[1]2.0WP'!Z16</f>
        <v/>
      </c>
      <c r="AA16" s="8" t="str">
        <f>'[1]2.0WP'!AA16</f>
        <v/>
      </c>
      <c r="AB16" s="8" t="str">
        <f>'[1]2.0WP'!AB16</f>
        <v/>
      </c>
      <c r="AC16" s="8" t="str">
        <f>'[1]2.0WP'!AC16</f>
        <v/>
      </c>
      <c r="AD16" s="8" t="str">
        <f>'[1]2.0WP'!AD16</f>
        <v/>
      </c>
      <c r="AE16" s="8">
        <f>'[1]2.0WP'!AE16</f>
        <v>4</v>
      </c>
      <c r="AF16" s="8" t="str">
        <f>'[1]2.0WP'!AF16</f>
        <v/>
      </c>
      <c r="AG16" s="8" t="str">
        <f>'[1]2.0WP'!AG16</f>
        <v/>
      </c>
      <c r="AH16" s="8" t="str">
        <f>'[1]2.0WP'!AH16</f>
        <v/>
      </c>
      <c r="AI16" s="8" t="str">
        <f>'[1]2.0WP'!AI16</f>
        <v/>
      </c>
      <c r="AJ16" s="8" t="str">
        <f>'[1]2.0WP'!AJ16</f>
        <v/>
      </c>
      <c r="AK16" s="17">
        <f t="shared" si="1"/>
        <v>28</v>
      </c>
      <c r="AL16" s="10">
        <f t="shared" si="2"/>
        <v>68</v>
      </c>
    </row>
    <row r="17" spans="1:38" s="3" customFormat="1" ht="14.4" customHeight="1" x14ac:dyDescent="0.25">
      <c r="A17" s="19" t="str">
        <f>'[1]2.0WS'!A17</f>
        <v>SRO SALEM TOTAL</v>
      </c>
      <c r="B17" s="19"/>
      <c r="C17" s="14">
        <f>SUM(C15:C16)</f>
        <v>0</v>
      </c>
      <c r="D17" s="14">
        <f t="shared" ref="D17:S17" si="7">SUM(D15:D16)</f>
        <v>0</v>
      </c>
      <c r="E17" s="14">
        <f t="shared" si="7"/>
        <v>4</v>
      </c>
      <c r="F17" s="14">
        <f t="shared" si="7"/>
        <v>24</v>
      </c>
      <c r="G17" s="14">
        <f t="shared" si="7"/>
        <v>0</v>
      </c>
      <c r="H17" s="14">
        <f t="shared" si="7"/>
        <v>0</v>
      </c>
      <c r="I17" s="14">
        <f t="shared" si="7"/>
        <v>0</v>
      </c>
      <c r="J17" s="14">
        <f t="shared" si="7"/>
        <v>6</v>
      </c>
      <c r="K17" s="14">
        <f t="shared" si="7"/>
        <v>6</v>
      </c>
      <c r="L17" s="14">
        <f t="shared" si="7"/>
        <v>16</v>
      </c>
      <c r="M17" s="14">
        <f t="shared" si="7"/>
        <v>0</v>
      </c>
      <c r="N17" s="14">
        <f t="shared" si="7"/>
        <v>4</v>
      </c>
      <c r="O17" s="14">
        <f t="shared" si="7"/>
        <v>6</v>
      </c>
      <c r="P17" s="14">
        <f t="shared" si="7"/>
        <v>6</v>
      </c>
      <c r="Q17" s="14">
        <f t="shared" si="7"/>
        <v>14</v>
      </c>
      <c r="R17" s="14">
        <f t="shared" si="7"/>
        <v>8</v>
      </c>
      <c r="S17" s="14">
        <f t="shared" si="7"/>
        <v>8</v>
      </c>
      <c r="T17" s="9">
        <f t="shared" si="0"/>
        <v>102</v>
      </c>
      <c r="U17" s="14">
        <f t="shared" ref="U17:AJ17" si="8">SUM(U15:U16)</f>
        <v>4</v>
      </c>
      <c r="V17" s="14">
        <f t="shared" si="8"/>
        <v>18</v>
      </c>
      <c r="W17" s="14">
        <f t="shared" si="8"/>
        <v>12</v>
      </c>
      <c r="X17" s="14">
        <f t="shared" si="8"/>
        <v>0</v>
      </c>
      <c r="Y17" s="14">
        <f t="shared" si="8"/>
        <v>8</v>
      </c>
      <c r="Z17" s="14">
        <f t="shared" si="8"/>
        <v>0</v>
      </c>
      <c r="AA17" s="14">
        <f t="shared" si="8"/>
        <v>0</v>
      </c>
      <c r="AB17" s="14">
        <f t="shared" si="8"/>
        <v>0</v>
      </c>
      <c r="AC17" s="14">
        <f t="shared" si="8"/>
        <v>0</v>
      </c>
      <c r="AD17" s="14">
        <f t="shared" si="8"/>
        <v>0</v>
      </c>
      <c r="AE17" s="14">
        <f t="shared" si="8"/>
        <v>8</v>
      </c>
      <c r="AF17" s="14">
        <f t="shared" si="8"/>
        <v>0</v>
      </c>
      <c r="AG17" s="14">
        <f t="shared" si="8"/>
        <v>6</v>
      </c>
      <c r="AH17" s="14">
        <f t="shared" si="8"/>
        <v>8</v>
      </c>
      <c r="AI17" s="14">
        <f t="shared" si="8"/>
        <v>0</v>
      </c>
      <c r="AJ17" s="14">
        <f t="shared" si="8"/>
        <v>6</v>
      </c>
      <c r="AK17" s="17">
        <f t="shared" si="1"/>
        <v>70</v>
      </c>
      <c r="AL17" s="10">
        <f t="shared" si="2"/>
        <v>172</v>
      </c>
    </row>
    <row r="18" spans="1:38" x14ac:dyDescent="0.25">
      <c r="A18" s="12" t="str">
        <f>'[1]2.0WS'!A18</f>
        <v>14</v>
      </c>
      <c r="B18" s="13" t="str">
        <f>'[1]2.0WS'!B18</f>
        <v>KARUR</v>
      </c>
      <c r="C18" s="8" t="str">
        <f>'[1]2.0WP'!C18</f>
        <v/>
      </c>
      <c r="D18" s="8" t="str">
        <f>'[1]2.0WP'!D18</f>
        <v/>
      </c>
      <c r="E18" s="8" t="str">
        <f>'[1]2.0WP'!E18</f>
        <v/>
      </c>
      <c r="F18" s="8">
        <f>'[1]2.0WP'!F18</f>
        <v>4</v>
      </c>
      <c r="G18" s="8">
        <f>'[1]2.0WP'!G18</f>
        <v>6</v>
      </c>
      <c r="H18" s="8" t="str">
        <f>'[1]2.0WP'!H18</f>
        <v/>
      </c>
      <c r="I18" s="8" t="str">
        <f>'[1]2.0WP'!I18</f>
        <v/>
      </c>
      <c r="J18" s="8" t="str">
        <f>'[1]2.0WP'!J18</f>
        <v/>
      </c>
      <c r="K18" s="8" t="str">
        <f>'[1]2.0WP'!K18</f>
        <v/>
      </c>
      <c r="L18" s="8" t="str">
        <f>'[1]2.0WP'!L18</f>
        <v/>
      </c>
      <c r="M18" s="8" t="str">
        <f>'[1]2.0WP'!M18</f>
        <v/>
      </c>
      <c r="N18" s="8">
        <f>'[1]2.0WP'!N18</f>
        <v>8</v>
      </c>
      <c r="O18" s="8" t="str">
        <f>'[1]2.0WP'!O18</f>
        <v/>
      </c>
      <c r="P18" s="8">
        <f>'[1]2.0WP'!P18</f>
        <v>4</v>
      </c>
      <c r="Q18" s="8" t="str">
        <f>'[1]2.0WP'!Q18</f>
        <v/>
      </c>
      <c r="R18" s="8" t="str">
        <f>'[1]2.0WP'!R18</f>
        <v/>
      </c>
      <c r="S18" s="8">
        <f>'[1]2.0WP'!S18</f>
        <v>4</v>
      </c>
      <c r="T18" s="9">
        <f t="shared" si="0"/>
        <v>26</v>
      </c>
      <c r="U18" s="8" t="str">
        <f>'[1]2.0WP'!U18</f>
        <v/>
      </c>
      <c r="V18" s="8">
        <f>'[1]2.0WP'!V18</f>
        <v>4</v>
      </c>
      <c r="W18" s="8">
        <f>'[1]2.0WP'!W18</f>
        <v>4</v>
      </c>
      <c r="X18" s="8" t="str">
        <f>'[1]2.0WP'!X18</f>
        <v/>
      </c>
      <c r="Y18" s="8">
        <f>'[1]2.0WP'!Y18</f>
        <v>4</v>
      </c>
      <c r="Z18" s="8" t="str">
        <f>'[1]2.0WP'!Z18</f>
        <v/>
      </c>
      <c r="AA18" s="8" t="str">
        <f>'[1]2.0WP'!AA18</f>
        <v/>
      </c>
      <c r="AB18" s="8" t="str">
        <f>'[1]2.0WP'!AB18</f>
        <v/>
      </c>
      <c r="AC18" s="8" t="str">
        <f>'[1]2.0WP'!AC18</f>
        <v/>
      </c>
      <c r="AD18" s="8" t="str">
        <f>'[1]2.0WP'!AD18</f>
        <v/>
      </c>
      <c r="AE18" s="8" t="str">
        <f>'[1]2.0WP'!AE18</f>
        <v/>
      </c>
      <c r="AF18" s="8">
        <f>'[1]2.0WP'!AF18</f>
        <v>6</v>
      </c>
      <c r="AG18" s="8" t="str">
        <f>'[1]2.0WP'!AG18</f>
        <v/>
      </c>
      <c r="AH18" s="8">
        <f>'[1]2.0WP'!AH18</f>
        <v>4</v>
      </c>
      <c r="AI18" s="8" t="str">
        <f>'[1]2.0WP'!AI18</f>
        <v/>
      </c>
      <c r="AJ18" s="8" t="str">
        <f>'[1]2.0WP'!AJ18</f>
        <v/>
      </c>
      <c r="AK18" s="17">
        <f t="shared" si="1"/>
        <v>22</v>
      </c>
      <c r="AL18" s="10">
        <f t="shared" si="2"/>
        <v>48</v>
      </c>
    </row>
    <row r="19" spans="1:38" x14ac:dyDescent="0.25">
      <c r="A19" s="12" t="str">
        <f>'[1]2.0WS'!A19</f>
        <v>15</v>
      </c>
      <c r="B19" s="13" t="str">
        <f>'[1]2.0WS'!B19</f>
        <v>TIRUCHIRAPPALLI</v>
      </c>
      <c r="C19" s="8" t="str">
        <f>'[1]2.0WP'!C19</f>
        <v/>
      </c>
      <c r="D19" s="8" t="str">
        <f>'[1]2.0WP'!D19</f>
        <v/>
      </c>
      <c r="E19" s="8" t="str">
        <f>'[1]2.0WP'!E19</f>
        <v/>
      </c>
      <c r="F19" s="8" t="str">
        <f>'[1]2.0WP'!F19</f>
        <v/>
      </c>
      <c r="G19" s="8" t="str">
        <f>'[1]2.0WP'!G19</f>
        <v/>
      </c>
      <c r="H19" s="8" t="str">
        <f>'[1]2.0WP'!H19</f>
        <v/>
      </c>
      <c r="I19" s="8" t="str">
        <f>'[1]2.0WP'!I19</f>
        <v/>
      </c>
      <c r="J19" s="8" t="str">
        <f>'[1]2.0WP'!J19</f>
        <v/>
      </c>
      <c r="K19" s="8" t="str">
        <f>'[1]2.0WP'!K19</f>
        <v/>
      </c>
      <c r="L19" s="8" t="str">
        <f>'[1]2.0WP'!L19</f>
        <v/>
      </c>
      <c r="M19" s="8" t="str">
        <f>'[1]2.0WP'!M19</f>
        <v/>
      </c>
      <c r="N19" s="8" t="str">
        <f>'[1]2.0WP'!N19</f>
        <v/>
      </c>
      <c r="O19" s="8" t="str">
        <f>'[1]2.0WP'!O19</f>
        <v/>
      </c>
      <c r="P19" s="8" t="str">
        <f>'[1]2.0WP'!P19</f>
        <v/>
      </c>
      <c r="Q19" s="8" t="str">
        <f>'[1]2.0WP'!Q19</f>
        <v/>
      </c>
      <c r="R19" s="8" t="str">
        <f>'[1]2.0WP'!R19</f>
        <v/>
      </c>
      <c r="S19" s="8" t="str">
        <f>'[1]2.0WP'!S19</f>
        <v/>
      </c>
      <c r="T19" s="9">
        <f t="shared" si="0"/>
        <v>0</v>
      </c>
      <c r="U19" s="8" t="str">
        <f>'[1]2.0WP'!U19</f>
        <v/>
      </c>
      <c r="V19" s="8" t="str">
        <f>'[1]2.0WP'!V19</f>
        <v/>
      </c>
      <c r="W19" s="8" t="str">
        <f>'[1]2.0WP'!W19</f>
        <v/>
      </c>
      <c r="X19" s="8" t="str">
        <f>'[1]2.0WP'!X19</f>
        <v/>
      </c>
      <c r="Y19" s="8" t="str">
        <f>'[1]2.0WP'!Y19</f>
        <v/>
      </c>
      <c r="Z19" s="8" t="str">
        <f>'[1]2.0WP'!Z19</f>
        <v/>
      </c>
      <c r="AA19" s="8" t="str">
        <f>'[1]2.0WP'!AA19</f>
        <v/>
      </c>
      <c r="AB19" s="8" t="str">
        <f>'[1]2.0WP'!AB19</f>
        <v/>
      </c>
      <c r="AC19" s="8" t="str">
        <f>'[1]2.0WP'!AC19</f>
        <v/>
      </c>
      <c r="AD19" s="8" t="str">
        <f>'[1]2.0WP'!AD19</f>
        <v/>
      </c>
      <c r="AE19" s="8" t="str">
        <f>'[1]2.0WP'!AE19</f>
        <v/>
      </c>
      <c r="AF19" s="8" t="str">
        <f>'[1]2.0WP'!AF19</f>
        <v/>
      </c>
      <c r="AG19" s="8" t="str">
        <f>'[1]2.0WP'!AG19</f>
        <v/>
      </c>
      <c r="AH19" s="8" t="str">
        <f>'[1]2.0WP'!AH19</f>
        <v/>
      </c>
      <c r="AI19" s="8" t="str">
        <f>'[1]2.0WP'!AI19</f>
        <v/>
      </c>
      <c r="AJ19" s="8" t="str">
        <f>'[1]2.0WP'!AJ19</f>
        <v/>
      </c>
      <c r="AK19" s="17">
        <f t="shared" si="1"/>
        <v>0</v>
      </c>
      <c r="AL19" s="10">
        <f t="shared" si="2"/>
        <v>0</v>
      </c>
    </row>
    <row r="20" spans="1:38" x14ac:dyDescent="0.25">
      <c r="A20" s="12" t="str">
        <f>'[1]2.0WS'!A20</f>
        <v>16</v>
      </c>
      <c r="B20" s="13" t="str">
        <f>'[1]2.0WS'!B20</f>
        <v>PERAMBALUR</v>
      </c>
      <c r="C20" s="8" t="str">
        <f>'[1]2.0WP'!C20</f>
        <v/>
      </c>
      <c r="D20" s="8" t="str">
        <f>'[1]2.0WP'!D20</f>
        <v/>
      </c>
      <c r="E20" s="8" t="str">
        <f>'[1]2.0WP'!E20</f>
        <v/>
      </c>
      <c r="F20" s="8" t="str">
        <f>'[1]2.0WP'!F20</f>
        <v/>
      </c>
      <c r="G20" s="8" t="str">
        <f>'[1]2.0WP'!G20</f>
        <v/>
      </c>
      <c r="H20" s="8" t="str">
        <f>'[1]2.0WP'!H20</f>
        <v/>
      </c>
      <c r="I20" s="8" t="str">
        <f>'[1]2.0WP'!I20</f>
        <v/>
      </c>
      <c r="J20" s="8">
        <f>'[1]2.0WP'!J20</f>
        <v>6</v>
      </c>
      <c r="K20" s="8" t="str">
        <f>'[1]2.0WP'!K20</f>
        <v/>
      </c>
      <c r="L20" s="8" t="str">
        <f>'[1]2.0WP'!L20</f>
        <v/>
      </c>
      <c r="M20" s="8" t="str">
        <f>'[1]2.0WP'!M20</f>
        <v/>
      </c>
      <c r="N20" s="8" t="str">
        <f>'[1]2.0WP'!N20</f>
        <v/>
      </c>
      <c r="O20" s="8" t="str">
        <f>'[1]2.0WP'!O20</f>
        <v/>
      </c>
      <c r="P20" s="8">
        <f>'[1]2.0WP'!P20</f>
        <v>4</v>
      </c>
      <c r="Q20" s="8">
        <f>'[1]2.0WP'!Q20</f>
        <v>12</v>
      </c>
      <c r="R20" s="8" t="str">
        <f>'[1]2.0WP'!R20</f>
        <v/>
      </c>
      <c r="S20" s="8">
        <f>'[1]2.0WP'!S20</f>
        <v>4</v>
      </c>
      <c r="T20" s="9">
        <f t="shared" si="0"/>
        <v>26</v>
      </c>
      <c r="U20" s="8" t="str">
        <f>'[1]2.0WP'!U20</f>
        <v/>
      </c>
      <c r="V20" s="8" t="str">
        <f>'[1]2.0WP'!V20</f>
        <v/>
      </c>
      <c r="W20" s="8" t="str">
        <f>'[1]2.0WP'!W20</f>
        <v/>
      </c>
      <c r="X20" s="8" t="str">
        <f>'[1]2.0WP'!X20</f>
        <v/>
      </c>
      <c r="Y20" s="8">
        <f>'[1]2.0WP'!Y20</f>
        <v>4</v>
      </c>
      <c r="Z20" s="8" t="str">
        <f>'[1]2.0WP'!Z20</f>
        <v/>
      </c>
      <c r="AA20" s="8" t="str">
        <f>'[1]2.0WP'!AA20</f>
        <v/>
      </c>
      <c r="AB20" s="8" t="str">
        <f>'[1]2.0WP'!AB20</f>
        <v/>
      </c>
      <c r="AC20" s="8" t="str">
        <f>'[1]2.0WP'!AC20</f>
        <v/>
      </c>
      <c r="AD20" s="8" t="str">
        <f>'[1]2.0WP'!AD20</f>
        <v/>
      </c>
      <c r="AE20" s="8" t="str">
        <f>'[1]2.0WP'!AE20</f>
        <v/>
      </c>
      <c r="AF20" s="8" t="str">
        <f>'[1]2.0WP'!AF20</f>
        <v/>
      </c>
      <c r="AG20" s="8" t="str">
        <f>'[1]2.0WP'!AG20</f>
        <v/>
      </c>
      <c r="AH20" s="8" t="str">
        <f>'[1]2.0WP'!AH20</f>
        <v/>
      </c>
      <c r="AI20" s="8" t="str">
        <f>'[1]2.0WP'!AI20</f>
        <v/>
      </c>
      <c r="AJ20" s="8" t="str">
        <f>'[1]2.0WP'!AJ20</f>
        <v/>
      </c>
      <c r="AK20" s="17">
        <f t="shared" si="1"/>
        <v>4</v>
      </c>
      <c r="AL20" s="10">
        <f t="shared" si="2"/>
        <v>30</v>
      </c>
    </row>
    <row r="21" spans="1:38" x14ac:dyDescent="0.25">
      <c r="A21" s="12" t="str">
        <f>'[1]2.0WS'!A21</f>
        <v>17</v>
      </c>
      <c r="B21" s="13" t="str">
        <f>'[1]2.0WS'!B21</f>
        <v>ARIYALUR</v>
      </c>
      <c r="C21" s="8">
        <f>'[1]2.0WP'!C21</f>
        <v>4</v>
      </c>
      <c r="D21" s="8" t="str">
        <f>'[1]2.0WP'!D21</f>
        <v/>
      </c>
      <c r="E21" s="8">
        <f>'[1]2.0WP'!E21</f>
        <v>4</v>
      </c>
      <c r="F21" s="8" t="str">
        <f>'[1]2.0WP'!F21</f>
        <v/>
      </c>
      <c r="G21" s="8" t="str">
        <f>'[1]2.0WP'!G21</f>
        <v/>
      </c>
      <c r="H21" s="8">
        <f>'[1]2.0WP'!H21</f>
        <v>8</v>
      </c>
      <c r="I21" s="8" t="str">
        <f>'[1]2.0WP'!I21</f>
        <v/>
      </c>
      <c r="J21" s="8">
        <f>'[1]2.0WP'!J21</f>
        <v>6</v>
      </c>
      <c r="K21" s="8" t="str">
        <f>'[1]2.0WP'!K21</f>
        <v/>
      </c>
      <c r="L21" s="8" t="str">
        <f>'[1]2.0WP'!L21</f>
        <v/>
      </c>
      <c r="M21" s="8">
        <f>'[1]2.0WP'!M21</f>
        <v>0</v>
      </c>
      <c r="N21" s="8" t="str">
        <f>'[1]2.0WP'!N21</f>
        <v/>
      </c>
      <c r="O21" s="8">
        <f>'[1]2.0WP'!O21</f>
        <v>8</v>
      </c>
      <c r="P21" s="8" t="str">
        <f>'[1]2.0WP'!P21</f>
        <v/>
      </c>
      <c r="Q21" s="8">
        <f>'[1]2.0WP'!Q21</f>
        <v>10</v>
      </c>
      <c r="R21" s="8" t="str">
        <f>'[1]2.0WP'!R21</f>
        <v/>
      </c>
      <c r="S21" s="8">
        <f>'[1]2.0WP'!S21</f>
        <v>0</v>
      </c>
      <c r="T21" s="9">
        <f t="shared" si="0"/>
        <v>40</v>
      </c>
      <c r="U21" s="8" t="str">
        <f>'[1]2.0WP'!U21</f>
        <v/>
      </c>
      <c r="V21" s="8" t="str">
        <f>'[1]2.0WP'!V21</f>
        <v/>
      </c>
      <c r="W21" s="8" t="str">
        <f>'[1]2.0WP'!W21</f>
        <v/>
      </c>
      <c r="X21" s="8" t="str">
        <f>'[1]2.0WP'!X21</f>
        <v/>
      </c>
      <c r="Y21" s="8">
        <f>'[1]2.0WP'!Y21</f>
        <v>4</v>
      </c>
      <c r="Z21" s="8">
        <f>'[1]2.0WP'!Z21</f>
        <v>4</v>
      </c>
      <c r="AA21" s="8" t="str">
        <f>'[1]2.0WP'!AA21</f>
        <v/>
      </c>
      <c r="AB21" s="8" t="str">
        <f>'[1]2.0WP'!AB21</f>
        <v/>
      </c>
      <c r="AC21" s="8" t="str">
        <f>'[1]2.0WP'!AC21</f>
        <v/>
      </c>
      <c r="AD21" s="8" t="str">
        <f>'[1]2.0WP'!AD21</f>
        <v/>
      </c>
      <c r="AE21" s="8" t="str">
        <f>'[1]2.0WP'!AE21</f>
        <v/>
      </c>
      <c r="AF21" s="8" t="str">
        <f>'[1]2.0WP'!AF21</f>
        <v/>
      </c>
      <c r="AG21" s="8" t="str">
        <f>'[1]2.0WP'!AG21</f>
        <v/>
      </c>
      <c r="AH21" s="8" t="str">
        <f>'[1]2.0WP'!AH21</f>
        <v/>
      </c>
      <c r="AI21" s="8" t="str">
        <f>'[1]2.0WP'!AI21</f>
        <v/>
      </c>
      <c r="AJ21" s="8" t="str">
        <f>'[1]2.0WP'!AJ21</f>
        <v/>
      </c>
      <c r="AK21" s="17">
        <f t="shared" si="1"/>
        <v>8</v>
      </c>
      <c r="AL21" s="10">
        <f t="shared" si="2"/>
        <v>48</v>
      </c>
    </row>
    <row r="22" spans="1:38" s="3" customFormat="1" ht="14.4" customHeight="1" x14ac:dyDescent="0.25">
      <c r="A22" s="19" t="str">
        <f>'[1]2.0WS'!A22</f>
        <v>SRO TIRUCHIRAPALLI TOTAL</v>
      </c>
      <c r="B22" s="19"/>
      <c r="C22" s="14">
        <f t="shared" ref="C22:S22" si="9">SUM(C18:C21)</f>
        <v>4</v>
      </c>
      <c r="D22" s="14">
        <f t="shared" si="9"/>
        <v>0</v>
      </c>
      <c r="E22" s="14">
        <f t="shared" si="9"/>
        <v>4</v>
      </c>
      <c r="F22" s="14">
        <f t="shared" si="9"/>
        <v>4</v>
      </c>
      <c r="G22" s="14">
        <f t="shared" si="9"/>
        <v>6</v>
      </c>
      <c r="H22" s="14">
        <f t="shared" si="9"/>
        <v>8</v>
      </c>
      <c r="I22" s="14">
        <f t="shared" si="9"/>
        <v>0</v>
      </c>
      <c r="J22" s="14">
        <f t="shared" si="9"/>
        <v>12</v>
      </c>
      <c r="K22" s="14">
        <f t="shared" si="9"/>
        <v>0</v>
      </c>
      <c r="L22" s="14">
        <f t="shared" si="9"/>
        <v>0</v>
      </c>
      <c r="M22" s="14">
        <f t="shared" si="9"/>
        <v>0</v>
      </c>
      <c r="N22" s="14">
        <f t="shared" si="9"/>
        <v>8</v>
      </c>
      <c r="O22" s="14">
        <f t="shared" si="9"/>
        <v>8</v>
      </c>
      <c r="P22" s="14">
        <f t="shared" si="9"/>
        <v>8</v>
      </c>
      <c r="Q22" s="14">
        <f t="shared" si="9"/>
        <v>22</v>
      </c>
      <c r="R22" s="14">
        <f t="shared" si="9"/>
        <v>0</v>
      </c>
      <c r="S22" s="14">
        <f t="shared" si="9"/>
        <v>8</v>
      </c>
      <c r="T22" s="9">
        <f t="shared" si="0"/>
        <v>92</v>
      </c>
      <c r="U22" s="14">
        <f t="shared" ref="U22:AJ22" si="10">SUM(U18:U21)</f>
        <v>0</v>
      </c>
      <c r="V22" s="14">
        <f t="shared" si="10"/>
        <v>4</v>
      </c>
      <c r="W22" s="14">
        <f t="shared" si="10"/>
        <v>4</v>
      </c>
      <c r="X22" s="14">
        <f t="shared" si="10"/>
        <v>0</v>
      </c>
      <c r="Y22" s="14">
        <f t="shared" si="10"/>
        <v>12</v>
      </c>
      <c r="Z22" s="14">
        <f t="shared" si="10"/>
        <v>4</v>
      </c>
      <c r="AA22" s="14">
        <f t="shared" si="10"/>
        <v>0</v>
      </c>
      <c r="AB22" s="14">
        <f t="shared" si="10"/>
        <v>0</v>
      </c>
      <c r="AC22" s="14">
        <f t="shared" si="10"/>
        <v>0</v>
      </c>
      <c r="AD22" s="14">
        <f t="shared" si="10"/>
        <v>0</v>
      </c>
      <c r="AE22" s="14">
        <f t="shared" si="10"/>
        <v>0</v>
      </c>
      <c r="AF22" s="14">
        <f t="shared" si="10"/>
        <v>6</v>
      </c>
      <c r="AG22" s="14">
        <f t="shared" si="10"/>
        <v>0</v>
      </c>
      <c r="AH22" s="14">
        <f t="shared" si="10"/>
        <v>4</v>
      </c>
      <c r="AI22" s="14">
        <f t="shared" si="10"/>
        <v>0</v>
      </c>
      <c r="AJ22" s="14">
        <f t="shared" si="10"/>
        <v>0</v>
      </c>
      <c r="AK22" s="17">
        <f t="shared" si="1"/>
        <v>34</v>
      </c>
      <c r="AL22" s="10">
        <f t="shared" si="2"/>
        <v>126</v>
      </c>
    </row>
    <row r="23" spans="1:38" s="3" customFormat="1" ht="14.4" customHeight="1" x14ac:dyDescent="0.25">
      <c r="A23" s="20" t="str">
        <f>'[1]2.0WS'!A23</f>
        <v>RO COIMBATORE TOTAL</v>
      </c>
      <c r="B23" s="20"/>
      <c r="C23" s="15">
        <f>SUM(C22,C17,C14,C10)</f>
        <v>8</v>
      </c>
      <c r="D23" s="15">
        <f t="shared" ref="D23:S23" si="11">SUM(D22,D17,D14,D10)</f>
        <v>0</v>
      </c>
      <c r="E23" s="15">
        <f t="shared" si="11"/>
        <v>12</v>
      </c>
      <c r="F23" s="15">
        <f t="shared" si="11"/>
        <v>48</v>
      </c>
      <c r="G23" s="15">
        <f t="shared" si="11"/>
        <v>6</v>
      </c>
      <c r="H23" s="15">
        <f t="shared" si="11"/>
        <v>14</v>
      </c>
      <c r="I23" s="15">
        <f t="shared" si="11"/>
        <v>0</v>
      </c>
      <c r="J23" s="15">
        <f t="shared" si="11"/>
        <v>30</v>
      </c>
      <c r="K23" s="15">
        <f t="shared" si="11"/>
        <v>24</v>
      </c>
      <c r="L23" s="15">
        <f t="shared" si="11"/>
        <v>36</v>
      </c>
      <c r="M23" s="15">
        <f t="shared" si="11"/>
        <v>4</v>
      </c>
      <c r="N23" s="15">
        <f t="shared" si="11"/>
        <v>22</v>
      </c>
      <c r="O23" s="15">
        <f t="shared" si="11"/>
        <v>14</v>
      </c>
      <c r="P23" s="15">
        <f t="shared" si="11"/>
        <v>54</v>
      </c>
      <c r="Q23" s="15">
        <f t="shared" si="11"/>
        <v>56</v>
      </c>
      <c r="R23" s="15">
        <f t="shared" si="11"/>
        <v>8</v>
      </c>
      <c r="S23" s="15">
        <f t="shared" si="11"/>
        <v>26</v>
      </c>
      <c r="T23" s="9">
        <f t="shared" si="0"/>
        <v>362</v>
      </c>
      <c r="U23" s="15">
        <f t="shared" ref="U23:AJ23" si="12">SUM(U22,U17,U14,U10)</f>
        <v>12</v>
      </c>
      <c r="V23" s="15">
        <f t="shared" si="12"/>
        <v>28</v>
      </c>
      <c r="W23" s="15">
        <f t="shared" si="12"/>
        <v>16</v>
      </c>
      <c r="X23" s="15">
        <f t="shared" si="12"/>
        <v>0</v>
      </c>
      <c r="Y23" s="15">
        <f t="shared" si="12"/>
        <v>32</v>
      </c>
      <c r="Z23" s="15">
        <f t="shared" si="12"/>
        <v>4</v>
      </c>
      <c r="AA23" s="15">
        <f t="shared" si="12"/>
        <v>0</v>
      </c>
      <c r="AB23" s="15">
        <f t="shared" si="12"/>
        <v>0</v>
      </c>
      <c r="AC23" s="15">
        <f t="shared" si="12"/>
        <v>0</v>
      </c>
      <c r="AD23" s="15">
        <f t="shared" si="12"/>
        <v>0</v>
      </c>
      <c r="AE23" s="15">
        <f t="shared" si="12"/>
        <v>14</v>
      </c>
      <c r="AF23" s="15">
        <f t="shared" si="12"/>
        <v>6</v>
      </c>
      <c r="AG23" s="15">
        <f t="shared" si="12"/>
        <v>6</v>
      </c>
      <c r="AH23" s="15">
        <f t="shared" si="12"/>
        <v>56</v>
      </c>
      <c r="AI23" s="15">
        <f t="shared" si="12"/>
        <v>0</v>
      </c>
      <c r="AJ23" s="15">
        <f t="shared" si="12"/>
        <v>6</v>
      </c>
      <c r="AK23" s="17">
        <f t="shared" si="1"/>
        <v>180</v>
      </c>
      <c r="AL23" s="10">
        <f t="shared" si="2"/>
        <v>542</v>
      </c>
    </row>
    <row r="24" spans="1:38" x14ac:dyDescent="0.25">
      <c r="A24" s="12" t="str">
        <f>'[1]2.0WS'!A24</f>
        <v>01</v>
      </c>
      <c r="B24" s="13" t="str">
        <f>'[1]2.0WS'!B24</f>
        <v>THIRUVALLUR</v>
      </c>
      <c r="C24" s="8">
        <f>'[1]2.0WP'!C24</f>
        <v>8</v>
      </c>
      <c r="D24" s="8" t="str">
        <f>'[1]2.0WP'!D24</f>
        <v/>
      </c>
      <c r="E24" s="8">
        <f>'[1]2.0WP'!E24</f>
        <v>6</v>
      </c>
      <c r="F24" s="8" t="str">
        <f>'[1]2.0WP'!F24</f>
        <v/>
      </c>
      <c r="G24" s="8" t="str">
        <f>'[1]2.0WP'!G24</f>
        <v/>
      </c>
      <c r="H24" s="8" t="str">
        <f>'[1]2.0WP'!H24</f>
        <v/>
      </c>
      <c r="I24" s="8" t="str">
        <f>'[1]2.0WP'!I24</f>
        <v/>
      </c>
      <c r="J24" s="8" t="str">
        <f>'[1]2.0WP'!J24</f>
        <v/>
      </c>
      <c r="K24" s="8" t="str">
        <f>'[1]2.0WP'!K24</f>
        <v/>
      </c>
      <c r="L24" s="8" t="str">
        <f>'[1]2.0WP'!L24</f>
        <v/>
      </c>
      <c r="M24" s="8" t="str">
        <f>'[1]2.0WP'!M24</f>
        <v/>
      </c>
      <c r="N24" s="8" t="str">
        <f>'[1]2.0WP'!N24</f>
        <v/>
      </c>
      <c r="O24" s="8" t="str">
        <f>'[1]2.0WP'!O24</f>
        <v/>
      </c>
      <c r="P24" s="8" t="str">
        <f>'[1]2.0WP'!P24</f>
        <v/>
      </c>
      <c r="Q24" s="8" t="str">
        <f>'[1]2.0WP'!Q24</f>
        <v/>
      </c>
      <c r="R24" s="8" t="str">
        <f>'[1]2.0WP'!R24</f>
        <v/>
      </c>
      <c r="S24" s="8">
        <f>'[1]2.0WP'!S24</f>
        <v>4</v>
      </c>
      <c r="T24" s="9">
        <f t="shared" ref="T24:T26" si="13">SUM(C24:S24)</f>
        <v>18</v>
      </c>
      <c r="U24" s="8">
        <f>'[1]2.0WP'!U24</f>
        <v>6</v>
      </c>
      <c r="V24" s="8" t="str">
        <f>'[1]2.0WP'!V24</f>
        <v/>
      </c>
      <c r="W24" s="8" t="str">
        <f>'[1]2.0WP'!W24</f>
        <v/>
      </c>
      <c r="X24" s="8" t="str">
        <f>'[1]2.0WP'!X24</f>
        <v/>
      </c>
      <c r="Y24" s="8">
        <f>'[1]2.0WP'!Y24</f>
        <v>4</v>
      </c>
      <c r="Z24" s="8" t="str">
        <f>'[1]2.0WP'!Z24</f>
        <v/>
      </c>
      <c r="AA24" s="8" t="str">
        <f>'[1]2.0WP'!AA24</f>
        <v/>
      </c>
      <c r="AB24" s="8" t="str">
        <f>'[1]2.0WP'!AB24</f>
        <v/>
      </c>
      <c r="AC24" s="8">
        <f>'[1]2.0WP'!AC24</f>
        <v>8</v>
      </c>
      <c r="AD24" s="8" t="str">
        <f>'[1]2.0WP'!AD24</f>
        <v/>
      </c>
      <c r="AE24" s="8" t="str">
        <f>'[1]2.0WP'!AE24</f>
        <v/>
      </c>
      <c r="AF24" s="8" t="str">
        <f>'[1]2.0WP'!AF24</f>
        <v/>
      </c>
      <c r="AG24" s="8" t="str">
        <f>'[1]2.0WP'!AG24</f>
        <v/>
      </c>
      <c r="AH24" s="8" t="str">
        <f>'[1]2.0WP'!AH24</f>
        <v/>
      </c>
      <c r="AI24" s="8" t="str">
        <f>'[1]2.0WP'!AI24</f>
        <v/>
      </c>
      <c r="AJ24" s="8" t="str">
        <f>'[1]2.0WP'!AJ24</f>
        <v/>
      </c>
      <c r="AK24" s="17">
        <f t="shared" si="1"/>
        <v>18</v>
      </c>
      <c r="AL24" s="10">
        <f t="shared" si="2"/>
        <v>36</v>
      </c>
    </row>
    <row r="25" spans="1:38" x14ac:dyDescent="0.25">
      <c r="A25" s="12" t="str">
        <f>'[1]2.0WS'!A25</f>
        <v>03</v>
      </c>
      <c r="B25" s="13" t="str">
        <f>'[1]2.0WS'!B25</f>
        <v>KANCHEEPURAM</v>
      </c>
      <c r="C25" s="8">
        <f>'[1]2.0WP'!C25</f>
        <v>4</v>
      </c>
      <c r="D25" s="8" t="str">
        <f>'[1]2.0WP'!D25</f>
        <v/>
      </c>
      <c r="E25" s="8">
        <f>'[1]2.0WP'!E25</f>
        <v>4</v>
      </c>
      <c r="F25" s="8" t="str">
        <f>'[1]2.0WP'!F25</f>
        <v/>
      </c>
      <c r="G25" s="8" t="str">
        <f>'[1]2.0WP'!G25</f>
        <v/>
      </c>
      <c r="H25" s="8" t="str">
        <f>'[1]2.0WP'!H25</f>
        <v/>
      </c>
      <c r="I25" s="8" t="str">
        <f>'[1]2.0WP'!I25</f>
        <v/>
      </c>
      <c r="J25" s="8" t="str">
        <f>'[1]2.0WP'!J25</f>
        <v/>
      </c>
      <c r="K25" s="8" t="str">
        <f>'[1]2.0WP'!K25</f>
        <v/>
      </c>
      <c r="L25" s="8" t="str">
        <f>'[1]2.0WP'!L25</f>
        <v/>
      </c>
      <c r="M25" s="8">
        <f>'[1]2.0WP'!M25</f>
        <v>4</v>
      </c>
      <c r="N25" s="8" t="str">
        <f>'[1]2.0WP'!N25</f>
        <v/>
      </c>
      <c r="O25" s="8">
        <f>'[1]2.0WP'!O25</f>
        <v>0</v>
      </c>
      <c r="P25" s="8" t="str">
        <f>'[1]2.0WP'!P25</f>
        <v/>
      </c>
      <c r="Q25" s="8" t="str">
        <f>'[1]2.0WP'!Q25</f>
        <v/>
      </c>
      <c r="R25" s="8" t="str">
        <f>'[1]2.0WP'!R25</f>
        <v/>
      </c>
      <c r="S25" s="8" t="str">
        <f>'[1]2.0WP'!S25</f>
        <v/>
      </c>
      <c r="T25" s="9">
        <f t="shared" si="13"/>
        <v>12</v>
      </c>
      <c r="U25" s="8" t="str">
        <f>'[1]2.0WP'!U25</f>
        <v/>
      </c>
      <c r="V25" s="8" t="str">
        <f>'[1]2.0WP'!V25</f>
        <v/>
      </c>
      <c r="W25" s="8" t="str">
        <f>'[1]2.0WP'!W25</f>
        <v/>
      </c>
      <c r="X25" s="8" t="str">
        <f>'[1]2.0WP'!X25</f>
        <v/>
      </c>
      <c r="Y25" s="8" t="str">
        <f>'[1]2.0WP'!Y25</f>
        <v/>
      </c>
      <c r="Z25" s="8" t="str">
        <f>'[1]2.0WP'!Z25</f>
        <v/>
      </c>
      <c r="AA25" s="8" t="str">
        <f>'[1]2.0WP'!AA25</f>
        <v/>
      </c>
      <c r="AB25" s="8" t="str">
        <f>'[1]2.0WP'!AB25</f>
        <v/>
      </c>
      <c r="AC25" s="8" t="str">
        <f>'[1]2.0WP'!AC25</f>
        <v/>
      </c>
      <c r="AD25" s="8" t="str">
        <f>'[1]2.0WP'!AD25</f>
        <v/>
      </c>
      <c r="AE25" s="8" t="str">
        <f>'[1]2.0WP'!AE25</f>
        <v/>
      </c>
      <c r="AF25" s="8" t="str">
        <f>'[1]2.0WP'!AF25</f>
        <v/>
      </c>
      <c r="AG25" s="8" t="str">
        <f>'[1]2.0WP'!AG25</f>
        <v/>
      </c>
      <c r="AH25" s="8" t="str">
        <f>'[1]2.0WP'!AH25</f>
        <v/>
      </c>
      <c r="AI25" s="8" t="str">
        <f>'[1]2.0WP'!AI25</f>
        <v/>
      </c>
      <c r="AJ25" s="8" t="str">
        <f>'[1]2.0WP'!AJ25</f>
        <v/>
      </c>
      <c r="AK25" s="17">
        <f t="shared" si="1"/>
        <v>0</v>
      </c>
      <c r="AL25" s="10">
        <f t="shared" si="2"/>
        <v>12</v>
      </c>
    </row>
    <row r="26" spans="1:38" x14ac:dyDescent="0.25">
      <c r="A26" s="12" t="str">
        <f>'[1]2.0WS'!A26</f>
        <v>33</v>
      </c>
      <c r="B26" s="13" t="str">
        <f>'[1]2.0WS'!B26</f>
        <v>CHENGALPATTU</v>
      </c>
      <c r="C26" s="8">
        <f>'[1]2.0WP'!C26</f>
        <v>4</v>
      </c>
      <c r="D26" s="8" t="str">
        <f>'[1]2.0WP'!D26</f>
        <v/>
      </c>
      <c r="E26" s="8">
        <f>'[1]2.0WP'!E26</f>
        <v>4</v>
      </c>
      <c r="F26" s="8" t="str">
        <f>'[1]2.0WP'!F26</f>
        <v/>
      </c>
      <c r="G26" s="8" t="str">
        <f>'[1]2.0WP'!G26</f>
        <v/>
      </c>
      <c r="H26" s="8" t="str">
        <f>'[1]2.0WP'!H26</f>
        <v/>
      </c>
      <c r="I26" s="8" t="str">
        <f>'[1]2.0WP'!I26</f>
        <v/>
      </c>
      <c r="J26" s="8" t="str">
        <f>'[1]2.0WP'!J26</f>
        <v/>
      </c>
      <c r="K26" s="8" t="str">
        <f>'[1]2.0WP'!K26</f>
        <v/>
      </c>
      <c r="L26" s="8" t="str">
        <f>'[1]2.0WP'!L26</f>
        <v/>
      </c>
      <c r="M26" s="8" t="str">
        <f>'[1]2.0WP'!M26</f>
        <v/>
      </c>
      <c r="N26" s="8" t="str">
        <f>'[1]2.0WP'!N26</f>
        <v/>
      </c>
      <c r="O26" s="8">
        <f>'[1]2.0WP'!O26</f>
        <v>4</v>
      </c>
      <c r="P26" s="8" t="str">
        <f>'[1]2.0WP'!P26</f>
        <v/>
      </c>
      <c r="Q26" s="8" t="str">
        <f>'[1]2.0WP'!Q26</f>
        <v/>
      </c>
      <c r="R26" s="8" t="str">
        <f>'[1]2.0WP'!R26</f>
        <v/>
      </c>
      <c r="S26" s="8">
        <f>'[1]2.0WP'!S26</f>
        <v>4</v>
      </c>
      <c r="T26" s="9">
        <f t="shared" si="13"/>
        <v>16</v>
      </c>
      <c r="U26" s="8">
        <f>'[1]2.0WP'!U26</f>
        <v>4</v>
      </c>
      <c r="V26" s="8" t="str">
        <f>'[1]2.0WP'!V26</f>
        <v/>
      </c>
      <c r="W26" s="8" t="str">
        <f>'[1]2.0WP'!W26</f>
        <v/>
      </c>
      <c r="X26" s="8" t="str">
        <f>'[1]2.0WP'!X26</f>
        <v/>
      </c>
      <c r="Y26" s="8">
        <f>'[1]2.0WP'!Y26</f>
        <v>4</v>
      </c>
      <c r="Z26" s="8" t="str">
        <f>'[1]2.0WP'!Z26</f>
        <v/>
      </c>
      <c r="AA26" s="8" t="str">
        <f>'[1]2.0WP'!AA26</f>
        <v/>
      </c>
      <c r="AB26" s="8" t="str">
        <f>'[1]2.0WP'!AB26</f>
        <v/>
      </c>
      <c r="AC26" s="8" t="str">
        <f>'[1]2.0WP'!AC26</f>
        <v/>
      </c>
      <c r="AD26" s="8" t="str">
        <f>'[1]2.0WP'!AD26</f>
        <v/>
      </c>
      <c r="AE26" s="8" t="str">
        <f>'[1]2.0WP'!AE26</f>
        <v/>
      </c>
      <c r="AF26" s="8" t="str">
        <f>'[1]2.0WP'!AF26</f>
        <v/>
      </c>
      <c r="AG26" s="8" t="str">
        <f>'[1]2.0WP'!AG26</f>
        <v/>
      </c>
      <c r="AH26" s="8" t="str">
        <f>'[1]2.0WP'!AH26</f>
        <v/>
      </c>
      <c r="AI26" s="8" t="str">
        <f>'[1]2.0WP'!AI26</f>
        <v/>
      </c>
      <c r="AJ26" s="8" t="str">
        <f>'[1]2.0WP'!AJ26</f>
        <v/>
      </c>
      <c r="AK26" s="17">
        <f t="shared" si="1"/>
        <v>8</v>
      </c>
      <c r="AL26" s="10">
        <f t="shared" si="2"/>
        <v>24</v>
      </c>
    </row>
    <row r="27" spans="1:38" s="3" customFormat="1" ht="14.4" customHeight="1" x14ac:dyDescent="0.25">
      <c r="A27" s="19" t="str">
        <f>'[1]2.0WS'!A27</f>
        <v>SRO CHENNAI TOTAL</v>
      </c>
      <c r="B27" s="19"/>
      <c r="C27" s="14">
        <f t="shared" ref="C27:S27" si="14">SUM(C24:C26)</f>
        <v>16</v>
      </c>
      <c r="D27" s="14">
        <f t="shared" si="14"/>
        <v>0</v>
      </c>
      <c r="E27" s="14">
        <f t="shared" si="14"/>
        <v>14</v>
      </c>
      <c r="F27" s="14">
        <f t="shared" si="14"/>
        <v>0</v>
      </c>
      <c r="G27" s="14">
        <f t="shared" si="14"/>
        <v>0</v>
      </c>
      <c r="H27" s="14">
        <f t="shared" si="14"/>
        <v>0</v>
      </c>
      <c r="I27" s="14">
        <f t="shared" si="14"/>
        <v>0</v>
      </c>
      <c r="J27" s="14">
        <f t="shared" si="14"/>
        <v>0</v>
      </c>
      <c r="K27" s="14">
        <f t="shared" si="14"/>
        <v>0</v>
      </c>
      <c r="L27" s="14">
        <f t="shared" si="14"/>
        <v>0</v>
      </c>
      <c r="M27" s="14">
        <f t="shared" si="14"/>
        <v>4</v>
      </c>
      <c r="N27" s="14">
        <f t="shared" si="14"/>
        <v>0</v>
      </c>
      <c r="O27" s="14">
        <f t="shared" si="14"/>
        <v>4</v>
      </c>
      <c r="P27" s="14">
        <f t="shared" si="14"/>
        <v>0</v>
      </c>
      <c r="Q27" s="14">
        <f t="shared" si="14"/>
        <v>0</v>
      </c>
      <c r="R27" s="14">
        <f t="shared" si="14"/>
        <v>0</v>
      </c>
      <c r="S27" s="14">
        <f t="shared" si="14"/>
        <v>8</v>
      </c>
      <c r="T27" s="9">
        <f t="shared" si="0"/>
        <v>46</v>
      </c>
      <c r="U27" s="14">
        <f t="shared" ref="U27:AJ27" si="15">SUM(U24:U26)</f>
        <v>10</v>
      </c>
      <c r="V27" s="14">
        <f t="shared" si="15"/>
        <v>0</v>
      </c>
      <c r="W27" s="14">
        <f t="shared" si="15"/>
        <v>0</v>
      </c>
      <c r="X27" s="14">
        <f t="shared" si="15"/>
        <v>0</v>
      </c>
      <c r="Y27" s="14">
        <f t="shared" si="15"/>
        <v>8</v>
      </c>
      <c r="Z27" s="14">
        <f t="shared" si="15"/>
        <v>0</v>
      </c>
      <c r="AA27" s="14">
        <f t="shared" si="15"/>
        <v>0</v>
      </c>
      <c r="AB27" s="14">
        <f t="shared" si="15"/>
        <v>0</v>
      </c>
      <c r="AC27" s="14">
        <f t="shared" si="15"/>
        <v>8</v>
      </c>
      <c r="AD27" s="14">
        <f t="shared" si="15"/>
        <v>0</v>
      </c>
      <c r="AE27" s="14">
        <f t="shared" si="15"/>
        <v>0</v>
      </c>
      <c r="AF27" s="14">
        <f t="shared" si="15"/>
        <v>0</v>
      </c>
      <c r="AG27" s="14">
        <f t="shared" si="15"/>
        <v>0</v>
      </c>
      <c r="AH27" s="14">
        <f t="shared" si="15"/>
        <v>0</v>
      </c>
      <c r="AI27" s="14">
        <f t="shared" si="15"/>
        <v>0</v>
      </c>
      <c r="AJ27" s="14">
        <f t="shared" si="15"/>
        <v>0</v>
      </c>
      <c r="AK27" s="17">
        <f t="shared" si="1"/>
        <v>26</v>
      </c>
      <c r="AL27" s="10">
        <f t="shared" si="2"/>
        <v>72</v>
      </c>
    </row>
    <row r="28" spans="1:38" x14ac:dyDescent="0.25">
      <c r="A28" s="12" t="str">
        <f>'[1]2.0WS'!A28</f>
        <v>07</v>
      </c>
      <c r="B28" s="13" t="str">
        <f>'[1]2.0WS'!B28</f>
        <v>VILUPPURAM</v>
      </c>
      <c r="C28" s="8" t="str">
        <f>'[1]2.0WP'!C28</f>
        <v/>
      </c>
      <c r="D28" s="8" t="str">
        <f>'[1]2.0WP'!D28</f>
        <v/>
      </c>
      <c r="E28" s="8" t="str">
        <f>'[1]2.0WP'!E28</f>
        <v/>
      </c>
      <c r="F28" s="8" t="str">
        <f>'[1]2.0WP'!F28</f>
        <v/>
      </c>
      <c r="G28" s="8" t="str">
        <f>'[1]2.0WP'!G28</f>
        <v/>
      </c>
      <c r="H28" s="8" t="str">
        <f>'[1]2.0WP'!H28</f>
        <v/>
      </c>
      <c r="I28" s="8" t="str">
        <f>'[1]2.0WP'!I28</f>
        <v/>
      </c>
      <c r="J28" s="8" t="str">
        <f>'[1]2.0WP'!J28</f>
        <v/>
      </c>
      <c r="K28" s="8" t="str">
        <f>'[1]2.0WP'!K28</f>
        <v/>
      </c>
      <c r="L28" s="8" t="str">
        <f>'[1]2.0WP'!L28</f>
        <v/>
      </c>
      <c r="M28" s="8" t="str">
        <f>'[1]2.0WP'!M28</f>
        <v/>
      </c>
      <c r="N28" s="8" t="str">
        <f>'[1]2.0WP'!N28</f>
        <v/>
      </c>
      <c r="O28" s="8" t="str">
        <f>'[1]2.0WP'!O28</f>
        <v/>
      </c>
      <c r="P28" s="8" t="str">
        <f>'[1]2.0WP'!P28</f>
        <v/>
      </c>
      <c r="Q28" s="8" t="str">
        <f>'[1]2.0WP'!Q28</f>
        <v/>
      </c>
      <c r="R28" s="8" t="str">
        <f>'[1]2.0WP'!R28</f>
        <v/>
      </c>
      <c r="S28" s="8" t="str">
        <f>'[1]2.0WP'!S28</f>
        <v/>
      </c>
      <c r="T28" s="9">
        <f t="shared" ref="T28:T31" si="16">SUM(C28:S28)</f>
        <v>0</v>
      </c>
      <c r="U28" s="8" t="str">
        <f>'[1]2.0WP'!U28</f>
        <v/>
      </c>
      <c r="V28" s="8" t="str">
        <f>'[1]2.0WP'!V28</f>
        <v/>
      </c>
      <c r="W28" s="8" t="str">
        <f>'[1]2.0WP'!W28</f>
        <v/>
      </c>
      <c r="X28" s="8" t="str">
        <f>'[1]2.0WP'!X28</f>
        <v/>
      </c>
      <c r="Y28" s="8" t="str">
        <f>'[1]2.0WP'!Y28</f>
        <v/>
      </c>
      <c r="Z28" s="8" t="str">
        <f>'[1]2.0WP'!Z28</f>
        <v/>
      </c>
      <c r="AA28" s="8" t="str">
        <f>'[1]2.0WP'!AA28</f>
        <v/>
      </c>
      <c r="AB28" s="8" t="str">
        <f>'[1]2.0WP'!AB28</f>
        <v/>
      </c>
      <c r="AC28" s="8" t="str">
        <f>'[1]2.0WP'!AC28</f>
        <v/>
      </c>
      <c r="AD28" s="8" t="str">
        <f>'[1]2.0WP'!AD28</f>
        <v/>
      </c>
      <c r="AE28" s="8" t="str">
        <f>'[1]2.0WP'!AE28</f>
        <v/>
      </c>
      <c r="AF28" s="8" t="str">
        <f>'[1]2.0WP'!AF28</f>
        <v/>
      </c>
      <c r="AG28" s="8" t="str">
        <f>'[1]2.0WP'!AG28</f>
        <v/>
      </c>
      <c r="AH28" s="8" t="str">
        <f>'[1]2.0WP'!AH28</f>
        <v/>
      </c>
      <c r="AI28" s="8" t="str">
        <f>'[1]2.0WP'!AI28</f>
        <v/>
      </c>
      <c r="AJ28" s="8" t="str">
        <f>'[1]2.0WP'!AJ28</f>
        <v/>
      </c>
      <c r="AK28" s="17">
        <f t="shared" si="1"/>
        <v>0</v>
      </c>
      <c r="AL28" s="10">
        <f t="shared" si="2"/>
        <v>0</v>
      </c>
    </row>
    <row r="29" spans="1:38" x14ac:dyDescent="0.25">
      <c r="A29" s="12" t="str">
        <f>'[1]2.0WS'!A29</f>
        <v>18</v>
      </c>
      <c r="B29" s="13" t="str">
        <f>'[1]2.0WS'!B29</f>
        <v>CUDDALORE</v>
      </c>
      <c r="C29" s="8">
        <f>'[1]2.0WP'!C29</f>
        <v>8</v>
      </c>
      <c r="D29" s="8" t="str">
        <f>'[1]2.0WP'!D29</f>
        <v/>
      </c>
      <c r="E29" s="8">
        <f>'[1]2.0WP'!E29</f>
        <v>8</v>
      </c>
      <c r="F29" s="8" t="str">
        <f>'[1]2.0WP'!F29</f>
        <v/>
      </c>
      <c r="G29" s="8" t="str">
        <f>'[1]2.0WP'!G29</f>
        <v/>
      </c>
      <c r="H29" s="8">
        <f>'[1]2.0WP'!H29</f>
        <v>8</v>
      </c>
      <c r="I29" s="8">
        <f>'[1]2.0WP'!I29</f>
        <v>12</v>
      </c>
      <c r="J29" s="8">
        <f>'[1]2.0WP'!J29</f>
        <v>6</v>
      </c>
      <c r="K29" s="8" t="str">
        <f>'[1]2.0WP'!K29</f>
        <v/>
      </c>
      <c r="L29" s="8" t="str">
        <f>'[1]2.0WP'!L29</f>
        <v/>
      </c>
      <c r="M29" s="8">
        <f>'[1]2.0WP'!M29</f>
        <v>4</v>
      </c>
      <c r="N29" s="8">
        <f>'[1]2.0WP'!N29</f>
        <v>6</v>
      </c>
      <c r="O29" s="8" t="str">
        <f>'[1]2.0WP'!O29</f>
        <v/>
      </c>
      <c r="P29" s="8" t="str">
        <f>'[1]2.0WP'!P29</f>
        <v/>
      </c>
      <c r="Q29" s="8">
        <f>'[1]2.0WP'!Q29</f>
        <v>6</v>
      </c>
      <c r="R29" s="8" t="str">
        <f>'[1]2.0WP'!R29</f>
        <v/>
      </c>
      <c r="S29" s="8">
        <f>'[1]2.0WP'!S29</f>
        <v>6</v>
      </c>
      <c r="T29" s="9">
        <f t="shared" si="16"/>
        <v>64</v>
      </c>
      <c r="U29" s="8">
        <f>'[1]2.0WP'!U29</f>
        <v>4</v>
      </c>
      <c r="V29" s="8" t="str">
        <f>'[1]2.0WP'!V29</f>
        <v/>
      </c>
      <c r="W29" s="8" t="str">
        <f>'[1]2.0WP'!W29</f>
        <v/>
      </c>
      <c r="X29" s="8" t="str">
        <f>'[1]2.0WP'!X29</f>
        <v/>
      </c>
      <c r="Y29" s="8">
        <f>'[1]2.0WP'!Y29</f>
        <v>4</v>
      </c>
      <c r="Z29" s="8">
        <f>'[1]2.0WP'!Z29</f>
        <v>8</v>
      </c>
      <c r="AA29" s="8" t="str">
        <f>'[1]2.0WP'!AA29</f>
        <v/>
      </c>
      <c r="AB29" s="8">
        <f>'[1]2.0WP'!AB29</f>
        <v>6</v>
      </c>
      <c r="AC29" s="8" t="str">
        <f>'[1]2.0WP'!AC29</f>
        <v/>
      </c>
      <c r="AD29" s="8" t="str">
        <f>'[1]2.0WP'!AD29</f>
        <v/>
      </c>
      <c r="AE29" s="8">
        <f>'[1]2.0WP'!AE29</f>
        <v>6</v>
      </c>
      <c r="AF29" s="8" t="str">
        <f>'[1]2.0WP'!AF29</f>
        <v/>
      </c>
      <c r="AG29" s="8" t="str">
        <f>'[1]2.0WP'!AG29</f>
        <v/>
      </c>
      <c r="AH29" s="8" t="str">
        <f>'[1]2.0WP'!AH29</f>
        <v/>
      </c>
      <c r="AI29" s="8" t="str">
        <f>'[1]2.0WP'!AI29</f>
        <v/>
      </c>
      <c r="AJ29" s="8" t="str">
        <f>'[1]2.0WP'!AJ29</f>
        <v/>
      </c>
      <c r="AK29" s="17">
        <f t="shared" si="1"/>
        <v>28</v>
      </c>
      <c r="AL29" s="10">
        <f t="shared" si="2"/>
        <v>92</v>
      </c>
    </row>
    <row r="30" spans="1:38" x14ac:dyDescent="0.25">
      <c r="A30" s="12" t="str">
        <f>'[1]2.0WS'!A30</f>
        <v>34</v>
      </c>
      <c r="B30" s="13" t="str">
        <f>'[1]2.0WS'!B30</f>
        <v>KALLAKURICHI</v>
      </c>
      <c r="C30" s="8">
        <f>'[1]2.0WP'!C30</f>
        <v>4</v>
      </c>
      <c r="D30" s="8" t="str">
        <f>'[1]2.0WP'!D30</f>
        <v/>
      </c>
      <c r="E30" s="8">
        <f>'[1]2.0WP'!E30</f>
        <v>4</v>
      </c>
      <c r="F30" s="8" t="str">
        <f>'[1]2.0WP'!F30</f>
        <v/>
      </c>
      <c r="G30" s="8" t="str">
        <f>'[1]2.0WP'!G30</f>
        <v/>
      </c>
      <c r="H30" s="8">
        <f>'[1]2.0WP'!H30</f>
        <v>24</v>
      </c>
      <c r="I30" s="8" t="str">
        <f>'[1]2.0WP'!I30</f>
        <v/>
      </c>
      <c r="J30" s="8" t="str">
        <f>'[1]2.0WP'!J30</f>
        <v/>
      </c>
      <c r="K30" s="8">
        <f>'[1]2.0WP'!K30</f>
        <v>6</v>
      </c>
      <c r="L30" s="8" t="str">
        <f>'[1]2.0WP'!L30</f>
        <v/>
      </c>
      <c r="M30" s="8">
        <f>'[1]2.0WP'!M30</f>
        <v>0</v>
      </c>
      <c r="N30" s="8" t="str">
        <f>'[1]2.0WP'!N30</f>
        <v/>
      </c>
      <c r="O30" s="8" t="str">
        <f>'[1]2.0WP'!O30</f>
        <v/>
      </c>
      <c r="P30" s="8" t="str">
        <f>'[1]2.0WP'!P30</f>
        <v/>
      </c>
      <c r="Q30" s="8">
        <f>'[1]2.0WP'!Q30</f>
        <v>4</v>
      </c>
      <c r="R30" s="8">
        <f>'[1]2.0WP'!R30</f>
        <v>6</v>
      </c>
      <c r="S30" s="8">
        <f>'[1]2.0WP'!S30</f>
        <v>6</v>
      </c>
      <c r="T30" s="9">
        <f t="shared" si="16"/>
        <v>54</v>
      </c>
      <c r="U30" s="8">
        <f>'[1]2.0WP'!U30</f>
        <v>4</v>
      </c>
      <c r="V30" s="8" t="str">
        <f>'[1]2.0WP'!V30</f>
        <v/>
      </c>
      <c r="W30" s="8" t="str">
        <f>'[1]2.0WP'!W30</f>
        <v/>
      </c>
      <c r="X30" s="8" t="str">
        <f>'[1]2.0WP'!X30</f>
        <v/>
      </c>
      <c r="Y30" s="8" t="str">
        <f>'[1]2.0WP'!Y30</f>
        <v/>
      </c>
      <c r="Z30" s="8">
        <f>'[1]2.0WP'!Z30</f>
        <v>6</v>
      </c>
      <c r="AA30" s="8" t="str">
        <f>'[1]2.0WP'!AA30</f>
        <v/>
      </c>
      <c r="AB30" s="8" t="str">
        <f>'[1]2.0WP'!AB30</f>
        <v/>
      </c>
      <c r="AC30" s="8" t="str">
        <f>'[1]2.0WP'!AC30</f>
        <v/>
      </c>
      <c r="AD30" s="8">
        <f>'[1]2.0WP'!AD30</f>
        <v>4</v>
      </c>
      <c r="AE30" s="8">
        <f>'[1]2.0WP'!AE30</f>
        <v>4</v>
      </c>
      <c r="AF30" s="8" t="str">
        <f>'[1]2.0WP'!AF30</f>
        <v/>
      </c>
      <c r="AG30" s="8" t="str">
        <f>'[1]2.0WP'!AG30</f>
        <v/>
      </c>
      <c r="AH30" s="8" t="str">
        <f>'[1]2.0WP'!AH30</f>
        <v/>
      </c>
      <c r="AI30" s="8" t="str">
        <f>'[1]2.0WP'!AI30</f>
        <v/>
      </c>
      <c r="AJ30" s="8" t="str">
        <f>'[1]2.0WP'!AJ30</f>
        <v/>
      </c>
      <c r="AK30" s="17">
        <f t="shared" si="1"/>
        <v>18</v>
      </c>
      <c r="AL30" s="10">
        <f t="shared" si="2"/>
        <v>72</v>
      </c>
    </row>
    <row r="31" spans="1:38" x14ac:dyDescent="0.25">
      <c r="A31" s="12" t="str">
        <f>'[1]2.0WS'!A31</f>
        <v>38</v>
      </c>
      <c r="B31" s="13" t="str">
        <f>'[1]2.0WS'!B31</f>
        <v>MAYILADUTHURAI</v>
      </c>
      <c r="C31" s="8" t="str">
        <f>'[1]2.0WP'!C31</f>
        <v/>
      </c>
      <c r="D31" s="8" t="str">
        <f>'[1]2.0WP'!D31</f>
        <v/>
      </c>
      <c r="E31" s="8" t="str">
        <f>'[1]2.0WP'!E31</f>
        <v/>
      </c>
      <c r="F31" s="8" t="str">
        <f>'[1]2.0WP'!F31</f>
        <v/>
      </c>
      <c r="G31" s="8" t="str">
        <f>'[1]2.0WP'!G31</f>
        <v/>
      </c>
      <c r="H31" s="8" t="str">
        <f>'[1]2.0WP'!H31</f>
        <v/>
      </c>
      <c r="I31" s="8" t="str">
        <f>'[1]2.0WP'!I31</f>
        <v/>
      </c>
      <c r="J31" s="8" t="str">
        <f>'[1]2.0WP'!J31</f>
        <v/>
      </c>
      <c r="K31" s="8" t="str">
        <f>'[1]2.0WP'!K31</f>
        <v/>
      </c>
      <c r="L31" s="8" t="str">
        <f>'[1]2.0WP'!L31</f>
        <v/>
      </c>
      <c r="M31" s="8" t="str">
        <f>'[1]2.0WP'!M31</f>
        <v/>
      </c>
      <c r="N31" s="8" t="str">
        <f>'[1]2.0WP'!N31</f>
        <v/>
      </c>
      <c r="O31" s="8" t="str">
        <f>'[1]2.0WP'!O31</f>
        <v/>
      </c>
      <c r="P31" s="8" t="str">
        <f>'[1]2.0WP'!P31</f>
        <v/>
      </c>
      <c r="Q31" s="8" t="str">
        <f>'[1]2.0WP'!Q31</f>
        <v/>
      </c>
      <c r="R31" s="8" t="str">
        <f>'[1]2.0WP'!R31</f>
        <v/>
      </c>
      <c r="S31" s="8" t="str">
        <f>'[1]2.0WP'!S31</f>
        <v/>
      </c>
      <c r="T31" s="9">
        <f t="shared" si="16"/>
        <v>0</v>
      </c>
      <c r="U31" s="8" t="str">
        <f>'[1]2.0WP'!U31</f>
        <v/>
      </c>
      <c r="V31" s="8" t="str">
        <f>'[1]2.0WP'!V31</f>
        <v/>
      </c>
      <c r="W31" s="8" t="str">
        <f>'[1]2.0WP'!W31</f>
        <v/>
      </c>
      <c r="X31" s="8" t="str">
        <f>'[1]2.0WP'!X31</f>
        <v/>
      </c>
      <c r="Y31" s="8" t="str">
        <f>'[1]2.0WP'!Y31</f>
        <v/>
      </c>
      <c r="Z31" s="8" t="str">
        <f>'[1]2.0WP'!Z31</f>
        <v/>
      </c>
      <c r="AA31" s="8" t="str">
        <f>'[1]2.0WP'!AA31</f>
        <v/>
      </c>
      <c r="AB31" s="8" t="str">
        <f>'[1]2.0WP'!AB31</f>
        <v/>
      </c>
      <c r="AC31" s="8" t="str">
        <f>'[1]2.0WP'!AC31</f>
        <v/>
      </c>
      <c r="AD31" s="8" t="str">
        <f>'[1]2.0WP'!AD31</f>
        <v/>
      </c>
      <c r="AE31" s="8" t="str">
        <f>'[1]2.0WP'!AE31</f>
        <v/>
      </c>
      <c r="AF31" s="8" t="str">
        <f>'[1]2.0WP'!AF31</f>
        <v/>
      </c>
      <c r="AG31" s="8" t="str">
        <f>'[1]2.0WP'!AG31</f>
        <v/>
      </c>
      <c r="AH31" s="8" t="str">
        <f>'[1]2.0WP'!AH31</f>
        <v/>
      </c>
      <c r="AI31" s="8" t="str">
        <f>'[1]2.0WP'!AI31</f>
        <v/>
      </c>
      <c r="AJ31" s="8" t="str">
        <f>'[1]2.0WP'!AJ31</f>
        <v/>
      </c>
      <c r="AK31" s="17">
        <f t="shared" si="1"/>
        <v>0</v>
      </c>
      <c r="AL31" s="10">
        <f t="shared" si="2"/>
        <v>0</v>
      </c>
    </row>
    <row r="32" spans="1:38" s="3" customFormat="1" ht="14.4" customHeight="1" x14ac:dyDescent="0.25">
      <c r="A32" s="19" t="str">
        <f>'[1]2.0WS'!A32</f>
        <v>SRO CUDDALORE TOTAL</v>
      </c>
      <c r="B32" s="19"/>
      <c r="C32" s="14">
        <f t="shared" ref="C32:S32" si="17">SUM(C28:C31)</f>
        <v>12</v>
      </c>
      <c r="D32" s="14">
        <f t="shared" si="17"/>
        <v>0</v>
      </c>
      <c r="E32" s="14">
        <f t="shared" si="17"/>
        <v>12</v>
      </c>
      <c r="F32" s="14">
        <f t="shared" si="17"/>
        <v>0</v>
      </c>
      <c r="G32" s="14">
        <f t="shared" si="17"/>
        <v>0</v>
      </c>
      <c r="H32" s="14">
        <f t="shared" si="17"/>
        <v>32</v>
      </c>
      <c r="I32" s="14">
        <f t="shared" si="17"/>
        <v>12</v>
      </c>
      <c r="J32" s="14">
        <f t="shared" si="17"/>
        <v>6</v>
      </c>
      <c r="K32" s="14">
        <f t="shared" si="17"/>
        <v>6</v>
      </c>
      <c r="L32" s="14">
        <f t="shared" si="17"/>
        <v>0</v>
      </c>
      <c r="M32" s="14">
        <f t="shared" si="17"/>
        <v>4</v>
      </c>
      <c r="N32" s="14">
        <f t="shared" si="17"/>
        <v>6</v>
      </c>
      <c r="O32" s="14">
        <f t="shared" si="17"/>
        <v>0</v>
      </c>
      <c r="P32" s="14">
        <f t="shared" si="17"/>
        <v>0</v>
      </c>
      <c r="Q32" s="14">
        <f t="shared" si="17"/>
        <v>10</v>
      </c>
      <c r="R32" s="14">
        <f t="shared" si="17"/>
        <v>6</v>
      </c>
      <c r="S32" s="14">
        <f t="shared" si="17"/>
        <v>12</v>
      </c>
      <c r="T32" s="9">
        <f t="shared" si="0"/>
        <v>118</v>
      </c>
      <c r="U32" s="14">
        <f t="shared" ref="U32:AJ32" si="18">SUM(U28:U31)</f>
        <v>8</v>
      </c>
      <c r="V32" s="14">
        <f t="shared" si="18"/>
        <v>0</v>
      </c>
      <c r="W32" s="14">
        <f t="shared" si="18"/>
        <v>0</v>
      </c>
      <c r="X32" s="14">
        <f t="shared" si="18"/>
        <v>0</v>
      </c>
      <c r="Y32" s="14">
        <f t="shared" si="18"/>
        <v>4</v>
      </c>
      <c r="Z32" s="14">
        <f t="shared" si="18"/>
        <v>14</v>
      </c>
      <c r="AA32" s="14">
        <f t="shared" si="18"/>
        <v>0</v>
      </c>
      <c r="AB32" s="14">
        <f t="shared" si="18"/>
        <v>6</v>
      </c>
      <c r="AC32" s="14">
        <f t="shared" si="18"/>
        <v>0</v>
      </c>
      <c r="AD32" s="14">
        <f t="shared" si="18"/>
        <v>4</v>
      </c>
      <c r="AE32" s="14">
        <f t="shared" si="18"/>
        <v>10</v>
      </c>
      <c r="AF32" s="14">
        <f t="shared" si="18"/>
        <v>0</v>
      </c>
      <c r="AG32" s="14">
        <f t="shared" si="18"/>
        <v>0</v>
      </c>
      <c r="AH32" s="14">
        <f t="shared" si="18"/>
        <v>0</v>
      </c>
      <c r="AI32" s="14">
        <f t="shared" si="18"/>
        <v>0</v>
      </c>
      <c r="AJ32" s="14">
        <f t="shared" si="18"/>
        <v>0</v>
      </c>
      <c r="AK32" s="17">
        <f t="shared" si="1"/>
        <v>46</v>
      </c>
      <c r="AL32" s="10">
        <f t="shared" si="2"/>
        <v>164</v>
      </c>
    </row>
    <row r="33" spans="1:38" x14ac:dyDescent="0.25">
      <c r="A33" s="12" t="str">
        <f>'[1]2.0WS'!A33</f>
        <v>04</v>
      </c>
      <c r="B33" s="13" t="str">
        <f>'[1]2.0WS'!B33</f>
        <v>VELLORE</v>
      </c>
      <c r="C33" s="8" t="str">
        <f>'[1]2.0WP'!C33</f>
        <v/>
      </c>
      <c r="D33" s="8" t="str">
        <f>'[1]2.0WP'!D33</f>
        <v/>
      </c>
      <c r="E33" s="8" t="str">
        <f>'[1]2.0WP'!E33</f>
        <v/>
      </c>
      <c r="F33" s="8" t="str">
        <f>'[1]2.0WP'!F33</f>
        <v/>
      </c>
      <c r="G33" s="8" t="str">
        <f>'[1]2.0WP'!G33</f>
        <v/>
      </c>
      <c r="H33" s="8" t="str">
        <f>'[1]2.0WP'!H33</f>
        <v/>
      </c>
      <c r="I33" s="8" t="str">
        <f>'[1]2.0WP'!I33</f>
        <v/>
      </c>
      <c r="J33" s="8" t="str">
        <f>'[1]2.0WP'!J33</f>
        <v/>
      </c>
      <c r="K33" s="8" t="str">
        <f>'[1]2.0WP'!K33</f>
        <v/>
      </c>
      <c r="L33" s="8">
        <f>'[1]2.0WP'!L33</f>
        <v>4</v>
      </c>
      <c r="M33" s="8" t="str">
        <f>'[1]2.0WP'!M33</f>
        <v/>
      </c>
      <c r="N33" s="8" t="str">
        <f>'[1]2.0WP'!N33</f>
        <v/>
      </c>
      <c r="O33" s="8" t="str">
        <f>'[1]2.0WP'!O33</f>
        <v/>
      </c>
      <c r="P33" s="8">
        <f>'[1]2.0WP'!P33</f>
        <v>10</v>
      </c>
      <c r="Q33" s="8" t="str">
        <f>'[1]2.0WP'!Q33</f>
        <v/>
      </c>
      <c r="R33" s="8" t="str">
        <f>'[1]2.0WP'!R33</f>
        <v/>
      </c>
      <c r="S33" s="8" t="str">
        <f>'[1]2.0WP'!S33</f>
        <v/>
      </c>
      <c r="T33" s="9">
        <f t="shared" ref="T33:T35" si="19">SUM(C33:S33)</f>
        <v>14</v>
      </c>
      <c r="U33" s="8" t="str">
        <f>'[1]2.0WP'!U33</f>
        <v/>
      </c>
      <c r="V33" s="8" t="str">
        <f>'[1]2.0WP'!V33</f>
        <v/>
      </c>
      <c r="W33" s="8" t="str">
        <f>'[1]2.0WP'!W33</f>
        <v/>
      </c>
      <c r="X33" s="8" t="str">
        <f>'[1]2.0WP'!X33</f>
        <v/>
      </c>
      <c r="Y33" s="8" t="str">
        <f>'[1]2.0WP'!Y33</f>
        <v/>
      </c>
      <c r="Z33" s="8" t="str">
        <f>'[1]2.0WP'!Z33</f>
        <v/>
      </c>
      <c r="AA33" s="8" t="str">
        <f>'[1]2.0WP'!AA33</f>
        <v/>
      </c>
      <c r="AB33" s="8" t="str">
        <f>'[1]2.0WP'!AB33</f>
        <v/>
      </c>
      <c r="AC33" s="8" t="str">
        <f>'[1]2.0WP'!AC33</f>
        <v/>
      </c>
      <c r="AD33" s="8" t="str">
        <f>'[1]2.0WP'!AD33</f>
        <v/>
      </c>
      <c r="AE33" s="8" t="str">
        <f>'[1]2.0WP'!AE33</f>
        <v/>
      </c>
      <c r="AF33" s="8" t="str">
        <f>'[1]2.0WP'!AF33</f>
        <v/>
      </c>
      <c r="AG33" s="8" t="str">
        <f>'[1]2.0WP'!AG33</f>
        <v/>
      </c>
      <c r="AH33" s="8">
        <f>'[1]2.0WP'!AH33</f>
        <v>4</v>
      </c>
      <c r="AI33" s="8" t="str">
        <f>'[1]2.0WP'!AI33</f>
        <v/>
      </c>
      <c r="AJ33" s="8" t="str">
        <f>'[1]2.0WP'!AJ33</f>
        <v/>
      </c>
      <c r="AK33" s="17">
        <f t="shared" si="1"/>
        <v>4</v>
      </c>
      <c r="AL33" s="10">
        <f t="shared" si="2"/>
        <v>18</v>
      </c>
    </row>
    <row r="34" spans="1:38" x14ac:dyDescent="0.25">
      <c r="A34" s="12" t="str">
        <f>'[1]2.0WS'!A34</f>
        <v>06</v>
      </c>
      <c r="B34" s="13" t="str">
        <f>'[1]2.0WS'!B34</f>
        <v>TIRUVANNAMALAI</v>
      </c>
      <c r="C34" s="8" t="str">
        <f>'[1]2.0WP'!C34</f>
        <v/>
      </c>
      <c r="D34" s="8" t="str">
        <f>'[1]2.0WP'!D34</f>
        <v/>
      </c>
      <c r="E34" s="8" t="str">
        <f>'[1]2.0WP'!E34</f>
        <v/>
      </c>
      <c r="F34" s="8" t="str">
        <f>'[1]2.0WP'!F34</f>
        <v/>
      </c>
      <c r="G34" s="8" t="str">
        <f>'[1]2.0WP'!G34</f>
        <v/>
      </c>
      <c r="H34" s="8" t="str">
        <f>'[1]2.0WP'!H34</f>
        <v/>
      </c>
      <c r="I34" s="8" t="str">
        <f>'[1]2.0WP'!I34</f>
        <v/>
      </c>
      <c r="J34" s="8" t="str">
        <f>'[1]2.0WP'!J34</f>
        <v/>
      </c>
      <c r="K34" s="8" t="str">
        <f>'[1]2.0WP'!K34</f>
        <v/>
      </c>
      <c r="L34" s="8" t="str">
        <f>'[1]2.0WP'!L34</f>
        <v/>
      </c>
      <c r="M34" s="8" t="str">
        <f>'[1]2.0WP'!M34</f>
        <v/>
      </c>
      <c r="N34" s="8" t="str">
        <f>'[1]2.0WP'!N34</f>
        <v/>
      </c>
      <c r="O34" s="8" t="str">
        <f>'[1]2.0WP'!O34</f>
        <v/>
      </c>
      <c r="P34" s="8" t="str">
        <f>'[1]2.0WP'!P34</f>
        <v/>
      </c>
      <c r="Q34" s="8" t="str">
        <f>'[1]2.0WP'!Q34</f>
        <v/>
      </c>
      <c r="R34" s="8" t="str">
        <f>'[1]2.0WP'!R34</f>
        <v/>
      </c>
      <c r="S34" s="8" t="str">
        <f>'[1]2.0WP'!S34</f>
        <v/>
      </c>
      <c r="T34" s="9">
        <f t="shared" si="19"/>
        <v>0</v>
      </c>
      <c r="U34" s="8" t="str">
        <f>'[1]2.0WP'!U34</f>
        <v/>
      </c>
      <c r="V34" s="8" t="str">
        <f>'[1]2.0WP'!V34</f>
        <v/>
      </c>
      <c r="W34" s="8" t="str">
        <f>'[1]2.0WP'!W34</f>
        <v/>
      </c>
      <c r="X34" s="8" t="str">
        <f>'[1]2.0WP'!X34</f>
        <v/>
      </c>
      <c r="Y34" s="8" t="str">
        <f>'[1]2.0WP'!Y34</f>
        <v/>
      </c>
      <c r="Z34" s="8" t="str">
        <f>'[1]2.0WP'!Z34</f>
        <v/>
      </c>
      <c r="AA34" s="8" t="str">
        <f>'[1]2.0WP'!AA34</f>
        <v/>
      </c>
      <c r="AB34" s="8" t="str">
        <f>'[1]2.0WP'!AB34</f>
        <v/>
      </c>
      <c r="AC34" s="8" t="str">
        <f>'[1]2.0WP'!AC34</f>
        <v/>
      </c>
      <c r="AD34" s="8" t="str">
        <f>'[1]2.0WP'!AD34</f>
        <v/>
      </c>
      <c r="AE34" s="8" t="str">
        <f>'[1]2.0WP'!AE34</f>
        <v/>
      </c>
      <c r="AF34" s="8" t="str">
        <f>'[1]2.0WP'!AF34</f>
        <v/>
      </c>
      <c r="AG34" s="8" t="str">
        <f>'[1]2.0WP'!AG34</f>
        <v/>
      </c>
      <c r="AH34" s="8" t="str">
        <f>'[1]2.0WP'!AH34</f>
        <v/>
      </c>
      <c r="AI34" s="8" t="str">
        <f>'[1]2.0WP'!AI34</f>
        <v/>
      </c>
      <c r="AJ34" s="8" t="str">
        <f>'[1]2.0WP'!AJ34</f>
        <v/>
      </c>
      <c r="AK34" s="17">
        <f t="shared" si="1"/>
        <v>0</v>
      </c>
      <c r="AL34" s="10">
        <f t="shared" si="2"/>
        <v>0</v>
      </c>
    </row>
    <row r="35" spans="1:38" x14ac:dyDescent="0.25">
      <c r="A35" s="12" t="str">
        <f>'[1]2.0WS'!A35</f>
        <v>35</v>
      </c>
      <c r="B35" s="13" t="str">
        <f>'[1]2.0WS'!B35</f>
        <v>RANIPET</v>
      </c>
      <c r="C35" s="8">
        <f>'[1]2.0WP'!C35</f>
        <v>4</v>
      </c>
      <c r="D35" s="8" t="str">
        <f>'[1]2.0WP'!D35</f>
        <v/>
      </c>
      <c r="E35" s="8" t="str">
        <f>'[1]2.0WP'!E35</f>
        <v/>
      </c>
      <c r="F35" s="8" t="str">
        <f>'[1]2.0WP'!F35</f>
        <v/>
      </c>
      <c r="G35" s="8" t="str">
        <f>'[1]2.0WP'!G35</f>
        <v/>
      </c>
      <c r="H35" s="8" t="str">
        <f>'[1]2.0WP'!H35</f>
        <v/>
      </c>
      <c r="I35" s="8" t="str">
        <f>'[1]2.0WP'!I35</f>
        <v/>
      </c>
      <c r="J35" s="8" t="str">
        <f>'[1]2.0WP'!J35</f>
        <v/>
      </c>
      <c r="K35" s="8" t="str">
        <f>'[1]2.0WP'!K35</f>
        <v/>
      </c>
      <c r="L35" s="8" t="str">
        <f>'[1]2.0WP'!L35</f>
        <v/>
      </c>
      <c r="M35" s="8" t="str">
        <f>'[1]2.0WP'!M35</f>
        <v/>
      </c>
      <c r="N35" s="8" t="str">
        <f>'[1]2.0WP'!N35</f>
        <v/>
      </c>
      <c r="O35" s="8" t="str">
        <f>'[1]2.0WP'!O35</f>
        <v/>
      </c>
      <c r="P35" s="8">
        <f>'[1]2.0WP'!P35</f>
        <v>4</v>
      </c>
      <c r="Q35" s="8" t="str">
        <f>'[1]2.0WP'!Q35</f>
        <v/>
      </c>
      <c r="R35" s="8" t="str">
        <f>'[1]2.0WP'!R35</f>
        <v/>
      </c>
      <c r="S35" s="8" t="str">
        <f>'[1]2.0WP'!S35</f>
        <v/>
      </c>
      <c r="T35" s="9">
        <f t="shared" si="19"/>
        <v>8</v>
      </c>
      <c r="U35" s="8">
        <f>'[1]2.0WP'!U35</f>
        <v>4</v>
      </c>
      <c r="V35" s="8" t="str">
        <f>'[1]2.0WP'!V35</f>
        <v/>
      </c>
      <c r="W35" s="8" t="str">
        <f>'[1]2.0WP'!W35</f>
        <v/>
      </c>
      <c r="X35" s="8" t="str">
        <f>'[1]2.0WP'!X35</f>
        <v/>
      </c>
      <c r="Y35" s="8">
        <f>'[1]2.0WP'!Y35</f>
        <v>4</v>
      </c>
      <c r="Z35" s="8" t="str">
        <f>'[1]2.0WP'!Z35</f>
        <v/>
      </c>
      <c r="AA35" s="8" t="str">
        <f>'[1]2.0WP'!AA35</f>
        <v/>
      </c>
      <c r="AB35" s="8" t="str">
        <f>'[1]2.0WP'!AB35</f>
        <v/>
      </c>
      <c r="AC35" s="8" t="str">
        <f>'[1]2.0WP'!AC35</f>
        <v/>
      </c>
      <c r="AD35" s="8" t="str">
        <f>'[1]2.0WP'!AD35</f>
        <v/>
      </c>
      <c r="AE35" s="8" t="str">
        <f>'[1]2.0WP'!AE35</f>
        <v/>
      </c>
      <c r="AF35" s="8" t="str">
        <f>'[1]2.0WP'!AF35</f>
        <v/>
      </c>
      <c r="AG35" s="8" t="str">
        <f>'[1]2.0WP'!AG35</f>
        <v/>
      </c>
      <c r="AH35" s="8" t="str">
        <f>'[1]2.0WP'!AH35</f>
        <v/>
      </c>
      <c r="AI35" s="8" t="str">
        <f>'[1]2.0WP'!AI35</f>
        <v/>
      </c>
      <c r="AJ35" s="8" t="str">
        <f>'[1]2.0WP'!AJ35</f>
        <v/>
      </c>
      <c r="AK35" s="17">
        <f t="shared" si="1"/>
        <v>8</v>
      </c>
      <c r="AL35" s="10">
        <f t="shared" si="2"/>
        <v>16</v>
      </c>
    </row>
    <row r="36" spans="1:38" s="3" customFormat="1" ht="14.4" customHeight="1" x14ac:dyDescent="0.25">
      <c r="A36" s="19" t="str">
        <f>'[1]2.0WS'!A36</f>
        <v>SRO VELLORE TOTAL</v>
      </c>
      <c r="B36" s="19"/>
      <c r="C36" s="14">
        <f t="shared" ref="C36:S36" si="20">SUM(C33:C35)</f>
        <v>4</v>
      </c>
      <c r="D36" s="14">
        <f t="shared" si="20"/>
        <v>0</v>
      </c>
      <c r="E36" s="14">
        <f t="shared" si="20"/>
        <v>0</v>
      </c>
      <c r="F36" s="14">
        <f t="shared" si="20"/>
        <v>0</v>
      </c>
      <c r="G36" s="14">
        <f t="shared" si="20"/>
        <v>0</v>
      </c>
      <c r="H36" s="14">
        <f t="shared" si="20"/>
        <v>0</v>
      </c>
      <c r="I36" s="14">
        <f t="shared" si="20"/>
        <v>0</v>
      </c>
      <c r="J36" s="14">
        <f t="shared" si="20"/>
        <v>0</v>
      </c>
      <c r="K36" s="14">
        <f t="shared" si="20"/>
        <v>0</v>
      </c>
      <c r="L36" s="14">
        <f t="shared" si="20"/>
        <v>4</v>
      </c>
      <c r="M36" s="14">
        <f t="shared" si="20"/>
        <v>0</v>
      </c>
      <c r="N36" s="14">
        <f t="shared" si="20"/>
        <v>0</v>
      </c>
      <c r="O36" s="14">
        <f t="shared" si="20"/>
        <v>0</v>
      </c>
      <c r="P36" s="14">
        <f t="shared" si="20"/>
        <v>14</v>
      </c>
      <c r="Q36" s="14">
        <f t="shared" si="20"/>
        <v>0</v>
      </c>
      <c r="R36" s="14">
        <f t="shared" si="20"/>
        <v>0</v>
      </c>
      <c r="S36" s="14">
        <f t="shared" si="20"/>
        <v>0</v>
      </c>
      <c r="T36" s="9">
        <f t="shared" si="0"/>
        <v>22</v>
      </c>
      <c r="U36" s="14">
        <f t="shared" ref="U36:AJ36" si="21">SUM(U33:U35)</f>
        <v>4</v>
      </c>
      <c r="V36" s="14">
        <f t="shared" si="21"/>
        <v>0</v>
      </c>
      <c r="W36" s="14">
        <f t="shared" si="21"/>
        <v>0</v>
      </c>
      <c r="X36" s="14">
        <f t="shared" si="21"/>
        <v>0</v>
      </c>
      <c r="Y36" s="14">
        <f t="shared" si="21"/>
        <v>4</v>
      </c>
      <c r="Z36" s="14">
        <f t="shared" si="21"/>
        <v>0</v>
      </c>
      <c r="AA36" s="14">
        <f t="shared" si="21"/>
        <v>0</v>
      </c>
      <c r="AB36" s="14">
        <f t="shared" si="21"/>
        <v>0</v>
      </c>
      <c r="AC36" s="14">
        <f t="shared" si="21"/>
        <v>0</v>
      </c>
      <c r="AD36" s="14">
        <f t="shared" si="21"/>
        <v>0</v>
      </c>
      <c r="AE36" s="14">
        <f t="shared" si="21"/>
        <v>0</v>
      </c>
      <c r="AF36" s="14">
        <f t="shared" si="21"/>
        <v>0</v>
      </c>
      <c r="AG36" s="14">
        <f t="shared" si="21"/>
        <v>0</v>
      </c>
      <c r="AH36" s="14">
        <f t="shared" si="21"/>
        <v>4</v>
      </c>
      <c r="AI36" s="14">
        <f t="shared" si="21"/>
        <v>0</v>
      </c>
      <c r="AJ36" s="14">
        <f t="shared" si="21"/>
        <v>0</v>
      </c>
      <c r="AK36" s="17">
        <f t="shared" si="1"/>
        <v>12</v>
      </c>
      <c r="AL36" s="10">
        <f t="shared" si="2"/>
        <v>34</v>
      </c>
    </row>
    <row r="37" spans="1:38" s="3" customFormat="1" ht="14.4" customHeight="1" x14ac:dyDescent="0.25">
      <c r="A37" s="20" t="str">
        <f>'[1]2.0WS'!A37</f>
        <v>RO CHENNAI TOTAL</v>
      </c>
      <c r="B37" s="20"/>
      <c r="C37" s="15">
        <f>SUM(C36,C32,C27)</f>
        <v>32</v>
      </c>
      <c r="D37" s="15">
        <f t="shared" ref="D37:S37" si="22">SUM(D36,D32,D27)</f>
        <v>0</v>
      </c>
      <c r="E37" s="15">
        <f t="shared" si="22"/>
        <v>26</v>
      </c>
      <c r="F37" s="15">
        <f t="shared" si="22"/>
        <v>0</v>
      </c>
      <c r="G37" s="15">
        <f t="shared" si="22"/>
        <v>0</v>
      </c>
      <c r="H37" s="15">
        <f t="shared" si="22"/>
        <v>32</v>
      </c>
      <c r="I37" s="15">
        <f t="shared" si="22"/>
        <v>12</v>
      </c>
      <c r="J37" s="15">
        <f t="shared" si="22"/>
        <v>6</v>
      </c>
      <c r="K37" s="15">
        <f t="shared" si="22"/>
        <v>6</v>
      </c>
      <c r="L37" s="15">
        <f t="shared" si="22"/>
        <v>4</v>
      </c>
      <c r="M37" s="15">
        <f t="shared" si="22"/>
        <v>8</v>
      </c>
      <c r="N37" s="15">
        <f t="shared" si="22"/>
        <v>6</v>
      </c>
      <c r="O37" s="15">
        <f t="shared" si="22"/>
        <v>4</v>
      </c>
      <c r="P37" s="15">
        <f t="shared" si="22"/>
        <v>14</v>
      </c>
      <c r="Q37" s="15">
        <f t="shared" si="22"/>
        <v>10</v>
      </c>
      <c r="R37" s="15">
        <f t="shared" si="22"/>
        <v>6</v>
      </c>
      <c r="S37" s="15">
        <f t="shared" si="22"/>
        <v>20</v>
      </c>
      <c r="T37" s="9">
        <f t="shared" si="0"/>
        <v>186</v>
      </c>
      <c r="U37" s="15">
        <f t="shared" ref="U37:AJ37" si="23">SUM(U36,U32,U27)</f>
        <v>22</v>
      </c>
      <c r="V37" s="15">
        <f t="shared" si="23"/>
        <v>0</v>
      </c>
      <c r="W37" s="15">
        <f t="shared" si="23"/>
        <v>0</v>
      </c>
      <c r="X37" s="15">
        <f t="shared" si="23"/>
        <v>0</v>
      </c>
      <c r="Y37" s="15">
        <f t="shared" si="23"/>
        <v>16</v>
      </c>
      <c r="Z37" s="15">
        <f t="shared" si="23"/>
        <v>14</v>
      </c>
      <c r="AA37" s="15">
        <f t="shared" si="23"/>
        <v>0</v>
      </c>
      <c r="AB37" s="15">
        <f t="shared" si="23"/>
        <v>6</v>
      </c>
      <c r="AC37" s="15">
        <f t="shared" si="23"/>
        <v>8</v>
      </c>
      <c r="AD37" s="15">
        <f t="shared" si="23"/>
        <v>4</v>
      </c>
      <c r="AE37" s="15">
        <f t="shared" si="23"/>
        <v>10</v>
      </c>
      <c r="AF37" s="15">
        <f t="shared" si="23"/>
        <v>0</v>
      </c>
      <c r="AG37" s="15">
        <f t="shared" si="23"/>
        <v>0</v>
      </c>
      <c r="AH37" s="15">
        <f t="shared" si="23"/>
        <v>4</v>
      </c>
      <c r="AI37" s="15">
        <f t="shared" si="23"/>
        <v>0</v>
      </c>
      <c r="AJ37" s="15">
        <f t="shared" si="23"/>
        <v>0</v>
      </c>
      <c r="AK37" s="17">
        <f t="shared" si="1"/>
        <v>84</v>
      </c>
      <c r="AL37" s="10">
        <f t="shared" si="2"/>
        <v>270</v>
      </c>
    </row>
    <row r="38" spans="1:38" x14ac:dyDescent="0.25">
      <c r="A38" s="12" t="str">
        <f>'[1]2.0WS'!A38</f>
        <v>13</v>
      </c>
      <c r="B38" s="13" t="str">
        <f>'[1]2.0WS'!B38</f>
        <v>DINDIGUL</v>
      </c>
      <c r="C38" s="8" t="str">
        <f>'[1]2.0WP'!C38</f>
        <v/>
      </c>
      <c r="D38" s="8" t="str">
        <f>'[1]2.0WP'!D38</f>
        <v/>
      </c>
      <c r="E38" s="8" t="str">
        <f>'[1]2.0WP'!E38</f>
        <v/>
      </c>
      <c r="F38" s="8">
        <f>'[1]2.0WP'!F38</f>
        <v>4</v>
      </c>
      <c r="G38" s="8" t="str">
        <f>'[1]2.0WP'!G38</f>
        <v/>
      </c>
      <c r="H38" s="8" t="str">
        <f>'[1]2.0WP'!H38</f>
        <v/>
      </c>
      <c r="I38" s="8" t="str">
        <f>'[1]2.0WP'!I38</f>
        <v/>
      </c>
      <c r="J38" s="8" t="str">
        <f>'[1]2.0WP'!J38</f>
        <v/>
      </c>
      <c r="K38" s="8" t="str">
        <f>'[1]2.0WP'!K38</f>
        <v/>
      </c>
      <c r="L38" s="8">
        <f>'[1]2.0WP'!L38</f>
        <v>4</v>
      </c>
      <c r="M38" s="8" t="str">
        <f>'[1]2.0WP'!M38</f>
        <v/>
      </c>
      <c r="N38" s="8" t="str">
        <f>'[1]2.0WP'!N38</f>
        <v/>
      </c>
      <c r="O38" s="8" t="str">
        <f>'[1]2.0WP'!O38</f>
        <v/>
      </c>
      <c r="P38" s="8" t="str">
        <f>'[1]2.0WP'!P38</f>
        <v/>
      </c>
      <c r="Q38" s="8" t="str">
        <f>'[1]2.0WP'!Q38</f>
        <v/>
      </c>
      <c r="R38" s="8" t="str">
        <f>'[1]2.0WP'!R38</f>
        <v/>
      </c>
      <c r="S38" s="8">
        <f>'[1]2.0WP'!S38</f>
        <v>4</v>
      </c>
      <c r="T38" s="9">
        <f t="shared" ref="T38:T41" si="24">SUM(C38:S38)</f>
        <v>12</v>
      </c>
      <c r="U38" s="8">
        <f>'[1]2.0WP'!U38</f>
        <v>4</v>
      </c>
      <c r="V38" s="8">
        <f>'[1]2.0WP'!V38</f>
        <v>14</v>
      </c>
      <c r="W38" s="8">
        <f>'[1]2.0WP'!W38</f>
        <v>0</v>
      </c>
      <c r="X38" s="8">
        <f>'[1]2.0WP'!X38</f>
        <v>4</v>
      </c>
      <c r="Y38" s="8">
        <f>'[1]2.0WP'!Y38</f>
        <v>4</v>
      </c>
      <c r="Z38" s="8">
        <f>'[1]2.0WP'!Z38</f>
        <v>4</v>
      </c>
      <c r="AA38" s="8" t="str">
        <f>'[1]2.0WP'!AA38</f>
        <v/>
      </c>
      <c r="AB38" s="8">
        <f>'[1]2.0WP'!AB38</f>
        <v>6</v>
      </c>
      <c r="AC38" s="8" t="str">
        <f>'[1]2.0WP'!AC38</f>
        <v/>
      </c>
      <c r="AD38" s="8" t="str">
        <f>'[1]2.0WP'!AD38</f>
        <v/>
      </c>
      <c r="AE38" s="8" t="str">
        <f>'[1]2.0WP'!AE38</f>
        <v/>
      </c>
      <c r="AF38" s="8">
        <f>'[1]2.0WP'!AF38</f>
        <v>4</v>
      </c>
      <c r="AG38" s="8" t="str">
        <f>'[1]2.0WP'!AG38</f>
        <v/>
      </c>
      <c r="AH38" s="8">
        <f>'[1]2.0WP'!AH38</f>
        <v>4</v>
      </c>
      <c r="AI38" s="8">
        <f>'[1]2.0WP'!AI38</f>
        <v>4</v>
      </c>
      <c r="AJ38" s="8">
        <f>'[1]2.0WP'!AJ38</f>
        <v>4</v>
      </c>
      <c r="AK38" s="17">
        <f t="shared" si="1"/>
        <v>52</v>
      </c>
      <c r="AL38" s="10">
        <f t="shared" si="2"/>
        <v>64</v>
      </c>
    </row>
    <row r="39" spans="1:38" x14ac:dyDescent="0.25">
      <c r="A39" s="12" t="str">
        <f>'[1]2.0WS'!A39</f>
        <v>23</v>
      </c>
      <c r="B39" s="13" t="str">
        <f>'[1]2.0WS'!B39</f>
        <v>SIVAGANGAI</v>
      </c>
      <c r="C39" s="8" t="str">
        <f>'[1]2.0WP'!C39</f>
        <v/>
      </c>
      <c r="D39" s="8" t="str">
        <f>'[1]2.0WP'!D39</f>
        <v/>
      </c>
      <c r="E39" s="8">
        <f>'[1]2.0WP'!E39</f>
        <v>8</v>
      </c>
      <c r="F39" s="8" t="str">
        <f>'[1]2.0WP'!F39</f>
        <v/>
      </c>
      <c r="G39" s="8" t="str">
        <f>'[1]2.0WP'!G39</f>
        <v/>
      </c>
      <c r="H39" s="8" t="str">
        <f>'[1]2.0WP'!H39</f>
        <v/>
      </c>
      <c r="I39" s="8" t="str">
        <f>'[1]2.0WP'!I39</f>
        <v/>
      </c>
      <c r="J39" s="8" t="str">
        <f>'[1]2.0WP'!J39</f>
        <v/>
      </c>
      <c r="K39" s="8" t="str">
        <f>'[1]2.0WP'!K39</f>
        <v/>
      </c>
      <c r="L39" s="8">
        <f>'[1]2.0WP'!L39</f>
        <v>6</v>
      </c>
      <c r="M39" s="8" t="str">
        <f>'[1]2.0WP'!M39</f>
        <v/>
      </c>
      <c r="N39" s="8" t="str">
        <f>'[1]2.0WP'!N39</f>
        <v/>
      </c>
      <c r="O39" s="8" t="str">
        <f>'[1]2.0WP'!O39</f>
        <v/>
      </c>
      <c r="P39" s="8" t="str">
        <f>'[1]2.0WP'!P39</f>
        <v/>
      </c>
      <c r="Q39" s="8" t="str">
        <f>'[1]2.0WP'!Q39</f>
        <v/>
      </c>
      <c r="R39" s="8" t="str">
        <f>'[1]2.0WP'!R39</f>
        <v/>
      </c>
      <c r="S39" s="8">
        <f>'[1]2.0WP'!S39</f>
        <v>4</v>
      </c>
      <c r="T39" s="9">
        <f t="shared" si="24"/>
        <v>18</v>
      </c>
      <c r="U39" s="8" t="str">
        <f>'[1]2.0WP'!U39</f>
        <v/>
      </c>
      <c r="V39" s="8" t="str">
        <f>'[1]2.0WP'!V39</f>
        <v/>
      </c>
      <c r="W39" s="8" t="str">
        <f>'[1]2.0WP'!W39</f>
        <v/>
      </c>
      <c r="X39" s="8" t="str">
        <f>'[1]2.0WP'!X39</f>
        <v/>
      </c>
      <c r="Y39" s="8" t="str">
        <f>'[1]2.0WP'!Y39</f>
        <v/>
      </c>
      <c r="Z39" s="8" t="str">
        <f>'[1]2.0WP'!Z39</f>
        <v/>
      </c>
      <c r="AA39" s="8" t="str">
        <f>'[1]2.0WP'!AA39</f>
        <v/>
      </c>
      <c r="AB39" s="8" t="str">
        <f>'[1]2.0WP'!AB39</f>
        <v/>
      </c>
      <c r="AC39" s="8" t="str">
        <f>'[1]2.0WP'!AC39</f>
        <v/>
      </c>
      <c r="AD39" s="8" t="str">
        <f>'[1]2.0WP'!AD39</f>
        <v/>
      </c>
      <c r="AE39" s="8" t="str">
        <f>'[1]2.0WP'!AE39</f>
        <v/>
      </c>
      <c r="AF39" s="8" t="str">
        <f>'[1]2.0WP'!AF39</f>
        <v/>
      </c>
      <c r="AG39" s="8" t="str">
        <f>'[1]2.0WP'!AG39</f>
        <v/>
      </c>
      <c r="AH39" s="8" t="str">
        <f>'[1]2.0WP'!AH39</f>
        <v/>
      </c>
      <c r="AI39" s="8" t="str">
        <f>'[1]2.0WP'!AI39</f>
        <v/>
      </c>
      <c r="AJ39" s="8" t="str">
        <f>'[1]2.0WP'!AJ39</f>
        <v/>
      </c>
      <c r="AK39" s="17">
        <f t="shared" si="1"/>
        <v>0</v>
      </c>
      <c r="AL39" s="10">
        <f t="shared" si="2"/>
        <v>18</v>
      </c>
    </row>
    <row r="40" spans="1:38" x14ac:dyDescent="0.25">
      <c r="A40" s="12" t="str">
        <f>'[1]2.0WS'!A40</f>
        <v>24</v>
      </c>
      <c r="B40" s="13" t="str">
        <f>'[1]2.0WS'!B40</f>
        <v>MADURAI</v>
      </c>
      <c r="C40" s="8" t="str">
        <f>'[1]2.0WP'!C40</f>
        <v/>
      </c>
      <c r="D40" s="8" t="str">
        <f>'[1]2.0WP'!D40</f>
        <v/>
      </c>
      <c r="E40" s="8">
        <f>'[1]2.0WP'!E40</f>
        <v>4</v>
      </c>
      <c r="F40" s="8">
        <f>'[1]2.0WP'!F40</f>
        <v>4</v>
      </c>
      <c r="G40" s="8" t="str">
        <f>'[1]2.0WP'!G40</f>
        <v/>
      </c>
      <c r="H40" s="8">
        <f>'[1]2.0WP'!H40</f>
        <v>8</v>
      </c>
      <c r="I40" s="8" t="str">
        <f>'[1]2.0WP'!I40</f>
        <v/>
      </c>
      <c r="J40" s="8">
        <f>'[1]2.0WP'!J40</f>
        <v>6</v>
      </c>
      <c r="K40" s="8" t="str">
        <f>'[1]2.0WP'!K40</f>
        <v/>
      </c>
      <c r="L40" s="8" t="str">
        <f>'[1]2.0WP'!L40</f>
        <v/>
      </c>
      <c r="M40" s="8" t="str">
        <f>'[1]2.0WP'!M40</f>
        <v/>
      </c>
      <c r="N40" s="8" t="str">
        <f>'[1]2.0WP'!N40</f>
        <v/>
      </c>
      <c r="O40" s="8" t="str">
        <f>'[1]2.0WP'!O40</f>
        <v/>
      </c>
      <c r="P40" s="8">
        <f>'[1]2.0WP'!P40</f>
        <v>4</v>
      </c>
      <c r="Q40" s="8">
        <f>'[1]2.0WP'!Q40</f>
        <v>4</v>
      </c>
      <c r="R40" s="8" t="str">
        <f>'[1]2.0WP'!R40</f>
        <v/>
      </c>
      <c r="S40" s="8">
        <f>'[1]2.0WP'!S40</f>
        <v>0</v>
      </c>
      <c r="T40" s="9">
        <f t="shared" si="24"/>
        <v>30</v>
      </c>
      <c r="U40" s="8">
        <f>'[1]2.0WP'!U40</f>
        <v>4</v>
      </c>
      <c r="V40" s="8">
        <f>'[1]2.0WP'!V40</f>
        <v>4</v>
      </c>
      <c r="W40" s="8" t="str">
        <f>'[1]2.0WP'!W40</f>
        <v/>
      </c>
      <c r="X40" s="8" t="str">
        <f>'[1]2.0WP'!X40</f>
        <v/>
      </c>
      <c r="Y40" s="8" t="str">
        <f>'[1]2.0WP'!Y40</f>
        <v/>
      </c>
      <c r="Z40" s="8" t="str">
        <f>'[1]2.0WP'!Z40</f>
        <v/>
      </c>
      <c r="AA40" s="8" t="str">
        <f>'[1]2.0WP'!AA40</f>
        <v/>
      </c>
      <c r="AB40" s="8" t="str">
        <f>'[1]2.0WP'!AB40</f>
        <v/>
      </c>
      <c r="AC40" s="8" t="str">
        <f>'[1]2.0WP'!AC40</f>
        <v/>
      </c>
      <c r="AD40" s="8" t="str">
        <f>'[1]2.0WP'!AD40</f>
        <v/>
      </c>
      <c r="AE40" s="8" t="str">
        <f>'[1]2.0WP'!AE40</f>
        <v/>
      </c>
      <c r="AF40" s="8">
        <f>'[1]2.0WP'!AF40</f>
        <v>4</v>
      </c>
      <c r="AG40" s="8" t="str">
        <f>'[1]2.0WP'!AG40</f>
        <v/>
      </c>
      <c r="AH40" s="8" t="str">
        <f>'[1]2.0WP'!AH40</f>
        <v/>
      </c>
      <c r="AI40" s="8">
        <f>'[1]2.0WP'!AI40</f>
        <v>4</v>
      </c>
      <c r="AJ40" s="8">
        <f>'[1]2.0WP'!AJ40</f>
        <v>6</v>
      </c>
      <c r="AK40" s="17">
        <f t="shared" si="1"/>
        <v>22</v>
      </c>
      <c r="AL40" s="10">
        <f t="shared" si="2"/>
        <v>52</v>
      </c>
    </row>
    <row r="41" spans="1:38" x14ac:dyDescent="0.25">
      <c r="A41" s="12" t="str">
        <f>'[1]2.0WS'!A41</f>
        <v>25</v>
      </c>
      <c r="B41" s="13" t="str">
        <f>'[1]2.0WS'!B41</f>
        <v>THENI</v>
      </c>
      <c r="C41" s="8">
        <f>'[1]2.0WP'!C41</f>
        <v>4</v>
      </c>
      <c r="D41" s="8" t="str">
        <f>'[1]2.0WP'!D41</f>
        <v/>
      </c>
      <c r="E41" s="8" t="str">
        <f>'[1]2.0WP'!E41</f>
        <v/>
      </c>
      <c r="F41" s="8">
        <f>'[1]2.0WP'!F41</f>
        <v>4</v>
      </c>
      <c r="G41" s="8" t="str">
        <f>'[1]2.0WP'!G41</f>
        <v/>
      </c>
      <c r="H41" s="8" t="str">
        <f>'[1]2.0WP'!H41</f>
        <v/>
      </c>
      <c r="I41" s="8" t="str">
        <f>'[1]2.0WP'!I41</f>
        <v/>
      </c>
      <c r="J41" s="8" t="str">
        <f>'[1]2.0WP'!J41</f>
        <v/>
      </c>
      <c r="K41" s="8" t="str">
        <f>'[1]2.0WP'!K41</f>
        <v/>
      </c>
      <c r="L41" s="8" t="str">
        <f>'[1]2.0WP'!L41</f>
        <v/>
      </c>
      <c r="M41" s="8" t="str">
        <f>'[1]2.0WP'!M41</f>
        <v/>
      </c>
      <c r="N41" s="8">
        <f>'[1]2.0WP'!N41</f>
        <v>4</v>
      </c>
      <c r="O41" s="8" t="str">
        <f>'[1]2.0WP'!O41</f>
        <v/>
      </c>
      <c r="P41" s="8">
        <f>'[1]2.0WP'!P41</f>
        <v>6</v>
      </c>
      <c r="Q41" s="8" t="str">
        <f>'[1]2.0WP'!Q41</f>
        <v/>
      </c>
      <c r="R41" s="8">
        <f>'[1]2.0WP'!R41</f>
        <v>4</v>
      </c>
      <c r="S41" s="8">
        <f>'[1]2.0WP'!S41</f>
        <v>0</v>
      </c>
      <c r="T41" s="9">
        <f t="shared" si="24"/>
        <v>22</v>
      </c>
      <c r="U41" s="8" t="str">
        <f>'[1]2.0WP'!U41</f>
        <v/>
      </c>
      <c r="V41" s="8">
        <f>'[1]2.0WP'!V41</f>
        <v>4</v>
      </c>
      <c r="W41" s="8">
        <f>'[1]2.0WP'!W41</f>
        <v>4</v>
      </c>
      <c r="X41" s="8" t="str">
        <f>'[1]2.0WP'!X41</f>
        <v/>
      </c>
      <c r="Y41" s="8" t="str">
        <f>'[1]2.0WP'!Y41</f>
        <v/>
      </c>
      <c r="Z41" s="8" t="str">
        <f>'[1]2.0WP'!Z41</f>
        <v/>
      </c>
      <c r="AA41" s="8" t="str">
        <f>'[1]2.0WP'!AA41</f>
        <v/>
      </c>
      <c r="AB41" s="8">
        <f>'[1]2.0WP'!AB41</f>
        <v>6</v>
      </c>
      <c r="AC41" s="8" t="str">
        <f>'[1]2.0WP'!AC41</f>
        <v/>
      </c>
      <c r="AD41" s="8" t="str">
        <f>'[1]2.0WP'!AD41</f>
        <v/>
      </c>
      <c r="AE41" s="8" t="str">
        <f>'[1]2.0WP'!AE41</f>
        <v/>
      </c>
      <c r="AF41" s="8">
        <f>'[1]2.0WP'!AF41</f>
        <v>8</v>
      </c>
      <c r="AG41" s="8" t="str">
        <f>'[1]2.0WP'!AG41</f>
        <v/>
      </c>
      <c r="AH41" s="8" t="str">
        <f>'[1]2.0WP'!AH41</f>
        <v/>
      </c>
      <c r="AI41" s="8" t="str">
        <f>'[1]2.0WP'!AI41</f>
        <v/>
      </c>
      <c r="AJ41" s="8">
        <f>'[1]2.0WP'!AJ41</f>
        <v>4</v>
      </c>
      <c r="AK41" s="17">
        <f t="shared" si="1"/>
        <v>26</v>
      </c>
      <c r="AL41" s="10">
        <f t="shared" si="2"/>
        <v>48</v>
      </c>
    </row>
    <row r="42" spans="1:38" s="3" customFormat="1" ht="14.4" customHeight="1" x14ac:dyDescent="0.25">
      <c r="A42" s="19" t="str">
        <f>'[1]2.0WS'!A42</f>
        <v>SRO MADURAI TOTAL</v>
      </c>
      <c r="B42" s="19"/>
      <c r="C42" s="14">
        <f t="shared" ref="C42:S42" si="25">SUM(C38:C41)</f>
        <v>4</v>
      </c>
      <c r="D42" s="14">
        <f t="shared" si="25"/>
        <v>0</v>
      </c>
      <c r="E42" s="14">
        <f t="shared" si="25"/>
        <v>12</v>
      </c>
      <c r="F42" s="14">
        <f t="shared" si="25"/>
        <v>12</v>
      </c>
      <c r="G42" s="14">
        <f t="shared" si="25"/>
        <v>0</v>
      </c>
      <c r="H42" s="14">
        <f t="shared" si="25"/>
        <v>8</v>
      </c>
      <c r="I42" s="14">
        <f t="shared" si="25"/>
        <v>0</v>
      </c>
      <c r="J42" s="14">
        <f t="shared" si="25"/>
        <v>6</v>
      </c>
      <c r="K42" s="14">
        <f t="shared" si="25"/>
        <v>0</v>
      </c>
      <c r="L42" s="14">
        <f t="shared" si="25"/>
        <v>10</v>
      </c>
      <c r="M42" s="14">
        <f t="shared" si="25"/>
        <v>0</v>
      </c>
      <c r="N42" s="14">
        <f t="shared" si="25"/>
        <v>4</v>
      </c>
      <c r="O42" s="14">
        <f t="shared" si="25"/>
        <v>0</v>
      </c>
      <c r="P42" s="14">
        <f t="shared" si="25"/>
        <v>10</v>
      </c>
      <c r="Q42" s="14">
        <f t="shared" si="25"/>
        <v>4</v>
      </c>
      <c r="R42" s="14">
        <f t="shared" si="25"/>
        <v>4</v>
      </c>
      <c r="S42" s="14">
        <f t="shared" si="25"/>
        <v>8</v>
      </c>
      <c r="T42" s="9">
        <f t="shared" si="0"/>
        <v>82</v>
      </c>
      <c r="U42" s="14">
        <f t="shared" ref="U42:AJ42" si="26">SUM(U38:U41)</f>
        <v>8</v>
      </c>
      <c r="V42" s="14">
        <f t="shared" si="26"/>
        <v>22</v>
      </c>
      <c r="W42" s="14">
        <f t="shared" si="26"/>
        <v>4</v>
      </c>
      <c r="X42" s="14">
        <f t="shared" si="26"/>
        <v>4</v>
      </c>
      <c r="Y42" s="14">
        <f t="shared" si="26"/>
        <v>4</v>
      </c>
      <c r="Z42" s="14">
        <f t="shared" si="26"/>
        <v>4</v>
      </c>
      <c r="AA42" s="14">
        <f t="shared" si="26"/>
        <v>0</v>
      </c>
      <c r="AB42" s="14">
        <f t="shared" si="26"/>
        <v>12</v>
      </c>
      <c r="AC42" s="14">
        <f t="shared" si="26"/>
        <v>0</v>
      </c>
      <c r="AD42" s="14">
        <f t="shared" si="26"/>
        <v>0</v>
      </c>
      <c r="AE42" s="14">
        <f t="shared" si="26"/>
        <v>0</v>
      </c>
      <c r="AF42" s="14">
        <f t="shared" si="26"/>
        <v>16</v>
      </c>
      <c r="AG42" s="14">
        <f t="shared" si="26"/>
        <v>0</v>
      </c>
      <c r="AH42" s="14">
        <f t="shared" si="26"/>
        <v>4</v>
      </c>
      <c r="AI42" s="14">
        <f t="shared" si="26"/>
        <v>8</v>
      </c>
      <c r="AJ42" s="14">
        <f t="shared" si="26"/>
        <v>14</v>
      </c>
      <c r="AK42" s="17">
        <f t="shared" si="1"/>
        <v>100</v>
      </c>
      <c r="AL42" s="10">
        <f t="shared" si="2"/>
        <v>182</v>
      </c>
    </row>
    <row r="43" spans="1:38" x14ac:dyDescent="0.25">
      <c r="A43" s="12" t="str">
        <f>'[1]2.0WS'!A43</f>
        <v>19</v>
      </c>
      <c r="B43" s="13" t="str">
        <f>'[1]2.0WS'!B43</f>
        <v>NAGAPATTINAM</v>
      </c>
      <c r="C43" s="8" t="str">
        <f>'[1]2.0WP'!C43</f>
        <v/>
      </c>
      <c r="D43" s="8" t="str">
        <f>'[1]2.0WP'!D43</f>
        <v/>
      </c>
      <c r="E43" s="8">
        <f>'[1]2.0WP'!E43</f>
        <v>4</v>
      </c>
      <c r="F43" s="8" t="str">
        <f>'[1]2.0WP'!F43</f>
        <v/>
      </c>
      <c r="G43" s="8" t="str">
        <f>'[1]2.0WP'!G43</f>
        <v/>
      </c>
      <c r="H43" s="8" t="str">
        <f>'[1]2.0WP'!H43</f>
        <v/>
      </c>
      <c r="I43" s="8" t="str">
        <f>'[1]2.0WP'!I43</f>
        <v/>
      </c>
      <c r="J43" s="8" t="str">
        <f>'[1]2.0WP'!J43</f>
        <v/>
      </c>
      <c r="K43" s="8" t="str">
        <f>'[1]2.0WP'!K43</f>
        <v/>
      </c>
      <c r="L43" s="8" t="str">
        <f>'[1]2.0WP'!L43</f>
        <v/>
      </c>
      <c r="M43" s="8" t="str">
        <f>'[1]2.0WP'!M43</f>
        <v/>
      </c>
      <c r="N43" s="8" t="str">
        <f>'[1]2.0WP'!N43</f>
        <v/>
      </c>
      <c r="O43" s="8" t="str">
        <f>'[1]2.0WP'!O43</f>
        <v/>
      </c>
      <c r="P43" s="8" t="str">
        <f>'[1]2.0WP'!P43</f>
        <v/>
      </c>
      <c r="Q43" s="8" t="str">
        <f>'[1]2.0WP'!Q43</f>
        <v/>
      </c>
      <c r="R43" s="8" t="str">
        <f>'[1]2.0WP'!R43</f>
        <v/>
      </c>
      <c r="S43" s="8" t="str">
        <f>'[1]2.0WP'!S43</f>
        <v/>
      </c>
      <c r="T43" s="9">
        <f t="shared" ref="T43:T46" si="27">SUM(C43:S43)</f>
        <v>4</v>
      </c>
      <c r="U43" s="8" t="str">
        <f>'[1]2.0WP'!U43</f>
        <v/>
      </c>
      <c r="V43" s="8" t="str">
        <f>'[1]2.0WP'!V43</f>
        <v/>
      </c>
      <c r="W43" s="8" t="str">
        <f>'[1]2.0WP'!W43</f>
        <v/>
      </c>
      <c r="X43" s="8" t="str">
        <f>'[1]2.0WP'!X43</f>
        <v/>
      </c>
      <c r="Y43" s="8" t="str">
        <f>'[1]2.0WP'!Y43</f>
        <v/>
      </c>
      <c r="Z43" s="8">
        <f>'[1]2.0WP'!Z43</f>
        <v>4</v>
      </c>
      <c r="AA43" s="8" t="str">
        <f>'[1]2.0WP'!AA43</f>
        <v/>
      </c>
      <c r="AB43" s="8">
        <f>'[1]2.0WP'!AB43</f>
        <v>8</v>
      </c>
      <c r="AC43" s="8" t="str">
        <f>'[1]2.0WP'!AC43</f>
        <v/>
      </c>
      <c r="AD43" s="8" t="str">
        <f>'[1]2.0WP'!AD43</f>
        <v/>
      </c>
      <c r="AE43" s="8" t="str">
        <f>'[1]2.0WP'!AE43</f>
        <v/>
      </c>
      <c r="AF43" s="8" t="str">
        <f>'[1]2.0WP'!AF43</f>
        <v/>
      </c>
      <c r="AG43" s="8" t="str">
        <f>'[1]2.0WP'!AG43</f>
        <v/>
      </c>
      <c r="AH43" s="8" t="str">
        <f>'[1]2.0WP'!AH43</f>
        <v/>
      </c>
      <c r="AI43" s="8" t="str">
        <f>'[1]2.0WP'!AI43</f>
        <v/>
      </c>
      <c r="AJ43" s="8" t="str">
        <f>'[1]2.0WP'!AJ43</f>
        <v/>
      </c>
      <c r="AK43" s="17">
        <f t="shared" si="1"/>
        <v>12</v>
      </c>
      <c r="AL43" s="10">
        <f t="shared" si="2"/>
        <v>16</v>
      </c>
    </row>
    <row r="44" spans="1:38" x14ac:dyDescent="0.25">
      <c r="A44" s="12" t="str">
        <f>'[1]2.0WS'!A44</f>
        <v>20</v>
      </c>
      <c r="B44" s="13" t="str">
        <f>'[1]2.0WS'!B44</f>
        <v>THIRUVARUR</v>
      </c>
      <c r="C44" s="8">
        <f>'[1]2.0WP'!C44</f>
        <v>8</v>
      </c>
      <c r="D44" s="8" t="str">
        <f>'[1]2.0WP'!D44</f>
        <v/>
      </c>
      <c r="E44" s="8">
        <f>'[1]2.0WP'!E44</f>
        <v>10</v>
      </c>
      <c r="F44" s="8" t="str">
        <f>'[1]2.0WP'!F44</f>
        <v/>
      </c>
      <c r="G44" s="8" t="str">
        <f>'[1]2.0WP'!G44</f>
        <v/>
      </c>
      <c r="H44" s="8" t="str">
        <f>'[1]2.0WP'!H44</f>
        <v/>
      </c>
      <c r="I44" s="8" t="str">
        <f>'[1]2.0WP'!I44</f>
        <v/>
      </c>
      <c r="J44" s="8" t="str">
        <f>'[1]2.0WP'!J44</f>
        <v/>
      </c>
      <c r="K44" s="8" t="str">
        <f>'[1]2.0WP'!K44</f>
        <v/>
      </c>
      <c r="L44" s="8" t="str">
        <f>'[1]2.0WP'!L44</f>
        <v/>
      </c>
      <c r="M44" s="8" t="str">
        <f>'[1]2.0WP'!M44</f>
        <v/>
      </c>
      <c r="N44" s="8" t="str">
        <f>'[1]2.0WP'!N44</f>
        <v/>
      </c>
      <c r="O44" s="8" t="str">
        <f>'[1]2.0WP'!O44</f>
        <v/>
      </c>
      <c r="P44" s="8" t="str">
        <f>'[1]2.0WP'!P44</f>
        <v/>
      </c>
      <c r="Q44" s="8" t="str">
        <f>'[1]2.0WP'!Q44</f>
        <v/>
      </c>
      <c r="R44" s="8" t="str">
        <f>'[1]2.0WP'!R44</f>
        <v/>
      </c>
      <c r="S44" s="8" t="str">
        <f>'[1]2.0WP'!S44</f>
        <v/>
      </c>
      <c r="T44" s="9">
        <f t="shared" si="27"/>
        <v>18</v>
      </c>
      <c r="U44" s="8">
        <f>'[1]2.0WP'!U44</f>
        <v>4</v>
      </c>
      <c r="V44" s="8" t="str">
        <f>'[1]2.0WP'!V44</f>
        <v/>
      </c>
      <c r="W44" s="8" t="str">
        <f>'[1]2.0WP'!W44</f>
        <v/>
      </c>
      <c r="X44" s="8" t="str">
        <f>'[1]2.0WP'!X44</f>
        <v/>
      </c>
      <c r="Y44" s="8">
        <f>'[1]2.0WP'!Y44</f>
        <v>4</v>
      </c>
      <c r="Z44" s="8">
        <f>'[1]2.0WP'!Z44</f>
        <v>10</v>
      </c>
      <c r="AA44" s="8">
        <f>'[1]2.0WP'!AA44</f>
        <v>14</v>
      </c>
      <c r="AB44" s="8">
        <f>'[1]2.0WP'!AB44</f>
        <v>20</v>
      </c>
      <c r="AC44" s="8" t="str">
        <f>'[1]2.0WP'!AC44</f>
        <v/>
      </c>
      <c r="AD44" s="8">
        <f>'[1]2.0WP'!AD44</f>
        <v>6</v>
      </c>
      <c r="AE44" s="8" t="str">
        <f>'[1]2.0WP'!AE44</f>
        <v/>
      </c>
      <c r="AF44" s="8" t="str">
        <f>'[1]2.0WP'!AF44</f>
        <v/>
      </c>
      <c r="AG44" s="8" t="str">
        <f>'[1]2.0WP'!AG44</f>
        <v/>
      </c>
      <c r="AH44" s="8" t="str">
        <f>'[1]2.0WP'!AH44</f>
        <v/>
      </c>
      <c r="AI44" s="8" t="str">
        <f>'[1]2.0WP'!AI44</f>
        <v/>
      </c>
      <c r="AJ44" s="8">
        <f>'[1]2.0WP'!AJ44</f>
        <v>6</v>
      </c>
      <c r="AK44" s="17">
        <f t="shared" si="1"/>
        <v>64</v>
      </c>
      <c r="AL44" s="10">
        <f t="shared" si="2"/>
        <v>82</v>
      </c>
    </row>
    <row r="45" spans="1:38" x14ac:dyDescent="0.25">
      <c r="A45" s="12" t="str">
        <f>'[1]2.0WS'!A45</f>
        <v>21</v>
      </c>
      <c r="B45" s="13" t="str">
        <f>'[1]2.0WS'!B45</f>
        <v>THANJAVUR</v>
      </c>
      <c r="C45" s="8">
        <f>'[1]2.0WP'!C45</f>
        <v>8</v>
      </c>
      <c r="D45" s="8" t="str">
        <f>'[1]2.0WP'!D45</f>
        <v/>
      </c>
      <c r="E45" s="8">
        <f>'[1]2.0WP'!E45</f>
        <v>10</v>
      </c>
      <c r="F45" s="8" t="str">
        <f>'[1]2.0WP'!F45</f>
        <v/>
      </c>
      <c r="G45" s="8" t="str">
        <f>'[1]2.0WP'!G45</f>
        <v/>
      </c>
      <c r="H45" s="8" t="str">
        <f>'[1]2.0WP'!H45</f>
        <v/>
      </c>
      <c r="I45" s="8" t="str">
        <f>'[1]2.0WP'!I45</f>
        <v/>
      </c>
      <c r="J45" s="8" t="str">
        <f>'[1]2.0WP'!J45</f>
        <v/>
      </c>
      <c r="K45" s="8" t="str">
        <f>'[1]2.0WP'!K45</f>
        <v/>
      </c>
      <c r="L45" s="8" t="str">
        <f>'[1]2.0WP'!L45</f>
        <v/>
      </c>
      <c r="M45" s="8" t="str">
        <f>'[1]2.0WP'!M45</f>
        <v/>
      </c>
      <c r="N45" s="8" t="str">
        <f>'[1]2.0WP'!N45</f>
        <v/>
      </c>
      <c r="O45" s="8">
        <f>'[1]2.0WP'!O45</f>
        <v>8</v>
      </c>
      <c r="P45" s="8" t="str">
        <f>'[1]2.0WP'!P45</f>
        <v/>
      </c>
      <c r="Q45" s="8" t="str">
        <f>'[1]2.0WP'!Q45</f>
        <v/>
      </c>
      <c r="R45" s="8" t="str">
        <f>'[1]2.0WP'!R45</f>
        <v/>
      </c>
      <c r="S45" s="8">
        <f>'[1]2.0WP'!S45</f>
        <v>4</v>
      </c>
      <c r="T45" s="9">
        <f t="shared" si="27"/>
        <v>30</v>
      </c>
      <c r="U45" s="8">
        <f>'[1]2.0WP'!U45</f>
        <v>4</v>
      </c>
      <c r="V45" s="8" t="str">
        <f>'[1]2.0WP'!V45</f>
        <v/>
      </c>
      <c r="W45" s="8" t="str">
        <f>'[1]2.0WP'!W45</f>
        <v/>
      </c>
      <c r="X45" s="8" t="str">
        <f>'[1]2.0WP'!X45</f>
        <v/>
      </c>
      <c r="Y45" s="8">
        <f>'[1]2.0WP'!Y45</f>
        <v>4</v>
      </c>
      <c r="Z45" s="8">
        <f>'[1]2.0WP'!Z45</f>
        <v>4</v>
      </c>
      <c r="AA45" s="8" t="str">
        <f>'[1]2.0WP'!AA45</f>
        <v/>
      </c>
      <c r="AB45" s="8">
        <f>'[1]2.0WP'!AB45</f>
        <v>6</v>
      </c>
      <c r="AC45" s="8" t="str">
        <f>'[1]2.0WP'!AC45</f>
        <v/>
      </c>
      <c r="AD45" s="8">
        <f>'[1]2.0WP'!AD45</f>
        <v>10</v>
      </c>
      <c r="AE45" s="8">
        <f>'[1]2.0WP'!AE45</f>
        <v>6</v>
      </c>
      <c r="AF45" s="8" t="str">
        <f>'[1]2.0WP'!AF45</f>
        <v/>
      </c>
      <c r="AG45" s="8" t="str">
        <f>'[1]2.0WP'!AG45</f>
        <v/>
      </c>
      <c r="AH45" s="8" t="str">
        <f>'[1]2.0WP'!AH45</f>
        <v/>
      </c>
      <c r="AI45" s="8" t="str">
        <f>'[1]2.0WP'!AI45</f>
        <v/>
      </c>
      <c r="AJ45" s="8" t="str">
        <f>'[1]2.0WP'!AJ45</f>
        <v/>
      </c>
      <c r="AK45" s="17">
        <f t="shared" si="1"/>
        <v>34</v>
      </c>
      <c r="AL45" s="10">
        <f t="shared" si="2"/>
        <v>64</v>
      </c>
    </row>
    <row r="46" spans="1:38" x14ac:dyDescent="0.25">
      <c r="A46" s="12" t="str">
        <f>'[1]2.0WS'!A46</f>
        <v>22</v>
      </c>
      <c r="B46" s="13" t="str">
        <f>'[1]2.0WS'!B46</f>
        <v>PUDUKKOTTAI</v>
      </c>
      <c r="C46" s="8" t="str">
        <f>'[1]2.0WP'!C46</f>
        <v/>
      </c>
      <c r="D46" s="8" t="str">
        <f>'[1]2.0WP'!D46</f>
        <v/>
      </c>
      <c r="E46" s="8" t="str">
        <f>'[1]2.0WP'!E46</f>
        <v/>
      </c>
      <c r="F46" s="8" t="str">
        <f>'[1]2.0WP'!F46</f>
        <v/>
      </c>
      <c r="G46" s="8" t="str">
        <f>'[1]2.0WP'!G46</f>
        <v/>
      </c>
      <c r="H46" s="8" t="str">
        <f>'[1]2.0WP'!H46</f>
        <v/>
      </c>
      <c r="I46" s="8" t="str">
        <f>'[1]2.0WP'!I46</f>
        <v/>
      </c>
      <c r="J46" s="8" t="str">
        <f>'[1]2.0WP'!J46</f>
        <v/>
      </c>
      <c r="K46" s="8" t="str">
        <f>'[1]2.0WP'!K46</f>
        <v/>
      </c>
      <c r="L46" s="8" t="str">
        <f>'[1]2.0WP'!L46</f>
        <v/>
      </c>
      <c r="M46" s="8" t="str">
        <f>'[1]2.0WP'!M46</f>
        <v/>
      </c>
      <c r="N46" s="8" t="str">
        <f>'[1]2.0WP'!N46</f>
        <v/>
      </c>
      <c r="O46" s="8" t="str">
        <f>'[1]2.0WP'!O46</f>
        <v/>
      </c>
      <c r="P46" s="8" t="str">
        <f>'[1]2.0WP'!P46</f>
        <v/>
      </c>
      <c r="Q46" s="8" t="str">
        <f>'[1]2.0WP'!Q46</f>
        <v/>
      </c>
      <c r="R46" s="8" t="str">
        <f>'[1]2.0WP'!R46</f>
        <v/>
      </c>
      <c r="S46" s="8" t="str">
        <f>'[1]2.0WP'!S46</f>
        <v/>
      </c>
      <c r="T46" s="9">
        <f t="shared" si="27"/>
        <v>0</v>
      </c>
      <c r="U46" s="8" t="str">
        <f>'[1]2.0WP'!U46</f>
        <v/>
      </c>
      <c r="V46" s="8" t="str">
        <f>'[1]2.0WP'!V46</f>
        <v/>
      </c>
      <c r="W46" s="8" t="str">
        <f>'[1]2.0WP'!W46</f>
        <v/>
      </c>
      <c r="X46" s="8" t="str">
        <f>'[1]2.0WP'!X46</f>
        <v/>
      </c>
      <c r="Y46" s="8" t="str">
        <f>'[1]2.0WP'!Y46</f>
        <v/>
      </c>
      <c r="Z46" s="8" t="str">
        <f>'[1]2.0WP'!Z46</f>
        <v/>
      </c>
      <c r="AA46" s="8" t="str">
        <f>'[1]2.0WP'!AA46</f>
        <v/>
      </c>
      <c r="AB46" s="8" t="str">
        <f>'[1]2.0WP'!AB46</f>
        <v/>
      </c>
      <c r="AC46" s="8" t="str">
        <f>'[1]2.0WP'!AC46</f>
        <v/>
      </c>
      <c r="AD46" s="8" t="str">
        <f>'[1]2.0WP'!AD46</f>
        <v/>
      </c>
      <c r="AE46" s="8" t="str">
        <f>'[1]2.0WP'!AE46</f>
        <v/>
      </c>
      <c r="AF46" s="8" t="str">
        <f>'[1]2.0WP'!AF46</f>
        <v/>
      </c>
      <c r="AG46" s="8" t="str">
        <f>'[1]2.0WP'!AG46</f>
        <v/>
      </c>
      <c r="AH46" s="8" t="str">
        <f>'[1]2.0WP'!AH46</f>
        <v/>
      </c>
      <c r="AI46" s="8" t="str">
        <f>'[1]2.0WP'!AI46</f>
        <v/>
      </c>
      <c r="AJ46" s="8" t="str">
        <f>'[1]2.0WP'!AJ46</f>
        <v/>
      </c>
      <c r="AK46" s="17">
        <f t="shared" si="1"/>
        <v>0</v>
      </c>
      <c r="AL46" s="10">
        <f t="shared" si="2"/>
        <v>0</v>
      </c>
    </row>
    <row r="47" spans="1:38" s="3" customFormat="1" ht="14.4" customHeight="1" x14ac:dyDescent="0.25">
      <c r="A47" s="19" t="str">
        <f>'[1]2.0WS'!A47</f>
        <v>SRO THANJAVUR TOTAL</v>
      </c>
      <c r="B47" s="19"/>
      <c r="C47" s="14">
        <f t="shared" ref="C47:S47" si="28">SUM(C43:C46)</f>
        <v>16</v>
      </c>
      <c r="D47" s="14">
        <f t="shared" si="28"/>
        <v>0</v>
      </c>
      <c r="E47" s="14">
        <f t="shared" si="28"/>
        <v>24</v>
      </c>
      <c r="F47" s="14">
        <f t="shared" si="28"/>
        <v>0</v>
      </c>
      <c r="G47" s="14">
        <f t="shared" si="28"/>
        <v>0</v>
      </c>
      <c r="H47" s="14">
        <f t="shared" si="28"/>
        <v>0</v>
      </c>
      <c r="I47" s="14">
        <f t="shared" si="28"/>
        <v>0</v>
      </c>
      <c r="J47" s="14">
        <f t="shared" si="28"/>
        <v>0</v>
      </c>
      <c r="K47" s="14">
        <f t="shared" si="28"/>
        <v>0</v>
      </c>
      <c r="L47" s="14">
        <f t="shared" si="28"/>
        <v>0</v>
      </c>
      <c r="M47" s="14">
        <f t="shared" si="28"/>
        <v>0</v>
      </c>
      <c r="N47" s="14">
        <f t="shared" si="28"/>
        <v>0</v>
      </c>
      <c r="O47" s="14">
        <f t="shared" si="28"/>
        <v>8</v>
      </c>
      <c r="P47" s="14">
        <f t="shared" si="28"/>
        <v>0</v>
      </c>
      <c r="Q47" s="14">
        <f t="shared" si="28"/>
        <v>0</v>
      </c>
      <c r="R47" s="14">
        <f t="shared" si="28"/>
        <v>0</v>
      </c>
      <c r="S47" s="14">
        <f t="shared" si="28"/>
        <v>4</v>
      </c>
      <c r="T47" s="9">
        <f t="shared" si="0"/>
        <v>52</v>
      </c>
      <c r="U47" s="14">
        <f t="shared" ref="U47:AJ47" si="29">SUM(U43:U46)</f>
        <v>8</v>
      </c>
      <c r="V47" s="14">
        <f t="shared" si="29"/>
        <v>0</v>
      </c>
      <c r="W47" s="14">
        <f t="shared" si="29"/>
        <v>0</v>
      </c>
      <c r="X47" s="14">
        <f t="shared" si="29"/>
        <v>0</v>
      </c>
      <c r="Y47" s="14">
        <f t="shared" si="29"/>
        <v>8</v>
      </c>
      <c r="Z47" s="14">
        <f t="shared" si="29"/>
        <v>18</v>
      </c>
      <c r="AA47" s="14">
        <f t="shared" si="29"/>
        <v>14</v>
      </c>
      <c r="AB47" s="14">
        <f t="shared" si="29"/>
        <v>34</v>
      </c>
      <c r="AC47" s="14">
        <f t="shared" si="29"/>
        <v>0</v>
      </c>
      <c r="AD47" s="14">
        <f t="shared" si="29"/>
        <v>16</v>
      </c>
      <c r="AE47" s="14">
        <f t="shared" si="29"/>
        <v>6</v>
      </c>
      <c r="AF47" s="14">
        <f t="shared" si="29"/>
        <v>0</v>
      </c>
      <c r="AG47" s="14">
        <f t="shared" si="29"/>
        <v>0</v>
      </c>
      <c r="AH47" s="14">
        <f t="shared" si="29"/>
        <v>0</v>
      </c>
      <c r="AI47" s="14">
        <f t="shared" si="29"/>
        <v>0</v>
      </c>
      <c r="AJ47" s="14">
        <f t="shared" si="29"/>
        <v>6</v>
      </c>
      <c r="AK47" s="17">
        <f t="shared" si="1"/>
        <v>110</v>
      </c>
      <c r="AL47" s="10">
        <f t="shared" si="2"/>
        <v>162</v>
      </c>
    </row>
    <row r="48" spans="1:38" x14ac:dyDescent="0.25">
      <c r="A48" s="12" t="str">
        <f>'[1]2.0WS'!A48</f>
        <v>28</v>
      </c>
      <c r="B48" s="13" t="str">
        <f>'[1]2.0WS'!B48</f>
        <v>THOOTHUKUDI</v>
      </c>
      <c r="C48" s="8" t="str">
        <f>'[1]2.0WP'!C48</f>
        <v/>
      </c>
      <c r="D48" s="8" t="str">
        <f>'[1]2.0WP'!D48</f>
        <v/>
      </c>
      <c r="E48" s="8" t="str">
        <f>'[1]2.0WP'!E48</f>
        <v/>
      </c>
      <c r="F48" s="8" t="str">
        <f>'[1]2.0WP'!F48</f>
        <v/>
      </c>
      <c r="G48" s="8" t="str">
        <f>'[1]2.0WP'!G48</f>
        <v/>
      </c>
      <c r="H48" s="8" t="str">
        <f>'[1]2.0WP'!H48</f>
        <v/>
      </c>
      <c r="I48" s="8" t="str">
        <f>'[1]2.0WP'!I48</f>
        <v/>
      </c>
      <c r="J48" s="8" t="str">
        <f>'[1]2.0WP'!J48</f>
        <v/>
      </c>
      <c r="K48" s="8" t="str">
        <f>'[1]2.0WP'!K48</f>
        <v/>
      </c>
      <c r="L48" s="8" t="str">
        <f>'[1]2.0WP'!L48</f>
        <v/>
      </c>
      <c r="M48" s="8" t="str">
        <f>'[1]2.0WP'!M48</f>
        <v/>
      </c>
      <c r="N48" s="8" t="str">
        <f>'[1]2.0WP'!N48</f>
        <v/>
      </c>
      <c r="O48" s="8" t="str">
        <f>'[1]2.0WP'!O48</f>
        <v/>
      </c>
      <c r="P48" s="8" t="str">
        <f>'[1]2.0WP'!P48</f>
        <v/>
      </c>
      <c r="Q48" s="8" t="str">
        <f>'[1]2.0WP'!Q48</f>
        <v/>
      </c>
      <c r="R48" s="8" t="str">
        <f>'[1]2.0WP'!R48</f>
        <v/>
      </c>
      <c r="S48" s="8" t="str">
        <f>'[1]2.0WP'!S48</f>
        <v/>
      </c>
      <c r="T48" s="9">
        <f t="shared" ref="T48:T51" si="30">SUM(C48:S48)</f>
        <v>0</v>
      </c>
      <c r="U48" s="8">
        <f>'[1]2.0WP'!U48</f>
        <v>4</v>
      </c>
      <c r="V48" s="8">
        <f>'[1]2.0WP'!V48</f>
        <v>6</v>
      </c>
      <c r="W48" s="8" t="str">
        <f>'[1]2.0WP'!W48</f>
        <v/>
      </c>
      <c r="X48" s="8" t="str">
        <f>'[1]2.0WP'!X48</f>
        <v/>
      </c>
      <c r="Y48" s="8" t="str">
        <f>'[1]2.0WP'!Y48</f>
        <v/>
      </c>
      <c r="Z48" s="8">
        <f>'[1]2.0WP'!Z48</f>
        <v>8</v>
      </c>
      <c r="AA48" s="8" t="str">
        <f>'[1]2.0WP'!AA48</f>
        <v/>
      </c>
      <c r="AB48" s="8">
        <f>'[1]2.0WP'!AB48</f>
        <v>16</v>
      </c>
      <c r="AC48" s="8" t="str">
        <f>'[1]2.0WP'!AC48</f>
        <v/>
      </c>
      <c r="AD48" s="8" t="str">
        <f>'[1]2.0WP'!AD48</f>
        <v/>
      </c>
      <c r="AE48" s="8" t="str">
        <f>'[1]2.0WP'!AE48</f>
        <v/>
      </c>
      <c r="AF48" s="8">
        <f>'[1]2.0WP'!AF48</f>
        <v>16</v>
      </c>
      <c r="AG48" s="8" t="str">
        <f>'[1]2.0WP'!AG48</f>
        <v/>
      </c>
      <c r="AH48" s="8" t="str">
        <f>'[1]2.0WP'!AH48</f>
        <v/>
      </c>
      <c r="AI48" s="8">
        <f>'[1]2.0WP'!AI48</f>
        <v>6</v>
      </c>
      <c r="AJ48" s="8" t="str">
        <f>'[1]2.0WP'!AJ48</f>
        <v/>
      </c>
      <c r="AK48" s="17">
        <f t="shared" si="1"/>
        <v>56</v>
      </c>
      <c r="AL48" s="10">
        <f t="shared" si="2"/>
        <v>56</v>
      </c>
    </row>
    <row r="49" spans="1:38" x14ac:dyDescent="0.25">
      <c r="A49" s="12" t="str">
        <f>'[1]2.0WS'!A49</f>
        <v>29</v>
      </c>
      <c r="B49" s="13" t="str">
        <f>'[1]2.0WS'!B49</f>
        <v>TIRUNELVELI</v>
      </c>
      <c r="C49" s="8" t="str">
        <f>'[1]2.0WP'!C49</f>
        <v/>
      </c>
      <c r="D49" s="8" t="str">
        <f>'[1]2.0WP'!D49</f>
        <v/>
      </c>
      <c r="E49" s="8">
        <f>'[1]2.0WP'!E49</f>
        <v>4</v>
      </c>
      <c r="F49" s="8" t="str">
        <f>'[1]2.0WP'!F49</f>
        <v/>
      </c>
      <c r="G49" s="8" t="str">
        <f>'[1]2.0WP'!G49</f>
        <v/>
      </c>
      <c r="H49" s="8" t="str">
        <f>'[1]2.0WP'!H49</f>
        <v/>
      </c>
      <c r="I49" s="8" t="str">
        <f>'[1]2.0WP'!I49</f>
        <v/>
      </c>
      <c r="J49" s="8" t="str">
        <f>'[1]2.0WP'!J49</f>
        <v/>
      </c>
      <c r="K49" s="8" t="str">
        <f>'[1]2.0WP'!K49</f>
        <v/>
      </c>
      <c r="L49" s="8" t="str">
        <f>'[1]2.0WP'!L49</f>
        <v/>
      </c>
      <c r="M49" s="8" t="str">
        <f>'[1]2.0WP'!M49</f>
        <v/>
      </c>
      <c r="N49" s="8" t="str">
        <f>'[1]2.0WP'!N49</f>
        <v/>
      </c>
      <c r="O49" s="8" t="str">
        <f>'[1]2.0WP'!O49</f>
        <v/>
      </c>
      <c r="P49" s="8" t="str">
        <f>'[1]2.0WP'!P49</f>
        <v/>
      </c>
      <c r="Q49" s="8" t="str">
        <f>'[1]2.0WP'!Q49</f>
        <v/>
      </c>
      <c r="R49" s="8" t="str">
        <f>'[1]2.0WP'!R49</f>
        <v/>
      </c>
      <c r="S49" s="8" t="str">
        <f>'[1]2.0WP'!S49</f>
        <v/>
      </c>
      <c r="T49" s="9">
        <f t="shared" si="30"/>
        <v>4</v>
      </c>
      <c r="U49" s="8">
        <f>'[1]2.0WP'!U49</f>
        <v>4</v>
      </c>
      <c r="V49" s="8" t="str">
        <f>'[1]2.0WP'!V49</f>
        <v/>
      </c>
      <c r="W49" s="8" t="str">
        <f>'[1]2.0WP'!W49</f>
        <v/>
      </c>
      <c r="X49" s="8" t="str">
        <f>'[1]2.0WP'!X49</f>
        <v/>
      </c>
      <c r="Y49" s="8" t="str">
        <f>'[1]2.0WP'!Y49</f>
        <v/>
      </c>
      <c r="Z49" s="8" t="str">
        <f>'[1]2.0WP'!Z49</f>
        <v/>
      </c>
      <c r="AA49" s="8" t="str">
        <f>'[1]2.0WP'!AA49</f>
        <v/>
      </c>
      <c r="AB49" s="8" t="str">
        <f>'[1]2.0WP'!AB49</f>
        <v/>
      </c>
      <c r="AC49" s="8" t="str">
        <f>'[1]2.0WP'!AC49</f>
        <v/>
      </c>
      <c r="AD49" s="8" t="str">
        <f>'[1]2.0WP'!AD49</f>
        <v/>
      </c>
      <c r="AE49" s="8" t="str">
        <f>'[1]2.0WP'!AE49</f>
        <v/>
      </c>
      <c r="AF49" s="8" t="str">
        <f>'[1]2.0WP'!AF49</f>
        <v/>
      </c>
      <c r="AG49" s="8" t="str">
        <f>'[1]2.0WP'!AG49</f>
        <v/>
      </c>
      <c r="AH49" s="8" t="str">
        <f>'[1]2.0WP'!AH49</f>
        <v/>
      </c>
      <c r="AI49" s="8" t="str">
        <f>'[1]2.0WP'!AI49</f>
        <v/>
      </c>
      <c r="AJ49" s="8" t="str">
        <f>'[1]2.0WP'!AJ49</f>
        <v/>
      </c>
      <c r="AK49" s="17">
        <f t="shared" si="1"/>
        <v>4</v>
      </c>
      <c r="AL49" s="10">
        <f t="shared" si="2"/>
        <v>8</v>
      </c>
    </row>
    <row r="50" spans="1:38" x14ac:dyDescent="0.25">
      <c r="A50" s="12" t="str">
        <f>'[1]2.0WS'!A50</f>
        <v>30</v>
      </c>
      <c r="B50" s="13" t="str">
        <f>'[1]2.0WS'!B50</f>
        <v>KANNIYAKUMARI</v>
      </c>
      <c r="C50" s="8" t="str">
        <f>'[1]2.0WP'!C50</f>
        <v/>
      </c>
      <c r="D50" s="8" t="str">
        <f>'[1]2.0WP'!D50</f>
        <v/>
      </c>
      <c r="E50" s="8" t="str">
        <f>'[1]2.0WP'!E50</f>
        <v/>
      </c>
      <c r="F50" s="8" t="str">
        <f>'[1]2.0WP'!F50</f>
        <v/>
      </c>
      <c r="G50" s="8" t="str">
        <f>'[1]2.0WP'!G50</f>
        <v/>
      </c>
      <c r="H50" s="8" t="str">
        <f>'[1]2.0WP'!H50</f>
        <v/>
      </c>
      <c r="I50" s="8" t="str">
        <f>'[1]2.0WP'!I50</f>
        <v/>
      </c>
      <c r="J50" s="8" t="str">
        <f>'[1]2.0WP'!J50</f>
        <v/>
      </c>
      <c r="K50" s="8" t="str">
        <f>'[1]2.0WP'!K50</f>
        <v/>
      </c>
      <c r="L50" s="8" t="str">
        <f>'[1]2.0WP'!L50</f>
        <v/>
      </c>
      <c r="M50" s="8" t="str">
        <f>'[1]2.0WP'!M50</f>
        <v/>
      </c>
      <c r="N50" s="8" t="str">
        <f>'[1]2.0WP'!N50</f>
        <v/>
      </c>
      <c r="O50" s="8" t="str">
        <f>'[1]2.0WP'!O50</f>
        <v/>
      </c>
      <c r="P50" s="8" t="str">
        <f>'[1]2.0WP'!P50</f>
        <v/>
      </c>
      <c r="Q50" s="8" t="str">
        <f>'[1]2.0WP'!Q50</f>
        <v/>
      </c>
      <c r="R50" s="8" t="str">
        <f>'[1]2.0WP'!R50</f>
        <v/>
      </c>
      <c r="S50" s="8" t="str">
        <f>'[1]2.0WP'!S50</f>
        <v/>
      </c>
      <c r="T50" s="9">
        <f t="shared" si="30"/>
        <v>0</v>
      </c>
      <c r="U50" s="8" t="str">
        <f>'[1]2.0WP'!U50</f>
        <v/>
      </c>
      <c r="V50" s="8" t="str">
        <f>'[1]2.0WP'!V50</f>
        <v/>
      </c>
      <c r="W50" s="8" t="str">
        <f>'[1]2.0WP'!W50</f>
        <v/>
      </c>
      <c r="X50" s="8" t="str">
        <f>'[1]2.0WP'!X50</f>
        <v/>
      </c>
      <c r="Y50" s="8" t="str">
        <f>'[1]2.0WP'!Y50</f>
        <v/>
      </c>
      <c r="Z50" s="8" t="str">
        <f>'[1]2.0WP'!Z50</f>
        <v/>
      </c>
      <c r="AA50" s="8" t="str">
        <f>'[1]2.0WP'!AA50</f>
        <v/>
      </c>
      <c r="AB50" s="8" t="str">
        <f>'[1]2.0WP'!AB50</f>
        <v/>
      </c>
      <c r="AC50" s="8" t="str">
        <f>'[1]2.0WP'!AC50</f>
        <v/>
      </c>
      <c r="AD50" s="8" t="str">
        <f>'[1]2.0WP'!AD50</f>
        <v/>
      </c>
      <c r="AE50" s="8" t="str">
        <f>'[1]2.0WP'!AE50</f>
        <v/>
      </c>
      <c r="AF50" s="8" t="str">
        <f>'[1]2.0WP'!AF50</f>
        <v/>
      </c>
      <c r="AG50" s="8" t="str">
        <f>'[1]2.0WP'!AG50</f>
        <v/>
      </c>
      <c r="AH50" s="8" t="str">
        <f>'[1]2.0WP'!AH50</f>
        <v/>
      </c>
      <c r="AI50" s="8" t="str">
        <f>'[1]2.0WP'!AI50</f>
        <v/>
      </c>
      <c r="AJ50" s="8" t="str">
        <f>'[1]2.0WP'!AJ50</f>
        <v/>
      </c>
      <c r="AK50" s="17">
        <f t="shared" si="1"/>
        <v>0</v>
      </c>
      <c r="AL50" s="10">
        <f t="shared" si="2"/>
        <v>0</v>
      </c>
    </row>
    <row r="51" spans="1:38" x14ac:dyDescent="0.25">
      <c r="A51" s="12" t="str">
        <f>'[1]2.0WS'!A51</f>
        <v>37</v>
      </c>
      <c r="B51" s="13" t="str">
        <f>'[1]2.0WS'!B51</f>
        <v>TENKASI</v>
      </c>
      <c r="C51" s="8">
        <f>'[1]2.0WP'!C51</f>
        <v>4</v>
      </c>
      <c r="D51" s="8" t="str">
        <f>'[1]2.0WP'!D51</f>
        <v/>
      </c>
      <c r="E51" s="8">
        <f>'[1]2.0WP'!E51</f>
        <v>4</v>
      </c>
      <c r="F51" s="8" t="str">
        <f>'[1]2.0WP'!F51</f>
        <v/>
      </c>
      <c r="G51" s="8" t="str">
        <f>'[1]2.0WP'!G51</f>
        <v/>
      </c>
      <c r="H51" s="8" t="str">
        <f>'[1]2.0WP'!H51</f>
        <v/>
      </c>
      <c r="I51" s="8" t="str">
        <f>'[1]2.0WP'!I51</f>
        <v/>
      </c>
      <c r="J51" s="8" t="str">
        <f>'[1]2.0WP'!J51</f>
        <v/>
      </c>
      <c r="K51" s="8" t="str">
        <f>'[1]2.0WP'!K51</f>
        <v/>
      </c>
      <c r="L51" s="8" t="str">
        <f>'[1]2.0WP'!L51</f>
        <v/>
      </c>
      <c r="M51" s="8" t="str">
        <f>'[1]2.0WP'!M51</f>
        <v/>
      </c>
      <c r="N51" s="8">
        <f>'[1]2.0WP'!N51</f>
        <v>6</v>
      </c>
      <c r="O51" s="8" t="str">
        <f>'[1]2.0WP'!O51</f>
        <v/>
      </c>
      <c r="P51" s="8" t="str">
        <f>'[1]2.0WP'!P51</f>
        <v/>
      </c>
      <c r="Q51" s="8" t="str">
        <f>'[1]2.0WP'!Q51</f>
        <v/>
      </c>
      <c r="R51" s="8" t="str">
        <f>'[1]2.0WP'!R51</f>
        <v/>
      </c>
      <c r="S51" s="8">
        <f>'[1]2.0WP'!S51</f>
        <v>4</v>
      </c>
      <c r="T51" s="9">
        <f t="shared" si="30"/>
        <v>18</v>
      </c>
      <c r="U51" s="8" t="str">
        <f>'[1]2.0WP'!U51</f>
        <v/>
      </c>
      <c r="V51" s="8" t="str">
        <f>'[1]2.0WP'!V51</f>
        <v/>
      </c>
      <c r="W51" s="8" t="str">
        <f>'[1]2.0WP'!W51</f>
        <v/>
      </c>
      <c r="X51" s="8" t="str">
        <f>'[1]2.0WP'!X51</f>
        <v/>
      </c>
      <c r="Y51" s="8" t="str">
        <f>'[1]2.0WP'!Y51</f>
        <v/>
      </c>
      <c r="Z51" s="8">
        <f>'[1]2.0WP'!Z51</f>
        <v>4</v>
      </c>
      <c r="AA51" s="8" t="str">
        <f>'[1]2.0WP'!AA51</f>
        <v/>
      </c>
      <c r="AB51" s="8">
        <f>'[1]2.0WP'!AB51</f>
        <v>6</v>
      </c>
      <c r="AC51" s="8" t="str">
        <f>'[1]2.0WP'!AC51</f>
        <v/>
      </c>
      <c r="AD51" s="8" t="str">
        <f>'[1]2.0WP'!AD51</f>
        <v/>
      </c>
      <c r="AE51" s="8" t="str">
        <f>'[1]2.0WP'!AE51</f>
        <v/>
      </c>
      <c r="AF51" s="8" t="str">
        <f>'[1]2.0WP'!AF51</f>
        <v/>
      </c>
      <c r="AG51" s="8" t="str">
        <f>'[1]2.0WP'!AG51</f>
        <v/>
      </c>
      <c r="AH51" s="8" t="str">
        <f>'[1]2.0WP'!AH51</f>
        <v/>
      </c>
      <c r="AI51" s="8">
        <f>'[1]2.0WP'!AI51</f>
        <v>4</v>
      </c>
      <c r="AJ51" s="8" t="str">
        <f>'[1]2.0WP'!AJ51</f>
        <v/>
      </c>
      <c r="AK51" s="17">
        <f t="shared" si="1"/>
        <v>14</v>
      </c>
      <c r="AL51" s="10">
        <f t="shared" si="2"/>
        <v>32</v>
      </c>
    </row>
    <row r="52" spans="1:38" s="3" customFormat="1" ht="14.4" customHeight="1" x14ac:dyDescent="0.25">
      <c r="A52" s="19" t="str">
        <f>'[1]2.0WS'!A52</f>
        <v>SRO TIRUNELVELI TOTAL</v>
      </c>
      <c r="B52" s="19"/>
      <c r="C52" s="14">
        <f t="shared" ref="C52:S52" si="31">SUM(C48:C51)</f>
        <v>4</v>
      </c>
      <c r="D52" s="14">
        <f t="shared" si="31"/>
        <v>0</v>
      </c>
      <c r="E52" s="14">
        <f t="shared" si="31"/>
        <v>8</v>
      </c>
      <c r="F52" s="14">
        <f t="shared" si="31"/>
        <v>0</v>
      </c>
      <c r="G52" s="14">
        <f t="shared" si="31"/>
        <v>0</v>
      </c>
      <c r="H52" s="14">
        <f t="shared" si="31"/>
        <v>0</v>
      </c>
      <c r="I52" s="14">
        <f t="shared" si="31"/>
        <v>0</v>
      </c>
      <c r="J52" s="14">
        <f t="shared" si="31"/>
        <v>0</v>
      </c>
      <c r="K52" s="14">
        <f t="shared" si="31"/>
        <v>0</v>
      </c>
      <c r="L52" s="14">
        <f t="shared" si="31"/>
        <v>0</v>
      </c>
      <c r="M52" s="14">
        <f t="shared" si="31"/>
        <v>0</v>
      </c>
      <c r="N52" s="14">
        <f t="shared" si="31"/>
        <v>6</v>
      </c>
      <c r="O52" s="14">
        <f t="shared" si="31"/>
        <v>0</v>
      </c>
      <c r="P52" s="14">
        <f t="shared" si="31"/>
        <v>0</v>
      </c>
      <c r="Q52" s="14">
        <f t="shared" si="31"/>
        <v>0</v>
      </c>
      <c r="R52" s="14">
        <f t="shared" si="31"/>
        <v>0</v>
      </c>
      <c r="S52" s="14">
        <f t="shared" si="31"/>
        <v>4</v>
      </c>
      <c r="T52" s="9">
        <f t="shared" si="0"/>
        <v>22</v>
      </c>
      <c r="U52" s="14">
        <f t="shared" ref="U52:AJ52" si="32">SUM(U48:U51)</f>
        <v>8</v>
      </c>
      <c r="V52" s="14">
        <f t="shared" si="32"/>
        <v>6</v>
      </c>
      <c r="W52" s="14">
        <f t="shared" si="32"/>
        <v>0</v>
      </c>
      <c r="X52" s="14">
        <f t="shared" si="32"/>
        <v>0</v>
      </c>
      <c r="Y52" s="14">
        <f t="shared" si="32"/>
        <v>0</v>
      </c>
      <c r="Z52" s="14">
        <f t="shared" si="32"/>
        <v>12</v>
      </c>
      <c r="AA52" s="14">
        <f t="shared" si="32"/>
        <v>0</v>
      </c>
      <c r="AB52" s="14">
        <f t="shared" si="32"/>
        <v>22</v>
      </c>
      <c r="AC52" s="14">
        <f t="shared" si="32"/>
        <v>0</v>
      </c>
      <c r="AD52" s="14">
        <f t="shared" si="32"/>
        <v>0</v>
      </c>
      <c r="AE52" s="14">
        <f t="shared" si="32"/>
        <v>0</v>
      </c>
      <c r="AF52" s="14">
        <f t="shared" si="32"/>
        <v>16</v>
      </c>
      <c r="AG52" s="14">
        <f t="shared" si="32"/>
        <v>0</v>
      </c>
      <c r="AH52" s="14">
        <f t="shared" si="32"/>
        <v>0</v>
      </c>
      <c r="AI52" s="14">
        <f t="shared" si="32"/>
        <v>10</v>
      </c>
      <c r="AJ52" s="14">
        <f t="shared" si="32"/>
        <v>0</v>
      </c>
      <c r="AK52" s="17">
        <f t="shared" si="1"/>
        <v>74</v>
      </c>
      <c r="AL52" s="10">
        <f t="shared" si="2"/>
        <v>96</v>
      </c>
    </row>
    <row r="53" spans="1:38" x14ac:dyDescent="0.25">
      <c r="A53" s="12" t="str">
        <f>'[1]2.0WS'!A53</f>
        <v>26</v>
      </c>
      <c r="B53" s="13" t="str">
        <f>'[1]2.0WS'!B53</f>
        <v>VIRUDHUNAGAR</v>
      </c>
      <c r="C53" s="8" t="str">
        <f>'[1]2.0WP'!C53</f>
        <v/>
      </c>
      <c r="D53" s="8" t="str">
        <f>'[1]2.0WP'!D53</f>
        <v/>
      </c>
      <c r="E53" s="8">
        <f>'[1]2.0WP'!E53</f>
        <v>0</v>
      </c>
      <c r="F53" s="8">
        <f>'[1]2.0WP'!F53</f>
        <v>4</v>
      </c>
      <c r="G53" s="8" t="str">
        <f>'[1]2.0WP'!G53</f>
        <v/>
      </c>
      <c r="H53" s="8" t="str">
        <f>'[1]2.0WP'!H53</f>
        <v/>
      </c>
      <c r="I53" s="8" t="str">
        <f>'[1]2.0WP'!I53</f>
        <v/>
      </c>
      <c r="J53" s="8">
        <f>'[1]2.0WP'!J53</f>
        <v>6</v>
      </c>
      <c r="K53" s="8" t="str">
        <f>'[1]2.0WP'!K53</f>
        <v/>
      </c>
      <c r="L53" s="8" t="str">
        <f>'[1]2.0WP'!L53</f>
        <v/>
      </c>
      <c r="M53" s="8" t="str">
        <f>'[1]2.0WP'!M53</f>
        <v/>
      </c>
      <c r="N53" s="8">
        <f>'[1]2.0WP'!N53</f>
        <v>4</v>
      </c>
      <c r="O53" s="8" t="str">
        <f>'[1]2.0WP'!O53</f>
        <v/>
      </c>
      <c r="P53" s="8" t="str">
        <f>'[1]2.0WP'!P53</f>
        <v/>
      </c>
      <c r="Q53" s="8">
        <f>'[1]2.0WP'!Q53</f>
        <v>6</v>
      </c>
      <c r="R53" s="8" t="str">
        <f>'[1]2.0WP'!R53</f>
        <v/>
      </c>
      <c r="S53" s="8">
        <f>'[1]2.0WP'!S53</f>
        <v>4</v>
      </c>
      <c r="T53" s="9">
        <f t="shared" ref="T53:T54" si="33">SUM(C53:S53)</f>
        <v>24</v>
      </c>
      <c r="U53" s="8">
        <f>'[1]2.0WP'!U53</f>
        <v>4</v>
      </c>
      <c r="V53" s="8">
        <f>'[1]2.0WP'!V53</f>
        <v>6</v>
      </c>
      <c r="W53" s="8" t="str">
        <f>'[1]2.0WP'!W53</f>
        <v/>
      </c>
      <c r="X53" s="8">
        <f>'[1]2.0WP'!X53</f>
        <v>6</v>
      </c>
      <c r="Y53" s="8" t="str">
        <f>'[1]2.0WP'!Y53</f>
        <v/>
      </c>
      <c r="Z53" s="8" t="str">
        <f>'[1]2.0WP'!Z53</f>
        <v/>
      </c>
      <c r="AA53" s="8" t="str">
        <f>'[1]2.0WP'!AA53</f>
        <v/>
      </c>
      <c r="AB53" s="8">
        <f>'[1]2.0WP'!AB53</f>
        <v>4</v>
      </c>
      <c r="AC53" s="8" t="str">
        <f>'[1]2.0WP'!AC53</f>
        <v/>
      </c>
      <c r="AD53" s="8">
        <f>'[1]2.0WP'!AD53</f>
        <v>4</v>
      </c>
      <c r="AE53" s="8" t="str">
        <f>'[1]2.0WP'!AE53</f>
        <v/>
      </c>
      <c r="AF53" s="8">
        <f>'[1]2.0WP'!AF53</f>
        <v>10</v>
      </c>
      <c r="AG53" s="8" t="str">
        <f>'[1]2.0WP'!AG53</f>
        <v/>
      </c>
      <c r="AH53" s="8" t="str">
        <f>'[1]2.0WP'!AH53</f>
        <v/>
      </c>
      <c r="AI53" s="8">
        <f>'[1]2.0WP'!AI53</f>
        <v>10</v>
      </c>
      <c r="AJ53" s="8">
        <f>'[1]2.0WP'!AJ53</f>
        <v>6</v>
      </c>
      <c r="AK53" s="17">
        <f t="shared" si="1"/>
        <v>50</v>
      </c>
      <c r="AL53" s="10">
        <f t="shared" si="2"/>
        <v>74</v>
      </c>
    </row>
    <row r="54" spans="1:38" x14ac:dyDescent="0.25">
      <c r="A54" s="12" t="str">
        <f>'[1]2.0WS'!A54</f>
        <v>27</v>
      </c>
      <c r="B54" s="13" t="str">
        <f>'[1]2.0WS'!B54</f>
        <v>RAMANATHAPURAM</v>
      </c>
      <c r="C54" s="8" t="str">
        <f>'[1]2.0WP'!C54</f>
        <v/>
      </c>
      <c r="D54" s="8">
        <f>'[1]2.0WP'!D54</f>
        <v>6</v>
      </c>
      <c r="E54" s="8" t="str">
        <f>'[1]2.0WP'!E54</f>
        <v/>
      </c>
      <c r="F54" s="8" t="str">
        <f>'[1]2.0WP'!F54</f>
        <v/>
      </c>
      <c r="G54" s="8" t="str">
        <f>'[1]2.0WP'!G54</f>
        <v/>
      </c>
      <c r="H54" s="8" t="str">
        <f>'[1]2.0WP'!H54</f>
        <v/>
      </c>
      <c r="I54" s="8" t="str">
        <f>'[1]2.0WP'!I54</f>
        <v/>
      </c>
      <c r="J54" s="8" t="str">
        <f>'[1]2.0WP'!J54</f>
        <v/>
      </c>
      <c r="K54" s="8" t="str">
        <f>'[1]2.0WP'!K54</f>
        <v/>
      </c>
      <c r="L54" s="8" t="str">
        <f>'[1]2.0WP'!L54</f>
        <v/>
      </c>
      <c r="M54" s="8" t="str">
        <f>'[1]2.0WP'!M54</f>
        <v/>
      </c>
      <c r="N54" s="8" t="str">
        <f>'[1]2.0WP'!N54</f>
        <v/>
      </c>
      <c r="O54" s="8" t="str">
        <f>'[1]2.0WP'!O54</f>
        <v/>
      </c>
      <c r="P54" s="8" t="str">
        <f>'[1]2.0WP'!P54</f>
        <v/>
      </c>
      <c r="Q54" s="8" t="str">
        <f>'[1]2.0WP'!Q54</f>
        <v/>
      </c>
      <c r="R54" s="8" t="str">
        <f>'[1]2.0WP'!R54</f>
        <v/>
      </c>
      <c r="S54" s="8" t="str">
        <f>'[1]2.0WP'!S54</f>
        <v/>
      </c>
      <c r="T54" s="9">
        <f t="shared" si="33"/>
        <v>6</v>
      </c>
      <c r="U54" s="8" t="str">
        <f>'[1]2.0WP'!U54</f>
        <v/>
      </c>
      <c r="V54" s="8">
        <f>'[1]2.0WP'!V54</f>
        <v>4</v>
      </c>
      <c r="W54" s="8" t="str">
        <f>'[1]2.0WP'!W54</f>
        <v/>
      </c>
      <c r="X54" s="8">
        <f>'[1]2.0WP'!X54</f>
        <v>6</v>
      </c>
      <c r="Y54" s="8" t="str">
        <f>'[1]2.0WP'!Y54</f>
        <v/>
      </c>
      <c r="Z54" s="8">
        <f>'[1]2.0WP'!Z54</f>
        <v>4</v>
      </c>
      <c r="AA54" s="8" t="str">
        <f>'[1]2.0WP'!AA54</f>
        <v/>
      </c>
      <c r="AB54" s="8" t="str">
        <f>'[1]2.0WP'!AB54</f>
        <v/>
      </c>
      <c r="AC54" s="8" t="str">
        <f>'[1]2.0WP'!AC54</f>
        <v/>
      </c>
      <c r="AD54" s="8">
        <f>'[1]2.0WP'!AD54</f>
        <v>6</v>
      </c>
      <c r="AE54" s="8" t="str">
        <f>'[1]2.0WP'!AE54</f>
        <v/>
      </c>
      <c r="AF54" s="8">
        <f>'[1]2.0WP'!AF54</f>
        <v>4</v>
      </c>
      <c r="AG54" s="8" t="str">
        <f>'[1]2.0WP'!AG54</f>
        <v/>
      </c>
      <c r="AH54" s="8" t="str">
        <f>'[1]2.0WP'!AH54</f>
        <v/>
      </c>
      <c r="AI54" s="8">
        <f>'[1]2.0WP'!AI54</f>
        <v>4</v>
      </c>
      <c r="AJ54" s="8" t="str">
        <f>'[1]2.0WP'!AJ54</f>
        <v/>
      </c>
      <c r="AK54" s="17">
        <f t="shared" si="1"/>
        <v>28</v>
      </c>
      <c r="AL54" s="10">
        <f t="shared" si="2"/>
        <v>34</v>
      </c>
    </row>
    <row r="55" spans="1:38" s="3" customFormat="1" ht="14.4" customHeight="1" x14ac:dyDescent="0.25">
      <c r="A55" s="19" t="str">
        <f>'[1]2.0WS'!A55</f>
        <v>SRO VIRUDHNAGAR TOTAL</v>
      </c>
      <c r="B55" s="19"/>
      <c r="C55" s="14">
        <f t="shared" ref="C55:S55" si="34">SUM(C53:C54)</f>
        <v>0</v>
      </c>
      <c r="D55" s="14">
        <f t="shared" si="34"/>
        <v>6</v>
      </c>
      <c r="E55" s="14">
        <f t="shared" si="34"/>
        <v>0</v>
      </c>
      <c r="F55" s="14">
        <f t="shared" si="34"/>
        <v>4</v>
      </c>
      <c r="G55" s="14">
        <f t="shared" si="34"/>
        <v>0</v>
      </c>
      <c r="H55" s="14">
        <f t="shared" si="34"/>
        <v>0</v>
      </c>
      <c r="I55" s="14">
        <f t="shared" si="34"/>
        <v>0</v>
      </c>
      <c r="J55" s="14">
        <f t="shared" si="34"/>
        <v>6</v>
      </c>
      <c r="K55" s="14">
        <f t="shared" si="34"/>
        <v>0</v>
      </c>
      <c r="L55" s="14">
        <f t="shared" si="34"/>
        <v>0</v>
      </c>
      <c r="M55" s="14">
        <f t="shared" si="34"/>
        <v>0</v>
      </c>
      <c r="N55" s="14">
        <f t="shared" si="34"/>
        <v>4</v>
      </c>
      <c r="O55" s="14">
        <f t="shared" si="34"/>
        <v>0</v>
      </c>
      <c r="P55" s="14">
        <f t="shared" si="34"/>
        <v>0</v>
      </c>
      <c r="Q55" s="14">
        <f t="shared" si="34"/>
        <v>6</v>
      </c>
      <c r="R55" s="14">
        <f t="shared" si="34"/>
        <v>0</v>
      </c>
      <c r="S55" s="14">
        <f t="shared" si="34"/>
        <v>4</v>
      </c>
      <c r="T55" s="9">
        <f t="shared" si="0"/>
        <v>30</v>
      </c>
      <c r="U55" s="14">
        <f t="shared" ref="U55:AJ55" si="35">SUM(U53:U54)</f>
        <v>4</v>
      </c>
      <c r="V55" s="14">
        <f t="shared" si="35"/>
        <v>10</v>
      </c>
      <c r="W55" s="14">
        <f t="shared" si="35"/>
        <v>0</v>
      </c>
      <c r="X55" s="14">
        <f t="shared" si="35"/>
        <v>12</v>
      </c>
      <c r="Y55" s="14">
        <f t="shared" si="35"/>
        <v>0</v>
      </c>
      <c r="Z55" s="14">
        <f t="shared" si="35"/>
        <v>4</v>
      </c>
      <c r="AA55" s="14">
        <f t="shared" si="35"/>
        <v>0</v>
      </c>
      <c r="AB55" s="14">
        <f t="shared" si="35"/>
        <v>4</v>
      </c>
      <c r="AC55" s="14">
        <f t="shared" si="35"/>
        <v>0</v>
      </c>
      <c r="AD55" s="14">
        <f t="shared" si="35"/>
        <v>10</v>
      </c>
      <c r="AE55" s="14">
        <f t="shared" si="35"/>
        <v>0</v>
      </c>
      <c r="AF55" s="14">
        <f t="shared" si="35"/>
        <v>14</v>
      </c>
      <c r="AG55" s="14">
        <f t="shared" si="35"/>
        <v>0</v>
      </c>
      <c r="AH55" s="14">
        <f t="shared" si="35"/>
        <v>0</v>
      </c>
      <c r="AI55" s="14">
        <f t="shared" si="35"/>
        <v>14</v>
      </c>
      <c r="AJ55" s="14">
        <f t="shared" si="35"/>
        <v>6</v>
      </c>
      <c r="AK55" s="17">
        <f t="shared" si="1"/>
        <v>78</v>
      </c>
      <c r="AL55" s="10">
        <f t="shared" si="2"/>
        <v>108</v>
      </c>
    </row>
    <row r="56" spans="1:38" s="3" customFormat="1" ht="14.4" customHeight="1" x14ac:dyDescent="0.25">
      <c r="A56" s="20" t="str">
        <f>'[1]2.0WS'!A56</f>
        <v>RO MADURAI TOTAL</v>
      </c>
      <c r="B56" s="20"/>
      <c r="C56" s="15">
        <f>SUM(C55,C52,C47,C42)</f>
        <v>24</v>
      </c>
      <c r="D56" s="15">
        <f t="shared" ref="D56:S56" si="36">SUM(D55,D52,D47,D42)</f>
        <v>6</v>
      </c>
      <c r="E56" s="15">
        <f t="shared" si="36"/>
        <v>44</v>
      </c>
      <c r="F56" s="15">
        <f t="shared" si="36"/>
        <v>16</v>
      </c>
      <c r="G56" s="15">
        <f t="shared" si="36"/>
        <v>0</v>
      </c>
      <c r="H56" s="15">
        <f t="shared" si="36"/>
        <v>8</v>
      </c>
      <c r="I56" s="15">
        <f t="shared" si="36"/>
        <v>0</v>
      </c>
      <c r="J56" s="15">
        <f t="shared" si="36"/>
        <v>12</v>
      </c>
      <c r="K56" s="15">
        <f t="shared" si="36"/>
        <v>0</v>
      </c>
      <c r="L56" s="15">
        <f t="shared" si="36"/>
        <v>10</v>
      </c>
      <c r="M56" s="15">
        <f t="shared" si="36"/>
        <v>0</v>
      </c>
      <c r="N56" s="15">
        <f t="shared" si="36"/>
        <v>14</v>
      </c>
      <c r="O56" s="15">
        <f t="shared" si="36"/>
        <v>8</v>
      </c>
      <c r="P56" s="15">
        <f t="shared" si="36"/>
        <v>10</v>
      </c>
      <c r="Q56" s="15">
        <f t="shared" si="36"/>
        <v>10</v>
      </c>
      <c r="R56" s="15">
        <f t="shared" si="36"/>
        <v>4</v>
      </c>
      <c r="S56" s="15">
        <f t="shared" si="36"/>
        <v>20</v>
      </c>
      <c r="T56" s="18">
        <f t="shared" si="0"/>
        <v>186</v>
      </c>
      <c r="U56" s="15">
        <f t="shared" ref="U56:AJ56" si="37">SUM(U55,U52,U47,U42)</f>
        <v>28</v>
      </c>
      <c r="V56" s="15">
        <f t="shared" si="37"/>
        <v>38</v>
      </c>
      <c r="W56" s="15">
        <f t="shared" si="37"/>
        <v>4</v>
      </c>
      <c r="X56" s="15">
        <f t="shared" si="37"/>
        <v>16</v>
      </c>
      <c r="Y56" s="15">
        <f t="shared" si="37"/>
        <v>12</v>
      </c>
      <c r="Z56" s="15">
        <f t="shared" si="37"/>
        <v>38</v>
      </c>
      <c r="AA56" s="15">
        <f t="shared" si="37"/>
        <v>14</v>
      </c>
      <c r="AB56" s="15">
        <f t="shared" si="37"/>
        <v>72</v>
      </c>
      <c r="AC56" s="15">
        <f t="shared" si="37"/>
        <v>0</v>
      </c>
      <c r="AD56" s="15">
        <f t="shared" si="37"/>
        <v>26</v>
      </c>
      <c r="AE56" s="15">
        <f t="shared" si="37"/>
        <v>6</v>
      </c>
      <c r="AF56" s="15">
        <f t="shared" si="37"/>
        <v>46</v>
      </c>
      <c r="AG56" s="15">
        <f t="shared" si="37"/>
        <v>0</v>
      </c>
      <c r="AH56" s="15">
        <f t="shared" si="37"/>
        <v>4</v>
      </c>
      <c r="AI56" s="15">
        <f t="shared" si="37"/>
        <v>32</v>
      </c>
      <c r="AJ56" s="15">
        <f t="shared" si="37"/>
        <v>26</v>
      </c>
      <c r="AK56" s="17">
        <f t="shared" si="1"/>
        <v>362</v>
      </c>
      <c r="AL56" s="10">
        <f t="shared" si="2"/>
        <v>548</v>
      </c>
    </row>
    <row r="57" spans="1:38" s="3" customFormat="1" ht="15" customHeight="1" x14ac:dyDescent="0.25">
      <c r="A57" s="21" t="str">
        <f>'[1]2.0WS'!A57</f>
        <v>STATE TOTAL</v>
      </c>
      <c r="B57" s="21"/>
      <c r="C57" s="16">
        <f>SUM(C56,C37,C23)</f>
        <v>64</v>
      </c>
      <c r="D57" s="16">
        <f t="shared" ref="D57:S57" si="38">SUM(D56,D37,D23)</f>
        <v>6</v>
      </c>
      <c r="E57" s="16">
        <f t="shared" si="38"/>
        <v>82</v>
      </c>
      <c r="F57" s="16">
        <f t="shared" si="38"/>
        <v>64</v>
      </c>
      <c r="G57" s="16">
        <f t="shared" si="38"/>
        <v>6</v>
      </c>
      <c r="H57" s="16">
        <f t="shared" si="38"/>
        <v>54</v>
      </c>
      <c r="I57" s="16">
        <f t="shared" si="38"/>
        <v>12</v>
      </c>
      <c r="J57" s="16">
        <f t="shared" si="38"/>
        <v>48</v>
      </c>
      <c r="K57" s="16">
        <f t="shared" si="38"/>
        <v>30</v>
      </c>
      <c r="L57" s="16">
        <f t="shared" si="38"/>
        <v>50</v>
      </c>
      <c r="M57" s="16">
        <f t="shared" si="38"/>
        <v>12</v>
      </c>
      <c r="N57" s="16">
        <f t="shared" si="38"/>
        <v>42</v>
      </c>
      <c r="O57" s="16">
        <f t="shared" si="38"/>
        <v>26</v>
      </c>
      <c r="P57" s="16">
        <f t="shared" si="38"/>
        <v>78</v>
      </c>
      <c r="Q57" s="16">
        <f t="shared" si="38"/>
        <v>76</v>
      </c>
      <c r="R57" s="16">
        <f t="shared" si="38"/>
        <v>18</v>
      </c>
      <c r="S57" s="16">
        <f t="shared" si="38"/>
        <v>66</v>
      </c>
      <c r="T57" s="18">
        <f t="shared" si="0"/>
        <v>734</v>
      </c>
      <c r="U57" s="16">
        <f t="shared" ref="U57:AJ57" si="39">SUM(U56,U37,U23)</f>
        <v>62</v>
      </c>
      <c r="V57" s="16">
        <f t="shared" si="39"/>
        <v>66</v>
      </c>
      <c r="W57" s="16">
        <f t="shared" si="39"/>
        <v>20</v>
      </c>
      <c r="X57" s="16">
        <f t="shared" si="39"/>
        <v>16</v>
      </c>
      <c r="Y57" s="16">
        <f t="shared" si="39"/>
        <v>60</v>
      </c>
      <c r="Z57" s="16">
        <f t="shared" si="39"/>
        <v>56</v>
      </c>
      <c r="AA57" s="16">
        <f t="shared" si="39"/>
        <v>14</v>
      </c>
      <c r="AB57" s="16">
        <f t="shared" si="39"/>
        <v>78</v>
      </c>
      <c r="AC57" s="16">
        <f t="shared" si="39"/>
        <v>8</v>
      </c>
      <c r="AD57" s="16">
        <f t="shared" si="39"/>
        <v>30</v>
      </c>
      <c r="AE57" s="16">
        <f t="shared" si="39"/>
        <v>30</v>
      </c>
      <c r="AF57" s="16">
        <f t="shared" si="39"/>
        <v>52</v>
      </c>
      <c r="AG57" s="16">
        <f t="shared" si="39"/>
        <v>6</v>
      </c>
      <c r="AH57" s="16">
        <f t="shared" si="39"/>
        <v>64</v>
      </c>
      <c r="AI57" s="16">
        <f t="shared" si="39"/>
        <v>32</v>
      </c>
      <c r="AJ57" s="16">
        <f t="shared" si="39"/>
        <v>32</v>
      </c>
      <c r="AK57" s="17">
        <f t="shared" si="1"/>
        <v>626</v>
      </c>
      <c r="AL57" s="10">
        <f t="shared" si="2"/>
        <v>1360</v>
      </c>
    </row>
  </sheetData>
  <mergeCells count="38">
    <mergeCell ref="A1:AL1"/>
    <mergeCell ref="C2:T2"/>
    <mergeCell ref="U2:AK2"/>
    <mergeCell ref="AL2:AL5"/>
    <mergeCell ref="D3:E4"/>
    <mergeCell ref="F3:G4"/>
    <mergeCell ref="H3:I4"/>
    <mergeCell ref="J3:K4"/>
    <mergeCell ref="L3:M4"/>
    <mergeCell ref="N3:O4"/>
    <mergeCell ref="AK3:AK5"/>
    <mergeCell ref="AH3:AH4"/>
    <mergeCell ref="AI3:AJ4"/>
    <mergeCell ref="A23:B23"/>
    <mergeCell ref="Z3:AA4"/>
    <mergeCell ref="AB3:AC4"/>
    <mergeCell ref="AD3:AE4"/>
    <mergeCell ref="AF3:AG4"/>
    <mergeCell ref="P3:P4"/>
    <mergeCell ref="Q3:R4"/>
    <mergeCell ref="S3:S5"/>
    <mergeCell ref="T3:T5"/>
    <mergeCell ref="V3:W4"/>
    <mergeCell ref="X3:Y4"/>
    <mergeCell ref="A10:B10"/>
    <mergeCell ref="A14:B14"/>
    <mergeCell ref="A17:B17"/>
    <mergeCell ref="A22:B22"/>
    <mergeCell ref="A52:B52"/>
    <mergeCell ref="A55:B55"/>
    <mergeCell ref="A56:B56"/>
    <mergeCell ref="A57:B57"/>
    <mergeCell ref="A27:B27"/>
    <mergeCell ref="A32:B32"/>
    <mergeCell ref="A36:B36"/>
    <mergeCell ref="A37:B37"/>
    <mergeCell ref="A42:B42"/>
    <mergeCell ref="A47:B47"/>
  </mergeCells>
  <printOptions horizontalCentered="1"/>
  <pageMargins left="0" right="0" top="0" bottom="0" header="0" footer="0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A6F8-4D65-4987-B68E-EE706515DE1B}">
  <sheetPr>
    <tabColor rgb="FF00B050"/>
  </sheetPr>
  <dimension ref="A1:AL57"/>
  <sheetViews>
    <sheetView view="pageBreakPreview" zoomScale="80" zoomScaleNormal="70" zoomScaleSheetLayoutView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M52" sqref="AM52"/>
    </sheetView>
  </sheetViews>
  <sheetFormatPr defaultColWidth="8.88671875" defaultRowHeight="13.2" x14ac:dyDescent="0.25"/>
  <cols>
    <col min="1" max="1" width="7.109375" style="5" bestFit="1" customWidth="1"/>
    <col min="2" max="2" width="21.21875" style="1" bestFit="1" customWidth="1"/>
    <col min="3" max="3" width="4.88671875" style="2" bestFit="1" customWidth="1"/>
    <col min="4" max="15" width="4.21875" style="2" customWidth="1"/>
    <col min="16" max="16" width="6.88671875" style="2" bestFit="1" customWidth="1"/>
    <col min="17" max="18" width="4.21875" style="2" customWidth="1"/>
    <col min="19" max="19" width="6.33203125" style="2" bestFit="1" customWidth="1"/>
    <col min="20" max="20" width="7.44140625" style="4" bestFit="1" customWidth="1"/>
    <col min="21" max="33" width="4.21875" style="2" customWidth="1"/>
    <col min="34" max="34" width="7" style="2" bestFit="1" customWidth="1"/>
    <col min="35" max="36" width="4.21875" style="2" customWidth="1"/>
    <col min="37" max="37" width="7.44140625" style="4" bestFit="1" customWidth="1"/>
    <col min="38" max="38" width="8.88671875" style="1" customWidth="1"/>
    <col min="39" max="16384" width="8.88671875" style="1"/>
  </cols>
  <sheetData>
    <row r="1" spans="1:38" ht="15.6" x14ac:dyDescent="0.3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ht="14.4" customHeight="1" x14ac:dyDescent="0.25">
      <c r="A2" s="6"/>
      <c r="B2" s="6"/>
      <c r="C2" s="23" t="s">
        <v>5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5" t="s">
        <v>6</v>
      </c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6" t="s">
        <v>21</v>
      </c>
    </row>
    <row r="3" spans="1:38" ht="14.25" customHeight="1" x14ac:dyDescent="0.25">
      <c r="A3" s="2"/>
      <c r="B3" s="6"/>
      <c r="C3" s="7" t="s">
        <v>9</v>
      </c>
      <c r="D3" s="22" t="s">
        <v>22</v>
      </c>
      <c r="E3" s="22"/>
      <c r="F3" s="22" t="s">
        <v>10</v>
      </c>
      <c r="G3" s="22"/>
      <c r="H3" s="22" t="s">
        <v>11</v>
      </c>
      <c r="I3" s="22"/>
      <c r="J3" s="22" t="s">
        <v>0</v>
      </c>
      <c r="K3" s="22"/>
      <c r="L3" s="22" t="s">
        <v>4</v>
      </c>
      <c r="M3" s="22"/>
      <c r="N3" s="22" t="s">
        <v>12</v>
      </c>
      <c r="O3" s="22"/>
      <c r="P3" s="22" t="s">
        <v>13</v>
      </c>
      <c r="Q3" s="22" t="s">
        <v>14</v>
      </c>
      <c r="R3" s="22"/>
      <c r="S3" s="22" t="s">
        <v>15</v>
      </c>
      <c r="T3" s="23" t="s">
        <v>3</v>
      </c>
      <c r="U3" s="7" t="s">
        <v>9</v>
      </c>
      <c r="V3" s="22" t="s">
        <v>10</v>
      </c>
      <c r="W3" s="22"/>
      <c r="X3" s="22" t="s">
        <v>4</v>
      </c>
      <c r="Y3" s="22"/>
      <c r="Z3" s="22" t="s">
        <v>18</v>
      </c>
      <c r="AA3" s="22"/>
      <c r="AB3" s="22" t="s">
        <v>19</v>
      </c>
      <c r="AC3" s="22"/>
      <c r="AD3" s="22" t="s">
        <v>12</v>
      </c>
      <c r="AE3" s="22"/>
      <c r="AF3" s="22" t="s">
        <v>11</v>
      </c>
      <c r="AG3" s="22"/>
      <c r="AH3" s="22" t="s">
        <v>20</v>
      </c>
      <c r="AI3" s="22" t="s">
        <v>14</v>
      </c>
      <c r="AJ3" s="22"/>
      <c r="AK3" s="25" t="s">
        <v>3</v>
      </c>
      <c r="AL3" s="26"/>
    </row>
    <row r="4" spans="1:38" x14ac:dyDescent="0.25">
      <c r="A4" s="2"/>
      <c r="B4" s="6"/>
      <c r="C4" s="7" t="s">
        <v>16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7" t="s">
        <v>17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5"/>
      <c r="AL4" s="26"/>
    </row>
    <row r="5" spans="1:38" x14ac:dyDescent="0.25">
      <c r="A5" s="7" t="s">
        <v>8</v>
      </c>
      <c r="B5" s="11" t="s">
        <v>7</v>
      </c>
      <c r="C5" s="7" t="s">
        <v>1</v>
      </c>
      <c r="D5" s="7" t="s">
        <v>2</v>
      </c>
      <c r="E5" s="7" t="s">
        <v>1</v>
      </c>
      <c r="F5" s="7" t="s">
        <v>2</v>
      </c>
      <c r="G5" s="7" t="s">
        <v>1</v>
      </c>
      <c r="H5" s="7" t="s">
        <v>2</v>
      </c>
      <c r="I5" s="7" t="s">
        <v>1</v>
      </c>
      <c r="J5" s="7" t="s">
        <v>2</v>
      </c>
      <c r="K5" s="7" t="s">
        <v>1</v>
      </c>
      <c r="L5" s="7" t="s">
        <v>2</v>
      </c>
      <c r="M5" s="7" t="s">
        <v>1</v>
      </c>
      <c r="N5" s="7" t="s">
        <v>2</v>
      </c>
      <c r="O5" s="7" t="s">
        <v>1</v>
      </c>
      <c r="P5" s="7" t="s">
        <v>2</v>
      </c>
      <c r="Q5" s="7" t="s">
        <v>2</v>
      </c>
      <c r="R5" s="7" t="s">
        <v>1</v>
      </c>
      <c r="S5" s="22"/>
      <c r="T5" s="23"/>
      <c r="U5" s="7" t="s">
        <v>1</v>
      </c>
      <c r="V5" s="7" t="s">
        <v>2</v>
      </c>
      <c r="W5" s="7" t="s">
        <v>1</v>
      </c>
      <c r="X5" s="7" t="s">
        <v>2</v>
      </c>
      <c r="Y5" s="7" t="s">
        <v>1</v>
      </c>
      <c r="Z5" s="7" t="s">
        <v>2</v>
      </c>
      <c r="AA5" s="7" t="s">
        <v>1</v>
      </c>
      <c r="AB5" s="7" t="s">
        <v>2</v>
      </c>
      <c r="AC5" s="7" t="s">
        <v>1</v>
      </c>
      <c r="AD5" s="7" t="s">
        <v>2</v>
      </c>
      <c r="AE5" s="7" t="s">
        <v>1</v>
      </c>
      <c r="AF5" s="7" t="s">
        <v>2</v>
      </c>
      <c r="AG5" s="7" t="s">
        <v>1</v>
      </c>
      <c r="AH5" s="7" t="s">
        <v>2</v>
      </c>
      <c r="AI5" s="7" t="s">
        <v>2</v>
      </c>
      <c r="AJ5" s="7" t="s">
        <v>1</v>
      </c>
      <c r="AK5" s="25"/>
      <c r="AL5" s="26"/>
    </row>
    <row r="6" spans="1:38" x14ac:dyDescent="0.25">
      <c r="A6" s="12" t="str">
        <f>'[2]2.0WS'!A6</f>
        <v>10</v>
      </c>
      <c r="B6" s="13" t="str">
        <f>'[2]2.0WS'!B6</f>
        <v>ERODE</v>
      </c>
      <c r="C6" s="8" t="str">
        <f>'[2]2.0WP'!C6</f>
        <v/>
      </c>
      <c r="D6" s="8" t="str">
        <f>'[2]2.0WP'!D6</f>
        <v/>
      </c>
      <c r="E6" s="8" t="str">
        <f>'[2]2.0WP'!E6</f>
        <v/>
      </c>
      <c r="F6" s="8" t="str">
        <f>'[2]2.0WP'!F6</f>
        <v/>
      </c>
      <c r="G6" s="8" t="str">
        <f>'[2]2.0WP'!G6</f>
        <v/>
      </c>
      <c r="H6" s="8" t="str">
        <f>'[2]2.0WP'!H6</f>
        <v/>
      </c>
      <c r="I6" s="8" t="str">
        <f>'[2]2.0WP'!I6</f>
        <v/>
      </c>
      <c r="J6" s="8">
        <f>'[2]2.0WP'!J6</f>
        <v>4</v>
      </c>
      <c r="K6" s="8">
        <f>'[2]2.0WP'!K6</f>
        <v>4</v>
      </c>
      <c r="L6" s="8">
        <f>'[2]2.0WP'!L6</f>
        <v>4</v>
      </c>
      <c r="M6" s="8">
        <f>'[2]2.0WP'!M6</f>
        <v>4</v>
      </c>
      <c r="N6" s="8" t="str">
        <f>'[2]2.0WP'!N6</f>
        <v/>
      </c>
      <c r="O6" s="8" t="str">
        <f>'[2]2.0WP'!O6</f>
        <v/>
      </c>
      <c r="P6" s="8">
        <f>'[2]2.0WP'!P6</f>
        <v>0</v>
      </c>
      <c r="Q6" s="8" t="str">
        <f>'[2]2.0WP'!Q6</f>
        <v/>
      </c>
      <c r="R6" s="8" t="str">
        <f>'[2]2.0WP'!R6</f>
        <v/>
      </c>
      <c r="S6" s="8">
        <f>'[2]2.0WP'!S6</f>
        <v>4</v>
      </c>
      <c r="T6" s="9">
        <f>SUM(C6:S6)</f>
        <v>20</v>
      </c>
      <c r="U6" s="8" t="str">
        <f>'[2]2.0WP'!U6</f>
        <v/>
      </c>
      <c r="V6" s="8" t="str">
        <f>'[2]2.0WP'!V6</f>
        <v/>
      </c>
      <c r="W6" s="8" t="str">
        <f>'[2]2.0WP'!W6</f>
        <v/>
      </c>
      <c r="X6" s="8" t="str">
        <f>'[2]2.0WP'!X6</f>
        <v/>
      </c>
      <c r="Y6" s="8">
        <f>'[2]2.0WP'!Y6</f>
        <v>4</v>
      </c>
      <c r="Z6" s="8" t="str">
        <f>'[2]2.0WP'!Z6</f>
        <v/>
      </c>
      <c r="AA6" s="8" t="str">
        <f>'[2]2.0WP'!AA6</f>
        <v/>
      </c>
      <c r="AB6" s="8" t="str">
        <f>'[2]2.0WP'!AB6</f>
        <v/>
      </c>
      <c r="AC6" s="8" t="str">
        <f>'[2]2.0WP'!AC6</f>
        <v/>
      </c>
      <c r="AD6" s="8" t="str">
        <f>'[2]2.0WP'!AD6</f>
        <v/>
      </c>
      <c r="AE6" s="8">
        <f>'[2]2.0WP'!AE6</f>
        <v>4</v>
      </c>
      <c r="AF6" s="8" t="str">
        <f>'[2]2.0WP'!AF6</f>
        <v/>
      </c>
      <c r="AG6" s="8" t="str">
        <f>'[2]2.0WP'!AG6</f>
        <v/>
      </c>
      <c r="AH6" s="8" t="str">
        <f>'[2]2.0WP'!AH6</f>
        <v/>
      </c>
      <c r="AI6" s="8" t="str">
        <f>'[2]2.0WP'!AI6</f>
        <v/>
      </c>
      <c r="AJ6" s="8" t="str">
        <f>'[2]2.0WP'!AJ6</f>
        <v/>
      </c>
      <c r="AK6" s="17">
        <f>SUM(U6:AJ6)</f>
        <v>8</v>
      </c>
      <c r="AL6" s="10">
        <f>SUM(T6,AK6)</f>
        <v>28</v>
      </c>
    </row>
    <row r="7" spans="1:38" x14ac:dyDescent="0.25">
      <c r="A7" s="12" t="str">
        <f>'[2]2.0WS'!A7</f>
        <v>11</v>
      </c>
      <c r="B7" s="13" t="str">
        <f>'[2]2.0WS'!B7</f>
        <v>THE NILGIRIS</v>
      </c>
      <c r="C7" s="8" t="str">
        <f>'[2]2.0WP'!C7</f>
        <v/>
      </c>
      <c r="D7" s="8" t="str">
        <f>'[2]2.0WP'!D7</f>
        <v/>
      </c>
      <c r="E7" s="8" t="str">
        <f>'[2]2.0WP'!E7</f>
        <v/>
      </c>
      <c r="F7" s="8" t="str">
        <f>'[2]2.0WP'!F7</f>
        <v/>
      </c>
      <c r="G7" s="8" t="str">
        <f>'[2]2.0WP'!G7</f>
        <v/>
      </c>
      <c r="H7" s="8" t="str">
        <f>'[2]2.0WP'!H7</f>
        <v/>
      </c>
      <c r="I7" s="8" t="str">
        <f>'[2]2.0WP'!I7</f>
        <v/>
      </c>
      <c r="J7" s="8" t="str">
        <f>'[2]2.0WP'!J7</f>
        <v/>
      </c>
      <c r="K7" s="8" t="str">
        <f>'[2]2.0WP'!K7</f>
        <v/>
      </c>
      <c r="L7" s="8" t="str">
        <f>'[2]2.0WP'!L7</f>
        <v/>
      </c>
      <c r="M7" s="8" t="str">
        <f>'[2]2.0WP'!M7</f>
        <v/>
      </c>
      <c r="N7" s="8" t="str">
        <f>'[2]2.0WP'!N7</f>
        <v/>
      </c>
      <c r="O7" s="8" t="str">
        <f>'[2]2.0WP'!O7</f>
        <v/>
      </c>
      <c r="P7" s="8" t="str">
        <f>'[2]2.0WP'!P7</f>
        <v/>
      </c>
      <c r="Q7" s="8" t="str">
        <f>'[2]2.0WP'!Q7</f>
        <v/>
      </c>
      <c r="R7" s="8" t="str">
        <f>'[2]2.0WP'!R7</f>
        <v/>
      </c>
      <c r="S7" s="8" t="str">
        <f>'[2]2.0WP'!S7</f>
        <v/>
      </c>
      <c r="T7" s="9">
        <f t="shared" ref="T7:T9" si="0">SUM(C7:S7)</f>
        <v>0</v>
      </c>
      <c r="U7" s="8" t="str">
        <f>'[2]2.0WP'!U7</f>
        <v/>
      </c>
      <c r="V7" s="8" t="str">
        <f>'[2]2.0WP'!V7</f>
        <v/>
      </c>
      <c r="W7" s="8" t="str">
        <f>'[2]2.0WP'!W7</f>
        <v/>
      </c>
      <c r="X7" s="8" t="str">
        <f>'[2]2.0WP'!X7</f>
        <v/>
      </c>
      <c r="Y7" s="8" t="str">
        <f>'[2]2.0WP'!Y7</f>
        <v/>
      </c>
      <c r="Z7" s="8" t="str">
        <f>'[2]2.0WP'!Z7</f>
        <v/>
      </c>
      <c r="AA7" s="8" t="str">
        <f>'[2]2.0WP'!AA7</f>
        <v/>
      </c>
      <c r="AB7" s="8" t="str">
        <f>'[2]2.0WP'!AB7</f>
        <v/>
      </c>
      <c r="AC7" s="8" t="str">
        <f>'[2]2.0WP'!AC7</f>
        <v/>
      </c>
      <c r="AD7" s="8" t="str">
        <f>'[2]2.0WP'!AD7</f>
        <v/>
      </c>
      <c r="AE7" s="8" t="str">
        <f>'[2]2.0WP'!AE7</f>
        <v/>
      </c>
      <c r="AF7" s="8" t="str">
        <f>'[2]2.0WP'!AF7</f>
        <v/>
      </c>
      <c r="AG7" s="8" t="str">
        <f>'[2]2.0WP'!AG7</f>
        <v/>
      </c>
      <c r="AH7" s="8" t="str">
        <f>'[2]2.0WP'!AH7</f>
        <v/>
      </c>
      <c r="AI7" s="8" t="str">
        <f>'[2]2.0WP'!AI7</f>
        <v/>
      </c>
      <c r="AJ7" s="8" t="str">
        <f>'[2]2.0WP'!AJ7</f>
        <v/>
      </c>
      <c r="AK7" s="17">
        <f t="shared" ref="AK7:AK57" si="1">SUM(U7:AJ7)</f>
        <v>0</v>
      </c>
      <c r="AL7" s="10">
        <f t="shared" ref="AL7:AL57" si="2">SUM(T7,AK7)</f>
        <v>0</v>
      </c>
    </row>
    <row r="8" spans="1:38" x14ac:dyDescent="0.25">
      <c r="A8" s="12" t="str">
        <f>'[2]2.0WS'!A8</f>
        <v>12</v>
      </c>
      <c r="B8" s="13" t="str">
        <f>'[2]2.0WS'!B8</f>
        <v>COIMBATORE</v>
      </c>
      <c r="C8" s="8" t="str">
        <f>'[2]2.0WP'!C8</f>
        <v/>
      </c>
      <c r="D8" s="8" t="str">
        <f>'[2]2.0WP'!D8</f>
        <v/>
      </c>
      <c r="E8" s="8" t="str">
        <f>'[2]2.0WP'!E8</f>
        <v/>
      </c>
      <c r="F8" s="8">
        <f>'[2]2.0WP'!F8</f>
        <v>4</v>
      </c>
      <c r="G8" s="8" t="str">
        <f>'[2]2.0WP'!G8</f>
        <v/>
      </c>
      <c r="H8" s="8" t="str">
        <f>'[2]2.0WP'!H8</f>
        <v/>
      </c>
      <c r="I8" s="8" t="str">
        <f>'[2]2.0WP'!I8</f>
        <v/>
      </c>
      <c r="J8" s="8" t="str">
        <f>'[2]2.0WP'!J8</f>
        <v/>
      </c>
      <c r="K8" s="8" t="str">
        <f>'[2]2.0WP'!K8</f>
        <v/>
      </c>
      <c r="L8" s="8" t="str">
        <f>'[2]2.0WP'!L8</f>
        <v/>
      </c>
      <c r="M8" s="8" t="str">
        <f>'[2]2.0WP'!M8</f>
        <v/>
      </c>
      <c r="N8" s="8" t="str">
        <f>'[2]2.0WP'!N8</f>
        <v/>
      </c>
      <c r="O8" s="8" t="str">
        <f>'[2]2.0WP'!O8</f>
        <v/>
      </c>
      <c r="P8" s="8" t="str">
        <f>'[2]2.0WP'!P8</f>
        <v/>
      </c>
      <c r="Q8" s="8" t="str">
        <f>'[2]2.0WP'!Q8</f>
        <v/>
      </c>
      <c r="R8" s="8" t="str">
        <f>'[2]2.0WP'!R8</f>
        <v/>
      </c>
      <c r="S8" s="8" t="str">
        <f>'[2]2.0WP'!S8</f>
        <v/>
      </c>
      <c r="T8" s="9">
        <f t="shared" si="0"/>
        <v>4</v>
      </c>
      <c r="U8" s="8" t="str">
        <f>'[2]2.0WP'!U8</f>
        <v/>
      </c>
      <c r="V8" s="8">
        <f>'[2]2.0WP'!V8</f>
        <v>4</v>
      </c>
      <c r="W8" s="8" t="str">
        <f>'[2]2.0WP'!W8</f>
        <v/>
      </c>
      <c r="X8" s="8" t="str">
        <f>'[2]2.0WP'!X8</f>
        <v/>
      </c>
      <c r="Y8" s="8" t="str">
        <f>'[2]2.0WP'!Y8</f>
        <v/>
      </c>
      <c r="Z8" s="8" t="str">
        <f>'[2]2.0WP'!Z8</f>
        <v/>
      </c>
      <c r="AA8" s="8" t="str">
        <f>'[2]2.0WP'!AA8</f>
        <v/>
      </c>
      <c r="AB8" s="8" t="str">
        <f>'[2]2.0WP'!AB8</f>
        <v/>
      </c>
      <c r="AC8" s="8" t="str">
        <f>'[2]2.0WP'!AC8</f>
        <v/>
      </c>
      <c r="AD8" s="8" t="str">
        <f>'[2]2.0WP'!AD8</f>
        <v/>
      </c>
      <c r="AE8" s="8" t="str">
        <f>'[2]2.0WP'!AE8</f>
        <v/>
      </c>
      <c r="AF8" s="8" t="str">
        <f>'[2]2.0WP'!AF8</f>
        <v/>
      </c>
      <c r="AG8" s="8" t="str">
        <f>'[2]2.0WP'!AG8</f>
        <v/>
      </c>
      <c r="AH8" s="8">
        <f>'[2]2.0WP'!AH8</f>
        <v>4</v>
      </c>
      <c r="AI8" s="8" t="str">
        <f>'[2]2.0WP'!AI8</f>
        <v/>
      </c>
      <c r="AJ8" s="8" t="str">
        <f>'[2]2.0WP'!AJ8</f>
        <v/>
      </c>
      <c r="AK8" s="17">
        <f t="shared" si="1"/>
        <v>8</v>
      </c>
      <c r="AL8" s="10">
        <f t="shared" si="2"/>
        <v>12</v>
      </c>
    </row>
    <row r="9" spans="1:38" x14ac:dyDescent="0.25">
      <c r="A9" s="12" t="str">
        <f>'[2]2.0WS'!A9</f>
        <v>32</v>
      </c>
      <c r="B9" s="13" t="str">
        <f>'[2]2.0WS'!B9</f>
        <v>TIRUPPUR</v>
      </c>
      <c r="C9" s="8" t="str">
        <f>'[2]2.0WP'!C9</f>
        <v/>
      </c>
      <c r="D9" s="8" t="str">
        <f>'[2]2.0WP'!D9</f>
        <v/>
      </c>
      <c r="E9" s="8" t="str">
        <f>'[2]2.0WP'!E9</f>
        <v/>
      </c>
      <c r="F9" s="8" t="str">
        <f>'[2]2.0WP'!F9</f>
        <v/>
      </c>
      <c r="G9" s="8" t="str">
        <f>'[2]2.0WP'!G9</f>
        <v/>
      </c>
      <c r="H9" s="8" t="str">
        <f>'[2]2.0WP'!H9</f>
        <v/>
      </c>
      <c r="I9" s="8" t="str">
        <f>'[2]2.0WP'!I9</f>
        <v/>
      </c>
      <c r="J9" s="8" t="str">
        <f>'[2]2.0WP'!J9</f>
        <v/>
      </c>
      <c r="K9" s="8" t="str">
        <f>'[2]2.0WP'!K9</f>
        <v/>
      </c>
      <c r="L9" s="8" t="str">
        <f>'[2]2.0WP'!L9</f>
        <v/>
      </c>
      <c r="M9" s="8" t="str">
        <f>'[2]2.0WP'!M9</f>
        <v/>
      </c>
      <c r="N9" s="8" t="str">
        <f>'[2]2.0WP'!N9</f>
        <v/>
      </c>
      <c r="O9" s="8" t="str">
        <f>'[2]2.0WP'!O9</f>
        <v/>
      </c>
      <c r="P9" s="8" t="str">
        <f>'[2]2.0WP'!P9</f>
        <v/>
      </c>
      <c r="Q9" s="8" t="str">
        <f>'[2]2.0WP'!Q9</f>
        <v/>
      </c>
      <c r="R9" s="8" t="str">
        <f>'[2]2.0WP'!R9</f>
        <v/>
      </c>
      <c r="S9" s="8" t="str">
        <f>'[2]2.0WP'!S9</f>
        <v/>
      </c>
      <c r="T9" s="9">
        <f t="shared" si="0"/>
        <v>0</v>
      </c>
      <c r="U9" s="8" t="str">
        <f>'[2]2.0WP'!U9</f>
        <v/>
      </c>
      <c r="V9" s="8" t="str">
        <f>'[2]2.0WP'!V9</f>
        <v/>
      </c>
      <c r="W9" s="8" t="str">
        <f>'[2]2.0WP'!W9</f>
        <v/>
      </c>
      <c r="X9" s="8" t="str">
        <f>'[2]2.0WP'!X9</f>
        <v/>
      </c>
      <c r="Y9" s="8" t="str">
        <f>'[2]2.0WP'!Y9</f>
        <v/>
      </c>
      <c r="Z9" s="8" t="str">
        <f>'[2]2.0WP'!Z9</f>
        <v/>
      </c>
      <c r="AA9" s="8" t="str">
        <f>'[2]2.0WP'!AA9</f>
        <v/>
      </c>
      <c r="AB9" s="8" t="str">
        <f>'[2]2.0WP'!AB9</f>
        <v/>
      </c>
      <c r="AC9" s="8" t="str">
        <f>'[2]2.0WP'!AC9</f>
        <v/>
      </c>
      <c r="AD9" s="8" t="str">
        <f>'[2]2.0WP'!AD9</f>
        <v/>
      </c>
      <c r="AE9" s="8" t="str">
        <f>'[2]2.0WP'!AE9</f>
        <v/>
      </c>
      <c r="AF9" s="8" t="str">
        <f>'[2]2.0WP'!AF9</f>
        <v/>
      </c>
      <c r="AG9" s="8" t="str">
        <f>'[2]2.0WP'!AG9</f>
        <v/>
      </c>
      <c r="AH9" s="8" t="str">
        <f>'[2]2.0WP'!AH9</f>
        <v/>
      </c>
      <c r="AI9" s="8" t="str">
        <f>'[2]2.0WP'!AI9</f>
        <v/>
      </c>
      <c r="AJ9" s="8" t="str">
        <f>'[2]2.0WP'!AJ9</f>
        <v/>
      </c>
      <c r="AK9" s="17">
        <f t="shared" si="1"/>
        <v>0</v>
      </c>
      <c r="AL9" s="10">
        <f t="shared" si="2"/>
        <v>0</v>
      </c>
    </row>
    <row r="10" spans="1:38" s="3" customFormat="1" ht="14.4" customHeight="1" x14ac:dyDescent="0.25">
      <c r="A10" s="19" t="str">
        <f>'[2]2.0WS'!A10</f>
        <v>SRO COIMBATORE TOTAL</v>
      </c>
      <c r="B10" s="19"/>
      <c r="C10" s="14">
        <f>SUM(C6:C9)</f>
        <v>0</v>
      </c>
      <c r="D10" s="14">
        <f t="shared" ref="D10:S10" si="3">SUM(D6:D9)</f>
        <v>0</v>
      </c>
      <c r="E10" s="14">
        <f t="shared" si="3"/>
        <v>0</v>
      </c>
      <c r="F10" s="14">
        <f t="shared" si="3"/>
        <v>4</v>
      </c>
      <c r="G10" s="14">
        <f t="shared" si="3"/>
        <v>0</v>
      </c>
      <c r="H10" s="14">
        <f t="shared" si="3"/>
        <v>0</v>
      </c>
      <c r="I10" s="14">
        <f t="shared" si="3"/>
        <v>0</v>
      </c>
      <c r="J10" s="14">
        <f t="shared" si="3"/>
        <v>4</v>
      </c>
      <c r="K10" s="14">
        <f t="shared" si="3"/>
        <v>4</v>
      </c>
      <c r="L10" s="14">
        <f t="shared" si="3"/>
        <v>4</v>
      </c>
      <c r="M10" s="14">
        <f t="shared" si="3"/>
        <v>4</v>
      </c>
      <c r="N10" s="14">
        <f t="shared" si="3"/>
        <v>0</v>
      </c>
      <c r="O10" s="14">
        <f t="shared" si="3"/>
        <v>0</v>
      </c>
      <c r="P10" s="14">
        <f t="shared" si="3"/>
        <v>0</v>
      </c>
      <c r="Q10" s="14">
        <f t="shared" si="3"/>
        <v>0</v>
      </c>
      <c r="R10" s="14">
        <f t="shared" si="3"/>
        <v>0</v>
      </c>
      <c r="S10" s="14">
        <f t="shared" si="3"/>
        <v>4</v>
      </c>
      <c r="T10" s="9">
        <f t="shared" ref="T10:T57" si="4">SUM(C10:S10)</f>
        <v>24</v>
      </c>
      <c r="U10" s="14">
        <f t="shared" ref="U10:AJ10" si="5">SUM(U6:U9)</f>
        <v>0</v>
      </c>
      <c r="V10" s="14">
        <f t="shared" si="5"/>
        <v>4</v>
      </c>
      <c r="W10" s="14">
        <f t="shared" si="5"/>
        <v>0</v>
      </c>
      <c r="X10" s="14">
        <f t="shared" si="5"/>
        <v>0</v>
      </c>
      <c r="Y10" s="14">
        <f t="shared" si="5"/>
        <v>4</v>
      </c>
      <c r="Z10" s="14">
        <f t="shared" si="5"/>
        <v>0</v>
      </c>
      <c r="AA10" s="14">
        <f t="shared" si="5"/>
        <v>0</v>
      </c>
      <c r="AB10" s="14">
        <f t="shared" si="5"/>
        <v>0</v>
      </c>
      <c r="AC10" s="14">
        <f t="shared" si="5"/>
        <v>0</v>
      </c>
      <c r="AD10" s="14">
        <f t="shared" si="5"/>
        <v>0</v>
      </c>
      <c r="AE10" s="14">
        <f t="shared" si="5"/>
        <v>4</v>
      </c>
      <c r="AF10" s="14">
        <f t="shared" si="5"/>
        <v>0</v>
      </c>
      <c r="AG10" s="14">
        <f t="shared" si="5"/>
        <v>0</v>
      </c>
      <c r="AH10" s="14">
        <f t="shared" si="5"/>
        <v>4</v>
      </c>
      <c r="AI10" s="14">
        <f t="shared" si="5"/>
        <v>0</v>
      </c>
      <c r="AJ10" s="14">
        <f t="shared" si="5"/>
        <v>0</v>
      </c>
      <c r="AK10" s="17">
        <f t="shared" si="1"/>
        <v>16</v>
      </c>
      <c r="AL10" s="10">
        <f t="shared" si="2"/>
        <v>40</v>
      </c>
    </row>
    <row r="11" spans="1:38" x14ac:dyDescent="0.25">
      <c r="A11" s="12" t="str">
        <f>'[2]2.0WS'!A11</f>
        <v>05</v>
      </c>
      <c r="B11" s="13" t="str">
        <f>'[2]2.0WS'!B11</f>
        <v>DHARMAPURI</v>
      </c>
      <c r="C11" s="8" t="str">
        <f>'[2]2.0WP'!C11</f>
        <v/>
      </c>
      <c r="D11" s="8" t="str">
        <f>'[2]2.0WP'!D11</f>
        <v/>
      </c>
      <c r="E11" s="8">
        <f>'[2]2.0WP'!E11</f>
        <v>4</v>
      </c>
      <c r="F11" s="8">
        <f>'[2]2.0WP'!F11</f>
        <v>4</v>
      </c>
      <c r="G11" s="8" t="str">
        <f>'[2]2.0WP'!G11</f>
        <v/>
      </c>
      <c r="H11" s="8" t="str">
        <f>'[2]2.0WP'!H11</f>
        <v/>
      </c>
      <c r="I11" s="8" t="str">
        <f>'[2]2.0WP'!I11</f>
        <v/>
      </c>
      <c r="J11" s="8">
        <f>'[2]2.0WP'!J11</f>
        <v>4</v>
      </c>
      <c r="K11" s="8">
        <f>'[2]2.0WP'!K11</f>
        <v>0</v>
      </c>
      <c r="L11" s="8">
        <f>'[2]2.0WP'!L11</f>
        <v>4</v>
      </c>
      <c r="M11" s="8" t="str">
        <f>'[2]2.0WP'!M11</f>
        <v/>
      </c>
      <c r="N11" s="8">
        <f>'[2]2.0WP'!N11</f>
        <v>4</v>
      </c>
      <c r="O11" s="8" t="str">
        <f>'[2]2.0WP'!O11</f>
        <v/>
      </c>
      <c r="P11" s="8">
        <f>'[2]2.0WP'!P11</f>
        <v>6</v>
      </c>
      <c r="Q11" s="8">
        <f>'[2]2.0WP'!Q11</f>
        <v>4</v>
      </c>
      <c r="R11" s="8" t="str">
        <f>'[2]2.0WP'!R11</f>
        <v/>
      </c>
      <c r="S11" s="8">
        <f>'[2]2.0WP'!S11</f>
        <v>4</v>
      </c>
      <c r="T11" s="9">
        <f t="shared" si="4"/>
        <v>34</v>
      </c>
      <c r="U11" s="8">
        <f>'[2]2.0WP'!U11</f>
        <v>4</v>
      </c>
      <c r="V11" s="8" t="str">
        <f>'[2]2.0WP'!V11</f>
        <v/>
      </c>
      <c r="W11" s="8" t="str">
        <f>'[2]2.0WP'!W11</f>
        <v/>
      </c>
      <c r="X11" s="8" t="str">
        <f>'[2]2.0WP'!X11</f>
        <v/>
      </c>
      <c r="Y11" s="8">
        <f>'[2]2.0WP'!Y11</f>
        <v>4</v>
      </c>
      <c r="Z11" s="8" t="str">
        <f>'[2]2.0WP'!Z11</f>
        <v/>
      </c>
      <c r="AA11" s="8" t="str">
        <f>'[2]2.0WP'!AA11</f>
        <v/>
      </c>
      <c r="AB11" s="8" t="str">
        <f>'[2]2.0WP'!AB11</f>
        <v/>
      </c>
      <c r="AC11" s="8" t="str">
        <f>'[2]2.0WP'!AC11</f>
        <v/>
      </c>
      <c r="AD11" s="8" t="str">
        <f>'[2]2.0WP'!AD11</f>
        <v/>
      </c>
      <c r="AE11" s="8" t="str">
        <f>'[2]2.0WP'!AE11</f>
        <v/>
      </c>
      <c r="AF11" s="8" t="str">
        <f>'[2]2.0WP'!AF11</f>
        <v/>
      </c>
      <c r="AG11" s="8" t="str">
        <f>'[2]2.0WP'!AG11</f>
        <v/>
      </c>
      <c r="AH11" s="8">
        <f>'[2]2.0WP'!AH11</f>
        <v>8</v>
      </c>
      <c r="AI11" s="8" t="str">
        <f>'[2]2.0WP'!AI11</f>
        <v/>
      </c>
      <c r="AJ11" s="8" t="str">
        <f>'[2]2.0WP'!AJ11</f>
        <v/>
      </c>
      <c r="AK11" s="17">
        <f t="shared" si="1"/>
        <v>16</v>
      </c>
      <c r="AL11" s="10">
        <f t="shared" si="2"/>
        <v>50</v>
      </c>
    </row>
    <row r="12" spans="1:38" x14ac:dyDescent="0.25">
      <c r="A12" s="12" t="str">
        <f>'[2]2.0WS'!A12</f>
        <v>31</v>
      </c>
      <c r="B12" s="13" t="str">
        <f>'[2]2.0WS'!B12</f>
        <v>KRISHNAGIRI</v>
      </c>
      <c r="C12" s="8">
        <f>'[2]2.0WP'!C12</f>
        <v>4</v>
      </c>
      <c r="D12" s="8" t="str">
        <f>'[2]2.0WP'!D12</f>
        <v/>
      </c>
      <c r="E12" s="8" t="str">
        <f>'[2]2.0WP'!E12</f>
        <v/>
      </c>
      <c r="F12" s="8" t="str">
        <f>'[2]2.0WP'!F12</f>
        <v/>
      </c>
      <c r="G12" s="8" t="str">
        <f>'[2]2.0WP'!G12</f>
        <v/>
      </c>
      <c r="H12" s="8" t="str">
        <f>'[2]2.0WP'!H12</f>
        <v/>
      </c>
      <c r="I12" s="8" t="str">
        <f>'[2]2.0WP'!I12</f>
        <v/>
      </c>
      <c r="J12" s="8" t="str">
        <f>'[2]2.0WP'!J12</f>
        <v/>
      </c>
      <c r="K12" s="8">
        <f>'[2]2.0WP'!K12</f>
        <v>4</v>
      </c>
      <c r="L12" s="8">
        <f>'[2]2.0WP'!L12</f>
        <v>4</v>
      </c>
      <c r="M12" s="8" t="str">
        <f>'[2]2.0WP'!M12</f>
        <v/>
      </c>
      <c r="N12" s="8">
        <f>'[2]2.0WP'!N12</f>
        <v>4</v>
      </c>
      <c r="O12" s="8" t="str">
        <f>'[2]2.0WP'!O12</f>
        <v/>
      </c>
      <c r="P12" s="8">
        <f>'[2]2.0WP'!P12</f>
        <v>6</v>
      </c>
      <c r="Q12" s="8" t="str">
        <f>'[2]2.0WP'!Q12</f>
        <v/>
      </c>
      <c r="R12" s="8" t="str">
        <f>'[2]2.0WP'!R12</f>
        <v/>
      </c>
      <c r="S12" s="8" t="str">
        <f>'[2]2.0WP'!S12</f>
        <v/>
      </c>
      <c r="T12" s="9">
        <f t="shared" si="4"/>
        <v>22</v>
      </c>
      <c r="U12" s="8">
        <f>'[2]2.0WP'!U12</f>
        <v>4</v>
      </c>
      <c r="V12" s="8" t="str">
        <f>'[2]2.0WP'!V12</f>
        <v/>
      </c>
      <c r="W12" s="8" t="str">
        <f>'[2]2.0WP'!W12</f>
        <v/>
      </c>
      <c r="X12" s="8" t="str">
        <f>'[2]2.0WP'!X12</f>
        <v/>
      </c>
      <c r="Y12" s="8">
        <f>'[2]2.0WP'!Y12</f>
        <v>0</v>
      </c>
      <c r="Z12" s="8" t="str">
        <f>'[2]2.0WP'!Z12</f>
        <v/>
      </c>
      <c r="AA12" s="8" t="str">
        <f>'[2]2.0WP'!AA12</f>
        <v/>
      </c>
      <c r="AB12" s="8" t="str">
        <f>'[2]2.0WP'!AB12</f>
        <v/>
      </c>
      <c r="AC12" s="8" t="str">
        <f>'[2]2.0WP'!AC12</f>
        <v/>
      </c>
      <c r="AD12" s="8" t="str">
        <f>'[2]2.0WP'!AD12</f>
        <v/>
      </c>
      <c r="AE12" s="8" t="str">
        <f>'[2]2.0WP'!AE12</f>
        <v/>
      </c>
      <c r="AF12" s="8" t="str">
        <f>'[2]2.0WP'!AF12</f>
        <v/>
      </c>
      <c r="AG12" s="8" t="str">
        <f>'[2]2.0WP'!AG12</f>
        <v/>
      </c>
      <c r="AH12" s="8">
        <f>'[2]2.0WP'!AH12</f>
        <v>14</v>
      </c>
      <c r="AI12" s="8" t="str">
        <f>'[2]2.0WP'!AI12</f>
        <v/>
      </c>
      <c r="AJ12" s="8" t="str">
        <f>'[2]2.0WP'!AJ12</f>
        <v/>
      </c>
      <c r="AK12" s="17">
        <f t="shared" si="1"/>
        <v>18</v>
      </c>
      <c r="AL12" s="10">
        <f t="shared" si="2"/>
        <v>40</v>
      </c>
    </row>
    <row r="13" spans="1:38" x14ac:dyDescent="0.25">
      <c r="A13" s="12" t="str">
        <f>'[2]2.0WS'!A13</f>
        <v>36</v>
      </c>
      <c r="B13" s="13" t="str">
        <f>'[2]2.0WS'!B13</f>
        <v>TIRUPATHUR</v>
      </c>
      <c r="C13" s="8" t="str">
        <f>'[2]2.0WP'!C13</f>
        <v/>
      </c>
      <c r="D13" s="8" t="str">
        <f>'[2]2.0WP'!D13</f>
        <v/>
      </c>
      <c r="E13" s="8" t="str">
        <f>'[2]2.0WP'!E13</f>
        <v/>
      </c>
      <c r="F13" s="8" t="str">
        <f>'[2]2.0WP'!F13</f>
        <v/>
      </c>
      <c r="G13" s="8" t="str">
        <f>'[2]2.0WP'!G13</f>
        <v/>
      </c>
      <c r="H13" s="8">
        <f>'[2]2.0WP'!H13</f>
        <v>4</v>
      </c>
      <c r="I13" s="8" t="str">
        <f>'[2]2.0WP'!I13</f>
        <v/>
      </c>
      <c r="J13" s="8" t="str">
        <f>'[2]2.0WP'!J13</f>
        <v/>
      </c>
      <c r="K13" s="8" t="str">
        <f>'[2]2.0WP'!K13</f>
        <v/>
      </c>
      <c r="L13" s="8">
        <f>'[2]2.0WP'!L13</f>
        <v>4</v>
      </c>
      <c r="M13" s="8" t="str">
        <f>'[2]2.0WP'!M13</f>
        <v/>
      </c>
      <c r="N13" s="8" t="str">
        <f>'[2]2.0WP'!N13</f>
        <v/>
      </c>
      <c r="O13" s="8" t="str">
        <f>'[2]2.0WP'!O13</f>
        <v/>
      </c>
      <c r="P13" s="8">
        <f>'[2]2.0WP'!P13</f>
        <v>4</v>
      </c>
      <c r="Q13" s="8">
        <f>'[2]2.0WP'!Q13</f>
        <v>4</v>
      </c>
      <c r="R13" s="8" t="str">
        <f>'[2]2.0WP'!R13</f>
        <v/>
      </c>
      <c r="S13" s="8" t="str">
        <f>'[2]2.0WP'!S13</f>
        <v/>
      </c>
      <c r="T13" s="9">
        <f t="shared" si="4"/>
        <v>16</v>
      </c>
      <c r="U13" s="8" t="str">
        <f>'[2]2.0WP'!U13</f>
        <v/>
      </c>
      <c r="V13" s="8" t="str">
        <f>'[2]2.0WP'!V13</f>
        <v/>
      </c>
      <c r="W13" s="8" t="str">
        <f>'[2]2.0WP'!W13</f>
        <v/>
      </c>
      <c r="X13" s="8" t="str">
        <f>'[2]2.0WP'!X13</f>
        <v/>
      </c>
      <c r="Y13" s="8" t="str">
        <f>'[2]2.0WP'!Y13</f>
        <v/>
      </c>
      <c r="Z13" s="8" t="str">
        <f>'[2]2.0WP'!Z13</f>
        <v/>
      </c>
      <c r="AA13" s="8" t="str">
        <f>'[2]2.0WP'!AA13</f>
        <v/>
      </c>
      <c r="AB13" s="8" t="str">
        <f>'[2]2.0WP'!AB13</f>
        <v/>
      </c>
      <c r="AC13" s="8" t="str">
        <f>'[2]2.0WP'!AC13</f>
        <v/>
      </c>
      <c r="AD13" s="8" t="str">
        <f>'[2]2.0WP'!AD13</f>
        <v/>
      </c>
      <c r="AE13" s="8" t="str">
        <f>'[2]2.0WP'!AE13</f>
        <v/>
      </c>
      <c r="AF13" s="8" t="str">
        <f>'[2]2.0WP'!AF13</f>
        <v/>
      </c>
      <c r="AG13" s="8" t="str">
        <f>'[2]2.0WP'!AG13</f>
        <v/>
      </c>
      <c r="AH13" s="8">
        <f>'[2]2.0WP'!AH13</f>
        <v>4</v>
      </c>
      <c r="AI13" s="8" t="str">
        <f>'[2]2.0WP'!AI13</f>
        <v/>
      </c>
      <c r="AJ13" s="8" t="str">
        <f>'[2]2.0WP'!AJ13</f>
        <v/>
      </c>
      <c r="AK13" s="17">
        <f t="shared" si="1"/>
        <v>4</v>
      </c>
      <c r="AL13" s="10">
        <f t="shared" si="2"/>
        <v>20</v>
      </c>
    </row>
    <row r="14" spans="1:38" s="3" customFormat="1" ht="14.4" customHeight="1" x14ac:dyDescent="0.25">
      <c r="A14" s="19" t="str">
        <f>'[2]2.0WS'!A14</f>
        <v>SRO DHARMAPURI TOTAL</v>
      </c>
      <c r="B14" s="19"/>
      <c r="C14" s="14">
        <f>SUM(C11:C13)</f>
        <v>4</v>
      </c>
      <c r="D14" s="14">
        <f t="shared" ref="D14:S14" si="6">SUM(D11:D13)</f>
        <v>0</v>
      </c>
      <c r="E14" s="14">
        <f t="shared" si="6"/>
        <v>4</v>
      </c>
      <c r="F14" s="14">
        <f t="shared" si="6"/>
        <v>4</v>
      </c>
      <c r="G14" s="14">
        <f t="shared" si="6"/>
        <v>0</v>
      </c>
      <c r="H14" s="14">
        <f t="shared" si="6"/>
        <v>4</v>
      </c>
      <c r="I14" s="14">
        <f t="shared" si="6"/>
        <v>0</v>
      </c>
      <c r="J14" s="14">
        <f t="shared" si="6"/>
        <v>4</v>
      </c>
      <c r="K14" s="14">
        <f t="shared" si="6"/>
        <v>4</v>
      </c>
      <c r="L14" s="14">
        <f t="shared" si="6"/>
        <v>12</v>
      </c>
      <c r="M14" s="14">
        <f t="shared" si="6"/>
        <v>0</v>
      </c>
      <c r="N14" s="14">
        <f t="shared" si="6"/>
        <v>8</v>
      </c>
      <c r="O14" s="14">
        <f t="shared" si="6"/>
        <v>0</v>
      </c>
      <c r="P14" s="14">
        <f t="shared" si="6"/>
        <v>16</v>
      </c>
      <c r="Q14" s="14">
        <f t="shared" si="6"/>
        <v>8</v>
      </c>
      <c r="R14" s="14">
        <f t="shared" si="6"/>
        <v>0</v>
      </c>
      <c r="S14" s="14">
        <f t="shared" si="6"/>
        <v>4</v>
      </c>
      <c r="T14" s="9">
        <f t="shared" si="4"/>
        <v>72</v>
      </c>
      <c r="U14" s="14">
        <f t="shared" ref="U14:AJ14" si="7">SUM(U11:U13)</f>
        <v>8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14">
        <f t="shared" si="7"/>
        <v>4</v>
      </c>
      <c r="Z14" s="14">
        <f t="shared" si="7"/>
        <v>0</v>
      </c>
      <c r="AA14" s="14">
        <f t="shared" si="7"/>
        <v>0</v>
      </c>
      <c r="AB14" s="14">
        <f t="shared" si="7"/>
        <v>0</v>
      </c>
      <c r="AC14" s="14">
        <f t="shared" si="7"/>
        <v>0</v>
      </c>
      <c r="AD14" s="14">
        <f t="shared" si="7"/>
        <v>0</v>
      </c>
      <c r="AE14" s="14">
        <f t="shared" si="7"/>
        <v>0</v>
      </c>
      <c r="AF14" s="14">
        <f t="shared" si="7"/>
        <v>0</v>
      </c>
      <c r="AG14" s="14">
        <f t="shared" si="7"/>
        <v>0</v>
      </c>
      <c r="AH14" s="14">
        <f t="shared" si="7"/>
        <v>26</v>
      </c>
      <c r="AI14" s="14">
        <f t="shared" si="7"/>
        <v>0</v>
      </c>
      <c r="AJ14" s="14">
        <f t="shared" si="7"/>
        <v>0</v>
      </c>
      <c r="AK14" s="17">
        <f t="shared" si="1"/>
        <v>38</v>
      </c>
      <c r="AL14" s="10">
        <f t="shared" si="2"/>
        <v>110</v>
      </c>
    </row>
    <row r="15" spans="1:38" x14ac:dyDescent="0.25">
      <c r="A15" s="12" t="str">
        <f>'[2]2.0WS'!A15</f>
        <v>08</v>
      </c>
      <c r="B15" s="13" t="str">
        <f>'[2]2.0WS'!B15</f>
        <v>SALEM</v>
      </c>
      <c r="C15" s="8" t="str">
        <f>'[2]2.0WP'!C15</f>
        <v/>
      </c>
      <c r="D15" s="8" t="str">
        <f>'[2]2.0WP'!D15</f>
        <v/>
      </c>
      <c r="E15" s="8" t="str">
        <f>'[2]2.0WP'!E15</f>
        <v/>
      </c>
      <c r="F15" s="8">
        <f>'[2]2.0WP'!F15</f>
        <v>6</v>
      </c>
      <c r="G15" s="8" t="str">
        <f>'[2]2.0WP'!G15</f>
        <v/>
      </c>
      <c r="H15" s="8" t="str">
        <f>'[2]2.0WP'!H15</f>
        <v/>
      </c>
      <c r="I15" s="8" t="str">
        <f>'[2]2.0WP'!I15</f>
        <v/>
      </c>
      <c r="J15" s="8">
        <f>'[2]2.0WP'!J15</f>
        <v>0</v>
      </c>
      <c r="K15" s="8">
        <f>'[2]2.0WP'!K15</f>
        <v>4</v>
      </c>
      <c r="L15" s="8">
        <f>'[2]2.0WP'!L15</f>
        <v>4</v>
      </c>
      <c r="M15" s="8" t="str">
        <f>'[2]2.0WP'!M15</f>
        <v/>
      </c>
      <c r="N15" s="8">
        <f>'[2]2.0WP'!N15</f>
        <v>0</v>
      </c>
      <c r="O15" s="8">
        <f>'[2]2.0WP'!O15</f>
        <v>4</v>
      </c>
      <c r="P15" s="8">
        <f>'[2]2.0WP'!P15</f>
        <v>4</v>
      </c>
      <c r="Q15" s="8">
        <f>'[2]2.0WP'!Q15</f>
        <v>4</v>
      </c>
      <c r="R15" s="8" t="str">
        <f>'[2]2.0WP'!R15</f>
        <v/>
      </c>
      <c r="S15" s="8" t="str">
        <f>'[2]2.0WP'!S15</f>
        <v/>
      </c>
      <c r="T15" s="9">
        <f t="shared" si="4"/>
        <v>26</v>
      </c>
      <c r="U15" s="8">
        <f>'[2]2.0WP'!U15</f>
        <v>4</v>
      </c>
      <c r="V15" s="8">
        <f>'[2]2.0WP'!V15</f>
        <v>0</v>
      </c>
      <c r="W15" s="8">
        <f>'[2]2.0WP'!W15</f>
        <v>6</v>
      </c>
      <c r="X15" s="8" t="str">
        <f>'[2]2.0WP'!X15</f>
        <v/>
      </c>
      <c r="Y15" s="8">
        <f>'[2]2.0WP'!Y15</f>
        <v>0</v>
      </c>
      <c r="Z15" s="8" t="str">
        <f>'[2]2.0WP'!Z15</f>
        <v/>
      </c>
      <c r="AA15" s="8" t="str">
        <f>'[2]2.0WP'!AA15</f>
        <v/>
      </c>
      <c r="AB15" s="8" t="str">
        <f>'[2]2.0WP'!AB15</f>
        <v/>
      </c>
      <c r="AC15" s="8" t="str">
        <f>'[2]2.0WP'!AC15</f>
        <v/>
      </c>
      <c r="AD15" s="8" t="str">
        <f>'[2]2.0WP'!AD15</f>
        <v/>
      </c>
      <c r="AE15" s="8">
        <f>'[2]2.0WP'!AE15</f>
        <v>0</v>
      </c>
      <c r="AF15" s="8" t="str">
        <f>'[2]2.0WP'!AF15</f>
        <v/>
      </c>
      <c r="AG15" s="8">
        <f>'[2]2.0WP'!AG15</f>
        <v>4</v>
      </c>
      <c r="AH15" s="8">
        <f>'[2]2.0WP'!AH15</f>
        <v>6</v>
      </c>
      <c r="AI15" s="8" t="str">
        <f>'[2]2.0WP'!AI15</f>
        <v/>
      </c>
      <c r="AJ15" s="8">
        <f>'[2]2.0WP'!AJ15</f>
        <v>4</v>
      </c>
      <c r="AK15" s="17">
        <f t="shared" si="1"/>
        <v>24</v>
      </c>
      <c r="AL15" s="10">
        <f t="shared" si="2"/>
        <v>50</v>
      </c>
    </row>
    <row r="16" spans="1:38" x14ac:dyDescent="0.25">
      <c r="A16" s="12" t="str">
        <f>'[2]2.0WS'!A16</f>
        <v>09</v>
      </c>
      <c r="B16" s="13" t="str">
        <f>'[2]2.0WS'!B16</f>
        <v>NAMAKKAL</v>
      </c>
      <c r="C16" s="8" t="str">
        <f>'[2]2.0WP'!C16</f>
        <v/>
      </c>
      <c r="D16" s="8" t="str">
        <f>'[2]2.0WP'!D16</f>
        <v/>
      </c>
      <c r="E16" s="8" t="str">
        <f>'[2]2.0WP'!E16</f>
        <v/>
      </c>
      <c r="F16" s="8">
        <f>'[2]2.0WP'!F16</f>
        <v>10</v>
      </c>
      <c r="G16" s="8" t="str">
        <f>'[2]2.0WP'!G16</f>
        <v/>
      </c>
      <c r="H16" s="8" t="str">
        <f>'[2]2.0WP'!H16</f>
        <v/>
      </c>
      <c r="I16" s="8" t="str">
        <f>'[2]2.0WP'!I16</f>
        <v/>
      </c>
      <c r="J16" s="8" t="str">
        <f>'[2]2.0WP'!J16</f>
        <v/>
      </c>
      <c r="K16" s="8" t="str">
        <f>'[2]2.0WP'!K16</f>
        <v/>
      </c>
      <c r="L16" s="8">
        <f>'[2]2.0WP'!L16</f>
        <v>4</v>
      </c>
      <c r="M16" s="8" t="str">
        <f>'[2]2.0WP'!M16</f>
        <v/>
      </c>
      <c r="N16" s="8" t="str">
        <f>'[2]2.0WP'!N16</f>
        <v/>
      </c>
      <c r="O16" s="8" t="str">
        <f>'[2]2.0WP'!O16</f>
        <v/>
      </c>
      <c r="P16" s="8" t="str">
        <f>'[2]2.0WP'!P16</f>
        <v/>
      </c>
      <c r="Q16" s="8" t="str">
        <f>'[2]2.0WP'!Q16</f>
        <v/>
      </c>
      <c r="R16" s="8">
        <f>'[2]2.0WP'!R16</f>
        <v>4</v>
      </c>
      <c r="S16" s="8">
        <f>'[2]2.0WP'!S16</f>
        <v>4</v>
      </c>
      <c r="T16" s="9">
        <f t="shared" si="4"/>
        <v>22</v>
      </c>
      <c r="U16" s="8" t="str">
        <f>'[2]2.0WP'!U16</f>
        <v/>
      </c>
      <c r="V16" s="8">
        <f>'[2]2.0WP'!V16</f>
        <v>6</v>
      </c>
      <c r="W16" s="8">
        <f>'[2]2.0WP'!W16</f>
        <v>4</v>
      </c>
      <c r="X16" s="8" t="str">
        <f>'[2]2.0WP'!X16</f>
        <v/>
      </c>
      <c r="Y16" s="8">
        <f>'[2]2.0WP'!Y16</f>
        <v>4</v>
      </c>
      <c r="Z16" s="8" t="str">
        <f>'[2]2.0WP'!Z16</f>
        <v/>
      </c>
      <c r="AA16" s="8" t="str">
        <f>'[2]2.0WP'!AA16</f>
        <v/>
      </c>
      <c r="AB16" s="8" t="str">
        <f>'[2]2.0WP'!AB16</f>
        <v/>
      </c>
      <c r="AC16" s="8" t="str">
        <f>'[2]2.0WP'!AC16</f>
        <v/>
      </c>
      <c r="AD16" s="8" t="str">
        <f>'[2]2.0WP'!AD16</f>
        <v/>
      </c>
      <c r="AE16" s="8">
        <f>'[2]2.0WP'!AE16</f>
        <v>4</v>
      </c>
      <c r="AF16" s="8" t="str">
        <f>'[2]2.0WP'!AF16</f>
        <v/>
      </c>
      <c r="AG16" s="8" t="str">
        <f>'[2]2.0WP'!AG16</f>
        <v/>
      </c>
      <c r="AH16" s="8" t="str">
        <f>'[2]2.0WP'!AH16</f>
        <v/>
      </c>
      <c r="AI16" s="8" t="str">
        <f>'[2]2.0WP'!AI16</f>
        <v/>
      </c>
      <c r="AJ16" s="8" t="str">
        <f>'[2]2.0WP'!AJ16</f>
        <v/>
      </c>
      <c r="AK16" s="17">
        <f t="shared" si="1"/>
        <v>18</v>
      </c>
      <c r="AL16" s="10">
        <f t="shared" si="2"/>
        <v>40</v>
      </c>
    </row>
    <row r="17" spans="1:38" s="3" customFormat="1" ht="14.4" customHeight="1" x14ac:dyDescent="0.25">
      <c r="A17" s="19" t="str">
        <f>'[2]2.0WS'!A17</f>
        <v>SRO SALEM TOTAL</v>
      </c>
      <c r="B17" s="19"/>
      <c r="C17" s="14">
        <f>SUM(C15:C16)</f>
        <v>0</v>
      </c>
      <c r="D17" s="14">
        <f t="shared" ref="D17:S17" si="8">SUM(D15:D16)</f>
        <v>0</v>
      </c>
      <c r="E17" s="14">
        <f t="shared" si="8"/>
        <v>0</v>
      </c>
      <c r="F17" s="14">
        <f t="shared" si="8"/>
        <v>16</v>
      </c>
      <c r="G17" s="14">
        <f t="shared" si="8"/>
        <v>0</v>
      </c>
      <c r="H17" s="14">
        <f t="shared" si="8"/>
        <v>0</v>
      </c>
      <c r="I17" s="14">
        <f t="shared" si="8"/>
        <v>0</v>
      </c>
      <c r="J17" s="14">
        <f t="shared" si="8"/>
        <v>0</v>
      </c>
      <c r="K17" s="14">
        <f t="shared" si="8"/>
        <v>4</v>
      </c>
      <c r="L17" s="14">
        <f t="shared" si="8"/>
        <v>8</v>
      </c>
      <c r="M17" s="14">
        <f t="shared" si="8"/>
        <v>0</v>
      </c>
      <c r="N17" s="14">
        <f t="shared" si="8"/>
        <v>0</v>
      </c>
      <c r="O17" s="14">
        <f t="shared" si="8"/>
        <v>4</v>
      </c>
      <c r="P17" s="14">
        <f t="shared" si="8"/>
        <v>4</v>
      </c>
      <c r="Q17" s="14">
        <f t="shared" si="8"/>
        <v>4</v>
      </c>
      <c r="R17" s="14">
        <f t="shared" si="8"/>
        <v>4</v>
      </c>
      <c r="S17" s="14">
        <f t="shared" si="8"/>
        <v>4</v>
      </c>
      <c r="T17" s="9">
        <f t="shared" si="4"/>
        <v>48</v>
      </c>
      <c r="U17" s="14">
        <f t="shared" ref="U17:AJ17" si="9">SUM(U15:U16)</f>
        <v>4</v>
      </c>
      <c r="V17" s="14">
        <f t="shared" si="9"/>
        <v>6</v>
      </c>
      <c r="W17" s="14">
        <f t="shared" si="9"/>
        <v>10</v>
      </c>
      <c r="X17" s="14">
        <f t="shared" si="9"/>
        <v>0</v>
      </c>
      <c r="Y17" s="14">
        <f t="shared" si="9"/>
        <v>4</v>
      </c>
      <c r="Z17" s="14">
        <f t="shared" si="9"/>
        <v>0</v>
      </c>
      <c r="AA17" s="14">
        <f t="shared" si="9"/>
        <v>0</v>
      </c>
      <c r="AB17" s="14">
        <f t="shared" si="9"/>
        <v>0</v>
      </c>
      <c r="AC17" s="14">
        <f t="shared" si="9"/>
        <v>0</v>
      </c>
      <c r="AD17" s="14">
        <f t="shared" si="9"/>
        <v>0</v>
      </c>
      <c r="AE17" s="14">
        <f t="shared" si="9"/>
        <v>4</v>
      </c>
      <c r="AF17" s="14">
        <f t="shared" si="9"/>
        <v>0</v>
      </c>
      <c r="AG17" s="14">
        <f t="shared" si="9"/>
        <v>4</v>
      </c>
      <c r="AH17" s="14">
        <f t="shared" si="9"/>
        <v>6</v>
      </c>
      <c r="AI17" s="14">
        <f t="shared" si="9"/>
        <v>0</v>
      </c>
      <c r="AJ17" s="14">
        <f t="shared" si="9"/>
        <v>4</v>
      </c>
      <c r="AK17" s="17">
        <f t="shared" si="1"/>
        <v>42</v>
      </c>
      <c r="AL17" s="10">
        <f t="shared" si="2"/>
        <v>90</v>
      </c>
    </row>
    <row r="18" spans="1:38" x14ac:dyDescent="0.25">
      <c r="A18" s="12" t="str">
        <f>'[2]2.0WS'!A18</f>
        <v>14</v>
      </c>
      <c r="B18" s="13" t="str">
        <f>'[2]2.0WS'!B18</f>
        <v>KARUR</v>
      </c>
      <c r="C18" s="8" t="str">
        <f>'[2]2.0WP'!C18</f>
        <v/>
      </c>
      <c r="D18" s="8" t="str">
        <f>'[2]2.0WP'!D18</f>
        <v/>
      </c>
      <c r="E18" s="8" t="str">
        <f>'[2]2.0WP'!E18</f>
        <v/>
      </c>
      <c r="F18" s="8">
        <f>'[2]2.0WP'!F18</f>
        <v>4</v>
      </c>
      <c r="G18" s="8">
        <f>'[2]2.0WP'!G18</f>
        <v>4</v>
      </c>
      <c r="H18" s="8" t="str">
        <f>'[2]2.0WP'!H18</f>
        <v/>
      </c>
      <c r="I18" s="8" t="str">
        <f>'[2]2.0WP'!I18</f>
        <v/>
      </c>
      <c r="J18" s="8" t="str">
        <f>'[2]2.0WP'!J18</f>
        <v/>
      </c>
      <c r="K18" s="8" t="str">
        <f>'[2]2.0WP'!K18</f>
        <v/>
      </c>
      <c r="L18" s="8" t="str">
        <f>'[2]2.0WP'!L18</f>
        <v/>
      </c>
      <c r="M18" s="8" t="str">
        <f>'[2]2.0WP'!M18</f>
        <v/>
      </c>
      <c r="N18" s="8">
        <f>'[2]2.0WP'!N18</f>
        <v>4</v>
      </c>
      <c r="O18" s="8" t="str">
        <f>'[2]2.0WP'!O18</f>
        <v/>
      </c>
      <c r="P18" s="8">
        <f>'[2]2.0WP'!P18</f>
        <v>4</v>
      </c>
      <c r="Q18" s="8" t="str">
        <f>'[2]2.0WP'!Q18</f>
        <v/>
      </c>
      <c r="R18" s="8" t="str">
        <f>'[2]2.0WP'!R18</f>
        <v/>
      </c>
      <c r="S18" s="8" t="str">
        <f>'[2]2.0WP'!S18</f>
        <v/>
      </c>
      <c r="T18" s="9">
        <f t="shared" si="4"/>
        <v>16</v>
      </c>
      <c r="U18" s="8" t="str">
        <f>'[2]2.0WP'!U18</f>
        <v/>
      </c>
      <c r="V18" s="8">
        <f>'[2]2.0WP'!V18</f>
        <v>4</v>
      </c>
      <c r="W18" s="8" t="str">
        <f>'[2]2.0WP'!W18</f>
        <v/>
      </c>
      <c r="X18" s="8" t="str">
        <f>'[2]2.0WP'!X18</f>
        <v/>
      </c>
      <c r="Y18" s="8">
        <f>'[2]2.0WP'!Y18</f>
        <v>0</v>
      </c>
      <c r="Z18" s="8" t="str">
        <f>'[2]2.0WP'!Z18</f>
        <v/>
      </c>
      <c r="AA18" s="8" t="str">
        <f>'[2]2.0WP'!AA18</f>
        <v/>
      </c>
      <c r="AB18" s="8" t="str">
        <f>'[2]2.0WP'!AB18</f>
        <v/>
      </c>
      <c r="AC18" s="8" t="str">
        <f>'[2]2.0WP'!AC18</f>
        <v/>
      </c>
      <c r="AD18" s="8" t="str">
        <f>'[2]2.0WP'!AD18</f>
        <v/>
      </c>
      <c r="AE18" s="8" t="str">
        <f>'[2]2.0WP'!AE18</f>
        <v/>
      </c>
      <c r="AF18" s="8">
        <f>'[2]2.0WP'!AF18</f>
        <v>4</v>
      </c>
      <c r="AG18" s="8" t="str">
        <f>'[2]2.0WP'!AG18</f>
        <v/>
      </c>
      <c r="AH18" s="8">
        <f>'[2]2.0WP'!AH18</f>
        <v>4</v>
      </c>
      <c r="AI18" s="8" t="str">
        <f>'[2]2.0WP'!AI18</f>
        <v/>
      </c>
      <c r="AJ18" s="8" t="str">
        <f>'[2]2.0WP'!AJ18</f>
        <v/>
      </c>
      <c r="AK18" s="17">
        <f t="shared" si="1"/>
        <v>12</v>
      </c>
      <c r="AL18" s="10">
        <f t="shared" si="2"/>
        <v>28</v>
      </c>
    </row>
    <row r="19" spans="1:38" x14ac:dyDescent="0.25">
      <c r="A19" s="12" t="str">
        <f>'[2]2.0WS'!A19</f>
        <v>15</v>
      </c>
      <c r="B19" s="13" t="str">
        <f>'[2]2.0WS'!B19</f>
        <v>TIRUCHIRAPPALLI</v>
      </c>
      <c r="C19" s="8" t="str">
        <f>'[2]2.0WP'!C19</f>
        <v/>
      </c>
      <c r="D19" s="8" t="str">
        <f>'[2]2.0WP'!D19</f>
        <v/>
      </c>
      <c r="E19" s="8" t="str">
        <f>'[2]2.0WP'!E19</f>
        <v/>
      </c>
      <c r="F19" s="8" t="str">
        <f>'[2]2.0WP'!F19</f>
        <v/>
      </c>
      <c r="G19" s="8" t="str">
        <f>'[2]2.0WP'!G19</f>
        <v/>
      </c>
      <c r="H19" s="8" t="str">
        <f>'[2]2.0WP'!H19</f>
        <v/>
      </c>
      <c r="I19" s="8" t="str">
        <f>'[2]2.0WP'!I19</f>
        <v/>
      </c>
      <c r="J19" s="8" t="str">
        <f>'[2]2.0WP'!J19</f>
        <v/>
      </c>
      <c r="K19" s="8" t="str">
        <f>'[2]2.0WP'!K19</f>
        <v/>
      </c>
      <c r="L19" s="8" t="str">
        <f>'[2]2.0WP'!L19</f>
        <v/>
      </c>
      <c r="M19" s="8" t="str">
        <f>'[2]2.0WP'!M19</f>
        <v/>
      </c>
      <c r="N19" s="8" t="str">
        <f>'[2]2.0WP'!N19</f>
        <v/>
      </c>
      <c r="O19" s="8" t="str">
        <f>'[2]2.0WP'!O19</f>
        <v/>
      </c>
      <c r="P19" s="8" t="str">
        <f>'[2]2.0WP'!P19</f>
        <v/>
      </c>
      <c r="Q19" s="8" t="str">
        <f>'[2]2.0WP'!Q19</f>
        <v/>
      </c>
      <c r="R19" s="8" t="str">
        <f>'[2]2.0WP'!R19</f>
        <v/>
      </c>
      <c r="S19" s="8" t="str">
        <f>'[2]2.0WP'!S19</f>
        <v/>
      </c>
      <c r="T19" s="9">
        <f t="shared" si="4"/>
        <v>0</v>
      </c>
      <c r="U19" s="8" t="str">
        <f>'[2]2.0WP'!U19</f>
        <v/>
      </c>
      <c r="V19" s="8" t="str">
        <f>'[2]2.0WP'!V19</f>
        <v/>
      </c>
      <c r="W19" s="8" t="str">
        <f>'[2]2.0WP'!W19</f>
        <v/>
      </c>
      <c r="X19" s="8" t="str">
        <f>'[2]2.0WP'!X19</f>
        <v/>
      </c>
      <c r="Y19" s="8" t="str">
        <f>'[2]2.0WP'!Y19</f>
        <v/>
      </c>
      <c r="Z19" s="8" t="str">
        <f>'[2]2.0WP'!Z19</f>
        <v/>
      </c>
      <c r="AA19" s="8" t="str">
        <f>'[2]2.0WP'!AA19</f>
        <v/>
      </c>
      <c r="AB19" s="8" t="str">
        <f>'[2]2.0WP'!AB19</f>
        <v/>
      </c>
      <c r="AC19" s="8" t="str">
        <f>'[2]2.0WP'!AC19</f>
        <v/>
      </c>
      <c r="AD19" s="8" t="str">
        <f>'[2]2.0WP'!AD19</f>
        <v/>
      </c>
      <c r="AE19" s="8" t="str">
        <f>'[2]2.0WP'!AE19</f>
        <v/>
      </c>
      <c r="AF19" s="8" t="str">
        <f>'[2]2.0WP'!AF19</f>
        <v/>
      </c>
      <c r="AG19" s="8" t="str">
        <f>'[2]2.0WP'!AG19</f>
        <v/>
      </c>
      <c r="AH19" s="8" t="str">
        <f>'[2]2.0WP'!AH19</f>
        <v/>
      </c>
      <c r="AI19" s="8" t="str">
        <f>'[2]2.0WP'!AI19</f>
        <v/>
      </c>
      <c r="AJ19" s="8" t="str">
        <f>'[2]2.0WP'!AJ19</f>
        <v/>
      </c>
      <c r="AK19" s="17">
        <f t="shared" si="1"/>
        <v>0</v>
      </c>
      <c r="AL19" s="10">
        <f t="shared" si="2"/>
        <v>0</v>
      </c>
    </row>
    <row r="20" spans="1:38" x14ac:dyDescent="0.25">
      <c r="A20" s="12" t="str">
        <f>'[2]2.0WS'!A20</f>
        <v>16</v>
      </c>
      <c r="B20" s="13" t="str">
        <f>'[2]2.0WS'!B20</f>
        <v>PERAMBALUR</v>
      </c>
      <c r="C20" s="8" t="str">
        <f>'[2]2.0WP'!C20</f>
        <v/>
      </c>
      <c r="D20" s="8" t="str">
        <f>'[2]2.0WP'!D20</f>
        <v/>
      </c>
      <c r="E20" s="8" t="str">
        <f>'[2]2.0WP'!E20</f>
        <v/>
      </c>
      <c r="F20" s="8" t="str">
        <f>'[2]2.0WP'!F20</f>
        <v/>
      </c>
      <c r="G20" s="8" t="str">
        <f>'[2]2.0WP'!G20</f>
        <v/>
      </c>
      <c r="H20" s="8" t="str">
        <f>'[2]2.0WP'!H20</f>
        <v/>
      </c>
      <c r="I20" s="8" t="str">
        <f>'[2]2.0WP'!I20</f>
        <v/>
      </c>
      <c r="J20" s="8">
        <f>'[2]2.0WP'!J20</f>
        <v>4</v>
      </c>
      <c r="K20" s="8" t="str">
        <f>'[2]2.0WP'!K20</f>
        <v/>
      </c>
      <c r="L20" s="8" t="str">
        <f>'[2]2.0WP'!L20</f>
        <v/>
      </c>
      <c r="M20" s="8" t="str">
        <f>'[2]2.0WP'!M20</f>
        <v/>
      </c>
      <c r="N20" s="8" t="str">
        <f>'[2]2.0WP'!N20</f>
        <v/>
      </c>
      <c r="O20" s="8" t="str">
        <f>'[2]2.0WP'!O20</f>
        <v/>
      </c>
      <c r="P20" s="8">
        <f>'[2]2.0WP'!P20</f>
        <v>4</v>
      </c>
      <c r="Q20" s="8">
        <f>'[2]2.0WP'!Q20</f>
        <v>4</v>
      </c>
      <c r="R20" s="8" t="str">
        <f>'[2]2.0WP'!R20</f>
        <v/>
      </c>
      <c r="S20" s="8">
        <f>'[2]2.0WP'!S20</f>
        <v>4</v>
      </c>
      <c r="T20" s="9">
        <f t="shared" si="4"/>
        <v>16</v>
      </c>
      <c r="U20" s="8" t="str">
        <f>'[2]2.0WP'!U20</f>
        <v/>
      </c>
      <c r="V20" s="8" t="str">
        <f>'[2]2.0WP'!V20</f>
        <v/>
      </c>
      <c r="W20" s="8" t="str">
        <f>'[2]2.0WP'!W20</f>
        <v/>
      </c>
      <c r="X20" s="8" t="str">
        <f>'[2]2.0WP'!X20</f>
        <v/>
      </c>
      <c r="Y20" s="8">
        <f>'[2]2.0WP'!Y20</f>
        <v>4</v>
      </c>
      <c r="Z20" s="8" t="str">
        <f>'[2]2.0WP'!Z20</f>
        <v/>
      </c>
      <c r="AA20" s="8" t="str">
        <f>'[2]2.0WP'!AA20</f>
        <v/>
      </c>
      <c r="AB20" s="8" t="str">
        <f>'[2]2.0WP'!AB20</f>
        <v/>
      </c>
      <c r="AC20" s="8" t="str">
        <f>'[2]2.0WP'!AC20</f>
        <v/>
      </c>
      <c r="AD20" s="8" t="str">
        <f>'[2]2.0WP'!AD20</f>
        <v/>
      </c>
      <c r="AE20" s="8" t="str">
        <f>'[2]2.0WP'!AE20</f>
        <v/>
      </c>
      <c r="AF20" s="8" t="str">
        <f>'[2]2.0WP'!AF20</f>
        <v/>
      </c>
      <c r="AG20" s="8" t="str">
        <f>'[2]2.0WP'!AG20</f>
        <v/>
      </c>
      <c r="AH20" s="8" t="str">
        <f>'[2]2.0WP'!AH20</f>
        <v/>
      </c>
      <c r="AI20" s="8" t="str">
        <f>'[2]2.0WP'!AI20</f>
        <v/>
      </c>
      <c r="AJ20" s="8" t="str">
        <f>'[2]2.0WP'!AJ20</f>
        <v/>
      </c>
      <c r="AK20" s="17">
        <f t="shared" si="1"/>
        <v>4</v>
      </c>
      <c r="AL20" s="10">
        <f t="shared" si="2"/>
        <v>20</v>
      </c>
    </row>
    <row r="21" spans="1:38" x14ac:dyDescent="0.25">
      <c r="A21" s="12" t="str">
        <f>'[2]2.0WS'!A21</f>
        <v>17</v>
      </c>
      <c r="B21" s="13" t="str">
        <f>'[2]2.0WS'!B21</f>
        <v>ARIYALUR</v>
      </c>
      <c r="C21" s="8">
        <f>'[2]2.0WP'!C21</f>
        <v>0</v>
      </c>
      <c r="D21" s="8" t="str">
        <f>'[2]2.0WP'!D21</f>
        <v/>
      </c>
      <c r="E21" s="8">
        <f>'[2]2.0WP'!E21</f>
        <v>4</v>
      </c>
      <c r="F21" s="8" t="str">
        <f>'[2]2.0WP'!F21</f>
        <v/>
      </c>
      <c r="G21" s="8" t="str">
        <f>'[2]2.0WP'!G21</f>
        <v/>
      </c>
      <c r="H21" s="8">
        <f>'[2]2.0WP'!H21</f>
        <v>4</v>
      </c>
      <c r="I21" s="8" t="str">
        <f>'[2]2.0WP'!I21</f>
        <v/>
      </c>
      <c r="J21" s="8">
        <f>'[2]2.0WP'!J21</f>
        <v>4</v>
      </c>
      <c r="K21" s="8" t="str">
        <f>'[2]2.0WP'!K21</f>
        <v/>
      </c>
      <c r="L21" s="8" t="str">
        <f>'[2]2.0WP'!L21</f>
        <v/>
      </c>
      <c r="M21" s="8">
        <f>'[2]2.0WP'!M21</f>
        <v>0</v>
      </c>
      <c r="N21" s="8" t="str">
        <f>'[2]2.0WP'!N21</f>
        <v/>
      </c>
      <c r="O21" s="8">
        <f>'[2]2.0WP'!O21</f>
        <v>4</v>
      </c>
      <c r="P21" s="8" t="str">
        <f>'[2]2.0WP'!P21</f>
        <v/>
      </c>
      <c r="Q21" s="8">
        <f>'[2]2.0WP'!Q21</f>
        <v>4</v>
      </c>
      <c r="R21" s="8" t="str">
        <f>'[2]2.0WP'!R21</f>
        <v/>
      </c>
      <c r="S21" s="8" t="str">
        <f>'[2]2.0WP'!S21</f>
        <v/>
      </c>
      <c r="T21" s="9">
        <f t="shared" si="4"/>
        <v>20</v>
      </c>
      <c r="U21" s="8" t="str">
        <f>'[2]2.0WP'!U21</f>
        <v/>
      </c>
      <c r="V21" s="8" t="str">
        <f>'[2]2.0WP'!V21</f>
        <v/>
      </c>
      <c r="W21" s="8" t="str">
        <f>'[2]2.0WP'!W21</f>
        <v/>
      </c>
      <c r="X21" s="8" t="str">
        <f>'[2]2.0WP'!X21</f>
        <v/>
      </c>
      <c r="Y21" s="8">
        <f>'[2]2.0WP'!Y21</f>
        <v>0</v>
      </c>
      <c r="Z21" s="8">
        <f>'[2]2.0WP'!Z21</f>
        <v>4</v>
      </c>
      <c r="AA21" s="8" t="str">
        <f>'[2]2.0WP'!AA21</f>
        <v/>
      </c>
      <c r="AB21" s="8" t="str">
        <f>'[2]2.0WP'!AB21</f>
        <v/>
      </c>
      <c r="AC21" s="8" t="str">
        <f>'[2]2.0WP'!AC21</f>
        <v/>
      </c>
      <c r="AD21" s="8" t="str">
        <f>'[2]2.0WP'!AD21</f>
        <v/>
      </c>
      <c r="AE21" s="8" t="str">
        <f>'[2]2.0WP'!AE21</f>
        <v/>
      </c>
      <c r="AF21" s="8" t="str">
        <f>'[2]2.0WP'!AF21</f>
        <v/>
      </c>
      <c r="AG21" s="8" t="str">
        <f>'[2]2.0WP'!AG21</f>
        <v/>
      </c>
      <c r="AH21" s="8" t="str">
        <f>'[2]2.0WP'!AH21</f>
        <v/>
      </c>
      <c r="AI21" s="8" t="str">
        <f>'[2]2.0WP'!AI21</f>
        <v/>
      </c>
      <c r="AJ21" s="8" t="str">
        <f>'[2]2.0WP'!AJ21</f>
        <v/>
      </c>
      <c r="AK21" s="17">
        <f t="shared" si="1"/>
        <v>4</v>
      </c>
      <c r="AL21" s="10">
        <f t="shared" si="2"/>
        <v>24</v>
      </c>
    </row>
    <row r="22" spans="1:38" s="3" customFormat="1" ht="14.4" customHeight="1" x14ac:dyDescent="0.25">
      <c r="A22" s="19" t="str">
        <f>'[2]2.0WS'!A22</f>
        <v>SRO TIRUCHIRAPALLI TOTAL</v>
      </c>
      <c r="B22" s="19"/>
      <c r="C22" s="14">
        <f t="shared" ref="C22:S22" si="10">SUM(C18:C21)</f>
        <v>0</v>
      </c>
      <c r="D22" s="14">
        <f t="shared" si="10"/>
        <v>0</v>
      </c>
      <c r="E22" s="14">
        <f t="shared" si="10"/>
        <v>4</v>
      </c>
      <c r="F22" s="14">
        <f t="shared" si="10"/>
        <v>4</v>
      </c>
      <c r="G22" s="14">
        <f t="shared" si="10"/>
        <v>4</v>
      </c>
      <c r="H22" s="14">
        <f t="shared" si="10"/>
        <v>4</v>
      </c>
      <c r="I22" s="14">
        <f t="shared" si="10"/>
        <v>0</v>
      </c>
      <c r="J22" s="14">
        <f t="shared" si="10"/>
        <v>8</v>
      </c>
      <c r="K22" s="14">
        <f t="shared" si="10"/>
        <v>0</v>
      </c>
      <c r="L22" s="14">
        <f t="shared" si="10"/>
        <v>0</v>
      </c>
      <c r="M22" s="14">
        <f t="shared" si="10"/>
        <v>0</v>
      </c>
      <c r="N22" s="14">
        <f t="shared" si="10"/>
        <v>4</v>
      </c>
      <c r="O22" s="14">
        <f t="shared" si="10"/>
        <v>4</v>
      </c>
      <c r="P22" s="14">
        <f t="shared" si="10"/>
        <v>8</v>
      </c>
      <c r="Q22" s="14">
        <f t="shared" si="10"/>
        <v>8</v>
      </c>
      <c r="R22" s="14">
        <f t="shared" si="10"/>
        <v>0</v>
      </c>
      <c r="S22" s="14">
        <f t="shared" si="10"/>
        <v>4</v>
      </c>
      <c r="T22" s="9">
        <f t="shared" si="4"/>
        <v>52</v>
      </c>
      <c r="U22" s="14">
        <f t="shared" ref="U22:AJ22" si="11">SUM(U18:U21)</f>
        <v>0</v>
      </c>
      <c r="V22" s="14">
        <f t="shared" si="11"/>
        <v>4</v>
      </c>
      <c r="W22" s="14">
        <f t="shared" si="11"/>
        <v>0</v>
      </c>
      <c r="X22" s="14">
        <f t="shared" si="11"/>
        <v>0</v>
      </c>
      <c r="Y22" s="14">
        <f t="shared" si="11"/>
        <v>4</v>
      </c>
      <c r="Z22" s="14">
        <f t="shared" si="11"/>
        <v>4</v>
      </c>
      <c r="AA22" s="14">
        <f t="shared" si="11"/>
        <v>0</v>
      </c>
      <c r="AB22" s="14">
        <f t="shared" si="11"/>
        <v>0</v>
      </c>
      <c r="AC22" s="14">
        <f t="shared" si="11"/>
        <v>0</v>
      </c>
      <c r="AD22" s="14">
        <f t="shared" si="11"/>
        <v>0</v>
      </c>
      <c r="AE22" s="14">
        <f t="shared" si="11"/>
        <v>0</v>
      </c>
      <c r="AF22" s="14">
        <f t="shared" si="11"/>
        <v>4</v>
      </c>
      <c r="AG22" s="14">
        <f t="shared" si="11"/>
        <v>0</v>
      </c>
      <c r="AH22" s="14">
        <f t="shared" si="11"/>
        <v>4</v>
      </c>
      <c r="AI22" s="14">
        <f t="shared" si="11"/>
        <v>0</v>
      </c>
      <c r="AJ22" s="14">
        <f t="shared" si="11"/>
        <v>0</v>
      </c>
      <c r="AK22" s="17">
        <f t="shared" si="1"/>
        <v>20</v>
      </c>
      <c r="AL22" s="10">
        <f t="shared" si="2"/>
        <v>72</v>
      </c>
    </row>
    <row r="23" spans="1:38" s="3" customFormat="1" ht="14.4" customHeight="1" x14ac:dyDescent="0.25">
      <c r="A23" s="20" t="str">
        <f>'[2]2.0WS'!A23</f>
        <v>RO COIMBATORE TOTAL</v>
      </c>
      <c r="B23" s="20"/>
      <c r="C23" s="15">
        <f>SUM(C22,C17,C14,C10)</f>
        <v>4</v>
      </c>
      <c r="D23" s="15">
        <f t="shared" ref="D23:S23" si="12">SUM(D22,D17,D14,D10)</f>
        <v>0</v>
      </c>
      <c r="E23" s="15">
        <f t="shared" si="12"/>
        <v>8</v>
      </c>
      <c r="F23" s="15">
        <f t="shared" si="12"/>
        <v>28</v>
      </c>
      <c r="G23" s="15">
        <f t="shared" si="12"/>
        <v>4</v>
      </c>
      <c r="H23" s="15">
        <f t="shared" si="12"/>
        <v>8</v>
      </c>
      <c r="I23" s="15">
        <f t="shared" si="12"/>
        <v>0</v>
      </c>
      <c r="J23" s="15">
        <f t="shared" si="12"/>
        <v>16</v>
      </c>
      <c r="K23" s="15">
        <f t="shared" si="12"/>
        <v>12</v>
      </c>
      <c r="L23" s="15">
        <f t="shared" si="12"/>
        <v>24</v>
      </c>
      <c r="M23" s="15">
        <f t="shared" si="12"/>
        <v>4</v>
      </c>
      <c r="N23" s="15">
        <f t="shared" si="12"/>
        <v>12</v>
      </c>
      <c r="O23" s="15">
        <f t="shared" si="12"/>
        <v>8</v>
      </c>
      <c r="P23" s="15">
        <f t="shared" si="12"/>
        <v>28</v>
      </c>
      <c r="Q23" s="15">
        <f t="shared" si="12"/>
        <v>20</v>
      </c>
      <c r="R23" s="15">
        <f t="shared" si="12"/>
        <v>4</v>
      </c>
      <c r="S23" s="15">
        <f t="shared" si="12"/>
        <v>16</v>
      </c>
      <c r="T23" s="9">
        <f t="shared" si="4"/>
        <v>196</v>
      </c>
      <c r="U23" s="15">
        <f t="shared" ref="U23:AJ23" si="13">SUM(U22,U17,U14,U10)</f>
        <v>12</v>
      </c>
      <c r="V23" s="15">
        <f t="shared" si="13"/>
        <v>14</v>
      </c>
      <c r="W23" s="15">
        <f t="shared" si="13"/>
        <v>10</v>
      </c>
      <c r="X23" s="15">
        <f t="shared" si="13"/>
        <v>0</v>
      </c>
      <c r="Y23" s="15">
        <f t="shared" si="13"/>
        <v>16</v>
      </c>
      <c r="Z23" s="15">
        <f t="shared" si="13"/>
        <v>4</v>
      </c>
      <c r="AA23" s="15">
        <f t="shared" si="13"/>
        <v>0</v>
      </c>
      <c r="AB23" s="15">
        <f t="shared" si="13"/>
        <v>0</v>
      </c>
      <c r="AC23" s="15">
        <f t="shared" si="13"/>
        <v>0</v>
      </c>
      <c r="AD23" s="15">
        <f t="shared" si="13"/>
        <v>0</v>
      </c>
      <c r="AE23" s="15">
        <f t="shared" si="13"/>
        <v>8</v>
      </c>
      <c r="AF23" s="15">
        <f t="shared" si="13"/>
        <v>4</v>
      </c>
      <c r="AG23" s="15">
        <f t="shared" si="13"/>
        <v>4</v>
      </c>
      <c r="AH23" s="15">
        <f t="shared" si="13"/>
        <v>40</v>
      </c>
      <c r="AI23" s="15">
        <f t="shared" si="13"/>
        <v>0</v>
      </c>
      <c r="AJ23" s="15">
        <f t="shared" si="13"/>
        <v>4</v>
      </c>
      <c r="AK23" s="17">
        <f t="shared" si="1"/>
        <v>116</v>
      </c>
      <c r="AL23" s="10">
        <f t="shared" si="2"/>
        <v>312</v>
      </c>
    </row>
    <row r="24" spans="1:38" x14ac:dyDescent="0.25">
      <c r="A24" s="12" t="str">
        <f>'[2]2.0WS'!A24</f>
        <v>01</v>
      </c>
      <c r="B24" s="13" t="str">
        <f>'[2]2.0WS'!B24</f>
        <v>THIRUVALLUR</v>
      </c>
      <c r="C24" s="8">
        <f>'[2]2.0WP'!C24</f>
        <v>4</v>
      </c>
      <c r="D24" s="8" t="str">
        <f>'[2]2.0WP'!D24</f>
        <v/>
      </c>
      <c r="E24" s="8">
        <f>'[2]2.0WP'!E24</f>
        <v>4</v>
      </c>
      <c r="F24" s="8" t="str">
        <f>'[2]2.0WP'!F24</f>
        <v/>
      </c>
      <c r="G24" s="8" t="str">
        <f>'[2]2.0WP'!G24</f>
        <v/>
      </c>
      <c r="H24" s="8" t="str">
        <f>'[2]2.0WP'!H24</f>
        <v/>
      </c>
      <c r="I24" s="8" t="str">
        <f>'[2]2.0WP'!I24</f>
        <v/>
      </c>
      <c r="J24" s="8" t="str">
        <f>'[2]2.0WP'!J24</f>
        <v/>
      </c>
      <c r="K24" s="8" t="str">
        <f>'[2]2.0WP'!K24</f>
        <v/>
      </c>
      <c r="L24" s="8" t="str">
        <f>'[2]2.0WP'!L24</f>
        <v/>
      </c>
      <c r="M24" s="8" t="str">
        <f>'[2]2.0WP'!M24</f>
        <v/>
      </c>
      <c r="N24" s="8" t="str">
        <f>'[2]2.0WP'!N24</f>
        <v/>
      </c>
      <c r="O24" s="8" t="str">
        <f>'[2]2.0WP'!O24</f>
        <v/>
      </c>
      <c r="P24" s="8" t="str">
        <f>'[2]2.0WP'!P24</f>
        <v/>
      </c>
      <c r="Q24" s="8" t="str">
        <f>'[2]2.0WP'!Q24</f>
        <v/>
      </c>
      <c r="R24" s="8" t="str">
        <f>'[2]2.0WP'!R24</f>
        <v/>
      </c>
      <c r="S24" s="8">
        <f>'[2]2.0WP'!S24</f>
        <v>4</v>
      </c>
      <c r="T24" s="9">
        <f t="shared" si="4"/>
        <v>12</v>
      </c>
      <c r="U24" s="8">
        <f>'[2]2.0WP'!U24</f>
        <v>4</v>
      </c>
      <c r="V24" s="8" t="str">
        <f>'[2]2.0WP'!V24</f>
        <v/>
      </c>
      <c r="W24" s="8" t="str">
        <f>'[2]2.0WP'!W24</f>
        <v/>
      </c>
      <c r="X24" s="8" t="str">
        <f>'[2]2.0WP'!X24</f>
        <v/>
      </c>
      <c r="Y24" s="8">
        <f>'[2]2.0WP'!Y24</f>
        <v>4</v>
      </c>
      <c r="Z24" s="8" t="str">
        <f>'[2]2.0WP'!Z24</f>
        <v/>
      </c>
      <c r="AA24" s="8" t="str">
        <f>'[2]2.0WP'!AA24</f>
        <v/>
      </c>
      <c r="AB24" s="8" t="str">
        <f>'[2]2.0WP'!AB24</f>
        <v/>
      </c>
      <c r="AC24" s="8">
        <f>'[2]2.0WP'!AC24</f>
        <v>4</v>
      </c>
      <c r="AD24" s="8" t="str">
        <f>'[2]2.0WP'!AD24</f>
        <v/>
      </c>
      <c r="AE24" s="8" t="str">
        <f>'[2]2.0WP'!AE24</f>
        <v/>
      </c>
      <c r="AF24" s="8" t="str">
        <f>'[2]2.0WP'!AF24</f>
        <v/>
      </c>
      <c r="AG24" s="8" t="str">
        <f>'[2]2.0WP'!AG24</f>
        <v/>
      </c>
      <c r="AH24" s="8" t="str">
        <f>'[2]2.0WP'!AH24</f>
        <v/>
      </c>
      <c r="AI24" s="8" t="str">
        <f>'[2]2.0WP'!AI24</f>
        <v/>
      </c>
      <c r="AJ24" s="8" t="str">
        <f>'[2]2.0WP'!AJ24</f>
        <v/>
      </c>
      <c r="AK24" s="17">
        <f t="shared" si="1"/>
        <v>12</v>
      </c>
      <c r="AL24" s="10">
        <f t="shared" si="2"/>
        <v>24</v>
      </c>
    </row>
    <row r="25" spans="1:38" x14ac:dyDescent="0.25">
      <c r="A25" s="12" t="str">
        <f>'[2]2.0WS'!A25</f>
        <v>03</v>
      </c>
      <c r="B25" s="13" t="str">
        <f>'[2]2.0WS'!B25</f>
        <v>KANCHEEPURAM</v>
      </c>
      <c r="C25" s="8">
        <f>'[2]2.0WP'!C25</f>
        <v>4</v>
      </c>
      <c r="D25" s="8" t="str">
        <f>'[2]2.0WP'!D25</f>
        <v/>
      </c>
      <c r="E25" s="8" t="str">
        <f>'[2]2.0WP'!E25</f>
        <v/>
      </c>
      <c r="F25" s="8" t="str">
        <f>'[2]2.0WP'!F25</f>
        <v/>
      </c>
      <c r="G25" s="8" t="str">
        <f>'[2]2.0WP'!G25</f>
        <v/>
      </c>
      <c r="H25" s="8" t="str">
        <f>'[2]2.0WP'!H25</f>
        <v/>
      </c>
      <c r="I25" s="8" t="str">
        <f>'[2]2.0WP'!I25</f>
        <v/>
      </c>
      <c r="J25" s="8" t="str">
        <f>'[2]2.0WP'!J25</f>
        <v/>
      </c>
      <c r="K25" s="8" t="str">
        <f>'[2]2.0WP'!K25</f>
        <v/>
      </c>
      <c r="L25" s="8" t="str">
        <f>'[2]2.0WP'!L25</f>
        <v/>
      </c>
      <c r="M25" s="8">
        <f>'[2]2.0WP'!M25</f>
        <v>0</v>
      </c>
      <c r="N25" s="8" t="str">
        <f>'[2]2.0WP'!N25</f>
        <v/>
      </c>
      <c r="O25" s="8" t="str">
        <f>'[2]2.0WP'!O25</f>
        <v/>
      </c>
      <c r="P25" s="8" t="str">
        <f>'[2]2.0WP'!P25</f>
        <v/>
      </c>
      <c r="Q25" s="8" t="str">
        <f>'[2]2.0WP'!Q25</f>
        <v/>
      </c>
      <c r="R25" s="8" t="str">
        <f>'[2]2.0WP'!R25</f>
        <v/>
      </c>
      <c r="S25" s="8" t="str">
        <f>'[2]2.0WP'!S25</f>
        <v/>
      </c>
      <c r="T25" s="9">
        <f t="shared" si="4"/>
        <v>4</v>
      </c>
      <c r="U25" s="8" t="str">
        <f>'[2]2.0WP'!U25</f>
        <v/>
      </c>
      <c r="V25" s="8" t="str">
        <f>'[2]2.0WP'!V25</f>
        <v/>
      </c>
      <c r="W25" s="8" t="str">
        <f>'[2]2.0WP'!W25</f>
        <v/>
      </c>
      <c r="X25" s="8" t="str">
        <f>'[2]2.0WP'!X25</f>
        <v/>
      </c>
      <c r="Y25" s="8" t="str">
        <f>'[2]2.0WP'!Y25</f>
        <v/>
      </c>
      <c r="Z25" s="8" t="str">
        <f>'[2]2.0WP'!Z25</f>
        <v/>
      </c>
      <c r="AA25" s="8" t="str">
        <f>'[2]2.0WP'!AA25</f>
        <v/>
      </c>
      <c r="AB25" s="8" t="str">
        <f>'[2]2.0WP'!AB25</f>
        <v/>
      </c>
      <c r="AC25" s="8" t="str">
        <f>'[2]2.0WP'!AC25</f>
        <v/>
      </c>
      <c r="AD25" s="8" t="str">
        <f>'[2]2.0WP'!AD25</f>
        <v/>
      </c>
      <c r="AE25" s="8" t="str">
        <f>'[2]2.0WP'!AE25</f>
        <v/>
      </c>
      <c r="AF25" s="8" t="str">
        <f>'[2]2.0WP'!AF25</f>
        <v/>
      </c>
      <c r="AG25" s="8" t="str">
        <f>'[2]2.0WP'!AG25</f>
        <v/>
      </c>
      <c r="AH25" s="8" t="str">
        <f>'[2]2.0WP'!AH25</f>
        <v/>
      </c>
      <c r="AI25" s="8" t="str">
        <f>'[2]2.0WP'!AI25</f>
        <v/>
      </c>
      <c r="AJ25" s="8" t="str">
        <f>'[2]2.0WP'!AJ25</f>
        <v/>
      </c>
      <c r="AK25" s="17">
        <f t="shared" si="1"/>
        <v>0</v>
      </c>
      <c r="AL25" s="10">
        <f t="shared" si="2"/>
        <v>4</v>
      </c>
    </row>
    <row r="26" spans="1:38" x14ac:dyDescent="0.25">
      <c r="A26" s="12" t="str">
        <f>'[2]2.0WS'!A26</f>
        <v>33</v>
      </c>
      <c r="B26" s="13" t="str">
        <f>'[2]2.0WS'!B26</f>
        <v>CHENGALPATTU</v>
      </c>
      <c r="C26" s="8">
        <f>'[2]2.0WP'!C26</f>
        <v>4</v>
      </c>
      <c r="D26" s="8" t="str">
        <f>'[2]2.0WP'!D26</f>
        <v/>
      </c>
      <c r="E26" s="8">
        <f>'[2]2.0WP'!E26</f>
        <v>4</v>
      </c>
      <c r="F26" s="8" t="str">
        <f>'[2]2.0WP'!F26</f>
        <v/>
      </c>
      <c r="G26" s="8" t="str">
        <f>'[2]2.0WP'!G26</f>
        <v/>
      </c>
      <c r="H26" s="8" t="str">
        <f>'[2]2.0WP'!H26</f>
        <v/>
      </c>
      <c r="I26" s="8" t="str">
        <f>'[2]2.0WP'!I26</f>
        <v/>
      </c>
      <c r="J26" s="8" t="str">
        <f>'[2]2.0WP'!J26</f>
        <v/>
      </c>
      <c r="K26" s="8" t="str">
        <f>'[2]2.0WP'!K26</f>
        <v/>
      </c>
      <c r="L26" s="8" t="str">
        <f>'[2]2.0WP'!L26</f>
        <v/>
      </c>
      <c r="M26" s="8" t="str">
        <f>'[2]2.0WP'!M26</f>
        <v/>
      </c>
      <c r="N26" s="8" t="str">
        <f>'[2]2.0WP'!N26</f>
        <v/>
      </c>
      <c r="O26" s="8">
        <f>'[2]2.0WP'!O26</f>
        <v>4</v>
      </c>
      <c r="P26" s="8" t="str">
        <f>'[2]2.0WP'!P26</f>
        <v/>
      </c>
      <c r="Q26" s="8" t="str">
        <f>'[2]2.0WP'!Q26</f>
        <v/>
      </c>
      <c r="R26" s="8" t="str">
        <f>'[2]2.0WP'!R26</f>
        <v/>
      </c>
      <c r="S26" s="8" t="str">
        <f>'[2]2.0WP'!S26</f>
        <v/>
      </c>
      <c r="T26" s="9">
        <f t="shared" si="4"/>
        <v>12</v>
      </c>
      <c r="U26" s="8" t="str">
        <f>'[2]2.0WP'!U26</f>
        <v/>
      </c>
      <c r="V26" s="8" t="str">
        <f>'[2]2.0WP'!V26</f>
        <v/>
      </c>
      <c r="W26" s="8" t="str">
        <f>'[2]2.0WP'!W26</f>
        <v/>
      </c>
      <c r="X26" s="8" t="str">
        <f>'[2]2.0WP'!X26</f>
        <v/>
      </c>
      <c r="Y26" s="8">
        <f>'[2]2.0WP'!Y26</f>
        <v>4</v>
      </c>
      <c r="Z26" s="8" t="str">
        <f>'[2]2.0WP'!Z26</f>
        <v/>
      </c>
      <c r="AA26" s="8" t="str">
        <f>'[2]2.0WP'!AA26</f>
        <v/>
      </c>
      <c r="AB26" s="8" t="str">
        <f>'[2]2.0WP'!AB26</f>
        <v/>
      </c>
      <c r="AC26" s="8" t="str">
        <f>'[2]2.0WP'!AC26</f>
        <v/>
      </c>
      <c r="AD26" s="8" t="str">
        <f>'[2]2.0WP'!AD26</f>
        <v/>
      </c>
      <c r="AE26" s="8" t="str">
        <f>'[2]2.0WP'!AE26</f>
        <v/>
      </c>
      <c r="AF26" s="8" t="str">
        <f>'[2]2.0WP'!AF26</f>
        <v/>
      </c>
      <c r="AG26" s="8" t="str">
        <f>'[2]2.0WP'!AG26</f>
        <v/>
      </c>
      <c r="AH26" s="8" t="str">
        <f>'[2]2.0WP'!AH26</f>
        <v/>
      </c>
      <c r="AI26" s="8" t="str">
        <f>'[2]2.0WP'!AI26</f>
        <v/>
      </c>
      <c r="AJ26" s="8" t="str">
        <f>'[2]2.0WP'!AJ26</f>
        <v/>
      </c>
      <c r="AK26" s="17">
        <f t="shared" si="1"/>
        <v>4</v>
      </c>
      <c r="AL26" s="10">
        <f t="shared" si="2"/>
        <v>16</v>
      </c>
    </row>
    <row r="27" spans="1:38" s="3" customFormat="1" ht="14.4" customHeight="1" x14ac:dyDescent="0.25">
      <c r="A27" s="19" t="str">
        <f>'[2]2.0WS'!A27</f>
        <v>SRO CHENNAI TOTAL</v>
      </c>
      <c r="B27" s="19"/>
      <c r="C27" s="14">
        <f t="shared" ref="C27:S27" si="14">SUM(C24:C26)</f>
        <v>12</v>
      </c>
      <c r="D27" s="14">
        <f t="shared" si="14"/>
        <v>0</v>
      </c>
      <c r="E27" s="14">
        <f t="shared" si="14"/>
        <v>8</v>
      </c>
      <c r="F27" s="14">
        <f t="shared" si="14"/>
        <v>0</v>
      </c>
      <c r="G27" s="14">
        <f t="shared" si="14"/>
        <v>0</v>
      </c>
      <c r="H27" s="14">
        <f t="shared" si="14"/>
        <v>0</v>
      </c>
      <c r="I27" s="14">
        <f t="shared" si="14"/>
        <v>0</v>
      </c>
      <c r="J27" s="14">
        <f t="shared" si="14"/>
        <v>0</v>
      </c>
      <c r="K27" s="14">
        <f t="shared" si="14"/>
        <v>0</v>
      </c>
      <c r="L27" s="14">
        <f t="shared" si="14"/>
        <v>0</v>
      </c>
      <c r="M27" s="14">
        <f t="shared" si="14"/>
        <v>0</v>
      </c>
      <c r="N27" s="14">
        <f t="shared" si="14"/>
        <v>0</v>
      </c>
      <c r="O27" s="14">
        <f t="shared" si="14"/>
        <v>4</v>
      </c>
      <c r="P27" s="14">
        <f t="shared" si="14"/>
        <v>0</v>
      </c>
      <c r="Q27" s="14">
        <f t="shared" si="14"/>
        <v>0</v>
      </c>
      <c r="R27" s="14">
        <f t="shared" si="14"/>
        <v>0</v>
      </c>
      <c r="S27" s="14">
        <f t="shared" si="14"/>
        <v>4</v>
      </c>
      <c r="T27" s="9">
        <f t="shared" si="4"/>
        <v>28</v>
      </c>
      <c r="U27" s="14">
        <f t="shared" ref="U27:AJ27" si="15">SUM(U24:U26)</f>
        <v>4</v>
      </c>
      <c r="V27" s="14">
        <f t="shared" si="15"/>
        <v>0</v>
      </c>
      <c r="W27" s="14">
        <f t="shared" si="15"/>
        <v>0</v>
      </c>
      <c r="X27" s="14">
        <f t="shared" si="15"/>
        <v>0</v>
      </c>
      <c r="Y27" s="14">
        <f t="shared" si="15"/>
        <v>8</v>
      </c>
      <c r="Z27" s="14">
        <f t="shared" si="15"/>
        <v>0</v>
      </c>
      <c r="AA27" s="14">
        <f t="shared" si="15"/>
        <v>0</v>
      </c>
      <c r="AB27" s="14">
        <f t="shared" si="15"/>
        <v>0</v>
      </c>
      <c r="AC27" s="14">
        <f t="shared" si="15"/>
        <v>4</v>
      </c>
      <c r="AD27" s="14">
        <f t="shared" si="15"/>
        <v>0</v>
      </c>
      <c r="AE27" s="14">
        <f t="shared" si="15"/>
        <v>0</v>
      </c>
      <c r="AF27" s="14">
        <f t="shared" si="15"/>
        <v>0</v>
      </c>
      <c r="AG27" s="14">
        <f t="shared" si="15"/>
        <v>0</v>
      </c>
      <c r="AH27" s="14">
        <f t="shared" si="15"/>
        <v>0</v>
      </c>
      <c r="AI27" s="14">
        <f t="shared" si="15"/>
        <v>0</v>
      </c>
      <c r="AJ27" s="14">
        <f t="shared" si="15"/>
        <v>0</v>
      </c>
      <c r="AK27" s="17">
        <f t="shared" si="1"/>
        <v>16</v>
      </c>
      <c r="AL27" s="10">
        <f t="shared" si="2"/>
        <v>44</v>
      </c>
    </row>
    <row r="28" spans="1:38" x14ac:dyDescent="0.25">
      <c r="A28" s="12" t="str">
        <f>'[2]2.0WS'!A28</f>
        <v>07</v>
      </c>
      <c r="B28" s="13" t="str">
        <f>'[2]2.0WS'!B28</f>
        <v>VILUPPURAM</v>
      </c>
      <c r="C28" s="8" t="str">
        <f>'[2]2.0WP'!C28</f>
        <v/>
      </c>
      <c r="D28" s="8" t="str">
        <f>'[2]2.0WP'!D28</f>
        <v/>
      </c>
      <c r="E28" s="8" t="str">
        <f>'[2]2.0WP'!E28</f>
        <v/>
      </c>
      <c r="F28" s="8" t="str">
        <f>'[2]2.0WP'!F28</f>
        <v/>
      </c>
      <c r="G28" s="8" t="str">
        <f>'[2]2.0WP'!G28</f>
        <v/>
      </c>
      <c r="H28" s="8" t="str">
        <f>'[2]2.0WP'!H28</f>
        <v/>
      </c>
      <c r="I28" s="8" t="str">
        <f>'[2]2.0WP'!I28</f>
        <v/>
      </c>
      <c r="J28" s="8" t="str">
        <f>'[2]2.0WP'!J28</f>
        <v/>
      </c>
      <c r="K28" s="8" t="str">
        <f>'[2]2.0WP'!K28</f>
        <v/>
      </c>
      <c r="L28" s="8" t="str">
        <f>'[2]2.0WP'!L28</f>
        <v/>
      </c>
      <c r="M28" s="8" t="str">
        <f>'[2]2.0WP'!M28</f>
        <v/>
      </c>
      <c r="N28" s="8" t="str">
        <f>'[2]2.0WP'!N28</f>
        <v/>
      </c>
      <c r="O28" s="8" t="str">
        <f>'[2]2.0WP'!O28</f>
        <v/>
      </c>
      <c r="P28" s="8" t="str">
        <f>'[2]2.0WP'!P28</f>
        <v/>
      </c>
      <c r="Q28" s="8" t="str">
        <f>'[2]2.0WP'!Q28</f>
        <v/>
      </c>
      <c r="R28" s="8" t="str">
        <f>'[2]2.0WP'!R28</f>
        <v/>
      </c>
      <c r="S28" s="8" t="str">
        <f>'[2]2.0WP'!S28</f>
        <v/>
      </c>
      <c r="T28" s="9">
        <f t="shared" si="4"/>
        <v>0</v>
      </c>
      <c r="U28" s="8" t="str">
        <f>'[2]2.0WP'!U28</f>
        <v/>
      </c>
      <c r="V28" s="8" t="str">
        <f>'[2]2.0WP'!V28</f>
        <v/>
      </c>
      <c r="W28" s="8" t="str">
        <f>'[2]2.0WP'!W28</f>
        <v/>
      </c>
      <c r="X28" s="8" t="str">
        <f>'[2]2.0WP'!X28</f>
        <v/>
      </c>
      <c r="Y28" s="8" t="str">
        <f>'[2]2.0WP'!Y28</f>
        <v/>
      </c>
      <c r="Z28" s="8" t="str">
        <f>'[2]2.0WP'!Z28</f>
        <v/>
      </c>
      <c r="AA28" s="8" t="str">
        <f>'[2]2.0WP'!AA28</f>
        <v/>
      </c>
      <c r="AB28" s="8" t="str">
        <f>'[2]2.0WP'!AB28</f>
        <v/>
      </c>
      <c r="AC28" s="8" t="str">
        <f>'[2]2.0WP'!AC28</f>
        <v/>
      </c>
      <c r="AD28" s="8" t="str">
        <f>'[2]2.0WP'!AD28</f>
        <v/>
      </c>
      <c r="AE28" s="8" t="str">
        <f>'[2]2.0WP'!AE28</f>
        <v/>
      </c>
      <c r="AF28" s="8" t="str">
        <f>'[2]2.0WP'!AF28</f>
        <v/>
      </c>
      <c r="AG28" s="8" t="str">
        <f>'[2]2.0WP'!AG28</f>
        <v/>
      </c>
      <c r="AH28" s="8" t="str">
        <f>'[2]2.0WP'!AH28</f>
        <v/>
      </c>
      <c r="AI28" s="8" t="str">
        <f>'[2]2.0WP'!AI28</f>
        <v/>
      </c>
      <c r="AJ28" s="8" t="str">
        <f>'[2]2.0WP'!AJ28</f>
        <v/>
      </c>
      <c r="AK28" s="17">
        <f t="shared" si="1"/>
        <v>0</v>
      </c>
      <c r="AL28" s="10">
        <f t="shared" si="2"/>
        <v>0</v>
      </c>
    </row>
    <row r="29" spans="1:38" x14ac:dyDescent="0.25">
      <c r="A29" s="12" t="str">
        <f>'[2]2.0WS'!A29</f>
        <v>18</v>
      </c>
      <c r="B29" s="13" t="str">
        <f>'[2]2.0WS'!B29</f>
        <v>CUDDALORE</v>
      </c>
      <c r="C29" s="8">
        <f>'[2]2.0WP'!C29</f>
        <v>4</v>
      </c>
      <c r="D29" s="8" t="str">
        <f>'[2]2.0WP'!D29</f>
        <v/>
      </c>
      <c r="E29" s="8">
        <f>'[2]2.0WP'!E29</f>
        <v>6</v>
      </c>
      <c r="F29" s="8" t="str">
        <f>'[2]2.0WP'!F29</f>
        <v/>
      </c>
      <c r="G29" s="8" t="str">
        <f>'[2]2.0WP'!G29</f>
        <v/>
      </c>
      <c r="H29" s="8">
        <f>'[2]2.0WP'!H29</f>
        <v>6</v>
      </c>
      <c r="I29" s="8">
        <f>'[2]2.0WP'!I29</f>
        <v>8</v>
      </c>
      <c r="J29" s="8">
        <f>'[2]2.0WP'!J29</f>
        <v>4</v>
      </c>
      <c r="K29" s="8" t="str">
        <f>'[2]2.0WP'!K29</f>
        <v/>
      </c>
      <c r="L29" s="8" t="str">
        <f>'[2]2.0WP'!L29</f>
        <v/>
      </c>
      <c r="M29" s="8">
        <f>'[2]2.0WP'!M29</f>
        <v>4</v>
      </c>
      <c r="N29" s="8">
        <f>'[2]2.0WP'!N29</f>
        <v>4</v>
      </c>
      <c r="O29" s="8" t="str">
        <f>'[2]2.0WP'!O29</f>
        <v/>
      </c>
      <c r="P29" s="8" t="str">
        <f>'[2]2.0WP'!P29</f>
        <v/>
      </c>
      <c r="Q29" s="8">
        <f>'[2]2.0WP'!Q29</f>
        <v>4</v>
      </c>
      <c r="R29" s="8" t="str">
        <f>'[2]2.0WP'!R29</f>
        <v/>
      </c>
      <c r="S29" s="8">
        <f>'[2]2.0WP'!S29</f>
        <v>4</v>
      </c>
      <c r="T29" s="9">
        <f t="shared" si="4"/>
        <v>44</v>
      </c>
      <c r="U29" s="8">
        <f>'[2]2.0WP'!U29</f>
        <v>4</v>
      </c>
      <c r="V29" s="8" t="str">
        <f>'[2]2.0WP'!V29</f>
        <v/>
      </c>
      <c r="W29" s="8" t="str">
        <f>'[2]2.0WP'!W29</f>
        <v/>
      </c>
      <c r="X29" s="8" t="str">
        <f>'[2]2.0WP'!X29</f>
        <v/>
      </c>
      <c r="Y29" s="8">
        <f>'[2]2.0WP'!Y29</f>
        <v>0</v>
      </c>
      <c r="Z29" s="8">
        <f>'[2]2.0WP'!Z29</f>
        <v>4</v>
      </c>
      <c r="AA29" s="8" t="str">
        <f>'[2]2.0WP'!AA29</f>
        <v/>
      </c>
      <c r="AB29" s="8">
        <f>'[2]2.0WP'!AB29</f>
        <v>4</v>
      </c>
      <c r="AC29" s="8" t="str">
        <f>'[2]2.0WP'!AC29</f>
        <v/>
      </c>
      <c r="AD29" s="8" t="str">
        <f>'[2]2.0WP'!AD29</f>
        <v/>
      </c>
      <c r="AE29" s="8">
        <f>'[2]2.0WP'!AE29</f>
        <v>4</v>
      </c>
      <c r="AF29" s="8" t="str">
        <f>'[2]2.0WP'!AF29</f>
        <v/>
      </c>
      <c r="AG29" s="8" t="str">
        <f>'[2]2.0WP'!AG29</f>
        <v/>
      </c>
      <c r="AH29" s="8" t="str">
        <f>'[2]2.0WP'!AH29</f>
        <v/>
      </c>
      <c r="AI29" s="8" t="str">
        <f>'[2]2.0WP'!AI29</f>
        <v/>
      </c>
      <c r="AJ29" s="8" t="str">
        <f>'[2]2.0WP'!AJ29</f>
        <v/>
      </c>
      <c r="AK29" s="17">
        <f t="shared" si="1"/>
        <v>16</v>
      </c>
      <c r="AL29" s="10">
        <f t="shared" si="2"/>
        <v>60</v>
      </c>
    </row>
    <row r="30" spans="1:38" x14ac:dyDescent="0.25">
      <c r="A30" s="12" t="str">
        <f>'[2]2.0WS'!A30</f>
        <v>34</v>
      </c>
      <c r="B30" s="13" t="str">
        <f>'[2]2.0WS'!B30</f>
        <v>KALLAKURICHI</v>
      </c>
      <c r="C30" s="8">
        <f>'[2]2.0WP'!C30</f>
        <v>0</v>
      </c>
      <c r="D30" s="8" t="str">
        <f>'[2]2.0WP'!D30</f>
        <v/>
      </c>
      <c r="E30" s="8">
        <f>'[2]2.0WP'!E30</f>
        <v>4</v>
      </c>
      <c r="F30" s="8" t="str">
        <f>'[2]2.0WP'!F30</f>
        <v/>
      </c>
      <c r="G30" s="8" t="str">
        <f>'[2]2.0WP'!G30</f>
        <v/>
      </c>
      <c r="H30" s="8">
        <f>'[2]2.0WP'!H30</f>
        <v>14</v>
      </c>
      <c r="I30" s="8" t="str">
        <f>'[2]2.0WP'!I30</f>
        <v/>
      </c>
      <c r="J30" s="8" t="str">
        <f>'[2]2.0WP'!J30</f>
        <v/>
      </c>
      <c r="K30" s="8">
        <f>'[2]2.0WP'!K30</f>
        <v>4</v>
      </c>
      <c r="L30" s="8" t="str">
        <f>'[2]2.0WP'!L30</f>
        <v/>
      </c>
      <c r="M30" s="8" t="str">
        <f>'[2]2.0WP'!M30</f>
        <v/>
      </c>
      <c r="N30" s="8" t="str">
        <f>'[2]2.0WP'!N30</f>
        <v/>
      </c>
      <c r="O30" s="8" t="str">
        <f>'[2]2.0WP'!O30</f>
        <v/>
      </c>
      <c r="P30" s="8" t="str">
        <f>'[2]2.0WP'!P30</f>
        <v/>
      </c>
      <c r="Q30" s="8" t="str">
        <f>'[2]2.0WP'!Q30</f>
        <v/>
      </c>
      <c r="R30" s="8">
        <f>'[2]2.0WP'!R30</f>
        <v>4</v>
      </c>
      <c r="S30" s="8">
        <f>'[2]2.0WP'!S30</f>
        <v>4</v>
      </c>
      <c r="T30" s="9">
        <f t="shared" si="4"/>
        <v>30</v>
      </c>
      <c r="U30" s="8" t="str">
        <f>'[2]2.0WP'!U30</f>
        <v/>
      </c>
      <c r="V30" s="8" t="str">
        <f>'[2]2.0WP'!V30</f>
        <v/>
      </c>
      <c r="W30" s="8" t="str">
        <f>'[2]2.0WP'!W30</f>
        <v/>
      </c>
      <c r="X30" s="8" t="str">
        <f>'[2]2.0WP'!X30</f>
        <v/>
      </c>
      <c r="Y30" s="8" t="str">
        <f>'[2]2.0WP'!Y30</f>
        <v/>
      </c>
      <c r="Z30" s="8">
        <f>'[2]2.0WP'!Z30</f>
        <v>4</v>
      </c>
      <c r="AA30" s="8" t="str">
        <f>'[2]2.0WP'!AA30</f>
        <v/>
      </c>
      <c r="AB30" s="8" t="str">
        <f>'[2]2.0WP'!AB30</f>
        <v/>
      </c>
      <c r="AC30" s="8" t="str">
        <f>'[2]2.0WP'!AC30</f>
        <v/>
      </c>
      <c r="AD30" s="8" t="str">
        <f>'[2]2.0WP'!AD30</f>
        <v/>
      </c>
      <c r="AE30" s="8">
        <f>'[2]2.0WP'!AE30</f>
        <v>4</v>
      </c>
      <c r="AF30" s="8" t="str">
        <f>'[2]2.0WP'!AF30</f>
        <v/>
      </c>
      <c r="AG30" s="8" t="str">
        <f>'[2]2.0WP'!AG30</f>
        <v/>
      </c>
      <c r="AH30" s="8" t="str">
        <f>'[2]2.0WP'!AH30</f>
        <v/>
      </c>
      <c r="AI30" s="8" t="str">
        <f>'[2]2.0WP'!AI30</f>
        <v/>
      </c>
      <c r="AJ30" s="8" t="str">
        <f>'[2]2.0WP'!AJ30</f>
        <v/>
      </c>
      <c r="AK30" s="17">
        <f t="shared" si="1"/>
        <v>8</v>
      </c>
      <c r="AL30" s="10">
        <f t="shared" si="2"/>
        <v>38</v>
      </c>
    </row>
    <row r="31" spans="1:38" x14ac:dyDescent="0.25">
      <c r="A31" s="12" t="str">
        <f>'[2]2.0WS'!A31</f>
        <v>38</v>
      </c>
      <c r="B31" s="13" t="str">
        <f>'[2]2.0WS'!B31</f>
        <v>MAYILADUTHURAI</v>
      </c>
      <c r="C31" s="8" t="str">
        <f>'[2]2.0WP'!C31</f>
        <v/>
      </c>
      <c r="D31" s="8" t="str">
        <f>'[2]2.0WP'!D31</f>
        <v/>
      </c>
      <c r="E31" s="8" t="str">
        <f>'[2]2.0WP'!E31</f>
        <v/>
      </c>
      <c r="F31" s="8" t="str">
        <f>'[2]2.0WP'!F31</f>
        <v/>
      </c>
      <c r="G31" s="8" t="str">
        <f>'[2]2.0WP'!G31</f>
        <v/>
      </c>
      <c r="H31" s="8" t="str">
        <f>'[2]2.0WP'!H31</f>
        <v/>
      </c>
      <c r="I31" s="8" t="str">
        <f>'[2]2.0WP'!I31</f>
        <v/>
      </c>
      <c r="J31" s="8" t="str">
        <f>'[2]2.0WP'!J31</f>
        <v/>
      </c>
      <c r="K31" s="8" t="str">
        <f>'[2]2.0WP'!K31</f>
        <v/>
      </c>
      <c r="L31" s="8" t="str">
        <f>'[2]2.0WP'!L31</f>
        <v/>
      </c>
      <c r="M31" s="8" t="str">
        <f>'[2]2.0WP'!M31</f>
        <v/>
      </c>
      <c r="N31" s="8" t="str">
        <f>'[2]2.0WP'!N31</f>
        <v/>
      </c>
      <c r="O31" s="8" t="str">
        <f>'[2]2.0WP'!O31</f>
        <v/>
      </c>
      <c r="P31" s="8" t="str">
        <f>'[2]2.0WP'!P31</f>
        <v/>
      </c>
      <c r="Q31" s="8" t="str">
        <f>'[2]2.0WP'!Q31</f>
        <v/>
      </c>
      <c r="R31" s="8" t="str">
        <f>'[2]2.0WP'!R31</f>
        <v/>
      </c>
      <c r="S31" s="8" t="str">
        <f>'[2]2.0WP'!S31</f>
        <v/>
      </c>
      <c r="T31" s="9">
        <f t="shared" si="4"/>
        <v>0</v>
      </c>
      <c r="U31" s="8" t="str">
        <f>'[2]2.0WP'!U31</f>
        <v/>
      </c>
      <c r="V31" s="8" t="str">
        <f>'[2]2.0WP'!V31</f>
        <v/>
      </c>
      <c r="W31" s="8" t="str">
        <f>'[2]2.0WP'!W31</f>
        <v/>
      </c>
      <c r="X31" s="8" t="str">
        <f>'[2]2.0WP'!X31</f>
        <v/>
      </c>
      <c r="Y31" s="8" t="str">
        <f>'[2]2.0WP'!Y31</f>
        <v/>
      </c>
      <c r="Z31" s="8" t="str">
        <f>'[2]2.0WP'!Z31</f>
        <v/>
      </c>
      <c r="AA31" s="8" t="str">
        <f>'[2]2.0WP'!AA31</f>
        <v/>
      </c>
      <c r="AB31" s="8" t="str">
        <f>'[2]2.0WP'!AB31</f>
        <v/>
      </c>
      <c r="AC31" s="8" t="str">
        <f>'[2]2.0WP'!AC31</f>
        <v/>
      </c>
      <c r="AD31" s="8" t="str">
        <f>'[2]2.0WP'!AD31</f>
        <v/>
      </c>
      <c r="AE31" s="8" t="str">
        <f>'[2]2.0WP'!AE31</f>
        <v/>
      </c>
      <c r="AF31" s="8" t="str">
        <f>'[2]2.0WP'!AF31</f>
        <v/>
      </c>
      <c r="AG31" s="8" t="str">
        <f>'[2]2.0WP'!AG31</f>
        <v/>
      </c>
      <c r="AH31" s="8" t="str">
        <f>'[2]2.0WP'!AH31</f>
        <v/>
      </c>
      <c r="AI31" s="8" t="str">
        <f>'[2]2.0WP'!AI31</f>
        <v/>
      </c>
      <c r="AJ31" s="8" t="str">
        <f>'[2]2.0WP'!AJ31</f>
        <v/>
      </c>
      <c r="AK31" s="17">
        <f t="shared" si="1"/>
        <v>0</v>
      </c>
      <c r="AL31" s="10">
        <f t="shared" si="2"/>
        <v>0</v>
      </c>
    </row>
    <row r="32" spans="1:38" s="3" customFormat="1" ht="14.4" customHeight="1" x14ac:dyDescent="0.25">
      <c r="A32" s="19" t="str">
        <f>'[2]2.0WS'!A32</f>
        <v>SRO CUDDALORE TOTAL</v>
      </c>
      <c r="B32" s="19"/>
      <c r="C32" s="14">
        <f t="shared" ref="C32:S32" si="16">SUM(C28:C31)</f>
        <v>4</v>
      </c>
      <c r="D32" s="14">
        <f t="shared" si="16"/>
        <v>0</v>
      </c>
      <c r="E32" s="14">
        <f t="shared" si="16"/>
        <v>10</v>
      </c>
      <c r="F32" s="14">
        <f t="shared" si="16"/>
        <v>0</v>
      </c>
      <c r="G32" s="14">
        <f t="shared" si="16"/>
        <v>0</v>
      </c>
      <c r="H32" s="14">
        <f t="shared" si="16"/>
        <v>20</v>
      </c>
      <c r="I32" s="14">
        <f t="shared" si="16"/>
        <v>8</v>
      </c>
      <c r="J32" s="14">
        <f t="shared" si="16"/>
        <v>4</v>
      </c>
      <c r="K32" s="14">
        <f t="shared" si="16"/>
        <v>4</v>
      </c>
      <c r="L32" s="14">
        <f t="shared" si="16"/>
        <v>0</v>
      </c>
      <c r="M32" s="14">
        <f t="shared" si="16"/>
        <v>4</v>
      </c>
      <c r="N32" s="14">
        <f t="shared" si="16"/>
        <v>4</v>
      </c>
      <c r="O32" s="14">
        <f t="shared" si="16"/>
        <v>0</v>
      </c>
      <c r="P32" s="14">
        <f t="shared" si="16"/>
        <v>0</v>
      </c>
      <c r="Q32" s="14">
        <f t="shared" si="16"/>
        <v>4</v>
      </c>
      <c r="R32" s="14">
        <f t="shared" si="16"/>
        <v>4</v>
      </c>
      <c r="S32" s="14">
        <f t="shared" si="16"/>
        <v>8</v>
      </c>
      <c r="T32" s="9">
        <f t="shared" si="4"/>
        <v>74</v>
      </c>
      <c r="U32" s="14">
        <f t="shared" ref="U32:AJ32" si="17">SUM(U28:U31)</f>
        <v>4</v>
      </c>
      <c r="V32" s="14">
        <f t="shared" si="17"/>
        <v>0</v>
      </c>
      <c r="W32" s="14">
        <f t="shared" si="17"/>
        <v>0</v>
      </c>
      <c r="X32" s="14">
        <f t="shared" si="17"/>
        <v>0</v>
      </c>
      <c r="Y32" s="14">
        <f t="shared" si="17"/>
        <v>0</v>
      </c>
      <c r="Z32" s="14">
        <f t="shared" si="17"/>
        <v>8</v>
      </c>
      <c r="AA32" s="14">
        <f t="shared" si="17"/>
        <v>0</v>
      </c>
      <c r="AB32" s="14">
        <f t="shared" si="17"/>
        <v>4</v>
      </c>
      <c r="AC32" s="14">
        <f t="shared" si="17"/>
        <v>0</v>
      </c>
      <c r="AD32" s="14">
        <f t="shared" si="17"/>
        <v>0</v>
      </c>
      <c r="AE32" s="14">
        <f t="shared" si="17"/>
        <v>8</v>
      </c>
      <c r="AF32" s="14">
        <f t="shared" si="17"/>
        <v>0</v>
      </c>
      <c r="AG32" s="14">
        <f t="shared" si="17"/>
        <v>0</v>
      </c>
      <c r="AH32" s="14">
        <f t="shared" si="17"/>
        <v>0</v>
      </c>
      <c r="AI32" s="14">
        <f t="shared" si="17"/>
        <v>0</v>
      </c>
      <c r="AJ32" s="14">
        <f t="shared" si="17"/>
        <v>0</v>
      </c>
      <c r="AK32" s="17">
        <f t="shared" si="1"/>
        <v>24</v>
      </c>
      <c r="AL32" s="10">
        <f t="shared" si="2"/>
        <v>98</v>
      </c>
    </row>
    <row r="33" spans="1:38" x14ac:dyDescent="0.25">
      <c r="A33" s="12" t="str">
        <f>'[2]2.0WS'!A33</f>
        <v>04</v>
      </c>
      <c r="B33" s="13" t="str">
        <f>'[2]2.0WS'!B33</f>
        <v>VELLORE</v>
      </c>
      <c r="C33" s="8" t="str">
        <f>'[2]2.0WP'!C33</f>
        <v/>
      </c>
      <c r="D33" s="8" t="str">
        <f>'[2]2.0WP'!D33</f>
        <v/>
      </c>
      <c r="E33" s="8" t="str">
        <f>'[2]2.0WP'!E33</f>
        <v/>
      </c>
      <c r="F33" s="8" t="str">
        <f>'[2]2.0WP'!F33</f>
        <v/>
      </c>
      <c r="G33" s="8" t="str">
        <f>'[2]2.0WP'!G33</f>
        <v/>
      </c>
      <c r="H33" s="8" t="str">
        <f>'[2]2.0WP'!H33</f>
        <v/>
      </c>
      <c r="I33" s="8" t="str">
        <f>'[2]2.0WP'!I33</f>
        <v/>
      </c>
      <c r="J33" s="8" t="str">
        <f>'[2]2.0WP'!J33</f>
        <v/>
      </c>
      <c r="K33" s="8" t="str">
        <f>'[2]2.0WP'!K33</f>
        <v/>
      </c>
      <c r="L33" s="8">
        <f>'[2]2.0WP'!L33</f>
        <v>4</v>
      </c>
      <c r="M33" s="8" t="str">
        <f>'[2]2.0WP'!M33</f>
        <v/>
      </c>
      <c r="N33" s="8" t="str">
        <f>'[2]2.0WP'!N33</f>
        <v/>
      </c>
      <c r="O33" s="8" t="str">
        <f>'[2]2.0WP'!O33</f>
        <v/>
      </c>
      <c r="P33" s="8">
        <f>'[2]2.0WP'!P33</f>
        <v>4</v>
      </c>
      <c r="Q33" s="8" t="str">
        <f>'[2]2.0WP'!Q33</f>
        <v/>
      </c>
      <c r="R33" s="8" t="str">
        <f>'[2]2.0WP'!R33</f>
        <v/>
      </c>
      <c r="S33" s="8" t="str">
        <f>'[2]2.0WP'!S33</f>
        <v/>
      </c>
      <c r="T33" s="9">
        <f t="shared" si="4"/>
        <v>8</v>
      </c>
      <c r="U33" s="8" t="str">
        <f>'[2]2.0WP'!U33</f>
        <v/>
      </c>
      <c r="V33" s="8" t="str">
        <f>'[2]2.0WP'!V33</f>
        <v/>
      </c>
      <c r="W33" s="8" t="str">
        <f>'[2]2.0WP'!W33</f>
        <v/>
      </c>
      <c r="X33" s="8" t="str">
        <f>'[2]2.0WP'!X33</f>
        <v/>
      </c>
      <c r="Y33" s="8" t="str">
        <f>'[2]2.0WP'!Y33</f>
        <v/>
      </c>
      <c r="Z33" s="8" t="str">
        <f>'[2]2.0WP'!Z33</f>
        <v/>
      </c>
      <c r="AA33" s="8" t="str">
        <f>'[2]2.0WP'!AA33</f>
        <v/>
      </c>
      <c r="AB33" s="8" t="str">
        <f>'[2]2.0WP'!AB33</f>
        <v/>
      </c>
      <c r="AC33" s="8" t="str">
        <f>'[2]2.0WP'!AC33</f>
        <v/>
      </c>
      <c r="AD33" s="8" t="str">
        <f>'[2]2.0WP'!AD33</f>
        <v/>
      </c>
      <c r="AE33" s="8" t="str">
        <f>'[2]2.0WP'!AE33</f>
        <v/>
      </c>
      <c r="AF33" s="8" t="str">
        <f>'[2]2.0WP'!AF33</f>
        <v/>
      </c>
      <c r="AG33" s="8" t="str">
        <f>'[2]2.0WP'!AG33</f>
        <v/>
      </c>
      <c r="AH33" s="8" t="str">
        <f>'[2]2.0WP'!AH33</f>
        <v/>
      </c>
      <c r="AI33" s="8" t="str">
        <f>'[2]2.0WP'!AI33</f>
        <v/>
      </c>
      <c r="AJ33" s="8" t="str">
        <f>'[2]2.0WP'!AJ33</f>
        <v/>
      </c>
      <c r="AK33" s="17">
        <f t="shared" si="1"/>
        <v>0</v>
      </c>
      <c r="AL33" s="10">
        <f t="shared" si="2"/>
        <v>8</v>
      </c>
    </row>
    <row r="34" spans="1:38" x14ac:dyDescent="0.25">
      <c r="A34" s="12" t="str">
        <f>'[2]2.0WS'!A34</f>
        <v>06</v>
      </c>
      <c r="B34" s="13" t="str">
        <f>'[2]2.0WS'!B34</f>
        <v>TIRUVANNAMALAI</v>
      </c>
      <c r="C34" s="8" t="str">
        <f>'[2]2.0WP'!C34</f>
        <v/>
      </c>
      <c r="D34" s="8" t="str">
        <f>'[2]2.0WP'!D34</f>
        <v/>
      </c>
      <c r="E34" s="8" t="str">
        <f>'[2]2.0WP'!E34</f>
        <v/>
      </c>
      <c r="F34" s="8" t="str">
        <f>'[2]2.0WP'!F34</f>
        <v/>
      </c>
      <c r="G34" s="8" t="str">
        <f>'[2]2.0WP'!G34</f>
        <v/>
      </c>
      <c r="H34" s="8" t="str">
        <f>'[2]2.0WP'!H34</f>
        <v/>
      </c>
      <c r="I34" s="8" t="str">
        <f>'[2]2.0WP'!I34</f>
        <v/>
      </c>
      <c r="J34" s="8" t="str">
        <f>'[2]2.0WP'!J34</f>
        <v/>
      </c>
      <c r="K34" s="8" t="str">
        <f>'[2]2.0WP'!K34</f>
        <v/>
      </c>
      <c r="L34" s="8" t="str">
        <f>'[2]2.0WP'!L34</f>
        <v/>
      </c>
      <c r="M34" s="8" t="str">
        <f>'[2]2.0WP'!M34</f>
        <v/>
      </c>
      <c r="N34" s="8" t="str">
        <f>'[2]2.0WP'!N34</f>
        <v/>
      </c>
      <c r="O34" s="8" t="str">
        <f>'[2]2.0WP'!O34</f>
        <v/>
      </c>
      <c r="P34" s="8" t="str">
        <f>'[2]2.0WP'!P34</f>
        <v/>
      </c>
      <c r="Q34" s="8" t="str">
        <f>'[2]2.0WP'!Q34</f>
        <v/>
      </c>
      <c r="R34" s="8" t="str">
        <f>'[2]2.0WP'!R34</f>
        <v/>
      </c>
      <c r="S34" s="8" t="str">
        <f>'[2]2.0WP'!S34</f>
        <v/>
      </c>
      <c r="T34" s="9">
        <f t="shared" si="4"/>
        <v>0</v>
      </c>
      <c r="U34" s="8" t="str">
        <f>'[2]2.0WP'!U34</f>
        <v/>
      </c>
      <c r="V34" s="8" t="str">
        <f>'[2]2.0WP'!V34</f>
        <v/>
      </c>
      <c r="W34" s="8" t="str">
        <f>'[2]2.0WP'!W34</f>
        <v/>
      </c>
      <c r="X34" s="8" t="str">
        <f>'[2]2.0WP'!X34</f>
        <v/>
      </c>
      <c r="Y34" s="8" t="str">
        <f>'[2]2.0WP'!Y34</f>
        <v/>
      </c>
      <c r="Z34" s="8" t="str">
        <f>'[2]2.0WP'!Z34</f>
        <v/>
      </c>
      <c r="AA34" s="8" t="str">
        <f>'[2]2.0WP'!AA34</f>
        <v/>
      </c>
      <c r="AB34" s="8" t="str">
        <f>'[2]2.0WP'!AB34</f>
        <v/>
      </c>
      <c r="AC34" s="8" t="str">
        <f>'[2]2.0WP'!AC34</f>
        <v/>
      </c>
      <c r="AD34" s="8" t="str">
        <f>'[2]2.0WP'!AD34</f>
        <v/>
      </c>
      <c r="AE34" s="8" t="str">
        <f>'[2]2.0WP'!AE34</f>
        <v/>
      </c>
      <c r="AF34" s="8" t="str">
        <f>'[2]2.0WP'!AF34</f>
        <v/>
      </c>
      <c r="AG34" s="8" t="str">
        <f>'[2]2.0WP'!AG34</f>
        <v/>
      </c>
      <c r="AH34" s="8" t="str">
        <f>'[2]2.0WP'!AH34</f>
        <v/>
      </c>
      <c r="AI34" s="8" t="str">
        <f>'[2]2.0WP'!AI34</f>
        <v/>
      </c>
      <c r="AJ34" s="8" t="str">
        <f>'[2]2.0WP'!AJ34</f>
        <v/>
      </c>
      <c r="AK34" s="17">
        <f t="shared" si="1"/>
        <v>0</v>
      </c>
      <c r="AL34" s="10">
        <f t="shared" si="2"/>
        <v>0</v>
      </c>
    </row>
    <row r="35" spans="1:38" x14ac:dyDescent="0.25">
      <c r="A35" s="12" t="str">
        <f>'[2]2.0WS'!A35</f>
        <v>35</v>
      </c>
      <c r="B35" s="13" t="str">
        <f>'[2]2.0WS'!B35</f>
        <v>RANIPET</v>
      </c>
      <c r="C35" s="8">
        <f>'[2]2.0WP'!C35</f>
        <v>4</v>
      </c>
      <c r="D35" s="8" t="str">
        <f>'[2]2.0WP'!D35</f>
        <v/>
      </c>
      <c r="E35" s="8" t="str">
        <f>'[2]2.0WP'!E35</f>
        <v/>
      </c>
      <c r="F35" s="8" t="str">
        <f>'[2]2.0WP'!F35</f>
        <v/>
      </c>
      <c r="G35" s="8" t="str">
        <f>'[2]2.0WP'!G35</f>
        <v/>
      </c>
      <c r="H35" s="8" t="str">
        <f>'[2]2.0WP'!H35</f>
        <v/>
      </c>
      <c r="I35" s="8" t="str">
        <f>'[2]2.0WP'!I35</f>
        <v/>
      </c>
      <c r="J35" s="8" t="str">
        <f>'[2]2.0WP'!J35</f>
        <v/>
      </c>
      <c r="K35" s="8" t="str">
        <f>'[2]2.0WP'!K35</f>
        <v/>
      </c>
      <c r="L35" s="8" t="str">
        <f>'[2]2.0WP'!L35</f>
        <v/>
      </c>
      <c r="M35" s="8" t="str">
        <f>'[2]2.0WP'!M35</f>
        <v/>
      </c>
      <c r="N35" s="8" t="str">
        <f>'[2]2.0WP'!N35</f>
        <v/>
      </c>
      <c r="O35" s="8" t="str">
        <f>'[2]2.0WP'!O35</f>
        <v/>
      </c>
      <c r="P35" s="8">
        <f>'[2]2.0WP'!P35</f>
        <v>4</v>
      </c>
      <c r="Q35" s="8" t="str">
        <f>'[2]2.0WP'!Q35</f>
        <v/>
      </c>
      <c r="R35" s="8" t="str">
        <f>'[2]2.0WP'!R35</f>
        <v/>
      </c>
      <c r="S35" s="8" t="str">
        <f>'[2]2.0WP'!S35</f>
        <v/>
      </c>
      <c r="T35" s="9">
        <f t="shared" si="4"/>
        <v>8</v>
      </c>
      <c r="U35" s="8" t="str">
        <f>'[2]2.0WP'!U35</f>
        <v/>
      </c>
      <c r="V35" s="8" t="str">
        <f>'[2]2.0WP'!V35</f>
        <v/>
      </c>
      <c r="W35" s="8" t="str">
        <f>'[2]2.0WP'!W35</f>
        <v/>
      </c>
      <c r="X35" s="8" t="str">
        <f>'[2]2.0WP'!X35</f>
        <v/>
      </c>
      <c r="Y35" s="8">
        <f>'[2]2.0WP'!Y35</f>
        <v>4</v>
      </c>
      <c r="Z35" s="8" t="str">
        <f>'[2]2.0WP'!Z35</f>
        <v/>
      </c>
      <c r="AA35" s="8" t="str">
        <f>'[2]2.0WP'!AA35</f>
        <v/>
      </c>
      <c r="AB35" s="8" t="str">
        <f>'[2]2.0WP'!AB35</f>
        <v/>
      </c>
      <c r="AC35" s="8" t="str">
        <f>'[2]2.0WP'!AC35</f>
        <v/>
      </c>
      <c r="AD35" s="8" t="str">
        <f>'[2]2.0WP'!AD35</f>
        <v/>
      </c>
      <c r="AE35" s="8" t="str">
        <f>'[2]2.0WP'!AE35</f>
        <v/>
      </c>
      <c r="AF35" s="8" t="str">
        <f>'[2]2.0WP'!AF35</f>
        <v/>
      </c>
      <c r="AG35" s="8" t="str">
        <f>'[2]2.0WP'!AG35</f>
        <v/>
      </c>
      <c r="AH35" s="8" t="str">
        <f>'[2]2.0WP'!AH35</f>
        <v/>
      </c>
      <c r="AI35" s="8" t="str">
        <f>'[2]2.0WP'!AI35</f>
        <v/>
      </c>
      <c r="AJ35" s="8" t="str">
        <f>'[2]2.0WP'!AJ35</f>
        <v/>
      </c>
      <c r="AK35" s="17">
        <f t="shared" si="1"/>
        <v>4</v>
      </c>
      <c r="AL35" s="10">
        <f t="shared" si="2"/>
        <v>12</v>
      </c>
    </row>
    <row r="36" spans="1:38" s="3" customFormat="1" ht="14.4" customHeight="1" x14ac:dyDescent="0.25">
      <c r="A36" s="19" t="str">
        <f>'[2]2.0WS'!A36</f>
        <v>SRO VELLORE TOTAL</v>
      </c>
      <c r="B36" s="19"/>
      <c r="C36" s="14">
        <f t="shared" ref="C36:S36" si="18">SUM(C33:C35)</f>
        <v>4</v>
      </c>
      <c r="D36" s="14">
        <f t="shared" si="18"/>
        <v>0</v>
      </c>
      <c r="E36" s="14">
        <f t="shared" si="18"/>
        <v>0</v>
      </c>
      <c r="F36" s="14">
        <f t="shared" si="18"/>
        <v>0</v>
      </c>
      <c r="G36" s="14">
        <f t="shared" si="18"/>
        <v>0</v>
      </c>
      <c r="H36" s="14">
        <f t="shared" si="18"/>
        <v>0</v>
      </c>
      <c r="I36" s="14">
        <f t="shared" si="18"/>
        <v>0</v>
      </c>
      <c r="J36" s="14">
        <f t="shared" si="18"/>
        <v>0</v>
      </c>
      <c r="K36" s="14">
        <f t="shared" si="18"/>
        <v>0</v>
      </c>
      <c r="L36" s="14">
        <f t="shared" si="18"/>
        <v>4</v>
      </c>
      <c r="M36" s="14">
        <f t="shared" si="18"/>
        <v>0</v>
      </c>
      <c r="N36" s="14">
        <f t="shared" si="18"/>
        <v>0</v>
      </c>
      <c r="O36" s="14">
        <f t="shared" si="18"/>
        <v>0</v>
      </c>
      <c r="P36" s="14">
        <f t="shared" si="18"/>
        <v>8</v>
      </c>
      <c r="Q36" s="14">
        <f t="shared" si="18"/>
        <v>0</v>
      </c>
      <c r="R36" s="14">
        <f t="shared" si="18"/>
        <v>0</v>
      </c>
      <c r="S36" s="14">
        <f t="shared" si="18"/>
        <v>0</v>
      </c>
      <c r="T36" s="9">
        <f t="shared" si="4"/>
        <v>16</v>
      </c>
      <c r="U36" s="14">
        <f t="shared" ref="U36:AJ36" si="19">SUM(U33:U35)</f>
        <v>0</v>
      </c>
      <c r="V36" s="14">
        <f t="shared" si="19"/>
        <v>0</v>
      </c>
      <c r="W36" s="14">
        <f t="shared" si="19"/>
        <v>0</v>
      </c>
      <c r="X36" s="14">
        <f t="shared" si="19"/>
        <v>0</v>
      </c>
      <c r="Y36" s="14">
        <f t="shared" si="19"/>
        <v>4</v>
      </c>
      <c r="Z36" s="14">
        <f t="shared" si="19"/>
        <v>0</v>
      </c>
      <c r="AA36" s="14">
        <f t="shared" si="19"/>
        <v>0</v>
      </c>
      <c r="AB36" s="14">
        <f t="shared" si="19"/>
        <v>0</v>
      </c>
      <c r="AC36" s="14">
        <f t="shared" si="19"/>
        <v>0</v>
      </c>
      <c r="AD36" s="14">
        <f t="shared" si="19"/>
        <v>0</v>
      </c>
      <c r="AE36" s="14">
        <f t="shared" si="19"/>
        <v>0</v>
      </c>
      <c r="AF36" s="14">
        <f t="shared" si="19"/>
        <v>0</v>
      </c>
      <c r="AG36" s="14">
        <f t="shared" si="19"/>
        <v>0</v>
      </c>
      <c r="AH36" s="14">
        <f t="shared" si="19"/>
        <v>0</v>
      </c>
      <c r="AI36" s="14">
        <f t="shared" si="19"/>
        <v>0</v>
      </c>
      <c r="AJ36" s="14">
        <f t="shared" si="19"/>
        <v>0</v>
      </c>
      <c r="AK36" s="17">
        <f t="shared" si="1"/>
        <v>4</v>
      </c>
      <c r="AL36" s="10">
        <f t="shared" si="2"/>
        <v>20</v>
      </c>
    </row>
    <row r="37" spans="1:38" s="3" customFormat="1" ht="14.4" customHeight="1" x14ac:dyDescent="0.25">
      <c r="A37" s="20" t="str">
        <f>'[2]2.0WS'!A37</f>
        <v>RO CHENNAI TOTAL</v>
      </c>
      <c r="B37" s="20"/>
      <c r="C37" s="15">
        <f>SUM(C36,C32,C27)</f>
        <v>20</v>
      </c>
      <c r="D37" s="15">
        <f t="shared" ref="D37:S37" si="20">SUM(D36,D32,D27)</f>
        <v>0</v>
      </c>
      <c r="E37" s="15">
        <f t="shared" si="20"/>
        <v>18</v>
      </c>
      <c r="F37" s="15">
        <f t="shared" si="20"/>
        <v>0</v>
      </c>
      <c r="G37" s="15">
        <f t="shared" si="20"/>
        <v>0</v>
      </c>
      <c r="H37" s="15">
        <f t="shared" si="20"/>
        <v>20</v>
      </c>
      <c r="I37" s="15">
        <f t="shared" si="20"/>
        <v>8</v>
      </c>
      <c r="J37" s="15">
        <f t="shared" si="20"/>
        <v>4</v>
      </c>
      <c r="K37" s="15">
        <f t="shared" si="20"/>
        <v>4</v>
      </c>
      <c r="L37" s="15">
        <f t="shared" si="20"/>
        <v>4</v>
      </c>
      <c r="M37" s="15">
        <f t="shared" si="20"/>
        <v>4</v>
      </c>
      <c r="N37" s="15">
        <f t="shared" si="20"/>
        <v>4</v>
      </c>
      <c r="O37" s="15">
        <f t="shared" si="20"/>
        <v>4</v>
      </c>
      <c r="P37" s="15">
        <f t="shared" si="20"/>
        <v>8</v>
      </c>
      <c r="Q37" s="15">
        <f t="shared" si="20"/>
        <v>4</v>
      </c>
      <c r="R37" s="15">
        <f t="shared" si="20"/>
        <v>4</v>
      </c>
      <c r="S37" s="15">
        <f t="shared" si="20"/>
        <v>12</v>
      </c>
      <c r="T37" s="9">
        <f t="shared" si="4"/>
        <v>118</v>
      </c>
      <c r="U37" s="15">
        <f t="shared" ref="U37:AJ37" si="21">SUM(U36,U32,U27)</f>
        <v>8</v>
      </c>
      <c r="V37" s="15">
        <f t="shared" si="21"/>
        <v>0</v>
      </c>
      <c r="W37" s="15">
        <f t="shared" si="21"/>
        <v>0</v>
      </c>
      <c r="X37" s="15">
        <f t="shared" si="21"/>
        <v>0</v>
      </c>
      <c r="Y37" s="15">
        <f t="shared" si="21"/>
        <v>12</v>
      </c>
      <c r="Z37" s="15">
        <f t="shared" si="21"/>
        <v>8</v>
      </c>
      <c r="AA37" s="15">
        <f t="shared" si="21"/>
        <v>0</v>
      </c>
      <c r="AB37" s="15">
        <f t="shared" si="21"/>
        <v>4</v>
      </c>
      <c r="AC37" s="15">
        <f t="shared" si="21"/>
        <v>4</v>
      </c>
      <c r="AD37" s="15">
        <f t="shared" si="21"/>
        <v>0</v>
      </c>
      <c r="AE37" s="15">
        <f t="shared" si="21"/>
        <v>8</v>
      </c>
      <c r="AF37" s="15">
        <f t="shared" si="21"/>
        <v>0</v>
      </c>
      <c r="AG37" s="15">
        <f t="shared" si="21"/>
        <v>0</v>
      </c>
      <c r="AH37" s="15">
        <f t="shared" si="21"/>
        <v>0</v>
      </c>
      <c r="AI37" s="15">
        <f t="shared" si="21"/>
        <v>0</v>
      </c>
      <c r="AJ37" s="15">
        <f t="shared" si="21"/>
        <v>0</v>
      </c>
      <c r="AK37" s="17">
        <f t="shared" si="1"/>
        <v>44</v>
      </c>
      <c r="AL37" s="10">
        <f t="shared" si="2"/>
        <v>162</v>
      </c>
    </row>
    <row r="38" spans="1:38" x14ac:dyDescent="0.25">
      <c r="A38" s="12" t="str">
        <f>'[2]2.0WS'!A38</f>
        <v>13</v>
      </c>
      <c r="B38" s="13" t="str">
        <f>'[2]2.0WS'!B38</f>
        <v>DINDIGUL</v>
      </c>
      <c r="C38" s="8" t="str">
        <f>'[2]2.0WP'!C38</f>
        <v/>
      </c>
      <c r="D38" s="8" t="str">
        <f>'[2]2.0WP'!D38</f>
        <v/>
      </c>
      <c r="E38" s="8" t="str">
        <f>'[2]2.0WP'!E38</f>
        <v/>
      </c>
      <c r="F38" s="8">
        <f>'[2]2.0WP'!F38</f>
        <v>4</v>
      </c>
      <c r="G38" s="8" t="str">
        <f>'[2]2.0WP'!G38</f>
        <v/>
      </c>
      <c r="H38" s="8" t="str">
        <f>'[2]2.0WP'!H38</f>
        <v/>
      </c>
      <c r="I38" s="8" t="str">
        <f>'[2]2.0WP'!I38</f>
        <v/>
      </c>
      <c r="J38" s="8" t="str">
        <f>'[2]2.0WP'!J38</f>
        <v/>
      </c>
      <c r="K38" s="8" t="str">
        <f>'[2]2.0WP'!K38</f>
        <v/>
      </c>
      <c r="L38" s="8" t="str">
        <f>'[2]2.0WP'!L38</f>
        <v/>
      </c>
      <c r="M38" s="8" t="str">
        <f>'[2]2.0WP'!M38</f>
        <v/>
      </c>
      <c r="N38" s="8" t="str">
        <f>'[2]2.0WP'!N38</f>
        <v/>
      </c>
      <c r="O38" s="8" t="str">
        <f>'[2]2.0WP'!O38</f>
        <v/>
      </c>
      <c r="P38" s="8" t="str">
        <f>'[2]2.0WP'!P38</f>
        <v/>
      </c>
      <c r="Q38" s="8" t="str">
        <f>'[2]2.0WP'!Q38</f>
        <v/>
      </c>
      <c r="R38" s="8" t="str">
        <f>'[2]2.0WP'!R38</f>
        <v/>
      </c>
      <c r="S38" s="8">
        <f>'[2]2.0WP'!S38</f>
        <v>4</v>
      </c>
      <c r="T38" s="9">
        <f t="shared" si="4"/>
        <v>8</v>
      </c>
      <c r="U38" s="8">
        <f>'[2]2.0WP'!U38</f>
        <v>4</v>
      </c>
      <c r="V38" s="8">
        <f>'[2]2.0WP'!V38</f>
        <v>8</v>
      </c>
      <c r="W38" s="8" t="str">
        <f>'[2]2.0WP'!W38</f>
        <v/>
      </c>
      <c r="X38" s="8">
        <f>'[2]2.0WP'!X38</f>
        <v>4</v>
      </c>
      <c r="Y38" s="8">
        <f>'[2]2.0WP'!Y38</f>
        <v>0</v>
      </c>
      <c r="Z38" s="8">
        <f>'[2]2.0WP'!Z38</f>
        <v>0</v>
      </c>
      <c r="AA38" s="8" t="str">
        <f>'[2]2.0WP'!AA38</f>
        <v/>
      </c>
      <c r="AB38" s="8">
        <f>'[2]2.0WP'!AB38</f>
        <v>0</v>
      </c>
      <c r="AC38" s="8" t="str">
        <f>'[2]2.0WP'!AC38</f>
        <v/>
      </c>
      <c r="AD38" s="8" t="str">
        <f>'[2]2.0WP'!AD38</f>
        <v/>
      </c>
      <c r="AE38" s="8" t="str">
        <f>'[2]2.0WP'!AE38</f>
        <v/>
      </c>
      <c r="AF38" s="8">
        <f>'[2]2.0WP'!AF38</f>
        <v>4</v>
      </c>
      <c r="AG38" s="8" t="str">
        <f>'[2]2.0WP'!AG38</f>
        <v/>
      </c>
      <c r="AH38" s="8">
        <f>'[2]2.0WP'!AH38</f>
        <v>0</v>
      </c>
      <c r="AI38" s="8">
        <f>'[2]2.0WP'!AI38</f>
        <v>0</v>
      </c>
      <c r="AJ38" s="8">
        <f>'[2]2.0WP'!AJ38</f>
        <v>0</v>
      </c>
      <c r="AK38" s="17">
        <f t="shared" si="1"/>
        <v>20</v>
      </c>
      <c r="AL38" s="10">
        <f t="shared" si="2"/>
        <v>28</v>
      </c>
    </row>
    <row r="39" spans="1:38" x14ac:dyDescent="0.25">
      <c r="A39" s="12" t="str">
        <f>'[2]2.0WS'!A39</f>
        <v>23</v>
      </c>
      <c r="B39" s="13" t="str">
        <f>'[2]2.0WS'!B39</f>
        <v>SIVAGANGAI</v>
      </c>
      <c r="C39" s="8" t="str">
        <f>'[2]2.0WP'!C39</f>
        <v/>
      </c>
      <c r="D39" s="8" t="str">
        <f>'[2]2.0WP'!D39</f>
        <v/>
      </c>
      <c r="E39" s="8">
        <f>'[2]2.0WP'!E39</f>
        <v>4</v>
      </c>
      <c r="F39" s="8" t="str">
        <f>'[2]2.0WP'!F39</f>
        <v/>
      </c>
      <c r="G39" s="8" t="str">
        <f>'[2]2.0WP'!G39</f>
        <v/>
      </c>
      <c r="H39" s="8" t="str">
        <f>'[2]2.0WP'!H39</f>
        <v/>
      </c>
      <c r="I39" s="8" t="str">
        <f>'[2]2.0WP'!I39</f>
        <v/>
      </c>
      <c r="J39" s="8" t="str">
        <f>'[2]2.0WP'!J39</f>
        <v/>
      </c>
      <c r="K39" s="8" t="str">
        <f>'[2]2.0WP'!K39</f>
        <v/>
      </c>
      <c r="L39" s="8">
        <f>'[2]2.0WP'!L39</f>
        <v>4</v>
      </c>
      <c r="M39" s="8" t="str">
        <f>'[2]2.0WP'!M39</f>
        <v/>
      </c>
      <c r="N39" s="8" t="str">
        <f>'[2]2.0WP'!N39</f>
        <v/>
      </c>
      <c r="O39" s="8" t="str">
        <f>'[2]2.0WP'!O39</f>
        <v/>
      </c>
      <c r="P39" s="8" t="str">
        <f>'[2]2.0WP'!P39</f>
        <v/>
      </c>
      <c r="Q39" s="8" t="str">
        <f>'[2]2.0WP'!Q39</f>
        <v/>
      </c>
      <c r="R39" s="8" t="str">
        <f>'[2]2.0WP'!R39</f>
        <v/>
      </c>
      <c r="S39" s="8">
        <f>'[2]2.0WP'!S39</f>
        <v>4</v>
      </c>
      <c r="T39" s="9">
        <f t="shared" si="4"/>
        <v>12</v>
      </c>
      <c r="U39" s="8" t="str">
        <f>'[2]2.0WP'!U39</f>
        <v/>
      </c>
      <c r="V39" s="8" t="str">
        <f>'[2]2.0WP'!V39</f>
        <v/>
      </c>
      <c r="W39" s="8" t="str">
        <f>'[2]2.0WP'!W39</f>
        <v/>
      </c>
      <c r="X39" s="8" t="str">
        <f>'[2]2.0WP'!X39</f>
        <v/>
      </c>
      <c r="Y39" s="8" t="str">
        <f>'[2]2.0WP'!Y39</f>
        <v/>
      </c>
      <c r="Z39" s="8" t="str">
        <f>'[2]2.0WP'!Z39</f>
        <v/>
      </c>
      <c r="AA39" s="8" t="str">
        <f>'[2]2.0WP'!AA39</f>
        <v/>
      </c>
      <c r="AB39" s="8" t="str">
        <f>'[2]2.0WP'!AB39</f>
        <v/>
      </c>
      <c r="AC39" s="8" t="str">
        <f>'[2]2.0WP'!AC39</f>
        <v/>
      </c>
      <c r="AD39" s="8" t="str">
        <f>'[2]2.0WP'!AD39</f>
        <v/>
      </c>
      <c r="AE39" s="8" t="str">
        <f>'[2]2.0WP'!AE39</f>
        <v/>
      </c>
      <c r="AF39" s="8" t="str">
        <f>'[2]2.0WP'!AF39</f>
        <v/>
      </c>
      <c r="AG39" s="8" t="str">
        <f>'[2]2.0WP'!AG39</f>
        <v/>
      </c>
      <c r="AH39" s="8" t="str">
        <f>'[2]2.0WP'!AH39</f>
        <v/>
      </c>
      <c r="AI39" s="8" t="str">
        <f>'[2]2.0WP'!AI39</f>
        <v/>
      </c>
      <c r="AJ39" s="8" t="str">
        <f>'[2]2.0WP'!AJ39</f>
        <v/>
      </c>
      <c r="AK39" s="17">
        <f t="shared" si="1"/>
        <v>0</v>
      </c>
      <c r="AL39" s="10">
        <f t="shared" si="2"/>
        <v>12</v>
      </c>
    </row>
    <row r="40" spans="1:38" x14ac:dyDescent="0.25">
      <c r="A40" s="12" t="str">
        <f>'[2]2.0WS'!A40</f>
        <v>24</v>
      </c>
      <c r="B40" s="13" t="str">
        <f>'[2]2.0WS'!B40</f>
        <v>MADURAI</v>
      </c>
      <c r="C40" s="8" t="str">
        <f>'[2]2.0WP'!C40</f>
        <v/>
      </c>
      <c r="D40" s="8" t="str">
        <f>'[2]2.0WP'!D40</f>
        <v/>
      </c>
      <c r="E40" s="8">
        <f>'[2]2.0WP'!E40</f>
        <v>4</v>
      </c>
      <c r="F40" s="8">
        <f>'[2]2.0WP'!F40</f>
        <v>4</v>
      </c>
      <c r="G40" s="8" t="str">
        <f>'[2]2.0WP'!G40</f>
        <v/>
      </c>
      <c r="H40" s="8">
        <f>'[2]2.0WP'!H40</f>
        <v>4</v>
      </c>
      <c r="I40" s="8" t="str">
        <f>'[2]2.0WP'!I40</f>
        <v/>
      </c>
      <c r="J40" s="8">
        <f>'[2]2.0WP'!J40</f>
        <v>0</v>
      </c>
      <c r="K40" s="8" t="str">
        <f>'[2]2.0WP'!K40</f>
        <v/>
      </c>
      <c r="L40" s="8" t="str">
        <f>'[2]2.0WP'!L40</f>
        <v/>
      </c>
      <c r="M40" s="8" t="str">
        <f>'[2]2.0WP'!M40</f>
        <v/>
      </c>
      <c r="N40" s="8" t="str">
        <f>'[2]2.0WP'!N40</f>
        <v/>
      </c>
      <c r="O40" s="8" t="str">
        <f>'[2]2.0WP'!O40</f>
        <v/>
      </c>
      <c r="P40" s="8">
        <f>'[2]2.0WP'!P40</f>
        <v>0</v>
      </c>
      <c r="Q40" s="8">
        <f>'[2]2.0WP'!Q40</f>
        <v>4</v>
      </c>
      <c r="R40" s="8" t="str">
        <f>'[2]2.0WP'!R40</f>
        <v/>
      </c>
      <c r="S40" s="8" t="str">
        <f>'[2]2.0WP'!S40</f>
        <v/>
      </c>
      <c r="T40" s="9">
        <f t="shared" si="4"/>
        <v>16</v>
      </c>
      <c r="U40" s="8">
        <f>'[2]2.0WP'!U40</f>
        <v>4</v>
      </c>
      <c r="V40" s="8" t="str">
        <f>'[2]2.0WP'!V40</f>
        <v/>
      </c>
      <c r="W40" s="8" t="str">
        <f>'[2]2.0WP'!W40</f>
        <v/>
      </c>
      <c r="X40" s="8" t="str">
        <f>'[2]2.0WP'!X40</f>
        <v/>
      </c>
      <c r="Y40" s="8" t="str">
        <f>'[2]2.0WP'!Y40</f>
        <v/>
      </c>
      <c r="Z40" s="8" t="str">
        <f>'[2]2.0WP'!Z40</f>
        <v/>
      </c>
      <c r="AA40" s="8" t="str">
        <f>'[2]2.0WP'!AA40</f>
        <v/>
      </c>
      <c r="AB40" s="8" t="str">
        <f>'[2]2.0WP'!AB40</f>
        <v/>
      </c>
      <c r="AC40" s="8" t="str">
        <f>'[2]2.0WP'!AC40</f>
        <v/>
      </c>
      <c r="AD40" s="8" t="str">
        <f>'[2]2.0WP'!AD40</f>
        <v/>
      </c>
      <c r="AE40" s="8" t="str">
        <f>'[2]2.0WP'!AE40</f>
        <v/>
      </c>
      <c r="AF40" s="8">
        <f>'[2]2.0WP'!AF40</f>
        <v>4</v>
      </c>
      <c r="AG40" s="8" t="str">
        <f>'[2]2.0WP'!AG40</f>
        <v/>
      </c>
      <c r="AH40" s="8" t="str">
        <f>'[2]2.0WP'!AH40</f>
        <v/>
      </c>
      <c r="AI40" s="8">
        <f>'[2]2.0WP'!AI40</f>
        <v>4</v>
      </c>
      <c r="AJ40" s="8">
        <f>'[2]2.0WP'!AJ40</f>
        <v>4</v>
      </c>
      <c r="AK40" s="17">
        <f t="shared" si="1"/>
        <v>16</v>
      </c>
      <c r="AL40" s="10">
        <f t="shared" si="2"/>
        <v>32</v>
      </c>
    </row>
    <row r="41" spans="1:38" x14ac:dyDescent="0.25">
      <c r="A41" s="12" t="str">
        <f>'[2]2.0WS'!A41</f>
        <v>25</v>
      </c>
      <c r="B41" s="13" t="str">
        <f>'[2]2.0WS'!B41</f>
        <v>THENI</v>
      </c>
      <c r="C41" s="8">
        <f>'[2]2.0WP'!C41</f>
        <v>4</v>
      </c>
      <c r="D41" s="8" t="str">
        <f>'[2]2.0WP'!D41</f>
        <v/>
      </c>
      <c r="E41" s="8" t="str">
        <f>'[2]2.0WP'!E41</f>
        <v/>
      </c>
      <c r="F41" s="8" t="str">
        <f>'[2]2.0WP'!F41</f>
        <v/>
      </c>
      <c r="G41" s="8" t="str">
        <f>'[2]2.0WP'!G41</f>
        <v/>
      </c>
      <c r="H41" s="8" t="str">
        <f>'[2]2.0WP'!H41</f>
        <v/>
      </c>
      <c r="I41" s="8" t="str">
        <f>'[2]2.0WP'!I41</f>
        <v/>
      </c>
      <c r="J41" s="8" t="str">
        <f>'[2]2.0WP'!J41</f>
        <v/>
      </c>
      <c r="K41" s="8" t="str">
        <f>'[2]2.0WP'!K41</f>
        <v/>
      </c>
      <c r="L41" s="8" t="str">
        <f>'[2]2.0WP'!L41</f>
        <v/>
      </c>
      <c r="M41" s="8" t="str">
        <f>'[2]2.0WP'!M41</f>
        <v/>
      </c>
      <c r="N41" s="8">
        <f>'[2]2.0WP'!N41</f>
        <v>4</v>
      </c>
      <c r="O41" s="8" t="str">
        <f>'[2]2.0WP'!O41</f>
        <v/>
      </c>
      <c r="P41" s="8">
        <f>'[2]2.0WP'!P41</f>
        <v>4</v>
      </c>
      <c r="Q41" s="8" t="str">
        <f>'[2]2.0WP'!Q41</f>
        <v/>
      </c>
      <c r="R41" s="8" t="str">
        <f>'[2]2.0WP'!R41</f>
        <v/>
      </c>
      <c r="S41" s="8" t="str">
        <f>'[2]2.0WP'!S41</f>
        <v/>
      </c>
      <c r="T41" s="9">
        <f t="shared" si="4"/>
        <v>12</v>
      </c>
      <c r="U41" s="8" t="str">
        <f>'[2]2.0WP'!U41</f>
        <v/>
      </c>
      <c r="V41" s="8" t="str">
        <f>'[2]2.0WP'!V41</f>
        <v/>
      </c>
      <c r="W41" s="8" t="str">
        <f>'[2]2.0WP'!W41</f>
        <v/>
      </c>
      <c r="X41" s="8" t="str">
        <f>'[2]2.0WP'!X41</f>
        <v/>
      </c>
      <c r="Y41" s="8" t="str">
        <f>'[2]2.0WP'!Y41</f>
        <v/>
      </c>
      <c r="Z41" s="8" t="str">
        <f>'[2]2.0WP'!Z41</f>
        <v/>
      </c>
      <c r="AA41" s="8" t="str">
        <f>'[2]2.0WP'!AA41</f>
        <v/>
      </c>
      <c r="AB41" s="8">
        <f>'[2]2.0WP'!AB41</f>
        <v>4</v>
      </c>
      <c r="AC41" s="8" t="str">
        <f>'[2]2.0WP'!AC41</f>
        <v/>
      </c>
      <c r="AD41" s="8" t="str">
        <f>'[2]2.0WP'!AD41</f>
        <v/>
      </c>
      <c r="AE41" s="8" t="str">
        <f>'[2]2.0WP'!AE41</f>
        <v/>
      </c>
      <c r="AF41" s="8">
        <f>'[2]2.0WP'!AF41</f>
        <v>4</v>
      </c>
      <c r="AG41" s="8" t="str">
        <f>'[2]2.0WP'!AG41</f>
        <v/>
      </c>
      <c r="AH41" s="8" t="str">
        <f>'[2]2.0WP'!AH41</f>
        <v/>
      </c>
      <c r="AI41" s="8" t="str">
        <f>'[2]2.0WP'!AI41</f>
        <v/>
      </c>
      <c r="AJ41" s="8">
        <f>'[2]2.0WP'!AJ41</f>
        <v>4</v>
      </c>
      <c r="AK41" s="17">
        <f t="shared" si="1"/>
        <v>12</v>
      </c>
      <c r="AL41" s="10">
        <f t="shared" si="2"/>
        <v>24</v>
      </c>
    </row>
    <row r="42" spans="1:38" s="3" customFormat="1" ht="14.4" customHeight="1" x14ac:dyDescent="0.25">
      <c r="A42" s="19" t="str">
        <f>'[2]2.0WS'!A42</f>
        <v>SRO MADURAI TOTAL</v>
      </c>
      <c r="B42" s="19"/>
      <c r="C42" s="14">
        <f t="shared" ref="C42:S42" si="22">SUM(C38:C41)</f>
        <v>4</v>
      </c>
      <c r="D42" s="14">
        <f t="shared" si="22"/>
        <v>0</v>
      </c>
      <c r="E42" s="14">
        <f t="shared" si="22"/>
        <v>8</v>
      </c>
      <c r="F42" s="14">
        <f t="shared" si="22"/>
        <v>8</v>
      </c>
      <c r="G42" s="14">
        <f t="shared" si="22"/>
        <v>0</v>
      </c>
      <c r="H42" s="14">
        <f t="shared" si="22"/>
        <v>4</v>
      </c>
      <c r="I42" s="14">
        <f t="shared" si="22"/>
        <v>0</v>
      </c>
      <c r="J42" s="14">
        <f t="shared" si="22"/>
        <v>0</v>
      </c>
      <c r="K42" s="14">
        <f t="shared" si="22"/>
        <v>0</v>
      </c>
      <c r="L42" s="14">
        <f t="shared" si="22"/>
        <v>4</v>
      </c>
      <c r="M42" s="14">
        <f t="shared" si="22"/>
        <v>0</v>
      </c>
      <c r="N42" s="14">
        <f t="shared" si="22"/>
        <v>4</v>
      </c>
      <c r="O42" s="14">
        <f t="shared" si="22"/>
        <v>0</v>
      </c>
      <c r="P42" s="14">
        <f t="shared" si="22"/>
        <v>4</v>
      </c>
      <c r="Q42" s="14">
        <f t="shared" si="22"/>
        <v>4</v>
      </c>
      <c r="R42" s="14">
        <f t="shared" si="22"/>
        <v>0</v>
      </c>
      <c r="S42" s="14">
        <f t="shared" si="22"/>
        <v>8</v>
      </c>
      <c r="T42" s="9">
        <f t="shared" si="4"/>
        <v>48</v>
      </c>
      <c r="U42" s="14">
        <f t="shared" ref="U42:AJ42" si="23">SUM(U38:U41)</f>
        <v>8</v>
      </c>
      <c r="V42" s="14">
        <f t="shared" si="23"/>
        <v>8</v>
      </c>
      <c r="W42" s="14">
        <f t="shared" si="23"/>
        <v>0</v>
      </c>
      <c r="X42" s="14">
        <f t="shared" si="23"/>
        <v>4</v>
      </c>
      <c r="Y42" s="14">
        <f t="shared" si="23"/>
        <v>0</v>
      </c>
      <c r="Z42" s="14">
        <f t="shared" si="23"/>
        <v>0</v>
      </c>
      <c r="AA42" s="14">
        <f t="shared" si="23"/>
        <v>0</v>
      </c>
      <c r="AB42" s="14">
        <f t="shared" si="23"/>
        <v>4</v>
      </c>
      <c r="AC42" s="14">
        <f t="shared" si="23"/>
        <v>0</v>
      </c>
      <c r="AD42" s="14">
        <f t="shared" si="23"/>
        <v>0</v>
      </c>
      <c r="AE42" s="14">
        <f t="shared" si="23"/>
        <v>0</v>
      </c>
      <c r="AF42" s="14">
        <f t="shared" si="23"/>
        <v>12</v>
      </c>
      <c r="AG42" s="14">
        <f t="shared" si="23"/>
        <v>0</v>
      </c>
      <c r="AH42" s="14">
        <f t="shared" si="23"/>
        <v>0</v>
      </c>
      <c r="AI42" s="14">
        <f t="shared" si="23"/>
        <v>4</v>
      </c>
      <c r="AJ42" s="14">
        <f t="shared" si="23"/>
        <v>8</v>
      </c>
      <c r="AK42" s="17">
        <f t="shared" si="1"/>
        <v>48</v>
      </c>
      <c r="AL42" s="10">
        <f t="shared" si="2"/>
        <v>96</v>
      </c>
    </row>
    <row r="43" spans="1:38" x14ac:dyDescent="0.25">
      <c r="A43" s="12" t="str">
        <f>'[2]2.0WS'!A43</f>
        <v>19</v>
      </c>
      <c r="B43" s="13" t="str">
        <f>'[2]2.0WS'!B43</f>
        <v>NAGAPATTINAM</v>
      </c>
      <c r="C43" s="8" t="str">
        <f>'[2]2.0WP'!C43</f>
        <v/>
      </c>
      <c r="D43" s="8" t="str">
        <f>'[2]2.0WP'!D43</f>
        <v/>
      </c>
      <c r="E43" s="8">
        <f>'[2]2.0WP'!E43</f>
        <v>4</v>
      </c>
      <c r="F43" s="8" t="str">
        <f>'[2]2.0WP'!F43</f>
        <v/>
      </c>
      <c r="G43" s="8" t="str">
        <f>'[2]2.0WP'!G43</f>
        <v/>
      </c>
      <c r="H43" s="8" t="str">
        <f>'[2]2.0WP'!H43</f>
        <v/>
      </c>
      <c r="I43" s="8" t="str">
        <f>'[2]2.0WP'!I43</f>
        <v/>
      </c>
      <c r="J43" s="8" t="str">
        <f>'[2]2.0WP'!J43</f>
        <v/>
      </c>
      <c r="K43" s="8" t="str">
        <f>'[2]2.0WP'!K43</f>
        <v/>
      </c>
      <c r="L43" s="8" t="str">
        <f>'[2]2.0WP'!L43</f>
        <v/>
      </c>
      <c r="M43" s="8" t="str">
        <f>'[2]2.0WP'!M43</f>
        <v/>
      </c>
      <c r="N43" s="8" t="str">
        <f>'[2]2.0WP'!N43</f>
        <v/>
      </c>
      <c r="O43" s="8" t="str">
        <f>'[2]2.0WP'!O43</f>
        <v/>
      </c>
      <c r="P43" s="8" t="str">
        <f>'[2]2.0WP'!P43</f>
        <v/>
      </c>
      <c r="Q43" s="8" t="str">
        <f>'[2]2.0WP'!Q43</f>
        <v/>
      </c>
      <c r="R43" s="8" t="str">
        <f>'[2]2.0WP'!R43</f>
        <v/>
      </c>
      <c r="S43" s="8" t="str">
        <f>'[2]2.0WP'!S43</f>
        <v/>
      </c>
      <c r="T43" s="9">
        <f t="shared" si="4"/>
        <v>4</v>
      </c>
      <c r="U43" s="8" t="str">
        <f>'[2]2.0WP'!U43</f>
        <v/>
      </c>
      <c r="V43" s="8" t="str">
        <f>'[2]2.0WP'!V43</f>
        <v/>
      </c>
      <c r="W43" s="8" t="str">
        <f>'[2]2.0WP'!W43</f>
        <v/>
      </c>
      <c r="X43" s="8" t="str">
        <f>'[2]2.0WP'!X43</f>
        <v/>
      </c>
      <c r="Y43" s="8" t="str">
        <f>'[2]2.0WP'!Y43</f>
        <v/>
      </c>
      <c r="Z43" s="8" t="str">
        <f>'[2]2.0WP'!Z43</f>
        <v/>
      </c>
      <c r="AA43" s="8" t="str">
        <f>'[2]2.0WP'!AA43</f>
        <v/>
      </c>
      <c r="AB43" s="8">
        <f>'[2]2.0WP'!AB43</f>
        <v>4</v>
      </c>
      <c r="AC43" s="8" t="str">
        <f>'[2]2.0WP'!AC43</f>
        <v/>
      </c>
      <c r="AD43" s="8" t="str">
        <f>'[2]2.0WP'!AD43</f>
        <v/>
      </c>
      <c r="AE43" s="8" t="str">
        <f>'[2]2.0WP'!AE43</f>
        <v/>
      </c>
      <c r="AF43" s="8" t="str">
        <f>'[2]2.0WP'!AF43</f>
        <v/>
      </c>
      <c r="AG43" s="8" t="str">
        <f>'[2]2.0WP'!AG43</f>
        <v/>
      </c>
      <c r="AH43" s="8" t="str">
        <f>'[2]2.0WP'!AH43</f>
        <v/>
      </c>
      <c r="AI43" s="8" t="str">
        <f>'[2]2.0WP'!AI43</f>
        <v/>
      </c>
      <c r="AJ43" s="8" t="str">
        <f>'[2]2.0WP'!AJ43</f>
        <v/>
      </c>
      <c r="AK43" s="17">
        <f t="shared" si="1"/>
        <v>4</v>
      </c>
      <c r="AL43" s="10">
        <f t="shared" si="2"/>
        <v>8</v>
      </c>
    </row>
    <row r="44" spans="1:38" x14ac:dyDescent="0.25">
      <c r="A44" s="12" t="str">
        <f>'[2]2.0WS'!A44</f>
        <v>20</v>
      </c>
      <c r="B44" s="13" t="str">
        <f>'[2]2.0WS'!B44</f>
        <v>THIRUVARUR</v>
      </c>
      <c r="C44" s="8">
        <f>'[2]2.0WP'!C44</f>
        <v>4</v>
      </c>
      <c r="D44" s="8" t="str">
        <f>'[2]2.0WP'!D44</f>
        <v/>
      </c>
      <c r="E44" s="8">
        <f>'[2]2.0WP'!E44</f>
        <v>6</v>
      </c>
      <c r="F44" s="8" t="str">
        <f>'[2]2.0WP'!F44</f>
        <v/>
      </c>
      <c r="G44" s="8" t="str">
        <f>'[2]2.0WP'!G44</f>
        <v/>
      </c>
      <c r="H44" s="8" t="str">
        <f>'[2]2.0WP'!H44</f>
        <v/>
      </c>
      <c r="I44" s="8" t="str">
        <f>'[2]2.0WP'!I44</f>
        <v/>
      </c>
      <c r="J44" s="8" t="str">
        <f>'[2]2.0WP'!J44</f>
        <v/>
      </c>
      <c r="K44" s="8" t="str">
        <f>'[2]2.0WP'!K44</f>
        <v/>
      </c>
      <c r="L44" s="8" t="str">
        <f>'[2]2.0WP'!L44</f>
        <v/>
      </c>
      <c r="M44" s="8" t="str">
        <f>'[2]2.0WP'!M44</f>
        <v/>
      </c>
      <c r="N44" s="8" t="str">
        <f>'[2]2.0WP'!N44</f>
        <v/>
      </c>
      <c r="O44" s="8" t="str">
        <f>'[2]2.0WP'!O44</f>
        <v/>
      </c>
      <c r="P44" s="8" t="str">
        <f>'[2]2.0WP'!P44</f>
        <v/>
      </c>
      <c r="Q44" s="8" t="str">
        <f>'[2]2.0WP'!Q44</f>
        <v/>
      </c>
      <c r="R44" s="8" t="str">
        <f>'[2]2.0WP'!R44</f>
        <v/>
      </c>
      <c r="S44" s="8" t="str">
        <f>'[2]2.0WP'!S44</f>
        <v/>
      </c>
      <c r="T44" s="9">
        <f t="shared" si="4"/>
        <v>10</v>
      </c>
      <c r="U44" s="8">
        <f>'[2]2.0WP'!U44</f>
        <v>0</v>
      </c>
      <c r="V44" s="8" t="str">
        <f>'[2]2.0WP'!V44</f>
        <v/>
      </c>
      <c r="W44" s="8" t="str">
        <f>'[2]2.0WP'!W44</f>
        <v/>
      </c>
      <c r="X44" s="8" t="str">
        <f>'[2]2.0WP'!X44</f>
        <v/>
      </c>
      <c r="Y44" s="8">
        <f>'[2]2.0WP'!Y44</f>
        <v>0</v>
      </c>
      <c r="Z44" s="8">
        <f>'[2]2.0WP'!Z44</f>
        <v>4</v>
      </c>
      <c r="AA44" s="8">
        <f>'[2]2.0WP'!AA44</f>
        <v>8</v>
      </c>
      <c r="AB44" s="8">
        <f>'[2]2.0WP'!AB44</f>
        <v>8</v>
      </c>
      <c r="AC44" s="8" t="str">
        <f>'[2]2.0WP'!AC44</f>
        <v/>
      </c>
      <c r="AD44" s="8">
        <f>'[2]2.0WP'!AD44</f>
        <v>4</v>
      </c>
      <c r="AE44" s="8" t="str">
        <f>'[2]2.0WP'!AE44</f>
        <v/>
      </c>
      <c r="AF44" s="8" t="str">
        <f>'[2]2.0WP'!AF44</f>
        <v/>
      </c>
      <c r="AG44" s="8" t="str">
        <f>'[2]2.0WP'!AG44</f>
        <v/>
      </c>
      <c r="AH44" s="8" t="str">
        <f>'[2]2.0WP'!AH44</f>
        <v/>
      </c>
      <c r="AI44" s="8" t="str">
        <f>'[2]2.0WP'!AI44</f>
        <v/>
      </c>
      <c r="AJ44" s="8">
        <f>'[2]2.0WP'!AJ44</f>
        <v>4</v>
      </c>
      <c r="AK44" s="17">
        <f t="shared" si="1"/>
        <v>28</v>
      </c>
      <c r="AL44" s="10">
        <f t="shared" si="2"/>
        <v>38</v>
      </c>
    </row>
    <row r="45" spans="1:38" x14ac:dyDescent="0.25">
      <c r="A45" s="12" t="str">
        <f>'[2]2.0WS'!A45</f>
        <v>21</v>
      </c>
      <c r="B45" s="13" t="str">
        <f>'[2]2.0WS'!B45</f>
        <v>THANJAVUR</v>
      </c>
      <c r="C45" s="8">
        <f>'[2]2.0WP'!C45</f>
        <v>4</v>
      </c>
      <c r="D45" s="8" t="str">
        <f>'[2]2.0WP'!D45</f>
        <v/>
      </c>
      <c r="E45" s="8">
        <f>'[2]2.0WP'!E45</f>
        <v>4</v>
      </c>
      <c r="F45" s="8" t="str">
        <f>'[2]2.0WP'!F45</f>
        <v/>
      </c>
      <c r="G45" s="8" t="str">
        <f>'[2]2.0WP'!G45</f>
        <v/>
      </c>
      <c r="H45" s="8" t="str">
        <f>'[2]2.0WP'!H45</f>
        <v/>
      </c>
      <c r="I45" s="8" t="str">
        <f>'[2]2.0WP'!I45</f>
        <v/>
      </c>
      <c r="J45" s="8" t="str">
        <f>'[2]2.0WP'!J45</f>
        <v/>
      </c>
      <c r="K45" s="8" t="str">
        <f>'[2]2.0WP'!K45</f>
        <v/>
      </c>
      <c r="L45" s="8" t="str">
        <f>'[2]2.0WP'!L45</f>
        <v/>
      </c>
      <c r="M45" s="8" t="str">
        <f>'[2]2.0WP'!M45</f>
        <v/>
      </c>
      <c r="N45" s="8" t="str">
        <f>'[2]2.0WP'!N45</f>
        <v/>
      </c>
      <c r="O45" s="8">
        <f>'[2]2.0WP'!O45</f>
        <v>4</v>
      </c>
      <c r="P45" s="8" t="str">
        <f>'[2]2.0WP'!P45</f>
        <v/>
      </c>
      <c r="Q45" s="8" t="str">
        <f>'[2]2.0WP'!Q45</f>
        <v/>
      </c>
      <c r="R45" s="8" t="str">
        <f>'[2]2.0WP'!R45</f>
        <v/>
      </c>
      <c r="S45" s="8" t="str">
        <f>'[2]2.0WP'!S45</f>
        <v/>
      </c>
      <c r="T45" s="9">
        <f t="shared" si="4"/>
        <v>12</v>
      </c>
      <c r="U45" s="8">
        <f>'[2]2.0WP'!U45</f>
        <v>4</v>
      </c>
      <c r="V45" s="8" t="str">
        <f>'[2]2.0WP'!V45</f>
        <v/>
      </c>
      <c r="W45" s="8" t="str">
        <f>'[2]2.0WP'!W45</f>
        <v/>
      </c>
      <c r="X45" s="8" t="str">
        <f>'[2]2.0WP'!X45</f>
        <v/>
      </c>
      <c r="Y45" s="8">
        <f>'[2]2.0WP'!Y45</f>
        <v>4</v>
      </c>
      <c r="Z45" s="8">
        <f>'[2]2.0WP'!Z45</f>
        <v>4</v>
      </c>
      <c r="AA45" s="8" t="str">
        <f>'[2]2.0WP'!AA45</f>
        <v/>
      </c>
      <c r="AB45" s="8">
        <f>'[2]2.0WP'!AB45</f>
        <v>4</v>
      </c>
      <c r="AC45" s="8" t="str">
        <f>'[2]2.0WP'!AC45</f>
        <v/>
      </c>
      <c r="AD45" s="8">
        <f>'[2]2.0WP'!AD45</f>
        <v>8</v>
      </c>
      <c r="AE45" s="8">
        <f>'[2]2.0WP'!AE45</f>
        <v>4</v>
      </c>
      <c r="AF45" s="8" t="str">
        <f>'[2]2.0WP'!AF45</f>
        <v/>
      </c>
      <c r="AG45" s="8" t="str">
        <f>'[2]2.0WP'!AG45</f>
        <v/>
      </c>
      <c r="AH45" s="8" t="str">
        <f>'[2]2.0WP'!AH45</f>
        <v/>
      </c>
      <c r="AI45" s="8" t="str">
        <f>'[2]2.0WP'!AI45</f>
        <v/>
      </c>
      <c r="AJ45" s="8" t="str">
        <f>'[2]2.0WP'!AJ45</f>
        <v/>
      </c>
      <c r="AK45" s="17">
        <f t="shared" si="1"/>
        <v>28</v>
      </c>
      <c r="AL45" s="10">
        <f t="shared" si="2"/>
        <v>40</v>
      </c>
    </row>
    <row r="46" spans="1:38" x14ac:dyDescent="0.25">
      <c r="A46" s="12" t="str">
        <f>'[2]2.0WS'!A46</f>
        <v>22</v>
      </c>
      <c r="B46" s="13" t="str">
        <f>'[2]2.0WS'!B46</f>
        <v>PUDUKKOTTAI</v>
      </c>
      <c r="C46" s="8" t="str">
        <f>'[2]2.0WP'!C46</f>
        <v/>
      </c>
      <c r="D46" s="8" t="str">
        <f>'[2]2.0WP'!D46</f>
        <v/>
      </c>
      <c r="E46" s="8" t="str">
        <f>'[2]2.0WP'!E46</f>
        <v/>
      </c>
      <c r="F46" s="8" t="str">
        <f>'[2]2.0WP'!F46</f>
        <v/>
      </c>
      <c r="G46" s="8" t="str">
        <f>'[2]2.0WP'!G46</f>
        <v/>
      </c>
      <c r="H46" s="8" t="str">
        <f>'[2]2.0WP'!H46</f>
        <v/>
      </c>
      <c r="I46" s="8" t="str">
        <f>'[2]2.0WP'!I46</f>
        <v/>
      </c>
      <c r="J46" s="8" t="str">
        <f>'[2]2.0WP'!J46</f>
        <v/>
      </c>
      <c r="K46" s="8" t="str">
        <f>'[2]2.0WP'!K46</f>
        <v/>
      </c>
      <c r="L46" s="8" t="str">
        <f>'[2]2.0WP'!L46</f>
        <v/>
      </c>
      <c r="M46" s="8" t="str">
        <f>'[2]2.0WP'!M46</f>
        <v/>
      </c>
      <c r="N46" s="8" t="str">
        <f>'[2]2.0WP'!N46</f>
        <v/>
      </c>
      <c r="O46" s="8" t="str">
        <f>'[2]2.0WP'!O46</f>
        <v/>
      </c>
      <c r="P46" s="8" t="str">
        <f>'[2]2.0WP'!P46</f>
        <v/>
      </c>
      <c r="Q46" s="8" t="str">
        <f>'[2]2.0WP'!Q46</f>
        <v/>
      </c>
      <c r="R46" s="8" t="str">
        <f>'[2]2.0WP'!R46</f>
        <v/>
      </c>
      <c r="S46" s="8" t="str">
        <f>'[2]2.0WP'!S46</f>
        <v/>
      </c>
      <c r="T46" s="9">
        <f t="shared" si="4"/>
        <v>0</v>
      </c>
      <c r="U46" s="8" t="str">
        <f>'[2]2.0WP'!U46</f>
        <v/>
      </c>
      <c r="V46" s="8" t="str">
        <f>'[2]2.0WP'!V46</f>
        <v/>
      </c>
      <c r="W46" s="8" t="str">
        <f>'[2]2.0WP'!W46</f>
        <v/>
      </c>
      <c r="X46" s="8" t="str">
        <f>'[2]2.0WP'!X46</f>
        <v/>
      </c>
      <c r="Y46" s="8" t="str">
        <f>'[2]2.0WP'!Y46</f>
        <v/>
      </c>
      <c r="Z46" s="8" t="str">
        <f>'[2]2.0WP'!Z46</f>
        <v/>
      </c>
      <c r="AA46" s="8" t="str">
        <f>'[2]2.0WP'!AA46</f>
        <v/>
      </c>
      <c r="AB46" s="8" t="str">
        <f>'[2]2.0WP'!AB46</f>
        <v/>
      </c>
      <c r="AC46" s="8" t="str">
        <f>'[2]2.0WP'!AC46</f>
        <v/>
      </c>
      <c r="AD46" s="8" t="str">
        <f>'[2]2.0WP'!AD46</f>
        <v/>
      </c>
      <c r="AE46" s="8" t="str">
        <f>'[2]2.0WP'!AE46</f>
        <v/>
      </c>
      <c r="AF46" s="8" t="str">
        <f>'[2]2.0WP'!AF46</f>
        <v/>
      </c>
      <c r="AG46" s="8" t="str">
        <f>'[2]2.0WP'!AG46</f>
        <v/>
      </c>
      <c r="AH46" s="8" t="str">
        <f>'[2]2.0WP'!AH46</f>
        <v/>
      </c>
      <c r="AI46" s="8" t="str">
        <f>'[2]2.0WP'!AI46</f>
        <v/>
      </c>
      <c r="AJ46" s="8" t="str">
        <f>'[2]2.0WP'!AJ46</f>
        <v/>
      </c>
      <c r="AK46" s="17">
        <f t="shared" si="1"/>
        <v>0</v>
      </c>
      <c r="AL46" s="10">
        <f t="shared" si="2"/>
        <v>0</v>
      </c>
    </row>
    <row r="47" spans="1:38" s="3" customFormat="1" ht="14.4" customHeight="1" x14ac:dyDescent="0.25">
      <c r="A47" s="19" t="str">
        <f>'[2]2.0WS'!A47</f>
        <v>SRO THANJAVUR TOTAL</v>
      </c>
      <c r="B47" s="19"/>
      <c r="C47" s="14">
        <f t="shared" ref="C47:S47" si="24">SUM(C43:C46)</f>
        <v>8</v>
      </c>
      <c r="D47" s="14">
        <f t="shared" si="24"/>
        <v>0</v>
      </c>
      <c r="E47" s="14">
        <f t="shared" si="24"/>
        <v>14</v>
      </c>
      <c r="F47" s="14">
        <f t="shared" si="24"/>
        <v>0</v>
      </c>
      <c r="G47" s="14">
        <f t="shared" si="24"/>
        <v>0</v>
      </c>
      <c r="H47" s="14">
        <f t="shared" si="24"/>
        <v>0</v>
      </c>
      <c r="I47" s="14">
        <f t="shared" si="24"/>
        <v>0</v>
      </c>
      <c r="J47" s="14">
        <f t="shared" si="24"/>
        <v>0</v>
      </c>
      <c r="K47" s="14">
        <f t="shared" si="24"/>
        <v>0</v>
      </c>
      <c r="L47" s="14">
        <f t="shared" si="24"/>
        <v>0</v>
      </c>
      <c r="M47" s="14">
        <f t="shared" si="24"/>
        <v>0</v>
      </c>
      <c r="N47" s="14">
        <f t="shared" si="24"/>
        <v>0</v>
      </c>
      <c r="O47" s="14">
        <f t="shared" si="24"/>
        <v>4</v>
      </c>
      <c r="P47" s="14">
        <f t="shared" si="24"/>
        <v>0</v>
      </c>
      <c r="Q47" s="14">
        <f t="shared" si="24"/>
        <v>0</v>
      </c>
      <c r="R47" s="14">
        <f t="shared" si="24"/>
        <v>0</v>
      </c>
      <c r="S47" s="14">
        <f t="shared" si="24"/>
        <v>0</v>
      </c>
      <c r="T47" s="9">
        <f t="shared" si="4"/>
        <v>26</v>
      </c>
      <c r="U47" s="14">
        <f t="shared" ref="U47:AJ47" si="25">SUM(U43:U46)</f>
        <v>4</v>
      </c>
      <c r="V47" s="14">
        <f t="shared" si="25"/>
        <v>0</v>
      </c>
      <c r="W47" s="14">
        <f t="shared" si="25"/>
        <v>0</v>
      </c>
      <c r="X47" s="14">
        <f t="shared" si="25"/>
        <v>0</v>
      </c>
      <c r="Y47" s="14">
        <f t="shared" si="25"/>
        <v>4</v>
      </c>
      <c r="Z47" s="14">
        <f t="shared" si="25"/>
        <v>8</v>
      </c>
      <c r="AA47" s="14">
        <f t="shared" si="25"/>
        <v>8</v>
      </c>
      <c r="AB47" s="14">
        <f t="shared" si="25"/>
        <v>16</v>
      </c>
      <c r="AC47" s="14">
        <f t="shared" si="25"/>
        <v>0</v>
      </c>
      <c r="AD47" s="14">
        <f t="shared" si="25"/>
        <v>12</v>
      </c>
      <c r="AE47" s="14">
        <f t="shared" si="25"/>
        <v>4</v>
      </c>
      <c r="AF47" s="14">
        <f t="shared" si="25"/>
        <v>0</v>
      </c>
      <c r="AG47" s="14">
        <f t="shared" si="25"/>
        <v>0</v>
      </c>
      <c r="AH47" s="14">
        <f t="shared" si="25"/>
        <v>0</v>
      </c>
      <c r="AI47" s="14">
        <f t="shared" si="25"/>
        <v>0</v>
      </c>
      <c r="AJ47" s="14">
        <f t="shared" si="25"/>
        <v>4</v>
      </c>
      <c r="AK47" s="17">
        <f t="shared" si="1"/>
        <v>60</v>
      </c>
      <c r="AL47" s="10">
        <f t="shared" si="2"/>
        <v>86</v>
      </c>
    </row>
    <row r="48" spans="1:38" x14ac:dyDescent="0.25">
      <c r="A48" s="12" t="str">
        <f>'[2]2.0WS'!A48</f>
        <v>28</v>
      </c>
      <c r="B48" s="13" t="str">
        <f>'[2]2.0WS'!B48</f>
        <v>THOOTHUKUDI</v>
      </c>
      <c r="C48" s="8" t="str">
        <f>'[2]2.0WP'!C48</f>
        <v/>
      </c>
      <c r="D48" s="8" t="str">
        <f>'[2]2.0WP'!D48</f>
        <v/>
      </c>
      <c r="E48" s="8" t="str">
        <f>'[2]2.0WP'!E48</f>
        <v/>
      </c>
      <c r="F48" s="8" t="str">
        <f>'[2]2.0WP'!F48</f>
        <v/>
      </c>
      <c r="G48" s="8" t="str">
        <f>'[2]2.0WP'!G48</f>
        <v/>
      </c>
      <c r="H48" s="8" t="str">
        <f>'[2]2.0WP'!H48</f>
        <v/>
      </c>
      <c r="I48" s="8" t="str">
        <f>'[2]2.0WP'!I48</f>
        <v/>
      </c>
      <c r="J48" s="8" t="str">
        <f>'[2]2.0WP'!J48</f>
        <v/>
      </c>
      <c r="K48" s="8" t="str">
        <f>'[2]2.0WP'!K48</f>
        <v/>
      </c>
      <c r="L48" s="8" t="str">
        <f>'[2]2.0WP'!L48</f>
        <v/>
      </c>
      <c r="M48" s="8" t="str">
        <f>'[2]2.0WP'!M48</f>
        <v/>
      </c>
      <c r="N48" s="8" t="str">
        <f>'[2]2.0WP'!N48</f>
        <v/>
      </c>
      <c r="O48" s="8" t="str">
        <f>'[2]2.0WP'!O48</f>
        <v/>
      </c>
      <c r="P48" s="8" t="str">
        <f>'[2]2.0WP'!P48</f>
        <v/>
      </c>
      <c r="Q48" s="8" t="str">
        <f>'[2]2.0WP'!Q48</f>
        <v/>
      </c>
      <c r="R48" s="8" t="str">
        <f>'[2]2.0WP'!R48</f>
        <v/>
      </c>
      <c r="S48" s="8" t="str">
        <f>'[2]2.0WP'!S48</f>
        <v/>
      </c>
      <c r="T48" s="9">
        <f t="shared" si="4"/>
        <v>0</v>
      </c>
      <c r="U48" s="8">
        <f>'[2]2.0WP'!U48</f>
        <v>4</v>
      </c>
      <c r="V48" s="8">
        <f>'[2]2.0WP'!V48</f>
        <v>4</v>
      </c>
      <c r="W48" s="8" t="str">
        <f>'[2]2.0WP'!W48</f>
        <v/>
      </c>
      <c r="X48" s="8" t="str">
        <f>'[2]2.0WP'!X48</f>
        <v/>
      </c>
      <c r="Y48" s="8" t="str">
        <f>'[2]2.0WP'!Y48</f>
        <v/>
      </c>
      <c r="Z48" s="8">
        <f>'[2]2.0WP'!Z48</f>
        <v>4</v>
      </c>
      <c r="AA48" s="8" t="str">
        <f>'[2]2.0WP'!AA48</f>
        <v/>
      </c>
      <c r="AB48" s="8">
        <f>'[2]2.0WP'!AB48</f>
        <v>8</v>
      </c>
      <c r="AC48" s="8" t="str">
        <f>'[2]2.0WP'!AC48</f>
        <v/>
      </c>
      <c r="AD48" s="8" t="str">
        <f>'[2]2.0WP'!AD48</f>
        <v/>
      </c>
      <c r="AE48" s="8" t="str">
        <f>'[2]2.0WP'!AE48</f>
        <v/>
      </c>
      <c r="AF48" s="8">
        <f>'[2]2.0WP'!AF48</f>
        <v>10</v>
      </c>
      <c r="AG48" s="8" t="str">
        <f>'[2]2.0WP'!AG48</f>
        <v/>
      </c>
      <c r="AH48" s="8" t="str">
        <f>'[2]2.0WP'!AH48</f>
        <v/>
      </c>
      <c r="AI48" s="8">
        <f>'[2]2.0WP'!AI48</f>
        <v>4</v>
      </c>
      <c r="AJ48" s="8" t="str">
        <f>'[2]2.0WP'!AJ48</f>
        <v/>
      </c>
      <c r="AK48" s="17">
        <f t="shared" si="1"/>
        <v>34</v>
      </c>
      <c r="AL48" s="10">
        <f t="shared" si="2"/>
        <v>34</v>
      </c>
    </row>
    <row r="49" spans="1:38" x14ac:dyDescent="0.25">
      <c r="A49" s="12" t="str">
        <f>'[2]2.0WS'!A49</f>
        <v>29</v>
      </c>
      <c r="B49" s="13" t="str">
        <f>'[2]2.0WS'!B49</f>
        <v>TIRUNELVELI</v>
      </c>
      <c r="C49" s="8" t="str">
        <f>'[2]2.0WP'!C49</f>
        <v/>
      </c>
      <c r="D49" s="8" t="str">
        <f>'[2]2.0WP'!D49</f>
        <v/>
      </c>
      <c r="E49" s="8">
        <f>'[2]2.0WP'!E49</f>
        <v>4</v>
      </c>
      <c r="F49" s="8" t="str">
        <f>'[2]2.0WP'!F49</f>
        <v/>
      </c>
      <c r="G49" s="8" t="str">
        <f>'[2]2.0WP'!G49</f>
        <v/>
      </c>
      <c r="H49" s="8" t="str">
        <f>'[2]2.0WP'!H49</f>
        <v/>
      </c>
      <c r="I49" s="8" t="str">
        <f>'[2]2.0WP'!I49</f>
        <v/>
      </c>
      <c r="J49" s="8" t="str">
        <f>'[2]2.0WP'!J49</f>
        <v/>
      </c>
      <c r="K49" s="8" t="str">
        <f>'[2]2.0WP'!K49</f>
        <v/>
      </c>
      <c r="L49" s="8" t="str">
        <f>'[2]2.0WP'!L49</f>
        <v/>
      </c>
      <c r="M49" s="8" t="str">
        <f>'[2]2.0WP'!M49</f>
        <v/>
      </c>
      <c r="N49" s="8" t="str">
        <f>'[2]2.0WP'!N49</f>
        <v/>
      </c>
      <c r="O49" s="8" t="str">
        <f>'[2]2.0WP'!O49</f>
        <v/>
      </c>
      <c r="P49" s="8" t="str">
        <f>'[2]2.0WP'!P49</f>
        <v/>
      </c>
      <c r="Q49" s="8" t="str">
        <f>'[2]2.0WP'!Q49</f>
        <v/>
      </c>
      <c r="R49" s="8" t="str">
        <f>'[2]2.0WP'!R49</f>
        <v/>
      </c>
      <c r="S49" s="8" t="str">
        <f>'[2]2.0WP'!S49</f>
        <v/>
      </c>
      <c r="T49" s="9">
        <f t="shared" si="4"/>
        <v>4</v>
      </c>
      <c r="U49" s="8" t="str">
        <f>'[2]2.0WP'!U49</f>
        <v/>
      </c>
      <c r="V49" s="8" t="str">
        <f>'[2]2.0WP'!V49</f>
        <v/>
      </c>
      <c r="W49" s="8" t="str">
        <f>'[2]2.0WP'!W49</f>
        <v/>
      </c>
      <c r="X49" s="8" t="str">
        <f>'[2]2.0WP'!X49</f>
        <v/>
      </c>
      <c r="Y49" s="8" t="str">
        <f>'[2]2.0WP'!Y49</f>
        <v/>
      </c>
      <c r="Z49" s="8" t="str">
        <f>'[2]2.0WP'!Z49</f>
        <v/>
      </c>
      <c r="AA49" s="8" t="str">
        <f>'[2]2.0WP'!AA49</f>
        <v/>
      </c>
      <c r="AB49" s="8" t="str">
        <f>'[2]2.0WP'!AB49</f>
        <v/>
      </c>
      <c r="AC49" s="8" t="str">
        <f>'[2]2.0WP'!AC49</f>
        <v/>
      </c>
      <c r="AD49" s="8" t="str">
        <f>'[2]2.0WP'!AD49</f>
        <v/>
      </c>
      <c r="AE49" s="8" t="str">
        <f>'[2]2.0WP'!AE49</f>
        <v/>
      </c>
      <c r="AF49" s="8" t="str">
        <f>'[2]2.0WP'!AF49</f>
        <v/>
      </c>
      <c r="AG49" s="8" t="str">
        <f>'[2]2.0WP'!AG49</f>
        <v/>
      </c>
      <c r="AH49" s="8" t="str">
        <f>'[2]2.0WP'!AH49</f>
        <v/>
      </c>
      <c r="AI49" s="8" t="str">
        <f>'[2]2.0WP'!AI49</f>
        <v/>
      </c>
      <c r="AJ49" s="8" t="str">
        <f>'[2]2.0WP'!AJ49</f>
        <v/>
      </c>
      <c r="AK49" s="17">
        <f t="shared" si="1"/>
        <v>0</v>
      </c>
      <c r="AL49" s="10">
        <f t="shared" si="2"/>
        <v>4</v>
      </c>
    </row>
    <row r="50" spans="1:38" x14ac:dyDescent="0.25">
      <c r="A50" s="12" t="str">
        <f>'[2]2.0WS'!A50</f>
        <v>30</v>
      </c>
      <c r="B50" s="13" t="str">
        <f>'[2]2.0WS'!B50</f>
        <v>KANNIYAKUMARI</v>
      </c>
      <c r="C50" s="8" t="str">
        <f>'[2]2.0WP'!C50</f>
        <v/>
      </c>
      <c r="D50" s="8" t="str">
        <f>'[2]2.0WP'!D50</f>
        <v/>
      </c>
      <c r="E50" s="8" t="str">
        <f>'[2]2.0WP'!E50</f>
        <v/>
      </c>
      <c r="F50" s="8" t="str">
        <f>'[2]2.0WP'!F50</f>
        <v/>
      </c>
      <c r="G50" s="8" t="str">
        <f>'[2]2.0WP'!G50</f>
        <v/>
      </c>
      <c r="H50" s="8" t="str">
        <f>'[2]2.0WP'!H50</f>
        <v/>
      </c>
      <c r="I50" s="8" t="str">
        <f>'[2]2.0WP'!I50</f>
        <v/>
      </c>
      <c r="J50" s="8" t="str">
        <f>'[2]2.0WP'!J50</f>
        <v/>
      </c>
      <c r="K50" s="8" t="str">
        <f>'[2]2.0WP'!K50</f>
        <v/>
      </c>
      <c r="L50" s="8" t="str">
        <f>'[2]2.0WP'!L50</f>
        <v/>
      </c>
      <c r="M50" s="8" t="str">
        <f>'[2]2.0WP'!M50</f>
        <v/>
      </c>
      <c r="N50" s="8" t="str">
        <f>'[2]2.0WP'!N50</f>
        <v/>
      </c>
      <c r="O50" s="8" t="str">
        <f>'[2]2.0WP'!O50</f>
        <v/>
      </c>
      <c r="P50" s="8" t="str">
        <f>'[2]2.0WP'!P50</f>
        <v/>
      </c>
      <c r="Q50" s="8" t="str">
        <f>'[2]2.0WP'!Q50</f>
        <v/>
      </c>
      <c r="R50" s="8" t="str">
        <f>'[2]2.0WP'!R50</f>
        <v/>
      </c>
      <c r="S50" s="8" t="str">
        <f>'[2]2.0WP'!S50</f>
        <v/>
      </c>
      <c r="T50" s="9">
        <f t="shared" si="4"/>
        <v>0</v>
      </c>
      <c r="U50" s="8" t="str">
        <f>'[2]2.0WP'!U50</f>
        <v/>
      </c>
      <c r="V50" s="8" t="str">
        <f>'[2]2.0WP'!V50</f>
        <v/>
      </c>
      <c r="W50" s="8" t="str">
        <f>'[2]2.0WP'!W50</f>
        <v/>
      </c>
      <c r="X50" s="8" t="str">
        <f>'[2]2.0WP'!X50</f>
        <v/>
      </c>
      <c r="Y50" s="8" t="str">
        <f>'[2]2.0WP'!Y50</f>
        <v/>
      </c>
      <c r="Z50" s="8" t="str">
        <f>'[2]2.0WP'!Z50</f>
        <v/>
      </c>
      <c r="AA50" s="8" t="str">
        <f>'[2]2.0WP'!AA50</f>
        <v/>
      </c>
      <c r="AB50" s="8" t="str">
        <f>'[2]2.0WP'!AB50</f>
        <v/>
      </c>
      <c r="AC50" s="8" t="str">
        <f>'[2]2.0WP'!AC50</f>
        <v/>
      </c>
      <c r="AD50" s="8" t="str">
        <f>'[2]2.0WP'!AD50</f>
        <v/>
      </c>
      <c r="AE50" s="8" t="str">
        <f>'[2]2.0WP'!AE50</f>
        <v/>
      </c>
      <c r="AF50" s="8" t="str">
        <f>'[2]2.0WP'!AF50</f>
        <v/>
      </c>
      <c r="AG50" s="8" t="str">
        <f>'[2]2.0WP'!AG50</f>
        <v/>
      </c>
      <c r="AH50" s="8" t="str">
        <f>'[2]2.0WP'!AH50</f>
        <v/>
      </c>
      <c r="AI50" s="8" t="str">
        <f>'[2]2.0WP'!AI50</f>
        <v/>
      </c>
      <c r="AJ50" s="8" t="str">
        <f>'[2]2.0WP'!AJ50</f>
        <v/>
      </c>
      <c r="AK50" s="17">
        <f t="shared" si="1"/>
        <v>0</v>
      </c>
      <c r="AL50" s="10">
        <f t="shared" si="2"/>
        <v>0</v>
      </c>
    </row>
    <row r="51" spans="1:38" x14ac:dyDescent="0.25">
      <c r="A51" s="12" t="str">
        <f>'[2]2.0WS'!A51</f>
        <v>37</v>
      </c>
      <c r="B51" s="13" t="str">
        <f>'[2]2.0WS'!B51</f>
        <v>TENKASI</v>
      </c>
      <c r="C51" s="8">
        <f>'[2]2.0WP'!C51</f>
        <v>4</v>
      </c>
      <c r="D51" s="8" t="str">
        <f>'[2]2.0WP'!D51</f>
        <v/>
      </c>
      <c r="E51" s="8">
        <f>'[2]2.0WP'!E51</f>
        <v>4</v>
      </c>
      <c r="F51" s="8" t="str">
        <f>'[2]2.0WP'!F51</f>
        <v/>
      </c>
      <c r="G51" s="8" t="str">
        <f>'[2]2.0WP'!G51</f>
        <v/>
      </c>
      <c r="H51" s="8" t="str">
        <f>'[2]2.0WP'!H51</f>
        <v/>
      </c>
      <c r="I51" s="8" t="str">
        <f>'[2]2.0WP'!I51</f>
        <v/>
      </c>
      <c r="J51" s="8" t="str">
        <f>'[2]2.0WP'!J51</f>
        <v/>
      </c>
      <c r="K51" s="8" t="str">
        <f>'[2]2.0WP'!K51</f>
        <v/>
      </c>
      <c r="L51" s="8" t="str">
        <f>'[2]2.0WP'!L51</f>
        <v/>
      </c>
      <c r="M51" s="8" t="str">
        <f>'[2]2.0WP'!M51</f>
        <v/>
      </c>
      <c r="N51" s="8">
        <f>'[2]2.0WP'!N51</f>
        <v>4</v>
      </c>
      <c r="O51" s="8" t="str">
        <f>'[2]2.0WP'!O51</f>
        <v/>
      </c>
      <c r="P51" s="8" t="str">
        <f>'[2]2.0WP'!P51</f>
        <v/>
      </c>
      <c r="Q51" s="8" t="str">
        <f>'[2]2.0WP'!Q51</f>
        <v/>
      </c>
      <c r="R51" s="8" t="str">
        <f>'[2]2.0WP'!R51</f>
        <v/>
      </c>
      <c r="S51" s="8" t="str">
        <f>'[2]2.0WP'!S51</f>
        <v/>
      </c>
      <c r="T51" s="9">
        <f t="shared" si="4"/>
        <v>12</v>
      </c>
      <c r="U51" s="8" t="str">
        <f>'[2]2.0WP'!U51</f>
        <v/>
      </c>
      <c r="V51" s="8" t="str">
        <f>'[2]2.0WP'!V51</f>
        <v/>
      </c>
      <c r="W51" s="8" t="str">
        <f>'[2]2.0WP'!W51</f>
        <v/>
      </c>
      <c r="X51" s="8" t="str">
        <f>'[2]2.0WP'!X51</f>
        <v/>
      </c>
      <c r="Y51" s="8" t="str">
        <f>'[2]2.0WP'!Y51</f>
        <v/>
      </c>
      <c r="Z51" s="8">
        <f>'[2]2.0WP'!Z51</f>
        <v>4</v>
      </c>
      <c r="AA51" s="8" t="str">
        <f>'[2]2.0WP'!AA51</f>
        <v/>
      </c>
      <c r="AB51" s="8">
        <f>'[2]2.0WP'!AB51</f>
        <v>4</v>
      </c>
      <c r="AC51" s="8" t="str">
        <f>'[2]2.0WP'!AC51</f>
        <v/>
      </c>
      <c r="AD51" s="8" t="str">
        <f>'[2]2.0WP'!AD51</f>
        <v/>
      </c>
      <c r="AE51" s="8" t="str">
        <f>'[2]2.0WP'!AE51</f>
        <v/>
      </c>
      <c r="AF51" s="8" t="str">
        <f>'[2]2.0WP'!AF51</f>
        <v/>
      </c>
      <c r="AG51" s="8" t="str">
        <f>'[2]2.0WP'!AG51</f>
        <v/>
      </c>
      <c r="AH51" s="8" t="str">
        <f>'[2]2.0WP'!AH51</f>
        <v/>
      </c>
      <c r="AI51" s="8">
        <f>'[2]2.0WP'!AI51</f>
        <v>4</v>
      </c>
      <c r="AJ51" s="8" t="str">
        <f>'[2]2.0WP'!AJ51</f>
        <v/>
      </c>
      <c r="AK51" s="17">
        <f t="shared" si="1"/>
        <v>12</v>
      </c>
      <c r="AL51" s="10">
        <f t="shared" si="2"/>
        <v>24</v>
      </c>
    </row>
    <row r="52" spans="1:38" s="3" customFormat="1" ht="14.4" customHeight="1" x14ac:dyDescent="0.25">
      <c r="A52" s="19" t="str">
        <f>'[2]2.0WS'!A52</f>
        <v>SRO TIRUNELVELI TOTAL</v>
      </c>
      <c r="B52" s="19"/>
      <c r="C52" s="14">
        <f t="shared" ref="C52:S52" si="26">SUM(C48:C51)</f>
        <v>4</v>
      </c>
      <c r="D52" s="14">
        <f t="shared" si="26"/>
        <v>0</v>
      </c>
      <c r="E52" s="14">
        <f t="shared" si="26"/>
        <v>8</v>
      </c>
      <c r="F52" s="14">
        <f t="shared" si="26"/>
        <v>0</v>
      </c>
      <c r="G52" s="14">
        <f t="shared" si="26"/>
        <v>0</v>
      </c>
      <c r="H52" s="14">
        <f t="shared" si="26"/>
        <v>0</v>
      </c>
      <c r="I52" s="14">
        <f t="shared" si="26"/>
        <v>0</v>
      </c>
      <c r="J52" s="14">
        <f t="shared" si="26"/>
        <v>0</v>
      </c>
      <c r="K52" s="14">
        <f t="shared" si="26"/>
        <v>0</v>
      </c>
      <c r="L52" s="14">
        <f t="shared" si="26"/>
        <v>0</v>
      </c>
      <c r="M52" s="14">
        <f t="shared" si="26"/>
        <v>0</v>
      </c>
      <c r="N52" s="14">
        <f t="shared" si="26"/>
        <v>4</v>
      </c>
      <c r="O52" s="14">
        <f t="shared" si="26"/>
        <v>0</v>
      </c>
      <c r="P52" s="14">
        <f t="shared" si="26"/>
        <v>0</v>
      </c>
      <c r="Q52" s="14">
        <f t="shared" si="26"/>
        <v>0</v>
      </c>
      <c r="R52" s="14">
        <f t="shared" si="26"/>
        <v>0</v>
      </c>
      <c r="S52" s="14">
        <f t="shared" si="26"/>
        <v>0</v>
      </c>
      <c r="T52" s="9">
        <f t="shared" si="4"/>
        <v>16</v>
      </c>
      <c r="U52" s="14">
        <f t="shared" ref="U52:AJ52" si="27">SUM(U48:U51)</f>
        <v>4</v>
      </c>
      <c r="V52" s="14">
        <f t="shared" si="27"/>
        <v>4</v>
      </c>
      <c r="W52" s="14">
        <f t="shared" si="27"/>
        <v>0</v>
      </c>
      <c r="X52" s="14">
        <f t="shared" si="27"/>
        <v>0</v>
      </c>
      <c r="Y52" s="14">
        <f t="shared" si="27"/>
        <v>0</v>
      </c>
      <c r="Z52" s="14">
        <f t="shared" si="27"/>
        <v>8</v>
      </c>
      <c r="AA52" s="14">
        <f t="shared" si="27"/>
        <v>0</v>
      </c>
      <c r="AB52" s="14">
        <f t="shared" si="27"/>
        <v>12</v>
      </c>
      <c r="AC52" s="14">
        <f t="shared" si="27"/>
        <v>0</v>
      </c>
      <c r="AD52" s="14">
        <f t="shared" si="27"/>
        <v>0</v>
      </c>
      <c r="AE52" s="14">
        <f t="shared" si="27"/>
        <v>0</v>
      </c>
      <c r="AF52" s="14">
        <f t="shared" si="27"/>
        <v>10</v>
      </c>
      <c r="AG52" s="14">
        <f t="shared" si="27"/>
        <v>0</v>
      </c>
      <c r="AH52" s="14">
        <f t="shared" si="27"/>
        <v>0</v>
      </c>
      <c r="AI52" s="14">
        <f t="shared" si="27"/>
        <v>8</v>
      </c>
      <c r="AJ52" s="14">
        <f t="shared" si="27"/>
        <v>0</v>
      </c>
      <c r="AK52" s="17">
        <f t="shared" si="1"/>
        <v>46</v>
      </c>
      <c r="AL52" s="10">
        <f t="shared" si="2"/>
        <v>62</v>
      </c>
    </row>
    <row r="53" spans="1:38" x14ac:dyDescent="0.25">
      <c r="A53" s="12" t="str">
        <f>'[2]2.0WS'!A53</f>
        <v>26</v>
      </c>
      <c r="B53" s="13" t="str">
        <f>'[2]2.0WS'!B53</f>
        <v>VIRUDHUNAGAR</v>
      </c>
      <c r="C53" s="8" t="str">
        <f>'[2]2.0WP'!C53</f>
        <v/>
      </c>
      <c r="D53" s="8" t="str">
        <f>'[2]2.0WP'!D53</f>
        <v/>
      </c>
      <c r="E53" s="8" t="str">
        <f>'[2]2.0WP'!E53</f>
        <v/>
      </c>
      <c r="F53" s="8" t="str">
        <f>'[2]2.0WP'!F53</f>
        <v/>
      </c>
      <c r="G53" s="8" t="str">
        <f>'[2]2.0WP'!G53</f>
        <v/>
      </c>
      <c r="H53" s="8" t="str">
        <f>'[2]2.0WP'!H53</f>
        <v/>
      </c>
      <c r="I53" s="8" t="str">
        <f>'[2]2.0WP'!I53</f>
        <v/>
      </c>
      <c r="J53" s="8">
        <f>'[2]2.0WP'!J53</f>
        <v>4</v>
      </c>
      <c r="K53" s="8" t="str">
        <f>'[2]2.0WP'!K53</f>
        <v/>
      </c>
      <c r="L53" s="8" t="str">
        <f>'[2]2.0WP'!L53</f>
        <v/>
      </c>
      <c r="M53" s="8" t="str">
        <f>'[2]2.0WP'!M53</f>
        <v/>
      </c>
      <c r="N53" s="8">
        <f>'[2]2.0WP'!N53</f>
        <v>0</v>
      </c>
      <c r="O53" s="8" t="str">
        <f>'[2]2.0WP'!O53</f>
        <v/>
      </c>
      <c r="P53" s="8" t="str">
        <f>'[2]2.0WP'!P53</f>
        <v/>
      </c>
      <c r="Q53" s="8">
        <f>'[2]2.0WP'!Q53</f>
        <v>4</v>
      </c>
      <c r="R53" s="8" t="str">
        <f>'[2]2.0WP'!R53</f>
        <v/>
      </c>
      <c r="S53" s="8">
        <f>'[2]2.0WP'!S53</f>
        <v>4</v>
      </c>
      <c r="T53" s="9">
        <f t="shared" si="4"/>
        <v>12</v>
      </c>
      <c r="U53" s="8">
        <f>'[2]2.0WP'!U53</f>
        <v>4</v>
      </c>
      <c r="V53" s="8">
        <f>'[2]2.0WP'!V53</f>
        <v>4</v>
      </c>
      <c r="W53" s="8" t="str">
        <f>'[2]2.0WP'!W53</f>
        <v/>
      </c>
      <c r="X53" s="8">
        <f>'[2]2.0WP'!X53</f>
        <v>0</v>
      </c>
      <c r="Y53" s="8" t="str">
        <f>'[2]2.0WP'!Y53</f>
        <v/>
      </c>
      <c r="Z53" s="8" t="str">
        <f>'[2]2.0WP'!Z53</f>
        <v/>
      </c>
      <c r="AA53" s="8" t="str">
        <f>'[2]2.0WP'!AA53</f>
        <v/>
      </c>
      <c r="AB53" s="8">
        <f>'[2]2.0WP'!AB53</f>
        <v>0</v>
      </c>
      <c r="AC53" s="8" t="str">
        <f>'[2]2.0WP'!AC53</f>
        <v/>
      </c>
      <c r="AD53" s="8">
        <f>'[2]2.0WP'!AD53</f>
        <v>4</v>
      </c>
      <c r="AE53" s="8" t="str">
        <f>'[2]2.0WP'!AE53</f>
        <v/>
      </c>
      <c r="AF53" s="8">
        <f>'[2]2.0WP'!AF53</f>
        <v>6</v>
      </c>
      <c r="AG53" s="8" t="str">
        <f>'[2]2.0WP'!AG53</f>
        <v/>
      </c>
      <c r="AH53" s="8" t="str">
        <f>'[2]2.0WP'!AH53</f>
        <v/>
      </c>
      <c r="AI53" s="8">
        <f>'[2]2.0WP'!AI53</f>
        <v>4</v>
      </c>
      <c r="AJ53" s="8">
        <f>'[2]2.0WP'!AJ53</f>
        <v>4</v>
      </c>
      <c r="AK53" s="17">
        <f t="shared" si="1"/>
        <v>26</v>
      </c>
      <c r="AL53" s="10">
        <f t="shared" si="2"/>
        <v>38</v>
      </c>
    </row>
    <row r="54" spans="1:38" x14ac:dyDescent="0.25">
      <c r="A54" s="12" t="str">
        <f>'[2]2.0WS'!A54</f>
        <v>27</v>
      </c>
      <c r="B54" s="13" t="str">
        <f>'[2]2.0WS'!B54</f>
        <v>RAMANATHAPURAM</v>
      </c>
      <c r="C54" s="8" t="str">
        <f>'[2]2.0WP'!C54</f>
        <v/>
      </c>
      <c r="D54" s="8">
        <f>'[2]2.0WP'!D54</f>
        <v>4</v>
      </c>
      <c r="E54" s="8" t="str">
        <f>'[2]2.0WP'!E54</f>
        <v/>
      </c>
      <c r="F54" s="8" t="str">
        <f>'[2]2.0WP'!F54</f>
        <v/>
      </c>
      <c r="G54" s="8" t="str">
        <f>'[2]2.0WP'!G54</f>
        <v/>
      </c>
      <c r="H54" s="8" t="str">
        <f>'[2]2.0WP'!H54</f>
        <v/>
      </c>
      <c r="I54" s="8" t="str">
        <f>'[2]2.0WP'!I54</f>
        <v/>
      </c>
      <c r="J54" s="8" t="str">
        <f>'[2]2.0WP'!J54</f>
        <v/>
      </c>
      <c r="K54" s="8" t="str">
        <f>'[2]2.0WP'!K54</f>
        <v/>
      </c>
      <c r="L54" s="8" t="str">
        <f>'[2]2.0WP'!L54</f>
        <v/>
      </c>
      <c r="M54" s="8" t="str">
        <f>'[2]2.0WP'!M54</f>
        <v/>
      </c>
      <c r="N54" s="8" t="str">
        <f>'[2]2.0WP'!N54</f>
        <v/>
      </c>
      <c r="O54" s="8" t="str">
        <f>'[2]2.0WP'!O54</f>
        <v/>
      </c>
      <c r="P54" s="8" t="str">
        <f>'[2]2.0WP'!P54</f>
        <v/>
      </c>
      <c r="Q54" s="8" t="str">
        <f>'[2]2.0WP'!Q54</f>
        <v/>
      </c>
      <c r="R54" s="8" t="str">
        <f>'[2]2.0WP'!R54</f>
        <v/>
      </c>
      <c r="S54" s="8" t="str">
        <f>'[2]2.0WP'!S54</f>
        <v/>
      </c>
      <c r="T54" s="9">
        <f t="shared" si="4"/>
        <v>4</v>
      </c>
      <c r="U54" s="8" t="str">
        <f>'[2]2.0WP'!U54</f>
        <v/>
      </c>
      <c r="V54" s="8" t="str">
        <f>'[2]2.0WP'!V54</f>
        <v/>
      </c>
      <c r="W54" s="8" t="str">
        <f>'[2]2.0WP'!W54</f>
        <v/>
      </c>
      <c r="X54" s="8">
        <f>'[2]2.0WP'!X54</f>
        <v>4</v>
      </c>
      <c r="Y54" s="8" t="str">
        <f>'[2]2.0WP'!Y54</f>
        <v/>
      </c>
      <c r="Z54" s="8">
        <f>'[2]2.0WP'!Z54</f>
        <v>4</v>
      </c>
      <c r="AA54" s="8" t="str">
        <f>'[2]2.0WP'!AA54</f>
        <v/>
      </c>
      <c r="AB54" s="8" t="str">
        <f>'[2]2.0WP'!AB54</f>
        <v/>
      </c>
      <c r="AC54" s="8" t="str">
        <f>'[2]2.0WP'!AC54</f>
        <v/>
      </c>
      <c r="AD54" s="8">
        <f>'[2]2.0WP'!AD54</f>
        <v>4</v>
      </c>
      <c r="AE54" s="8" t="str">
        <f>'[2]2.0WP'!AE54</f>
        <v/>
      </c>
      <c r="AF54" s="8">
        <f>'[2]2.0WP'!AF54</f>
        <v>4</v>
      </c>
      <c r="AG54" s="8" t="str">
        <f>'[2]2.0WP'!AG54</f>
        <v/>
      </c>
      <c r="AH54" s="8" t="str">
        <f>'[2]2.0WP'!AH54</f>
        <v/>
      </c>
      <c r="AI54" s="8">
        <f>'[2]2.0WP'!AI54</f>
        <v>4</v>
      </c>
      <c r="AJ54" s="8" t="str">
        <f>'[2]2.0WP'!AJ54</f>
        <v/>
      </c>
      <c r="AK54" s="17">
        <f t="shared" si="1"/>
        <v>20</v>
      </c>
      <c r="AL54" s="10">
        <f t="shared" si="2"/>
        <v>24</v>
      </c>
    </row>
    <row r="55" spans="1:38" s="3" customFormat="1" ht="14.4" customHeight="1" x14ac:dyDescent="0.25">
      <c r="A55" s="19" t="str">
        <f>'[2]2.0WS'!A55</f>
        <v>SRO VIRUDHNAGAR TOTAL</v>
      </c>
      <c r="B55" s="19"/>
      <c r="C55" s="14">
        <f t="shared" ref="C55:S55" si="28">SUM(C53:C54)</f>
        <v>0</v>
      </c>
      <c r="D55" s="14">
        <f t="shared" si="28"/>
        <v>4</v>
      </c>
      <c r="E55" s="14">
        <f t="shared" si="28"/>
        <v>0</v>
      </c>
      <c r="F55" s="14">
        <f t="shared" si="28"/>
        <v>0</v>
      </c>
      <c r="G55" s="14">
        <f t="shared" si="28"/>
        <v>0</v>
      </c>
      <c r="H55" s="14">
        <f t="shared" si="28"/>
        <v>0</v>
      </c>
      <c r="I55" s="14">
        <f t="shared" si="28"/>
        <v>0</v>
      </c>
      <c r="J55" s="14">
        <f t="shared" si="28"/>
        <v>4</v>
      </c>
      <c r="K55" s="14">
        <f t="shared" si="28"/>
        <v>0</v>
      </c>
      <c r="L55" s="14">
        <f t="shared" si="28"/>
        <v>0</v>
      </c>
      <c r="M55" s="14">
        <f t="shared" si="28"/>
        <v>0</v>
      </c>
      <c r="N55" s="14">
        <f t="shared" si="28"/>
        <v>0</v>
      </c>
      <c r="O55" s="14">
        <f t="shared" si="28"/>
        <v>0</v>
      </c>
      <c r="P55" s="14">
        <f t="shared" si="28"/>
        <v>0</v>
      </c>
      <c r="Q55" s="14">
        <f t="shared" si="28"/>
        <v>4</v>
      </c>
      <c r="R55" s="14">
        <f t="shared" si="28"/>
        <v>0</v>
      </c>
      <c r="S55" s="14">
        <f t="shared" si="28"/>
        <v>4</v>
      </c>
      <c r="T55" s="9">
        <f t="shared" si="4"/>
        <v>16</v>
      </c>
      <c r="U55" s="14">
        <f t="shared" ref="U55:AJ55" si="29">SUM(U53:U54)</f>
        <v>4</v>
      </c>
      <c r="V55" s="14">
        <f t="shared" si="29"/>
        <v>4</v>
      </c>
      <c r="W55" s="14">
        <f t="shared" si="29"/>
        <v>0</v>
      </c>
      <c r="X55" s="14">
        <f t="shared" si="29"/>
        <v>4</v>
      </c>
      <c r="Y55" s="14">
        <f t="shared" si="29"/>
        <v>0</v>
      </c>
      <c r="Z55" s="14">
        <f t="shared" si="29"/>
        <v>4</v>
      </c>
      <c r="AA55" s="14">
        <f t="shared" si="29"/>
        <v>0</v>
      </c>
      <c r="AB55" s="14">
        <f t="shared" si="29"/>
        <v>0</v>
      </c>
      <c r="AC55" s="14">
        <f t="shared" si="29"/>
        <v>0</v>
      </c>
      <c r="AD55" s="14">
        <f t="shared" si="29"/>
        <v>8</v>
      </c>
      <c r="AE55" s="14">
        <f t="shared" si="29"/>
        <v>0</v>
      </c>
      <c r="AF55" s="14">
        <f t="shared" si="29"/>
        <v>10</v>
      </c>
      <c r="AG55" s="14">
        <f t="shared" si="29"/>
        <v>0</v>
      </c>
      <c r="AH55" s="14">
        <f t="shared" si="29"/>
        <v>0</v>
      </c>
      <c r="AI55" s="14">
        <f t="shared" si="29"/>
        <v>8</v>
      </c>
      <c r="AJ55" s="14">
        <f t="shared" si="29"/>
        <v>4</v>
      </c>
      <c r="AK55" s="17">
        <f t="shared" si="1"/>
        <v>46</v>
      </c>
      <c r="AL55" s="10">
        <f t="shared" si="2"/>
        <v>62</v>
      </c>
    </row>
    <row r="56" spans="1:38" s="3" customFormat="1" ht="14.4" customHeight="1" x14ac:dyDescent="0.25">
      <c r="A56" s="20" t="str">
        <f>'[2]2.0WS'!A56</f>
        <v>RO MADURAI TOTAL</v>
      </c>
      <c r="B56" s="20"/>
      <c r="C56" s="15">
        <f>SUM(C55,C52,C47,C42)</f>
        <v>16</v>
      </c>
      <c r="D56" s="15">
        <f t="shared" ref="D56:S56" si="30">SUM(D55,D52,D47,D42)</f>
        <v>4</v>
      </c>
      <c r="E56" s="15">
        <f t="shared" si="30"/>
        <v>30</v>
      </c>
      <c r="F56" s="15">
        <f t="shared" si="30"/>
        <v>8</v>
      </c>
      <c r="G56" s="15">
        <f t="shared" si="30"/>
        <v>0</v>
      </c>
      <c r="H56" s="15">
        <f t="shared" si="30"/>
        <v>4</v>
      </c>
      <c r="I56" s="15">
        <f t="shared" si="30"/>
        <v>0</v>
      </c>
      <c r="J56" s="15">
        <f t="shared" si="30"/>
        <v>4</v>
      </c>
      <c r="K56" s="15">
        <f t="shared" si="30"/>
        <v>0</v>
      </c>
      <c r="L56" s="15">
        <f t="shared" si="30"/>
        <v>4</v>
      </c>
      <c r="M56" s="15">
        <f t="shared" si="30"/>
        <v>0</v>
      </c>
      <c r="N56" s="15">
        <f t="shared" si="30"/>
        <v>8</v>
      </c>
      <c r="O56" s="15">
        <f t="shared" si="30"/>
        <v>4</v>
      </c>
      <c r="P56" s="15">
        <f t="shared" si="30"/>
        <v>4</v>
      </c>
      <c r="Q56" s="15">
        <f t="shared" si="30"/>
        <v>8</v>
      </c>
      <c r="R56" s="15">
        <f t="shared" si="30"/>
        <v>0</v>
      </c>
      <c r="S56" s="15">
        <f t="shared" si="30"/>
        <v>12</v>
      </c>
      <c r="T56" s="18">
        <f t="shared" si="4"/>
        <v>106</v>
      </c>
      <c r="U56" s="15">
        <f t="shared" ref="U56:AJ56" si="31">SUM(U55,U52,U47,U42)</f>
        <v>20</v>
      </c>
      <c r="V56" s="15">
        <f t="shared" si="31"/>
        <v>16</v>
      </c>
      <c r="W56" s="15">
        <f t="shared" si="31"/>
        <v>0</v>
      </c>
      <c r="X56" s="15">
        <f t="shared" si="31"/>
        <v>8</v>
      </c>
      <c r="Y56" s="15">
        <f t="shared" si="31"/>
        <v>4</v>
      </c>
      <c r="Z56" s="15">
        <f t="shared" si="31"/>
        <v>20</v>
      </c>
      <c r="AA56" s="15">
        <f t="shared" si="31"/>
        <v>8</v>
      </c>
      <c r="AB56" s="15">
        <f t="shared" si="31"/>
        <v>32</v>
      </c>
      <c r="AC56" s="15">
        <f t="shared" si="31"/>
        <v>0</v>
      </c>
      <c r="AD56" s="15">
        <f t="shared" si="31"/>
        <v>20</v>
      </c>
      <c r="AE56" s="15">
        <f t="shared" si="31"/>
        <v>4</v>
      </c>
      <c r="AF56" s="15">
        <f t="shared" si="31"/>
        <v>32</v>
      </c>
      <c r="AG56" s="15">
        <f t="shared" si="31"/>
        <v>0</v>
      </c>
      <c r="AH56" s="15">
        <f t="shared" si="31"/>
        <v>0</v>
      </c>
      <c r="AI56" s="15">
        <f t="shared" si="31"/>
        <v>20</v>
      </c>
      <c r="AJ56" s="15">
        <f t="shared" si="31"/>
        <v>16</v>
      </c>
      <c r="AK56" s="17">
        <f t="shared" si="1"/>
        <v>200</v>
      </c>
      <c r="AL56" s="10">
        <f t="shared" si="2"/>
        <v>306</v>
      </c>
    </row>
    <row r="57" spans="1:38" s="3" customFormat="1" ht="15" customHeight="1" x14ac:dyDescent="0.25">
      <c r="A57" s="21" t="str">
        <f>'[2]2.0WS'!A57</f>
        <v>STATE TOTAL</v>
      </c>
      <c r="B57" s="21"/>
      <c r="C57" s="16">
        <f>SUM(C56,C37,C23)</f>
        <v>40</v>
      </c>
      <c r="D57" s="16">
        <f t="shared" ref="D57:S57" si="32">SUM(D56,D37,D23)</f>
        <v>4</v>
      </c>
      <c r="E57" s="16">
        <f t="shared" si="32"/>
        <v>56</v>
      </c>
      <c r="F57" s="16">
        <f t="shared" si="32"/>
        <v>36</v>
      </c>
      <c r="G57" s="16">
        <f t="shared" si="32"/>
        <v>4</v>
      </c>
      <c r="H57" s="16">
        <f t="shared" si="32"/>
        <v>32</v>
      </c>
      <c r="I57" s="16">
        <f t="shared" si="32"/>
        <v>8</v>
      </c>
      <c r="J57" s="16">
        <f t="shared" si="32"/>
        <v>24</v>
      </c>
      <c r="K57" s="16">
        <f t="shared" si="32"/>
        <v>16</v>
      </c>
      <c r="L57" s="16">
        <f t="shared" si="32"/>
        <v>32</v>
      </c>
      <c r="M57" s="16">
        <f t="shared" si="32"/>
        <v>8</v>
      </c>
      <c r="N57" s="16">
        <f t="shared" si="32"/>
        <v>24</v>
      </c>
      <c r="O57" s="16">
        <f t="shared" si="32"/>
        <v>16</v>
      </c>
      <c r="P57" s="16">
        <f t="shared" si="32"/>
        <v>40</v>
      </c>
      <c r="Q57" s="16">
        <f t="shared" si="32"/>
        <v>32</v>
      </c>
      <c r="R57" s="16">
        <f t="shared" si="32"/>
        <v>8</v>
      </c>
      <c r="S57" s="16">
        <f t="shared" si="32"/>
        <v>40</v>
      </c>
      <c r="T57" s="18">
        <f t="shared" si="4"/>
        <v>420</v>
      </c>
      <c r="U57" s="16">
        <f t="shared" ref="U57:AJ57" si="33">SUM(U56,U37,U23)</f>
        <v>40</v>
      </c>
      <c r="V57" s="16">
        <f t="shared" si="33"/>
        <v>30</v>
      </c>
      <c r="W57" s="16">
        <f t="shared" si="33"/>
        <v>10</v>
      </c>
      <c r="X57" s="16">
        <f t="shared" si="33"/>
        <v>8</v>
      </c>
      <c r="Y57" s="16">
        <f t="shared" si="33"/>
        <v>32</v>
      </c>
      <c r="Z57" s="16">
        <f t="shared" si="33"/>
        <v>32</v>
      </c>
      <c r="AA57" s="16">
        <f t="shared" si="33"/>
        <v>8</v>
      </c>
      <c r="AB57" s="16">
        <f t="shared" si="33"/>
        <v>36</v>
      </c>
      <c r="AC57" s="16">
        <f t="shared" si="33"/>
        <v>4</v>
      </c>
      <c r="AD57" s="16">
        <f t="shared" si="33"/>
        <v>20</v>
      </c>
      <c r="AE57" s="16">
        <f t="shared" si="33"/>
        <v>20</v>
      </c>
      <c r="AF57" s="16">
        <f t="shared" si="33"/>
        <v>36</v>
      </c>
      <c r="AG57" s="16">
        <f t="shared" si="33"/>
        <v>4</v>
      </c>
      <c r="AH57" s="16">
        <f t="shared" si="33"/>
        <v>40</v>
      </c>
      <c r="AI57" s="16">
        <f t="shared" si="33"/>
        <v>20</v>
      </c>
      <c r="AJ57" s="16">
        <f t="shared" si="33"/>
        <v>20</v>
      </c>
      <c r="AK57" s="17">
        <f t="shared" si="1"/>
        <v>360</v>
      </c>
      <c r="AL57" s="10">
        <f t="shared" si="2"/>
        <v>780</v>
      </c>
    </row>
  </sheetData>
  <mergeCells count="38">
    <mergeCell ref="A1:AL1"/>
    <mergeCell ref="C2:T2"/>
    <mergeCell ref="U2:AK2"/>
    <mergeCell ref="AL2:AL5"/>
    <mergeCell ref="D3:E4"/>
    <mergeCell ref="F3:G4"/>
    <mergeCell ref="H3:I4"/>
    <mergeCell ref="J3:K4"/>
    <mergeCell ref="L3:M4"/>
    <mergeCell ref="N3:O4"/>
    <mergeCell ref="AK3:AK5"/>
    <mergeCell ref="AH3:AH4"/>
    <mergeCell ref="AI3:AJ4"/>
    <mergeCell ref="A23:B23"/>
    <mergeCell ref="Z3:AA4"/>
    <mergeCell ref="AB3:AC4"/>
    <mergeCell ref="AD3:AE4"/>
    <mergeCell ref="AF3:AG4"/>
    <mergeCell ref="P3:P4"/>
    <mergeCell ref="Q3:R4"/>
    <mergeCell ref="S3:S5"/>
    <mergeCell ref="T3:T5"/>
    <mergeCell ref="V3:W4"/>
    <mergeCell ref="X3:Y4"/>
    <mergeCell ref="A10:B10"/>
    <mergeCell ref="A14:B14"/>
    <mergeCell ref="A17:B17"/>
    <mergeCell ref="A22:B22"/>
    <mergeCell ref="A52:B52"/>
    <mergeCell ref="A55:B55"/>
    <mergeCell ref="A56:B56"/>
    <mergeCell ref="A57:B57"/>
    <mergeCell ref="A27:B27"/>
    <mergeCell ref="A32:B32"/>
    <mergeCell ref="A36:B36"/>
    <mergeCell ref="A37:B37"/>
    <mergeCell ref="A42:B42"/>
    <mergeCell ref="A47:B47"/>
  </mergeCells>
  <printOptions horizontalCentered="1"/>
  <pageMargins left="0" right="0" top="0" bottom="0" header="0" footer="0"/>
  <pageSetup paperSize="9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5388-19EF-4A27-A331-3D37BB05CF8C}">
  <sheetPr>
    <tabColor rgb="FF00B050"/>
  </sheetPr>
  <dimension ref="A1:AL57"/>
  <sheetViews>
    <sheetView tabSelected="1" view="pageBreakPreview" zoomScale="85" zoomScaleNormal="70" zoomScaleSheetLayoutView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L1"/>
    </sheetView>
  </sheetViews>
  <sheetFormatPr defaultColWidth="8.88671875" defaultRowHeight="13.2" x14ac:dyDescent="0.25"/>
  <cols>
    <col min="1" max="1" width="7.109375" style="5" bestFit="1" customWidth="1"/>
    <col min="2" max="2" width="21.21875" style="1" bestFit="1" customWidth="1"/>
    <col min="3" max="3" width="5.21875" style="2" customWidth="1"/>
    <col min="4" max="15" width="4.21875" style="2" customWidth="1"/>
    <col min="16" max="16" width="6.88671875" style="2" bestFit="1" customWidth="1"/>
    <col min="17" max="18" width="4.21875" style="2" customWidth="1"/>
    <col min="19" max="19" width="6.33203125" style="2" bestFit="1" customWidth="1"/>
    <col min="20" max="20" width="7.44140625" style="4" bestFit="1" customWidth="1"/>
    <col min="21" max="33" width="4.21875" style="2" customWidth="1"/>
    <col min="34" max="34" width="7" style="2" bestFit="1" customWidth="1"/>
    <col min="35" max="36" width="4.21875" style="2" customWidth="1"/>
    <col min="37" max="37" width="7.44140625" style="4" bestFit="1" customWidth="1"/>
    <col min="38" max="38" width="8.88671875" style="1" customWidth="1"/>
    <col min="39" max="16384" width="8.88671875" style="1"/>
  </cols>
  <sheetData>
    <row r="1" spans="1:38" ht="15.6" x14ac:dyDescent="0.3">
      <c r="A1" s="24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ht="14.4" customHeight="1" x14ac:dyDescent="0.25">
      <c r="A2" s="6"/>
      <c r="B2" s="6"/>
      <c r="C2" s="23" t="s">
        <v>5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5" t="s">
        <v>6</v>
      </c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6" t="s">
        <v>21</v>
      </c>
    </row>
    <row r="3" spans="1:38" ht="14.25" customHeight="1" x14ac:dyDescent="0.25">
      <c r="A3" s="2"/>
      <c r="B3" s="6"/>
      <c r="C3" s="7" t="s">
        <v>9</v>
      </c>
      <c r="D3" s="22" t="s">
        <v>22</v>
      </c>
      <c r="E3" s="22"/>
      <c r="F3" s="22" t="s">
        <v>10</v>
      </c>
      <c r="G3" s="22"/>
      <c r="H3" s="22" t="s">
        <v>11</v>
      </c>
      <c r="I3" s="22"/>
      <c r="J3" s="22" t="s">
        <v>0</v>
      </c>
      <c r="K3" s="22"/>
      <c r="L3" s="22" t="s">
        <v>4</v>
      </c>
      <c r="M3" s="22"/>
      <c r="N3" s="22" t="s">
        <v>12</v>
      </c>
      <c r="O3" s="22"/>
      <c r="P3" s="22" t="s">
        <v>13</v>
      </c>
      <c r="Q3" s="22" t="s">
        <v>14</v>
      </c>
      <c r="R3" s="22"/>
      <c r="S3" s="22" t="s">
        <v>15</v>
      </c>
      <c r="T3" s="23" t="s">
        <v>3</v>
      </c>
      <c r="U3" s="7" t="s">
        <v>9</v>
      </c>
      <c r="V3" s="22" t="s">
        <v>10</v>
      </c>
      <c r="W3" s="22"/>
      <c r="X3" s="22" t="s">
        <v>4</v>
      </c>
      <c r="Y3" s="22"/>
      <c r="Z3" s="22" t="s">
        <v>18</v>
      </c>
      <c r="AA3" s="22"/>
      <c r="AB3" s="22" t="s">
        <v>19</v>
      </c>
      <c r="AC3" s="22"/>
      <c r="AD3" s="22" t="s">
        <v>12</v>
      </c>
      <c r="AE3" s="22"/>
      <c r="AF3" s="22" t="s">
        <v>11</v>
      </c>
      <c r="AG3" s="22"/>
      <c r="AH3" s="22" t="s">
        <v>20</v>
      </c>
      <c r="AI3" s="22" t="s">
        <v>14</v>
      </c>
      <c r="AJ3" s="22"/>
      <c r="AK3" s="25" t="s">
        <v>3</v>
      </c>
      <c r="AL3" s="26"/>
    </row>
    <row r="4" spans="1:38" x14ac:dyDescent="0.25">
      <c r="A4" s="2"/>
      <c r="B4" s="6"/>
      <c r="C4" s="7" t="s">
        <v>16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7" t="s">
        <v>17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5"/>
      <c r="AL4" s="26"/>
    </row>
    <row r="5" spans="1:38" x14ac:dyDescent="0.25">
      <c r="A5" s="7" t="s">
        <v>8</v>
      </c>
      <c r="B5" s="11" t="s">
        <v>7</v>
      </c>
      <c r="C5" s="7" t="s">
        <v>1</v>
      </c>
      <c r="D5" s="7" t="s">
        <v>2</v>
      </c>
      <c r="E5" s="7" t="s">
        <v>1</v>
      </c>
      <c r="F5" s="7" t="s">
        <v>2</v>
      </c>
      <c r="G5" s="7" t="s">
        <v>1</v>
      </c>
      <c r="H5" s="7" t="s">
        <v>2</v>
      </c>
      <c r="I5" s="7" t="s">
        <v>1</v>
      </c>
      <c r="J5" s="7" t="s">
        <v>2</v>
      </c>
      <c r="K5" s="7" t="s">
        <v>1</v>
      </c>
      <c r="L5" s="7" t="s">
        <v>2</v>
      </c>
      <c r="M5" s="7" t="s">
        <v>1</v>
      </c>
      <c r="N5" s="7" t="s">
        <v>2</v>
      </c>
      <c r="O5" s="7" t="s">
        <v>1</v>
      </c>
      <c r="P5" s="7" t="s">
        <v>2</v>
      </c>
      <c r="Q5" s="7" t="s">
        <v>2</v>
      </c>
      <c r="R5" s="7" t="s">
        <v>1</v>
      </c>
      <c r="S5" s="22"/>
      <c r="T5" s="23"/>
      <c r="U5" s="7" t="s">
        <v>1</v>
      </c>
      <c r="V5" s="7" t="s">
        <v>2</v>
      </c>
      <c r="W5" s="7" t="s">
        <v>1</v>
      </c>
      <c r="X5" s="7" t="s">
        <v>2</v>
      </c>
      <c r="Y5" s="7" t="s">
        <v>1</v>
      </c>
      <c r="Z5" s="7" t="s">
        <v>2</v>
      </c>
      <c r="AA5" s="7" t="s">
        <v>1</v>
      </c>
      <c r="AB5" s="7" t="s">
        <v>2</v>
      </c>
      <c r="AC5" s="7" t="s">
        <v>1</v>
      </c>
      <c r="AD5" s="7" t="s">
        <v>2</v>
      </c>
      <c r="AE5" s="7" t="s">
        <v>1</v>
      </c>
      <c r="AF5" s="7" t="s">
        <v>2</v>
      </c>
      <c r="AG5" s="7" t="s">
        <v>1</v>
      </c>
      <c r="AH5" s="7" t="s">
        <v>2</v>
      </c>
      <c r="AI5" s="7" t="s">
        <v>2</v>
      </c>
      <c r="AJ5" s="7" t="s">
        <v>1</v>
      </c>
      <c r="AK5" s="25"/>
      <c r="AL5" s="26"/>
    </row>
    <row r="6" spans="1:38" x14ac:dyDescent="0.25">
      <c r="A6" s="12" t="str">
        <f>'[1]2.0WS'!A6</f>
        <v>10</v>
      </c>
      <c r="B6" s="13" t="str">
        <f>'[1]2.0WS'!B6</f>
        <v>ERODE</v>
      </c>
      <c r="C6" s="8" t="str">
        <f>IF(_xlfn.NUMBERVALUE('2.0WP - Cen'!C6)-_xlfn.NUMBERVALUE('2.0WP - State'!C6)=0,"",_xlfn.NUMBERVALUE('2.0WP - Cen'!C6)-_xlfn.NUMBERVALUE('2.0WP - State'!C6))</f>
        <v/>
      </c>
      <c r="D6" s="8" t="str">
        <f>IF(_xlfn.NUMBERVALUE('2.0WP - Cen'!D6)-_xlfn.NUMBERVALUE('2.0WP - State'!D6)=0,"",_xlfn.NUMBERVALUE('2.0WP - Cen'!D6)-_xlfn.NUMBERVALUE('2.0WP - State'!D6))</f>
        <v/>
      </c>
      <c r="E6" s="8" t="str">
        <f>IF(_xlfn.NUMBERVALUE('2.0WP - Cen'!E6)-_xlfn.NUMBERVALUE('2.0WP - State'!E6)=0,"",_xlfn.NUMBERVALUE('2.0WP - Cen'!E6)-_xlfn.NUMBERVALUE('2.0WP - State'!E6))</f>
        <v/>
      </c>
      <c r="F6" s="8" t="str">
        <f>IF(_xlfn.NUMBERVALUE('2.0WP - Cen'!F6)-_xlfn.NUMBERVALUE('2.0WP - State'!F6)=0,"",_xlfn.NUMBERVALUE('2.0WP - Cen'!F6)-_xlfn.NUMBERVALUE('2.0WP - State'!F6))</f>
        <v/>
      </c>
      <c r="G6" s="8" t="str">
        <f>IF(_xlfn.NUMBERVALUE('2.0WP - Cen'!G6)-_xlfn.NUMBERVALUE('2.0WP - State'!G6)=0,"",_xlfn.NUMBERVALUE('2.0WP - Cen'!G6)-_xlfn.NUMBERVALUE('2.0WP - State'!G6))</f>
        <v/>
      </c>
      <c r="H6" s="8" t="str">
        <f>IF(_xlfn.NUMBERVALUE('2.0WP - Cen'!H6)-_xlfn.NUMBERVALUE('2.0WP - State'!H6)=0,"",_xlfn.NUMBERVALUE('2.0WP - Cen'!H6)-_xlfn.NUMBERVALUE('2.0WP - State'!H6))</f>
        <v/>
      </c>
      <c r="I6" s="8" t="str">
        <f>IF(_xlfn.NUMBERVALUE('2.0WP - Cen'!I6)-_xlfn.NUMBERVALUE('2.0WP - State'!I6)=0,"",_xlfn.NUMBERVALUE('2.0WP - Cen'!I6)-_xlfn.NUMBERVALUE('2.0WP - State'!I6))</f>
        <v/>
      </c>
      <c r="J6" s="8">
        <f>IF(_xlfn.NUMBERVALUE('2.0WP - Cen'!J6)-_xlfn.NUMBERVALUE('2.0WP - State'!J6)=0,"",_xlfn.NUMBERVALUE('2.0WP - Cen'!J6)-_xlfn.NUMBERVALUE('2.0WP - State'!J6))</f>
        <v>2</v>
      </c>
      <c r="K6" s="8">
        <f>IF(_xlfn.NUMBERVALUE('2.0WP - Cen'!K6)-_xlfn.NUMBERVALUE('2.0WP - State'!K6)=0,"",_xlfn.NUMBERVALUE('2.0WP - Cen'!K6)-_xlfn.NUMBERVALUE('2.0WP - State'!K6))</f>
        <v>4</v>
      </c>
      <c r="L6" s="8">
        <f>IF(_xlfn.NUMBERVALUE('2.0WP - Cen'!L6)-_xlfn.NUMBERVALUE('2.0WP - State'!L6)=0,"",_xlfn.NUMBERVALUE('2.0WP - Cen'!L6)-_xlfn.NUMBERVALUE('2.0WP - State'!L6))</f>
        <v>2</v>
      </c>
      <c r="M6" s="8" t="str">
        <f>IF(_xlfn.NUMBERVALUE('2.0WP - Cen'!M6)-_xlfn.NUMBERVALUE('2.0WP - State'!M6)=0,"",_xlfn.NUMBERVALUE('2.0WP - Cen'!M6)-_xlfn.NUMBERVALUE('2.0WP - State'!M6))</f>
        <v/>
      </c>
      <c r="N6" s="8" t="str">
        <f>IF(_xlfn.NUMBERVALUE('2.0WP - Cen'!N6)-_xlfn.NUMBERVALUE('2.0WP - State'!N6)=0,"",_xlfn.NUMBERVALUE('2.0WP - Cen'!N6)-_xlfn.NUMBERVALUE('2.0WP - State'!N6))</f>
        <v/>
      </c>
      <c r="O6" s="8" t="str">
        <f>IF(_xlfn.NUMBERVALUE('2.0WP - Cen'!O6)-_xlfn.NUMBERVALUE('2.0WP - State'!O6)=0,"",_xlfn.NUMBERVALUE('2.0WP - Cen'!O6)-_xlfn.NUMBERVALUE('2.0WP - State'!O6))</f>
        <v/>
      </c>
      <c r="P6" s="8">
        <f>IF(_xlfn.NUMBERVALUE('2.0WP - Cen'!P6)-_xlfn.NUMBERVALUE('2.0WP - State'!P6)=0,"",_xlfn.NUMBERVALUE('2.0WP - Cen'!P6)-_xlfn.NUMBERVALUE('2.0WP - State'!P6))</f>
        <v>4</v>
      </c>
      <c r="Q6" s="8" t="str">
        <f>IF(_xlfn.NUMBERVALUE('2.0WP - Cen'!Q6)-_xlfn.NUMBERVALUE('2.0WP - State'!Q6)=0,"",_xlfn.NUMBERVALUE('2.0WP - Cen'!Q6)-_xlfn.NUMBERVALUE('2.0WP - State'!Q6))</f>
        <v/>
      </c>
      <c r="R6" s="8" t="str">
        <f>IF(_xlfn.NUMBERVALUE('2.0WP - Cen'!R6)-_xlfn.NUMBERVALUE('2.0WP - State'!R6)=0,"",_xlfn.NUMBERVALUE('2.0WP - Cen'!R6)-_xlfn.NUMBERVALUE('2.0WP - State'!R6))</f>
        <v/>
      </c>
      <c r="S6" s="8">
        <f>IF(_xlfn.NUMBERVALUE('2.0WP - Cen'!S6)-_xlfn.NUMBERVALUE('2.0WP - State'!S6)=0,"",_xlfn.NUMBERVALUE('2.0WP - Cen'!S6)-_xlfn.NUMBERVALUE('2.0WP - State'!S6))</f>
        <v>2</v>
      </c>
      <c r="T6" s="9">
        <f>SUM(C6:S6)</f>
        <v>14</v>
      </c>
      <c r="U6" s="8" t="str">
        <f>IF(_xlfn.NUMBERVALUE('2.0WP - Cen'!U6)-_xlfn.NUMBERVALUE('2.0WP - State'!U6)=0,"",_xlfn.NUMBERVALUE('2.0WP - Cen'!U6)-_xlfn.NUMBERVALUE('2.0WP - State'!U6))</f>
        <v/>
      </c>
      <c r="V6" s="8" t="str">
        <f>IF(_xlfn.NUMBERVALUE('2.0WP - Cen'!V6)-_xlfn.NUMBERVALUE('2.0WP - State'!V6)=0,"",_xlfn.NUMBERVALUE('2.0WP - Cen'!V6)-_xlfn.NUMBERVALUE('2.0WP - State'!V6))</f>
        <v/>
      </c>
      <c r="W6" s="8" t="str">
        <f>IF(_xlfn.NUMBERVALUE('2.0WP - Cen'!W6)-_xlfn.NUMBERVALUE('2.0WP - State'!W6)=0,"",_xlfn.NUMBERVALUE('2.0WP - Cen'!W6)-_xlfn.NUMBERVALUE('2.0WP - State'!W6))</f>
        <v/>
      </c>
      <c r="X6" s="8" t="str">
        <f>IF(_xlfn.NUMBERVALUE('2.0WP - Cen'!X6)-_xlfn.NUMBERVALUE('2.0WP - State'!X6)=0,"",_xlfn.NUMBERVALUE('2.0WP - Cen'!X6)-_xlfn.NUMBERVALUE('2.0WP - State'!X6))</f>
        <v/>
      </c>
      <c r="Y6" s="8" t="str">
        <f>IF(_xlfn.NUMBERVALUE('2.0WP - Cen'!Y6)-_xlfn.NUMBERVALUE('2.0WP - State'!Y6)=0,"",_xlfn.NUMBERVALUE('2.0WP - Cen'!Y6)-_xlfn.NUMBERVALUE('2.0WP - State'!Y6))</f>
        <v/>
      </c>
      <c r="Z6" s="8" t="str">
        <f>IF(_xlfn.NUMBERVALUE('2.0WP - Cen'!Z6)-_xlfn.NUMBERVALUE('2.0WP - State'!Z6)=0,"",_xlfn.NUMBERVALUE('2.0WP - Cen'!Z6)-_xlfn.NUMBERVALUE('2.0WP - State'!Z6))</f>
        <v/>
      </c>
      <c r="AA6" s="8" t="str">
        <f>IF(_xlfn.NUMBERVALUE('2.0WP - Cen'!AA6)-_xlfn.NUMBERVALUE('2.0WP - State'!AA6)=0,"",_xlfn.NUMBERVALUE('2.0WP - Cen'!AA6)-_xlfn.NUMBERVALUE('2.0WP - State'!AA6))</f>
        <v/>
      </c>
      <c r="AB6" s="8" t="str">
        <f>IF(_xlfn.NUMBERVALUE('2.0WP - Cen'!AB6)-_xlfn.NUMBERVALUE('2.0WP - State'!AB6)=0,"",_xlfn.NUMBERVALUE('2.0WP - Cen'!AB6)-_xlfn.NUMBERVALUE('2.0WP - State'!AB6))</f>
        <v/>
      </c>
      <c r="AC6" s="8" t="str">
        <f>IF(_xlfn.NUMBERVALUE('2.0WP - Cen'!AC6)-_xlfn.NUMBERVALUE('2.0WP - State'!AC6)=0,"",_xlfn.NUMBERVALUE('2.0WP - Cen'!AC6)-_xlfn.NUMBERVALUE('2.0WP - State'!AC6))</f>
        <v/>
      </c>
      <c r="AD6" s="8" t="str">
        <f>IF(_xlfn.NUMBERVALUE('2.0WP - Cen'!AD6)-_xlfn.NUMBERVALUE('2.0WP - State'!AD6)=0,"",_xlfn.NUMBERVALUE('2.0WP - Cen'!AD6)-_xlfn.NUMBERVALUE('2.0WP - State'!AD6))</f>
        <v/>
      </c>
      <c r="AE6" s="8">
        <f>IF(_xlfn.NUMBERVALUE('2.0WP - Cen'!AE6)-_xlfn.NUMBERVALUE('2.0WP - State'!AE6)=0,"",_xlfn.NUMBERVALUE('2.0WP - Cen'!AE6)-_xlfn.NUMBERVALUE('2.0WP - State'!AE6))</f>
        <v>2</v>
      </c>
      <c r="AF6" s="8" t="str">
        <f>IF(_xlfn.NUMBERVALUE('2.0WP - Cen'!AF6)-_xlfn.NUMBERVALUE('2.0WP - State'!AF6)=0,"",_xlfn.NUMBERVALUE('2.0WP - Cen'!AF6)-_xlfn.NUMBERVALUE('2.0WP - State'!AF6))</f>
        <v/>
      </c>
      <c r="AG6" s="8" t="str">
        <f>IF(_xlfn.NUMBERVALUE('2.0WP - Cen'!AG6)-_xlfn.NUMBERVALUE('2.0WP - State'!AG6)=0,"",_xlfn.NUMBERVALUE('2.0WP - Cen'!AG6)-_xlfn.NUMBERVALUE('2.0WP - State'!AG6))</f>
        <v/>
      </c>
      <c r="AH6" s="8" t="str">
        <f>IF(_xlfn.NUMBERVALUE('2.0WP - Cen'!AH6)-_xlfn.NUMBERVALUE('2.0WP - State'!AH6)=0,"",_xlfn.NUMBERVALUE('2.0WP - Cen'!AH6)-_xlfn.NUMBERVALUE('2.0WP - State'!AH6))</f>
        <v/>
      </c>
      <c r="AI6" s="8" t="str">
        <f>IF(_xlfn.NUMBERVALUE('2.0WP - Cen'!AI6)-_xlfn.NUMBERVALUE('2.0WP - State'!AI6)=0,"",_xlfn.NUMBERVALUE('2.0WP - Cen'!AI6)-_xlfn.NUMBERVALUE('2.0WP - State'!AI6))</f>
        <v/>
      </c>
      <c r="AJ6" s="8" t="str">
        <f>IF(_xlfn.NUMBERVALUE('2.0WP - Cen'!AJ6)-_xlfn.NUMBERVALUE('2.0WP - State'!AJ6)=0,"",_xlfn.NUMBERVALUE('2.0WP - Cen'!AJ6)-_xlfn.NUMBERVALUE('2.0WP - State'!AJ6))</f>
        <v/>
      </c>
      <c r="AK6" s="17">
        <f>SUM(U6:AJ6)</f>
        <v>2</v>
      </c>
      <c r="AL6" s="10">
        <f>SUM(T6,AK6)</f>
        <v>16</v>
      </c>
    </row>
    <row r="7" spans="1:38" x14ac:dyDescent="0.25">
      <c r="A7" s="12" t="str">
        <f>'[1]2.0WS'!A7</f>
        <v>11</v>
      </c>
      <c r="B7" s="13" t="str">
        <f>'[1]2.0WS'!B7</f>
        <v>THE NILGIRIS</v>
      </c>
      <c r="C7" s="8" t="str">
        <f>IF(_xlfn.NUMBERVALUE('2.0WP - Cen'!C7)-_xlfn.NUMBERVALUE('2.0WP - State'!C7)=0,"",_xlfn.NUMBERVALUE('2.0WP - Cen'!C7)-_xlfn.NUMBERVALUE('2.0WP - State'!C7))</f>
        <v/>
      </c>
      <c r="D7" s="8" t="str">
        <f>IF(_xlfn.NUMBERVALUE('2.0WP - Cen'!D7)-_xlfn.NUMBERVALUE('2.0WP - State'!D7)=0,"",_xlfn.NUMBERVALUE('2.0WP - Cen'!D7)-_xlfn.NUMBERVALUE('2.0WP - State'!D7))</f>
        <v/>
      </c>
      <c r="E7" s="8" t="str">
        <f>IF(_xlfn.NUMBERVALUE('2.0WP - Cen'!E7)-_xlfn.NUMBERVALUE('2.0WP - State'!E7)=0,"",_xlfn.NUMBERVALUE('2.0WP - Cen'!E7)-_xlfn.NUMBERVALUE('2.0WP - State'!E7))</f>
        <v/>
      </c>
      <c r="F7" s="8" t="str">
        <f>IF(_xlfn.NUMBERVALUE('2.0WP - Cen'!F7)-_xlfn.NUMBERVALUE('2.0WP - State'!F7)=0,"",_xlfn.NUMBERVALUE('2.0WP - Cen'!F7)-_xlfn.NUMBERVALUE('2.0WP - State'!F7))</f>
        <v/>
      </c>
      <c r="G7" s="8" t="str">
        <f>IF(_xlfn.NUMBERVALUE('2.0WP - Cen'!G7)-_xlfn.NUMBERVALUE('2.0WP - State'!G7)=0,"",_xlfn.NUMBERVALUE('2.0WP - Cen'!G7)-_xlfn.NUMBERVALUE('2.0WP - State'!G7))</f>
        <v/>
      </c>
      <c r="H7" s="8" t="str">
        <f>IF(_xlfn.NUMBERVALUE('2.0WP - Cen'!H7)-_xlfn.NUMBERVALUE('2.0WP - State'!H7)=0,"",_xlfn.NUMBERVALUE('2.0WP - Cen'!H7)-_xlfn.NUMBERVALUE('2.0WP - State'!H7))</f>
        <v/>
      </c>
      <c r="I7" s="8" t="str">
        <f>IF(_xlfn.NUMBERVALUE('2.0WP - Cen'!I7)-_xlfn.NUMBERVALUE('2.0WP - State'!I7)=0,"",_xlfn.NUMBERVALUE('2.0WP - Cen'!I7)-_xlfn.NUMBERVALUE('2.0WP - State'!I7))</f>
        <v/>
      </c>
      <c r="J7" s="8" t="str">
        <f>IF(_xlfn.NUMBERVALUE('2.0WP - Cen'!J7)-_xlfn.NUMBERVALUE('2.0WP - State'!J7)=0,"",_xlfn.NUMBERVALUE('2.0WP - Cen'!J7)-_xlfn.NUMBERVALUE('2.0WP - State'!J7))</f>
        <v/>
      </c>
      <c r="K7" s="8" t="str">
        <f>IF(_xlfn.NUMBERVALUE('2.0WP - Cen'!K7)-_xlfn.NUMBERVALUE('2.0WP - State'!K7)=0,"",_xlfn.NUMBERVALUE('2.0WP - Cen'!K7)-_xlfn.NUMBERVALUE('2.0WP - State'!K7))</f>
        <v/>
      </c>
      <c r="L7" s="8" t="str">
        <f>IF(_xlfn.NUMBERVALUE('2.0WP - Cen'!L7)-_xlfn.NUMBERVALUE('2.0WP - State'!L7)=0,"",_xlfn.NUMBERVALUE('2.0WP - Cen'!L7)-_xlfn.NUMBERVALUE('2.0WP - State'!L7))</f>
        <v/>
      </c>
      <c r="M7" s="8" t="str">
        <f>IF(_xlfn.NUMBERVALUE('2.0WP - Cen'!M7)-_xlfn.NUMBERVALUE('2.0WP - State'!M7)=0,"",_xlfn.NUMBERVALUE('2.0WP - Cen'!M7)-_xlfn.NUMBERVALUE('2.0WP - State'!M7))</f>
        <v/>
      </c>
      <c r="N7" s="8" t="str">
        <f>IF(_xlfn.NUMBERVALUE('2.0WP - Cen'!N7)-_xlfn.NUMBERVALUE('2.0WP - State'!N7)=0,"",_xlfn.NUMBERVALUE('2.0WP - Cen'!N7)-_xlfn.NUMBERVALUE('2.0WP - State'!N7))</f>
        <v/>
      </c>
      <c r="O7" s="8" t="str">
        <f>IF(_xlfn.NUMBERVALUE('2.0WP - Cen'!O7)-_xlfn.NUMBERVALUE('2.0WP - State'!O7)=0,"",_xlfn.NUMBERVALUE('2.0WP - Cen'!O7)-_xlfn.NUMBERVALUE('2.0WP - State'!O7))</f>
        <v/>
      </c>
      <c r="P7" s="8" t="str">
        <f>IF(_xlfn.NUMBERVALUE('2.0WP - Cen'!P7)-_xlfn.NUMBERVALUE('2.0WP - State'!P7)=0,"",_xlfn.NUMBERVALUE('2.0WP - Cen'!P7)-_xlfn.NUMBERVALUE('2.0WP - State'!P7))</f>
        <v/>
      </c>
      <c r="Q7" s="8" t="str">
        <f>IF(_xlfn.NUMBERVALUE('2.0WP - Cen'!Q7)-_xlfn.NUMBERVALUE('2.0WP - State'!Q7)=0,"",_xlfn.NUMBERVALUE('2.0WP - Cen'!Q7)-_xlfn.NUMBERVALUE('2.0WP - State'!Q7))</f>
        <v/>
      </c>
      <c r="R7" s="8" t="str">
        <f>IF(_xlfn.NUMBERVALUE('2.0WP - Cen'!R7)-_xlfn.NUMBERVALUE('2.0WP - State'!R7)=0,"",_xlfn.NUMBERVALUE('2.0WP - Cen'!R7)-_xlfn.NUMBERVALUE('2.0WP - State'!R7))</f>
        <v/>
      </c>
      <c r="S7" s="8" t="str">
        <f>IF(_xlfn.NUMBERVALUE('2.0WP - Cen'!S7)-_xlfn.NUMBERVALUE('2.0WP - State'!S7)=0,"",_xlfn.NUMBERVALUE('2.0WP - Cen'!S7)-_xlfn.NUMBERVALUE('2.0WP - State'!S7))</f>
        <v/>
      </c>
      <c r="T7" s="9">
        <f t="shared" ref="T7:T9" si="0">SUM(C7:S7)</f>
        <v>0</v>
      </c>
      <c r="U7" s="8" t="str">
        <f>IF(_xlfn.NUMBERVALUE('2.0WP - Cen'!U7)-_xlfn.NUMBERVALUE('2.0WP - State'!U7)=0,"",_xlfn.NUMBERVALUE('2.0WP - Cen'!U7)-_xlfn.NUMBERVALUE('2.0WP - State'!U7))</f>
        <v/>
      </c>
      <c r="V7" s="8" t="str">
        <f>IF(_xlfn.NUMBERVALUE('2.0WP - Cen'!V7)-_xlfn.NUMBERVALUE('2.0WP - State'!V7)=0,"",_xlfn.NUMBERVALUE('2.0WP - Cen'!V7)-_xlfn.NUMBERVALUE('2.0WP - State'!V7))</f>
        <v/>
      </c>
      <c r="W7" s="8" t="str">
        <f>IF(_xlfn.NUMBERVALUE('2.0WP - Cen'!W7)-_xlfn.NUMBERVALUE('2.0WP - State'!W7)=0,"",_xlfn.NUMBERVALUE('2.0WP - Cen'!W7)-_xlfn.NUMBERVALUE('2.0WP - State'!W7))</f>
        <v/>
      </c>
      <c r="X7" s="8" t="str">
        <f>IF(_xlfn.NUMBERVALUE('2.0WP - Cen'!X7)-_xlfn.NUMBERVALUE('2.0WP - State'!X7)=0,"",_xlfn.NUMBERVALUE('2.0WP - Cen'!X7)-_xlfn.NUMBERVALUE('2.0WP - State'!X7))</f>
        <v/>
      </c>
      <c r="Y7" s="8" t="str">
        <f>IF(_xlfn.NUMBERVALUE('2.0WP - Cen'!Y7)-_xlfn.NUMBERVALUE('2.0WP - State'!Y7)=0,"",_xlfn.NUMBERVALUE('2.0WP - Cen'!Y7)-_xlfn.NUMBERVALUE('2.0WP - State'!Y7))</f>
        <v/>
      </c>
      <c r="Z7" s="8" t="str">
        <f>IF(_xlfn.NUMBERVALUE('2.0WP - Cen'!Z7)-_xlfn.NUMBERVALUE('2.0WP - State'!Z7)=0,"",_xlfn.NUMBERVALUE('2.0WP - Cen'!Z7)-_xlfn.NUMBERVALUE('2.0WP - State'!Z7))</f>
        <v/>
      </c>
      <c r="AA7" s="8" t="str">
        <f>IF(_xlfn.NUMBERVALUE('2.0WP - Cen'!AA7)-_xlfn.NUMBERVALUE('2.0WP - State'!AA7)=0,"",_xlfn.NUMBERVALUE('2.0WP - Cen'!AA7)-_xlfn.NUMBERVALUE('2.0WP - State'!AA7))</f>
        <v/>
      </c>
      <c r="AB7" s="8" t="str">
        <f>IF(_xlfn.NUMBERVALUE('2.0WP - Cen'!AB7)-_xlfn.NUMBERVALUE('2.0WP - State'!AB7)=0,"",_xlfn.NUMBERVALUE('2.0WP - Cen'!AB7)-_xlfn.NUMBERVALUE('2.0WP - State'!AB7))</f>
        <v/>
      </c>
      <c r="AC7" s="8" t="str">
        <f>IF(_xlfn.NUMBERVALUE('2.0WP - Cen'!AC7)-_xlfn.NUMBERVALUE('2.0WP - State'!AC7)=0,"",_xlfn.NUMBERVALUE('2.0WP - Cen'!AC7)-_xlfn.NUMBERVALUE('2.0WP - State'!AC7))</f>
        <v/>
      </c>
      <c r="AD7" s="8" t="str">
        <f>IF(_xlfn.NUMBERVALUE('2.0WP - Cen'!AD7)-_xlfn.NUMBERVALUE('2.0WP - State'!AD7)=0,"",_xlfn.NUMBERVALUE('2.0WP - Cen'!AD7)-_xlfn.NUMBERVALUE('2.0WP - State'!AD7))</f>
        <v/>
      </c>
      <c r="AE7" s="8" t="str">
        <f>IF(_xlfn.NUMBERVALUE('2.0WP - Cen'!AE7)-_xlfn.NUMBERVALUE('2.0WP - State'!AE7)=0,"",_xlfn.NUMBERVALUE('2.0WP - Cen'!AE7)-_xlfn.NUMBERVALUE('2.0WP - State'!AE7))</f>
        <v/>
      </c>
      <c r="AF7" s="8" t="str">
        <f>IF(_xlfn.NUMBERVALUE('2.0WP - Cen'!AF7)-_xlfn.NUMBERVALUE('2.0WP - State'!AF7)=0,"",_xlfn.NUMBERVALUE('2.0WP - Cen'!AF7)-_xlfn.NUMBERVALUE('2.0WP - State'!AF7))</f>
        <v/>
      </c>
      <c r="AG7" s="8" t="str">
        <f>IF(_xlfn.NUMBERVALUE('2.0WP - Cen'!AG7)-_xlfn.NUMBERVALUE('2.0WP - State'!AG7)=0,"",_xlfn.NUMBERVALUE('2.0WP - Cen'!AG7)-_xlfn.NUMBERVALUE('2.0WP - State'!AG7))</f>
        <v/>
      </c>
      <c r="AH7" s="8" t="str">
        <f>IF(_xlfn.NUMBERVALUE('2.0WP - Cen'!AH7)-_xlfn.NUMBERVALUE('2.0WP - State'!AH7)=0,"",_xlfn.NUMBERVALUE('2.0WP - Cen'!AH7)-_xlfn.NUMBERVALUE('2.0WP - State'!AH7))</f>
        <v/>
      </c>
      <c r="AI7" s="8" t="str">
        <f>IF(_xlfn.NUMBERVALUE('2.0WP - Cen'!AI7)-_xlfn.NUMBERVALUE('2.0WP - State'!AI7)=0,"",_xlfn.NUMBERVALUE('2.0WP - Cen'!AI7)-_xlfn.NUMBERVALUE('2.0WP - State'!AI7))</f>
        <v/>
      </c>
      <c r="AJ7" s="8" t="str">
        <f>IF(_xlfn.NUMBERVALUE('2.0WP - Cen'!AJ7)-_xlfn.NUMBERVALUE('2.0WP - State'!AJ7)=0,"",_xlfn.NUMBERVALUE('2.0WP - Cen'!AJ7)-_xlfn.NUMBERVALUE('2.0WP - State'!AJ7))</f>
        <v/>
      </c>
      <c r="AK7" s="17">
        <f t="shared" ref="AK7:AK57" si="1">SUM(U7:AJ7)</f>
        <v>0</v>
      </c>
      <c r="AL7" s="10">
        <f t="shared" ref="AL7:AL57" si="2">SUM(T7,AK7)</f>
        <v>0</v>
      </c>
    </row>
    <row r="8" spans="1:38" x14ac:dyDescent="0.25">
      <c r="A8" s="12" t="str">
        <f>'[1]2.0WS'!A8</f>
        <v>12</v>
      </c>
      <c r="B8" s="13" t="str">
        <f>'[1]2.0WS'!B8</f>
        <v>COIMBATORE</v>
      </c>
      <c r="C8" s="8" t="str">
        <f>IF(_xlfn.NUMBERVALUE('2.0WP - Cen'!C8)-_xlfn.NUMBERVALUE('2.0WP - State'!C8)=0,"",_xlfn.NUMBERVALUE('2.0WP - Cen'!C8)-_xlfn.NUMBERVALUE('2.0WP - State'!C8))</f>
        <v/>
      </c>
      <c r="D8" s="8" t="str">
        <f>IF(_xlfn.NUMBERVALUE('2.0WP - Cen'!D8)-_xlfn.NUMBERVALUE('2.0WP - State'!D8)=0,"",_xlfn.NUMBERVALUE('2.0WP - Cen'!D8)-_xlfn.NUMBERVALUE('2.0WP - State'!D8))</f>
        <v/>
      </c>
      <c r="E8" s="8" t="str">
        <f>IF(_xlfn.NUMBERVALUE('2.0WP - Cen'!E8)-_xlfn.NUMBERVALUE('2.0WP - State'!E8)=0,"",_xlfn.NUMBERVALUE('2.0WP - Cen'!E8)-_xlfn.NUMBERVALUE('2.0WP - State'!E8))</f>
        <v/>
      </c>
      <c r="F8" s="8">
        <f>IF(_xlfn.NUMBERVALUE('2.0WP - Cen'!F8)-_xlfn.NUMBERVALUE('2.0WP - State'!F8)=0,"",_xlfn.NUMBERVALUE('2.0WP - Cen'!F8)-_xlfn.NUMBERVALUE('2.0WP - State'!F8))</f>
        <v>2</v>
      </c>
      <c r="G8" s="8" t="str">
        <f>IF(_xlfn.NUMBERVALUE('2.0WP - Cen'!G8)-_xlfn.NUMBERVALUE('2.0WP - State'!G8)=0,"",_xlfn.NUMBERVALUE('2.0WP - Cen'!G8)-_xlfn.NUMBERVALUE('2.0WP - State'!G8))</f>
        <v/>
      </c>
      <c r="H8" s="8" t="str">
        <f>IF(_xlfn.NUMBERVALUE('2.0WP - Cen'!H8)-_xlfn.NUMBERVALUE('2.0WP - State'!H8)=0,"",_xlfn.NUMBERVALUE('2.0WP - Cen'!H8)-_xlfn.NUMBERVALUE('2.0WP - State'!H8))</f>
        <v/>
      </c>
      <c r="I8" s="8" t="str">
        <f>IF(_xlfn.NUMBERVALUE('2.0WP - Cen'!I8)-_xlfn.NUMBERVALUE('2.0WP - State'!I8)=0,"",_xlfn.NUMBERVALUE('2.0WP - Cen'!I8)-_xlfn.NUMBERVALUE('2.0WP - State'!I8))</f>
        <v/>
      </c>
      <c r="J8" s="8" t="str">
        <f>IF(_xlfn.NUMBERVALUE('2.0WP - Cen'!J8)-_xlfn.NUMBERVALUE('2.0WP - State'!J8)=0,"",_xlfn.NUMBERVALUE('2.0WP - Cen'!J8)-_xlfn.NUMBERVALUE('2.0WP - State'!J8))</f>
        <v/>
      </c>
      <c r="K8" s="8" t="str">
        <f>IF(_xlfn.NUMBERVALUE('2.0WP - Cen'!K8)-_xlfn.NUMBERVALUE('2.0WP - State'!K8)=0,"",_xlfn.NUMBERVALUE('2.0WP - Cen'!K8)-_xlfn.NUMBERVALUE('2.0WP - State'!K8))</f>
        <v/>
      </c>
      <c r="L8" s="8" t="str">
        <f>IF(_xlfn.NUMBERVALUE('2.0WP - Cen'!L8)-_xlfn.NUMBERVALUE('2.0WP - State'!L8)=0,"",_xlfn.NUMBERVALUE('2.0WP - Cen'!L8)-_xlfn.NUMBERVALUE('2.0WP - State'!L8))</f>
        <v/>
      </c>
      <c r="M8" s="8" t="str">
        <f>IF(_xlfn.NUMBERVALUE('2.0WP - Cen'!M8)-_xlfn.NUMBERVALUE('2.0WP - State'!M8)=0,"",_xlfn.NUMBERVALUE('2.0WP - Cen'!M8)-_xlfn.NUMBERVALUE('2.0WP - State'!M8))</f>
        <v/>
      </c>
      <c r="N8" s="8" t="str">
        <f>IF(_xlfn.NUMBERVALUE('2.0WP - Cen'!N8)-_xlfn.NUMBERVALUE('2.0WP - State'!N8)=0,"",_xlfn.NUMBERVALUE('2.0WP - Cen'!N8)-_xlfn.NUMBERVALUE('2.0WP - State'!N8))</f>
        <v/>
      </c>
      <c r="O8" s="8" t="str">
        <f>IF(_xlfn.NUMBERVALUE('2.0WP - Cen'!O8)-_xlfn.NUMBERVALUE('2.0WP - State'!O8)=0,"",_xlfn.NUMBERVALUE('2.0WP - Cen'!O8)-_xlfn.NUMBERVALUE('2.0WP - State'!O8))</f>
        <v/>
      </c>
      <c r="P8" s="8" t="str">
        <f>IF(_xlfn.NUMBERVALUE('2.0WP - Cen'!P8)-_xlfn.NUMBERVALUE('2.0WP - State'!P8)=0,"",_xlfn.NUMBERVALUE('2.0WP - Cen'!P8)-_xlfn.NUMBERVALUE('2.0WP - State'!P8))</f>
        <v/>
      </c>
      <c r="Q8" s="8" t="str">
        <f>IF(_xlfn.NUMBERVALUE('2.0WP - Cen'!Q8)-_xlfn.NUMBERVALUE('2.0WP - State'!Q8)=0,"",_xlfn.NUMBERVALUE('2.0WP - Cen'!Q8)-_xlfn.NUMBERVALUE('2.0WP - State'!Q8))</f>
        <v/>
      </c>
      <c r="R8" s="8" t="str">
        <f>IF(_xlfn.NUMBERVALUE('2.0WP - Cen'!R8)-_xlfn.NUMBERVALUE('2.0WP - State'!R8)=0,"",_xlfn.NUMBERVALUE('2.0WP - Cen'!R8)-_xlfn.NUMBERVALUE('2.0WP - State'!R8))</f>
        <v/>
      </c>
      <c r="S8" s="8" t="str">
        <f>IF(_xlfn.NUMBERVALUE('2.0WP - Cen'!S8)-_xlfn.NUMBERVALUE('2.0WP - State'!S8)=0,"",_xlfn.NUMBERVALUE('2.0WP - Cen'!S8)-_xlfn.NUMBERVALUE('2.0WP - State'!S8))</f>
        <v/>
      </c>
      <c r="T8" s="9">
        <f t="shared" si="0"/>
        <v>2</v>
      </c>
      <c r="U8" s="8" t="str">
        <f>IF(_xlfn.NUMBERVALUE('2.0WP - Cen'!U8)-_xlfn.NUMBERVALUE('2.0WP - State'!U8)=0,"",_xlfn.NUMBERVALUE('2.0WP - Cen'!U8)-_xlfn.NUMBERVALUE('2.0WP - State'!U8))</f>
        <v/>
      </c>
      <c r="V8" s="8">
        <f>IF(_xlfn.NUMBERVALUE('2.0WP - Cen'!V8)-_xlfn.NUMBERVALUE('2.0WP - State'!V8)=0,"",_xlfn.NUMBERVALUE('2.0WP - Cen'!V8)-_xlfn.NUMBERVALUE('2.0WP - State'!V8))</f>
        <v>2</v>
      </c>
      <c r="W8" s="8" t="str">
        <f>IF(_xlfn.NUMBERVALUE('2.0WP - Cen'!W8)-_xlfn.NUMBERVALUE('2.0WP - State'!W8)=0,"",_xlfn.NUMBERVALUE('2.0WP - Cen'!W8)-_xlfn.NUMBERVALUE('2.0WP - State'!W8))</f>
        <v/>
      </c>
      <c r="X8" s="8" t="str">
        <f>IF(_xlfn.NUMBERVALUE('2.0WP - Cen'!X8)-_xlfn.NUMBERVALUE('2.0WP - State'!X8)=0,"",_xlfn.NUMBERVALUE('2.0WP - Cen'!X8)-_xlfn.NUMBERVALUE('2.0WP - State'!X8))</f>
        <v/>
      </c>
      <c r="Y8" s="8" t="str">
        <f>IF(_xlfn.NUMBERVALUE('2.0WP - Cen'!Y8)-_xlfn.NUMBERVALUE('2.0WP - State'!Y8)=0,"",_xlfn.NUMBERVALUE('2.0WP - Cen'!Y8)-_xlfn.NUMBERVALUE('2.0WP - State'!Y8))</f>
        <v/>
      </c>
      <c r="Z8" s="8" t="str">
        <f>IF(_xlfn.NUMBERVALUE('2.0WP - Cen'!Z8)-_xlfn.NUMBERVALUE('2.0WP - State'!Z8)=0,"",_xlfn.NUMBERVALUE('2.0WP - Cen'!Z8)-_xlfn.NUMBERVALUE('2.0WP - State'!Z8))</f>
        <v/>
      </c>
      <c r="AA8" s="8" t="str">
        <f>IF(_xlfn.NUMBERVALUE('2.0WP - Cen'!AA8)-_xlfn.NUMBERVALUE('2.0WP - State'!AA8)=0,"",_xlfn.NUMBERVALUE('2.0WP - Cen'!AA8)-_xlfn.NUMBERVALUE('2.0WP - State'!AA8))</f>
        <v/>
      </c>
      <c r="AB8" s="8" t="str">
        <f>IF(_xlfn.NUMBERVALUE('2.0WP - Cen'!AB8)-_xlfn.NUMBERVALUE('2.0WP - State'!AB8)=0,"",_xlfn.NUMBERVALUE('2.0WP - Cen'!AB8)-_xlfn.NUMBERVALUE('2.0WP - State'!AB8))</f>
        <v/>
      </c>
      <c r="AC8" s="8" t="str">
        <f>IF(_xlfn.NUMBERVALUE('2.0WP - Cen'!AC8)-_xlfn.NUMBERVALUE('2.0WP - State'!AC8)=0,"",_xlfn.NUMBERVALUE('2.0WP - Cen'!AC8)-_xlfn.NUMBERVALUE('2.0WP - State'!AC8))</f>
        <v/>
      </c>
      <c r="AD8" s="8" t="str">
        <f>IF(_xlfn.NUMBERVALUE('2.0WP - Cen'!AD8)-_xlfn.NUMBERVALUE('2.0WP - State'!AD8)=0,"",_xlfn.NUMBERVALUE('2.0WP - Cen'!AD8)-_xlfn.NUMBERVALUE('2.0WP - State'!AD8))</f>
        <v/>
      </c>
      <c r="AE8" s="8" t="str">
        <f>IF(_xlfn.NUMBERVALUE('2.0WP - Cen'!AE8)-_xlfn.NUMBERVALUE('2.0WP - State'!AE8)=0,"",_xlfn.NUMBERVALUE('2.0WP - Cen'!AE8)-_xlfn.NUMBERVALUE('2.0WP - State'!AE8))</f>
        <v/>
      </c>
      <c r="AF8" s="8" t="str">
        <f>IF(_xlfn.NUMBERVALUE('2.0WP - Cen'!AF8)-_xlfn.NUMBERVALUE('2.0WP - State'!AF8)=0,"",_xlfn.NUMBERVALUE('2.0WP - Cen'!AF8)-_xlfn.NUMBERVALUE('2.0WP - State'!AF8))</f>
        <v/>
      </c>
      <c r="AG8" s="8" t="str">
        <f>IF(_xlfn.NUMBERVALUE('2.0WP - Cen'!AG8)-_xlfn.NUMBERVALUE('2.0WP - State'!AG8)=0,"",_xlfn.NUMBERVALUE('2.0WP - Cen'!AG8)-_xlfn.NUMBERVALUE('2.0WP - State'!AG8))</f>
        <v/>
      </c>
      <c r="AH8" s="8" t="str">
        <f>IF(_xlfn.NUMBERVALUE('2.0WP - Cen'!AH8)-_xlfn.NUMBERVALUE('2.0WP - State'!AH8)=0,"",_xlfn.NUMBERVALUE('2.0WP - Cen'!AH8)-_xlfn.NUMBERVALUE('2.0WP - State'!AH8))</f>
        <v/>
      </c>
      <c r="AI8" s="8" t="str">
        <f>IF(_xlfn.NUMBERVALUE('2.0WP - Cen'!AI8)-_xlfn.NUMBERVALUE('2.0WP - State'!AI8)=0,"",_xlfn.NUMBERVALUE('2.0WP - Cen'!AI8)-_xlfn.NUMBERVALUE('2.0WP - State'!AI8))</f>
        <v/>
      </c>
      <c r="AJ8" s="8" t="str">
        <f>IF(_xlfn.NUMBERVALUE('2.0WP - Cen'!AJ8)-_xlfn.NUMBERVALUE('2.0WP - State'!AJ8)=0,"",_xlfn.NUMBERVALUE('2.0WP - Cen'!AJ8)-_xlfn.NUMBERVALUE('2.0WP - State'!AJ8))</f>
        <v/>
      </c>
      <c r="AK8" s="17">
        <f t="shared" si="1"/>
        <v>2</v>
      </c>
      <c r="AL8" s="10">
        <f t="shared" si="2"/>
        <v>4</v>
      </c>
    </row>
    <row r="9" spans="1:38" x14ac:dyDescent="0.25">
      <c r="A9" s="12" t="str">
        <f>'[1]2.0WS'!A9</f>
        <v>32</v>
      </c>
      <c r="B9" s="13" t="str">
        <f>'[1]2.0WS'!B9</f>
        <v>TIRUPPUR</v>
      </c>
      <c r="C9" s="8" t="str">
        <f>IF(_xlfn.NUMBERVALUE('2.0WP - Cen'!C9)-_xlfn.NUMBERVALUE('2.0WP - State'!C9)=0,"",_xlfn.NUMBERVALUE('2.0WP - Cen'!C9)-_xlfn.NUMBERVALUE('2.0WP - State'!C9))</f>
        <v/>
      </c>
      <c r="D9" s="8" t="str">
        <f>IF(_xlfn.NUMBERVALUE('2.0WP - Cen'!D9)-_xlfn.NUMBERVALUE('2.0WP - State'!D9)=0,"",_xlfn.NUMBERVALUE('2.0WP - Cen'!D9)-_xlfn.NUMBERVALUE('2.0WP - State'!D9))</f>
        <v/>
      </c>
      <c r="E9" s="8" t="str">
        <f>IF(_xlfn.NUMBERVALUE('2.0WP - Cen'!E9)-_xlfn.NUMBERVALUE('2.0WP - State'!E9)=0,"",_xlfn.NUMBERVALUE('2.0WP - Cen'!E9)-_xlfn.NUMBERVALUE('2.0WP - State'!E9))</f>
        <v/>
      </c>
      <c r="F9" s="8" t="str">
        <f>IF(_xlfn.NUMBERVALUE('2.0WP - Cen'!F9)-_xlfn.NUMBERVALUE('2.0WP - State'!F9)=0,"",_xlfn.NUMBERVALUE('2.0WP - Cen'!F9)-_xlfn.NUMBERVALUE('2.0WP - State'!F9))</f>
        <v/>
      </c>
      <c r="G9" s="8" t="str">
        <f>IF(_xlfn.NUMBERVALUE('2.0WP - Cen'!G9)-_xlfn.NUMBERVALUE('2.0WP - State'!G9)=0,"",_xlfn.NUMBERVALUE('2.0WP - Cen'!G9)-_xlfn.NUMBERVALUE('2.0WP - State'!G9))</f>
        <v/>
      </c>
      <c r="H9" s="8" t="str">
        <f>IF(_xlfn.NUMBERVALUE('2.0WP - Cen'!H9)-_xlfn.NUMBERVALUE('2.0WP - State'!H9)=0,"",_xlfn.NUMBERVALUE('2.0WP - Cen'!H9)-_xlfn.NUMBERVALUE('2.0WP - State'!H9))</f>
        <v/>
      </c>
      <c r="I9" s="8" t="str">
        <f>IF(_xlfn.NUMBERVALUE('2.0WP - Cen'!I9)-_xlfn.NUMBERVALUE('2.0WP - State'!I9)=0,"",_xlfn.NUMBERVALUE('2.0WP - Cen'!I9)-_xlfn.NUMBERVALUE('2.0WP - State'!I9))</f>
        <v/>
      </c>
      <c r="J9" s="8" t="str">
        <f>IF(_xlfn.NUMBERVALUE('2.0WP - Cen'!J9)-_xlfn.NUMBERVALUE('2.0WP - State'!J9)=0,"",_xlfn.NUMBERVALUE('2.0WP - Cen'!J9)-_xlfn.NUMBERVALUE('2.0WP - State'!J9))</f>
        <v/>
      </c>
      <c r="K9" s="8" t="str">
        <f>IF(_xlfn.NUMBERVALUE('2.0WP - Cen'!K9)-_xlfn.NUMBERVALUE('2.0WP - State'!K9)=0,"",_xlfn.NUMBERVALUE('2.0WP - Cen'!K9)-_xlfn.NUMBERVALUE('2.0WP - State'!K9))</f>
        <v/>
      </c>
      <c r="L9" s="8" t="str">
        <f>IF(_xlfn.NUMBERVALUE('2.0WP - Cen'!L9)-_xlfn.NUMBERVALUE('2.0WP - State'!L9)=0,"",_xlfn.NUMBERVALUE('2.0WP - Cen'!L9)-_xlfn.NUMBERVALUE('2.0WP - State'!L9))</f>
        <v/>
      </c>
      <c r="M9" s="8" t="str">
        <f>IF(_xlfn.NUMBERVALUE('2.0WP - Cen'!M9)-_xlfn.NUMBERVALUE('2.0WP - State'!M9)=0,"",_xlfn.NUMBERVALUE('2.0WP - Cen'!M9)-_xlfn.NUMBERVALUE('2.0WP - State'!M9))</f>
        <v/>
      </c>
      <c r="N9" s="8" t="str">
        <f>IF(_xlfn.NUMBERVALUE('2.0WP - Cen'!N9)-_xlfn.NUMBERVALUE('2.0WP - State'!N9)=0,"",_xlfn.NUMBERVALUE('2.0WP - Cen'!N9)-_xlfn.NUMBERVALUE('2.0WP - State'!N9))</f>
        <v/>
      </c>
      <c r="O9" s="8" t="str">
        <f>IF(_xlfn.NUMBERVALUE('2.0WP - Cen'!O9)-_xlfn.NUMBERVALUE('2.0WP - State'!O9)=0,"",_xlfn.NUMBERVALUE('2.0WP - Cen'!O9)-_xlfn.NUMBERVALUE('2.0WP - State'!O9))</f>
        <v/>
      </c>
      <c r="P9" s="8" t="str">
        <f>IF(_xlfn.NUMBERVALUE('2.0WP - Cen'!P9)-_xlfn.NUMBERVALUE('2.0WP - State'!P9)=0,"",_xlfn.NUMBERVALUE('2.0WP - Cen'!P9)-_xlfn.NUMBERVALUE('2.0WP - State'!P9))</f>
        <v/>
      </c>
      <c r="Q9" s="8" t="str">
        <f>IF(_xlfn.NUMBERVALUE('2.0WP - Cen'!Q9)-_xlfn.NUMBERVALUE('2.0WP - State'!Q9)=0,"",_xlfn.NUMBERVALUE('2.0WP - Cen'!Q9)-_xlfn.NUMBERVALUE('2.0WP - State'!Q9))</f>
        <v/>
      </c>
      <c r="R9" s="8" t="str">
        <f>IF(_xlfn.NUMBERVALUE('2.0WP - Cen'!R9)-_xlfn.NUMBERVALUE('2.0WP - State'!R9)=0,"",_xlfn.NUMBERVALUE('2.0WP - Cen'!R9)-_xlfn.NUMBERVALUE('2.0WP - State'!R9))</f>
        <v/>
      </c>
      <c r="S9" s="8" t="str">
        <f>IF(_xlfn.NUMBERVALUE('2.0WP - Cen'!S9)-_xlfn.NUMBERVALUE('2.0WP - State'!S9)=0,"",_xlfn.NUMBERVALUE('2.0WP - Cen'!S9)-_xlfn.NUMBERVALUE('2.0WP - State'!S9))</f>
        <v/>
      </c>
      <c r="T9" s="9">
        <f t="shared" si="0"/>
        <v>0</v>
      </c>
      <c r="U9" s="8" t="str">
        <f>IF(_xlfn.NUMBERVALUE('2.0WP - Cen'!U9)-_xlfn.NUMBERVALUE('2.0WP - State'!U9)=0,"",_xlfn.NUMBERVALUE('2.0WP - Cen'!U9)-_xlfn.NUMBERVALUE('2.0WP - State'!U9))</f>
        <v/>
      </c>
      <c r="V9" s="8" t="str">
        <f>IF(_xlfn.NUMBERVALUE('2.0WP - Cen'!V9)-_xlfn.NUMBERVALUE('2.0WP - State'!V9)=0,"",_xlfn.NUMBERVALUE('2.0WP - Cen'!V9)-_xlfn.NUMBERVALUE('2.0WP - State'!V9))</f>
        <v/>
      </c>
      <c r="W9" s="8" t="str">
        <f>IF(_xlfn.NUMBERVALUE('2.0WP - Cen'!W9)-_xlfn.NUMBERVALUE('2.0WP - State'!W9)=0,"",_xlfn.NUMBERVALUE('2.0WP - Cen'!W9)-_xlfn.NUMBERVALUE('2.0WP - State'!W9))</f>
        <v/>
      </c>
      <c r="X9" s="8" t="str">
        <f>IF(_xlfn.NUMBERVALUE('2.0WP - Cen'!X9)-_xlfn.NUMBERVALUE('2.0WP - State'!X9)=0,"",_xlfn.NUMBERVALUE('2.0WP - Cen'!X9)-_xlfn.NUMBERVALUE('2.0WP - State'!X9))</f>
        <v/>
      </c>
      <c r="Y9" s="8" t="str">
        <f>IF(_xlfn.NUMBERVALUE('2.0WP - Cen'!Y9)-_xlfn.NUMBERVALUE('2.0WP - State'!Y9)=0,"",_xlfn.NUMBERVALUE('2.0WP - Cen'!Y9)-_xlfn.NUMBERVALUE('2.0WP - State'!Y9))</f>
        <v/>
      </c>
      <c r="Z9" s="8" t="str">
        <f>IF(_xlfn.NUMBERVALUE('2.0WP - Cen'!Z9)-_xlfn.NUMBERVALUE('2.0WP - State'!Z9)=0,"",_xlfn.NUMBERVALUE('2.0WP - Cen'!Z9)-_xlfn.NUMBERVALUE('2.0WP - State'!Z9))</f>
        <v/>
      </c>
      <c r="AA9" s="8" t="str">
        <f>IF(_xlfn.NUMBERVALUE('2.0WP - Cen'!AA9)-_xlfn.NUMBERVALUE('2.0WP - State'!AA9)=0,"",_xlfn.NUMBERVALUE('2.0WP - Cen'!AA9)-_xlfn.NUMBERVALUE('2.0WP - State'!AA9))</f>
        <v/>
      </c>
      <c r="AB9" s="8" t="str">
        <f>IF(_xlfn.NUMBERVALUE('2.0WP - Cen'!AB9)-_xlfn.NUMBERVALUE('2.0WP - State'!AB9)=0,"",_xlfn.NUMBERVALUE('2.0WP - Cen'!AB9)-_xlfn.NUMBERVALUE('2.0WP - State'!AB9))</f>
        <v/>
      </c>
      <c r="AC9" s="8" t="str">
        <f>IF(_xlfn.NUMBERVALUE('2.0WP - Cen'!AC9)-_xlfn.NUMBERVALUE('2.0WP - State'!AC9)=0,"",_xlfn.NUMBERVALUE('2.0WP - Cen'!AC9)-_xlfn.NUMBERVALUE('2.0WP - State'!AC9))</f>
        <v/>
      </c>
      <c r="AD9" s="8" t="str">
        <f>IF(_xlfn.NUMBERVALUE('2.0WP - Cen'!AD9)-_xlfn.NUMBERVALUE('2.0WP - State'!AD9)=0,"",_xlfn.NUMBERVALUE('2.0WP - Cen'!AD9)-_xlfn.NUMBERVALUE('2.0WP - State'!AD9))</f>
        <v/>
      </c>
      <c r="AE9" s="8" t="str">
        <f>IF(_xlfn.NUMBERVALUE('2.0WP - Cen'!AE9)-_xlfn.NUMBERVALUE('2.0WP - State'!AE9)=0,"",_xlfn.NUMBERVALUE('2.0WP - Cen'!AE9)-_xlfn.NUMBERVALUE('2.0WP - State'!AE9))</f>
        <v/>
      </c>
      <c r="AF9" s="8" t="str">
        <f>IF(_xlfn.NUMBERVALUE('2.0WP - Cen'!AF9)-_xlfn.NUMBERVALUE('2.0WP - State'!AF9)=0,"",_xlfn.NUMBERVALUE('2.0WP - Cen'!AF9)-_xlfn.NUMBERVALUE('2.0WP - State'!AF9))</f>
        <v/>
      </c>
      <c r="AG9" s="8" t="str">
        <f>IF(_xlfn.NUMBERVALUE('2.0WP - Cen'!AG9)-_xlfn.NUMBERVALUE('2.0WP - State'!AG9)=0,"",_xlfn.NUMBERVALUE('2.0WP - Cen'!AG9)-_xlfn.NUMBERVALUE('2.0WP - State'!AG9))</f>
        <v/>
      </c>
      <c r="AH9" s="8" t="str">
        <f>IF(_xlfn.NUMBERVALUE('2.0WP - Cen'!AH9)-_xlfn.NUMBERVALUE('2.0WP - State'!AH9)=0,"",_xlfn.NUMBERVALUE('2.0WP - Cen'!AH9)-_xlfn.NUMBERVALUE('2.0WP - State'!AH9))</f>
        <v/>
      </c>
      <c r="AI9" s="8" t="str">
        <f>IF(_xlfn.NUMBERVALUE('2.0WP - Cen'!AI9)-_xlfn.NUMBERVALUE('2.0WP - State'!AI9)=0,"",_xlfn.NUMBERVALUE('2.0WP - Cen'!AI9)-_xlfn.NUMBERVALUE('2.0WP - State'!AI9))</f>
        <v/>
      </c>
      <c r="AJ9" s="8" t="str">
        <f>IF(_xlfn.NUMBERVALUE('2.0WP - Cen'!AJ9)-_xlfn.NUMBERVALUE('2.0WP - State'!AJ9)=0,"",_xlfn.NUMBERVALUE('2.0WP - Cen'!AJ9)-_xlfn.NUMBERVALUE('2.0WP - State'!AJ9))</f>
        <v/>
      </c>
      <c r="AK9" s="17">
        <f t="shared" si="1"/>
        <v>0</v>
      </c>
      <c r="AL9" s="10">
        <f t="shared" si="2"/>
        <v>0</v>
      </c>
    </row>
    <row r="10" spans="1:38" s="3" customFormat="1" ht="14.4" customHeight="1" x14ac:dyDescent="0.25">
      <c r="A10" s="19" t="str">
        <f>'[1]2.0WS'!A10</f>
        <v>SRO COIMBATORE TOTAL</v>
      </c>
      <c r="B10" s="19"/>
      <c r="C10" s="14">
        <f>SUM(C6:C9)</f>
        <v>0</v>
      </c>
      <c r="D10" s="14">
        <f t="shared" ref="D10:S10" si="3">SUM(D6:D9)</f>
        <v>0</v>
      </c>
      <c r="E10" s="14">
        <f t="shared" si="3"/>
        <v>0</v>
      </c>
      <c r="F10" s="14">
        <f t="shared" si="3"/>
        <v>2</v>
      </c>
      <c r="G10" s="14">
        <f t="shared" si="3"/>
        <v>0</v>
      </c>
      <c r="H10" s="14">
        <f t="shared" si="3"/>
        <v>0</v>
      </c>
      <c r="I10" s="14">
        <f t="shared" si="3"/>
        <v>0</v>
      </c>
      <c r="J10" s="14">
        <f t="shared" si="3"/>
        <v>2</v>
      </c>
      <c r="K10" s="14">
        <f t="shared" si="3"/>
        <v>4</v>
      </c>
      <c r="L10" s="14">
        <f t="shared" si="3"/>
        <v>2</v>
      </c>
      <c r="M10" s="14">
        <f t="shared" si="3"/>
        <v>0</v>
      </c>
      <c r="N10" s="14">
        <f t="shared" si="3"/>
        <v>0</v>
      </c>
      <c r="O10" s="14">
        <f t="shared" si="3"/>
        <v>0</v>
      </c>
      <c r="P10" s="14">
        <f t="shared" si="3"/>
        <v>4</v>
      </c>
      <c r="Q10" s="14">
        <f t="shared" si="3"/>
        <v>0</v>
      </c>
      <c r="R10" s="14">
        <f t="shared" si="3"/>
        <v>0</v>
      </c>
      <c r="S10" s="14">
        <f t="shared" si="3"/>
        <v>2</v>
      </c>
      <c r="T10" s="9">
        <f t="shared" ref="T10:T57" si="4">SUM(C10:S10)</f>
        <v>16</v>
      </c>
      <c r="U10" s="14">
        <f t="shared" ref="U10:AJ10" si="5">SUM(U6:U9)</f>
        <v>0</v>
      </c>
      <c r="V10" s="14">
        <f t="shared" si="5"/>
        <v>2</v>
      </c>
      <c r="W10" s="14">
        <f t="shared" si="5"/>
        <v>0</v>
      </c>
      <c r="X10" s="14">
        <f t="shared" si="5"/>
        <v>0</v>
      </c>
      <c r="Y10" s="14">
        <f t="shared" si="5"/>
        <v>0</v>
      </c>
      <c r="Z10" s="14">
        <f t="shared" si="5"/>
        <v>0</v>
      </c>
      <c r="AA10" s="14">
        <f t="shared" si="5"/>
        <v>0</v>
      </c>
      <c r="AB10" s="14">
        <f t="shared" si="5"/>
        <v>0</v>
      </c>
      <c r="AC10" s="14">
        <f t="shared" si="5"/>
        <v>0</v>
      </c>
      <c r="AD10" s="14">
        <f t="shared" si="5"/>
        <v>0</v>
      </c>
      <c r="AE10" s="14">
        <f t="shared" si="5"/>
        <v>2</v>
      </c>
      <c r="AF10" s="14">
        <f t="shared" si="5"/>
        <v>0</v>
      </c>
      <c r="AG10" s="14">
        <f t="shared" si="5"/>
        <v>0</v>
      </c>
      <c r="AH10" s="14">
        <f t="shared" si="5"/>
        <v>0</v>
      </c>
      <c r="AI10" s="14">
        <f t="shared" si="5"/>
        <v>0</v>
      </c>
      <c r="AJ10" s="14">
        <f t="shared" si="5"/>
        <v>0</v>
      </c>
      <c r="AK10" s="17">
        <f t="shared" si="1"/>
        <v>4</v>
      </c>
      <c r="AL10" s="10">
        <f t="shared" si="2"/>
        <v>20</v>
      </c>
    </row>
    <row r="11" spans="1:38" x14ac:dyDescent="0.25">
      <c r="A11" s="12" t="str">
        <f>'[1]2.0WS'!A11</f>
        <v>05</v>
      </c>
      <c r="B11" s="13" t="str">
        <f>'[1]2.0WS'!B11</f>
        <v>DHARMAPURI</v>
      </c>
      <c r="C11" s="8" t="str">
        <f>IF(_xlfn.NUMBERVALUE('2.0WP - Cen'!C11)-_xlfn.NUMBERVALUE('2.0WP - State'!C11)=0,"",_xlfn.NUMBERVALUE('2.0WP - Cen'!C11)-_xlfn.NUMBERVALUE('2.0WP - State'!C11))</f>
        <v/>
      </c>
      <c r="D11" s="8" t="str">
        <f>IF(_xlfn.NUMBERVALUE('2.0WP - Cen'!D11)-_xlfn.NUMBERVALUE('2.0WP - State'!D11)=0,"",_xlfn.NUMBERVALUE('2.0WP - Cen'!D11)-_xlfn.NUMBERVALUE('2.0WP - State'!D11))</f>
        <v/>
      </c>
      <c r="E11" s="8" t="str">
        <f>IF(_xlfn.NUMBERVALUE('2.0WP - Cen'!E11)-_xlfn.NUMBERVALUE('2.0WP - State'!E11)=0,"",_xlfn.NUMBERVALUE('2.0WP - Cen'!E11)-_xlfn.NUMBERVALUE('2.0WP - State'!E11))</f>
        <v/>
      </c>
      <c r="F11" s="8">
        <f>IF(_xlfn.NUMBERVALUE('2.0WP - Cen'!F11)-_xlfn.NUMBERVALUE('2.0WP - State'!F11)=0,"",_xlfn.NUMBERVALUE('2.0WP - Cen'!F11)-_xlfn.NUMBERVALUE('2.0WP - State'!F11))</f>
        <v>2</v>
      </c>
      <c r="G11" s="8" t="str">
        <f>IF(_xlfn.NUMBERVALUE('2.0WP - Cen'!G11)-_xlfn.NUMBERVALUE('2.0WP - State'!G11)=0,"",_xlfn.NUMBERVALUE('2.0WP - Cen'!G11)-_xlfn.NUMBERVALUE('2.0WP - State'!G11))</f>
        <v/>
      </c>
      <c r="H11" s="8" t="str">
        <f>IF(_xlfn.NUMBERVALUE('2.0WP - Cen'!H11)-_xlfn.NUMBERVALUE('2.0WP - State'!H11)=0,"",_xlfn.NUMBERVALUE('2.0WP - Cen'!H11)-_xlfn.NUMBERVALUE('2.0WP - State'!H11))</f>
        <v/>
      </c>
      <c r="I11" s="8" t="str">
        <f>IF(_xlfn.NUMBERVALUE('2.0WP - Cen'!I11)-_xlfn.NUMBERVALUE('2.0WP - State'!I11)=0,"",_xlfn.NUMBERVALUE('2.0WP - Cen'!I11)-_xlfn.NUMBERVALUE('2.0WP - State'!I11))</f>
        <v/>
      </c>
      <c r="J11" s="8">
        <f>IF(_xlfn.NUMBERVALUE('2.0WP - Cen'!J11)-_xlfn.NUMBERVALUE('2.0WP - State'!J11)=0,"",_xlfn.NUMBERVALUE('2.0WP - Cen'!J11)-_xlfn.NUMBERVALUE('2.0WP - State'!J11))</f>
        <v>2</v>
      </c>
      <c r="K11" s="8">
        <f>IF(_xlfn.NUMBERVALUE('2.0WP - Cen'!K11)-_xlfn.NUMBERVALUE('2.0WP - State'!K11)=0,"",_xlfn.NUMBERVALUE('2.0WP - Cen'!K11)-_xlfn.NUMBERVALUE('2.0WP - State'!K11))</f>
        <v>4</v>
      </c>
      <c r="L11" s="8" t="str">
        <f>IF(_xlfn.NUMBERVALUE('2.0WP - Cen'!L11)-_xlfn.NUMBERVALUE('2.0WP - State'!L11)=0,"",_xlfn.NUMBERVALUE('2.0WP - Cen'!L11)-_xlfn.NUMBERVALUE('2.0WP - State'!L11))</f>
        <v/>
      </c>
      <c r="M11" s="8" t="str">
        <f>IF(_xlfn.NUMBERVALUE('2.0WP - Cen'!M11)-_xlfn.NUMBERVALUE('2.0WP - State'!M11)=0,"",_xlfn.NUMBERVALUE('2.0WP - Cen'!M11)-_xlfn.NUMBERVALUE('2.0WP - State'!M11))</f>
        <v/>
      </c>
      <c r="N11" s="8" t="str">
        <f>IF(_xlfn.NUMBERVALUE('2.0WP - Cen'!N11)-_xlfn.NUMBERVALUE('2.0WP - State'!N11)=0,"",_xlfn.NUMBERVALUE('2.0WP - Cen'!N11)-_xlfn.NUMBERVALUE('2.0WP - State'!N11))</f>
        <v/>
      </c>
      <c r="O11" s="8" t="str">
        <f>IF(_xlfn.NUMBERVALUE('2.0WP - Cen'!O11)-_xlfn.NUMBERVALUE('2.0WP - State'!O11)=0,"",_xlfn.NUMBERVALUE('2.0WP - Cen'!O11)-_xlfn.NUMBERVALUE('2.0WP - State'!O11))</f>
        <v/>
      </c>
      <c r="P11" s="8">
        <f>IF(_xlfn.NUMBERVALUE('2.0WP - Cen'!P11)-_xlfn.NUMBERVALUE('2.0WP - State'!P11)=0,"",_xlfn.NUMBERVALUE('2.0WP - Cen'!P11)-_xlfn.NUMBERVALUE('2.0WP - State'!P11))</f>
        <v>8</v>
      </c>
      <c r="Q11" s="8">
        <f>IF(_xlfn.NUMBERVALUE('2.0WP - Cen'!Q11)-_xlfn.NUMBERVALUE('2.0WP - State'!Q11)=0,"",_xlfn.NUMBERVALUE('2.0WP - Cen'!Q11)-_xlfn.NUMBERVALUE('2.0WP - State'!Q11))</f>
        <v>6</v>
      </c>
      <c r="R11" s="8" t="str">
        <f>IF(_xlfn.NUMBERVALUE('2.0WP - Cen'!R11)-_xlfn.NUMBERVALUE('2.0WP - State'!R11)=0,"",_xlfn.NUMBERVALUE('2.0WP - Cen'!R11)-_xlfn.NUMBERVALUE('2.0WP - State'!R11))</f>
        <v/>
      </c>
      <c r="S11" s="8" t="str">
        <f>IF(_xlfn.NUMBERVALUE('2.0WP - Cen'!S11)-_xlfn.NUMBERVALUE('2.0WP - State'!S11)=0,"",_xlfn.NUMBERVALUE('2.0WP - Cen'!S11)-_xlfn.NUMBERVALUE('2.0WP - State'!S11))</f>
        <v/>
      </c>
      <c r="T11" s="9">
        <f t="shared" si="4"/>
        <v>22</v>
      </c>
      <c r="U11" s="8" t="str">
        <f>IF(_xlfn.NUMBERVALUE('2.0WP - Cen'!U11)-_xlfn.NUMBERVALUE('2.0WP - State'!U11)=0,"",_xlfn.NUMBERVALUE('2.0WP - Cen'!U11)-_xlfn.NUMBERVALUE('2.0WP - State'!U11))</f>
        <v/>
      </c>
      <c r="V11" s="8" t="str">
        <f>IF(_xlfn.NUMBERVALUE('2.0WP - Cen'!V11)-_xlfn.NUMBERVALUE('2.0WP - State'!V11)=0,"",_xlfn.NUMBERVALUE('2.0WP - Cen'!V11)-_xlfn.NUMBERVALUE('2.0WP - State'!V11))</f>
        <v/>
      </c>
      <c r="W11" s="8" t="str">
        <f>IF(_xlfn.NUMBERVALUE('2.0WP - Cen'!W11)-_xlfn.NUMBERVALUE('2.0WP - State'!W11)=0,"",_xlfn.NUMBERVALUE('2.0WP - Cen'!W11)-_xlfn.NUMBERVALUE('2.0WP - State'!W11))</f>
        <v/>
      </c>
      <c r="X11" s="8" t="str">
        <f>IF(_xlfn.NUMBERVALUE('2.0WP - Cen'!X11)-_xlfn.NUMBERVALUE('2.0WP - State'!X11)=0,"",_xlfn.NUMBERVALUE('2.0WP - Cen'!X11)-_xlfn.NUMBERVALUE('2.0WP - State'!X11))</f>
        <v/>
      </c>
      <c r="Y11" s="8" t="str">
        <f>IF(_xlfn.NUMBERVALUE('2.0WP - Cen'!Y11)-_xlfn.NUMBERVALUE('2.0WP - State'!Y11)=0,"",_xlfn.NUMBERVALUE('2.0WP - Cen'!Y11)-_xlfn.NUMBERVALUE('2.0WP - State'!Y11))</f>
        <v/>
      </c>
      <c r="Z11" s="8" t="str">
        <f>IF(_xlfn.NUMBERVALUE('2.0WP - Cen'!Z11)-_xlfn.NUMBERVALUE('2.0WP - State'!Z11)=0,"",_xlfn.NUMBERVALUE('2.0WP - Cen'!Z11)-_xlfn.NUMBERVALUE('2.0WP - State'!Z11))</f>
        <v/>
      </c>
      <c r="AA11" s="8" t="str">
        <f>IF(_xlfn.NUMBERVALUE('2.0WP - Cen'!AA11)-_xlfn.NUMBERVALUE('2.0WP - State'!AA11)=0,"",_xlfn.NUMBERVALUE('2.0WP - Cen'!AA11)-_xlfn.NUMBERVALUE('2.0WP - State'!AA11))</f>
        <v/>
      </c>
      <c r="AB11" s="8" t="str">
        <f>IF(_xlfn.NUMBERVALUE('2.0WP - Cen'!AB11)-_xlfn.NUMBERVALUE('2.0WP - State'!AB11)=0,"",_xlfn.NUMBERVALUE('2.0WP - Cen'!AB11)-_xlfn.NUMBERVALUE('2.0WP - State'!AB11))</f>
        <v/>
      </c>
      <c r="AC11" s="8" t="str">
        <f>IF(_xlfn.NUMBERVALUE('2.0WP - Cen'!AC11)-_xlfn.NUMBERVALUE('2.0WP - State'!AC11)=0,"",_xlfn.NUMBERVALUE('2.0WP - Cen'!AC11)-_xlfn.NUMBERVALUE('2.0WP - State'!AC11))</f>
        <v/>
      </c>
      <c r="AD11" s="8" t="str">
        <f>IF(_xlfn.NUMBERVALUE('2.0WP - Cen'!AD11)-_xlfn.NUMBERVALUE('2.0WP - State'!AD11)=0,"",_xlfn.NUMBERVALUE('2.0WP - Cen'!AD11)-_xlfn.NUMBERVALUE('2.0WP - State'!AD11))</f>
        <v/>
      </c>
      <c r="AE11" s="8" t="str">
        <f>IF(_xlfn.NUMBERVALUE('2.0WP - Cen'!AE11)-_xlfn.NUMBERVALUE('2.0WP - State'!AE11)=0,"",_xlfn.NUMBERVALUE('2.0WP - Cen'!AE11)-_xlfn.NUMBERVALUE('2.0WP - State'!AE11))</f>
        <v/>
      </c>
      <c r="AF11" s="8" t="str">
        <f>IF(_xlfn.NUMBERVALUE('2.0WP - Cen'!AF11)-_xlfn.NUMBERVALUE('2.0WP - State'!AF11)=0,"",_xlfn.NUMBERVALUE('2.0WP - Cen'!AF11)-_xlfn.NUMBERVALUE('2.0WP - State'!AF11))</f>
        <v/>
      </c>
      <c r="AG11" s="8" t="str">
        <f>IF(_xlfn.NUMBERVALUE('2.0WP - Cen'!AG11)-_xlfn.NUMBERVALUE('2.0WP - State'!AG11)=0,"",_xlfn.NUMBERVALUE('2.0WP - Cen'!AG11)-_xlfn.NUMBERVALUE('2.0WP - State'!AG11))</f>
        <v/>
      </c>
      <c r="AH11" s="8">
        <f>IF(_xlfn.NUMBERVALUE('2.0WP - Cen'!AH11)-_xlfn.NUMBERVALUE('2.0WP - State'!AH11)=0,"",_xlfn.NUMBERVALUE('2.0WP - Cen'!AH11)-_xlfn.NUMBERVALUE('2.0WP - State'!AH11))</f>
        <v>4</v>
      </c>
      <c r="AI11" s="8" t="str">
        <f>IF(_xlfn.NUMBERVALUE('2.0WP - Cen'!AI11)-_xlfn.NUMBERVALUE('2.0WP - State'!AI11)=0,"",_xlfn.NUMBERVALUE('2.0WP - Cen'!AI11)-_xlfn.NUMBERVALUE('2.0WP - State'!AI11))</f>
        <v/>
      </c>
      <c r="AJ11" s="8" t="str">
        <f>IF(_xlfn.NUMBERVALUE('2.0WP - Cen'!AJ11)-_xlfn.NUMBERVALUE('2.0WP - State'!AJ11)=0,"",_xlfn.NUMBERVALUE('2.0WP - Cen'!AJ11)-_xlfn.NUMBERVALUE('2.0WP - State'!AJ11))</f>
        <v/>
      </c>
      <c r="AK11" s="17">
        <f t="shared" si="1"/>
        <v>4</v>
      </c>
      <c r="AL11" s="10">
        <f t="shared" si="2"/>
        <v>26</v>
      </c>
    </row>
    <row r="12" spans="1:38" x14ac:dyDescent="0.25">
      <c r="A12" s="12" t="str">
        <f>'[1]2.0WS'!A12</f>
        <v>31</v>
      </c>
      <c r="B12" s="13" t="str">
        <f>'[1]2.0WS'!B12</f>
        <v>KRISHNAGIRI</v>
      </c>
      <c r="C12" s="8" t="str">
        <f>IF(_xlfn.NUMBERVALUE('2.0WP - Cen'!C12)-_xlfn.NUMBERVALUE('2.0WP - State'!C12)=0,"",_xlfn.NUMBERVALUE('2.0WP - Cen'!C12)-_xlfn.NUMBERVALUE('2.0WP - State'!C12))</f>
        <v/>
      </c>
      <c r="D12" s="8" t="str">
        <f>IF(_xlfn.NUMBERVALUE('2.0WP - Cen'!D12)-_xlfn.NUMBERVALUE('2.0WP - State'!D12)=0,"",_xlfn.NUMBERVALUE('2.0WP - Cen'!D12)-_xlfn.NUMBERVALUE('2.0WP - State'!D12))</f>
        <v/>
      </c>
      <c r="E12" s="8" t="str">
        <f>IF(_xlfn.NUMBERVALUE('2.0WP - Cen'!E12)-_xlfn.NUMBERVALUE('2.0WP - State'!E12)=0,"",_xlfn.NUMBERVALUE('2.0WP - Cen'!E12)-_xlfn.NUMBERVALUE('2.0WP - State'!E12))</f>
        <v/>
      </c>
      <c r="F12" s="8">
        <f>IF(_xlfn.NUMBERVALUE('2.0WP - Cen'!F12)-_xlfn.NUMBERVALUE('2.0WP - State'!F12)=0,"",_xlfn.NUMBERVALUE('2.0WP - Cen'!F12)-_xlfn.NUMBERVALUE('2.0WP - State'!F12))</f>
        <v>4</v>
      </c>
      <c r="G12" s="8" t="str">
        <f>IF(_xlfn.NUMBERVALUE('2.0WP - Cen'!G12)-_xlfn.NUMBERVALUE('2.0WP - State'!G12)=0,"",_xlfn.NUMBERVALUE('2.0WP - Cen'!G12)-_xlfn.NUMBERVALUE('2.0WP - State'!G12))</f>
        <v/>
      </c>
      <c r="H12" s="8" t="str">
        <f>IF(_xlfn.NUMBERVALUE('2.0WP - Cen'!H12)-_xlfn.NUMBERVALUE('2.0WP - State'!H12)=0,"",_xlfn.NUMBERVALUE('2.0WP - Cen'!H12)-_xlfn.NUMBERVALUE('2.0WP - State'!H12))</f>
        <v/>
      </c>
      <c r="I12" s="8" t="str">
        <f>IF(_xlfn.NUMBERVALUE('2.0WP - Cen'!I12)-_xlfn.NUMBERVALUE('2.0WP - State'!I12)=0,"",_xlfn.NUMBERVALUE('2.0WP - Cen'!I12)-_xlfn.NUMBERVALUE('2.0WP - State'!I12))</f>
        <v/>
      </c>
      <c r="J12" s="8" t="str">
        <f>IF(_xlfn.NUMBERVALUE('2.0WP - Cen'!J12)-_xlfn.NUMBERVALUE('2.0WP - State'!J12)=0,"",_xlfn.NUMBERVALUE('2.0WP - Cen'!J12)-_xlfn.NUMBERVALUE('2.0WP - State'!J12))</f>
        <v/>
      </c>
      <c r="K12" s="8">
        <f>IF(_xlfn.NUMBERVALUE('2.0WP - Cen'!K12)-_xlfn.NUMBERVALUE('2.0WP - State'!K12)=0,"",_xlfn.NUMBERVALUE('2.0WP - Cen'!K12)-_xlfn.NUMBERVALUE('2.0WP - State'!K12))</f>
        <v>2</v>
      </c>
      <c r="L12" s="8">
        <f>IF(_xlfn.NUMBERVALUE('2.0WP - Cen'!L12)-_xlfn.NUMBERVALUE('2.0WP - State'!L12)=0,"",_xlfn.NUMBERVALUE('2.0WP - Cen'!L12)-_xlfn.NUMBERVALUE('2.0WP - State'!L12))</f>
        <v>2</v>
      </c>
      <c r="M12" s="8" t="str">
        <f>IF(_xlfn.NUMBERVALUE('2.0WP - Cen'!M12)-_xlfn.NUMBERVALUE('2.0WP - State'!M12)=0,"",_xlfn.NUMBERVALUE('2.0WP - Cen'!M12)-_xlfn.NUMBERVALUE('2.0WP - State'!M12))</f>
        <v/>
      </c>
      <c r="N12" s="8">
        <f>IF(_xlfn.NUMBERVALUE('2.0WP - Cen'!N12)-_xlfn.NUMBERVALUE('2.0WP - State'!N12)=0,"",_xlfn.NUMBERVALUE('2.0WP - Cen'!N12)-_xlfn.NUMBERVALUE('2.0WP - State'!N12))</f>
        <v>2</v>
      </c>
      <c r="O12" s="8" t="str">
        <f>IF(_xlfn.NUMBERVALUE('2.0WP - Cen'!O12)-_xlfn.NUMBERVALUE('2.0WP - State'!O12)=0,"",_xlfn.NUMBERVALUE('2.0WP - Cen'!O12)-_xlfn.NUMBERVALUE('2.0WP - State'!O12))</f>
        <v/>
      </c>
      <c r="P12" s="8">
        <f>IF(_xlfn.NUMBERVALUE('2.0WP - Cen'!P12)-_xlfn.NUMBERVALUE('2.0WP - State'!P12)=0,"",_xlfn.NUMBERVALUE('2.0WP - Cen'!P12)-_xlfn.NUMBERVALUE('2.0WP - State'!P12))</f>
        <v>8</v>
      </c>
      <c r="Q12" s="8">
        <f>IF(_xlfn.NUMBERVALUE('2.0WP - Cen'!Q12)-_xlfn.NUMBERVALUE('2.0WP - State'!Q12)=0,"",_xlfn.NUMBERVALUE('2.0WP - Cen'!Q12)-_xlfn.NUMBERVALUE('2.0WP - State'!Q12))</f>
        <v>4</v>
      </c>
      <c r="R12" s="8" t="str">
        <f>IF(_xlfn.NUMBERVALUE('2.0WP - Cen'!R12)-_xlfn.NUMBERVALUE('2.0WP - State'!R12)=0,"",_xlfn.NUMBERVALUE('2.0WP - Cen'!R12)-_xlfn.NUMBERVALUE('2.0WP - State'!R12))</f>
        <v/>
      </c>
      <c r="S12" s="8" t="str">
        <f>IF(_xlfn.NUMBERVALUE('2.0WP - Cen'!S12)-_xlfn.NUMBERVALUE('2.0WP - State'!S12)=0,"",_xlfn.NUMBERVALUE('2.0WP - Cen'!S12)-_xlfn.NUMBERVALUE('2.0WP - State'!S12))</f>
        <v/>
      </c>
      <c r="T12" s="9">
        <f t="shared" si="4"/>
        <v>22</v>
      </c>
      <c r="U12" s="8" t="str">
        <f>IF(_xlfn.NUMBERVALUE('2.0WP - Cen'!U12)-_xlfn.NUMBERVALUE('2.0WP - State'!U12)=0,"",_xlfn.NUMBERVALUE('2.0WP - Cen'!U12)-_xlfn.NUMBERVALUE('2.0WP - State'!U12))</f>
        <v/>
      </c>
      <c r="V12" s="8" t="str">
        <f>IF(_xlfn.NUMBERVALUE('2.0WP - Cen'!V12)-_xlfn.NUMBERVALUE('2.0WP - State'!V12)=0,"",_xlfn.NUMBERVALUE('2.0WP - Cen'!V12)-_xlfn.NUMBERVALUE('2.0WP - State'!V12))</f>
        <v/>
      </c>
      <c r="W12" s="8" t="str">
        <f>IF(_xlfn.NUMBERVALUE('2.0WP - Cen'!W12)-_xlfn.NUMBERVALUE('2.0WP - State'!W12)=0,"",_xlfn.NUMBERVALUE('2.0WP - Cen'!W12)-_xlfn.NUMBERVALUE('2.0WP - State'!W12))</f>
        <v/>
      </c>
      <c r="X12" s="8" t="str">
        <f>IF(_xlfn.NUMBERVALUE('2.0WP - Cen'!X12)-_xlfn.NUMBERVALUE('2.0WP - State'!X12)=0,"",_xlfn.NUMBERVALUE('2.0WP - Cen'!X12)-_xlfn.NUMBERVALUE('2.0WP - State'!X12))</f>
        <v/>
      </c>
      <c r="Y12" s="8">
        <f>IF(_xlfn.NUMBERVALUE('2.0WP - Cen'!Y12)-_xlfn.NUMBERVALUE('2.0WP - State'!Y12)=0,"",_xlfn.NUMBERVALUE('2.0WP - Cen'!Y12)-_xlfn.NUMBERVALUE('2.0WP - State'!Y12))</f>
        <v>4</v>
      </c>
      <c r="Z12" s="8" t="str">
        <f>IF(_xlfn.NUMBERVALUE('2.0WP - Cen'!Z12)-_xlfn.NUMBERVALUE('2.0WP - State'!Z12)=0,"",_xlfn.NUMBERVALUE('2.0WP - Cen'!Z12)-_xlfn.NUMBERVALUE('2.0WP - State'!Z12))</f>
        <v/>
      </c>
      <c r="AA12" s="8" t="str">
        <f>IF(_xlfn.NUMBERVALUE('2.0WP - Cen'!AA12)-_xlfn.NUMBERVALUE('2.0WP - State'!AA12)=0,"",_xlfn.NUMBERVALUE('2.0WP - Cen'!AA12)-_xlfn.NUMBERVALUE('2.0WP - State'!AA12))</f>
        <v/>
      </c>
      <c r="AB12" s="8" t="str">
        <f>IF(_xlfn.NUMBERVALUE('2.0WP - Cen'!AB12)-_xlfn.NUMBERVALUE('2.0WP - State'!AB12)=0,"",_xlfn.NUMBERVALUE('2.0WP - Cen'!AB12)-_xlfn.NUMBERVALUE('2.0WP - State'!AB12))</f>
        <v/>
      </c>
      <c r="AC12" s="8" t="str">
        <f>IF(_xlfn.NUMBERVALUE('2.0WP - Cen'!AC12)-_xlfn.NUMBERVALUE('2.0WP - State'!AC12)=0,"",_xlfn.NUMBERVALUE('2.0WP - Cen'!AC12)-_xlfn.NUMBERVALUE('2.0WP - State'!AC12))</f>
        <v/>
      </c>
      <c r="AD12" s="8" t="str">
        <f>IF(_xlfn.NUMBERVALUE('2.0WP - Cen'!AD12)-_xlfn.NUMBERVALUE('2.0WP - State'!AD12)=0,"",_xlfn.NUMBERVALUE('2.0WP - Cen'!AD12)-_xlfn.NUMBERVALUE('2.0WP - State'!AD12))</f>
        <v/>
      </c>
      <c r="AE12" s="8" t="str">
        <f>IF(_xlfn.NUMBERVALUE('2.0WP - Cen'!AE12)-_xlfn.NUMBERVALUE('2.0WP - State'!AE12)=0,"",_xlfn.NUMBERVALUE('2.0WP - Cen'!AE12)-_xlfn.NUMBERVALUE('2.0WP - State'!AE12))</f>
        <v/>
      </c>
      <c r="AF12" s="8" t="str">
        <f>IF(_xlfn.NUMBERVALUE('2.0WP - Cen'!AF12)-_xlfn.NUMBERVALUE('2.0WP - State'!AF12)=0,"",_xlfn.NUMBERVALUE('2.0WP - Cen'!AF12)-_xlfn.NUMBERVALUE('2.0WP - State'!AF12))</f>
        <v/>
      </c>
      <c r="AG12" s="8" t="str">
        <f>IF(_xlfn.NUMBERVALUE('2.0WP - Cen'!AG12)-_xlfn.NUMBERVALUE('2.0WP - State'!AG12)=0,"",_xlfn.NUMBERVALUE('2.0WP - Cen'!AG12)-_xlfn.NUMBERVALUE('2.0WP - State'!AG12))</f>
        <v/>
      </c>
      <c r="AH12" s="8">
        <f>IF(_xlfn.NUMBERVALUE('2.0WP - Cen'!AH12)-_xlfn.NUMBERVALUE('2.0WP - State'!AH12)=0,"",_xlfn.NUMBERVALUE('2.0WP - Cen'!AH12)-_xlfn.NUMBERVALUE('2.0WP - State'!AH12))</f>
        <v>6</v>
      </c>
      <c r="AI12" s="8" t="str">
        <f>IF(_xlfn.NUMBERVALUE('2.0WP - Cen'!AI12)-_xlfn.NUMBERVALUE('2.0WP - State'!AI12)=0,"",_xlfn.NUMBERVALUE('2.0WP - Cen'!AI12)-_xlfn.NUMBERVALUE('2.0WP - State'!AI12))</f>
        <v/>
      </c>
      <c r="AJ12" s="8" t="str">
        <f>IF(_xlfn.NUMBERVALUE('2.0WP - Cen'!AJ12)-_xlfn.NUMBERVALUE('2.0WP - State'!AJ12)=0,"",_xlfn.NUMBERVALUE('2.0WP - Cen'!AJ12)-_xlfn.NUMBERVALUE('2.0WP - State'!AJ12))</f>
        <v/>
      </c>
      <c r="AK12" s="17">
        <f t="shared" si="1"/>
        <v>10</v>
      </c>
      <c r="AL12" s="10">
        <f t="shared" si="2"/>
        <v>32</v>
      </c>
    </row>
    <row r="13" spans="1:38" x14ac:dyDescent="0.25">
      <c r="A13" s="12" t="str">
        <f>'[1]2.0WS'!A13</f>
        <v>36</v>
      </c>
      <c r="B13" s="13" t="str">
        <f>'[1]2.0WS'!B13</f>
        <v>TIRUPATHUR</v>
      </c>
      <c r="C13" s="8" t="str">
        <f>IF(_xlfn.NUMBERVALUE('2.0WP - Cen'!C13)-_xlfn.NUMBERVALUE('2.0WP - State'!C13)=0,"",_xlfn.NUMBERVALUE('2.0WP - Cen'!C13)-_xlfn.NUMBERVALUE('2.0WP - State'!C13))</f>
        <v/>
      </c>
      <c r="D13" s="8" t="str">
        <f>IF(_xlfn.NUMBERVALUE('2.0WP - Cen'!D13)-_xlfn.NUMBERVALUE('2.0WP - State'!D13)=0,"",_xlfn.NUMBERVALUE('2.0WP - Cen'!D13)-_xlfn.NUMBERVALUE('2.0WP - State'!D13))</f>
        <v/>
      </c>
      <c r="E13" s="8" t="str">
        <f>IF(_xlfn.NUMBERVALUE('2.0WP - Cen'!E13)-_xlfn.NUMBERVALUE('2.0WP - State'!E13)=0,"",_xlfn.NUMBERVALUE('2.0WP - Cen'!E13)-_xlfn.NUMBERVALUE('2.0WP - State'!E13))</f>
        <v/>
      </c>
      <c r="F13" s="8">
        <f>IF(_xlfn.NUMBERVALUE('2.0WP - Cen'!F13)-_xlfn.NUMBERVALUE('2.0WP - State'!F13)=0,"",_xlfn.NUMBERVALUE('2.0WP - Cen'!F13)-_xlfn.NUMBERVALUE('2.0WP - State'!F13))</f>
        <v>4</v>
      </c>
      <c r="G13" s="8" t="str">
        <f>IF(_xlfn.NUMBERVALUE('2.0WP - Cen'!G13)-_xlfn.NUMBERVALUE('2.0WP - State'!G13)=0,"",_xlfn.NUMBERVALUE('2.0WP - Cen'!G13)-_xlfn.NUMBERVALUE('2.0WP - State'!G13))</f>
        <v/>
      </c>
      <c r="H13" s="8">
        <f>IF(_xlfn.NUMBERVALUE('2.0WP - Cen'!H13)-_xlfn.NUMBERVALUE('2.0WP - State'!H13)=0,"",_xlfn.NUMBERVALUE('2.0WP - Cen'!H13)-_xlfn.NUMBERVALUE('2.0WP - State'!H13))</f>
        <v>2</v>
      </c>
      <c r="I13" s="8" t="str">
        <f>IF(_xlfn.NUMBERVALUE('2.0WP - Cen'!I13)-_xlfn.NUMBERVALUE('2.0WP - State'!I13)=0,"",_xlfn.NUMBERVALUE('2.0WP - Cen'!I13)-_xlfn.NUMBERVALUE('2.0WP - State'!I13))</f>
        <v/>
      </c>
      <c r="J13" s="8" t="str">
        <f>IF(_xlfn.NUMBERVALUE('2.0WP - Cen'!J13)-_xlfn.NUMBERVALUE('2.0WP - State'!J13)=0,"",_xlfn.NUMBERVALUE('2.0WP - Cen'!J13)-_xlfn.NUMBERVALUE('2.0WP - State'!J13))</f>
        <v/>
      </c>
      <c r="K13" s="8" t="str">
        <f>IF(_xlfn.NUMBERVALUE('2.0WP - Cen'!K13)-_xlfn.NUMBERVALUE('2.0WP - State'!K13)=0,"",_xlfn.NUMBERVALUE('2.0WP - Cen'!K13)-_xlfn.NUMBERVALUE('2.0WP - State'!K13))</f>
        <v/>
      </c>
      <c r="L13" s="8" t="str">
        <f>IF(_xlfn.NUMBERVALUE('2.0WP - Cen'!L13)-_xlfn.NUMBERVALUE('2.0WP - State'!L13)=0,"",_xlfn.NUMBERVALUE('2.0WP - Cen'!L13)-_xlfn.NUMBERVALUE('2.0WP - State'!L13))</f>
        <v/>
      </c>
      <c r="M13" s="8" t="str">
        <f>IF(_xlfn.NUMBERVALUE('2.0WP - Cen'!M13)-_xlfn.NUMBERVALUE('2.0WP - State'!M13)=0,"",_xlfn.NUMBERVALUE('2.0WP - Cen'!M13)-_xlfn.NUMBERVALUE('2.0WP - State'!M13))</f>
        <v/>
      </c>
      <c r="N13" s="8" t="str">
        <f>IF(_xlfn.NUMBERVALUE('2.0WP - Cen'!N13)-_xlfn.NUMBERVALUE('2.0WP - State'!N13)=0,"",_xlfn.NUMBERVALUE('2.0WP - Cen'!N13)-_xlfn.NUMBERVALUE('2.0WP - State'!N13))</f>
        <v/>
      </c>
      <c r="O13" s="8" t="str">
        <f>IF(_xlfn.NUMBERVALUE('2.0WP - Cen'!O13)-_xlfn.NUMBERVALUE('2.0WP - State'!O13)=0,"",_xlfn.NUMBERVALUE('2.0WP - Cen'!O13)-_xlfn.NUMBERVALUE('2.0WP - State'!O13))</f>
        <v/>
      </c>
      <c r="P13" s="8">
        <f>IF(_xlfn.NUMBERVALUE('2.0WP - Cen'!P13)-_xlfn.NUMBERVALUE('2.0WP - State'!P13)=0,"",_xlfn.NUMBERVALUE('2.0WP - Cen'!P13)-_xlfn.NUMBERVALUE('2.0WP - State'!P13))</f>
        <v>4</v>
      </c>
      <c r="Q13" s="8">
        <f>IF(_xlfn.NUMBERVALUE('2.0WP - Cen'!Q13)-_xlfn.NUMBERVALUE('2.0WP - State'!Q13)=0,"",_xlfn.NUMBERVALUE('2.0WP - Cen'!Q13)-_xlfn.NUMBERVALUE('2.0WP - State'!Q13))</f>
        <v>2</v>
      </c>
      <c r="R13" s="8" t="str">
        <f>IF(_xlfn.NUMBERVALUE('2.0WP - Cen'!R13)-_xlfn.NUMBERVALUE('2.0WP - State'!R13)=0,"",_xlfn.NUMBERVALUE('2.0WP - Cen'!R13)-_xlfn.NUMBERVALUE('2.0WP - State'!R13))</f>
        <v/>
      </c>
      <c r="S13" s="8" t="str">
        <f>IF(_xlfn.NUMBERVALUE('2.0WP - Cen'!S13)-_xlfn.NUMBERVALUE('2.0WP - State'!S13)=0,"",_xlfn.NUMBERVALUE('2.0WP - Cen'!S13)-_xlfn.NUMBERVALUE('2.0WP - State'!S13))</f>
        <v/>
      </c>
      <c r="T13" s="9">
        <f t="shared" si="4"/>
        <v>12</v>
      </c>
      <c r="U13" s="8" t="str">
        <f>IF(_xlfn.NUMBERVALUE('2.0WP - Cen'!U13)-_xlfn.NUMBERVALUE('2.0WP - State'!U13)=0,"",_xlfn.NUMBERVALUE('2.0WP - Cen'!U13)-_xlfn.NUMBERVALUE('2.0WP - State'!U13))</f>
        <v/>
      </c>
      <c r="V13" s="8" t="str">
        <f>IF(_xlfn.NUMBERVALUE('2.0WP - Cen'!V13)-_xlfn.NUMBERVALUE('2.0WP - State'!V13)=0,"",_xlfn.NUMBERVALUE('2.0WP - Cen'!V13)-_xlfn.NUMBERVALUE('2.0WP - State'!V13))</f>
        <v/>
      </c>
      <c r="W13" s="8" t="str">
        <f>IF(_xlfn.NUMBERVALUE('2.0WP - Cen'!W13)-_xlfn.NUMBERVALUE('2.0WP - State'!W13)=0,"",_xlfn.NUMBERVALUE('2.0WP - Cen'!W13)-_xlfn.NUMBERVALUE('2.0WP - State'!W13))</f>
        <v/>
      </c>
      <c r="X13" s="8" t="str">
        <f>IF(_xlfn.NUMBERVALUE('2.0WP - Cen'!X13)-_xlfn.NUMBERVALUE('2.0WP - State'!X13)=0,"",_xlfn.NUMBERVALUE('2.0WP - Cen'!X13)-_xlfn.NUMBERVALUE('2.0WP - State'!X13))</f>
        <v/>
      </c>
      <c r="Y13" s="8" t="str">
        <f>IF(_xlfn.NUMBERVALUE('2.0WP - Cen'!Y13)-_xlfn.NUMBERVALUE('2.0WP - State'!Y13)=0,"",_xlfn.NUMBERVALUE('2.0WP - Cen'!Y13)-_xlfn.NUMBERVALUE('2.0WP - State'!Y13))</f>
        <v/>
      </c>
      <c r="Z13" s="8" t="str">
        <f>IF(_xlfn.NUMBERVALUE('2.0WP - Cen'!Z13)-_xlfn.NUMBERVALUE('2.0WP - State'!Z13)=0,"",_xlfn.NUMBERVALUE('2.0WP - Cen'!Z13)-_xlfn.NUMBERVALUE('2.0WP - State'!Z13))</f>
        <v/>
      </c>
      <c r="AA13" s="8" t="str">
        <f>IF(_xlfn.NUMBERVALUE('2.0WP - Cen'!AA13)-_xlfn.NUMBERVALUE('2.0WP - State'!AA13)=0,"",_xlfn.NUMBERVALUE('2.0WP - Cen'!AA13)-_xlfn.NUMBERVALUE('2.0WP - State'!AA13))</f>
        <v/>
      </c>
      <c r="AB13" s="8" t="str">
        <f>IF(_xlfn.NUMBERVALUE('2.0WP - Cen'!AB13)-_xlfn.NUMBERVALUE('2.0WP - State'!AB13)=0,"",_xlfn.NUMBERVALUE('2.0WP - Cen'!AB13)-_xlfn.NUMBERVALUE('2.0WP - State'!AB13))</f>
        <v/>
      </c>
      <c r="AC13" s="8" t="str">
        <f>IF(_xlfn.NUMBERVALUE('2.0WP - Cen'!AC13)-_xlfn.NUMBERVALUE('2.0WP - State'!AC13)=0,"",_xlfn.NUMBERVALUE('2.0WP - Cen'!AC13)-_xlfn.NUMBERVALUE('2.0WP - State'!AC13))</f>
        <v/>
      </c>
      <c r="AD13" s="8" t="str">
        <f>IF(_xlfn.NUMBERVALUE('2.0WP - Cen'!AD13)-_xlfn.NUMBERVALUE('2.0WP - State'!AD13)=0,"",_xlfn.NUMBERVALUE('2.0WP - Cen'!AD13)-_xlfn.NUMBERVALUE('2.0WP - State'!AD13))</f>
        <v/>
      </c>
      <c r="AE13" s="8" t="str">
        <f>IF(_xlfn.NUMBERVALUE('2.0WP - Cen'!AE13)-_xlfn.NUMBERVALUE('2.0WP - State'!AE13)=0,"",_xlfn.NUMBERVALUE('2.0WP - Cen'!AE13)-_xlfn.NUMBERVALUE('2.0WP - State'!AE13))</f>
        <v/>
      </c>
      <c r="AF13" s="8" t="str">
        <f>IF(_xlfn.NUMBERVALUE('2.0WP - Cen'!AF13)-_xlfn.NUMBERVALUE('2.0WP - State'!AF13)=0,"",_xlfn.NUMBERVALUE('2.0WP - Cen'!AF13)-_xlfn.NUMBERVALUE('2.0WP - State'!AF13))</f>
        <v/>
      </c>
      <c r="AG13" s="8" t="str">
        <f>IF(_xlfn.NUMBERVALUE('2.0WP - Cen'!AG13)-_xlfn.NUMBERVALUE('2.0WP - State'!AG13)=0,"",_xlfn.NUMBERVALUE('2.0WP - Cen'!AG13)-_xlfn.NUMBERVALUE('2.0WP - State'!AG13))</f>
        <v/>
      </c>
      <c r="AH13" s="8">
        <f>IF(_xlfn.NUMBERVALUE('2.0WP - Cen'!AH13)-_xlfn.NUMBERVALUE('2.0WP - State'!AH13)=0,"",_xlfn.NUMBERVALUE('2.0WP - Cen'!AH13)-_xlfn.NUMBERVALUE('2.0WP - State'!AH13))</f>
        <v>4</v>
      </c>
      <c r="AI13" s="8" t="str">
        <f>IF(_xlfn.NUMBERVALUE('2.0WP - Cen'!AI13)-_xlfn.NUMBERVALUE('2.0WP - State'!AI13)=0,"",_xlfn.NUMBERVALUE('2.0WP - Cen'!AI13)-_xlfn.NUMBERVALUE('2.0WP - State'!AI13))</f>
        <v/>
      </c>
      <c r="AJ13" s="8" t="str">
        <f>IF(_xlfn.NUMBERVALUE('2.0WP - Cen'!AJ13)-_xlfn.NUMBERVALUE('2.0WP - State'!AJ13)=0,"",_xlfn.NUMBERVALUE('2.0WP - Cen'!AJ13)-_xlfn.NUMBERVALUE('2.0WP - State'!AJ13))</f>
        <v/>
      </c>
      <c r="AK13" s="17">
        <f t="shared" si="1"/>
        <v>4</v>
      </c>
      <c r="AL13" s="10">
        <f t="shared" si="2"/>
        <v>16</v>
      </c>
    </row>
    <row r="14" spans="1:38" s="3" customFormat="1" ht="14.4" customHeight="1" x14ac:dyDescent="0.25">
      <c r="A14" s="19" t="str">
        <f>'[1]2.0WS'!A14</f>
        <v>SRO DHARMAPURI TOTAL</v>
      </c>
      <c r="B14" s="19"/>
      <c r="C14" s="14">
        <f>SUM(C11:C13)</f>
        <v>0</v>
      </c>
      <c r="D14" s="14">
        <f t="shared" ref="D14:S14" si="6">SUM(D11:D13)</f>
        <v>0</v>
      </c>
      <c r="E14" s="14">
        <f t="shared" si="6"/>
        <v>0</v>
      </c>
      <c r="F14" s="14">
        <f t="shared" si="6"/>
        <v>10</v>
      </c>
      <c r="G14" s="14">
        <f t="shared" si="6"/>
        <v>0</v>
      </c>
      <c r="H14" s="14">
        <f t="shared" si="6"/>
        <v>2</v>
      </c>
      <c r="I14" s="14">
        <f t="shared" si="6"/>
        <v>0</v>
      </c>
      <c r="J14" s="14">
        <f t="shared" si="6"/>
        <v>2</v>
      </c>
      <c r="K14" s="14">
        <f t="shared" si="6"/>
        <v>6</v>
      </c>
      <c r="L14" s="14">
        <f t="shared" si="6"/>
        <v>2</v>
      </c>
      <c r="M14" s="14">
        <f t="shared" si="6"/>
        <v>0</v>
      </c>
      <c r="N14" s="14">
        <f t="shared" si="6"/>
        <v>2</v>
      </c>
      <c r="O14" s="14">
        <f t="shared" si="6"/>
        <v>0</v>
      </c>
      <c r="P14" s="14">
        <f t="shared" si="6"/>
        <v>20</v>
      </c>
      <c r="Q14" s="14">
        <f t="shared" si="6"/>
        <v>12</v>
      </c>
      <c r="R14" s="14">
        <f t="shared" si="6"/>
        <v>0</v>
      </c>
      <c r="S14" s="14">
        <f t="shared" si="6"/>
        <v>0</v>
      </c>
      <c r="T14" s="9">
        <f t="shared" si="4"/>
        <v>56</v>
      </c>
      <c r="U14" s="14">
        <f t="shared" ref="U14:AJ14" si="7">SUM(U11:U13)</f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14">
        <f t="shared" si="7"/>
        <v>4</v>
      </c>
      <c r="Z14" s="14">
        <f t="shared" si="7"/>
        <v>0</v>
      </c>
      <c r="AA14" s="14">
        <f t="shared" si="7"/>
        <v>0</v>
      </c>
      <c r="AB14" s="14">
        <f t="shared" si="7"/>
        <v>0</v>
      </c>
      <c r="AC14" s="14">
        <f t="shared" si="7"/>
        <v>0</v>
      </c>
      <c r="AD14" s="14">
        <f t="shared" si="7"/>
        <v>0</v>
      </c>
      <c r="AE14" s="14">
        <f t="shared" si="7"/>
        <v>0</v>
      </c>
      <c r="AF14" s="14">
        <f t="shared" si="7"/>
        <v>0</v>
      </c>
      <c r="AG14" s="14">
        <f t="shared" si="7"/>
        <v>0</v>
      </c>
      <c r="AH14" s="14">
        <f t="shared" si="7"/>
        <v>14</v>
      </c>
      <c r="AI14" s="14">
        <f t="shared" si="7"/>
        <v>0</v>
      </c>
      <c r="AJ14" s="14">
        <f t="shared" si="7"/>
        <v>0</v>
      </c>
      <c r="AK14" s="17">
        <f t="shared" si="1"/>
        <v>18</v>
      </c>
      <c r="AL14" s="10">
        <f t="shared" si="2"/>
        <v>74</v>
      </c>
    </row>
    <row r="15" spans="1:38" x14ac:dyDescent="0.25">
      <c r="A15" s="12" t="str">
        <f>'[1]2.0WS'!A15</f>
        <v>08</v>
      </c>
      <c r="B15" s="13" t="str">
        <f>'[1]2.0WS'!B15</f>
        <v>SALEM</v>
      </c>
      <c r="C15" s="8" t="str">
        <f>IF(_xlfn.NUMBERVALUE('2.0WP - Cen'!C15)-_xlfn.NUMBERVALUE('2.0WP - State'!C15)=0,"",_xlfn.NUMBERVALUE('2.0WP - Cen'!C15)-_xlfn.NUMBERVALUE('2.0WP - State'!C15))</f>
        <v/>
      </c>
      <c r="D15" s="8" t="str">
        <f>IF(_xlfn.NUMBERVALUE('2.0WP - Cen'!D15)-_xlfn.NUMBERVALUE('2.0WP - State'!D15)=0,"",_xlfn.NUMBERVALUE('2.0WP - Cen'!D15)-_xlfn.NUMBERVALUE('2.0WP - State'!D15))</f>
        <v/>
      </c>
      <c r="E15" s="8" t="str">
        <f>IF(_xlfn.NUMBERVALUE('2.0WP - Cen'!E15)-_xlfn.NUMBERVALUE('2.0WP - State'!E15)=0,"",_xlfn.NUMBERVALUE('2.0WP - Cen'!E15)-_xlfn.NUMBERVALUE('2.0WP - State'!E15))</f>
        <v/>
      </c>
      <c r="F15" s="8">
        <f>IF(_xlfn.NUMBERVALUE('2.0WP - Cen'!F15)-_xlfn.NUMBERVALUE('2.0WP - State'!F15)=0,"",_xlfn.NUMBERVALUE('2.0WP - Cen'!F15)-_xlfn.NUMBERVALUE('2.0WP - State'!F15))</f>
        <v>4</v>
      </c>
      <c r="G15" s="8" t="str">
        <f>IF(_xlfn.NUMBERVALUE('2.0WP - Cen'!G15)-_xlfn.NUMBERVALUE('2.0WP - State'!G15)=0,"",_xlfn.NUMBERVALUE('2.0WP - Cen'!G15)-_xlfn.NUMBERVALUE('2.0WP - State'!G15))</f>
        <v/>
      </c>
      <c r="H15" s="8" t="str">
        <f>IF(_xlfn.NUMBERVALUE('2.0WP - Cen'!H15)-_xlfn.NUMBERVALUE('2.0WP - State'!H15)=0,"",_xlfn.NUMBERVALUE('2.0WP - Cen'!H15)-_xlfn.NUMBERVALUE('2.0WP - State'!H15))</f>
        <v/>
      </c>
      <c r="I15" s="8" t="str">
        <f>IF(_xlfn.NUMBERVALUE('2.0WP - Cen'!I15)-_xlfn.NUMBERVALUE('2.0WP - State'!I15)=0,"",_xlfn.NUMBERVALUE('2.0WP - Cen'!I15)-_xlfn.NUMBERVALUE('2.0WP - State'!I15))</f>
        <v/>
      </c>
      <c r="J15" s="8">
        <f>IF(_xlfn.NUMBERVALUE('2.0WP - Cen'!J15)-_xlfn.NUMBERVALUE('2.0WP - State'!J15)=0,"",_xlfn.NUMBERVALUE('2.0WP - Cen'!J15)-_xlfn.NUMBERVALUE('2.0WP - State'!J15))</f>
        <v>6</v>
      </c>
      <c r="K15" s="8">
        <f>IF(_xlfn.NUMBERVALUE('2.0WP - Cen'!K15)-_xlfn.NUMBERVALUE('2.0WP - State'!K15)=0,"",_xlfn.NUMBERVALUE('2.0WP - Cen'!K15)-_xlfn.NUMBERVALUE('2.0WP - State'!K15))</f>
        <v>2</v>
      </c>
      <c r="L15" s="8">
        <f>IF(_xlfn.NUMBERVALUE('2.0WP - Cen'!L15)-_xlfn.NUMBERVALUE('2.0WP - State'!L15)=0,"",_xlfn.NUMBERVALUE('2.0WP - Cen'!L15)-_xlfn.NUMBERVALUE('2.0WP - State'!L15))</f>
        <v>2</v>
      </c>
      <c r="M15" s="8" t="str">
        <f>IF(_xlfn.NUMBERVALUE('2.0WP - Cen'!M15)-_xlfn.NUMBERVALUE('2.0WP - State'!M15)=0,"",_xlfn.NUMBERVALUE('2.0WP - Cen'!M15)-_xlfn.NUMBERVALUE('2.0WP - State'!M15))</f>
        <v/>
      </c>
      <c r="N15" s="8">
        <f>IF(_xlfn.NUMBERVALUE('2.0WP - Cen'!N15)-_xlfn.NUMBERVALUE('2.0WP - State'!N15)=0,"",_xlfn.NUMBERVALUE('2.0WP - Cen'!N15)-_xlfn.NUMBERVALUE('2.0WP - State'!N15))</f>
        <v>4</v>
      </c>
      <c r="O15" s="8">
        <f>IF(_xlfn.NUMBERVALUE('2.0WP - Cen'!O15)-_xlfn.NUMBERVALUE('2.0WP - State'!O15)=0,"",_xlfn.NUMBERVALUE('2.0WP - Cen'!O15)-_xlfn.NUMBERVALUE('2.0WP - State'!O15))</f>
        <v>2</v>
      </c>
      <c r="P15" s="8">
        <f>IF(_xlfn.NUMBERVALUE('2.0WP - Cen'!P15)-_xlfn.NUMBERVALUE('2.0WP - State'!P15)=0,"",_xlfn.NUMBERVALUE('2.0WP - Cen'!P15)-_xlfn.NUMBERVALUE('2.0WP - State'!P15))</f>
        <v>2</v>
      </c>
      <c r="Q15" s="8">
        <f>IF(_xlfn.NUMBERVALUE('2.0WP - Cen'!Q15)-_xlfn.NUMBERVALUE('2.0WP - State'!Q15)=0,"",_xlfn.NUMBERVALUE('2.0WP - Cen'!Q15)-_xlfn.NUMBERVALUE('2.0WP - State'!Q15))</f>
        <v>6</v>
      </c>
      <c r="R15" s="8">
        <f>IF(_xlfn.NUMBERVALUE('2.0WP - Cen'!R15)-_xlfn.NUMBERVALUE('2.0WP - State'!R15)=0,"",_xlfn.NUMBERVALUE('2.0WP - Cen'!R15)-_xlfn.NUMBERVALUE('2.0WP - State'!R15))</f>
        <v>4</v>
      </c>
      <c r="S15" s="8">
        <f>IF(_xlfn.NUMBERVALUE('2.0WP - Cen'!S15)-_xlfn.NUMBERVALUE('2.0WP - State'!S15)=0,"",_xlfn.NUMBERVALUE('2.0WP - Cen'!S15)-_xlfn.NUMBERVALUE('2.0WP - State'!S15))</f>
        <v>4</v>
      </c>
      <c r="T15" s="9">
        <f t="shared" si="4"/>
        <v>36</v>
      </c>
      <c r="U15" s="8" t="str">
        <f>IF(_xlfn.NUMBERVALUE('2.0WP - Cen'!U15)-_xlfn.NUMBERVALUE('2.0WP - State'!U15)=0,"",_xlfn.NUMBERVALUE('2.0WP - Cen'!U15)-_xlfn.NUMBERVALUE('2.0WP - State'!U15))</f>
        <v/>
      </c>
      <c r="V15" s="8">
        <f>IF(_xlfn.NUMBERVALUE('2.0WP - Cen'!V15)-_xlfn.NUMBERVALUE('2.0WP - State'!V15)=0,"",_xlfn.NUMBERVALUE('2.0WP - Cen'!V15)-_xlfn.NUMBERVALUE('2.0WP - State'!V15))</f>
        <v>4</v>
      </c>
      <c r="W15" s="8" t="str">
        <f>IF(_xlfn.NUMBERVALUE('2.0WP - Cen'!W15)-_xlfn.NUMBERVALUE('2.0WP - State'!W15)=0,"",_xlfn.NUMBERVALUE('2.0WP - Cen'!W15)-_xlfn.NUMBERVALUE('2.0WP - State'!W15))</f>
        <v/>
      </c>
      <c r="X15" s="8" t="str">
        <f>IF(_xlfn.NUMBERVALUE('2.0WP - Cen'!X15)-_xlfn.NUMBERVALUE('2.0WP - State'!X15)=0,"",_xlfn.NUMBERVALUE('2.0WP - Cen'!X15)-_xlfn.NUMBERVALUE('2.0WP - State'!X15))</f>
        <v/>
      </c>
      <c r="Y15" s="8">
        <f>IF(_xlfn.NUMBERVALUE('2.0WP - Cen'!Y15)-_xlfn.NUMBERVALUE('2.0WP - State'!Y15)=0,"",_xlfn.NUMBERVALUE('2.0WP - Cen'!Y15)-_xlfn.NUMBERVALUE('2.0WP - State'!Y15))</f>
        <v>4</v>
      </c>
      <c r="Z15" s="8" t="str">
        <f>IF(_xlfn.NUMBERVALUE('2.0WP - Cen'!Z15)-_xlfn.NUMBERVALUE('2.0WP - State'!Z15)=0,"",_xlfn.NUMBERVALUE('2.0WP - Cen'!Z15)-_xlfn.NUMBERVALUE('2.0WP - State'!Z15))</f>
        <v/>
      </c>
      <c r="AA15" s="8" t="str">
        <f>IF(_xlfn.NUMBERVALUE('2.0WP - Cen'!AA15)-_xlfn.NUMBERVALUE('2.0WP - State'!AA15)=0,"",_xlfn.NUMBERVALUE('2.0WP - Cen'!AA15)-_xlfn.NUMBERVALUE('2.0WP - State'!AA15))</f>
        <v/>
      </c>
      <c r="AB15" s="8" t="str">
        <f>IF(_xlfn.NUMBERVALUE('2.0WP - Cen'!AB15)-_xlfn.NUMBERVALUE('2.0WP - State'!AB15)=0,"",_xlfn.NUMBERVALUE('2.0WP - Cen'!AB15)-_xlfn.NUMBERVALUE('2.0WP - State'!AB15))</f>
        <v/>
      </c>
      <c r="AC15" s="8" t="str">
        <f>IF(_xlfn.NUMBERVALUE('2.0WP - Cen'!AC15)-_xlfn.NUMBERVALUE('2.0WP - State'!AC15)=0,"",_xlfn.NUMBERVALUE('2.0WP - Cen'!AC15)-_xlfn.NUMBERVALUE('2.0WP - State'!AC15))</f>
        <v/>
      </c>
      <c r="AD15" s="8" t="str">
        <f>IF(_xlfn.NUMBERVALUE('2.0WP - Cen'!AD15)-_xlfn.NUMBERVALUE('2.0WP - State'!AD15)=0,"",_xlfn.NUMBERVALUE('2.0WP - Cen'!AD15)-_xlfn.NUMBERVALUE('2.0WP - State'!AD15))</f>
        <v/>
      </c>
      <c r="AE15" s="8">
        <f>IF(_xlfn.NUMBERVALUE('2.0WP - Cen'!AE15)-_xlfn.NUMBERVALUE('2.0WP - State'!AE15)=0,"",_xlfn.NUMBERVALUE('2.0WP - Cen'!AE15)-_xlfn.NUMBERVALUE('2.0WP - State'!AE15))</f>
        <v>4</v>
      </c>
      <c r="AF15" s="8" t="str">
        <f>IF(_xlfn.NUMBERVALUE('2.0WP - Cen'!AF15)-_xlfn.NUMBERVALUE('2.0WP - State'!AF15)=0,"",_xlfn.NUMBERVALUE('2.0WP - Cen'!AF15)-_xlfn.NUMBERVALUE('2.0WP - State'!AF15))</f>
        <v/>
      </c>
      <c r="AG15" s="8">
        <f>IF(_xlfn.NUMBERVALUE('2.0WP - Cen'!AG15)-_xlfn.NUMBERVALUE('2.0WP - State'!AG15)=0,"",_xlfn.NUMBERVALUE('2.0WP - Cen'!AG15)-_xlfn.NUMBERVALUE('2.0WP - State'!AG15))</f>
        <v>2</v>
      </c>
      <c r="AH15" s="8">
        <f>IF(_xlfn.NUMBERVALUE('2.0WP - Cen'!AH15)-_xlfn.NUMBERVALUE('2.0WP - State'!AH15)=0,"",_xlfn.NUMBERVALUE('2.0WP - Cen'!AH15)-_xlfn.NUMBERVALUE('2.0WP - State'!AH15))</f>
        <v>2</v>
      </c>
      <c r="AI15" s="8" t="str">
        <f>IF(_xlfn.NUMBERVALUE('2.0WP - Cen'!AI15)-_xlfn.NUMBERVALUE('2.0WP - State'!AI15)=0,"",_xlfn.NUMBERVALUE('2.0WP - Cen'!AI15)-_xlfn.NUMBERVALUE('2.0WP - State'!AI15))</f>
        <v/>
      </c>
      <c r="AJ15" s="8">
        <f>IF(_xlfn.NUMBERVALUE('2.0WP - Cen'!AJ15)-_xlfn.NUMBERVALUE('2.0WP - State'!AJ15)=0,"",_xlfn.NUMBERVALUE('2.0WP - Cen'!AJ15)-_xlfn.NUMBERVALUE('2.0WP - State'!AJ15))</f>
        <v>2</v>
      </c>
      <c r="AK15" s="17">
        <f t="shared" si="1"/>
        <v>18</v>
      </c>
      <c r="AL15" s="10">
        <f t="shared" si="2"/>
        <v>54</v>
      </c>
    </row>
    <row r="16" spans="1:38" x14ac:dyDescent="0.25">
      <c r="A16" s="12" t="str">
        <f>'[1]2.0WS'!A16</f>
        <v>09</v>
      </c>
      <c r="B16" s="13" t="str">
        <f>'[1]2.0WS'!B16</f>
        <v>NAMAKKAL</v>
      </c>
      <c r="C16" s="8" t="str">
        <f>IF(_xlfn.NUMBERVALUE('2.0WP - Cen'!C16)-_xlfn.NUMBERVALUE('2.0WP - State'!C16)=0,"",_xlfn.NUMBERVALUE('2.0WP - Cen'!C16)-_xlfn.NUMBERVALUE('2.0WP - State'!C16))</f>
        <v/>
      </c>
      <c r="D16" s="8" t="str">
        <f>IF(_xlfn.NUMBERVALUE('2.0WP - Cen'!D16)-_xlfn.NUMBERVALUE('2.0WP - State'!D16)=0,"",_xlfn.NUMBERVALUE('2.0WP - Cen'!D16)-_xlfn.NUMBERVALUE('2.0WP - State'!D16))</f>
        <v/>
      </c>
      <c r="E16" s="8">
        <f>IF(_xlfn.NUMBERVALUE('2.0WP - Cen'!E16)-_xlfn.NUMBERVALUE('2.0WP - State'!E16)=0,"",_xlfn.NUMBERVALUE('2.0WP - Cen'!E16)-_xlfn.NUMBERVALUE('2.0WP - State'!E16))</f>
        <v>4</v>
      </c>
      <c r="F16" s="8">
        <f>IF(_xlfn.NUMBERVALUE('2.0WP - Cen'!F16)-_xlfn.NUMBERVALUE('2.0WP - State'!F16)=0,"",_xlfn.NUMBERVALUE('2.0WP - Cen'!F16)-_xlfn.NUMBERVALUE('2.0WP - State'!F16))</f>
        <v>4</v>
      </c>
      <c r="G16" s="8" t="str">
        <f>IF(_xlfn.NUMBERVALUE('2.0WP - Cen'!G16)-_xlfn.NUMBERVALUE('2.0WP - State'!G16)=0,"",_xlfn.NUMBERVALUE('2.0WP - Cen'!G16)-_xlfn.NUMBERVALUE('2.0WP - State'!G16))</f>
        <v/>
      </c>
      <c r="H16" s="8" t="str">
        <f>IF(_xlfn.NUMBERVALUE('2.0WP - Cen'!H16)-_xlfn.NUMBERVALUE('2.0WP - State'!H16)=0,"",_xlfn.NUMBERVALUE('2.0WP - Cen'!H16)-_xlfn.NUMBERVALUE('2.0WP - State'!H16))</f>
        <v/>
      </c>
      <c r="I16" s="8" t="str">
        <f>IF(_xlfn.NUMBERVALUE('2.0WP - Cen'!I16)-_xlfn.NUMBERVALUE('2.0WP - State'!I16)=0,"",_xlfn.NUMBERVALUE('2.0WP - Cen'!I16)-_xlfn.NUMBERVALUE('2.0WP - State'!I16))</f>
        <v/>
      </c>
      <c r="J16" s="8" t="str">
        <f>IF(_xlfn.NUMBERVALUE('2.0WP - Cen'!J16)-_xlfn.NUMBERVALUE('2.0WP - State'!J16)=0,"",_xlfn.NUMBERVALUE('2.0WP - Cen'!J16)-_xlfn.NUMBERVALUE('2.0WP - State'!J16))</f>
        <v/>
      </c>
      <c r="K16" s="8" t="str">
        <f>IF(_xlfn.NUMBERVALUE('2.0WP - Cen'!K16)-_xlfn.NUMBERVALUE('2.0WP - State'!K16)=0,"",_xlfn.NUMBERVALUE('2.0WP - Cen'!K16)-_xlfn.NUMBERVALUE('2.0WP - State'!K16))</f>
        <v/>
      </c>
      <c r="L16" s="8">
        <f>IF(_xlfn.NUMBERVALUE('2.0WP - Cen'!L16)-_xlfn.NUMBERVALUE('2.0WP - State'!L16)=0,"",_xlfn.NUMBERVALUE('2.0WP - Cen'!L16)-_xlfn.NUMBERVALUE('2.0WP - State'!L16))</f>
        <v>6</v>
      </c>
      <c r="M16" s="8" t="str">
        <f>IF(_xlfn.NUMBERVALUE('2.0WP - Cen'!M16)-_xlfn.NUMBERVALUE('2.0WP - State'!M16)=0,"",_xlfn.NUMBERVALUE('2.0WP - Cen'!M16)-_xlfn.NUMBERVALUE('2.0WP - State'!M16))</f>
        <v/>
      </c>
      <c r="N16" s="8" t="str">
        <f>IF(_xlfn.NUMBERVALUE('2.0WP - Cen'!N16)-_xlfn.NUMBERVALUE('2.0WP - State'!N16)=0,"",_xlfn.NUMBERVALUE('2.0WP - Cen'!N16)-_xlfn.NUMBERVALUE('2.0WP - State'!N16))</f>
        <v/>
      </c>
      <c r="O16" s="8" t="str">
        <f>IF(_xlfn.NUMBERVALUE('2.0WP - Cen'!O16)-_xlfn.NUMBERVALUE('2.0WP - State'!O16)=0,"",_xlfn.NUMBERVALUE('2.0WP - Cen'!O16)-_xlfn.NUMBERVALUE('2.0WP - State'!O16))</f>
        <v/>
      </c>
      <c r="P16" s="8" t="str">
        <f>IF(_xlfn.NUMBERVALUE('2.0WP - Cen'!P16)-_xlfn.NUMBERVALUE('2.0WP - State'!P16)=0,"",_xlfn.NUMBERVALUE('2.0WP - Cen'!P16)-_xlfn.NUMBERVALUE('2.0WP - State'!P16))</f>
        <v/>
      </c>
      <c r="Q16" s="8">
        <f>IF(_xlfn.NUMBERVALUE('2.0WP - Cen'!Q16)-_xlfn.NUMBERVALUE('2.0WP - State'!Q16)=0,"",_xlfn.NUMBERVALUE('2.0WP - Cen'!Q16)-_xlfn.NUMBERVALUE('2.0WP - State'!Q16))</f>
        <v>4</v>
      </c>
      <c r="R16" s="8" t="str">
        <f>IF(_xlfn.NUMBERVALUE('2.0WP - Cen'!R16)-_xlfn.NUMBERVALUE('2.0WP - State'!R16)=0,"",_xlfn.NUMBERVALUE('2.0WP - Cen'!R16)-_xlfn.NUMBERVALUE('2.0WP - State'!R16))</f>
        <v/>
      </c>
      <c r="S16" s="8" t="str">
        <f>IF(_xlfn.NUMBERVALUE('2.0WP - Cen'!S16)-_xlfn.NUMBERVALUE('2.0WP - State'!S16)=0,"",_xlfn.NUMBERVALUE('2.0WP - Cen'!S16)-_xlfn.NUMBERVALUE('2.0WP - State'!S16))</f>
        <v/>
      </c>
      <c r="T16" s="9">
        <f t="shared" si="4"/>
        <v>18</v>
      </c>
      <c r="U16" s="8" t="str">
        <f>IF(_xlfn.NUMBERVALUE('2.0WP - Cen'!U16)-_xlfn.NUMBERVALUE('2.0WP - State'!U16)=0,"",_xlfn.NUMBERVALUE('2.0WP - Cen'!U16)-_xlfn.NUMBERVALUE('2.0WP - State'!U16))</f>
        <v/>
      </c>
      <c r="V16" s="8">
        <f>IF(_xlfn.NUMBERVALUE('2.0WP - Cen'!V16)-_xlfn.NUMBERVALUE('2.0WP - State'!V16)=0,"",_xlfn.NUMBERVALUE('2.0WP - Cen'!V16)-_xlfn.NUMBERVALUE('2.0WP - State'!V16))</f>
        <v>8</v>
      </c>
      <c r="W16" s="8">
        <f>IF(_xlfn.NUMBERVALUE('2.0WP - Cen'!W16)-_xlfn.NUMBERVALUE('2.0WP - State'!W16)=0,"",_xlfn.NUMBERVALUE('2.0WP - Cen'!W16)-_xlfn.NUMBERVALUE('2.0WP - State'!W16))</f>
        <v>2</v>
      </c>
      <c r="X16" s="8" t="str">
        <f>IF(_xlfn.NUMBERVALUE('2.0WP - Cen'!X16)-_xlfn.NUMBERVALUE('2.0WP - State'!X16)=0,"",_xlfn.NUMBERVALUE('2.0WP - Cen'!X16)-_xlfn.NUMBERVALUE('2.0WP - State'!X16))</f>
        <v/>
      </c>
      <c r="Y16" s="8" t="str">
        <f>IF(_xlfn.NUMBERVALUE('2.0WP - Cen'!Y16)-_xlfn.NUMBERVALUE('2.0WP - State'!Y16)=0,"",_xlfn.NUMBERVALUE('2.0WP - Cen'!Y16)-_xlfn.NUMBERVALUE('2.0WP - State'!Y16))</f>
        <v/>
      </c>
      <c r="Z16" s="8" t="str">
        <f>IF(_xlfn.NUMBERVALUE('2.0WP - Cen'!Z16)-_xlfn.NUMBERVALUE('2.0WP - State'!Z16)=0,"",_xlfn.NUMBERVALUE('2.0WP - Cen'!Z16)-_xlfn.NUMBERVALUE('2.0WP - State'!Z16))</f>
        <v/>
      </c>
      <c r="AA16" s="8" t="str">
        <f>IF(_xlfn.NUMBERVALUE('2.0WP - Cen'!AA16)-_xlfn.NUMBERVALUE('2.0WP - State'!AA16)=0,"",_xlfn.NUMBERVALUE('2.0WP - Cen'!AA16)-_xlfn.NUMBERVALUE('2.0WP - State'!AA16))</f>
        <v/>
      </c>
      <c r="AB16" s="8" t="str">
        <f>IF(_xlfn.NUMBERVALUE('2.0WP - Cen'!AB16)-_xlfn.NUMBERVALUE('2.0WP - State'!AB16)=0,"",_xlfn.NUMBERVALUE('2.0WP - Cen'!AB16)-_xlfn.NUMBERVALUE('2.0WP - State'!AB16))</f>
        <v/>
      </c>
      <c r="AC16" s="8" t="str">
        <f>IF(_xlfn.NUMBERVALUE('2.0WP - Cen'!AC16)-_xlfn.NUMBERVALUE('2.0WP - State'!AC16)=0,"",_xlfn.NUMBERVALUE('2.0WP - Cen'!AC16)-_xlfn.NUMBERVALUE('2.0WP - State'!AC16))</f>
        <v/>
      </c>
      <c r="AD16" s="8" t="str">
        <f>IF(_xlfn.NUMBERVALUE('2.0WP - Cen'!AD16)-_xlfn.NUMBERVALUE('2.0WP - State'!AD16)=0,"",_xlfn.NUMBERVALUE('2.0WP - Cen'!AD16)-_xlfn.NUMBERVALUE('2.0WP - State'!AD16))</f>
        <v/>
      </c>
      <c r="AE16" s="8" t="str">
        <f>IF(_xlfn.NUMBERVALUE('2.0WP - Cen'!AE16)-_xlfn.NUMBERVALUE('2.0WP - State'!AE16)=0,"",_xlfn.NUMBERVALUE('2.0WP - Cen'!AE16)-_xlfn.NUMBERVALUE('2.0WP - State'!AE16))</f>
        <v/>
      </c>
      <c r="AF16" s="8" t="str">
        <f>IF(_xlfn.NUMBERVALUE('2.0WP - Cen'!AF16)-_xlfn.NUMBERVALUE('2.0WP - State'!AF16)=0,"",_xlfn.NUMBERVALUE('2.0WP - Cen'!AF16)-_xlfn.NUMBERVALUE('2.0WP - State'!AF16))</f>
        <v/>
      </c>
      <c r="AG16" s="8" t="str">
        <f>IF(_xlfn.NUMBERVALUE('2.0WP - Cen'!AG16)-_xlfn.NUMBERVALUE('2.0WP - State'!AG16)=0,"",_xlfn.NUMBERVALUE('2.0WP - Cen'!AG16)-_xlfn.NUMBERVALUE('2.0WP - State'!AG16))</f>
        <v/>
      </c>
      <c r="AH16" s="8" t="str">
        <f>IF(_xlfn.NUMBERVALUE('2.0WP - Cen'!AH16)-_xlfn.NUMBERVALUE('2.0WP - State'!AH16)=0,"",_xlfn.NUMBERVALUE('2.0WP - Cen'!AH16)-_xlfn.NUMBERVALUE('2.0WP - State'!AH16))</f>
        <v/>
      </c>
      <c r="AI16" s="8" t="str">
        <f>IF(_xlfn.NUMBERVALUE('2.0WP - Cen'!AI16)-_xlfn.NUMBERVALUE('2.0WP - State'!AI16)=0,"",_xlfn.NUMBERVALUE('2.0WP - Cen'!AI16)-_xlfn.NUMBERVALUE('2.0WP - State'!AI16))</f>
        <v/>
      </c>
      <c r="AJ16" s="8" t="str">
        <f>IF(_xlfn.NUMBERVALUE('2.0WP - Cen'!AJ16)-_xlfn.NUMBERVALUE('2.0WP - State'!AJ16)=0,"",_xlfn.NUMBERVALUE('2.0WP - Cen'!AJ16)-_xlfn.NUMBERVALUE('2.0WP - State'!AJ16))</f>
        <v/>
      </c>
      <c r="AK16" s="17">
        <f t="shared" si="1"/>
        <v>10</v>
      </c>
      <c r="AL16" s="10">
        <f t="shared" si="2"/>
        <v>28</v>
      </c>
    </row>
    <row r="17" spans="1:38" s="3" customFormat="1" ht="14.4" customHeight="1" x14ac:dyDescent="0.25">
      <c r="A17" s="19" t="str">
        <f>'[1]2.0WS'!A17</f>
        <v>SRO SALEM TOTAL</v>
      </c>
      <c r="B17" s="19"/>
      <c r="C17" s="14">
        <f>SUM(C15:C16)</f>
        <v>0</v>
      </c>
      <c r="D17" s="14">
        <f t="shared" ref="D17:S17" si="8">SUM(D15:D16)</f>
        <v>0</v>
      </c>
      <c r="E17" s="14">
        <f t="shared" si="8"/>
        <v>4</v>
      </c>
      <c r="F17" s="14">
        <f t="shared" si="8"/>
        <v>8</v>
      </c>
      <c r="G17" s="14">
        <f t="shared" si="8"/>
        <v>0</v>
      </c>
      <c r="H17" s="14">
        <f t="shared" si="8"/>
        <v>0</v>
      </c>
      <c r="I17" s="14">
        <f t="shared" si="8"/>
        <v>0</v>
      </c>
      <c r="J17" s="14">
        <f t="shared" si="8"/>
        <v>6</v>
      </c>
      <c r="K17" s="14">
        <f t="shared" si="8"/>
        <v>2</v>
      </c>
      <c r="L17" s="14">
        <f t="shared" si="8"/>
        <v>8</v>
      </c>
      <c r="M17" s="14">
        <f t="shared" si="8"/>
        <v>0</v>
      </c>
      <c r="N17" s="14">
        <f t="shared" si="8"/>
        <v>4</v>
      </c>
      <c r="O17" s="14">
        <f t="shared" si="8"/>
        <v>2</v>
      </c>
      <c r="P17" s="14">
        <f t="shared" si="8"/>
        <v>2</v>
      </c>
      <c r="Q17" s="14">
        <f t="shared" si="8"/>
        <v>10</v>
      </c>
      <c r="R17" s="14">
        <f t="shared" si="8"/>
        <v>4</v>
      </c>
      <c r="S17" s="14">
        <f t="shared" si="8"/>
        <v>4</v>
      </c>
      <c r="T17" s="9">
        <f t="shared" si="4"/>
        <v>54</v>
      </c>
      <c r="U17" s="14">
        <f t="shared" ref="U17:AJ17" si="9">SUM(U15:U16)</f>
        <v>0</v>
      </c>
      <c r="V17" s="14">
        <f t="shared" si="9"/>
        <v>12</v>
      </c>
      <c r="W17" s="14">
        <f t="shared" si="9"/>
        <v>2</v>
      </c>
      <c r="X17" s="14">
        <f t="shared" si="9"/>
        <v>0</v>
      </c>
      <c r="Y17" s="14">
        <f t="shared" si="9"/>
        <v>4</v>
      </c>
      <c r="Z17" s="14">
        <f t="shared" si="9"/>
        <v>0</v>
      </c>
      <c r="AA17" s="14">
        <f t="shared" si="9"/>
        <v>0</v>
      </c>
      <c r="AB17" s="14">
        <f t="shared" si="9"/>
        <v>0</v>
      </c>
      <c r="AC17" s="14">
        <f t="shared" si="9"/>
        <v>0</v>
      </c>
      <c r="AD17" s="14">
        <f t="shared" si="9"/>
        <v>0</v>
      </c>
      <c r="AE17" s="14">
        <f t="shared" si="9"/>
        <v>4</v>
      </c>
      <c r="AF17" s="14">
        <f t="shared" si="9"/>
        <v>0</v>
      </c>
      <c r="AG17" s="14">
        <f t="shared" si="9"/>
        <v>2</v>
      </c>
      <c r="AH17" s="14">
        <f t="shared" si="9"/>
        <v>2</v>
      </c>
      <c r="AI17" s="14">
        <f t="shared" si="9"/>
        <v>0</v>
      </c>
      <c r="AJ17" s="14">
        <f t="shared" si="9"/>
        <v>2</v>
      </c>
      <c r="AK17" s="17">
        <f t="shared" si="1"/>
        <v>28</v>
      </c>
      <c r="AL17" s="10">
        <f t="shared" si="2"/>
        <v>82</v>
      </c>
    </row>
    <row r="18" spans="1:38" x14ac:dyDescent="0.25">
      <c r="A18" s="12" t="str">
        <f>'[1]2.0WS'!A18</f>
        <v>14</v>
      </c>
      <c r="B18" s="13" t="str">
        <f>'[1]2.0WS'!B18</f>
        <v>KARUR</v>
      </c>
      <c r="C18" s="8" t="str">
        <f>IF(_xlfn.NUMBERVALUE('2.0WP - Cen'!C18)-_xlfn.NUMBERVALUE('2.0WP - State'!C18)=0,"",_xlfn.NUMBERVALUE('2.0WP - Cen'!C18)-_xlfn.NUMBERVALUE('2.0WP - State'!C18))</f>
        <v/>
      </c>
      <c r="D18" s="8" t="str">
        <f>IF(_xlfn.NUMBERVALUE('2.0WP - Cen'!D18)-_xlfn.NUMBERVALUE('2.0WP - State'!D18)=0,"",_xlfn.NUMBERVALUE('2.0WP - Cen'!D18)-_xlfn.NUMBERVALUE('2.0WP - State'!D18))</f>
        <v/>
      </c>
      <c r="E18" s="8" t="str">
        <f>IF(_xlfn.NUMBERVALUE('2.0WP - Cen'!E18)-_xlfn.NUMBERVALUE('2.0WP - State'!E18)=0,"",_xlfn.NUMBERVALUE('2.0WP - Cen'!E18)-_xlfn.NUMBERVALUE('2.0WP - State'!E18))</f>
        <v/>
      </c>
      <c r="F18" s="8" t="str">
        <f>IF(_xlfn.NUMBERVALUE('2.0WP - Cen'!F18)-_xlfn.NUMBERVALUE('2.0WP - State'!F18)=0,"",_xlfn.NUMBERVALUE('2.0WP - Cen'!F18)-_xlfn.NUMBERVALUE('2.0WP - State'!F18))</f>
        <v/>
      </c>
      <c r="G18" s="8">
        <f>IF(_xlfn.NUMBERVALUE('2.0WP - Cen'!G18)-_xlfn.NUMBERVALUE('2.0WP - State'!G18)=0,"",_xlfn.NUMBERVALUE('2.0WP - Cen'!G18)-_xlfn.NUMBERVALUE('2.0WP - State'!G18))</f>
        <v>2</v>
      </c>
      <c r="H18" s="8" t="str">
        <f>IF(_xlfn.NUMBERVALUE('2.0WP - Cen'!H18)-_xlfn.NUMBERVALUE('2.0WP - State'!H18)=0,"",_xlfn.NUMBERVALUE('2.0WP - Cen'!H18)-_xlfn.NUMBERVALUE('2.0WP - State'!H18))</f>
        <v/>
      </c>
      <c r="I18" s="8" t="str">
        <f>IF(_xlfn.NUMBERVALUE('2.0WP - Cen'!I18)-_xlfn.NUMBERVALUE('2.0WP - State'!I18)=0,"",_xlfn.NUMBERVALUE('2.0WP - Cen'!I18)-_xlfn.NUMBERVALUE('2.0WP - State'!I18))</f>
        <v/>
      </c>
      <c r="J18" s="8" t="str">
        <f>IF(_xlfn.NUMBERVALUE('2.0WP - Cen'!J18)-_xlfn.NUMBERVALUE('2.0WP - State'!J18)=0,"",_xlfn.NUMBERVALUE('2.0WP - Cen'!J18)-_xlfn.NUMBERVALUE('2.0WP - State'!J18))</f>
        <v/>
      </c>
      <c r="K18" s="8" t="str">
        <f>IF(_xlfn.NUMBERVALUE('2.0WP - Cen'!K18)-_xlfn.NUMBERVALUE('2.0WP - State'!K18)=0,"",_xlfn.NUMBERVALUE('2.0WP - Cen'!K18)-_xlfn.NUMBERVALUE('2.0WP - State'!K18))</f>
        <v/>
      </c>
      <c r="L18" s="8" t="str">
        <f>IF(_xlfn.NUMBERVALUE('2.0WP - Cen'!L18)-_xlfn.NUMBERVALUE('2.0WP - State'!L18)=0,"",_xlfn.NUMBERVALUE('2.0WP - Cen'!L18)-_xlfn.NUMBERVALUE('2.0WP - State'!L18))</f>
        <v/>
      </c>
      <c r="M18" s="8" t="str">
        <f>IF(_xlfn.NUMBERVALUE('2.0WP - Cen'!M18)-_xlfn.NUMBERVALUE('2.0WP - State'!M18)=0,"",_xlfn.NUMBERVALUE('2.0WP - Cen'!M18)-_xlfn.NUMBERVALUE('2.0WP - State'!M18))</f>
        <v/>
      </c>
      <c r="N18" s="8">
        <f>IF(_xlfn.NUMBERVALUE('2.0WP - Cen'!N18)-_xlfn.NUMBERVALUE('2.0WP - State'!N18)=0,"",_xlfn.NUMBERVALUE('2.0WP - Cen'!N18)-_xlfn.NUMBERVALUE('2.0WP - State'!N18))</f>
        <v>4</v>
      </c>
      <c r="O18" s="8" t="str">
        <f>IF(_xlfn.NUMBERVALUE('2.0WP - Cen'!O18)-_xlfn.NUMBERVALUE('2.0WP - State'!O18)=0,"",_xlfn.NUMBERVALUE('2.0WP - Cen'!O18)-_xlfn.NUMBERVALUE('2.0WP - State'!O18))</f>
        <v/>
      </c>
      <c r="P18" s="8" t="str">
        <f>IF(_xlfn.NUMBERVALUE('2.0WP - Cen'!P18)-_xlfn.NUMBERVALUE('2.0WP - State'!P18)=0,"",_xlfn.NUMBERVALUE('2.0WP - Cen'!P18)-_xlfn.NUMBERVALUE('2.0WP - State'!P18))</f>
        <v/>
      </c>
      <c r="Q18" s="8" t="str">
        <f>IF(_xlfn.NUMBERVALUE('2.0WP - Cen'!Q18)-_xlfn.NUMBERVALUE('2.0WP - State'!Q18)=0,"",_xlfn.NUMBERVALUE('2.0WP - Cen'!Q18)-_xlfn.NUMBERVALUE('2.0WP - State'!Q18))</f>
        <v/>
      </c>
      <c r="R18" s="8" t="str">
        <f>IF(_xlfn.NUMBERVALUE('2.0WP - Cen'!R18)-_xlfn.NUMBERVALUE('2.0WP - State'!R18)=0,"",_xlfn.NUMBERVALUE('2.0WP - Cen'!R18)-_xlfn.NUMBERVALUE('2.0WP - State'!R18))</f>
        <v/>
      </c>
      <c r="S18" s="8">
        <f>IF(_xlfn.NUMBERVALUE('2.0WP - Cen'!S18)-_xlfn.NUMBERVALUE('2.0WP - State'!S18)=0,"",_xlfn.NUMBERVALUE('2.0WP - Cen'!S18)-_xlfn.NUMBERVALUE('2.0WP - State'!S18))</f>
        <v>4</v>
      </c>
      <c r="T18" s="9">
        <f t="shared" si="4"/>
        <v>10</v>
      </c>
      <c r="U18" s="8" t="str">
        <f>IF(_xlfn.NUMBERVALUE('2.0WP - Cen'!U18)-_xlfn.NUMBERVALUE('2.0WP - State'!U18)=0,"",_xlfn.NUMBERVALUE('2.0WP - Cen'!U18)-_xlfn.NUMBERVALUE('2.0WP - State'!U18))</f>
        <v/>
      </c>
      <c r="V18" s="8" t="str">
        <f>IF(_xlfn.NUMBERVALUE('2.0WP - Cen'!V18)-_xlfn.NUMBERVALUE('2.0WP - State'!V18)=0,"",_xlfn.NUMBERVALUE('2.0WP - Cen'!V18)-_xlfn.NUMBERVALUE('2.0WP - State'!V18))</f>
        <v/>
      </c>
      <c r="W18" s="8">
        <f>IF(_xlfn.NUMBERVALUE('2.0WP - Cen'!W18)-_xlfn.NUMBERVALUE('2.0WP - State'!W18)=0,"",_xlfn.NUMBERVALUE('2.0WP - Cen'!W18)-_xlfn.NUMBERVALUE('2.0WP - State'!W18))</f>
        <v>4</v>
      </c>
      <c r="X18" s="8" t="str">
        <f>IF(_xlfn.NUMBERVALUE('2.0WP - Cen'!X18)-_xlfn.NUMBERVALUE('2.0WP - State'!X18)=0,"",_xlfn.NUMBERVALUE('2.0WP - Cen'!X18)-_xlfn.NUMBERVALUE('2.0WP - State'!X18))</f>
        <v/>
      </c>
      <c r="Y18" s="8">
        <f>IF(_xlfn.NUMBERVALUE('2.0WP - Cen'!Y18)-_xlfn.NUMBERVALUE('2.0WP - State'!Y18)=0,"",_xlfn.NUMBERVALUE('2.0WP - Cen'!Y18)-_xlfn.NUMBERVALUE('2.0WP - State'!Y18))</f>
        <v>4</v>
      </c>
      <c r="Z18" s="8" t="str">
        <f>IF(_xlfn.NUMBERVALUE('2.0WP - Cen'!Z18)-_xlfn.NUMBERVALUE('2.0WP - State'!Z18)=0,"",_xlfn.NUMBERVALUE('2.0WP - Cen'!Z18)-_xlfn.NUMBERVALUE('2.0WP - State'!Z18))</f>
        <v/>
      </c>
      <c r="AA18" s="8" t="str">
        <f>IF(_xlfn.NUMBERVALUE('2.0WP - Cen'!AA18)-_xlfn.NUMBERVALUE('2.0WP - State'!AA18)=0,"",_xlfn.NUMBERVALUE('2.0WP - Cen'!AA18)-_xlfn.NUMBERVALUE('2.0WP - State'!AA18))</f>
        <v/>
      </c>
      <c r="AB18" s="8" t="str">
        <f>IF(_xlfn.NUMBERVALUE('2.0WP - Cen'!AB18)-_xlfn.NUMBERVALUE('2.0WP - State'!AB18)=0,"",_xlfn.NUMBERVALUE('2.0WP - Cen'!AB18)-_xlfn.NUMBERVALUE('2.0WP - State'!AB18))</f>
        <v/>
      </c>
      <c r="AC18" s="8" t="str">
        <f>IF(_xlfn.NUMBERVALUE('2.0WP - Cen'!AC18)-_xlfn.NUMBERVALUE('2.0WP - State'!AC18)=0,"",_xlfn.NUMBERVALUE('2.0WP - Cen'!AC18)-_xlfn.NUMBERVALUE('2.0WP - State'!AC18))</f>
        <v/>
      </c>
      <c r="AD18" s="8" t="str">
        <f>IF(_xlfn.NUMBERVALUE('2.0WP - Cen'!AD18)-_xlfn.NUMBERVALUE('2.0WP - State'!AD18)=0,"",_xlfn.NUMBERVALUE('2.0WP - Cen'!AD18)-_xlfn.NUMBERVALUE('2.0WP - State'!AD18))</f>
        <v/>
      </c>
      <c r="AE18" s="8" t="str">
        <f>IF(_xlfn.NUMBERVALUE('2.0WP - Cen'!AE18)-_xlfn.NUMBERVALUE('2.0WP - State'!AE18)=0,"",_xlfn.NUMBERVALUE('2.0WP - Cen'!AE18)-_xlfn.NUMBERVALUE('2.0WP - State'!AE18))</f>
        <v/>
      </c>
      <c r="AF18" s="8">
        <f>IF(_xlfn.NUMBERVALUE('2.0WP - Cen'!AF18)-_xlfn.NUMBERVALUE('2.0WP - State'!AF18)=0,"",_xlfn.NUMBERVALUE('2.0WP - Cen'!AF18)-_xlfn.NUMBERVALUE('2.0WP - State'!AF18))</f>
        <v>2</v>
      </c>
      <c r="AG18" s="8" t="str">
        <f>IF(_xlfn.NUMBERVALUE('2.0WP - Cen'!AG18)-_xlfn.NUMBERVALUE('2.0WP - State'!AG18)=0,"",_xlfn.NUMBERVALUE('2.0WP - Cen'!AG18)-_xlfn.NUMBERVALUE('2.0WP - State'!AG18))</f>
        <v/>
      </c>
      <c r="AH18" s="8" t="str">
        <f>IF(_xlfn.NUMBERVALUE('2.0WP - Cen'!AH18)-_xlfn.NUMBERVALUE('2.0WP - State'!AH18)=0,"",_xlfn.NUMBERVALUE('2.0WP - Cen'!AH18)-_xlfn.NUMBERVALUE('2.0WP - State'!AH18))</f>
        <v/>
      </c>
      <c r="AI18" s="8" t="str">
        <f>IF(_xlfn.NUMBERVALUE('2.0WP - Cen'!AI18)-_xlfn.NUMBERVALUE('2.0WP - State'!AI18)=0,"",_xlfn.NUMBERVALUE('2.0WP - Cen'!AI18)-_xlfn.NUMBERVALUE('2.0WP - State'!AI18))</f>
        <v/>
      </c>
      <c r="AJ18" s="8" t="str">
        <f>IF(_xlfn.NUMBERVALUE('2.0WP - Cen'!AJ18)-_xlfn.NUMBERVALUE('2.0WP - State'!AJ18)=0,"",_xlfn.NUMBERVALUE('2.0WP - Cen'!AJ18)-_xlfn.NUMBERVALUE('2.0WP - State'!AJ18))</f>
        <v/>
      </c>
      <c r="AK18" s="17">
        <f t="shared" si="1"/>
        <v>10</v>
      </c>
      <c r="AL18" s="10">
        <f t="shared" si="2"/>
        <v>20</v>
      </c>
    </row>
    <row r="19" spans="1:38" x14ac:dyDescent="0.25">
      <c r="A19" s="12" t="str">
        <f>'[1]2.0WS'!A19</f>
        <v>15</v>
      </c>
      <c r="B19" s="13" t="str">
        <f>'[1]2.0WS'!B19</f>
        <v>TIRUCHIRAPPALLI</v>
      </c>
      <c r="C19" s="8" t="str">
        <f>IF(_xlfn.NUMBERVALUE('2.0WP - Cen'!C19)-_xlfn.NUMBERVALUE('2.0WP - State'!C19)=0,"",_xlfn.NUMBERVALUE('2.0WP - Cen'!C19)-_xlfn.NUMBERVALUE('2.0WP - State'!C19))</f>
        <v/>
      </c>
      <c r="D19" s="8" t="str">
        <f>IF(_xlfn.NUMBERVALUE('2.0WP - Cen'!D19)-_xlfn.NUMBERVALUE('2.0WP - State'!D19)=0,"",_xlfn.NUMBERVALUE('2.0WP - Cen'!D19)-_xlfn.NUMBERVALUE('2.0WP - State'!D19))</f>
        <v/>
      </c>
      <c r="E19" s="8" t="str">
        <f>IF(_xlfn.NUMBERVALUE('2.0WP - Cen'!E19)-_xlfn.NUMBERVALUE('2.0WP - State'!E19)=0,"",_xlfn.NUMBERVALUE('2.0WP - Cen'!E19)-_xlfn.NUMBERVALUE('2.0WP - State'!E19))</f>
        <v/>
      </c>
      <c r="F19" s="8" t="str">
        <f>IF(_xlfn.NUMBERVALUE('2.0WP - Cen'!F19)-_xlfn.NUMBERVALUE('2.0WP - State'!F19)=0,"",_xlfn.NUMBERVALUE('2.0WP - Cen'!F19)-_xlfn.NUMBERVALUE('2.0WP - State'!F19))</f>
        <v/>
      </c>
      <c r="G19" s="8" t="str">
        <f>IF(_xlfn.NUMBERVALUE('2.0WP - Cen'!G19)-_xlfn.NUMBERVALUE('2.0WP - State'!G19)=0,"",_xlfn.NUMBERVALUE('2.0WP - Cen'!G19)-_xlfn.NUMBERVALUE('2.0WP - State'!G19))</f>
        <v/>
      </c>
      <c r="H19" s="8" t="str">
        <f>IF(_xlfn.NUMBERVALUE('2.0WP - Cen'!H19)-_xlfn.NUMBERVALUE('2.0WP - State'!H19)=0,"",_xlfn.NUMBERVALUE('2.0WP - Cen'!H19)-_xlfn.NUMBERVALUE('2.0WP - State'!H19))</f>
        <v/>
      </c>
      <c r="I19" s="8" t="str">
        <f>IF(_xlfn.NUMBERVALUE('2.0WP - Cen'!I19)-_xlfn.NUMBERVALUE('2.0WP - State'!I19)=0,"",_xlfn.NUMBERVALUE('2.0WP - Cen'!I19)-_xlfn.NUMBERVALUE('2.0WP - State'!I19))</f>
        <v/>
      </c>
      <c r="J19" s="8" t="str">
        <f>IF(_xlfn.NUMBERVALUE('2.0WP - Cen'!J19)-_xlfn.NUMBERVALUE('2.0WP - State'!J19)=0,"",_xlfn.NUMBERVALUE('2.0WP - Cen'!J19)-_xlfn.NUMBERVALUE('2.0WP - State'!J19))</f>
        <v/>
      </c>
      <c r="K19" s="8" t="str">
        <f>IF(_xlfn.NUMBERVALUE('2.0WP - Cen'!K19)-_xlfn.NUMBERVALUE('2.0WP - State'!K19)=0,"",_xlfn.NUMBERVALUE('2.0WP - Cen'!K19)-_xlfn.NUMBERVALUE('2.0WP - State'!K19))</f>
        <v/>
      </c>
      <c r="L19" s="8" t="str">
        <f>IF(_xlfn.NUMBERVALUE('2.0WP - Cen'!L19)-_xlfn.NUMBERVALUE('2.0WP - State'!L19)=0,"",_xlfn.NUMBERVALUE('2.0WP - Cen'!L19)-_xlfn.NUMBERVALUE('2.0WP - State'!L19))</f>
        <v/>
      </c>
      <c r="M19" s="8" t="str">
        <f>IF(_xlfn.NUMBERVALUE('2.0WP - Cen'!M19)-_xlfn.NUMBERVALUE('2.0WP - State'!M19)=0,"",_xlfn.NUMBERVALUE('2.0WP - Cen'!M19)-_xlfn.NUMBERVALUE('2.0WP - State'!M19))</f>
        <v/>
      </c>
      <c r="N19" s="8" t="str">
        <f>IF(_xlfn.NUMBERVALUE('2.0WP - Cen'!N19)-_xlfn.NUMBERVALUE('2.0WP - State'!N19)=0,"",_xlfn.NUMBERVALUE('2.0WP - Cen'!N19)-_xlfn.NUMBERVALUE('2.0WP - State'!N19))</f>
        <v/>
      </c>
      <c r="O19" s="8" t="str">
        <f>IF(_xlfn.NUMBERVALUE('2.0WP - Cen'!O19)-_xlfn.NUMBERVALUE('2.0WP - State'!O19)=0,"",_xlfn.NUMBERVALUE('2.0WP - Cen'!O19)-_xlfn.NUMBERVALUE('2.0WP - State'!O19))</f>
        <v/>
      </c>
      <c r="P19" s="8" t="str">
        <f>IF(_xlfn.NUMBERVALUE('2.0WP - Cen'!P19)-_xlfn.NUMBERVALUE('2.0WP - State'!P19)=0,"",_xlfn.NUMBERVALUE('2.0WP - Cen'!P19)-_xlfn.NUMBERVALUE('2.0WP - State'!P19))</f>
        <v/>
      </c>
      <c r="Q19" s="8" t="str">
        <f>IF(_xlfn.NUMBERVALUE('2.0WP - Cen'!Q19)-_xlfn.NUMBERVALUE('2.0WP - State'!Q19)=0,"",_xlfn.NUMBERVALUE('2.0WP - Cen'!Q19)-_xlfn.NUMBERVALUE('2.0WP - State'!Q19))</f>
        <v/>
      </c>
      <c r="R19" s="8" t="str">
        <f>IF(_xlfn.NUMBERVALUE('2.0WP - Cen'!R19)-_xlfn.NUMBERVALUE('2.0WP - State'!R19)=0,"",_xlfn.NUMBERVALUE('2.0WP - Cen'!R19)-_xlfn.NUMBERVALUE('2.0WP - State'!R19))</f>
        <v/>
      </c>
      <c r="S19" s="8" t="str">
        <f>IF(_xlfn.NUMBERVALUE('2.0WP - Cen'!S19)-_xlfn.NUMBERVALUE('2.0WP - State'!S19)=0,"",_xlfn.NUMBERVALUE('2.0WP - Cen'!S19)-_xlfn.NUMBERVALUE('2.0WP - State'!S19))</f>
        <v/>
      </c>
      <c r="T19" s="9">
        <f t="shared" si="4"/>
        <v>0</v>
      </c>
      <c r="U19" s="8" t="str">
        <f>IF(_xlfn.NUMBERVALUE('2.0WP - Cen'!U19)-_xlfn.NUMBERVALUE('2.0WP - State'!U19)=0,"",_xlfn.NUMBERVALUE('2.0WP - Cen'!U19)-_xlfn.NUMBERVALUE('2.0WP - State'!U19))</f>
        <v/>
      </c>
      <c r="V19" s="8" t="str">
        <f>IF(_xlfn.NUMBERVALUE('2.0WP - Cen'!V19)-_xlfn.NUMBERVALUE('2.0WP - State'!V19)=0,"",_xlfn.NUMBERVALUE('2.0WP - Cen'!V19)-_xlfn.NUMBERVALUE('2.0WP - State'!V19))</f>
        <v/>
      </c>
      <c r="W19" s="8" t="str">
        <f>IF(_xlfn.NUMBERVALUE('2.0WP - Cen'!W19)-_xlfn.NUMBERVALUE('2.0WP - State'!W19)=0,"",_xlfn.NUMBERVALUE('2.0WP - Cen'!W19)-_xlfn.NUMBERVALUE('2.0WP - State'!W19))</f>
        <v/>
      </c>
      <c r="X19" s="8" t="str">
        <f>IF(_xlfn.NUMBERVALUE('2.0WP - Cen'!X19)-_xlfn.NUMBERVALUE('2.0WP - State'!X19)=0,"",_xlfn.NUMBERVALUE('2.0WP - Cen'!X19)-_xlfn.NUMBERVALUE('2.0WP - State'!X19))</f>
        <v/>
      </c>
      <c r="Y19" s="8" t="str">
        <f>IF(_xlfn.NUMBERVALUE('2.0WP - Cen'!Y19)-_xlfn.NUMBERVALUE('2.0WP - State'!Y19)=0,"",_xlfn.NUMBERVALUE('2.0WP - Cen'!Y19)-_xlfn.NUMBERVALUE('2.0WP - State'!Y19))</f>
        <v/>
      </c>
      <c r="Z19" s="8" t="str">
        <f>IF(_xlfn.NUMBERVALUE('2.0WP - Cen'!Z19)-_xlfn.NUMBERVALUE('2.0WP - State'!Z19)=0,"",_xlfn.NUMBERVALUE('2.0WP - Cen'!Z19)-_xlfn.NUMBERVALUE('2.0WP - State'!Z19))</f>
        <v/>
      </c>
      <c r="AA19" s="8" t="str">
        <f>IF(_xlfn.NUMBERVALUE('2.0WP - Cen'!AA19)-_xlfn.NUMBERVALUE('2.0WP - State'!AA19)=0,"",_xlfn.NUMBERVALUE('2.0WP - Cen'!AA19)-_xlfn.NUMBERVALUE('2.0WP - State'!AA19))</f>
        <v/>
      </c>
      <c r="AB19" s="8" t="str">
        <f>IF(_xlfn.NUMBERVALUE('2.0WP - Cen'!AB19)-_xlfn.NUMBERVALUE('2.0WP - State'!AB19)=0,"",_xlfn.NUMBERVALUE('2.0WP - Cen'!AB19)-_xlfn.NUMBERVALUE('2.0WP - State'!AB19))</f>
        <v/>
      </c>
      <c r="AC19" s="8" t="str">
        <f>IF(_xlfn.NUMBERVALUE('2.0WP - Cen'!AC19)-_xlfn.NUMBERVALUE('2.0WP - State'!AC19)=0,"",_xlfn.NUMBERVALUE('2.0WP - Cen'!AC19)-_xlfn.NUMBERVALUE('2.0WP - State'!AC19))</f>
        <v/>
      </c>
      <c r="AD19" s="8" t="str">
        <f>IF(_xlfn.NUMBERVALUE('2.0WP - Cen'!AD19)-_xlfn.NUMBERVALUE('2.0WP - State'!AD19)=0,"",_xlfn.NUMBERVALUE('2.0WP - Cen'!AD19)-_xlfn.NUMBERVALUE('2.0WP - State'!AD19))</f>
        <v/>
      </c>
      <c r="AE19" s="8" t="str">
        <f>IF(_xlfn.NUMBERVALUE('2.0WP - Cen'!AE19)-_xlfn.NUMBERVALUE('2.0WP - State'!AE19)=0,"",_xlfn.NUMBERVALUE('2.0WP - Cen'!AE19)-_xlfn.NUMBERVALUE('2.0WP - State'!AE19))</f>
        <v/>
      </c>
      <c r="AF19" s="8" t="str">
        <f>IF(_xlfn.NUMBERVALUE('2.0WP - Cen'!AF19)-_xlfn.NUMBERVALUE('2.0WP - State'!AF19)=0,"",_xlfn.NUMBERVALUE('2.0WP - Cen'!AF19)-_xlfn.NUMBERVALUE('2.0WP - State'!AF19))</f>
        <v/>
      </c>
      <c r="AG19" s="8" t="str">
        <f>IF(_xlfn.NUMBERVALUE('2.0WP - Cen'!AG19)-_xlfn.NUMBERVALUE('2.0WP - State'!AG19)=0,"",_xlfn.NUMBERVALUE('2.0WP - Cen'!AG19)-_xlfn.NUMBERVALUE('2.0WP - State'!AG19))</f>
        <v/>
      </c>
      <c r="AH19" s="8" t="str">
        <f>IF(_xlfn.NUMBERVALUE('2.0WP - Cen'!AH19)-_xlfn.NUMBERVALUE('2.0WP - State'!AH19)=0,"",_xlfn.NUMBERVALUE('2.0WP - Cen'!AH19)-_xlfn.NUMBERVALUE('2.0WP - State'!AH19))</f>
        <v/>
      </c>
      <c r="AI19" s="8" t="str">
        <f>IF(_xlfn.NUMBERVALUE('2.0WP - Cen'!AI19)-_xlfn.NUMBERVALUE('2.0WP - State'!AI19)=0,"",_xlfn.NUMBERVALUE('2.0WP - Cen'!AI19)-_xlfn.NUMBERVALUE('2.0WP - State'!AI19))</f>
        <v/>
      </c>
      <c r="AJ19" s="8" t="str">
        <f>IF(_xlfn.NUMBERVALUE('2.0WP - Cen'!AJ19)-_xlfn.NUMBERVALUE('2.0WP - State'!AJ19)=0,"",_xlfn.NUMBERVALUE('2.0WP - Cen'!AJ19)-_xlfn.NUMBERVALUE('2.0WP - State'!AJ19))</f>
        <v/>
      </c>
      <c r="AK19" s="17">
        <f t="shared" si="1"/>
        <v>0</v>
      </c>
      <c r="AL19" s="10">
        <f t="shared" si="2"/>
        <v>0</v>
      </c>
    </row>
    <row r="20" spans="1:38" x14ac:dyDescent="0.25">
      <c r="A20" s="12" t="str">
        <f>'[1]2.0WS'!A20</f>
        <v>16</v>
      </c>
      <c r="B20" s="13" t="str">
        <f>'[1]2.0WS'!B20</f>
        <v>PERAMBALUR</v>
      </c>
      <c r="C20" s="8" t="str">
        <f>IF(_xlfn.NUMBERVALUE('2.0WP - Cen'!C20)-_xlfn.NUMBERVALUE('2.0WP - State'!C20)=0,"",_xlfn.NUMBERVALUE('2.0WP - Cen'!C20)-_xlfn.NUMBERVALUE('2.0WP - State'!C20))</f>
        <v/>
      </c>
      <c r="D20" s="8" t="str">
        <f>IF(_xlfn.NUMBERVALUE('2.0WP - Cen'!D20)-_xlfn.NUMBERVALUE('2.0WP - State'!D20)=0,"",_xlfn.NUMBERVALUE('2.0WP - Cen'!D20)-_xlfn.NUMBERVALUE('2.0WP - State'!D20))</f>
        <v/>
      </c>
      <c r="E20" s="8" t="str">
        <f>IF(_xlfn.NUMBERVALUE('2.0WP - Cen'!E20)-_xlfn.NUMBERVALUE('2.0WP - State'!E20)=0,"",_xlfn.NUMBERVALUE('2.0WP - Cen'!E20)-_xlfn.NUMBERVALUE('2.0WP - State'!E20))</f>
        <v/>
      </c>
      <c r="F20" s="8" t="str">
        <f>IF(_xlfn.NUMBERVALUE('2.0WP - Cen'!F20)-_xlfn.NUMBERVALUE('2.0WP - State'!F20)=0,"",_xlfn.NUMBERVALUE('2.0WP - Cen'!F20)-_xlfn.NUMBERVALUE('2.0WP - State'!F20))</f>
        <v/>
      </c>
      <c r="G20" s="8" t="str">
        <f>IF(_xlfn.NUMBERVALUE('2.0WP - Cen'!G20)-_xlfn.NUMBERVALUE('2.0WP - State'!G20)=0,"",_xlfn.NUMBERVALUE('2.0WP - Cen'!G20)-_xlfn.NUMBERVALUE('2.0WP - State'!G20))</f>
        <v/>
      </c>
      <c r="H20" s="8" t="str">
        <f>IF(_xlfn.NUMBERVALUE('2.0WP - Cen'!H20)-_xlfn.NUMBERVALUE('2.0WP - State'!H20)=0,"",_xlfn.NUMBERVALUE('2.0WP - Cen'!H20)-_xlfn.NUMBERVALUE('2.0WP - State'!H20))</f>
        <v/>
      </c>
      <c r="I20" s="8" t="str">
        <f>IF(_xlfn.NUMBERVALUE('2.0WP - Cen'!I20)-_xlfn.NUMBERVALUE('2.0WP - State'!I20)=0,"",_xlfn.NUMBERVALUE('2.0WP - Cen'!I20)-_xlfn.NUMBERVALUE('2.0WP - State'!I20))</f>
        <v/>
      </c>
      <c r="J20" s="8">
        <f>IF(_xlfn.NUMBERVALUE('2.0WP - Cen'!J20)-_xlfn.NUMBERVALUE('2.0WP - State'!J20)=0,"",_xlfn.NUMBERVALUE('2.0WP - Cen'!J20)-_xlfn.NUMBERVALUE('2.0WP - State'!J20))</f>
        <v>2</v>
      </c>
      <c r="K20" s="8" t="str">
        <f>IF(_xlfn.NUMBERVALUE('2.0WP - Cen'!K20)-_xlfn.NUMBERVALUE('2.0WP - State'!K20)=0,"",_xlfn.NUMBERVALUE('2.0WP - Cen'!K20)-_xlfn.NUMBERVALUE('2.0WP - State'!K20))</f>
        <v/>
      </c>
      <c r="L20" s="8" t="str">
        <f>IF(_xlfn.NUMBERVALUE('2.0WP - Cen'!L20)-_xlfn.NUMBERVALUE('2.0WP - State'!L20)=0,"",_xlfn.NUMBERVALUE('2.0WP - Cen'!L20)-_xlfn.NUMBERVALUE('2.0WP - State'!L20))</f>
        <v/>
      </c>
      <c r="M20" s="8" t="str">
        <f>IF(_xlfn.NUMBERVALUE('2.0WP - Cen'!M20)-_xlfn.NUMBERVALUE('2.0WP - State'!M20)=0,"",_xlfn.NUMBERVALUE('2.0WP - Cen'!M20)-_xlfn.NUMBERVALUE('2.0WP - State'!M20))</f>
        <v/>
      </c>
      <c r="N20" s="8" t="str">
        <f>IF(_xlfn.NUMBERVALUE('2.0WP - Cen'!N20)-_xlfn.NUMBERVALUE('2.0WP - State'!N20)=0,"",_xlfn.NUMBERVALUE('2.0WP - Cen'!N20)-_xlfn.NUMBERVALUE('2.0WP - State'!N20))</f>
        <v/>
      </c>
      <c r="O20" s="8" t="str">
        <f>IF(_xlfn.NUMBERVALUE('2.0WP - Cen'!O20)-_xlfn.NUMBERVALUE('2.0WP - State'!O20)=0,"",_xlfn.NUMBERVALUE('2.0WP - Cen'!O20)-_xlfn.NUMBERVALUE('2.0WP - State'!O20))</f>
        <v/>
      </c>
      <c r="P20" s="8" t="str">
        <f>IF(_xlfn.NUMBERVALUE('2.0WP - Cen'!P20)-_xlfn.NUMBERVALUE('2.0WP - State'!P20)=0,"",_xlfn.NUMBERVALUE('2.0WP - Cen'!P20)-_xlfn.NUMBERVALUE('2.0WP - State'!P20))</f>
        <v/>
      </c>
      <c r="Q20" s="8">
        <f>IF(_xlfn.NUMBERVALUE('2.0WP - Cen'!Q20)-_xlfn.NUMBERVALUE('2.0WP - State'!Q20)=0,"",_xlfn.NUMBERVALUE('2.0WP - Cen'!Q20)-_xlfn.NUMBERVALUE('2.0WP - State'!Q20))</f>
        <v>8</v>
      </c>
      <c r="R20" s="8" t="str">
        <f>IF(_xlfn.NUMBERVALUE('2.0WP - Cen'!R20)-_xlfn.NUMBERVALUE('2.0WP - State'!R20)=0,"",_xlfn.NUMBERVALUE('2.0WP - Cen'!R20)-_xlfn.NUMBERVALUE('2.0WP - State'!R20))</f>
        <v/>
      </c>
      <c r="S20" s="8" t="str">
        <f>IF(_xlfn.NUMBERVALUE('2.0WP - Cen'!S20)-_xlfn.NUMBERVALUE('2.0WP - State'!S20)=0,"",_xlfn.NUMBERVALUE('2.0WP - Cen'!S20)-_xlfn.NUMBERVALUE('2.0WP - State'!S20))</f>
        <v/>
      </c>
      <c r="T20" s="9">
        <f t="shared" si="4"/>
        <v>10</v>
      </c>
      <c r="U20" s="8" t="str">
        <f>IF(_xlfn.NUMBERVALUE('2.0WP - Cen'!U20)-_xlfn.NUMBERVALUE('2.0WP - State'!U20)=0,"",_xlfn.NUMBERVALUE('2.0WP - Cen'!U20)-_xlfn.NUMBERVALUE('2.0WP - State'!U20))</f>
        <v/>
      </c>
      <c r="V20" s="8" t="str">
        <f>IF(_xlfn.NUMBERVALUE('2.0WP - Cen'!V20)-_xlfn.NUMBERVALUE('2.0WP - State'!V20)=0,"",_xlfn.NUMBERVALUE('2.0WP - Cen'!V20)-_xlfn.NUMBERVALUE('2.0WP - State'!V20))</f>
        <v/>
      </c>
      <c r="W20" s="8" t="str">
        <f>IF(_xlfn.NUMBERVALUE('2.0WP - Cen'!W20)-_xlfn.NUMBERVALUE('2.0WP - State'!W20)=0,"",_xlfn.NUMBERVALUE('2.0WP - Cen'!W20)-_xlfn.NUMBERVALUE('2.0WP - State'!W20))</f>
        <v/>
      </c>
      <c r="X20" s="8" t="str">
        <f>IF(_xlfn.NUMBERVALUE('2.0WP - Cen'!X20)-_xlfn.NUMBERVALUE('2.0WP - State'!X20)=0,"",_xlfn.NUMBERVALUE('2.0WP - Cen'!X20)-_xlfn.NUMBERVALUE('2.0WP - State'!X20))</f>
        <v/>
      </c>
      <c r="Y20" s="8" t="str">
        <f>IF(_xlfn.NUMBERVALUE('2.0WP - Cen'!Y20)-_xlfn.NUMBERVALUE('2.0WP - State'!Y20)=0,"",_xlfn.NUMBERVALUE('2.0WP - Cen'!Y20)-_xlfn.NUMBERVALUE('2.0WP - State'!Y20))</f>
        <v/>
      </c>
      <c r="Z20" s="8" t="str">
        <f>IF(_xlfn.NUMBERVALUE('2.0WP - Cen'!Z20)-_xlfn.NUMBERVALUE('2.0WP - State'!Z20)=0,"",_xlfn.NUMBERVALUE('2.0WP - Cen'!Z20)-_xlfn.NUMBERVALUE('2.0WP - State'!Z20))</f>
        <v/>
      </c>
      <c r="AA20" s="8" t="str">
        <f>IF(_xlfn.NUMBERVALUE('2.0WP - Cen'!AA20)-_xlfn.NUMBERVALUE('2.0WP - State'!AA20)=0,"",_xlfn.NUMBERVALUE('2.0WP - Cen'!AA20)-_xlfn.NUMBERVALUE('2.0WP - State'!AA20))</f>
        <v/>
      </c>
      <c r="AB20" s="8" t="str">
        <f>IF(_xlfn.NUMBERVALUE('2.0WP - Cen'!AB20)-_xlfn.NUMBERVALUE('2.0WP - State'!AB20)=0,"",_xlfn.NUMBERVALUE('2.0WP - Cen'!AB20)-_xlfn.NUMBERVALUE('2.0WP - State'!AB20))</f>
        <v/>
      </c>
      <c r="AC20" s="8" t="str">
        <f>IF(_xlfn.NUMBERVALUE('2.0WP - Cen'!AC20)-_xlfn.NUMBERVALUE('2.0WP - State'!AC20)=0,"",_xlfn.NUMBERVALUE('2.0WP - Cen'!AC20)-_xlfn.NUMBERVALUE('2.0WP - State'!AC20))</f>
        <v/>
      </c>
      <c r="AD20" s="8" t="str">
        <f>IF(_xlfn.NUMBERVALUE('2.0WP - Cen'!AD20)-_xlfn.NUMBERVALUE('2.0WP - State'!AD20)=0,"",_xlfn.NUMBERVALUE('2.0WP - Cen'!AD20)-_xlfn.NUMBERVALUE('2.0WP - State'!AD20))</f>
        <v/>
      </c>
      <c r="AE20" s="8" t="str">
        <f>IF(_xlfn.NUMBERVALUE('2.0WP - Cen'!AE20)-_xlfn.NUMBERVALUE('2.0WP - State'!AE20)=0,"",_xlfn.NUMBERVALUE('2.0WP - Cen'!AE20)-_xlfn.NUMBERVALUE('2.0WP - State'!AE20))</f>
        <v/>
      </c>
      <c r="AF20" s="8" t="str">
        <f>IF(_xlfn.NUMBERVALUE('2.0WP - Cen'!AF20)-_xlfn.NUMBERVALUE('2.0WP - State'!AF20)=0,"",_xlfn.NUMBERVALUE('2.0WP - Cen'!AF20)-_xlfn.NUMBERVALUE('2.0WP - State'!AF20))</f>
        <v/>
      </c>
      <c r="AG20" s="8" t="str">
        <f>IF(_xlfn.NUMBERVALUE('2.0WP - Cen'!AG20)-_xlfn.NUMBERVALUE('2.0WP - State'!AG20)=0,"",_xlfn.NUMBERVALUE('2.0WP - Cen'!AG20)-_xlfn.NUMBERVALUE('2.0WP - State'!AG20))</f>
        <v/>
      </c>
      <c r="AH20" s="8" t="str">
        <f>IF(_xlfn.NUMBERVALUE('2.0WP - Cen'!AH20)-_xlfn.NUMBERVALUE('2.0WP - State'!AH20)=0,"",_xlfn.NUMBERVALUE('2.0WP - Cen'!AH20)-_xlfn.NUMBERVALUE('2.0WP - State'!AH20))</f>
        <v/>
      </c>
      <c r="AI20" s="8" t="str">
        <f>IF(_xlfn.NUMBERVALUE('2.0WP - Cen'!AI20)-_xlfn.NUMBERVALUE('2.0WP - State'!AI20)=0,"",_xlfn.NUMBERVALUE('2.0WP - Cen'!AI20)-_xlfn.NUMBERVALUE('2.0WP - State'!AI20))</f>
        <v/>
      </c>
      <c r="AJ20" s="8" t="str">
        <f>IF(_xlfn.NUMBERVALUE('2.0WP - Cen'!AJ20)-_xlfn.NUMBERVALUE('2.0WP - State'!AJ20)=0,"",_xlfn.NUMBERVALUE('2.0WP - Cen'!AJ20)-_xlfn.NUMBERVALUE('2.0WP - State'!AJ20))</f>
        <v/>
      </c>
      <c r="AK20" s="17">
        <f t="shared" si="1"/>
        <v>0</v>
      </c>
      <c r="AL20" s="10">
        <f t="shared" si="2"/>
        <v>10</v>
      </c>
    </row>
    <row r="21" spans="1:38" x14ac:dyDescent="0.25">
      <c r="A21" s="12" t="str">
        <f>'[1]2.0WS'!A21</f>
        <v>17</v>
      </c>
      <c r="B21" s="13" t="str">
        <f>'[1]2.0WS'!B21</f>
        <v>ARIYALUR</v>
      </c>
      <c r="C21" s="8">
        <f>IF(_xlfn.NUMBERVALUE('2.0WP - Cen'!C21)-_xlfn.NUMBERVALUE('2.0WP - State'!C21)=0,"",_xlfn.NUMBERVALUE('2.0WP - Cen'!C21)-_xlfn.NUMBERVALUE('2.0WP - State'!C21))</f>
        <v>4</v>
      </c>
      <c r="D21" s="8" t="str">
        <f>IF(_xlfn.NUMBERVALUE('2.0WP - Cen'!D21)-_xlfn.NUMBERVALUE('2.0WP - State'!D21)=0,"",_xlfn.NUMBERVALUE('2.0WP - Cen'!D21)-_xlfn.NUMBERVALUE('2.0WP - State'!D21))</f>
        <v/>
      </c>
      <c r="E21" s="8" t="str">
        <f>IF(_xlfn.NUMBERVALUE('2.0WP - Cen'!E21)-_xlfn.NUMBERVALUE('2.0WP - State'!E21)=0,"",_xlfn.NUMBERVALUE('2.0WP - Cen'!E21)-_xlfn.NUMBERVALUE('2.0WP - State'!E21))</f>
        <v/>
      </c>
      <c r="F21" s="8" t="str">
        <f>IF(_xlfn.NUMBERVALUE('2.0WP - Cen'!F21)-_xlfn.NUMBERVALUE('2.0WP - State'!F21)=0,"",_xlfn.NUMBERVALUE('2.0WP - Cen'!F21)-_xlfn.NUMBERVALUE('2.0WP - State'!F21))</f>
        <v/>
      </c>
      <c r="G21" s="8" t="str">
        <f>IF(_xlfn.NUMBERVALUE('2.0WP - Cen'!G21)-_xlfn.NUMBERVALUE('2.0WP - State'!G21)=0,"",_xlfn.NUMBERVALUE('2.0WP - Cen'!G21)-_xlfn.NUMBERVALUE('2.0WP - State'!G21))</f>
        <v/>
      </c>
      <c r="H21" s="8">
        <f>IF(_xlfn.NUMBERVALUE('2.0WP - Cen'!H21)-_xlfn.NUMBERVALUE('2.0WP - State'!H21)=0,"",_xlfn.NUMBERVALUE('2.0WP - Cen'!H21)-_xlfn.NUMBERVALUE('2.0WP - State'!H21))</f>
        <v>4</v>
      </c>
      <c r="I21" s="8" t="str">
        <f>IF(_xlfn.NUMBERVALUE('2.0WP - Cen'!I21)-_xlfn.NUMBERVALUE('2.0WP - State'!I21)=0,"",_xlfn.NUMBERVALUE('2.0WP - Cen'!I21)-_xlfn.NUMBERVALUE('2.0WP - State'!I21))</f>
        <v/>
      </c>
      <c r="J21" s="8">
        <f>IF(_xlfn.NUMBERVALUE('2.0WP - Cen'!J21)-_xlfn.NUMBERVALUE('2.0WP - State'!J21)=0,"",_xlfn.NUMBERVALUE('2.0WP - Cen'!J21)-_xlfn.NUMBERVALUE('2.0WP - State'!J21))</f>
        <v>2</v>
      </c>
      <c r="K21" s="8" t="str">
        <f>IF(_xlfn.NUMBERVALUE('2.0WP - Cen'!K21)-_xlfn.NUMBERVALUE('2.0WP - State'!K21)=0,"",_xlfn.NUMBERVALUE('2.0WP - Cen'!K21)-_xlfn.NUMBERVALUE('2.0WP - State'!K21))</f>
        <v/>
      </c>
      <c r="L21" s="8" t="str">
        <f>IF(_xlfn.NUMBERVALUE('2.0WP - Cen'!L21)-_xlfn.NUMBERVALUE('2.0WP - State'!L21)=0,"",_xlfn.NUMBERVALUE('2.0WP - Cen'!L21)-_xlfn.NUMBERVALUE('2.0WP - State'!L21))</f>
        <v/>
      </c>
      <c r="M21" s="8" t="str">
        <f>IF(_xlfn.NUMBERVALUE('2.0WP - Cen'!M21)-_xlfn.NUMBERVALUE('2.0WP - State'!M21)=0,"",_xlfn.NUMBERVALUE('2.0WP - Cen'!M21)-_xlfn.NUMBERVALUE('2.0WP - State'!M21))</f>
        <v/>
      </c>
      <c r="N21" s="8" t="str">
        <f>IF(_xlfn.NUMBERVALUE('2.0WP - Cen'!N21)-_xlfn.NUMBERVALUE('2.0WP - State'!N21)=0,"",_xlfn.NUMBERVALUE('2.0WP - Cen'!N21)-_xlfn.NUMBERVALUE('2.0WP - State'!N21))</f>
        <v/>
      </c>
      <c r="O21" s="8">
        <f>IF(_xlfn.NUMBERVALUE('2.0WP - Cen'!O21)-_xlfn.NUMBERVALUE('2.0WP - State'!O21)=0,"",_xlfn.NUMBERVALUE('2.0WP - Cen'!O21)-_xlfn.NUMBERVALUE('2.0WP - State'!O21))</f>
        <v>4</v>
      </c>
      <c r="P21" s="8" t="str">
        <f>IF(_xlfn.NUMBERVALUE('2.0WP - Cen'!P21)-_xlfn.NUMBERVALUE('2.0WP - State'!P21)=0,"",_xlfn.NUMBERVALUE('2.0WP - Cen'!P21)-_xlfn.NUMBERVALUE('2.0WP - State'!P21))</f>
        <v/>
      </c>
      <c r="Q21" s="8">
        <f>IF(_xlfn.NUMBERVALUE('2.0WP - Cen'!Q21)-_xlfn.NUMBERVALUE('2.0WP - State'!Q21)=0,"",_xlfn.NUMBERVALUE('2.0WP - Cen'!Q21)-_xlfn.NUMBERVALUE('2.0WP - State'!Q21))</f>
        <v>6</v>
      </c>
      <c r="R21" s="8" t="str">
        <f>IF(_xlfn.NUMBERVALUE('2.0WP - Cen'!R21)-_xlfn.NUMBERVALUE('2.0WP - State'!R21)=0,"",_xlfn.NUMBERVALUE('2.0WP - Cen'!R21)-_xlfn.NUMBERVALUE('2.0WP - State'!R21))</f>
        <v/>
      </c>
      <c r="S21" s="8" t="str">
        <f>IF(_xlfn.NUMBERVALUE('2.0WP - Cen'!S21)-_xlfn.NUMBERVALUE('2.0WP - State'!S21)=0,"",_xlfn.NUMBERVALUE('2.0WP - Cen'!S21)-_xlfn.NUMBERVALUE('2.0WP - State'!S21))</f>
        <v/>
      </c>
      <c r="T21" s="9">
        <f t="shared" si="4"/>
        <v>20</v>
      </c>
      <c r="U21" s="8" t="str">
        <f>IF(_xlfn.NUMBERVALUE('2.0WP - Cen'!U21)-_xlfn.NUMBERVALUE('2.0WP - State'!U21)=0,"",_xlfn.NUMBERVALUE('2.0WP - Cen'!U21)-_xlfn.NUMBERVALUE('2.0WP - State'!U21))</f>
        <v/>
      </c>
      <c r="V21" s="8" t="str">
        <f>IF(_xlfn.NUMBERVALUE('2.0WP - Cen'!V21)-_xlfn.NUMBERVALUE('2.0WP - State'!V21)=0,"",_xlfn.NUMBERVALUE('2.0WP - Cen'!V21)-_xlfn.NUMBERVALUE('2.0WP - State'!V21))</f>
        <v/>
      </c>
      <c r="W21" s="8" t="str">
        <f>IF(_xlfn.NUMBERVALUE('2.0WP - Cen'!W21)-_xlfn.NUMBERVALUE('2.0WP - State'!W21)=0,"",_xlfn.NUMBERVALUE('2.0WP - Cen'!W21)-_xlfn.NUMBERVALUE('2.0WP - State'!W21))</f>
        <v/>
      </c>
      <c r="X21" s="8" t="str">
        <f>IF(_xlfn.NUMBERVALUE('2.0WP - Cen'!X21)-_xlfn.NUMBERVALUE('2.0WP - State'!X21)=0,"",_xlfn.NUMBERVALUE('2.0WP - Cen'!X21)-_xlfn.NUMBERVALUE('2.0WP - State'!X21))</f>
        <v/>
      </c>
      <c r="Y21" s="8">
        <f>IF(_xlfn.NUMBERVALUE('2.0WP - Cen'!Y21)-_xlfn.NUMBERVALUE('2.0WP - State'!Y21)=0,"",_xlfn.NUMBERVALUE('2.0WP - Cen'!Y21)-_xlfn.NUMBERVALUE('2.0WP - State'!Y21))</f>
        <v>4</v>
      </c>
      <c r="Z21" s="8" t="str">
        <f>IF(_xlfn.NUMBERVALUE('2.0WP - Cen'!Z21)-_xlfn.NUMBERVALUE('2.0WP - State'!Z21)=0,"",_xlfn.NUMBERVALUE('2.0WP - Cen'!Z21)-_xlfn.NUMBERVALUE('2.0WP - State'!Z21))</f>
        <v/>
      </c>
      <c r="AA21" s="8" t="str">
        <f>IF(_xlfn.NUMBERVALUE('2.0WP - Cen'!AA21)-_xlfn.NUMBERVALUE('2.0WP - State'!AA21)=0,"",_xlfn.NUMBERVALUE('2.0WP - Cen'!AA21)-_xlfn.NUMBERVALUE('2.0WP - State'!AA21))</f>
        <v/>
      </c>
      <c r="AB21" s="8" t="str">
        <f>IF(_xlfn.NUMBERVALUE('2.0WP - Cen'!AB21)-_xlfn.NUMBERVALUE('2.0WP - State'!AB21)=0,"",_xlfn.NUMBERVALUE('2.0WP - Cen'!AB21)-_xlfn.NUMBERVALUE('2.0WP - State'!AB21))</f>
        <v/>
      </c>
      <c r="AC21" s="8" t="str">
        <f>IF(_xlfn.NUMBERVALUE('2.0WP - Cen'!AC21)-_xlfn.NUMBERVALUE('2.0WP - State'!AC21)=0,"",_xlfn.NUMBERVALUE('2.0WP - Cen'!AC21)-_xlfn.NUMBERVALUE('2.0WP - State'!AC21))</f>
        <v/>
      </c>
      <c r="AD21" s="8" t="str">
        <f>IF(_xlfn.NUMBERVALUE('2.0WP - Cen'!AD21)-_xlfn.NUMBERVALUE('2.0WP - State'!AD21)=0,"",_xlfn.NUMBERVALUE('2.0WP - Cen'!AD21)-_xlfn.NUMBERVALUE('2.0WP - State'!AD21))</f>
        <v/>
      </c>
      <c r="AE21" s="8" t="str">
        <f>IF(_xlfn.NUMBERVALUE('2.0WP - Cen'!AE21)-_xlfn.NUMBERVALUE('2.0WP - State'!AE21)=0,"",_xlfn.NUMBERVALUE('2.0WP - Cen'!AE21)-_xlfn.NUMBERVALUE('2.0WP - State'!AE21))</f>
        <v/>
      </c>
      <c r="AF21" s="8" t="str">
        <f>IF(_xlfn.NUMBERVALUE('2.0WP - Cen'!AF21)-_xlfn.NUMBERVALUE('2.0WP - State'!AF21)=0,"",_xlfn.NUMBERVALUE('2.0WP - Cen'!AF21)-_xlfn.NUMBERVALUE('2.0WP - State'!AF21))</f>
        <v/>
      </c>
      <c r="AG21" s="8" t="str">
        <f>IF(_xlfn.NUMBERVALUE('2.0WP - Cen'!AG21)-_xlfn.NUMBERVALUE('2.0WP - State'!AG21)=0,"",_xlfn.NUMBERVALUE('2.0WP - Cen'!AG21)-_xlfn.NUMBERVALUE('2.0WP - State'!AG21))</f>
        <v/>
      </c>
      <c r="AH21" s="8" t="str">
        <f>IF(_xlfn.NUMBERVALUE('2.0WP - Cen'!AH21)-_xlfn.NUMBERVALUE('2.0WP - State'!AH21)=0,"",_xlfn.NUMBERVALUE('2.0WP - Cen'!AH21)-_xlfn.NUMBERVALUE('2.0WP - State'!AH21))</f>
        <v/>
      </c>
      <c r="AI21" s="8" t="str">
        <f>IF(_xlfn.NUMBERVALUE('2.0WP - Cen'!AI21)-_xlfn.NUMBERVALUE('2.0WP - State'!AI21)=0,"",_xlfn.NUMBERVALUE('2.0WP - Cen'!AI21)-_xlfn.NUMBERVALUE('2.0WP - State'!AI21))</f>
        <v/>
      </c>
      <c r="AJ21" s="8" t="str">
        <f>IF(_xlfn.NUMBERVALUE('2.0WP - Cen'!AJ21)-_xlfn.NUMBERVALUE('2.0WP - State'!AJ21)=0,"",_xlfn.NUMBERVALUE('2.0WP - Cen'!AJ21)-_xlfn.NUMBERVALUE('2.0WP - State'!AJ21))</f>
        <v/>
      </c>
      <c r="AK21" s="17">
        <f t="shared" si="1"/>
        <v>4</v>
      </c>
      <c r="AL21" s="10">
        <f t="shared" si="2"/>
        <v>24</v>
      </c>
    </row>
    <row r="22" spans="1:38" s="3" customFormat="1" ht="14.4" customHeight="1" x14ac:dyDescent="0.25">
      <c r="A22" s="19" t="str">
        <f>'[1]2.0WS'!A22</f>
        <v>SRO TIRUCHIRAPALLI TOTAL</v>
      </c>
      <c r="B22" s="19"/>
      <c r="C22" s="14">
        <f t="shared" ref="C22:S22" si="10">SUM(C18:C21)</f>
        <v>4</v>
      </c>
      <c r="D22" s="14">
        <f t="shared" si="10"/>
        <v>0</v>
      </c>
      <c r="E22" s="14">
        <f t="shared" si="10"/>
        <v>0</v>
      </c>
      <c r="F22" s="14">
        <f t="shared" si="10"/>
        <v>0</v>
      </c>
      <c r="G22" s="14">
        <f t="shared" si="10"/>
        <v>2</v>
      </c>
      <c r="H22" s="14">
        <f t="shared" si="10"/>
        <v>4</v>
      </c>
      <c r="I22" s="14">
        <f t="shared" si="10"/>
        <v>0</v>
      </c>
      <c r="J22" s="14">
        <f t="shared" si="10"/>
        <v>4</v>
      </c>
      <c r="K22" s="14">
        <f t="shared" si="10"/>
        <v>0</v>
      </c>
      <c r="L22" s="14">
        <f t="shared" si="10"/>
        <v>0</v>
      </c>
      <c r="M22" s="14">
        <f t="shared" si="10"/>
        <v>0</v>
      </c>
      <c r="N22" s="14">
        <f t="shared" si="10"/>
        <v>4</v>
      </c>
      <c r="O22" s="14">
        <f t="shared" si="10"/>
        <v>4</v>
      </c>
      <c r="P22" s="14">
        <f t="shared" si="10"/>
        <v>0</v>
      </c>
      <c r="Q22" s="14">
        <f t="shared" si="10"/>
        <v>14</v>
      </c>
      <c r="R22" s="14">
        <f t="shared" si="10"/>
        <v>0</v>
      </c>
      <c r="S22" s="14">
        <f t="shared" si="10"/>
        <v>4</v>
      </c>
      <c r="T22" s="9">
        <f t="shared" si="4"/>
        <v>40</v>
      </c>
      <c r="U22" s="14">
        <f t="shared" ref="U22:AJ22" si="11">SUM(U18:U21)</f>
        <v>0</v>
      </c>
      <c r="V22" s="14">
        <f t="shared" si="11"/>
        <v>0</v>
      </c>
      <c r="W22" s="14">
        <f t="shared" si="11"/>
        <v>4</v>
      </c>
      <c r="X22" s="14">
        <f t="shared" si="11"/>
        <v>0</v>
      </c>
      <c r="Y22" s="14">
        <f t="shared" si="11"/>
        <v>8</v>
      </c>
      <c r="Z22" s="14">
        <f t="shared" si="11"/>
        <v>0</v>
      </c>
      <c r="AA22" s="14">
        <f t="shared" si="11"/>
        <v>0</v>
      </c>
      <c r="AB22" s="14">
        <f t="shared" si="11"/>
        <v>0</v>
      </c>
      <c r="AC22" s="14">
        <f t="shared" si="11"/>
        <v>0</v>
      </c>
      <c r="AD22" s="14">
        <f t="shared" si="11"/>
        <v>0</v>
      </c>
      <c r="AE22" s="14">
        <f t="shared" si="11"/>
        <v>0</v>
      </c>
      <c r="AF22" s="14">
        <f t="shared" si="11"/>
        <v>2</v>
      </c>
      <c r="AG22" s="14">
        <f t="shared" si="11"/>
        <v>0</v>
      </c>
      <c r="AH22" s="14">
        <f t="shared" si="11"/>
        <v>0</v>
      </c>
      <c r="AI22" s="14">
        <f t="shared" si="11"/>
        <v>0</v>
      </c>
      <c r="AJ22" s="14">
        <f t="shared" si="11"/>
        <v>0</v>
      </c>
      <c r="AK22" s="17">
        <f t="shared" si="1"/>
        <v>14</v>
      </c>
      <c r="AL22" s="10">
        <f t="shared" si="2"/>
        <v>54</v>
      </c>
    </row>
    <row r="23" spans="1:38" s="3" customFormat="1" ht="14.4" customHeight="1" x14ac:dyDescent="0.25">
      <c r="A23" s="20" t="str">
        <f>'[1]2.0WS'!A23</f>
        <v>RO COIMBATORE TOTAL</v>
      </c>
      <c r="B23" s="20"/>
      <c r="C23" s="15">
        <f>SUM(C22,C17,C14,C10)</f>
        <v>4</v>
      </c>
      <c r="D23" s="15">
        <f t="shared" ref="D23:S23" si="12">SUM(D22,D17,D14,D10)</f>
        <v>0</v>
      </c>
      <c r="E23" s="15">
        <f t="shared" si="12"/>
        <v>4</v>
      </c>
      <c r="F23" s="15">
        <f t="shared" si="12"/>
        <v>20</v>
      </c>
      <c r="G23" s="15">
        <f t="shared" si="12"/>
        <v>2</v>
      </c>
      <c r="H23" s="15">
        <f t="shared" si="12"/>
        <v>6</v>
      </c>
      <c r="I23" s="15">
        <f t="shared" si="12"/>
        <v>0</v>
      </c>
      <c r="J23" s="15">
        <f t="shared" si="12"/>
        <v>14</v>
      </c>
      <c r="K23" s="15">
        <f t="shared" si="12"/>
        <v>12</v>
      </c>
      <c r="L23" s="15">
        <f t="shared" si="12"/>
        <v>12</v>
      </c>
      <c r="M23" s="15">
        <f t="shared" si="12"/>
        <v>0</v>
      </c>
      <c r="N23" s="15">
        <f t="shared" si="12"/>
        <v>10</v>
      </c>
      <c r="O23" s="15">
        <f t="shared" si="12"/>
        <v>6</v>
      </c>
      <c r="P23" s="15">
        <f t="shared" si="12"/>
        <v>26</v>
      </c>
      <c r="Q23" s="15">
        <f t="shared" si="12"/>
        <v>36</v>
      </c>
      <c r="R23" s="15">
        <f t="shared" si="12"/>
        <v>4</v>
      </c>
      <c r="S23" s="15">
        <f t="shared" si="12"/>
        <v>10</v>
      </c>
      <c r="T23" s="9">
        <f t="shared" si="4"/>
        <v>166</v>
      </c>
      <c r="U23" s="15">
        <f t="shared" ref="U23:AJ23" si="13">SUM(U22,U17,U14,U10)</f>
        <v>0</v>
      </c>
      <c r="V23" s="15">
        <f t="shared" si="13"/>
        <v>14</v>
      </c>
      <c r="W23" s="15">
        <f t="shared" si="13"/>
        <v>6</v>
      </c>
      <c r="X23" s="15">
        <f t="shared" si="13"/>
        <v>0</v>
      </c>
      <c r="Y23" s="15">
        <f t="shared" si="13"/>
        <v>16</v>
      </c>
      <c r="Z23" s="15">
        <f t="shared" si="13"/>
        <v>0</v>
      </c>
      <c r="AA23" s="15">
        <f t="shared" si="13"/>
        <v>0</v>
      </c>
      <c r="AB23" s="15">
        <f t="shared" si="13"/>
        <v>0</v>
      </c>
      <c r="AC23" s="15">
        <f t="shared" si="13"/>
        <v>0</v>
      </c>
      <c r="AD23" s="15">
        <f t="shared" si="13"/>
        <v>0</v>
      </c>
      <c r="AE23" s="15">
        <f t="shared" si="13"/>
        <v>6</v>
      </c>
      <c r="AF23" s="15">
        <f t="shared" si="13"/>
        <v>2</v>
      </c>
      <c r="AG23" s="15">
        <f t="shared" si="13"/>
        <v>2</v>
      </c>
      <c r="AH23" s="15">
        <f t="shared" si="13"/>
        <v>16</v>
      </c>
      <c r="AI23" s="15">
        <f t="shared" si="13"/>
        <v>0</v>
      </c>
      <c r="AJ23" s="15">
        <f t="shared" si="13"/>
        <v>2</v>
      </c>
      <c r="AK23" s="17">
        <f t="shared" si="1"/>
        <v>64</v>
      </c>
      <c r="AL23" s="10">
        <f t="shared" si="2"/>
        <v>230</v>
      </c>
    </row>
    <row r="24" spans="1:38" x14ac:dyDescent="0.25">
      <c r="A24" s="12" t="str">
        <f>'[1]2.0WS'!A24</f>
        <v>01</v>
      </c>
      <c r="B24" s="13" t="str">
        <f>'[1]2.0WS'!B24</f>
        <v>THIRUVALLUR</v>
      </c>
      <c r="C24" s="8">
        <f>IF(_xlfn.NUMBERVALUE('2.0WP - Cen'!C24)-_xlfn.NUMBERVALUE('2.0WP - State'!C24)=0,"",_xlfn.NUMBERVALUE('2.0WP - Cen'!C24)-_xlfn.NUMBERVALUE('2.0WP - State'!C24))</f>
        <v>4</v>
      </c>
      <c r="D24" s="8" t="str">
        <f>IF(_xlfn.NUMBERVALUE('2.0WP - Cen'!D24)-_xlfn.NUMBERVALUE('2.0WP - State'!D24)=0,"",_xlfn.NUMBERVALUE('2.0WP - Cen'!D24)-_xlfn.NUMBERVALUE('2.0WP - State'!D24))</f>
        <v/>
      </c>
      <c r="E24" s="8">
        <f>IF(_xlfn.NUMBERVALUE('2.0WP - Cen'!E24)-_xlfn.NUMBERVALUE('2.0WP - State'!E24)=0,"",_xlfn.NUMBERVALUE('2.0WP - Cen'!E24)-_xlfn.NUMBERVALUE('2.0WP - State'!E24))</f>
        <v>2</v>
      </c>
      <c r="F24" s="8" t="str">
        <f>IF(_xlfn.NUMBERVALUE('2.0WP - Cen'!F24)-_xlfn.NUMBERVALUE('2.0WP - State'!F24)=0,"",_xlfn.NUMBERVALUE('2.0WP - Cen'!F24)-_xlfn.NUMBERVALUE('2.0WP - State'!F24))</f>
        <v/>
      </c>
      <c r="G24" s="8" t="str">
        <f>IF(_xlfn.NUMBERVALUE('2.0WP - Cen'!G24)-_xlfn.NUMBERVALUE('2.0WP - State'!G24)=0,"",_xlfn.NUMBERVALUE('2.0WP - Cen'!G24)-_xlfn.NUMBERVALUE('2.0WP - State'!G24))</f>
        <v/>
      </c>
      <c r="H24" s="8" t="str">
        <f>IF(_xlfn.NUMBERVALUE('2.0WP - Cen'!H24)-_xlfn.NUMBERVALUE('2.0WP - State'!H24)=0,"",_xlfn.NUMBERVALUE('2.0WP - Cen'!H24)-_xlfn.NUMBERVALUE('2.0WP - State'!H24))</f>
        <v/>
      </c>
      <c r="I24" s="8" t="str">
        <f>IF(_xlfn.NUMBERVALUE('2.0WP - Cen'!I24)-_xlfn.NUMBERVALUE('2.0WP - State'!I24)=0,"",_xlfn.NUMBERVALUE('2.0WP - Cen'!I24)-_xlfn.NUMBERVALUE('2.0WP - State'!I24))</f>
        <v/>
      </c>
      <c r="J24" s="8" t="str">
        <f>IF(_xlfn.NUMBERVALUE('2.0WP - Cen'!J24)-_xlfn.NUMBERVALUE('2.0WP - State'!J24)=0,"",_xlfn.NUMBERVALUE('2.0WP - Cen'!J24)-_xlfn.NUMBERVALUE('2.0WP - State'!J24))</f>
        <v/>
      </c>
      <c r="K24" s="8" t="str">
        <f>IF(_xlfn.NUMBERVALUE('2.0WP - Cen'!K24)-_xlfn.NUMBERVALUE('2.0WP - State'!K24)=0,"",_xlfn.NUMBERVALUE('2.0WP - Cen'!K24)-_xlfn.NUMBERVALUE('2.0WP - State'!K24))</f>
        <v/>
      </c>
      <c r="L24" s="8" t="str">
        <f>IF(_xlfn.NUMBERVALUE('2.0WP - Cen'!L24)-_xlfn.NUMBERVALUE('2.0WP - State'!L24)=0,"",_xlfn.NUMBERVALUE('2.0WP - Cen'!L24)-_xlfn.NUMBERVALUE('2.0WP - State'!L24))</f>
        <v/>
      </c>
      <c r="M24" s="8" t="str">
        <f>IF(_xlfn.NUMBERVALUE('2.0WP - Cen'!M24)-_xlfn.NUMBERVALUE('2.0WP - State'!M24)=0,"",_xlfn.NUMBERVALUE('2.0WP - Cen'!M24)-_xlfn.NUMBERVALUE('2.0WP - State'!M24))</f>
        <v/>
      </c>
      <c r="N24" s="8" t="str">
        <f>IF(_xlfn.NUMBERVALUE('2.0WP - Cen'!N24)-_xlfn.NUMBERVALUE('2.0WP - State'!N24)=0,"",_xlfn.NUMBERVALUE('2.0WP - Cen'!N24)-_xlfn.NUMBERVALUE('2.0WP - State'!N24))</f>
        <v/>
      </c>
      <c r="O24" s="8" t="str">
        <f>IF(_xlfn.NUMBERVALUE('2.0WP - Cen'!O24)-_xlfn.NUMBERVALUE('2.0WP - State'!O24)=0,"",_xlfn.NUMBERVALUE('2.0WP - Cen'!O24)-_xlfn.NUMBERVALUE('2.0WP - State'!O24))</f>
        <v/>
      </c>
      <c r="P24" s="8" t="str">
        <f>IF(_xlfn.NUMBERVALUE('2.0WP - Cen'!P24)-_xlfn.NUMBERVALUE('2.0WP - State'!P24)=0,"",_xlfn.NUMBERVALUE('2.0WP - Cen'!P24)-_xlfn.NUMBERVALUE('2.0WP - State'!P24))</f>
        <v/>
      </c>
      <c r="Q24" s="8" t="str">
        <f>IF(_xlfn.NUMBERVALUE('2.0WP - Cen'!Q24)-_xlfn.NUMBERVALUE('2.0WP - State'!Q24)=0,"",_xlfn.NUMBERVALUE('2.0WP - Cen'!Q24)-_xlfn.NUMBERVALUE('2.0WP - State'!Q24))</f>
        <v/>
      </c>
      <c r="R24" s="8" t="str">
        <f>IF(_xlfn.NUMBERVALUE('2.0WP - Cen'!R24)-_xlfn.NUMBERVALUE('2.0WP - State'!R24)=0,"",_xlfn.NUMBERVALUE('2.0WP - Cen'!R24)-_xlfn.NUMBERVALUE('2.0WP - State'!R24))</f>
        <v/>
      </c>
      <c r="S24" s="8" t="str">
        <f>IF(_xlfn.NUMBERVALUE('2.0WP - Cen'!S24)-_xlfn.NUMBERVALUE('2.0WP - State'!S24)=0,"",_xlfn.NUMBERVALUE('2.0WP - Cen'!S24)-_xlfn.NUMBERVALUE('2.0WP - State'!S24))</f>
        <v/>
      </c>
      <c r="T24" s="9">
        <f t="shared" si="4"/>
        <v>6</v>
      </c>
      <c r="U24" s="8">
        <f>IF(_xlfn.NUMBERVALUE('2.0WP - Cen'!U24)-_xlfn.NUMBERVALUE('2.0WP - State'!U24)=0,"",_xlfn.NUMBERVALUE('2.0WP - Cen'!U24)-_xlfn.NUMBERVALUE('2.0WP - State'!U24))</f>
        <v>2</v>
      </c>
      <c r="V24" s="8" t="str">
        <f>IF(_xlfn.NUMBERVALUE('2.0WP - Cen'!V24)-_xlfn.NUMBERVALUE('2.0WP - State'!V24)=0,"",_xlfn.NUMBERVALUE('2.0WP - Cen'!V24)-_xlfn.NUMBERVALUE('2.0WP - State'!V24))</f>
        <v/>
      </c>
      <c r="W24" s="8" t="str">
        <f>IF(_xlfn.NUMBERVALUE('2.0WP - Cen'!W24)-_xlfn.NUMBERVALUE('2.0WP - State'!W24)=0,"",_xlfn.NUMBERVALUE('2.0WP - Cen'!W24)-_xlfn.NUMBERVALUE('2.0WP - State'!W24))</f>
        <v/>
      </c>
      <c r="X24" s="8" t="str">
        <f>IF(_xlfn.NUMBERVALUE('2.0WP - Cen'!X24)-_xlfn.NUMBERVALUE('2.0WP - State'!X24)=0,"",_xlfn.NUMBERVALUE('2.0WP - Cen'!X24)-_xlfn.NUMBERVALUE('2.0WP - State'!X24))</f>
        <v/>
      </c>
      <c r="Y24" s="8" t="str">
        <f>IF(_xlfn.NUMBERVALUE('2.0WP - Cen'!Y24)-_xlfn.NUMBERVALUE('2.0WP - State'!Y24)=0,"",_xlfn.NUMBERVALUE('2.0WP - Cen'!Y24)-_xlfn.NUMBERVALUE('2.0WP - State'!Y24))</f>
        <v/>
      </c>
      <c r="Z24" s="8" t="str">
        <f>IF(_xlfn.NUMBERVALUE('2.0WP - Cen'!Z24)-_xlfn.NUMBERVALUE('2.0WP - State'!Z24)=0,"",_xlfn.NUMBERVALUE('2.0WP - Cen'!Z24)-_xlfn.NUMBERVALUE('2.0WP - State'!Z24))</f>
        <v/>
      </c>
      <c r="AA24" s="8" t="str">
        <f>IF(_xlfn.NUMBERVALUE('2.0WP - Cen'!AA24)-_xlfn.NUMBERVALUE('2.0WP - State'!AA24)=0,"",_xlfn.NUMBERVALUE('2.0WP - Cen'!AA24)-_xlfn.NUMBERVALUE('2.0WP - State'!AA24))</f>
        <v/>
      </c>
      <c r="AB24" s="8" t="str">
        <f>IF(_xlfn.NUMBERVALUE('2.0WP - Cen'!AB24)-_xlfn.NUMBERVALUE('2.0WP - State'!AB24)=0,"",_xlfn.NUMBERVALUE('2.0WP - Cen'!AB24)-_xlfn.NUMBERVALUE('2.0WP - State'!AB24))</f>
        <v/>
      </c>
      <c r="AC24" s="8">
        <f>IF(_xlfn.NUMBERVALUE('2.0WP - Cen'!AC24)-_xlfn.NUMBERVALUE('2.0WP - State'!AC24)=0,"",_xlfn.NUMBERVALUE('2.0WP - Cen'!AC24)-_xlfn.NUMBERVALUE('2.0WP - State'!AC24))</f>
        <v>4</v>
      </c>
      <c r="AD24" s="8" t="str">
        <f>IF(_xlfn.NUMBERVALUE('2.0WP - Cen'!AD24)-_xlfn.NUMBERVALUE('2.0WP - State'!AD24)=0,"",_xlfn.NUMBERVALUE('2.0WP - Cen'!AD24)-_xlfn.NUMBERVALUE('2.0WP - State'!AD24))</f>
        <v/>
      </c>
      <c r="AE24" s="8" t="str">
        <f>IF(_xlfn.NUMBERVALUE('2.0WP - Cen'!AE24)-_xlfn.NUMBERVALUE('2.0WP - State'!AE24)=0,"",_xlfn.NUMBERVALUE('2.0WP - Cen'!AE24)-_xlfn.NUMBERVALUE('2.0WP - State'!AE24))</f>
        <v/>
      </c>
      <c r="AF24" s="8" t="str">
        <f>IF(_xlfn.NUMBERVALUE('2.0WP - Cen'!AF24)-_xlfn.NUMBERVALUE('2.0WP - State'!AF24)=0,"",_xlfn.NUMBERVALUE('2.0WP - Cen'!AF24)-_xlfn.NUMBERVALUE('2.0WP - State'!AF24))</f>
        <v/>
      </c>
      <c r="AG24" s="8" t="str">
        <f>IF(_xlfn.NUMBERVALUE('2.0WP - Cen'!AG24)-_xlfn.NUMBERVALUE('2.0WP - State'!AG24)=0,"",_xlfn.NUMBERVALUE('2.0WP - Cen'!AG24)-_xlfn.NUMBERVALUE('2.0WP - State'!AG24))</f>
        <v/>
      </c>
      <c r="AH24" s="8" t="str">
        <f>IF(_xlfn.NUMBERVALUE('2.0WP - Cen'!AH24)-_xlfn.NUMBERVALUE('2.0WP - State'!AH24)=0,"",_xlfn.NUMBERVALUE('2.0WP - Cen'!AH24)-_xlfn.NUMBERVALUE('2.0WP - State'!AH24))</f>
        <v/>
      </c>
      <c r="AI24" s="8" t="str">
        <f>IF(_xlfn.NUMBERVALUE('2.0WP - Cen'!AI24)-_xlfn.NUMBERVALUE('2.0WP - State'!AI24)=0,"",_xlfn.NUMBERVALUE('2.0WP - Cen'!AI24)-_xlfn.NUMBERVALUE('2.0WP - State'!AI24))</f>
        <v/>
      </c>
      <c r="AJ24" s="8" t="str">
        <f>IF(_xlfn.NUMBERVALUE('2.0WP - Cen'!AJ24)-_xlfn.NUMBERVALUE('2.0WP - State'!AJ24)=0,"",_xlfn.NUMBERVALUE('2.0WP - Cen'!AJ24)-_xlfn.NUMBERVALUE('2.0WP - State'!AJ24))</f>
        <v/>
      </c>
      <c r="AK24" s="17">
        <f t="shared" si="1"/>
        <v>6</v>
      </c>
      <c r="AL24" s="10">
        <f t="shared" si="2"/>
        <v>12</v>
      </c>
    </row>
    <row r="25" spans="1:38" x14ac:dyDescent="0.25">
      <c r="A25" s="12" t="str">
        <f>'[1]2.0WS'!A25</f>
        <v>03</v>
      </c>
      <c r="B25" s="13" t="str">
        <f>'[1]2.0WS'!B25</f>
        <v>KANCHEEPURAM</v>
      </c>
      <c r="C25" s="8" t="str">
        <f>IF(_xlfn.NUMBERVALUE('2.0WP - Cen'!C25)-_xlfn.NUMBERVALUE('2.0WP - State'!C25)=0,"",_xlfn.NUMBERVALUE('2.0WP - Cen'!C25)-_xlfn.NUMBERVALUE('2.0WP - State'!C25))</f>
        <v/>
      </c>
      <c r="D25" s="8" t="str">
        <f>IF(_xlfn.NUMBERVALUE('2.0WP - Cen'!D25)-_xlfn.NUMBERVALUE('2.0WP - State'!D25)=0,"",_xlfn.NUMBERVALUE('2.0WP - Cen'!D25)-_xlfn.NUMBERVALUE('2.0WP - State'!D25))</f>
        <v/>
      </c>
      <c r="E25" s="8">
        <f>IF(_xlfn.NUMBERVALUE('2.0WP - Cen'!E25)-_xlfn.NUMBERVALUE('2.0WP - State'!E25)=0,"",_xlfn.NUMBERVALUE('2.0WP - Cen'!E25)-_xlfn.NUMBERVALUE('2.0WP - State'!E25))</f>
        <v>4</v>
      </c>
      <c r="F25" s="8" t="str">
        <f>IF(_xlfn.NUMBERVALUE('2.0WP - Cen'!F25)-_xlfn.NUMBERVALUE('2.0WP - State'!F25)=0,"",_xlfn.NUMBERVALUE('2.0WP - Cen'!F25)-_xlfn.NUMBERVALUE('2.0WP - State'!F25))</f>
        <v/>
      </c>
      <c r="G25" s="8" t="str">
        <f>IF(_xlfn.NUMBERVALUE('2.0WP - Cen'!G25)-_xlfn.NUMBERVALUE('2.0WP - State'!G25)=0,"",_xlfn.NUMBERVALUE('2.0WP - Cen'!G25)-_xlfn.NUMBERVALUE('2.0WP - State'!G25))</f>
        <v/>
      </c>
      <c r="H25" s="8" t="str">
        <f>IF(_xlfn.NUMBERVALUE('2.0WP - Cen'!H25)-_xlfn.NUMBERVALUE('2.0WP - State'!H25)=0,"",_xlfn.NUMBERVALUE('2.0WP - Cen'!H25)-_xlfn.NUMBERVALUE('2.0WP - State'!H25))</f>
        <v/>
      </c>
      <c r="I25" s="8" t="str">
        <f>IF(_xlfn.NUMBERVALUE('2.0WP - Cen'!I25)-_xlfn.NUMBERVALUE('2.0WP - State'!I25)=0,"",_xlfn.NUMBERVALUE('2.0WP - Cen'!I25)-_xlfn.NUMBERVALUE('2.0WP - State'!I25))</f>
        <v/>
      </c>
      <c r="J25" s="8" t="str">
        <f>IF(_xlfn.NUMBERVALUE('2.0WP - Cen'!J25)-_xlfn.NUMBERVALUE('2.0WP - State'!J25)=0,"",_xlfn.NUMBERVALUE('2.0WP - Cen'!J25)-_xlfn.NUMBERVALUE('2.0WP - State'!J25))</f>
        <v/>
      </c>
      <c r="K25" s="8" t="str">
        <f>IF(_xlfn.NUMBERVALUE('2.0WP - Cen'!K25)-_xlfn.NUMBERVALUE('2.0WP - State'!K25)=0,"",_xlfn.NUMBERVALUE('2.0WP - Cen'!K25)-_xlfn.NUMBERVALUE('2.0WP - State'!K25))</f>
        <v/>
      </c>
      <c r="L25" s="8" t="str">
        <f>IF(_xlfn.NUMBERVALUE('2.0WP - Cen'!L25)-_xlfn.NUMBERVALUE('2.0WP - State'!L25)=0,"",_xlfn.NUMBERVALUE('2.0WP - Cen'!L25)-_xlfn.NUMBERVALUE('2.0WP - State'!L25))</f>
        <v/>
      </c>
      <c r="M25" s="8">
        <f>IF(_xlfn.NUMBERVALUE('2.0WP - Cen'!M25)-_xlfn.NUMBERVALUE('2.0WP - State'!M25)=0,"",_xlfn.NUMBERVALUE('2.0WP - Cen'!M25)-_xlfn.NUMBERVALUE('2.0WP - State'!M25))</f>
        <v>4</v>
      </c>
      <c r="N25" s="8" t="str">
        <f>IF(_xlfn.NUMBERVALUE('2.0WP - Cen'!N25)-_xlfn.NUMBERVALUE('2.0WP - State'!N25)=0,"",_xlfn.NUMBERVALUE('2.0WP - Cen'!N25)-_xlfn.NUMBERVALUE('2.0WP - State'!N25))</f>
        <v/>
      </c>
      <c r="O25" s="8" t="str">
        <f>IF(_xlfn.NUMBERVALUE('2.0WP - Cen'!O25)-_xlfn.NUMBERVALUE('2.0WP - State'!O25)=0,"",_xlfn.NUMBERVALUE('2.0WP - Cen'!O25)-_xlfn.NUMBERVALUE('2.0WP - State'!O25))</f>
        <v/>
      </c>
      <c r="P25" s="8" t="str">
        <f>IF(_xlfn.NUMBERVALUE('2.0WP - Cen'!P25)-_xlfn.NUMBERVALUE('2.0WP - State'!P25)=0,"",_xlfn.NUMBERVALUE('2.0WP - Cen'!P25)-_xlfn.NUMBERVALUE('2.0WP - State'!P25))</f>
        <v/>
      </c>
      <c r="Q25" s="8" t="str">
        <f>IF(_xlfn.NUMBERVALUE('2.0WP - Cen'!Q25)-_xlfn.NUMBERVALUE('2.0WP - State'!Q25)=0,"",_xlfn.NUMBERVALUE('2.0WP - Cen'!Q25)-_xlfn.NUMBERVALUE('2.0WP - State'!Q25))</f>
        <v/>
      </c>
      <c r="R25" s="8" t="str">
        <f>IF(_xlfn.NUMBERVALUE('2.0WP - Cen'!R25)-_xlfn.NUMBERVALUE('2.0WP - State'!R25)=0,"",_xlfn.NUMBERVALUE('2.0WP - Cen'!R25)-_xlfn.NUMBERVALUE('2.0WP - State'!R25))</f>
        <v/>
      </c>
      <c r="S25" s="8" t="str">
        <f>IF(_xlfn.NUMBERVALUE('2.0WP - Cen'!S25)-_xlfn.NUMBERVALUE('2.0WP - State'!S25)=0,"",_xlfn.NUMBERVALUE('2.0WP - Cen'!S25)-_xlfn.NUMBERVALUE('2.0WP - State'!S25))</f>
        <v/>
      </c>
      <c r="T25" s="9">
        <f t="shared" si="4"/>
        <v>8</v>
      </c>
      <c r="U25" s="8" t="str">
        <f>IF(_xlfn.NUMBERVALUE('2.0WP - Cen'!U25)-_xlfn.NUMBERVALUE('2.0WP - State'!U25)=0,"",_xlfn.NUMBERVALUE('2.0WP - Cen'!U25)-_xlfn.NUMBERVALUE('2.0WP - State'!U25))</f>
        <v/>
      </c>
      <c r="V25" s="8" t="str">
        <f>IF(_xlfn.NUMBERVALUE('2.0WP - Cen'!V25)-_xlfn.NUMBERVALUE('2.0WP - State'!V25)=0,"",_xlfn.NUMBERVALUE('2.0WP - Cen'!V25)-_xlfn.NUMBERVALUE('2.0WP - State'!V25))</f>
        <v/>
      </c>
      <c r="W25" s="8" t="str">
        <f>IF(_xlfn.NUMBERVALUE('2.0WP - Cen'!W25)-_xlfn.NUMBERVALUE('2.0WP - State'!W25)=0,"",_xlfn.NUMBERVALUE('2.0WP - Cen'!W25)-_xlfn.NUMBERVALUE('2.0WP - State'!W25))</f>
        <v/>
      </c>
      <c r="X25" s="8" t="str">
        <f>IF(_xlfn.NUMBERVALUE('2.0WP - Cen'!X25)-_xlfn.NUMBERVALUE('2.0WP - State'!X25)=0,"",_xlfn.NUMBERVALUE('2.0WP - Cen'!X25)-_xlfn.NUMBERVALUE('2.0WP - State'!X25))</f>
        <v/>
      </c>
      <c r="Y25" s="8" t="str">
        <f>IF(_xlfn.NUMBERVALUE('2.0WP - Cen'!Y25)-_xlfn.NUMBERVALUE('2.0WP - State'!Y25)=0,"",_xlfn.NUMBERVALUE('2.0WP - Cen'!Y25)-_xlfn.NUMBERVALUE('2.0WP - State'!Y25))</f>
        <v/>
      </c>
      <c r="Z25" s="8" t="str">
        <f>IF(_xlfn.NUMBERVALUE('2.0WP - Cen'!Z25)-_xlfn.NUMBERVALUE('2.0WP - State'!Z25)=0,"",_xlfn.NUMBERVALUE('2.0WP - Cen'!Z25)-_xlfn.NUMBERVALUE('2.0WP - State'!Z25))</f>
        <v/>
      </c>
      <c r="AA25" s="8" t="str">
        <f>IF(_xlfn.NUMBERVALUE('2.0WP - Cen'!AA25)-_xlfn.NUMBERVALUE('2.0WP - State'!AA25)=0,"",_xlfn.NUMBERVALUE('2.0WP - Cen'!AA25)-_xlfn.NUMBERVALUE('2.0WP - State'!AA25))</f>
        <v/>
      </c>
      <c r="AB25" s="8" t="str">
        <f>IF(_xlfn.NUMBERVALUE('2.0WP - Cen'!AB25)-_xlfn.NUMBERVALUE('2.0WP - State'!AB25)=0,"",_xlfn.NUMBERVALUE('2.0WP - Cen'!AB25)-_xlfn.NUMBERVALUE('2.0WP - State'!AB25))</f>
        <v/>
      </c>
      <c r="AC25" s="8" t="str">
        <f>IF(_xlfn.NUMBERVALUE('2.0WP - Cen'!AC25)-_xlfn.NUMBERVALUE('2.0WP - State'!AC25)=0,"",_xlfn.NUMBERVALUE('2.0WP - Cen'!AC25)-_xlfn.NUMBERVALUE('2.0WP - State'!AC25))</f>
        <v/>
      </c>
      <c r="AD25" s="8" t="str">
        <f>IF(_xlfn.NUMBERVALUE('2.0WP - Cen'!AD25)-_xlfn.NUMBERVALUE('2.0WP - State'!AD25)=0,"",_xlfn.NUMBERVALUE('2.0WP - Cen'!AD25)-_xlfn.NUMBERVALUE('2.0WP - State'!AD25))</f>
        <v/>
      </c>
      <c r="AE25" s="8" t="str">
        <f>IF(_xlfn.NUMBERVALUE('2.0WP - Cen'!AE25)-_xlfn.NUMBERVALUE('2.0WP - State'!AE25)=0,"",_xlfn.NUMBERVALUE('2.0WP - Cen'!AE25)-_xlfn.NUMBERVALUE('2.0WP - State'!AE25))</f>
        <v/>
      </c>
      <c r="AF25" s="8" t="str">
        <f>IF(_xlfn.NUMBERVALUE('2.0WP - Cen'!AF25)-_xlfn.NUMBERVALUE('2.0WP - State'!AF25)=0,"",_xlfn.NUMBERVALUE('2.0WP - Cen'!AF25)-_xlfn.NUMBERVALUE('2.0WP - State'!AF25))</f>
        <v/>
      </c>
      <c r="AG25" s="8" t="str">
        <f>IF(_xlfn.NUMBERVALUE('2.0WP - Cen'!AG25)-_xlfn.NUMBERVALUE('2.0WP - State'!AG25)=0,"",_xlfn.NUMBERVALUE('2.0WP - Cen'!AG25)-_xlfn.NUMBERVALUE('2.0WP - State'!AG25))</f>
        <v/>
      </c>
      <c r="AH25" s="8" t="str">
        <f>IF(_xlfn.NUMBERVALUE('2.0WP - Cen'!AH25)-_xlfn.NUMBERVALUE('2.0WP - State'!AH25)=0,"",_xlfn.NUMBERVALUE('2.0WP - Cen'!AH25)-_xlfn.NUMBERVALUE('2.0WP - State'!AH25))</f>
        <v/>
      </c>
      <c r="AI25" s="8" t="str">
        <f>IF(_xlfn.NUMBERVALUE('2.0WP - Cen'!AI25)-_xlfn.NUMBERVALUE('2.0WP - State'!AI25)=0,"",_xlfn.NUMBERVALUE('2.0WP - Cen'!AI25)-_xlfn.NUMBERVALUE('2.0WP - State'!AI25))</f>
        <v/>
      </c>
      <c r="AJ25" s="8" t="str">
        <f>IF(_xlfn.NUMBERVALUE('2.0WP - Cen'!AJ25)-_xlfn.NUMBERVALUE('2.0WP - State'!AJ25)=0,"",_xlfn.NUMBERVALUE('2.0WP - Cen'!AJ25)-_xlfn.NUMBERVALUE('2.0WP - State'!AJ25))</f>
        <v/>
      </c>
      <c r="AK25" s="17">
        <f t="shared" si="1"/>
        <v>0</v>
      </c>
      <c r="AL25" s="10">
        <f t="shared" si="2"/>
        <v>8</v>
      </c>
    </row>
    <row r="26" spans="1:38" x14ac:dyDescent="0.25">
      <c r="A26" s="12" t="str">
        <f>'[1]2.0WS'!A26</f>
        <v>33</v>
      </c>
      <c r="B26" s="13" t="str">
        <f>'[1]2.0WS'!B26</f>
        <v>CHENGALPATTU</v>
      </c>
      <c r="C26" s="8" t="str">
        <f>IF(_xlfn.NUMBERVALUE('2.0WP - Cen'!C26)-_xlfn.NUMBERVALUE('2.0WP - State'!C26)=0,"",_xlfn.NUMBERVALUE('2.0WP - Cen'!C26)-_xlfn.NUMBERVALUE('2.0WP - State'!C26))</f>
        <v/>
      </c>
      <c r="D26" s="8" t="str">
        <f>IF(_xlfn.NUMBERVALUE('2.0WP - Cen'!D26)-_xlfn.NUMBERVALUE('2.0WP - State'!D26)=0,"",_xlfn.NUMBERVALUE('2.0WP - Cen'!D26)-_xlfn.NUMBERVALUE('2.0WP - State'!D26))</f>
        <v/>
      </c>
      <c r="E26" s="8" t="str">
        <f>IF(_xlfn.NUMBERVALUE('2.0WP - Cen'!E26)-_xlfn.NUMBERVALUE('2.0WP - State'!E26)=0,"",_xlfn.NUMBERVALUE('2.0WP - Cen'!E26)-_xlfn.NUMBERVALUE('2.0WP - State'!E26))</f>
        <v/>
      </c>
      <c r="F26" s="8" t="str">
        <f>IF(_xlfn.NUMBERVALUE('2.0WP - Cen'!F26)-_xlfn.NUMBERVALUE('2.0WP - State'!F26)=0,"",_xlfn.NUMBERVALUE('2.0WP - Cen'!F26)-_xlfn.NUMBERVALUE('2.0WP - State'!F26))</f>
        <v/>
      </c>
      <c r="G26" s="8" t="str">
        <f>IF(_xlfn.NUMBERVALUE('2.0WP - Cen'!G26)-_xlfn.NUMBERVALUE('2.0WP - State'!G26)=0,"",_xlfn.NUMBERVALUE('2.0WP - Cen'!G26)-_xlfn.NUMBERVALUE('2.0WP - State'!G26))</f>
        <v/>
      </c>
      <c r="H26" s="8" t="str">
        <f>IF(_xlfn.NUMBERVALUE('2.0WP - Cen'!H26)-_xlfn.NUMBERVALUE('2.0WP - State'!H26)=0,"",_xlfn.NUMBERVALUE('2.0WP - Cen'!H26)-_xlfn.NUMBERVALUE('2.0WP - State'!H26))</f>
        <v/>
      </c>
      <c r="I26" s="8" t="str">
        <f>IF(_xlfn.NUMBERVALUE('2.0WP - Cen'!I26)-_xlfn.NUMBERVALUE('2.0WP - State'!I26)=0,"",_xlfn.NUMBERVALUE('2.0WP - Cen'!I26)-_xlfn.NUMBERVALUE('2.0WP - State'!I26))</f>
        <v/>
      </c>
      <c r="J26" s="8" t="str">
        <f>IF(_xlfn.NUMBERVALUE('2.0WP - Cen'!J26)-_xlfn.NUMBERVALUE('2.0WP - State'!J26)=0,"",_xlfn.NUMBERVALUE('2.0WP - Cen'!J26)-_xlfn.NUMBERVALUE('2.0WP - State'!J26))</f>
        <v/>
      </c>
      <c r="K26" s="8" t="str">
        <f>IF(_xlfn.NUMBERVALUE('2.0WP - Cen'!K26)-_xlfn.NUMBERVALUE('2.0WP - State'!K26)=0,"",_xlfn.NUMBERVALUE('2.0WP - Cen'!K26)-_xlfn.NUMBERVALUE('2.0WP - State'!K26))</f>
        <v/>
      </c>
      <c r="L26" s="8" t="str">
        <f>IF(_xlfn.NUMBERVALUE('2.0WP - Cen'!L26)-_xlfn.NUMBERVALUE('2.0WP - State'!L26)=0,"",_xlfn.NUMBERVALUE('2.0WP - Cen'!L26)-_xlfn.NUMBERVALUE('2.0WP - State'!L26))</f>
        <v/>
      </c>
      <c r="M26" s="8" t="str">
        <f>IF(_xlfn.NUMBERVALUE('2.0WP - Cen'!M26)-_xlfn.NUMBERVALUE('2.0WP - State'!M26)=0,"",_xlfn.NUMBERVALUE('2.0WP - Cen'!M26)-_xlfn.NUMBERVALUE('2.0WP - State'!M26))</f>
        <v/>
      </c>
      <c r="N26" s="8" t="str">
        <f>IF(_xlfn.NUMBERVALUE('2.0WP - Cen'!N26)-_xlfn.NUMBERVALUE('2.0WP - State'!N26)=0,"",_xlfn.NUMBERVALUE('2.0WP - Cen'!N26)-_xlfn.NUMBERVALUE('2.0WP - State'!N26))</f>
        <v/>
      </c>
      <c r="O26" s="8" t="str">
        <f>IF(_xlfn.NUMBERVALUE('2.0WP - Cen'!O26)-_xlfn.NUMBERVALUE('2.0WP - State'!O26)=0,"",_xlfn.NUMBERVALUE('2.0WP - Cen'!O26)-_xlfn.NUMBERVALUE('2.0WP - State'!O26))</f>
        <v/>
      </c>
      <c r="P26" s="8" t="str">
        <f>IF(_xlfn.NUMBERVALUE('2.0WP - Cen'!P26)-_xlfn.NUMBERVALUE('2.0WP - State'!P26)=0,"",_xlfn.NUMBERVALUE('2.0WP - Cen'!P26)-_xlfn.NUMBERVALUE('2.0WP - State'!P26))</f>
        <v/>
      </c>
      <c r="Q26" s="8" t="str">
        <f>IF(_xlfn.NUMBERVALUE('2.0WP - Cen'!Q26)-_xlfn.NUMBERVALUE('2.0WP - State'!Q26)=0,"",_xlfn.NUMBERVALUE('2.0WP - Cen'!Q26)-_xlfn.NUMBERVALUE('2.0WP - State'!Q26))</f>
        <v/>
      </c>
      <c r="R26" s="8" t="str">
        <f>IF(_xlfn.NUMBERVALUE('2.0WP - Cen'!R26)-_xlfn.NUMBERVALUE('2.0WP - State'!R26)=0,"",_xlfn.NUMBERVALUE('2.0WP - Cen'!R26)-_xlfn.NUMBERVALUE('2.0WP - State'!R26))</f>
        <v/>
      </c>
      <c r="S26" s="8">
        <f>IF(_xlfn.NUMBERVALUE('2.0WP - Cen'!S26)-_xlfn.NUMBERVALUE('2.0WP - State'!S26)=0,"",_xlfn.NUMBERVALUE('2.0WP - Cen'!S26)-_xlfn.NUMBERVALUE('2.0WP - State'!S26))</f>
        <v>4</v>
      </c>
      <c r="T26" s="9">
        <f t="shared" si="4"/>
        <v>4</v>
      </c>
      <c r="U26" s="8">
        <f>IF(_xlfn.NUMBERVALUE('2.0WP - Cen'!U26)-_xlfn.NUMBERVALUE('2.0WP - State'!U26)=0,"",_xlfn.NUMBERVALUE('2.0WP - Cen'!U26)-_xlfn.NUMBERVALUE('2.0WP - State'!U26))</f>
        <v>4</v>
      </c>
      <c r="V26" s="8" t="str">
        <f>IF(_xlfn.NUMBERVALUE('2.0WP - Cen'!V26)-_xlfn.NUMBERVALUE('2.0WP - State'!V26)=0,"",_xlfn.NUMBERVALUE('2.0WP - Cen'!V26)-_xlfn.NUMBERVALUE('2.0WP - State'!V26))</f>
        <v/>
      </c>
      <c r="W26" s="8" t="str">
        <f>IF(_xlfn.NUMBERVALUE('2.0WP - Cen'!W26)-_xlfn.NUMBERVALUE('2.0WP - State'!W26)=0,"",_xlfn.NUMBERVALUE('2.0WP - Cen'!W26)-_xlfn.NUMBERVALUE('2.0WP - State'!W26))</f>
        <v/>
      </c>
      <c r="X26" s="8" t="str">
        <f>IF(_xlfn.NUMBERVALUE('2.0WP - Cen'!X26)-_xlfn.NUMBERVALUE('2.0WP - State'!X26)=0,"",_xlfn.NUMBERVALUE('2.0WP - Cen'!X26)-_xlfn.NUMBERVALUE('2.0WP - State'!X26))</f>
        <v/>
      </c>
      <c r="Y26" s="8" t="str">
        <f>IF(_xlfn.NUMBERVALUE('2.0WP - Cen'!Y26)-_xlfn.NUMBERVALUE('2.0WP - State'!Y26)=0,"",_xlfn.NUMBERVALUE('2.0WP - Cen'!Y26)-_xlfn.NUMBERVALUE('2.0WP - State'!Y26))</f>
        <v/>
      </c>
      <c r="Z26" s="8" t="str">
        <f>IF(_xlfn.NUMBERVALUE('2.0WP - Cen'!Z26)-_xlfn.NUMBERVALUE('2.0WP - State'!Z26)=0,"",_xlfn.NUMBERVALUE('2.0WP - Cen'!Z26)-_xlfn.NUMBERVALUE('2.0WP - State'!Z26))</f>
        <v/>
      </c>
      <c r="AA26" s="8" t="str">
        <f>IF(_xlfn.NUMBERVALUE('2.0WP - Cen'!AA26)-_xlfn.NUMBERVALUE('2.0WP - State'!AA26)=0,"",_xlfn.NUMBERVALUE('2.0WP - Cen'!AA26)-_xlfn.NUMBERVALUE('2.0WP - State'!AA26))</f>
        <v/>
      </c>
      <c r="AB26" s="8" t="str">
        <f>IF(_xlfn.NUMBERVALUE('2.0WP - Cen'!AB26)-_xlfn.NUMBERVALUE('2.0WP - State'!AB26)=0,"",_xlfn.NUMBERVALUE('2.0WP - Cen'!AB26)-_xlfn.NUMBERVALUE('2.0WP - State'!AB26))</f>
        <v/>
      </c>
      <c r="AC26" s="8" t="str">
        <f>IF(_xlfn.NUMBERVALUE('2.0WP - Cen'!AC26)-_xlfn.NUMBERVALUE('2.0WP - State'!AC26)=0,"",_xlfn.NUMBERVALUE('2.0WP - Cen'!AC26)-_xlfn.NUMBERVALUE('2.0WP - State'!AC26))</f>
        <v/>
      </c>
      <c r="AD26" s="8" t="str">
        <f>IF(_xlfn.NUMBERVALUE('2.0WP - Cen'!AD26)-_xlfn.NUMBERVALUE('2.0WP - State'!AD26)=0,"",_xlfn.NUMBERVALUE('2.0WP - Cen'!AD26)-_xlfn.NUMBERVALUE('2.0WP - State'!AD26))</f>
        <v/>
      </c>
      <c r="AE26" s="8" t="str">
        <f>IF(_xlfn.NUMBERVALUE('2.0WP - Cen'!AE26)-_xlfn.NUMBERVALUE('2.0WP - State'!AE26)=0,"",_xlfn.NUMBERVALUE('2.0WP - Cen'!AE26)-_xlfn.NUMBERVALUE('2.0WP - State'!AE26))</f>
        <v/>
      </c>
      <c r="AF26" s="8" t="str">
        <f>IF(_xlfn.NUMBERVALUE('2.0WP - Cen'!AF26)-_xlfn.NUMBERVALUE('2.0WP - State'!AF26)=0,"",_xlfn.NUMBERVALUE('2.0WP - Cen'!AF26)-_xlfn.NUMBERVALUE('2.0WP - State'!AF26))</f>
        <v/>
      </c>
      <c r="AG26" s="8" t="str">
        <f>IF(_xlfn.NUMBERVALUE('2.0WP - Cen'!AG26)-_xlfn.NUMBERVALUE('2.0WP - State'!AG26)=0,"",_xlfn.NUMBERVALUE('2.0WP - Cen'!AG26)-_xlfn.NUMBERVALUE('2.0WP - State'!AG26))</f>
        <v/>
      </c>
      <c r="AH26" s="8" t="str">
        <f>IF(_xlfn.NUMBERVALUE('2.0WP - Cen'!AH26)-_xlfn.NUMBERVALUE('2.0WP - State'!AH26)=0,"",_xlfn.NUMBERVALUE('2.0WP - Cen'!AH26)-_xlfn.NUMBERVALUE('2.0WP - State'!AH26))</f>
        <v/>
      </c>
      <c r="AI26" s="8" t="str">
        <f>IF(_xlfn.NUMBERVALUE('2.0WP - Cen'!AI26)-_xlfn.NUMBERVALUE('2.0WP - State'!AI26)=0,"",_xlfn.NUMBERVALUE('2.0WP - Cen'!AI26)-_xlfn.NUMBERVALUE('2.0WP - State'!AI26))</f>
        <v/>
      </c>
      <c r="AJ26" s="8" t="str">
        <f>IF(_xlfn.NUMBERVALUE('2.0WP - Cen'!AJ26)-_xlfn.NUMBERVALUE('2.0WP - State'!AJ26)=0,"",_xlfn.NUMBERVALUE('2.0WP - Cen'!AJ26)-_xlfn.NUMBERVALUE('2.0WP - State'!AJ26))</f>
        <v/>
      </c>
      <c r="AK26" s="17">
        <f t="shared" si="1"/>
        <v>4</v>
      </c>
      <c r="AL26" s="10">
        <f t="shared" si="2"/>
        <v>8</v>
      </c>
    </row>
    <row r="27" spans="1:38" s="3" customFormat="1" ht="14.4" customHeight="1" x14ac:dyDescent="0.25">
      <c r="A27" s="19" t="str">
        <f>'[1]2.0WS'!A27</f>
        <v>SRO CHENNAI TOTAL</v>
      </c>
      <c r="B27" s="19"/>
      <c r="C27" s="14">
        <f t="shared" ref="C27:S27" si="14">SUM(C24:C26)</f>
        <v>4</v>
      </c>
      <c r="D27" s="14">
        <f t="shared" si="14"/>
        <v>0</v>
      </c>
      <c r="E27" s="14">
        <f t="shared" si="14"/>
        <v>6</v>
      </c>
      <c r="F27" s="14">
        <f t="shared" si="14"/>
        <v>0</v>
      </c>
      <c r="G27" s="14">
        <f t="shared" si="14"/>
        <v>0</v>
      </c>
      <c r="H27" s="14">
        <f t="shared" si="14"/>
        <v>0</v>
      </c>
      <c r="I27" s="14">
        <f t="shared" si="14"/>
        <v>0</v>
      </c>
      <c r="J27" s="14">
        <f t="shared" si="14"/>
        <v>0</v>
      </c>
      <c r="K27" s="14">
        <f t="shared" si="14"/>
        <v>0</v>
      </c>
      <c r="L27" s="14">
        <f t="shared" si="14"/>
        <v>0</v>
      </c>
      <c r="M27" s="14">
        <f t="shared" si="14"/>
        <v>4</v>
      </c>
      <c r="N27" s="14">
        <f t="shared" si="14"/>
        <v>0</v>
      </c>
      <c r="O27" s="14">
        <f t="shared" si="14"/>
        <v>0</v>
      </c>
      <c r="P27" s="14">
        <f t="shared" si="14"/>
        <v>0</v>
      </c>
      <c r="Q27" s="14">
        <f t="shared" si="14"/>
        <v>0</v>
      </c>
      <c r="R27" s="14">
        <f t="shared" si="14"/>
        <v>0</v>
      </c>
      <c r="S27" s="14">
        <f t="shared" si="14"/>
        <v>4</v>
      </c>
      <c r="T27" s="9">
        <f t="shared" si="4"/>
        <v>18</v>
      </c>
      <c r="U27" s="14">
        <f t="shared" ref="U27:AJ27" si="15">SUM(U24:U26)</f>
        <v>6</v>
      </c>
      <c r="V27" s="14">
        <f t="shared" si="15"/>
        <v>0</v>
      </c>
      <c r="W27" s="14">
        <f t="shared" si="15"/>
        <v>0</v>
      </c>
      <c r="X27" s="14">
        <f t="shared" si="15"/>
        <v>0</v>
      </c>
      <c r="Y27" s="14">
        <f t="shared" si="15"/>
        <v>0</v>
      </c>
      <c r="Z27" s="14">
        <f t="shared" si="15"/>
        <v>0</v>
      </c>
      <c r="AA27" s="14">
        <f t="shared" si="15"/>
        <v>0</v>
      </c>
      <c r="AB27" s="14">
        <f t="shared" si="15"/>
        <v>0</v>
      </c>
      <c r="AC27" s="14">
        <f t="shared" si="15"/>
        <v>4</v>
      </c>
      <c r="AD27" s="14">
        <f t="shared" si="15"/>
        <v>0</v>
      </c>
      <c r="AE27" s="14">
        <f t="shared" si="15"/>
        <v>0</v>
      </c>
      <c r="AF27" s="14">
        <f t="shared" si="15"/>
        <v>0</v>
      </c>
      <c r="AG27" s="14">
        <f t="shared" si="15"/>
        <v>0</v>
      </c>
      <c r="AH27" s="14">
        <f t="shared" si="15"/>
        <v>0</v>
      </c>
      <c r="AI27" s="14">
        <f t="shared" si="15"/>
        <v>0</v>
      </c>
      <c r="AJ27" s="14">
        <f t="shared" si="15"/>
        <v>0</v>
      </c>
      <c r="AK27" s="17">
        <f t="shared" si="1"/>
        <v>10</v>
      </c>
      <c r="AL27" s="10">
        <f t="shared" si="2"/>
        <v>28</v>
      </c>
    </row>
    <row r="28" spans="1:38" x14ac:dyDescent="0.25">
      <c r="A28" s="12" t="str">
        <f>'[1]2.0WS'!A28</f>
        <v>07</v>
      </c>
      <c r="B28" s="13" t="str">
        <f>'[1]2.0WS'!B28</f>
        <v>VILUPPURAM</v>
      </c>
      <c r="C28" s="8" t="str">
        <f>IF(_xlfn.NUMBERVALUE('2.0WP - Cen'!C28)-_xlfn.NUMBERVALUE('2.0WP - State'!C28)=0,"",_xlfn.NUMBERVALUE('2.0WP - Cen'!C28)-_xlfn.NUMBERVALUE('2.0WP - State'!C28))</f>
        <v/>
      </c>
      <c r="D28" s="8" t="str">
        <f>IF(_xlfn.NUMBERVALUE('2.0WP - Cen'!D28)-_xlfn.NUMBERVALUE('2.0WP - State'!D28)=0,"",_xlfn.NUMBERVALUE('2.0WP - Cen'!D28)-_xlfn.NUMBERVALUE('2.0WP - State'!D28))</f>
        <v/>
      </c>
      <c r="E28" s="8" t="str">
        <f>IF(_xlfn.NUMBERVALUE('2.0WP - Cen'!E28)-_xlfn.NUMBERVALUE('2.0WP - State'!E28)=0,"",_xlfn.NUMBERVALUE('2.0WP - Cen'!E28)-_xlfn.NUMBERVALUE('2.0WP - State'!E28))</f>
        <v/>
      </c>
      <c r="F28" s="8" t="str">
        <f>IF(_xlfn.NUMBERVALUE('2.0WP - Cen'!F28)-_xlfn.NUMBERVALUE('2.0WP - State'!F28)=0,"",_xlfn.NUMBERVALUE('2.0WP - Cen'!F28)-_xlfn.NUMBERVALUE('2.0WP - State'!F28))</f>
        <v/>
      </c>
      <c r="G28" s="8" t="str">
        <f>IF(_xlfn.NUMBERVALUE('2.0WP - Cen'!G28)-_xlfn.NUMBERVALUE('2.0WP - State'!G28)=0,"",_xlfn.NUMBERVALUE('2.0WP - Cen'!G28)-_xlfn.NUMBERVALUE('2.0WP - State'!G28))</f>
        <v/>
      </c>
      <c r="H28" s="8" t="str">
        <f>IF(_xlfn.NUMBERVALUE('2.0WP - Cen'!H28)-_xlfn.NUMBERVALUE('2.0WP - State'!H28)=0,"",_xlfn.NUMBERVALUE('2.0WP - Cen'!H28)-_xlfn.NUMBERVALUE('2.0WP - State'!H28))</f>
        <v/>
      </c>
      <c r="I28" s="8" t="str">
        <f>IF(_xlfn.NUMBERVALUE('2.0WP - Cen'!I28)-_xlfn.NUMBERVALUE('2.0WP - State'!I28)=0,"",_xlfn.NUMBERVALUE('2.0WP - Cen'!I28)-_xlfn.NUMBERVALUE('2.0WP - State'!I28))</f>
        <v/>
      </c>
      <c r="J28" s="8" t="str">
        <f>IF(_xlfn.NUMBERVALUE('2.0WP - Cen'!J28)-_xlfn.NUMBERVALUE('2.0WP - State'!J28)=0,"",_xlfn.NUMBERVALUE('2.0WP - Cen'!J28)-_xlfn.NUMBERVALUE('2.0WP - State'!J28))</f>
        <v/>
      </c>
      <c r="K28" s="8" t="str">
        <f>IF(_xlfn.NUMBERVALUE('2.0WP - Cen'!K28)-_xlfn.NUMBERVALUE('2.0WP - State'!K28)=0,"",_xlfn.NUMBERVALUE('2.0WP - Cen'!K28)-_xlfn.NUMBERVALUE('2.0WP - State'!K28))</f>
        <v/>
      </c>
      <c r="L28" s="8" t="str">
        <f>IF(_xlfn.NUMBERVALUE('2.0WP - Cen'!L28)-_xlfn.NUMBERVALUE('2.0WP - State'!L28)=0,"",_xlfn.NUMBERVALUE('2.0WP - Cen'!L28)-_xlfn.NUMBERVALUE('2.0WP - State'!L28))</f>
        <v/>
      </c>
      <c r="M28" s="8" t="str">
        <f>IF(_xlfn.NUMBERVALUE('2.0WP - Cen'!M28)-_xlfn.NUMBERVALUE('2.0WP - State'!M28)=0,"",_xlfn.NUMBERVALUE('2.0WP - Cen'!M28)-_xlfn.NUMBERVALUE('2.0WP - State'!M28))</f>
        <v/>
      </c>
      <c r="N28" s="8" t="str">
        <f>IF(_xlfn.NUMBERVALUE('2.0WP - Cen'!N28)-_xlfn.NUMBERVALUE('2.0WP - State'!N28)=0,"",_xlfn.NUMBERVALUE('2.0WP - Cen'!N28)-_xlfn.NUMBERVALUE('2.0WP - State'!N28))</f>
        <v/>
      </c>
      <c r="O28" s="8" t="str">
        <f>IF(_xlfn.NUMBERVALUE('2.0WP - Cen'!O28)-_xlfn.NUMBERVALUE('2.0WP - State'!O28)=0,"",_xlfn.NUMBERVALUE('2.0WP - Cen'!O28)-_xlfn.NUMBERVALUE('2.0WP - State'!O28))</f>
        <v/>
      </c>
      <c r="P28" s="8" t="str">
        <f>IF(_xlfn.NUMBERVALUE('2.0WP - Cen'!P28)-_xlfn.NUMBERVALUE('2.0WP - State'!P28)=0,"",_xlfn.NUMBERVALUE('2.0WP - Cen'!P28)-_xlfn.NUMBERVALUE('2.0WP - State'!P28))</f>
        <v/>
      </c>
      <c r="Q28" s="8" t="str">
        <f>IF(_xlfn.NUMBERVALUE('2.0WP - Cen'!Q28)-_xlfn.NUMBERVALUE('2.0WP - State'!Q28)=0,"",_xlfn.NUMBERVALUE('2.0WP - Cen'!Q28)-_xlfn.NUMBERVALUE('2.0WP - State'!Q28))</f>
        <v/>
      </c>
      <c r="R28" s="8" t="str">
        <f>IF(_xlfn.NUMBERVALUE('2.0WP - Cen'!R28)-_xlfn.NUMBERVALUE('2.0WP - State'!R28)=0,"",_xlfn.NUMBERVALUE('2.0WP - Cen'!R28)-_xlfn.NUMBERVALUE('2.0WP - State'!R28))</f>
        <v/>
      </c>
      <c r="S28" s="8" t="str">
        <f>IF(_xlfn.NUMBERVALUE('2.0WP - Cen'!S28)-_xlfn.NUMBERVALUE('2.0WP - State'!S28)=0,"",_xlfn.NUMBERVALUE('2.0WP - Cen'!S28)-_xlfn.NUMBERVALUE('2.0WP - State'!S28))</f>
        <v/>
      </c>
      <c r="T28" s="9">
        <f t="shared" si="4"/>
        <v>0</v>
      </c>
      <c r="U28" s="8" t="str">
        <f>IF(_xlfn.NUMBERVALUE('2.0WP - Cen'!U28)-_xlfn.NUMBERVALUE('2.0WP - State'!U28)=0,"",_xlfn.NUMBERVALUE('2.0WP - Cen'!U28)-_xlfn.NUMBERVALUE('2.0WP - State'!U28))</f>
        <v/>
      </c>
      <c r="V28" s="8" t="str">
        <f>IF(_xlfn.NUMBERVALUE('2.0WP - Cen'!V28)-_xlfn.NUMBERVALUE('2.0WP - State'!V28)=0,"",_xlfn.NUMBERVALUE('2.0WP - Cen'!V28)-_xlfn.NUMBERVALUE('2.0WP - State'!V28))</f>
        <v/>
      </c>
      <c r="W28" s="8" t="str">
        <f>IF(_xlfn.NUMBERVALUE('2.0WP - Cen'!W28)-_xlfn.NUMBERVALUE('2.0WP - State'!W28)=0,"",_xlfn.NUMBERVALUE('2.0WP - Cen'!W28)-_xlfn.NUMBERVALUE('2.0WP - State'!W28))</f>
        <v/>
      </c>
      <c r="X28" s="8" t="str">
        <f>IF(_xlfn.NUMBERVALUE('2.0WP - Cen'!X28)-_xlfn.NUMBERVALUE('2.0WP - State'!X28)=0,"",_xlfn.NUMBERVALUE('2.0WP - Cen'!X28)-_xlfn.NUMBERVALUE('2.0WP - State'!X28))</f>
        <v/>
      </c>
      <c r="Y28" s="8" t="str">
        <f>IF(_xlfn.NUMBERVALUE('2.0WP - Cen'!Y28)-_xlfn.NUMBERVALUE('2.0WP - State'!Y28)=0,"",_xlfn.NUMBERVALUE('2.0WP - Cen'!Y28)-_xlfn.NUMBERVALUE('2.0WP - State'!Y28))</f>
        <v/>
      </c>
      <c r="Z28" s="8" t="str">
        <f>IF(_xlfn.NUMBERVALUE('2.0WP - Cen'!Z28)-_xlfn.NUMBERVALUE('2.0WP - State'!Z28)=0,"",_xlfn.NUMBERVALUE('2.0WP - Cen'!Z28)-_xlfn.NUMBERVALUE('2.0WP - State'!Z28))</f>
        <v/>
      </c>
      <c r="AA28" s="8" t="str">
        <f>IF(_xlfn.NUMBERVALUE('2.0WP - Cen'!AA28)-_xlfn.NUMBERVALUE('2.0WP - State'!AA28)=0,"",_xlfn.NUMBERVALUE('2.0WP - Cen'!AA28)-_xlfn.NUMBERVALUE('2.0WP - State'!AA28))</f>
        <v/>
      </c>
      <c r="AB28" s="8" t="str">
        <f>IF(_xlfn.NUMBERVALUE('2.0WP - Cen'!AB28)-_xlfn.NUMBERVALUE('2.0WP - State'!AB28)=0,"",_xlfn.NUMBERVALUE('2.0WP - Cen'!AB28)-_xlfn.NUMBERVALUE('2.0WP - State'!AB28))</f>
        <v/>
      </c>
      <c r="AC28" s="8" t="str">
        <f>IF(_xlfn.NUMBERVALUE('2.0WP - Cen'!AC28)-_xlfn.NUMBERVALUE('2.0WP - State'!AC28)=0,"",_xlfn.NUMBERVALUE('2.0WP - Cen'!AC28)-_xlfn.NUMBERVALUE('2.0WP - State'!AC28))</f>
        <v/>
      </c>
      <c r="AD28" s="8" t="str">
        <f>IF(_xlfn.NUMBERVALUE('2.0WP - Cen'!AD28)-_xlfn.NUMBERVALUE('2.0WP - State'!AD28)=0,"",_xlfn.NUMBERVALUE('2.0WP - Cen'!AD28)-_xlfn.NUMBERVALUE('2.0WP - State'!AD28))</f>
        <v/>
      </c>
      <c r="AE28" s="8" t="str">
        <f>IF(_xlfn.NUMBERVALUE('2.0WP - Cen'!AE28)-_xlfn.NUMBERVALUE('2.0WP - State'!AE28)=0,"",_xlfn.NUMBERVALUE('2.0WP - Cen'!AE28)-_xlfn.NUMBERVALUE('2.0WP - State'!AE28))</f>
        <v/>
      </c>
      <c r="AF28" s="8" t="str">
        <f>IF(_xlfn.NUMBERVALUE('2.0WP - Cen'!AF28)-_xlfn.NUMBERVALUE('2.0WP - State'!AF28)=0,"",_xlfn.NUMBERVALUE('2.0WP - Cen'!AF28)-_xlfn.NUMBERVALUE('2.0WP - State'!AF28))</f>
        <v/>
      </c>
      <c r="AG28" s="8" t="str">
        <f>IF(_xlfn.NUMBERVALUE('2.0WP - Cen'!AG28)-_xlfn.NUMBERVALUE('2.0WP - State'!AG28)=0,"",_xlfn.NUMBERVALUE('2.0WP - Cen'!AG28)-_xlfn.NUMBERVALUE('2.0WP - State'!AG28))</f>
        <v/>
      </c>
      <c r="AH28" s="8" t="str">
        <f>IF(_xlfn.NUMBERVALUE('2.0WP - Cen'!AH28)-_xlfn.NUMBERVALUE('2.0WP - State'!AH28)=0,"",_xlfn.NUMBERVALUE('2.0WP - Cen'!AH28)-_xlfn.NUMBERVALUE('2.0WP - State'!AH28))</f>
        <v/>
      </c>
      <c r="AI28" s="8" t="str">
        <f>IF(_xlfn.NUMBERVALUE('2.0WP - Cen'!AI28)-_xlfn.NUMBERVALUE('2.0WP - State'!AI28)=0,"",_xlfn.NUMBERVALUE('2.0WP - Cen'!AI28)-_xlfn.NUMBERVALUE('2.0WP - State'!AI28))</f>
        <v/>
      </c>
      <c r="AJ28" s="8" t="str">
        <f>IF(_xlfn.NUMBERVALUE('2.0WP - Cen'!AJ28)-_xlfn.NUMBERVALUE('2.0WP - State'!AJ28)=0,"",_xlfn.NUMBERVALUE('2.0WP - Cen'!AJ28)-_xlfn.NUMBERVALUE('2.0WP - State'!AJ28))</f>
        <v/>
      </c>
      <c r="AK28" s="17">
        <f t="shared" si="1"/>
        <v>0</v>
      </c>
      <c r="AL28" s="10">
        <f t="shared" si="2"/>
        <v>0</v>
      </c>
    </row>
    <row r="29" spans="1:38" x14ac:dyDescent="0.25">
      <c r="A29" s="12" t="str">
        <f>'[1]2.0WS'!A29</f>
        <v>18</v>
      </c>
      <c r="B29" s="13" t="str">
        <f>'[1]2.0WS'!B29</f>
        <v>CUDDALORE</v>
      </c>
      <c r="C29" s="8">
        <f>IF(_xlfn.NUMBERVALUE('2.0WP - Cen'!C29)-_xlfn.NUMBERVALUE('2.0WP - State'!C29)=0,"",_xlfn.NUMBERVALUE('2.0WP - Cen'!C29)-_xlfn.NUMBERVALUE('2.0WP - State'!C29))</f>
        <v>4</v>
      </c>
      <c r="D29" s="8" t="str">
        <f>IF(_xlfn.NUMBERVALUE('2.0WP - Cen'!D29)-_xlfn.NUMBERVALUE('2.0WP - State'!D29)=0,"",_xlfn.NUMBERVALUE('2.0WP - Cen'!D29)-_xlfn.NUMBERVALUE('2.0WP - State'!D29))</f>
        <v/>
      </c>
      <c r="E29" s="8">
        <f>IF(_xlfn.NUMBERVALUE('2.0WP - Cen'!E29)-_xlfn.NUMBERVALUE('2.0WP - State'!E29)=0,"",_xlfn.NUMBERVALUE('2.0WP - Cen'!E29)-_xlfn.NUMBERVALUE('2.0WP - State'!E29))</f>
        <v>2</v>
      </c>
      <c r="F29" s="8" t="str">
        <f>IF(_xlfn.NUMBERVALUE('2.0WP - Cen'!F29)-_xlfn.NUMBERVALUE('2.0WP - State'!F29)=0,"",_xlfn.NUMBERVALUE('2.0WP - Cen'!F29)-_xlfn.NUMBERVALUE('2.0WP - State'!F29))</f>
        <v/>
      </c>
      <c r="G29" s="8" t="str">
        <f>IF(_xlfn.NUMBERVALUE('2.0WP - Cen'!G29)-_xlfn.NUMBERVALUE('2.0WP - State'!G29)=0,"",_xlfn.NUMBERVALUE('2.0WP - Cen'!G29)-_xlfn.NUMBERVALUE('2.0WP - State'!G29))</f>
        <v/>
      </c>
      <c r="H29" s="8">
        <f>IF(_xlfn.NUMBERVALUE('2.0WP - Cen'!H29)-_xlfn.NUMBERVALUE('2.0WP - State'!H29)=0,"",_xlfn.NUMBERVALUE('2.0WP - Cen'!H29)-_xlfn.NUMBERVALUE('2.0WP - State'!H29))</f>
        <v>2</v>
      </c>
      <c r="I29" s="8">
        <f>IF(_xlfn.NUMBERVALUE('2.0WP - Cen'!I29)-_xlfn.NUMBERVALUE('2.0WP - State'!I29)=0,"",_xlfn.NUMBERVALUE('2.0WP - Cen'!I29)-_xlfn.NUMBERVALUE('2.0WP - State'!I29))</f>
        <v>4</v>
      </c>
      <c r="J29" s="8">
        <f>IF(_xlfn.NUMBERVALUE('2.0WP - Cen'!J29)-_xlfn.NUMBERVALUE('2.0WP - State'!J29)=0,"",_xlfn.NUMBERVALUE('2.0WP - Cen'!J29)-_xlfn.NUMBERVALUE('2.0WP - State'!J29))</f>
        <v>2</v>
      </c>
      <c r="K29" s="8" t="str">
        <f>IF(_xlfn.NUMBERVALUE('2.0WP - Cen'!K29)-_xlfn.NUMBERVALUE('2.0WP - State'!K29)=0,"",_xlfn.NUMBERVALUE('2.0WP - Cen'!K29)-_xlfn.NUMBERVALUE('2.0WP - State'!K29))</f>
        <v/>
      </c>
      <c r="L29" s="8" t="str">
        <f>IF(_xlfn.NUMBERVALUE('2.0WP - Cen'!L29)-_xlfn.NUMBERVALUE('2.0WP - State'!L29)=0,"",_xlfn.NUMBERVALUE('2.0WP - Cen'!L29)-_xlfn.NUMBERVALUE('2.0WP - State'!L29))</f>
        <v/>
      </c>
      <c r="M29" s="8" t="str">
        <f>IF(_xlfn.NUMBERVALUE('2.0WP - Cen'!M29)-_xlfn.NUMBERVALUE('2.0WP - State'!M29)=0,"",_xlfn.NUMBERVALUE('2.0WP - Cen'!M29)-_xlfn.NUMBERVALUE('2.0WP - State'!M29))</f>
        <v/>
      </c>
      <c r="N29" s="8">
        <f>IF(_xlfn.NUMBERVALUE('2.0WP - Cen'!N29)-_xlfn.NUMBERVALUE('2.0WP - State'!N29)=0,"",_xlfn.NUMBERVALUE('2.0WP - Cen'!N29)-_xlfn.NUMBERVALUE('2.0WP - State'!N29))</f>
        <v>2</v>
      </c>
      <c r="O29" s="8" t="str">
        <f>IF(_xlfn.NUMBERVALUE('2.0WP - Cen'!O29)-_xlfn.NUMBERVALUE('2.0WP - State'!O29)=0,"",_xlfn.NUMBERVALUE('2.0WP - Cen'!O29)-_xlfn.NUMBERVALUE('2.0WP - State'!O29))</f>
        <v/>
      </c>
      <c r="P29" s="8" t="str">
        <f>IF(_xlfn.NUMBERVALUE('2.0WP - Cen'!P29)-_xlfn.NUMBERVALUE('2.0WP - State'!P29)=0,"",_xlfn.NUMBERVALUE('2.0WP - Cen'!P29)-_xlfn.NUMBERVALUE('2.0WP - State'!P29))</f>
        <v/>
      </c>
      <c r="Q29" s="8">
        <f>IF(_xlfn.NUMBERVALUE('2.0WP - Cen'!Q29)-_xlfn.NUMBERVALUE('2.0WP - State'!Q29)=0,"",_xlfn.NUMBERVALUE('2.0WP - Cen'!Q29)-_xlfn.NUMBERVALUE('2.0WP - State'!Q29))</f>
        <v>2</v>
      </c>
      <c r="R29" s="8" t="str">
        <f>IF(_xlfn.NUMBERVALUE('2.0WP - Cen'!R29)-_xlfn.NUMBERVALUE('2.0WP - State'!R29)=0,"",_xlfn.NUMBERVALUE('2.0WP - Cen'!R29)-_xlfn.NUMBERVALUE('2.0WP - State'!R29))</f>
        <v/>
      </c>
      <c r="S29" s="8">
        <f>IF(_xlfn.NUMBERVALUE('2.0WP - Cen'!S29)-_xlfn.NUMBERVALUE('2.0WP - State'!S29)=0,"",_xlfn.NUMBERVALUE('2.0WP - Cen'!S29)-_xlfn.NUMBERVALUE('2.0WP - State'!S29))</f>
        <v>2</v>
      </c>
      <c r="T29" s="9">
        <f t="shared" si="4"/>
        <v>20</v>
      </c>
      <c r="U29" s="8" t="str">
        <f>IF(_xlfn.NUMBERVALUE('2.0WP - Cen'!U29)-_xlfn.NUMBERVALUE('2.0WP - State'!U29)=0,"",_xlfn.NUMBERVALUE('2.0WP - Cen'!U29)-_xlfn.NUMBERVALUE('2.0WP - State'!U29))</f>
        <v/>
      </c>
      <c r="V29" s="8" t="str">
        <f>IF(_xlfn.NUMBERVALUE('2.0WP - Cen'!V29)-_xlfn.NUMBERVALUE('2.0WP - State'!V29)=0,"",_xlfn.NUMBERVALUE('2.0WP - Cen'!V29)-_xlfn.NUMBERVALUE('2.0WP - State'!V29))</f>
        <v/>
      </c>
      <c r="W29" s="8" t="str">
        <f>IF(_xlfn.NUMBERVALUE('2.0WP - Cen'!W29)-_xlfn.NUMBERVALUE('2.0WP - State'!W29)=0,"",_xlfn.NUMBERVALUE('2.0WP - Cen'!W29)-_xlfn.NUMBERVALUE('2.0WP - State'!W29))</f>
        <v/>
      </c>
      <c r="X29" s="8" t="str">
        <f>IF(_xlfn.NUMBERVALUE('2.0WP - Cen'!X29)-_xlfn.NUMBERVALUE('2.0WP - State'!X29)=0,"",_xlfn.NUMBERVALUE('2.0WP - Cen'!X29)-_xlfn.NUMBERVALUE('2.0WP - State'!X29))</f>
        <v/>
      </c>
      <c r="Y29" s="8">
        <f>IF(_xlfn.NUMBERVALUE('2.0WP - Cen'!Y29)-_xlfn.NUMBERVALUE('2.0WP - State'!Y29)=0,"",_xlfn.NUMBERVALUE('2.0WP - Cen'!Y29)-_xlfn.NUMBERVALUE('2.0WP - State'!Y29))</f>
        <v>4</v>
      </c>
      <c r="Z29" s="8">
        <f>IF(_xlfn.NUMBERVALUE('2.0WP - Cen'!Z29)-_xlfn.NUMBERVALUE('2.0WP - State'!Z29)=0,"",_xlfn.NUMBERVALUE('2.0WP - Cen'!Z29)-_xlfn.NUMBERVALUE('2.0WP - State'!Z29))</f>
        <v>4</v>
      </c>
      <c r="AA29" s="8" t="str">
        <f>IF(_xlfn.NUMBERVALUE('2.0WP - Cen'!AA29)-_xlfn.NUMBERVALUE('2.0WP - State'!AA29)=0,"",_xlfn.NUMBERVALUE('2.0WP - Cen'!AA29)-_xlfn.NUMBERVALUE('2.0WP - State'!AA29))</f>
        <v/>
      </c>
      <c r="AB29" s="8">
        <f>IF(_xlfn.NUMBERVALUE('2.0WP - Cen'!AB29)-_xlfn.NUMBERVALUE('2.0WP - State'!AB29)=0,"",_xlfn.NUMBERVALUE('2.0WP - Cen'!AB29)-_xlfn.NUMBERVALUE('2.0WP - State'!AB29))</f>
        <v>2</v>
      </c>
      <c r="AC29" s="8" t="str">
        <f>IF(_xlfn.NUMBERVALUE('2.0WP - Cen'!AC29)-_xlfn.NUMBERVALUE('2.0WP - State'!AC29)=0,"",_xlfn.NUMBERVALUE('2.0WP - Cen'!AC29)-_xlfn.NUMBERVALUE('2.0WP - State'!AC29))</f>
        <v/>
      </c>
      <c r="AD29" s="8" t="str">
        <f>IF(_xlfn.NUMBERVALUE('2.0WP - Cen'!AD29)-_xlfn.NUMBERVALUE('2.0WP - State'!AD29)=0,"",_xlfn.NUMBERVALUE('2.0WP - Cen'!AD29)-_xlfn.NUMBERVALUE('2.0WP - State'!AD29))</f>
        <v/>
      </c>
      <c r="AE29" s="8">
        <f>IF(_xlfn.NUMBERVALUE('2.0WP - Cen'!AE29)-_xlfn.NUMBERVALUE('2.0WP - State'!AE29)=0,"",_xlfn.NUMBERVALUE('2.0WP - Cen'!AE29)-_xlfn.NUMBERVALUE('2.0WP - State'!AE29))</f>
        <v>2</v>
      </c>
      <c r="AF29" s="8" t="str">
        <f>IF(_xlfn.NUMBERVALUE('2.0WP - Cen'!AF29)-_xlfn.NUMBERVALUE('2.0WP - State'!AF29)=0,"",_xlfn.NUMBERVALUE('2.0WP - Cen'!AF29)-_xlfn.NUMBERVALUE('2.0WP - State'!AF29))</f>
        <v/>
      </c>
      <c r="AG29" s="8" t="str">
        <f>IF(_xlfn.NUMBERVALUE('2.0WP - Cen'!AG29)-_xlfn.NUMBERVALUE('2.0WP - State'!AG29)=0,"",_xlfn.NUMBERVALUE('2.0WP - Cen'!AG29)-_xlfn.NUMBERVALUE('2.0WP - State'!AG29))</f>
        <v/>
      </c>
      <c r="AH29" s="8" t="str">
        <f>IF(_xlfn.NUMBERVALUE('2.0WP - Cen'!AH29)-_xlfn.NUMBERVALUE('2.0WP - State'!AH29)=0,"",_xlfn.NUMBERVALUE('2.0WP - Cen'!AH29)-_xlfn.NUMBERVALUE('2.0WP - State'!AH29))</f>
        <v/>
      </c>
      <c r="AI29" s="8" t="str">
        <f>IF(_xlfn.NUMBERVALUE('2.0WP - Cen'!AI29)-_xlfn.NUMBERVALUE('2.0WP - State'!AI29)=0,"",_xlfn.NUMBERVALUE('2.0WP - Cen'!AI29)-_xlfn.NUMBERVALUE('2.0WP - State'!AI29))</f>
        <v/>
      </c>
      <c r="AJ29" s="8" t="str">
        <f>IF(_xlfn.NUMBERVALUE('2.0WP - Cen'!AJ29)-_xlfn.NUMBERVALUE('2.0WP - State'!AJ29)=0,"",_xlfn.NUMBERVALUE('2.0WP - Cen'!AJ29)-_xlfn.NUMBERVALUE('2.0WP - State'!AJ29))</f>
        <v/>
      </c>
      <c r="AK29" s="17">
        <f t="shared" si="1"/>
        <v>12</v>
      </c>
      <c r="AL29" s="10">
        <f t="shared" si="2"/>
        <v>32</v>
      </c>
    </row>
    <row r="30" spans="1:38" x14ac:dyDescent="0.25">
      <c r="A30" s="12" t="str">
        <f>'[1]2.0WS'!A30</f>
        <v>34</v>
      </c>
      <c r="B30" s="13" t="str">
        <f>'[1]2.0WS'!B30</f>
        <v>KALLAKURICHI</v>
      </c>
      <c r="C30" s="8">
        <f>IF(_xlfn.NUMBERVALUE('2.0WP - Cen'!C30)-_xlfn.NUMBERVALUE('2.0WP - State'!C30)=0,"",_xlfn.NUMBERVALUE('2.0WP - Cen'!C30)-_xlfn.NUMBERVALUE('2.0WP - State'!C30))</f>
        <v>4</v>
      </c>
      <c r="D30" s="8" t="str">
        <f>IF(_xlfn.NUMBERVALUE('2.0WP - Cen'!D30)-_xlfn.NUMBERVALUE('2.0WP - State'!D30)=0,"",_xlfn.NUMBERVALUE('2.0WP - Cen'!D30)-_xlfn.NUMBERVALUE('2.0WP - State'!D30))</f>
        <v/>
      </c>
      <c r="E30" s="8" t="str">
        <f>IF(_xlfn.NUMBERVALUE('2.0WP - Cen'!E30)-_xlfn.NUMBERVALUE('2.0WP - State'!E30)=0,"",_xlfn.NUMBERVALUE('2.0WP - Cen'!E30)-_xlfn.NUMBERVALUE('2.0WP - State'!E30))</f>
        <v/>
      </c>
      <c r="F30" s="8" t="str">
        <f>IF(_xlfn.NUMBERVALUE('2.0WP - Cen'!F30)-_xlfn.NUMBERVALUE('2.0WP - State'!F30)=0,"",_xlfn.NUMBERVALUE('2.0WP - Cen'!F30)-_xlfn.NUMBERVALUE('2.0WP - State'!F30))</f>
        <v/>
      </c>
      <c r="G30" s="8" t="str">
        <f>IF(_xlfn.NUMBERVALUE('2.0WP - Cen'!G30)-_xlfn.NUMBERVALUE('2.0WP - State'!G30)=0,"",_xlfn.NUMBERVALUE('2.0WP - Cen'!G30)-_xlfn.NUMBERVALUE('2.0WP - State'!G30))</f>
        <v/>
      </c>
      <c r="H30" s="8">
        <f>IF(_xlfn.NUMBERVALUE('2.0WP - Cen'!H30)-_xlfn.NUMBERVALUE('2.0WP - State'!H30)=0,"",_xlfn.NUMBERVALUE('2.0WP - Cen'!H30)-_xlfn.NUMBERVALUE('2.0WP - State'!H30))</f>
        <v>10</v>
      </c>
      <c r="I30" s="8" t="str">
        <f>IF(_xlfn.NUMBERVALUE('2.0WP - Cen'!I30)-_xlfn.NUMBERVALUE('2.0WP - State'!I30)=0,"",_xlfn.NUMBERVALUE('2.0WP - Cen'!I30)-_xlfn.NUMBERVALUE('2.0WP - State'!I30))</f>
        <v/>
      </c>
      <c r="J30" s="8" t="str">
        <f>IF(_xlfn.NUMBERVALUE('2.0WP - Cen'!J30)-_xlfn.NUMBERVALUE('2.0WP - State'!J30)=0,"",_xlfn.NUMBERVALUE('2.0WP - Cen'!J30)-_xlfn.NUMBERVALUE('2.0WP - State'!J30))</f>
        <v/>
      </c>
      <c r="K30" s="8">
        <f>IF(_xlfn.NUMBERVALUE('2.0WP - Cen'!K30)-_xlfn.NUMBERVALUE('2.0WP - State'!K30)=0,"",_xlfn.NUMBERVALUE('2.0WP - Cen'!K30)-_xlfn.NUMBERVALUE('2.0WP - State'!K30))</f>
        <v>2</v>
      </c>
      <c r="L30" s="8" t="str">
        <f>IF(_xlfn.NUMBERVALUE('2.0WP - Cen'!L30)-_xlfn.NUMBERVALUE('2.0WP - State'!L30)=0,"",_xlfn.NUMBERVALUE('2.0WP - Cen'!L30)-_xlfn.NUMBERVALUE('2.0WP - State'!L30))</f>
        <v/>
      </c>
      <c r="M30" s="8" t="str">
        <f>IF(_xlfn.NUMBERVALUE('2.0WP - Cen'!M30)-_xlfn.NUMBERVALUE('2.0WP - State'!M30)=0,"",_xlfn.NUMBERVALUE('2.0WP - Cen'!M30)-_xlfn.NUMBERVALUE('2.0WP - State'!M30))</f>
        <v/>
      </c>
      <c r="N30" s="8" t="str">
        <f>IF(_xlfn.NUMBERVALUE('2.0WP - Cen'!N30)-_xlfn.NUMBERVALUE('2.0WP - State'!N30)=0,"",_xlfn.NUMBERVALUE('2.0WP - Cen'!N30)-_xlfn.NUMBERVALUE('2.0WP - State'!N30))</f>
        <v/>
      </c>
      <c r="O30" s="8" t="str">
        <f>IF(_xlfn.NUMBERVALUE('2.0WP - Cen'!O30)-_xlfn.NUMBERVALUE('2.0WP - State'!O30)=0,"",_xlfn.NUMBERVALUE('2.0WP - Cen'!O30)-_xlfn.NUMBERVALUE('2.0WP - State'!O30))</f>
        <v/>
      </c>
      <c r="P30" s="8" t="str">
        <f>IF(_xlfn.NUMBERVALUE('2.0WP - Cen'!P30)-_xlfn.NUMBERVALUE('2.0WP - State'!P30)=0,"",_xlfn.NUMBERVALUE('2.0WP - Cen'!P30)-_xlfn.NUMBERVALUE('2.0WP - State'!P30))</f>
        <v/>
      </c>
      <c r="Q30" s="8">
        <f>IF(_xlfn.NUMBERVALUE('2.0WP - Cen'!Q30)-_xlfn.NUMBERVALUE('2.0WP - State'!Q30)=0,"",_xlfn.NUMBERVALUE('2.0WP - Cen'!Q30)-_xlfn.NUMBERVALUE('2.0WP - State'!Q30))</f>
        <v>4</v>
      </c>
      <c r="R30" s="8">
        <f>IF(_xlfn.NUMBERVALUE('2.0WP - Cen'!R30)-_xlfn.NUMBERVALUE('2.0WP - State'!R30)=0,"",_xlfn.NUMBERVALUE('2.0WP - Cen'!R30)-_xlfn.NUMBERVALUE('2.0WP - State'!R30))</f>
        <v>2</v>
      </c>
      <c r="S30" s="8">
        <f>IF(_xlfn.NUMBERVALUE('2.0WP - Cen'!S30)-_xlfn.NUMBERVALUE('2.0WP - State'!S30)=0,"",_xlfn.NUMBERVALUE('2.0WP - Cen'!S30)-_xlfn.NUMBERVALUE('2.0WP - State'!S30))</f>
        <v>2</v>
      </c>
      <c r="T30" s="9">
        <f t="shared" si="4"/>
        <v>24</v>
      </c>
      <c r="U30" s="8">
        <f>IF(_xlfn.NUMBERVALUE('2.0WP - Cen'!U30)-_xlfn.NUMBERVALUE('2.0WP - State'!U30)=0,"",_xlfn.NUMBERVALUE('2.0WP - Cen'!U30)-_xlfn.NUMBERVALUE('2.0WP - State'!U30))</f>
        <v>4</v>
      </c>
      <c r="V30" s="8" t="str">
        <f>IF(_xlfn.NUMBERVALUE('2.0WP - Cen'!V30)-_xlfn.NUMBERVALUE('2.0WP - State'!V30)=0,"",_xlfn.NUMBERVALUE('2.0WP - Cen'!V30)-_xlfn.NUMBERVALUE('2.0WP - State'!V30))</f>
        <v/>
      </c>
      <c r="W30" s="8" t="str">
        <f>IF(_xlfn.NUMBERVALUE('2.0WP - Cen'!W30)-_xlfn.NUMBERVALUE('2.0WP - State'!W30)=0,"",_xlfn.NUMBERVALUE('2.0WP - Cen'!W30)-_xlfn.NUMBERVALUE('2.0WP - State'!W30))</f>
        <v/>
      </c>
      <c r="X30" s="8" t="str">
        <f>IF(_xlfn.NUMBERVALUE('2.0WP - Cen'!X30)-_xlfn.NUMBERVALUE('2.0WP - State'!X30)=0,"",_xlfn.NUMBERVALUE('2.0WP - Cen'!X30)-_xlfn.NUMBERVALUE('2.0WP - State'!X30))</f>
        <v/>
      </c>
      <c r="Y30" s="8" t="str">
        <f>IF(_xlfn.NUMBERVALUE('2.0WP - Cen'!Y30)-_xlfn.NUMBERVALUE('2.0WP - State'!Y30)=0,"",_xlfn.NUMBERVALUE('2.0WP - Cen'!Y30)-_xlfn.NUMBERVALUE('2.0WP - State'!Y30))</f>
        <v/>
      </c>
      <c r="Z30" s="8">
        <f>IF(_xlfn.NUMBERVALUE('2.0WP - Cen'!Z30)-_xlfn.NUMBERVALUE('2.0WP - State'!Z30)=0,"",_xlfn.NUMBERVALUE('2.0WP - Cen'!Z30)-_xlfn.NUMBERVALUE('2.0WP - State'!Z30))</f>
        <v>2</v>
      </c>
      <c r="AA30" s="8" t="str">
        <f>IF(_xlfn.NUMBERVALUE('2.0WP - Cen'!AA30)-_xlfn.NUMBERVALUE('2.0WP - State'!AA30)=0,"",_xlfn.NUMBERVALUE('2.0WP - Cen'!AA30)-_xlfn.NUMBERVALUE('2.0WP - State'!AA30))</f>
        <v/>
      </c>
      <c r="AB30" s="8" t="str">
        <f>IF(_xlfn.NUMBERVALUE('2.0WP - Cen'!AB30)-_xlfn.NUMBERVALUE('2.0WP - State'!AB30)=0,"",_xlfn.NUMBERVALUE('2.0WP - Cen'!AB30)-_xlfn.NUMBERVALUE('2.0WP - State'!AB30))</f>
        <v/>
      </c>
      <c r="AC30" s="8" t="str">
        <f>IF(_xlfn.NUMBERVALUE('2.0WP - Cen'!AC30)-_xlfn.NUMBERVALUE('2.0WP - State'!AC30)=0,"",_xlfn.NUMBERVALUE('2.0WP - Cen'!AC30)-_xlfn.NUMBERVALUE('2.0WP - State'!AC30))</f>
        <v/>
      </c>
      <c r="AD30" s="8">
        <f>IF(_xlfn.NUMBERVALUE('2.0WP - Cen'!AD30)-_xlfn.NUMBERVALUE('2.0WP - State'!AD30)=0,"",_xlfn.NUMBERVALUE('2.0WP - Cen'!AD30)-_xlfn.NUMBERVALUE('2.0WP - State'!AD30))</f>
        <v>4</v>
      </c>
      <c r="AE30" s="8" t="str">
        <f>IF(_xlfn.NUMBERVALUE('2.0WP - Cen'!AE30)-_xlfn.NUMBERVALUE('2.0WP - State'!AE30)=0,"",_xlfn.NUMBERVALUE('2.0WP - Cen'!AE30)-_xlfn.NUMBERVALUE('2.0WP - State'!AE30))</f>
        <v/>
      </c>
      <c r="AF30" s="8" t="str">
        <f>IF(_xlfn.NUMBERVALUE('2.0WP - Cen'!AF30)-_xlfn.NUMBERVALUE('2.0WP - State'!AF30)=0,"",_xlfn.NUMBERVALUE('2.0WP - Cen'!AF30)-_xlfn.NUMBERVALUE('2.0WP - State'!AF30))</f>
        <v/>
      </c>
      <c r="AG30" s="8" t="str">
        <f>IF(_xlfn.NUMBERVALUE('2.0WP - Cen'!AG30)-_xlfn.NUMBERVALUE('2.0WP - State'!AG30)=0,"",_xlfn.NUMBERVALUE('2.0WP - Cen'!AG30)-_xlfn.NUMBERVALUE('2.0WP - State'!AG30))</f>
        <v/>
      </c>
      <c r="AH30" s="8" t="str">
        <f>IF(_xlfn.NUMBERVALUE('2.0WP - Cen'!AH30)-_xlfn.NUMBERVALUE('2.0WP - State'!AH30)=0,"",_xlfn.NUMBERVALUE('2.0WP - Cen'!AH30)-_xlfn.NUMBERVALUE('2.0WP - State'!AH30))</f>
        <v/>
      </c>
      <c r="AI30" s="8" t="str">
        <f>IF(_xlfn.NUMBERVALUE('2.0WP - Cen'!AI30)-_xlfn.NUMBERVALUE('2.0WP - State'!AI30)=0,"",_xlfn.NUMBERVALUE('2.0WP - Cen'!AI30)-_xlfn.NUMBERVALUE('2.0WP - State'!AI30))</f>
        <v/>
      </c>
      <c r="AJ30" s="8" t="str">
        <f>IF(_xlfn.NUMBERVALUE('2.0WP - Cen'!AJ30)-_xlfn.NUMBERVALUE('2.0WP - State'!AJ30)=0,"",_xlfn.NUMBERVALUE('2.0WP - Cen'!AJ30)-_xlfn.NUMBERVALUE('2.0WP - State'!AJ30))</f>
        <v/>
      </c>
      <c r="AK30" s="17">
        <f t="shared" si="1"/>
        <v>10</v>
      </c>
      <c r="AL30" s="10">
        <f t="shared" si="2"/>
        <v>34</v>
      </c>
    </row>
    <row r="31" spans="1:38" x14ac:dyDescent="0.25">
      <c r="A31" s="12" t="str">
        <f>'[1]2.0WS'!A31</f>
        <v>38</v>
      </c>
      <c r="B31" s="13" t="str">
        <f>'[1]2.0WS'!B31</f>
        <v>MAYILADUTHURAI</v>
      </c>
      <c r="C31" s="8" t="str">
        <f>IF(_xlfn.NUMBERVALUE('2.0WP - Cen'!C31)-_xlfn.NUMBERVALUE('2.0WP - State'!C31)=0,"",_xlfn.NUMBERVALUE('2.0WP - Cen'!C31)-_xlfn.NUMBERVALUE('2.0WP - State'!C31))</f>
        <v/>
      </c>
      <c r="D31" s="8" t="str">
        <f>IF(_xlfn.NUMBERVALUE('2.0WP - Cen'!D31)-_xlfn.NUMBERVALUE('2.0WP - State'!D31)=0,"",_xlfn.NUMBERVALUE('2.0WP - Cen'!D31)-_xlfn.NUMBERVALUE('2.0WP - State'!D31))</f>
        <v/>
      </c>
      <c r="E31" s="8" t="str">
        <f>IF(_xlfn.NUMBERVALUE('2.0WP - Cen'!E31)-_xlfn.NUMBERVALUE('2.0WP - State'!E31)=0,"",_xlfn.NUMBERVALUE('2.0WP - Cen'!E31)-_xlfn.NUMBERVALUE('2.0WP - State'!E31))</f>
        <v/>
      </c>
      <c r="F31" s="8" t="str">
        <f>IF(_xlfn.NUMBERVALUE('2.0WP - Cen'!F31)-_xlfn.NUMBERVALUE('2.0WP - State'!F31)=0,"",_xlfn.NUMBERVALUE('2.0WP - Cen'!F31)-_xlfn.NUMBERVALUE('2.0WP - State'!F31))</f>
        <v/>
      </c>
      <c r="G31" s="8" t="str">
        <f>IF(_xlfn.NUMBERVALUE('2.0WP - Cen'!G31)-_xlfn.NUMBERVALUE('2.0WP - State'!G31)=0,"",_xlfn.NUMBERVALUE('2.0WP - Cen'!G31)-_xlfn.NUMBERVALUE('2.0WP - State'!G31))</f>
        <v/>
      </c>
      <c r="H31" s="8" t="str">
        <f>IF(_xlfn.NUMBERVALUE('2.0WP - Cen'!H31)-_xlfn.NUMBERVALUE('2.0WP - State'!H31)=0,"",_xlfn.NUMBERVALUE('2.0WP - Cen'!H31)-_xlfn.NUMBERVALUE('2.0WP - State'!H31))</f>
        <v/>
      </c>
      <c r="I31" s="8" t="str">
        <f>IF(_xlfn.NUMBERVALUE('2.0WP - Cen'!I31)-_xlfn.NUMBERVALUE('2.0WP - State'!I31)=0,"",_xlfn.NUMBERVALUE('2.0WP - Cen'!I31)-_xlfn.NUMBERVALUE('2.0WP - State'!I31))</f>
        <v/>
      </c>
      <c r="J31" s="8" t="str">
        <f>IF(_xlfn.NUMBERVALUE('2.0WP - Cen'!J31)-_xlfn.NUMBERVALUE('2.0WP - State'!J31)=0,"",_xlfn.NUMBERVALUE('2.0WP - Cen'!J31)-_xlfn.NUMBERVALUE('2.0WP - State'!J31))</f>
        <v/>
      </c>
      <c r="K31" s="8" t="str">
        <f>IF(_xlfn.NUMBERVALUE('2.0WP - Cen'!K31)-_xlfn.NUMBERVALUE('2.0WP - State'!K31)=0,"",_xlfn.NUMBERVALUE('2.0WP - Cen'!K31)-_xlfn.NUMBERVALUE('2.0WP - State'!K31))</f>
        <v/>
      </c>
      <c r="L31" s="8" t="str">
        <f>IF(_xlfn.NUMBERVALUE('2.0WP - Cen'!L31)-_xlfn.NUMBERVALUE('2.0WP - State'!L31)=0,"",_xlfn.NUMBERVALUE('2.0WP - Cen'!L31)-_xlfn.NUMBERVALUE('2.0WP - State'!L31))</f>
        <v/>
      </c>
      <c r="M31" s="8" t="str">
        <f>IF(_xlfn.NUMBERVALUE('2.0WP - Cen'!M31)-_xlfn.NUMBERVALUE('2.0WP - State'!M31)=0,"",_xlfn.NUMBERVALUE('2.0WP - Cen'!M31)-_xlfn.NUMBERVALUE('2.0WP - State'!M31))</f>
        <v/>
      </c>
      <c r="N31" s="8" t="str">
        <f>IF(_xlfn.NUMBERVALUE('2.0WP - Cen'!N31)-_xlfn.NUMBERVALUE('2.0WP - State'!N31)=0,"",_xlfn.NUMBERVALUE('2.0WP - Cen'!N31)-_xlfn.NUMBERVALUE('2.0WP - State'!N31))</f>
        <v/>
      </c>
      <c r="O31" s="8" t="str">
        <f>IF(_xlfn.NUMBERVALUE('2.0WP - Cen'!O31)-_xlfn.NUMBERVALUE('2.0WP - State'!O31)=0,"",_xlfn.NUMBERVALUE('2.0WP - Cen'!O31)-_xlfn.NUMBERVALUE('2.0WP - State'!O31))</f>
        <v/>
      </c>
      <c r="P31" s="8" t="str">
        <f>IF(_xlfn.NUMBERVALUE('2.0WP - Cen'!P31)-_xlfn.NUMBERVALUE('2.0WP - State'!P31)=0,"",_xlfn.NUMBERVALUE('2.0WP - Cen'!P31)-_xlfn.NUMBERVALUE('2.0WP - State'!P31))</f>
        <v/>
      </c>
      <c r="Q31" s="8" t="str">
        <f>IF(_xlfn.NUMBERVALUE('2.0WP - Cen'!Q31)-_xlfn.NUMBERVALUE('2.0WP - State'!Q31)=0,"",_xlfn.NUMBERVALUE('2.0WP - Cen'!Q31)-_xlfn.NUMBERVALUE('2.0WP - State'!Q31))</f>
        <v/>
      </c>
      <c r="R31" s="8" t="str">
        <f>IF(_xlfn.NUMBERVALUE('2.0WP - Cen'!R31)-_xlfn.NUMBERVALUE('2.0WP - State'!R31)=0,"",_xlfn.NUMBERVALUE('2.0WP - Cen'!R31)-_xlfn.NUMBERVALUE('2.0WP - State'!R31))</f>
        <v/>
      </c>
      <c r="S31" s="8" t="str">
        <f>IF(_xlfn.NUMBERVALUE('2.0WP - Cen'!S31)-_xlfn.NUMBERVALUE('2.0WP - State'!S31)=0,"",_xlfn.NUMBERVALUE('2.0WP - Cen'!S31)-_xlfn.NUMBERVALUE('2.0WP - State'!S31))</f>
        <v/>
      </c>
      <c r="T31" s="9">
        <f t="shared" si="4"/>
        <v>0</v>
      </c>
      <c r="U31" s="8" t="str">
        <f>IF(_xlfn.NUMBERVALUE('2.0WP - Cen'!U31)-_xlfn.NUMBERVALUE('2.0WP - State'!U31)=0,"",_xlfn.NUMBERVALUE('2.0WP - Cen'!U31)-_xlfn.NUMBERVALUE('2.0WP - State'!U31))</f>
        <v/>
      </c>
      <c r="V31" s="8" t="str">
        <f>IF(_xlfn.NUMBERVALUE('2.0WP - Cen'!V31)-_xlfn.NUMBERVALUE('2.0WP - State'!V31)=0,"",_xlfn.NUMBERVALUE('2.0WP - Cen'!V31)-_xlfn.NUMBERVALUE('2.0WP - State'!V31))</f>
        <v/>
      </c>
      <c r="W31" s="8" t="str">
        <f>IF(_xlfn.NUMBERVALUE('2.0WP - Cen'!W31)-_xlfn.NUMBERVALUE('2.0WP - State'!W31)=0,"",_xlfn.NUMBERVALUE('2.0WP - Cen'!W31)-_xlfn.NUMBERVALUE('2.0WP - State'!W31))</f>
        <v/>
      </c>
      <c r="X31" s="8" t="str">
        <f>IF(_xlfn.NUMBERVALUE('2.0WP - Cen'!X31)-_xlfn.NUMBERVALUE('2.0WP - State'!X31)=0,"",_xlfn.NUMBERVALUE('2.0WP - Cen'!X31)-_xlfn.NUMBERVALUE('2.0WP - State'!X31))</f>
        <v/>
      </c>
      <c r="Y31" s="8" t="str">
        <f>IF(_xlfn.NUMBERVALUE('2.0WP - Cen'!Y31)-_xlfn.NUMBERVALUE('2.0WP - State'!Y31)=0,"",_xlfn.NUMBERVALUE('2.0WP - Cen'!Y31)-_xlfn.NUMBERVALUE('2.0WP - State'!Y31))</f>
        <v/>
      </c>
      <c r="Z31" s="8" t="str">
        <f>IF(_xlfn.NUMBERVALUE('2.0WP - Cen'!Z31)-_xlfn.NUMBERVALUE('2.0WP - State'!Z31)=0,"",_xlfn.NUMBERVALUE('2.0WP - Cen'!Z31)-_xlfn.NUMBERVALUE('2.0WP - State'!Z31))</f>
        <v/>
      </c>
      <c r="AA31" s="8" t="str">
        <f>IF(_xlfn.NUMBERVALUE('2.0WP - Cen'!AA31)-_xlfn.NUMBERVALUE('2.0WP - State'!AA31)=0,"",_xlfn.NUMBERVALUE('2.0WP - Cen'!AA31)-_xlfn.NUMBERVALUE('2.0WP - State'!AA31))</f>
        <v/>
      </c>
      <c r="AB31" s="8" t="str">
        <f>IF(_xlfn.NUMBERVALUE('2.0WP - Cen'!AB31)-_xlfn.NUMBERVALUE('2.0WP - State'!AB31)=0,"",_xlfn.NUMBERVALUE('2.0WP - Cen'!AB31)-_xlfn.NUMBERVALUE('2.0WP - State'!AB31))</f>
        <v/>
      </c>
      <c r="AC31" s="8" t="str">
        <f>IF(_xlfn.NUMBERVALUE('2.0WP - Cen'!AC31)-_xlfn.NUMBERVALUE('2.0WP - State'!AC31)=0,"",_xlfn.NUMBERVALUE('2.0WP - Cen'!AC31)-_xlfn.NUMBERVALUE('2.0WP - State'!AC31))</f>
        <v/>
      </c>
      <c r="AD31" s="8" t="str">
        <f>IF(_xlfn.NUMBERVALUE('2.0WP - Cen'!AD31)-_xlfn.NUMBERVALUE('2.0WP - State'!AD31)=0,"",_xlfn.NUMBERVALUE('2.0WP - Cen'!AD31)-_xlfn.NUMBERVALUE('2.0WP - State'!AD31))</f>
        <v/>
      </c>
      <c r="AE31" s="8" t="str">
        <f>IF(_xlfn.NUMBERVALUE('2.0WP - Cen'!AE31)-_xlfn.NUMBERVALUE('2.0WP - State'!AE31)=0,"",_xlfn.NUMBERVALUE('2.0WP - Cen'!AE31)-_xlfn.NUMBERVALUE('2.0WP - State'!AE31))</f>
        <v/>
      </c>
      <c r="AF31" s="8" t="str">
        <f>IF(_xlfn.NUMBERVALUE('2.0WP - Cen'!AF31)-_xlfn.NUMBERVALUE('2.0WP - State'!AF31)=0,"",_xlfn.NUMBERVALUE('2.0WP - Cen'!AF31)-_xlfn.NUMBERVALUE('2.0WP - State'!AF31))</f>
        <v/>
      </c>
      <c r="AG31" s="8" t="str">
        <f>IF(_xlfn.NUMBERVALUE('2.0WP - Cen'!AG31)-_xlfn.NUMBERVALUE('2.0WP - State'!AG31)=0,"",_xlfn.NUMBERVALUE('2.0WP - Cen'!AG31)-_xlfn.NUMBERVALUE('2.0WP - State'!AG31))</f>
        <v/>
      </c>
      <c r="AH31" s="8" t="str">
        <f>IF(_xlfn.NUMBERVALUE('2.0WP - Cen'!AH31)-_xlfn.NUMBERVALUE('2.0WP - State'!AH31)=0,"",_xlfn.NUMBERVALUE('2.0WP - Cen'!AH31)-_xlfn.NUMBERVALUE('2.0WP - State'!AH31))</f>
        <v/>
      </c>
      <c r="AI31" s="8" t="str">
        <f>IF(_xlfn.NUMBERVALUE('2.0WP - Cen'!AI31)-_xlfn.NUMBERVALUE('2.0WP - State'!AI31)=0,"",_xlfn.NUMBERVALUE('2.0WP - Cen'!AI31)-_xlfn.NUMBERVALUE('2.0WP - State'!AI31))</f>
        <v/>
      </c>
      <c r="AJ31" s="8" t="str">
        <f>IF(_xlfn.NUMBERVALUE('2.0WP - Cen'!AJ31)-_xlfn.NUMBERVALUE('2.0WP - State'!AJ31)=0,"",_xlfn.NUMBERVALUE('2.0WP - Cen'!AJ31)-_xlfn.NUMBERVALUE('2.0WP - State'!AJ31))</f>
        <v/>
      </c>
      <c r="AK31" s="17">
        <f t="shared" si="1"/>
        <v>0</v>
      </c>
      <c r="AL31" s="10">
        <f t="shared" si="2"/>
        <v>0</v>
      </c>
    </row>
    <row r="32" spans="1:38" s="3" customFormat="1" ht="14.4" customHeight="1" x14ac:dyDescent="0.25">
      <c r="A32" s="19" t="str">
        <f>'[1]2.0WS'!A32</f>
        <v>SRO CUDDALORE TOTAL</v>
      </c>
      <c r="B32" s="19"/>
      <c r="C32" s="14">
        <f t="shared" ref="C32:S32" si="16">SUM(C28:C31)</f>
        <v>8</v>
      </c>
      <c r="D32" s="14">
        <f t="shared" si="16"/>
        <v>0</v>
      </c>
      <c r="E32" s="14">
        <f t="shared" si="16"/>
        <v>2</v>
      </c>
      <c r="F32" s="14">
        <f t="shared" si="16"/>
        <v>0</v>
      </c>
      <c r="G32" s="14">
        <f t="shared" si="16"/>
        <v>0</v>
      </c>
      <c r="H32" s="14">
        <f t="shared" si="16"/>
        <v>12</v>
      </c>
      <c r="I32" s="14">
        <f t="shared" si="16"/>
        <v>4</v>
      </c>
      <c r="J32" s="14">
        <f t="shared" si="16"/>
        <v>2</v>
      </c>
      <c r="K32" s="14">
        <f t="shared" si="16"/>
        <v>2</v>
      </c>
      <c r="L32" s="14">
        <f t="shared" si="16"/>
        <v>0</v>
      </c>
      <c r="M32" s="14">
        <f t="shared" si="16"/>
        <v>0</v>
      </c>
      <c r="N32" s="14">
        <f t="shared" si="16"/>
        <v>2</v>
      </c>
      <c r="O32" s="14">
        <f t="shared" si="16"/>
        <v>0</v>
      </c>
      <c r="P32" s="14">
        <f t="shared" si="16"/>
        <v>0</v>
      </c>
      <c r="Q32" s="14">
        <f t="shared" si="16"/>
        <v>6</v>
      </c>
      <c r="R32" s="14">
        <f t="shared" si="16"/>
        <v>2</v>
      </c>
      <c r="S32" s="14">
        <f t="shared" si="16"/>
        <v>4</v>
      </c>
      <c r="T32" s="9">
        <f t="shared" si="4"/>
        <v>44</v>
      </c>
      <c r="U32" s="14">
        <f t="shared" ref="U32:AJ32" si="17">SUM(U28:U31)</f>
        <v>4</v>
      </c>
      <c r="V32" s="14">
        <f t="shared" si="17"/>
        <v>0</v>
      </c>
      <c r="W32" s="14">
        <f t="shared" si="17"/>
        <v>0</v>
      </c>
      <c r="X32" s="14">
        <f t="shared" si="17"/>
        <v>0</v>
      </c>
      <c r="Y32" s="14">
        <f t="shared" si="17"/>
        <v>4</v>
      </c>
      <c r="Z32" s="14">
        <f t="shared" si="17"/>
        <v>6</v>
      </c>
      <c r="AA32" s="14">
        <f t="shared" si="17"/>
        <v>0</v>
      </c>
      <c r="AB32" s="14">
        <f t="shared" si="17"/>
        <v>2</v>
      </c>
      <c r="AC32" s="14">
        <f t="shared" si="17"/>
        <v>0</v>
      </c>
      <c r="AD32" s="14">
        <f t="shared" si="17"/>
        <v>4</v>
      </c>
      <c r="AE32" s="14">
        <f t="shared" si="17"/>
        <v>2</v>
      </c>
      <c r="AF32" s="14">
        <f t="shared" si="17"/>
        <v>0</v>
      </c>
      <c r="AG32" s="14">
        <f t="shared" si="17"/>
        <v>0</v>
      </c>
      <c r="AH32" s="14">
        <f t="shared" si="17"/>
        <v>0</v>
      </c>
      <c r="AI32" s="14">
        <f t="shared" si="17"/>
        <v>0</v>
      </c>
      <c r="AJ32" s="14">
        <f t="shared" si="17"/>
        <v>0</v>
      </c>
      <c r="AK32" s="17">
        <f t="shared" si="1"/>
        <v>22</v>
      </c>
      <c r="AL32" s="10">
        <f t="shared" si="2"/>
        <v>66</v>
      </c>
    </row>
    <row r="33" spans="1:38" x14ac:dyDescent="0.25">
      <c r="A33" s="12" t="str">
        <f>'[1]2.0WS'!A33</f>
        <v>04</v>
      </c>
      <c r="B33" s="13" t="str">
        <f>'[1]2.0WS'!B33</f>
        <v>VELLORE</v>
      </c>
      <c r="C33" s="8" t="str">
        <f>IF(_xlfn.NUMBERVALUE('2.0WP - Cen'!C33)-_xlfn.NUMBERVALUE('2.0WP - State'!C33)=0,"",_xlfn.NUMBERVALUE('2.0WP - Cen'!C33)-_xlfn.NUMBERVALUE('2.0WP - State'!C33))</f>
        <v/>
      </c>
      <c r="D33" s="8" t="str">
        <f>IF(_xlfn.NUMBERVALUE('2.0WP - Cen'!D33)-_xlfn.NUMBERVALUE('2.0WP - State'!D33)=0,"",_xlfn.NUMBERVALUE('2.0WP - Cen'!D33)-_xlfn.NUMBERVALUE('2.0WP - State'!D33))</f>
        <v/>
      </c>
      <c r="E33" s="8" t="str">
        <f>IF(_xlfn.NUMBERVALUE('2.0WP - Cen'!E33)-_xlfn.NUMBERVALUE('2.0WP - State'!E33)=0,"",_xlfn.NUMBERVALUE('2.0WP - Cen'!E33)-_xlfn.NUMBERVALUE('2.0WP - State'!E33))</f>
        <v/>
      </c>
      <c r="F33" s="8" t="str">
        <f>IF(_xlfn.NUMBERVALUE('2.0WP - Cen'!F33)-_xlfn.NUMBERVALUE('2.0WP - State'!F33)=0,"",_xlfn.NUMBERVALUE('2.0WP - Cen'!F33)-_xlfn.NUMBERVALUE('2.0WP - State'!F33))</f>
        <v/>
      </c>
      <c r="G33" s="8" t="str">
        <f>IF(_xlfn.NUMBERVALUE('2.0WP - Cen'!G33)-_xlfn.NUMBERVALUE('2.0WP - State'!G33)=0,"",_xlfn.NUMBERVALUE('2.0WP - Cen'!G33)-_xlfn.NUMBERVALUE('2.0WP - State'!G33))</f>
        <v/>
      </c>
      <c r="H33" s="8" t="str">
        <f>IF(_xlfn.NUMBERVALUE('2.0WP - Cen'!H33)-_xlfn.NUMBERVALUE('2.0WP - State'!H33)=0,"",_xlfn.NUMBERVALUE('2.0WP - Cen'!H33)-_xlfn.NUMBERVALUE('2.0WP - State'!H33))</f>
        <v/>
      </c>
      <c r="I33" s="8" t="str">
        <f>IF(_xlfn.NUMBERVALUE('2.0WP - Cen'!I33)-_xlfn.NUMBERVALUE('2.0WP - State'!I33)=0,"",_xlfn.NUMBERVALUE('2.0WP - Cen'!I33)-_xlfn.NUMBERVALUE('2.0WP - State'!I33))</f>
        <v/>
      </c>
      <c r="J33" s="8" t="str">
        <f>IF(_xlfn.NUMBERVALUE('2.0WP - Cen'!J33)-_xlfn.NUMBERVALUE('2.0WP - State'!J33)=0,"",_xlfn.NUMBERVALUE('2.0WP - Cen'!J33)-_xlfn.NUMBERVALUE('2.0WP - State'!J33))</f>
        <v/>
      </c>
      <c r="K33" s="8" t="str">
        <f>IF(_xlfn.NUMBERVALUE('2.0WP - Cen'!K33)-_xlfn.NUMBERVALUE('2.0WP - State'!K33)=0,"",_xlfn.NUMBERVALUE('2.0WP - Cen'!K33)-_xlfn.NUMBERVALUE('2.0WP - State'!K33))</f>
        <v/>
      </c>
      <c r="L33" s="8" t="str">
        <f>IF(_xlfn.NUMBERVALUE('2.0WP - Cen'!L33)-_xlfn.NUMBERVALUE('2.0WP - State'!L33)=0,"",_xlfn.NUMBERVALUE('2.0WP - Cen'!L33)-_xlfn.NUMBERVALUE('2.0WP - State'!L33))</f>
        <v/>
      </c>
      <c r="M33" s="8" t="str">
        <f>IF(_xlfn.NUMBERVALUE('2.0WP - Cen'!M33)-_xlfn.NUMBERVALUE('2.0WP - State'!M33)=0,"",_xlfn.NUMBERVALUE('2.0WP - Cen'!M33)-_xlfn.NUMBERVALUE('2.0WP - State'!M33))</f>
        <v/>
      </c>
      <c r="N33" s="8" t="str">
        <f>IF(_xlfn.NUMBERVALUE('2.0WP - Cen'!N33)-_xlfn.NUMBERVALUE('2.0WP - State'!N33)=0,"",_xlfn.NUMBERVALUE('2.0WP - Cen'!N33)-_xlfn.NUMBERVALUE('2.0WP - State'!N33))</f>
        <v/>
      </c>
      <c r="O33" s="8" t="str">
        <f>IF(_xlfn.NUMBERVALUE('2.0WP - Cen'!O33)-_xlfn.NUMBERVALUE('2.0WP - State'!O33)=0,"",_xlfn.NUMBERVALUE('2.0WP - Cen'!O33)-_xlfn.NUMBERVALUE('2.0WP - State'!O33))</f>
        <v/>
      </c>
      <c r="P33" s="8">
        <f>IF(_xlfn.NUMBERVALUE('2.0WP - Cen'!P33)-_xlfn.NUMBERVALUE('2.0WP - State'!P33)=0,"",_xlfn.NUMBERVALUE('2.0WP - Cen'!P33)-_xlfn.NUMBERVALUE('2.0WP - State'!P33))</f>
        <v>6</v>
      </c>
      <c r="Q33" s="8" t="str">
        <f>IF(_xlfn.NUMBERVALUE('2.0WP - Cen'!Q33)-_xlfn.NUMBERVALUE('2.0WP - State'!Q33)=0,"",_xlfn.NUMBERVALUE('2.0WP - Cen'!Q33)-_xlfn.NUMBERVALUE('2.0WP - State'!Q33))</f>
        <v/>
      </c>
      <c r="R33" s="8" t="str">
        <f>IF(_xlfn.NUMBERVALUE('2.0WP - Cen'!R33)-_xlfn.NUMBERVALUE('2.0WP - State'!R33)=0,"",_xlfn.NUMBERVALUE('2.0WP - Cen'!R33)-_xlfn.NUMBERVALUE('2.0WP - State'!R33))</f>
        <v/>
      </c>
      <c r="S33" s="8" t="str">
        <f>IF(_xlfn.NUMBERVALUE('2.0WP - Cen'!S33)-_xlfn.NUMBERVALUE('2.0WP - State'!S33)=0,"",_xlfn.NUMBERVALUE('2.0WP - Cen'!S33)-_xlfn.NUMBERVALUE('2.0WP - State'!S33))</f>
        <v/>
      </c>
      <c r="T33" s="9">
        <f t="shared" si="4"/>
        <v>6</v>
      </c>
      <c r="U33" s="8" t="str">
        <f>IF(_xlfn.NUMBERVALUE('2.0WP - Cen'!U33)-_xlfn.NUMBERVALUE('2.0WP - State'!U33)=0,"",_xlfn.NUMBERVALUE('2.0WP - Cen'!U33)-_xlfn.NUMBERVALUE('2.0WP - State'!U33))</f>
        <v/>
      </c>
      <c r="V33" s="8" t="str">
        <f>IF(_xlfn.NUMBERVALUE('2.0WP - Cen'!V33)-_xlfn.NUMBERVALUE('2.0WP - State'!V33)=0,"",_xlfn.NUMBERVALUE('2.0WP - Cen'!V33)-_xlfn.NUMBERVALUE('2.0WP - State'!V33))</f>
        <v/>
      </c>
      <c r="W33" s="8" t="str">
        <f>IF(_xlfn.NUMBERVALUE('2.0WP - Cen'!W33)-_xlfn.NUMBERVALUE('2.0WP - State'!W33)=0,"",_xlfn.NUMBERVALUE('2.0WP - Cen'!W33)-_xlfn.NUMBERVALUE('2.0WP - State'!W33))</f>
        <v/>
      </c>
      <c r="X33" s="8" t="str">
        <f>IF(_xlfn.NUMBERVALUE('2.0WP - Cen'!X33)-_xlfn.NUMBERVALUE('2.0WP - State'!X33)=0,"",_xlfn.NUMBERVALUE('2.0WP - Cen'!X33)-_xlfn.NUMBERVALUE('2.0WP - State'!X33))</f>
        <v/>
      </c>
      <c r="Y33" s="8" t="str">
        <f>IF(_xlfn.NUMBERVALUE('2.0WP - Cen'!Y33)-_xlfn.NUMBERVALUE('2.0WP - State'!Y33)=0,"",_xlfn.NUMBERVALUE('2.0WP - Cen'!Y33)-_xlfn.NUMBERVALUE('2.0WP - State'!Y33))</f>
        <v/>
      </c>
      <c r="Z33" s="8" t="str">
        <f>IF(_xlfn.NUMBERVALUE('2.0WP - Cen'!Z33)-_xlfn.NUMBERVALUE('2.0WP - State'!Z33)=0,"",_xlfn.NUMBERVALUE('2.0WP - Cen'!Z33)-_xlfn.NUMBERVALUE('2.0WP - State'!Z33))</f>
        <v/>
      </c>
      <c r="AA33" s="8" t="str">
        <f>IF(_xlfn.NUMBERVALUE('2.0WP - Cen'!AA33)-_xlfn.NUMBERVALUE('2.0WP - State'!AA33)=0,"",_xlfn.NUMBERVALUE('2.0WP - Cen'!AA33)-_xlfn.NUMBERVALUE('2.0WP - State'!AA33))</f>
        <v/>
      </c>
      <c r="AB33" s="8" t="str">
        <f>IF(_xlfn.NUMBERVALUE('2.0WP - Cen'!AB33)-_xlfn.NUMBERVALUE('2.0WP - State'!AB33)=0,"",_xlfn.NUMBERVALUE('2.0WP - Cen'!AB33)-_xlfn.NUMBERVALUE('2.0WP - State'!AB33))</f>
        <v/>
      </c>
      <c r="AC33" s="8" t="str">
        <f>IF(_xlfn.NUMBERVALUE('2.0WP - Cen'!AC33)-_xlfn.NUMBERVALUE('2.0WP - State'!AC33)=0,"",_xlfn.NUMBERVALUE('2.0WP - Cen'!AC33)-_xlfn.NUMBERVALUE('2.0WP - State'!AC33))</f>
        <v/>
      </c>
      <c r="AD33" s="8" t="str">
        <f>IF(_xlfn.NUMBERVALUE('2.0WP - Cen'!AD33)-_xlfn.NUMBERVALUE('2.0WP - State'!AD33)=0,"",_xlfn.NUMBERVALUE('2.0WP - Cen'!AD33)-_xlfn.NUMBERVALUE('2.0WP - State'!AD33))</f>
        <v/>
      </c>
      <c r="AE33" s="8" t="str">
        <f>IF(_xlfn.NUMBERVALUE('2.0WP - Cen'!AE33)-_xlfn.NUMBERVALUE('2.0WP - State'!AE33)=0,"",_xlfn.NUMBERVALUE('2.0WP - Cen'!AE33)-_xlfn.NUMBERVALUE('2.0WP - State'!AE33))</f>
        <v/>
      </c>
      <c r="AF33" s="8" t="str">
        <f>IF(_xlfn.NUMBERVALUE('2.0WP - Cen'!AF33)-_xlfn.NUMBERVALUE('2.0WP - State'!AF33)=0,"",_xlfn.NUMBERVALUE('2.0WP - Cen'!AF33)-_xlfn.NUMBERVALUE('2.0WP - State'!AF33))</f>
        <v/>
      </c>
      <c r="AG33" s="8" t="str">
        <f>IF(_xlfn.NUMBERVALUE('2.0WP - Cen'!AG33)-_xlfn.NUMBERVALUE('2.0WP - State'!AG33)=0,"",_xlfn.NUMBERVALUE('2.0WP - Cen'!AG33)-_xlfn.NUMBERVALUE('2.0WP - State'!AG33))</f>
        <v/>
      </c>
      <c r="AH33" s="8">
        <f>IF(_xlfn.NUMBERVALUE('2.0WP - Cen'!AH33)-_xlfn.NUMBERVALUE('2.0WP - State'!AH33)=0,"",_xlfn.NUMBERVALUE('2.0WP - Cen'!AH33)-_xlfn.NUMBERVALUE('2.0WP - State'!AH33))</f>
        <v>4</v>
      </c>
      <c r="AI33" s="8" t="str">
        <f>IF(_xlfn.NUMBERVALUE('2.0WP - Cen'!AI33)-_xlfn.NUMBERVALUE('2.0WP - State'!AI33)=0,"",_xlfn.NUMBERVALUE('2.0WP - Cen'!AI33)-_xlfn.NUMBERVALUE('2.0WP - State'!AI33))</f>
        <v/>
      </c>
      <c r="AJ33" s="8" t="str">
        <f>IF(_xlfn.NUMBERVALUE('2.0WP - Cen'!AJ33)-_xlfn.NUMBERVALUE('2.0WP - State'!AJ33)=0,"",_xlfn.NUMBERVALUE('2.0WP - Cen'!AJ33)-_xlfn.NUMBERVALUE('2.0WP - State'!AJ33))</f>
        <v/>
      </c>
      <c r="AK33" s="17">
        <f t="shared" si="1"/>
        <v>4</v>
      </c>
      <c r="AL33" s="10">
        <f t="shared" si="2"/>
        <v>10</v>
      </c>
    </row>
    <row r="34" spans="1:38" x14ac:dyDescent="0.25">
      <c r="A34" s="12" t="str">
        <f>'[1]2.0WS'!A34</f>
        <v>06</v>
      </c>
      <c r="B34" s="13" t="str">
        <f>'[1]2.0WS'!B34</f>
        <v>TIRUVANNAMALAI</v>
      </c>
      <c r="C34" s="8" t="str">
        <f>IF(_xlfn.NUMBERVALUE('2.0WP - Cen'!C34)-_xlfn.NUMBERVALUE('2.0WP - State'!C34)=0,"",_xlfn.NUMBERVALUE('2.0WP - Cen'!C34)-_xlfn.NUMBERVALUE('2.0WP - State'!C34))</f>
        <v/>
      </c>
      <c r="D34" s="8" t="str">
        <f>IF(_xlfn.NUMBERVALUE('2.0WP - Cen'!D34)-_xlfn.NUMBERVALUE('2.0WP - State'!D34)=0,"",_xlfn.NUMBERVALUE('2.0WP - Cen'!D34)-_xlfn.NUMBERVALUE('2.0WP - State'!D34))</f>
        <v/>
      </c>
      <c r="E34" s="8" t="str">
        <f>IF(_xlfn.NUMBERVALUE('2.0WP - Cen'!E34)-_xlfn.NUMBERVALUE('2.0WP - State'!E34)=0,"",_xlfn.NUMBERVALUE('2.0WP - Cen'!E34)-_xlfn.NUMBERVALUE('2.0WP - State'!E34))</f>
        <v/>
      </c>
      <c r="F34" s="8" t="str">
        <f>IF(_xlfn.NUMBERVALUE('2.0WP - Cen'!F34)-_xlfn.NUMBERVALUE('2.0WP - State'!F34)=0,"",_xlfn.NUMBERVALUE('2.0WP - Cen'!F34)-_xlfn.NUMBERVALUE('2.0WP - State'!F34))</f>
        <v/>
      </c>
      <c r="G34" s="8" t="str">
        <f>IF(_xlfn.NUMBERVALUE('2.0WP - Cen'!G34)-_xlfn.NUMBERVALUE('2.0WP - State'!G34)=0,"",_xlfn.NUMBERVALUE('2.0WP - Cen'!G34)-_xlfn.NUMBERVALUE('2.0WP - State'!G34))</f>
        <v/>
      </c>
      <c r="H34" s="8" t="str">
        <f>IF(_xlfn.NUMBERVALUE('2.0WP - Cen'!H34)-_xlfn.NUMBERVALUE('2.0WP - State'!H34)=0,"",_xlfn.NUMBERVALUE('2.0WP - Cen'!H34)-_xlfn.NUMBERVALUE('2.0WP - State'!H34))</f>
        <v/>
      </c>
      <c r="I34" s="8" t="str">
        <f>IF(_xlfn.NUMBERVALUE('2.0WP - Cen'!I34)-_xlfn.NUMBERVALUE('2.0WP - State'!I34)=0,"",_xlfn.NUMBERVALUE('2.0WP - Cen'!I34)-_xlfn.NUMBERVALUE('2.0WP - State'!I34))</f>
        <v/>
      </c>
      <c r="J34" s="8" t="str">
        <f>IF(_xlfn.NUMBERVALUE('2.0WP - Cen'!J34)-_xlfn.NUMBERVALUE('2.0WP - State'!J34)=0,"",_xlfn.NUMBERVALUE('2.0WP - Cen'!J34)-_xlfn.NUMBERVALUE('2.0WP - State'!J34))</f>
        <v/>
      </c>
      <c r="K34" s="8" t="str">
        <f>IF(_xlfn.NUMBERVALUE('2.0WP - Cen'!K34)-_xlfn.NUMBERVALUE('2.0WP - State'!K34)=0,"",_xlfn.NUMBERVALUE('2.0WP - Cen'!K34)-_xlfn.NUMBERVALUE('2.0WP - State'!K34))</f>
        <v/>
      </c>
      <c r="L34" s="8" t="str">
        <f>IF(_xlfn.NUMBERVALUE('2.0WP - Cen'!L34)-_xlfn.NUMBERVALUE('2.0WP - State'!L34)=0,"",_xlfn.NUMBERVALUE('2.0WP - Cen'!L34)-_xlfn.NUMBERVALUE('2.0WP - State'!L34))</f>
        <v/>
      </c>
      <c r="M34" s="8" t="str">
        <f>IF(_xlfn.NUMBERVALUE('2.0WP - Cen'!M34)-_xlfn.NUMBERVALUE('2.0WP - State'!M34)=0,"",_xlfn.NUMBERVALUE('2.0WP - Cen'!M34)-_xlfn.NUMBERVALUE('2.0WP - State'!M34))</f>
        <v/>
      </c>
      <c r="N34" s="8" t="str">
        <f>IF(_xlfn.NUMBERVALUE('2.0WP - Cen'!N34)-_xlfn.NUMBERVALUE('2.0WP - State'!N34)=0,"",_xlfn.NUMBERVALUE('2.0WP - Cen'!N34)-_xlfn.NUMBERVALUE('2.0WP - State'!N34))</f>
        <v/>
      </c>
      <c r="O34" s="8" t="str">
        <f>IF(_xlfn.NUMBERVALUE('2.0WP - Cen'!O34)-_xlfn.NUMBERVALUE('2.0WP - State'!O34)=0,"",_xlfn.NUMBERVALUE('2.0WP - Cen'!O34)-_xlfn.NUMBERVALUE('2.0WP - State'!O34))</f>
        <v/>
      </c>
      <c r="P34" s="8" t="str">
        <f>IF(_xlfn.NUMBERVALUE('2.0WP - Cen'!P34)-_xlfn.NUMBERVALUE('2.0WP - State'!P34)=0,"",_xlfn.NUMBERVALUE('2.0WP - Cen'!P34)-_xlfn.NUMBERVALUE('2.0WP - State'!P34))</f>
        <v/>
      </c>
      <c r="Q34" s="8" t="str">
        <f>IF(_xlfn.NUMBERVALUE('2.0WP - Cen'!Q34)-_xlfn.NUMBERVALUE('2.0WP - State'!Q34)=0,"",_xlfn.NUMBERVALUE('2.0WP - Cen'!Q34)-_xlfn.NUMBERVALUE('2.0WP - State'!Q34))</f>
        <v/>
      </c>
      <c r="R34" s="8" t="str">
        <f>IF(_xlfn.NUMBERVALUE('2.0WP - Cen'!R34)-_xlfn.NUMBERVALUE('2.0WP - State'!R34)=0,"",_xlfn.NUMBERVALUE('2.0WP - Cen'!R34)-_xlfn.NUMBERVALUE('2.0WP - State'!R34))</f>
        <v/>
      </c>
      <c r="S34" s="8" t="str">
        <f>IF(_xlfn.NUMBERVALUE('2.0WP - Cen'!S34)-_xlfn.NUMBERVALUE('2.0WP - State'!S34)=0,"",_xlfn.NUMBERVALUE('2.0WP - Cen'!S34)-_xlfn.NUMBERVALUE('2.0WP - State'!S34))</f>
        <v/>
      </c>
      <c r="T34" s="9">
        <f t="shared" si="4"/>
        <v>0</v>
      </c>
      <c r="U34" s="8" t="str">
        <f>IF(_xlfn.NUMBERVALUE('2.0WP - Cen'!U34)-_xlfn.NUMBERVALUE('2.0WP - State'!U34)=0,"",_xlfn.NUMBERVALUE('2.0WP - Cen'!U34)-_xlfn.NUMBERVALUE('2.0WP - State'!U34))</f>
        <v/>
      </c>
      <c r="V34" s="8" t="str">
        <f>IF(_xlfn.NUMBERVALUE('2.0WP - Cen'!V34)-_xlfn.NUMBERVALUE('2.0WP - State'!V34)=0,"",_xlfn.NUMBERVALUE('2.0WP - Cen'!V34)-_xlfn.NUMBERVALUE('2.0WP - State'!V34))</f>
        <v/>
      </c>
      <c r="W34" s="8" t="str">
        <f>IF(_xlfn.NUMBERVALUE('2.0WP - Cen'!W34)-_xlfn.NUMBERVALUE('2.0WP - State'!W34)=0,"",_xlfn.NUMBERVALUE('2.0WP - Cen'!W34)-_xlfn.NUMBERVALUE('2.0WP - State'!W34))</f>
        <v/>
      </c>
      <c r="X34" s="8" t="str">
        <f>IF(_xlfn.NUMBERVALUE('2.0WP - Cen'!X34)-_xlfn.NUMBERVALUE('2.0WP - State'!X34)=0,"",_xlfn.NUMBERVALUE('2.0WP - Cen'!X34)-_xlfn.NUMBERVALUE('2.0WP - State'!X34))</f>
        <v/>
      </c>
      <c r="Y34" s="8" t="str">
        <f>IF(_xlfn.NUMBERVALUE('2.0WP - Cen'!Y34)-_xlfn.NUMBERVALUE('2.0WP - State'!Y34)=0,"",_xlfn.NUMBERVALUE('2.0WP - Cen'!Y34)-_xlfn.NUMBERVALUE('2.0WP - State'!Y34))</f>
        <v/>
      </c>
      <c r="Z34" s="8" t="str">
        <f>IF(_xlfn.NUMBERVALUE('2.0WP - Cen'!Z34)-_xlfn.NUMBERVALUE('2.0WP - State'!Z34)=0,"",_xlfn.NUMBERVALUE('2.0WP - Cen'!Z34)-_xlfn.NUMBERVALUE('2.0WP - State'!Z34))</f>
        <v/>
      </c>
      <c r="AA34" s="8" t="str">
        <f>IF(_xlfn.NUMBERVALUE('2.0WP - Cen'!AA34)-_xlfn.NUMBERVALUE('2.0WP - State'!AA34)=0,"",_xlfn.NUMBERVALUE('2.0WP - Cen'!AA34)-_xlfn.NUMBERVALUE('2.0WP - State'!AA34))</f>
        <v/>
      </c>
      <c r="AB34" s="8" t="str">
        <f>IF(_xlfn.NUMBERVALUE('2.0WP - Cen'!AB34)-_xlfn.NUMBERVALUE('2.0WP - State'!AB34)=0,"",_xlfn.NUMBERVALUE('2.0WP - Cen'!AB34)-_xlfn.NUMBERVALUE('2.0WP - State'!AB34))</f>
        <v/>
      </c>
      <c r="AC34" s="8" t="str">
        <f>IF(_xlfn.NUMBERVALUE('2.0WP - Cen'!AC34)-_xlfn.NUMBERVALUE('2.0WP - State'!AC34)=0,"",_xlfn.NUMBERVALUE('2.0WP - Cen'!AC34)-_xlfn.NUMBERVALUE('2.0WP - State'!AC34))</f>
        <v/>
      </c>
      <c r="AD34" s="8" t="str">
        <f>IF(_xlfn.NUMBERVALUE('2.0WP - Cen'!AD34)-_xlfn.NUMBERVALUE('2.0WP - State'!AD34)=0,"",_xlfn.NUMBERVALUE('2.0WP - Cen'!AD34)-_xlfn.NUMBERVALUE('2.0WP - State'!AD34))</f>
        <v/>
      </c>
      <c r="AE34" s="8" t="str">
        <f>IF(_xlfn.NUMBERVALUE('2.0WP - Cen'!AE34)-_xlfn.NUMBERVALUE('2.0WP - State'!AE34)=0,"",_xlfn.NUMBERVALUE('2.0WP - Cen'!AE34)-_xlfn.NUMBERVALUE('2.0WP - State'!AE34))</f>
        <v/>
      </c>
      <c r="AF34" s="8" t="str">
        <f>IF(_xlfn.NUMBERVALUE('2.0WP - Cen'!AF34)-_xlfn.NUMBERVALUE('2.0WP - State'!AF34)=0,"",_xlfn.NUMBERVALUE('2.0WP - Cen'!AF34)-_xlfn.NUMBERVALUE('2.0WP - State'!AF34))</f>
        <v/>
      </c>
      <c r="AG34" s="8" t="str">
        <f>IF(_xlfn.NUMBERVALUE('2.0WP - Cen'!AG34)-_xlfn.NUMBERVALUE('2.0WP - State'!AG34)=0,"",_xlfn.NUMBERVALUE('2.0WP - Cen'!AG34)-_xlfn.NUMBERVALUE('2.0WP - State'!AG34))</f>
        <v/>
      </c>
      <c r="AH34" s="8" t="str">
        <f>IF(_xlfn.NUMBERVALUE('2.0WP - Cen'!AH34)-_xlfn.NUMBERVALUE('2.0WP - State'!AH34)=0,"",_xlfn.NUMBERVALUE('2.0WP - Cen'!AH34)-_xlfn.NUMBERVALUE('2.0WP - State'!AH34))</f>
        <v/>
      </c>
      <c r="AI34" s="8" t="str">
        <f>IF(_xlfn.NUMBERVALUE('2.0WP - Cen'!AI34)-_xlfn.NUMBERVALUE('2.0WP - State'!AI34)=0,"",_xlfn.NUMBERVALUE('2.0WP - Cen'!AI34)-_xlfn.NUMBERVALUE('2.0WP - State'!AI34))</f>
        <v/>
      </c>
      <c r="AJ34" s="8" t="str">
        <f>IF(_xlfn.NUMBERVALUE('2.0WP - Cen'!AJ34)-_xlfn.NUMBERVALUE('2.0WP - State'!AJ34)=0,"",_xlfn.NUMBERVALUE('2.0WP - Cen'!AJ34)-_xlfn.NUMBERVALUE('2.0WP - State'!AJ34))</f>
        <v/>
      </c>
      <c r="AK34" s="17">
        <f t="shared" si="1"/>
        <v>0</v>
      </c>
      <c r="AL34" s="10">
        <f t="shared" si="2"/>
        <v>0</v>
      </c>
    </row>
    <row r="35" spans="1:38" x14ac:dyDescent="0.25">
      <c r="A35" s="12" t="str">
        <f>'[1]2.0WS'!A35</f>
        <v>35</v>
      </c>
      <c r="B35" s="13" t="str">
        <f>'[1]2.0WS'!B35</f>
        <v>RANIPET</v>
      </c>
      <c r="C35" s="8" t="str">
        <f>IF(_xlfn.NUMBERVALUE('2.0WP - Cen'!C35)-_xlfn.NUMBERVALUE('2.0WP - State'!C35)=0,"",_xlfn.NUMBERVALUE('2.0WP - Cen'!C35)-_xlfn.NUMBERVALUE('2.0WP - State'!C35))</f>
        <v/>
      </c>
      <c r="D35" s="8" t="str">
        <f>IF(_xlfn.NUMBERVALUE('2.0WP - Cen'!D35)-_xlfn.NUMBERVALUE('2.0WP - State'!D35)=0,"",_xlfn.NUMBERVALUE('2.0WP - Cen'!D35)-_xlfn.NUMBERVALUE('2.0WP - State'!D35))</f>
        <v/>
      </c>
      <c r="E35" s="8" t="str">
        <f>IF(_xlfn.NUMBERVALUE('2.0WP - Cen'!E35)-_xlfn.NUMBERVALUE('2.0WP - State'!E35)=0,"",_xlfn.NUMBERVALUE('2.0WP - Cen'!E35)-_xlfn.NUMBERVALUE('2.0WP - State'!E35))</f>
        <v/>
      </c>
      <c r="F35" s="8" t="str">
        <f>IF(_xlfn.NUMBERVALUE('2.0WP - Cen'!F35)-_xlfn.NUMBERVALUE('2.0WP - State'!F35)=0,"",_xlfn.NUMBERVALUE('2.0WP - Cen'!F35)-_xlfn.NUMBERVALUE('2.0WP - State'!F35))</f>
        <v/>
      </c>
      <c r="G35" s="8" t="str">
        <f>IF(_xlfn.NUMBERVALUE('2.0WP - Cen'!G35)-_xlfn.NUMBERVALUE('2.0WP - State'!G35)=0,"",_xlfn.NUMBERVALUE('2.0WP - Cen'!G35)-_xlfn.NUMBERVALUE('2.0WP - State'!G35))</f>
        <v/>
      </c>
      <c r="H35" s="8" t="str">
        <f>IF(_xlfn.NUMBERVALUE('2.0WP - Cen'!H35)-_xlfn.NUMBERVALUE('2.0WP - State'!H35)=0,"",_xlfn.NUMBERVALUE('2.0WP - Cen'!H35)-_xlfn.NUMBERVALUE('2.0WP - State'!H35))</f>
        <v/>
      </c>
      <c r="I35" s="8" t="str">
        <f>IF(_xlfn.NUMBERVALUE('2.0WP - Cen'!I35)-_xlfn.NUMBERVALUE('2.0WP - State'!I35)=0,"",_xlfn.NUMBERVALUE('2.0WP - Cen'!I35)-_xlfn.NUMBERVALUE('2.0WP - State'!I35))</f>
        <v/>
      </c>
      <c r="J35" s="8" t="str">
        <f>IF(_xlfn.NUMBERVALUE('2.0WP - Cen'!J35)-_xlfn.NUMBERVALUE('2.0WP - State'!J35)=0,"",_xlfn.NUMBERVALUE('2.0WP - Cen'!J35)-_xlfn.NUMBERVALUE('2.0WP - State'!J35))</f>
        <v/>
      </c>
      <c r="K35" s="8" t="str">
        <f>IF(_xlfn.NUMBERVALUE('2.0WP - Cen'!K35)-_xlfn.NUMBERVALUE('2.0WP - State'!K35)=0,"",_xlfn.NUMBERVALUE('2.0WP - Cen'!K35)-_xlfn.NUMBERVALUE('2.0WP - State'!K35))</f>
        <v/>
      </c>
      <c r="L35" s="8" t="str">
        <f>IF(_xlfn.NUMBERVALUE('2.0WP - Cen'!L35)-_xlfn.NUMBERVALUE('2.0WP - State'!L35)=0,"",_xlfn.NUMBERVALUE('2.0WP - Cen'!L35)-_xlfn.NUMBERVALUE('2.0WP - State'!L35))</f>
        <v/>
      </c>
      <c r="M35" s="8" t="str">
        <f>IF(_xlfn.NUMBERVALUE('2.0WP - Cen'!M35)-_xlfn.NUMBERVALUE('2.0WP - State'!M35)=0,"",_xlfn.NUMBERVALUE('2.0WP - Cen'!M35)-_xlfn.NUMBERVALUE('2.0WP - State'!M35))</f>
        <v/>
      </c>
      <c r="N35" s="8" t="str">
        <f>IF(_xlfn.NUMBERVALUE('2.0WP - Cen'!N35)-_xlfn.NUMBERVALUE('2.0WP - State'!N35)=0,"",_xlfn.NUMBERVALUE('2.0WP - Cen'!N35)-_xlfn.NUMBERVALUE('2.0WP - State'!N35))</f>
        <v/>
      </c>
      <c r="O35" s="8" t="str">
        <f>IF(_xlfn.NUMBERVALUE('2.0WP - Cen'!O35)-_xlfn.NUMBERVALUE('2.0WP - State'!O35)=0,"",_xlfn.NUMBERVALUE('2.0WP - Cen'!O35)-_xlfn.NUMBERVALUE('2.0WP - State'!O35))</f>
        <v/>
      </c>
      <c r="P35" s="8" t="str">
        <f>IF(_xlfn.NUMBERVALUE('2.0WP - Cen'!P35)-_xlfn.NUMBERVALUE('2.0WP - State'!P35)=0,"",_xlfn.NUMBERVALUE('2.0WP - Cen'!P35)-_xlfn.NUMBERVALUE('2.0WP - State'!P35))</f>
        <v/>
      </c>
      <c r="Q35" s="8" t="str">
        <f>IF(_xlfn.NUMBERVALUE('2.0WP - Cen'!Q35)-_xlfn.NUMBERVALUE('2.0WP - State'!Q35)=0,"",_xlfn.NUMBERVALUE('2.0WP - Cen'!Q35)-_xlfn.NUMBERVALUE('2.0WP - State'!Q35))</f>
        <v/>
      </c>
      <c r="R35" s="8" t="str">
        <f>IF(_xlfn.NUMBERVALUE('2.0WP - Cen'!R35)-_xlfn.NUMBERVALUE('2.0WP - State'!R35)=0,"",_xlfn.NUMBERVALUE('2.0WP - Cen'!R35)-_xlfn.NUMBERVALUE('2.0WP - State'!R35))</f>
        <v/>
      </c>
      <c r="S35" s="8" t="str">
        <f>IF(_xlfn.NUMBERVALUE('2.0WP - Cen'!S35)-_xlfn.NUMBERVALUE('2.0WP - State'!S35)=0,"",_xlfn.NUMBERVALUE('2.0WP - Cen'!S35)-_xlfn.NUMBERVALUE('2.0WP - State'!S35))</f>
        <v/>
      </c>
      <c r="T35" s="9">
        <f t="shared" si="4"/>
        <v>0</v>
      </c>
      <c r="U35" s="8">
        <f>IF(_xlfn.NUMBERVALUE('2.0WP - Cen'!U35)-_xlfn.NUMBERVALUE('2.0WP - State'!U35)=0,"",_xlfn.NUMBERVALUE('2.0WP - Cen'!U35)-_xlfn.NUMBERVALUE('2.0WP - State'!U35))</f>
        <v>4</v>
      </c>
      <c r="V35" s="8" t="str">
        <f>IF(_xlfn.NUMBERVALUE('2.0WP - Cen'!V35)-_xlfn.NUMBERVALUE('2.0WP - State'!V35)=0,"",_xlfn.NUMBERVALUE('2.0WP - Cen'!V35)-_xlfn.NUMBERVALUE('2.0WP - State'!V35))</f>
        <v/>
      </c>
      <c r="W35" s="8" t="str">
        <f>IF(_xlfn.NUMBERVALUE('2.0WP - Cen'!W35)-_xlfn.NUMBERVALUE('2.0WP - State'!W35)=0,"",_xlfn.NUMBERVALUE('2.0WP - Cen'!W35)-_xlfn.NUMBERVALUE('2.0WP - State'!W35))</f>
        <v/>
      </c>
      <c r="X35" s="8" t="str">
        <f>IF(_xlfn.NUMBERVALUE('2.0WP - Cen'!X35)-_xlfn.NUMBERVALUE('2.0WP - State'!X35)=0,"",_xlfn.NUMBERVALUE('2.0WP - Cen'!X35)-_xlfn.NUMBERVALUE('2.0WP - State'!X35))</f>
        <v/>
      </c>
      <c r="Y35" s="8" t="str">
        <f>IF(_xlfn.NUMBERVALUE('2.0WP - Cen'!Y35)-_xlfn.NUMBERVALUE('2.0WP - State'!Y35)=0,"",_xlfn.NUMBERVALUE('2.0WP - Cen'!Y35)-_xlfn.NUMBERVALUE('2.0WP - State'!Y35))</f>
        <v/>
      </c>
      <c r="Z35" s="8" t="str">
        <f>IF(_xlfn.NUMBERVALUE('2.0WP - Cen'!Z35)-_xlfn.NUMBERVALUE('2.0WP - State'!Z35)=0,"",_xlfn.NUMBERVALUE('2.0WP - Cen'!Z35)-_xlfn.NUMBERVALUE('2.0WP - State'!Z35))</f>
        <v/>
      </c>
      <c r="AA35" s="8" t="str">
        <f>IF(_xlfn.NUMBERVALUE('2.0WP - Cen'!AA35)-_xlfn.NUMBERVALUE('2.0WP - State'!AA35)=0,"",_xlfn.NUMBERVALUE('2.0WP - Cen'!AA35)-_xlfn.NUMBERVALUE('2.0WP - State'!AA35))</f>
        <v/>
      </c>
      <c r="AB35" s="8" t="str">
        <f>IF(_xlfn.NUMBERVALUE('2.0WP - Cen'!AB35)-_xlfn.NUMBERVALUE('2.0WP - State'!AB35)=0,"",_xlfn.NUMBERVALUE('2.0WP - Cen'!AB35)-_xlfn.NUMBERVALUE('2.0WP - State'!AB35))</f>
        <v/>
      </c>
      <c r="AC35" s="8" t="str">
        <f>IF(_xlfn.NUMBERVALUE('2.0WP - Cen'!AC35)-_xlfn.NUMBERVALUE('2.0WP - State'!AC35)=0,"",_xlfn.NUMBERVALUE('2.0WP - Cen'!AC35)-_xlfn.NUMBERVALUE('2.0WP - State'!AC35))</f>
        <v/>
      </c>
      <c r="AD35" s="8" t="str">
        <f>IF(_xlfn.NUMBERVALUE('2.0WP - Cen'!AD35)-_xlfn.NUMBERVALUE('2.0WP - State'!AD35)=0,"",_xlfn.NUMBERVALUE('2.0WP - Cen'!AD35)-_xlfn.NUMBERVALUE('2.0WP - State'!AD35))</f>
        <v/>
      </c>
      <c r="AE35" s="8" t="str">
        <f>IF(_xlfn.NUMBERVALUE('2.0WP - Cen'!AE35)-_xlfn.NUMBERVALUE('2.0WP - State'!AE35)=0,"",_xlfn.NUMBERVALUE('2.0WP - Cen'!AE35)-_xlfn.NUMBERVALUE('2.0WP - State'!AE35))</f>
        <v/>
      </c>
      <c r="AF35" s="8" t="str">
        <f>IF(_xlfn.NUMBERVALUE('2.0WP - Cen'!AF35)-_xlfn.NUMBERVALUE('2.0WP - State'!AF35)=0,"",_xlfn.NUMBERVALUE('2.0WP - Cen'!AF35)-_xlfn.NUMBERVALUE('2.0WP - State'!AF35))</f>
        <v/>
      </c>
      <c r="AG35" s="8" t="str">
        <f>IF(_xlfn.NUMBERVALUE('2.0WP - Cen'!AG35)-_xlfn.NUMBERVALUE('2.0WP - State'!AG35)=0,"",_xlfn.NUMBERVALUE('2.0WP - Cen'!AG35)-_xlfn.NUMBERVALUE('2.0WP - State'!AG35))</f>
        <v/>
      </c>
      <c r="AH35" s="8" t="str">
        <f>IF(_xlfn.NUMBERVALUE('2.0WP - Cen'!AH35)-_xlfn.NUMBERVALUE('2.0WP - State'!AH35)=0,"",_xlfn.NUMBERVALUE('2.0WP - Cen'!AH35)-_xlfn.NUMBERVALUE('2.0WP - State'!AH35))</f>
        <v/>
      </c>
      <c r="AI35" s="8" t="str">
        <f>IF(_xlfn.NUMBERVALUE('2.0WP - Cen'!AI35)-_xlfn.NUMBERVALUE('2.0WP - State'!AI35)=0,"",_xlfn.NUMBERVALUE('2.0WP - Cen'!AI35)-_xlfn.NUMBERVALUE('2.0WP - State'!AI35))</f>
        <v/>
      </c>
      <c r="AJ35" s="8" t="str">
        <f>IF(_xlfn.NUMBERVALUE('2.0WP - Cen'!AJ35)-_xlfn.NUMBERVALUE('2.0WP - State'!AJ35)=0,"",_xlfn.NUMBERVALUE('2.0WP - Cen'!AJ35)-_xlfn.NUMBERVALUE('2.0WP - State'!AJ35))</f>
        <v/>
      </c>
      <c r="AK35" s="17">
        <f t="shared" si="1"/>
        <v>4</v>
      </c>
      <c r="AL35" s="10">
        <f t="shared" si="2"/>
        <v>4</v>
      </c>
    </row>
    <row r="36" spans="1:38" s="3" customFormat="1" ht="14.4" customHeight="1" x14ac:dyDescent="0.25">
      <c r="A36" s="19" t="str">
        <f>'[1]2.0WS'!A36</f>
        <v>SRO VELLORE TOTAL</v>
      </c>
      <c r="B36" s="19"/>
      <c r="C36" s="14">
        <f t="shared" ref="C36:S36" si="18">SUM(C33:C35)</f>
        <v>0</v>
      </c>
      <c r="D36" s="14">
        <f t="shared" si="18"/>
        <v>0</v>
      </c>
      <c r="E36" s="14">
        <f t="shared" si="18"/>
        <v>0</v>
      </c>
      <c r="F36" s="14">
        <f t="shared" si="18"/>
        <v>0</v>
      </c>
      <c r="G36" s="14">
        <f t="shared" si="18"/>
        <v>0</v>
      </c>
      <c r="H36" s="14">
        <f t="shared" si="18"/>
        <v>0</v>
      </c>
      <c r="I36" s="14">
        <f t="shared" si="18"/>
        <v>0</v>
      </c>
      <c r="J36" s="14">
        <f t="shared" si="18"/>
        <v>0</v>
      </c>
      <c r="K36" s="14">
        <f t="shared" si="18"/>
        <v>0</v>
      </c>
      <c r="L36" s="14">
        <f t="shared" si="18"/>
        <v>0</v>
      </c>
      <c r="M36" s="14">
        <f t="shared" si="18"/>
        <v>0</v>
      </c>
      <c r="N36" s="14">
        <f t="shared" si="18"/>
        <v>0</v>
      </c>
      <c r="O36" s="14">
        <f t="shared" si="18"/>
        <v>0</v>
      </c>
      <c r="P36" s="14">
        <f t="shared" si="18"/>
        <v>6</v>
      </c>
      <c r="Q36" s="14">
        <f t="shared" si="18"/>
        <v>0</v>
      </c>
      <c r="R36" s="14">
        <f t="shared" si="18"/>
        <v>0</v>
      </c>
      <c r="S36" s="14">
        <f t="shared" si="18"/>
        <v>0</v>
      </c>
      <c r="T36" s="9">
        <f t="shared" si="4"/>
        <v>6</v>
      </c>
      <c r="U36" s="14">
        <f t="shared" ref="U36:AJ36" si="19">SUM(U33:U35)</f>
        <v>4</v>
      </c>
      <c r="V36" s="14">
        <f t="shared" si="19"/>
        <v>0</v>
      </c>
      <c r="W36" s="14">
        <f t="shared" si="19"/>
        <v>0</v>
      </c>
      <c r="X36" s="14">
        <f t="shared" si="19"/>
        <v>0</v>
      </c>
      <c r="Y36" s="14">
        <f t="shared" si="19"/>
        <v>0</v>
      </c>
      <c r="Z36" s="14">
        <f t="shared" si="19"/>
        <v>0</v>
      </c>
      <c r="AA36" s="14">
        <f t="shared" si="19"/>
        <v>0</v>
      </c>
      <c r="AB36" s="14">
        <f t="shared" si="19"/>
        <v>0</v>
      </c>
      <c r="AC36" s="14">
        <f t="shared" si="19"/>
        <v>0</v>
      </c>
      <c r="AD36" s="14">
        <f t="shared" si="19"/>
        <v>0</v>
      </c>
      <c r="AE36" s="14">
        <f t="shared" si="19"/>
        <v>0</v>
      </c>
      <c r="AF36" s="14">
        <f t="shared" si="19"/>
        <v>0</v>
      </c>
      <c r="AG36" s="14">
        <f t="shared" si="19"/>
        <v>0</v>
      </c>
      <c r="AH36" s="14">
        <f t="shared" si="19"/>
        <v>4</v>
      </c>
      <c r="AI36" s="14">
        <f t="shared" si="19"/>
        <v>0</v>
      </c>
      <c r="AJ36" s="14">
        <f t="shared" si="19"/>
        <v>0</v>
      </c>
      <c r="AK36" s="17">
        <f t="shared" si="1"/>
        <v>8</v>
      </c>
      <c r="AL36" s="10">
        <f t="shared" si="2"/>
        <v>14</v>
      </c>
    </row>
    <row r="37" spans="1:38" s="3" customFormat="1" ht="14.4" customHeight="1" x14ac:dyDescent="0.25">
      <c r="A37" s="20" t="str">
        <f>'[1]2.0WS'!A37</f>
        <v>RO CHENNAI TOTAL</v>
      </c>
      <c r="B37" s="20"/>
      <c r="C37" s="15">
        <f>SUM(C36,C32,C27)</f>
        <v>12</v>
      </c>
      <c r="D37" s="15">
        <f t="shared" ref="D37:S37" si="20">SUM(D36,D32,D27)</f>
        <v>0</v>
      </c>
      <c r="E37" s="15">
        <f t="shared" si="20"/>
        <v>8</v>
      </c>
      <c r="F37" s="15">
        <f t="shared" si="20"/>
        <v>0</v>
      </c>
      <c r="G37" s="15">
        <f t="shared" si="20"/>
        <v>0</v>
      </c>
      <c r="H37" s="15">
        <f t="shared" si="20"/>
        <v>12</v>
      </c>
      <c r="I37" s="15">
        <f t="shared" si="20"/>
        <v>4</v>
      </c>
      <c r="J37" s="15">
        <f t="shared" si="20"/>
        <v>2</v>
      </c>
      <c r="K37" s="15">
        <f t="shared" si="20"/>
        <v>2</v>
      </c>
      <c r="L37" s="15">
        <f t="shared" si="20"/>
        <v>0</v>
      </c>
      <c r="M37" s="15">
        <f t="shared" si="20"/>
        <v>4</v>
      </c>
      <c r="N37" s="15">
        <f t="shared" si="20"/>
        <v>2</v>
      </c>
      <c r="O37" s="15">
        <f t="shared" si="20"/>
        <v>0</v>
      </c>
      <c r="P37" s="15">
        <f t="shared" si="20"/>
        <v>6</v>
      </c>
      <c r="Q37" s="15">
        <f t="shared" si="20"/>
        <v>6</v>
      </c>
      <c r="R37" s="15">
        <f t="shared" si="20"/>
        <v>2</v>
      </c>
      <c r="S37" s="15">
        <f t="shared" si="20"/>
        <v>8</v>
      </c>
      <c r="T37" s="9">
        <f t="shared" si="4"/>
        <v>68</v>
      </c>
      <c r="U37" s="15">
        <f t="shared" ref="U37:AJ37" si="21">SUM(U36,U32,U27)</f>
        <v>14</v>
      </c>
      <c r="V37" s="15">
        <f t="shared" si="21"/>
        <v>0</v>
      </c>
      <c r="W37" s="15">
        <f t="shared" si="21"/>
        <v>0</v>
      </c>
      <c r="X37" s="15">
        <f t="shared" si="21"/>
        <v>0</v>
      </c>
      <c r="Y37" s="15">
        <f t="shared" si="21"/>
        <v>4</v>
      </c>
      <c r="Z37" s="15">
        <f t="shared" si="21"/>
        <v>6</v>
      </c>
      <c r="AA37" s="15">
        <f t="shared" si="21"/>
        <v>0</v>
      </c>
      <c r="AB37" s="15">
        <f t="shared" si="21"/>
        <v>2</v>
      </c>
      <c r="AC37" s="15">
        <f t="shared" si="21"/>
        <v>4</v>
      </c>
      <c r="AD37" s="15">
        <f t="shared" si="21"/>
        <v>4</v>
      </c>
      <c r="AE37" s="15">
        <f t="shared" si="21"/>
        <v>2</v>
      </c>
      <c r="AF37" s="15">
        <f t="shared" si="21"/>
        <v>0</v>
      </c>
      <c r="AG37" s="15">
        <f t="shared" si="21"/>
        <v>0</v>
      </c>
      <c r="AH37" s="15">
        <f t="shared" si="21"/>
        <v>4</v>
      </c>
      <c r="AI37" s="15">
        <f t="shared" si="21"/>
        <v>0</v>
      </c>
      <c r="AJ37" s="15">
        <f t="shared" si="21"/>
        <v>0</v>
      </c>
      <c r="AK37" s="17">
        <f t="shared" si="1"/>
        <v>40</v>
      </c>
      <c r="AL37" s="10">
        <f t="shared" si="2"/>
        <v>108</v>
      </c>
    </row>
    <row r="38" spans="1:38" x14ac:dyDescent="0.25">
      <c r="A38" s="12" t="str">
        <f>'[1]2.0WS'!A38</f>
        <v>13</v>
      </c>
      <c r="B38" s="13" t="str">
        <f>'[1]2.0WS'!B38</f>
        <v>DINDIGUL</v>
      </c>
      <c r="C38" s="8" t="str">
        <f>IF(_xlfn.NUMBERVALUE('2.0WP - Cen'!C38)-_xlfn.NUMBERVALUE('2.0WP - State'!C38)=0,"",_xlfn.NUMBERVALUE('2.0WP - Cen'!C38)-_xlfn.NUMBERVALUE('2.0WP - State'!C38))</f>
        <v/>
      </c>
      <c r="D38" s="8" t="str">
        <f>IF(_xlfn.NUMBERVALUE('2.0WP - Cen'!D38)-_xlfn.NUMBERVALUE('2.0WP - State'!D38)=0,"",_xlfn.NUMBERVALUE('2.0WP - Cen'!D38)-_xlfn.NUMBERVALUE('2.0WP - State'!D38))</f>
        <v/>
      </c>
      <c r="E38" s="8" t="str">
        <f>IF(_xlfn.NUMBERVALUE('2.0WP - Cen'!E38)-_xlfn.NUMBERVALUE('2.0WP - State'!E38)=0,"",_xlfn.NUMBERVALUE('2.0WP - Cen'!E38)-_xlfn.NUMBERVALUE('2.0WP - State'!E38))</f>
        <v/>
      </c>
      <c r="F38" s="8" t="str">
        <f>IF(_xlfn.NUMBERVALUE('2.0WP - Cen'!F38)-_xlfn.NUMBERVALUE('2.0WP - State'!F38)=0,"",_xlfn.NUMBERVALUE('2.0WP - Cen'!F38)-_xlfn.NUMBERVALUE('2.0WP - State'!F38))</f>
        <v/>
      </c>
      <c r="G38" s="8" t="str">
        <f>IF(_xlfn.NUMBERVALUE('2.0WP - Cen'!G38)-_xlfn.NUMBERVALUE('2.0WP - State'!G38)=0,"",_xlfn.NUMBERVALUE('2.0WP - Cen'!G38)-_xlfn.NUMBERVALUE('2.0WP - State'!G38))</f>
        <v/>
      </c>
      <c r="H38" s="8" t="str">
        <f>IF(_xlfn.NUMBERVALUE('2.0WP - Cen'!H38)-_xlfn.NUMBERVALUE('2.0WP - State'!H38)=0,"",_xlfn.NUMBERVALUE('2.0WP - Cen'!H38)-_xlfn.NUMBERVALUE('2.0WP - State'!H38))</f>
        <v/>
      </c>
      <c r="I38" s="8" t="str">
        <f>IF(_xlfn.NUMBERVALUE('2.0WP - Cen'!I38)-_xlfn.NUMBERVALUE('2.0WP - State'!I38)=0,"",_xlfn.NUMBERVALUE('2.0WP - Cen'!I38)-_xlfn.NUMBERVALUE('2.0WP - State'!I38))</f>
        <v/>
      </c>
      <c r="J38" s="8" t="str">
        <f>IF(_xlfn.NUMBERVALUE('2.0WP - Cen'!J38)-_xlfn.NUMBERVALUE('2.0WP - State'!J38)=0,"",_xlfn.NUMBERVALUE('2.0WP - Cen'!J38)-_xlfn.NUMBERVALUE('2.0WP - State'!J38))</f>
        <v/>
      </c>
      <c r="K38" s="8" t="str">
        <f>IF(_xlfn.NUMBERVALUE('2.0WP - Cen'!K38)-_xlfn.NUMBERVALUE('2.0WP - State'!K38)=0,"",_xlfn.NUMBERVALUE('2.0WP - Cen'!K38)-_xlfn.NUMBERVALUE('2.0WP - State'!K38))</f>
        <v/>
      </c>
      <c r="L38" s="8">
        <f>IF(_xlfn.NUMBERVALUE('2.0WP - Cen'!L38)-_xlfn.NUMBERVALUE('2.0WP - State'!L38)=0,"",_xlfn.NUMBERVALUE('2.0WP - Cen'!L38)-_xlfn.NUMBERVALUE('2.0WP - State'!L38))</f>
        <v>4</v>
      </c>
      <c r="M38" s="8" t="str">
        <f>IF(_xlfn.NUMBERVALUE('2.0WP - Cen'!M38)-_xlfn.NUMBERVALUE('2.0WP - State'!M38)=0,"",_xlfn.NUMBERVALUE('2.0WP - Cen'!M38)-_xlfn.NUMBERVALUE('2.0WP - State'!M38))</f>
        <v/>
      </c>
      <c r="N38" s="8" t="str">
        <f>IF(_xlfn.NUMBERVALUE('2.0WP - Cen'!N38)-_xlfn.NUMBERVALUE('2.0WP - State'!N38)=0,"",_xlfn.NUMBERVALUE('2.0WP - Cen'!N38)-_xlfn.NUMBERVALUE('2.0WP - State'!N38))</f>
        <v/>
      </c>
      <c r="O38" s="8" t="str">
        <f>IF(_xlfn.NUMBERVALUE('2.0WP - Cen'!O38)-_xlfn.NUMBERVALUE('2.0WP - State'!O38)=0,"",_xlfn.NUMBERVALUE('2.0WP - Cen'!O38)-_xlfn.NUMBERVALUE('2.0WP - State'!O38))</f>
        <v/>
      </c>
      <c r="P38" s="8" t="str">
        <f>IF(_xlfn.NUMBERVALUE('2.0WP - Cen'!P38)-_xlfn.NUMBERVALUE('2.0WP - State'!P38)=0,"",_xlfn.NUMBERVALUE('2.0WP - Cen'!P38)-_xlfn.NUMBERVALUE('2.0WP - State'!P38))</f>
        <v/>
      </c>
      <c r="Q38" s="8" t="str">
        <f>IF(_xlfn.NUMBERVALUE('2.0WP - Cen'!Q38)-_xlfn.NUMBERVALUE('2.0WP - State'!Q38)=0,"",_xlfn.NUMBERVALUE('2.0WP - Cen'!Q38)-_xlfn.NUMBERVALUE('2.0WP - State'!Q38))</f>
        <v/>
      </c>
      <c r="R38" s="8" t="str">
        <f>IF(_xlfn.NUMBERVALUE('2.0WP - Cen'!R38)-_xlfn.NUMBERVALUE('2.0WP - State'!R38)=0,"",_xlfn.NUMBERVALUE('2.0WP - Cen'!R38)-_xlfn.NUMBERVALUE('2.0WP - State'!R38))</f>
        <v/>
      </c>
      <c r="S38" s="8" t="str">
        <f>IF(_xlfn.NUMBERVALUE('2.0WP - Cen'!S38)-_xlfn.NUMBERVALUE('2.0WP - State'!S38)=0,"",_xlfn.NUMBERVALUE('2.0WP - Cen'!S38)-_xlfn.NUMBERVALUE('2.0WP - State'!S38))</f>
        <v/>
      </c>
      <c r="T38" s="9">
        <f t="shared" si="4"/>
        <v>4</v>
      </c>
      <c r="U38" s="8" t="str">
        <f>IF(_xlfn.NUMBERVALUE('2.0WP - Cen'!U38)-_xlfn.NUMBERVALUE('2.0WP - State'!U38)=0,"",_xlfn.NUMBERVALUE('2.0WP - Cen'!U38)-_xlfn.NUMBERVALUE('2.0WP - State'!U38))</f>
        <v/>
      </c>
      <c r="V38" s="8">
        <f>IF(_xlfn.NUMBERVALUE('2.0WP - Cen'!V38)-_xlfn.NUMBERVALUE('2.0WP - State'!V38)=0,"",_xlfn.NUMBERVALUE('2.0WP - Cen'!V38)-_xlfn.NUMBERVALUE('2.0WP - State'!V38))</f>
        <v>6</v>
      </c>
      <c r="W38" s="8" t="str">
        <f>IF(_xlfn.NUMBERVALUE('2.0WP - Cen'!W38)-_xlfn.NUMBERVALUE('2.0WP - State'!W38)=0,"",_xlfn.NUMBERVALUE('2.0WP - Cen'!W38)-_xlfn.NUMBERVALUE('2.0WP - State'!W38))</f>
        <v/>
      </c>
      <c r="X38" s="8" t="str">
        <f>IF(_xlfn.NUMBERVALUE('2.0WP - Cen'!X38)-_xlfn.NUMBERVALUE('2.0WP - State'!X38)=0,"",_xlfn.NUMBERVALUE('2.0WP - Cen'!X38)-_xlfn.NUMBERVALUE('2.0WP - State'!X38))</f>
        <v/>
      </c>
      <c r="Y38" s="8">
        <f>IF(_xlfn.NUMBERVALUE('2.0WP - Cen'!Y38)-_xlfn.NUMBERVALUE('2.0WP - State'!Y38)=0,"",_xlfn.NUMBERVALUE('2.0WP - Cen'!Y38)-_xlfn.NUMBERVALUE('2.0WP - State'!Y38))</f>
        <v>4</v>
      </c>
      <c r="Z38" s="8">
        <f>IF(_xlfn.NUMBERVALUE('2.0WP - Cen'!Z38)-_xlfn.NUMBERVALUE('2.0WP - State'!Z38)=0,"",_xlfn.NUMBERVALUE('2.0WP - Cen'!Z38)-_xlfn.NUMBERVALUE('2.0WP - State'!Z38))</f>
        <v>4</v>
      </c>
      <c r="AA38" s="8" t="str">
        <f>IF(_xlfn.NUMBERVALUE('2.0WP - Cen'!AA38)-_xlfn.NUMBERVALUE('2.0WP - State'!AA38)=0,"",_xlfn.NUMBERVALUE('2.0WP - Cen'!AA38)-_xlfn.NUMBERVALUE('2.0WP - State'!AA38))</f>
        <v/>
      </c>
      <c r="AB38" s="8">
        <f>IF(_xlfn.NUMBERVALUE('2.0WP - Cen'!AB38)-_xlfn.NUMBERVALUE('2.0WP - State'!AB38)=0,"",_xlfn.NUMBERVALUE('2.0WP - Cen'!AB38)-_xlfn.NUMBERVALUE('2.0WP - State'!AB38))</f>
        <v>6</v>
      </c>
      <c r="AC38" s="8" t="str">
        <f>IF(_xlfn.NUMBERVALUE('2.0WP - Cen'!AC38)-_xlfn.NUMBERVALUE('2.0WP - State'!AC38)=0,"",_xlfn.NUMBERVALUE('2.0WP - Cen'!AC38)-_xlfn.NUMBERVALUE('2.0WP - State'!AC38))</f>
        <v/>
      </c>
      <c r="AD38" s="8" t="str">
        <f>IF(_xlfn.NUMBERVALUE('2.0WP - Cen'!AD38)-_xlfn.NUMBERVALUE('2.0WP - State'!AD38)=0,"",_xlfn.NUMBERVALUE('2.0WP - Cen'!AD38)-_xlfn.NUMBERVALUE('2.0WP - State'!AD38))</f>
        <v/>
      </c>
      <c r="AE38" s="8" t="str">
        <f>IF(_xlfn.NUMBERVALUE('2.0WP - Cen'!AE38)-_xlfn.NUMBERVALUE('2.0WP - State'!AE38)=0,"",_xlfn.NUMBERVALUE('2.0WP - Cen'!AE38)-_xlfn.NUMBERVALUE('2.0WP - State'!AE38))</f>
        <v/>
      </c>
      <c r="AF38" s="8" t="str">
        <f>IF(_xlfn.NUMBERVALUE('2.0WP - Cen'!AF38)-_xlfn.NUMBERVALUE('2.0WP - State'!AF38)=0,"",_xlfn.NUMBERVALUE('2.0WP - Cen'!AF38)-_xlfn.NUMBERVALUE('2.0WP - State'!AF38))</f>
        <v/>
      </c>
      <c r="AG38" s="8" t="str">
        <f>IF(_xlfn.NUMBERVALUE('2.0WP - Cen'!AG38)-_xlfn.NUMBERVALUE('2.0WP - State'!AG38)=0,"",_xlfn.NUMBERVALUE('2.0WP - Cen'!AG38)-_xlfn.NUMBERVALUE('2.0WP - State'!AG38))</f>
        <v/>
      </c>
      <c r="AH38" s="8">
        <f>IF(_xlfn.NUMBERVALUE('2.0WP - Cen'!AH38)-_xlfn.NUMBERVALUE('2.0WP - State'!AH38)=0,"",_xlfn.NUMBERVALUE('2.0WP - Cen'!AH38)-_xlfn.NUMBERVALUE('2.0WP - State'!AH38))</f>
        <v>4</v>
      </c>
      <c r="AI38" s="8">
        <f>IF(_xlfn.NUMBERVALUE('2.0WP - Cen'!AI38)-_xlfn.NUMBERVALUE('2.0WP - State'!AI38)=0,"",_xlfn.NUMBERVALUE('2.0WP - Cen'!AI38)-_xlfn.NUMBERVALUE('2.0WP - State'!AI38))</f>
        <v>4</v>
      </c>
      <c r="AJ38" s="8">
        <f>IF(_xlfn.NUMBERVALUE('2.0WP - Cen'!AJ38)-_xlfn.NUMBERVALUE('2.0WP - State'!AJ38)=0,"",_xlfn.NUMBERVALUE('2.0WP - Cen'!AJ38)-_xlfn.NUMBERVALUE('2.0WP - State'!AJ38))</f>
        <v>4</v>
      </c>
      <c r="AK38" s="17">
        <f t="shared" si="1"/>
        <v>32</v>
      </c>
      <c r="AL38" s="10">
        <f t="shared" si="2"/>
        <v>36</v>
      </c>
    </row>
    <row r="39" spans="1:38" x14ac:dyDescent="0.25">
      <c r="A39" s="12" t="str">
        <f>'[1]2.0WS'!A39</f>
        <v>23</v>
      </c>
      <c r="B39" s="13" t="str">
        <f>'[1]2.0WS'!B39</f>
        <v>SIVAGANGAI</v>
      </c>
      <c r="C39" s="8" t="str">
        <f>IF(_xlfn.NUMBERVALUE('2.0WP - Cen'!C39)-_xlfn.NUMBERVALUE('2.0WP - State'!C39)=0,"",_xlfn.NUMBERVALUE('2.0WP - Cen'!C39)-_xlfn.NUMBERVALUE('2.0WP - State'!C39))</f>
        <v/>
      </c>
      <c r="D39" s="8" t="str">
        <f>IF(_xlfn.NUMBERVALUE('2.0WP - Cen'!D39)-_xlfn.NUMBERVALUE('2.0WP - State'!D39)=0,"",_xlfn.NUMBERVALUE('2.0WP - Cen'!D39)-_xlfn.NUMBERVALUE('2.0WP - State'!D39))</f>
        <v/>
      </c>
      <c r="E39" s="8">
        <f>IF(_xlfn.NUMBERVALUE('2.0WP - Cen'!E39)-_xlfn.NUMBERVALUE('2.0WP - State'!E39)=0,"",_xlfn.NUMBERVALUE('2.0WP - Cen'!E39)-_xlfn.NUMBERVALUE('2.0WP - State'!E39))</f>
        <v>4</v>
      </c>
      <c r="F39" s="8" t="str">
        <f>IF(_xlfn.NUMBERVALUE('2.0WP - Cen'!F39)-_xlfn.NUMBERVALUE('2.0WP - State'!F39)=0,"",_xlfn.NUMBERVALUE('2.0WP - Cen'!F39)-_xlfn.NUMBERVALUE('2.0WP - State'!F39))</f>
        <v/>
      </c>
      <c r="G39" s="8" t="str">
        <f>IF(_xlfn.NUMBERVALUE('2.0WP - Cen'!G39)-_xlfn.NUMBERVALUE('2.0WP - State'!G39)=0,"",_xlfn.NUMBERVALUE('2.0WP - Cen'!G39)-_xlfn.NUMBERVALUE('2.0WP - State'!G39))</f>
        <v/>
      </c>
      <c r="H39" s="8" t="str">
        <f>IF(_xlfn.NUMBERVALUE('2.0WP - Cen'!H39)-_xlfn.NUMBERVALUE('2.0WP - State'!H39)=0,"",_xlfn.NUMBERVALUE('2.0WP - Cen'!H39)-_xlfn.NUMBERVALUE('2.0WP - State'!H39))</f>
        <v/>
      </c>
      <c r="I39" s="8" t="str">
        <f>IF(_xlfn.NUMBERVALUE('2.0WP - Cen'!I39)-_xlfn.NUMBERVALUE('2.0WP - State'!I39)=0,"",_xlfn.NUMBERVALUE('2.0WP - Cen'!I39)-_xlfn.NUMBERVALUE('2.0WP - State'!I39))</f>
        <v/>
      </c>
      <c r="J39" s="8" t="str">
        <f>IF(_xlfn.NUMBERVALUE('2.0WP - Cen'!J39)-_xlfn.NUMBERVALUE('2.0WP - State'!J39)=0,"",_xlfn.NUMBERVALUE('2.0WP - Cen'!J39)-_xlfn.NUMBERVALUE('2.0WP - State'!J39))</f>
        <v/>
      </c>
      <c r="K39" s="8" t="str">
        <f>IF(_xlfn.NUMBERVALUE('2.0WP - Cen'!K39)-_xlfn.NUMBERVALUE('2.0WP - State'!K39)=0,"",_xlfn.NUMBERVALUE('2.0WP - Cen'!K39)-_xlfn.NUMBERVALUE('2.0WP - State'!K39))</f>
        <v/>
      </c>
      <c r="L39" s="8">
        <f>IF(_xlfn.NUMBERVALUE('2.0WP - Cen'!L39)-_xlfn.NUMBERVALUE('2.0WP - State'!L39)=0,"",_xlfn.NUMBERVALUE('2.0WP - Cen'!L39)-_xlfn.NUMBERVALUE('2.0WP - State'!L39))</f>
        <v>2</v>
      </c>
      <c r="M39" s="8" t="str">
        <f>IF(_xlfn.NUMBERVALUE('2.0WP - Cen'!M39)-_xlfn.NUMBERVALUE('2.0WP - State'!M39)=0,"",_xlfn.NUMBERVALUE('2.0WP - Cen'!M39)-_xlfn.NUMBERVALUE('2.0WP - State'!M39))</f>
        <v/>
      </c>
      <c r="N39" s="8" t="str">
        <f>IF(_xlfn.NUMBERVALUE('2.0WP - Cen'!N39)-_xlfn.NUMBERVALUE('2.0WP - State'!N39)=0,"",_xlfn.NUMBERVALUE('2.0WP - Cen'!N39)-_xlfn.NUMBERVALUE('2.0WP - State'!N39))</f>
        <v/>
      </c>
      <c r="O39" s="8" t="str">
        <f>IF(_xlfn.NUMBERVALUE('2.0WP - Cen'!O39)-_xlfn.NUMBERVALUE('2.0WP - State'!O39)=0,"",_xlfn.NUMBERVALUE('2.0WP - Cen'!O39)-_xlfn.NUMBERVALUE('2.0WP - State'!O39))</f>
        <v/>
      </c>
      <c r="P39" s="8" t="str">
        <f>IF(_xlfn.NUMBERVALUE('2.0WP - Cen'!P39)-_xlfn.NUMBERVALUE('2.0WP - State'!P39)=0,"",_xlfn.NUMBERVALUE('2.0WP - Cen'!P39)-_xlfn.NUMBERVALUE('2.0WP - State'!P39))</f>
        <v/>
      </c>
      <c r="Q39" s="8" t="str">
        <f>IF(_xlfn.NUMBERVALUE('2.0WP - Cen'!Q39)-_xlfn.NUMBERVALUE('2.0WP - State'!Q39)=0,"",_xlfn.NUMBERVALUE('2.0WP - Cen'!Q39)-_xlfn.NUMBERVALUE('2.0WP - State'!Q39))</f>
        <v/>
      </c>
      <c r="R39" s="8" t="str">
        <f>IF(_xlfn.NUMBERVALUE('2.0WP - Cen'!R39)-_xlfn.NUMBERVALUE('2.0WP - State'!R39)=0,"",_xlfn.NUMBERVALUE('2.0WP - Cen'!R39)-_xlfn.NUMBERVALUE('2.0WP - State'!R39))</f>
        <v/>
      </c>
      <c r="S39" s="8" t="str">
        <f>IF(_xlfn.NUMBERVALUE('2.0WP - Cen'!S39)-_xlfn.NUMBERVALUE('2.0WP - State'!S39)=0,"",_xlfn.NUMBERVALUE('2.0WP - Cen'!S39)-_xlfn.NUMBERVALUE('2.0WP - State'!S39))</f>
        <v/>
      </c>
      <c r="T39" s="9">
        <f t="shared" si="4"/>
        <v>6</v>
      </c>
      <c r="U39" s="8" t="str">
        <f>IF(_xlfn.NUMBERVALUE('2.0WP - Cen'!U39)-_xlfn.NUMBERVALUE('2.0WP - State'!U39)=0,"",_xlfn.NUMBERVALUE('2.0WP - Cen'!U39)-_xlfn.NUMBERVALUE('2.0WP - State'!U39))</f>
        <v/>
      </c>
      <c r="V39" s="8" t="str">
        <f>IF(_xlfn.NUMBERVALUE('2.0WP - Cen'!V39)-_xlfn.NUMBERVALUE('2.0WP - State'!V39)=0,"",_xlfn.NUMBERVALUE('2.0WP - Cen'!V39)-_xlfn.NUMBERVALUE('2.0WP - State'!V39))</f>
        <v/>
      </c>
      <c r="W39" s="8" t="str">
        <f>IF(_xlfn.NUMBERVALUE('2.0WP - Cen'!W39)-_xlfn.NUMBERVALUE('2.0WP - State'!W39)=0,"",_xlfn.NUMBERVALUE('2.0WP - Cen'!W39)-_xlfn.NUMBERVALUE('2.0WP - State'!W39))</f>
        <v/>
      </c>
      <c r="X39" s="8" t="str">
        <f>IF(_xlfn.NUMBERVALUE('2.0WP - Cen'!X39)-_xlfn.NUMBERVALUE('2.0WP - State'!X39)=0,"",_xlfn.NUMBERVALUE('2.0WP - Cen'!X39)-_xlfn.NUMBERVALUE('2.0WP - State'!X39))</f>
        <v/>
      </c>
      <c r="Y39" s="8" t="str">
        <f>IF(_xlfn.NUMBERVALUE('2.0WP - Cen'!Y39)-_xlfn.NUMBERVALUE('2.0WP - State'!Y39)=0,"",_xlfn.NUMBERVALUE('2.0WP - Cen'!Y39)-_xlfn.NUMBERVALUE('2.0WP - State'!Y39))</f>
        <v/>
      </c>
      <c r="Z39" s="8" t="str">
        <f>IF(_xlfn.NUMBERVALUE('2.0WP - Cen'!Z39)-_xlfn.NUMBERVALUE('2.0WP - State'!Z39)=0,"",_xlfn.NUMBERVALUE('2.0WP - Cen'!Z39)-_xlfn.NUMBERVALUE('2.0WP - State'!Z39))</f>
        <v/>
      </c>
      <c r="AA39" s="8" t="str">
        <f>IF(_xlfn.NUMBERVALUE('2.0WP - Cen'!AA39)-_xlfn.NUMBERVALUE('2.0WP - State'!AA39)=0,"",_xlfn.NUMBERVALUE('2.0WP - Cen'!AA39)-_xlfn.NUMBERVALUE('2.0WP - State'!AA39))</f>
        <v/>
      </c>
      <c r="AB39" s="8" t="str">
        <f>IF(_xlfn.NUMBERVALUE('2.0WP - Cen'!AB39)-_xlfn.NUMBERVALUE('2.0WP - State'!AB39)=0,"",_xlfn.NUMBERVALUE('2.0WP - Cen'!AB39)-_xlfn.NUMBERVALUE('2.0WP - State'!AB39))</f>
        <v/>
      </c>
      <c r="AC39" s="8" t="str">
        <f>IF(_xlfn.NUMBERVALUE('2.0WP - Cen'!AC39)-_xlfn.NUMBERVALUE('2.0WP - State'!AC39)=0,"",_xlfn.NUMBERVALUE('2.0WP - Cen'!AC39)-_xlfn.NUMBERVALUE('2.0WP - State'!AC39))</f>
        <v/>
      </c>
      <c r="AD39" s="8" t="str">
        <f>IF(_xlfn.NUMBERVALUE('2.0WP - Cen'!AD39)-_xlfn.NUMBERVALUE('2.0WP - State'!AD39)=0,"",_xlfn.NUMBERVALUE('2.0WP - Cen'!AD39)-_xlfn.NUMBERVALUE('2.0WP - State'!AD39))</f>
        <v/>
      </c>
      <c r="AE39" s="8" t="str">
        <f>IF(_xlfn.NUMBERVALUE('2.0WP - Cen'!AE39)-_xlfn.NUMBERVALUE('2.0WP - State'!AE39)=0,"",_xlfn.NUMBERVALUE('2.0WP - Cen'!AE39)-_xlfn.NUMBERVALUE('2.0WP - State'!AE39))</f>
        <v/>
      </c>
      <c r="AF39" s="8" t="str">
        <f>IF(_xlfn.NUMBERVALUE('2.0WP - Cen'!AF39)-_xlfn.NUMBERVALUE('2.0WP - State'!AF39)=0,"",_xlfn.NUMBERVALUE('2.0WP - Cen'!AF39)-_xlfn.NUMBERVALUE('2.0WP - State'!AF39))</f>
        <v/>
      </c>
      <c r="AG39" s="8" t="str">
        <f>IF(_xlfn.NUMBERVALUE('2.0WP - Cen'!AG39)-_xlfn.NUMBERVALUE('2.0WP - State'!AG39)=0,"",_xlfn.NUMBERVALUE('2.0WP - Cen'!AG39)-_xlfn.NUMBERVALUE('2.0WP - State'!AG39))</f>
        <v/>
      </c>
      <c r="AH39" s="8" t="str">
        <f>IF(_xlfn.NUMBERVALUE('2.0WP - Cen'!AH39)-_xlfn.NUMBERVALUE('2.0WP - State'!AH39)=0,"",_xlfn.NUMBERVALUE('2.0WP - Cen'!AH39)-_xlfn.NUMBERVALUE('2.0WP - State'!AH39))</f>
        <v/>
      </c>
      <c r="AI39" s="8" t="str">
        <f>IF(_xlfn.NUMBERVALUE('2.0WP - Cen'!AI39)-_xlfn.NUMBERVALUE('2.0WP - State'!AI39)=0,"",_xlfn.NUMBERVALUE('2.0WP - Cen'!AI39)-_xlfn.NUMBERVALUE('2.0WP - State'!AI39))</f>
        <v/>
      </c>
      <c r="AJ39" s="8" t="str">
        <f>IF(_xlfn.NUMBERVALUE('2.0WP - Cen'!AJ39)-_xlfn.NUMBERVALUE('2.0WP - State'!AJ39)=0,"",_xlfn.NUMBERVALUE('2.0WP - Cen'!AJ39)-_xlfn.NUMBERVALUE('2.0WP - State'!AJ39))</f>
        <v/>
      </c>
      <c r="AK39" s="17">
        <f t="shared" si="1"/>
        <v>0</v>
      </c>
      <c r="AL39" s="10">
        <f t="shared" si="2"/>
        <v>6</v>
      </c>
    </row>
    <row r="40" spans="1:38" x14ac:dyDescent="0.25">
      <c r="A40" s="12" t="str">
        <f>'[1]2.0WS'!A40</f>
        <v>24</v>
      </c>
      <c r="B40" s="13" t="str">
        <f>'[1]2.0WS'!B40</f>
        <v>MADURAI</v>
      </c>
      <c r="C40" s="8" t="str">
        <f>IF(_xlfn.NUMBERVALUE('2.0WP - Cen'!C40)-_xlfn.NUMBERVALUE('2.0WP - State'!C40)=0,"",_xlfn.NUMBERVALUE('2.0WP - Cen'!C40)-_xlfn.NUMBERVALUE('2.0WP - State'!C40))</f>
        <v/>
      </c>
      <c r="D40" s="8" t="str">
        <f>IF(_xlfn.NUMBERVALUE('2.0WP - Cen'!D40)-_xlfn.NUMBERVALUE('2.0WP - State'!D40)=0,"",_xlfn.NUMBERVALUE('2.0WP - Cen'!D40)-_xlfn.NUMBERVALUE('2.0WP - State'!D40))</f>
        <v/>
      </c>
      <c r="E40" s="8" t="str">
        <f>IF(_xlfn.NUMBERVALUE('2.0WP - Cen'!E40)-_xlfn.NUMBERVALUE('2.0WP - State'!E40)=0,"",_xlfn.NUMBERVALUE('2.0WP - Cen'!E40)-_xlfn.NUMBERVALUE('2.0WP - State'!E40))</f>
        <v/>
      </c>
      <c r="F40" s="8" t="str">
        <f>IF(_xlfn.NUMBERVALUE('2.0WP - Cen'!F40)-_xlfn.NUMBERVALUE('2.0WP - State'!F40)=0,"",_xlfn.NUMBERVALUE('2.0WP - Cen'!F40)-_xlfn.NUMBERVALUE('2.0WP - State'!F40))</f>
        <v/>
      </c>
      <c r="G40" s="8" t="str">
        <f>IF(_xlfn.NUMBERVALUE('2.0WP - Cen'!G40)-_xlfn.NUMBERVALUE('2.0WP - State'!G40)=0,"",_xlfn.NUMBERVALUE('2.0WP - Cen'!G40)-_xlfn.NUMBERVALUE('2.0WP - State'!G40))</f>
        <v/>
      </c>
      <c r="H40" s="8">
        <f>IF(_xlfn.NUMBERVALUE('2.0WP - Cen'!H40)-_xlfn.NUMBERVALUE('2.0WP - State'!H40)=0,"",_xlfn.NUMBERVALUE('2.0WP - Cen'!H40)-_xlfn.NUMBERVALUE('2.0WP - State'!H40))</f>
        <v>4</v>
      </c>
      <c r="I40" s="8" t="str">
        <f>IF(_xlfn.NUMBERVALUE('2.0WP - Cen'!I40)-_xlfn.NUMBERVALUE('2.0WP - State'!I40)=0,"",_xlfn.NUMBERVALUE('2.0WP - Cen'!I40)-_xlfn.NUMBERVALUE('2.0WP - State'!I40))</f>
        <v/>
      </c>
      <c r="J40" s="8">
        <f>IF(_xlfn.NUMBERVALUE('2.0WP - Cen'!J40)-_xlfn.NUMBERVALUE('2.0WP - State'!J40)=0,"",_xlfn.NUMBERVALUE('2.0WP - Cen'!J40)-_xlfn.NUMBERVALUE('2.0WP - State'!J40))</f>
        <v>6</v>
      </c>
      <c r="K40" s="8" t="str">
        <f>IF(_xlfn.NUMBERVALUE('2.0WP - Cen'!K40)-_xlfn.NUMBERVALUE('2.0WP - State'!K40)=0,"",_xlfn.NUMBERVALUE('2.0WP - Cen'!K40)-_xlfn.NUMBERVALUE('2.0WP - State'!K40))</f>
        <v/>
      </c>
      <c r="L40" s="8" t="str">
        <f>IF(_xlfn.NUMBERVALUE('2.0WP - Cen'!L40)-_xlfn.NUMBERVALUE('2.0WP - State'!L40)=0,"",_xlfn.NUMBERVALUE('2.0WP - Cen'!L40)-_xlfn.NUMBERVALUE('2.0WP - State'!L40))</f>
        <v/>
      </c>
      <c r="M40" s="8" t="str">
        <f>IF(_xlfn.NUMBERVALUE('2.0WP - Cen'!M40)-_xlfn.NUMBERVALUE('2.0WP - State'!M40)=0,"",_xlfn.NUMBERVALUE('2.0WP - Cen'!M40)-_xlfn.NUMBERVALUE('2.0WP - State'!M40))</f>
        <v/>
      </c>
      <c r="N40" s="8" t="str">
        <f>IF(_xlfn.NUMBERVALUE('2.0WP - Cen'!N40)-_xlfn.NUMBERVALUE('2.0WP - State'!N40)=0,"",_xlfn.NUMBERVALUE('2.0WP - Cen'!N40)-_xlfn.NUMBERVALUE('2.0WP - State'!N40))</f>
        <v/>
      </c>
      <c r="O40" s="8" t="str">
        <f>IF(_xlfn.NUMBERVALUE('2.0WP - Cen'!O40)-_xlfn.NUMBERVALUE('2.0WP - State'!O40)=0,"",_xlfn.NUMBERVALUE('2.0WP - Cen'!O40)-_xlfn.NUMBERVALUE('2.0WP - State'!O40))</f>
        <v/>
      </c>
      <c r="P40" s="8">
        <f>IF(_xlfn.NUMBERVALUE('2.0WP - Cen'!P40)-_xlfn.NUMBERVALUE('2.0WP - State'!P40)=0,"",_xlfn.NUMBERVALUE('2.0WP - Cen'!P40)-_xlfn.NUMBERVALUE('2.0WP - State'!P40))</f>
        <v>4</v>
      </c>
      <c r="Q40" s="8" t="str">
        <f>IF(_xlfn.NUMBERVALUE('2.0WP - Cen'!Q40)-_xlfn.NUMBERVALUE('2.0WP - State'!Q40)=0,"",_xlfn.NUMBERVALUE('2.0WP - Cen'!Q40)-_xlfn.NUMBERVALUE('2.0WP - State'!Q40))</f>
        <v/>
      </c>
      <c r="R40" s="8" t="str">
        <f>IF(_xlfn.NUMBERVALUE('2.0WP - Cen'!R40)-_xlfn.NUMBERVALUE('2.0WP - State'!R40)=0,"",_xlfn.NUMBERVALUE('2.0WP - Cen'!R40)-_xlfn.NUMBERVALUE('2.0WP - State'!R40))</f>
        <v/>
      </c>
      <c r="S40" s="8" t="str">
        <f>IF(_xlfn.NUMBERVALUE('2.0WP - Cen'!S40)-_xlfn.NUMBERVALUE('2.0WP - State'!S40)=0,"",_xlfn.NUMBERVALUE('2.0WP - Cen'!S40)-_xlfn.NUMBERVALUE('2.0WP - State'!S40))</f>
        <v/>
      </c>
      <c r="T40" s="9">
        <f t="shared" si="4"/>
        <v>14</v>
      </c>
      <c r="U40" s="8" t="str">
        <f>IF(_xlfn.NUMBERVALUE('2.0WP - Cen'!U40)-_xlfn.NUMBERVALUE('2.0WP - State'!U40)=0,"",_xlfn.NUMBERVALUE('2.0WP - Cen'!U40)-_xlfn.NUMBERVALUE('2.0WP - State'!U40))</f>
        <v/>
      </c>
      <c r="V40" s="8">
        <f>IF(_xlfn.NUMBERVALUE('2.0WP - Cen'!V40)-_xlfn.NUMBERVALUE('2.0WP - State'!V40)=0,"",_xlfn.NUMBERVALUE('2.0WP - Cen'!V40)-_xlfn.NUMBERVALUE('2.0WP - State'!V40))</f>
        <v>4</v>
      </c>
      <c r="W40" s="8" t="str">
        <f>IF(_xlfn.NUMBERVALUE('2.0WP - Cen'!W40)-_xlfn.NUMBERVALUE('2.0WP - State'!W40)=0,"",_xlfn.NUMBERVALUE('2.0WP - Cen'!W40)-_xlfn.NUMBERVALUE('2.0WP - State'!W40))</f>
        <v/>
      </c>
      <c r="X40" s="8" t="str">
        <f>IF(_xlfn.NUMBERVALUE('2.0WP - Cen'!X40)-_xlfn.NUMBERVALUE('2.0WP - State'!X40)=0,"",_xlfn.NUMBERVALUE('2.0WP - Cen'!X40)-_xlfn.NUMBERVALUE('2.0WP - State'!X40))</f>
        <v/>
      </c>
      <c r="Y40" s="8" t="str">
        <f>IF(_xlfn.NUMBERVALUE('2.0WP - Cen'!Y40)-_xlfn.NUMBERVALUE('2.0WP - State'!Y40)=0,"",_xlfn.NUMBERVALUE('2.0WP - Cen'!Y40)-_xlfn.NUMBERVALUE('2.0WP - State'!Y40))</f>
        <v/>
      </c>
      <c r="Z40" s="8" t="str">
        <f>IF(_xlfn.NUMBERVALUE('2.0WP - Cen'!Z40)-_xlfn.NUMBERVALUE('2.0WP - State'!Z40)=0,"",_xlfn.NUMBERVALUE('2.0WP - Cen'!Z40)-_xlfn.NUMBERVALUE('2.0WP - State'!Z40))</f>
        <v/>
      </c>
      <c r="AA40" s="8" t="str">
        <f>IF(_xlfn.NUMBERVALUE('2.0WP - Cen'!AA40)-_xlfn.NUMBERVALUE('2.0WP - State'!AA40)=0,"",_xlfn.NUMBERVALUE('2.0WP - Cen'!AA40)-_xlfn.NUMBERVALUE('2.0WP - State'!AA40))</f>
        <v/>
      </c>
      <c r="AB40" s="8" t="str">
        <f>IF(_xlfn.NUMBERVALUE('2.0WP - Cen'!AB40)-_xlfn.NUMBERVALUE('2.0WP - State'!AB40)=0,"",_xlfn.NUMBERVALUE('2.0WP - Cen'!AB40)-_xlfn.NUMBERVALUE('2.0WP - State'!AB40))</f>
        <v/>
      </c>
      <c r="AC40" s="8" t="str">
        <f>IF(_xlfn.NUMBERVALUE('2.0WP - Cen'!AC40)-_xlfn.NUMBERVALUE('2.0WP - State'!AC40)=0,"",_xlfn.NUMBERVALUE('2.0WP - Cen'!AC40)-_xlfn.NUMBERVALUE('2.0WP - State'!AC40))</f>
        <v/>
      </c>
      <c r="AD40" s="8" t="str">
        <f>IF(_xlfn.NUMBERVALUE('2.0WP - Cen'!AD40)-_xlfn.NUMBERVALUE('2.0WP - State'!AD40)=0,"",_xlfn.NUMBERVALUE('2.0WP - Cen'!AD40)-_xlfn.NUMBERVALUE('2.0WP - State'!AD40))</f>
        <v/>
      </c>
      <c r="AE40" s="8" t="str">
        <f>IF(_xlfn.NUMBERVALUE('2.0WP - Cen'!AE40)-_xlfn.NUMBERVALUE('2.0WP - State'!AE40)=0,"",_xlfn.NUMBERVALUE('2.0WP - Cen'!AE40)-_xlfn.NUMBERVALUE('2.0WP - State'!AE40))</f>
        <v/>
      </c>
      <c r="AF40" s="8" t="str">
        <f>IF(_xlfn.NUMBERVALUE('2.0WP - Cen'!AF40)-_xlfn.NUMBERVALUE('2.0WP - State'!AF40)=0,"",_xlfn.NUMBERVALUE('2.0WP - Cen'!AF40)-_xlfn.NUMBERVALUE('2.0WP - State'!AF40))</f>
        <v/>
      </c>
      <c r="AG40" s="8" t="str">
        <f>IF(_xlfn.NUMBERVALUE('2.0WP - Cen'!AG40)-_xlfn.NUMBERVALUE('2.0WP - State'!AG40)=0,"",_xlfn.NUMBERVALUE('2.0WP - Cen'!AG40)-_xlfn.NUMBERVALUE('2.0WP - State'!AG40))</f>
        <v/>
      </c>
      <c r="AH40" s="8" t="str">
        <f>IF(_xlfn.NUMBERVALUE('2.0WP - Cen'!AH40)-_xlfn.NUMBERVALUE('2.0WP - State'!AH40)=0,"",_xlfn.NUMBERVALUE('2.0WP - Cen'!AH40)-_xlfn.NUMBERVALUE('2.0WP - State'!AH40))</f>
        <v/>
      </c>
      <c r="AI40" s="8" t="str">
        <f>IF(_xlfn.NUMBERVALUE('2.0WP - Cen'!AI40)-_xlfn.NUMBERVALUE('2.0WP - State'!AI40)=0,"",_xlfn.NUMBERVALUE('2.0WP - Cen'!AI40)-_xlfn.NUMBERVALUE('2.0WP - State'!AI40))</f>
        <v/>
      </c>
      <c r="AJ40" s="8">
        <f>IF(_xlfn.NUMBERVALUE('2.0WP - Cen'!AJ40)-_xlfn.NUMBERVALUE('2.0WP - State'!AJ40)=0,"",_xlfn.NUMBERVALUE('2.0WP - Cen'!AJ40)-_xlfn.NUMBERVALUE('2.0WP - State'!AJ40))</f>
        <v>2</v>
      </c>
      <c r="AK40" s="17">
        <f t="shared" si="1"/>
        <v>6</v>
      </c>
      <c r="AL40" s="10">
        <f t="shared" si="2"/>
        <v>20</v>
      </c>
    </row>
    <row r="41" spans="1:38" x14ac:dyDescent="0.25">
      <c r="A41" s="12" t="str">
        <f>'[1]2.0WS'!A41</f>
        <v>25</v>
      </c>
      <c r="B41" s="13" t="str">
        <f>'[1]2.0WS'!B41</f>
        <v>THENI</v>
      </c>
      <c r="C41" s="8" t="str">
        <f>IF(_xlfn.NUMBERVALUE('2.0WP - Cen'!C41)-_xlfn.NUMBERVALUE('2.0WP - State'!C41)=0,"",_xlfn.NUMBERVALUE('2.0WP - Cen'!C41)-_xlfn.NUMBERVALUE('2.0WP - State'!C41))</f>
        <v/>
      </c>
      <c r="D41" s="8" t="str">
        <f>IF(_xlfn.NUMBERVALUE('2.0WP - Cen'!D41)-_xlfn.NUMBERVALUE('2.0WP - State'!D41)=0,"",_xlfn.NUMBERVALUE('2.0WP - Cen'!D41)-_xlfn.NUMBERVALUE('2.0WP - State'!D41))</f>
        <v/>
      </c>
      <c r="E41" s="8" t="str">
        <f>IF(_xlfn.NUMBERVALUE('2.0WP - Cen'!E41)-_xlfn.NUMBERVALUE('2.0WP - State'!E41)=0,"",_xlfn.NUMBERVALUE('2.0WP - Cen'!E41)-_xlfn.NUMBERVALUE('2.0WP - State'!E41))</f>
        <v/>
      </c>
      <c r="F41" s="8">
        <f>IF(_xlfn.NUMBERVALUE('2.0WP - Cen'!F41)-_xlfn.NUMBERVALUE('2.0WP - State'!F41)=0,"",_xlfn.NUMBERVALUE('2.0WP - Cen'!F41)-_xlfn.NUMBERVALUE('2.0WP - State'!F41))</f>
        <v>4</v>
      </c>
      <c r="G41" s="8" t="str">
        <f>IF(_xlfn.NUMBERVALUE('2.0WP - Cen'!G41)-_xlfn.NUMBERVALUE('2.0WP - State'!G41)=0,"",_xlfn.NUMBERVALUE('2.0WP - Cen'!G41)-_xlfn.NUMBERVALUE('2.0WP - State'!G41))</f>
        <v/>
      </c>
      <c r="H41" s="8" t="str">
        <f>IF(_xlfn.NUMBERVALUE('2.0WP - Cen'!H41)-_xlfn.NUMBERVALUE('2.0WP - State'!H41)=0,"",_xlfn.NUMBERVALUE('2.0WP - Cen'!H41)-_xlfn.NUMBERVALUE('2.0WP - State'!H41))</f>
        <v/>
      </c>
      <c r="I41" s="8" t="str">
        <f>IF(_xlfn.NUMBERVALUE('2.0WP - Cen'!I41)-_xlfn.NUMBERVALUE('2.0WP - State'!I41)=0,"",_xlfn.NUMBERVALUE('2.0WP - Cen'!I41)-_xlfn.NUMBERVALUE('2.0WP - State'!I41))</f>
        <v/>
      </c>
      <c r="J41" s="8" t="str">
        <f>IF(_xlfn.NUMBERVALUE('2.0WP - Cen'!J41)-_xlfn.NUMBERVALUE('2.0WP - State'!J41)=0,"",_xlfn.NUMBERVALUE('2.0WP - Cen'!J41)-_xlfn.NUMBERVALUE('2.0WP - State'!J41))</f>
        <v/>
      </c>
      <c r="K41" s="8" t="str">
        <f>IF(_xlfn.NUMBERVALUE('2.0WP - Cen'!K41)-_xlfn.NUMBERVALUE('2.0WP - State'!K41)=0,"",_xlfn.NUMBERVALUE('2.0WP - Cen'!K41)-_xlfn.NUMBERVALUE('2.0WP - State'!K41))</f>
        <v/>
      </c>
      <c r="L41" s="8" t="str">
        <f>IF(_xlfn.NUMBERVALUE('2.0WP - Cen'!L41)-_xlfn.NUMBERVALUE('2.0WP - State'!L41)=0,"",_xlfn.NUMBERVALUE('2.0WP - Cen'!L41)-_xlfn.NUMBERVALUE('2.0WP - State'!L41))</f>
        <v/>
      </c>
      <c r="M41" s="8" t="str">
        <f>IF(_xlfn.NUMBERVALUE('2.0WP - Cen'!M41)-_xlfn.NUMBERVALUE('2.0WP - State'!M41)=0,"",_xlfn.NUMBERVALUE('2.0WP - Cen'!M41)-_xlfn.NUMBERVALUE('2.0WP - State'!M41))</f>
        <v/>
      </c>
      <c r="N41" s="8" t="str">
        <f>IF(_xlfn.NUMBERVALUE('2.0WP - Cen'!N41)-_xlfn.NUMBERVALUE('2.0WP - State'!N41)=0,"",_xlfn.NUMBERVALUE('2.0WP - Cen'!N41)-_xlfn.NUMBERVALUE('2.0WP - State'!N41))</f>
        <v/>
      </c>
      <c r="O41" s="8" t="str">
        <f>IF(_xlfn.NUMBERVALUE('2.0WP - Cen'!O41)-_xlfn.NUMBERVALUE('2.0WP - State'!O41)=0,"",_xlfn.NUMBERVALUE('2.0WP - Cen'!O41)-_xlfn.NUMBERVALUE('2.0WP - State'!O41))</f>
        <v/>
      </c>
      <c r="P41" s="8">
        <f>IF(_xlfn.NUMBERVALUE('2.0WP - Cen'!P41)-_xlfn.NUMBERVALUE('2.0WP - State'!P41)=0,"",_xlfn.NUMBERVALUE('2.0WP - Cen'!P41)-_xlfn.NUMBERVALUE('2.0WP - State'!P41))</f>
        <v>2</v>
      </c>
      <c r="Q41" s="8" t="str">
        <f>IF(_xlfn.NUMBERVALUE('2.0WP - Cen'!Q41)-_xlfn.NUMBERVALUE('2.0WP - State'!Q41)=0,"",_xlfn.NUMBERVALUE('2.0WP - Cen'!Q41)-_xlfn.NUMBERVALUE('2.0WP - State'!Q41))</f>
        <v/>
      </c>
      <c r="R41" s="8">
        <f>IF(_xlfn.NUMBERVALUE('2.0WP - Cen'!R41)-_xlfn.NUMBERVALUE('2.0WP - State'!R41)=0,"",_xlfn.NUMBERVALUE('2.0WP - Cen'!R41)-_xlfn.NUMBERVALUE('2.0WP - State'!R41))</f>
        <v>4</v>
      </c>
      <c r="S41" s="8" t="str">
        <f>IF(_xlfn.NUMBERVALUE('2.0WP - Cen'!S41)-_xlfn.NUMBERVALUE('2.0WP - State'!S41)=0,"",_xlfn.NUMBERVALUE('2.0WP - Cen'!S41)-_xlfn.NUMBERVALUE('2.0WP - State'!S41))</f>
        <v/>
      </c>
      <c r="T41" s="9">
        <f t="shared" si="4"/>
        <v>10</v>
      </c>
      <c r="U41" s="8" t="str">
        <f>IF(_xlfn.NUMBERVALUE('2.0WP - Cen'!U41)-_xlfn.NUMBERVALUE('2.0WP - State'!U41)=0,"",_xlfn.NUMBERVALUE('2.0WP - Cen'!U41)-_xlfn.NUMBERVALUE('2.0WP - State'!U41))</f>
        <v/>
      </c>
      <c r="V41" s="8">
        <f>IF(_xlfn.NUMBERVALUE('2.0WP - Cen'!V41)-_xlfn.NUMBERVALUE('2.0WP - State'!V41)=0,"",_xlfn.NUMBERVALUE('2.0WP - Cen'!V41)-_xlfn.NUMBERVALUE('2.0WP - State'!V41))</f>
        <v>4</v>
      </c>
      <c r="W41" s="8">
        <f>IF(_xlfn.NUMBERVALUE('2.0WP - Cen'!W41)-_xlfn.NUMBERVALUE('2.0WP - State'!W41)=0,"",_xlfn.NUMBERVALUE('2.0WP - Cen'!W41)-_xlfn.NUMBERVALUE('2.0WP - State'!W41))</f>
        <v>4</v>
      </c>
      <c r="X41" s="8" t="str">
        <f>IF(_xlfn.NUMBERVALUE('2.0WP - Cen'!X41)-_xlfn.NUMBERVALUE('2.0WP - State'!X41)=0,"",_xlfn.NUMBERVALUE('2.0WP - Cen'!X41)-_xlfn.NUMBERVALUE('2.0WP - State'!X41))</f>
        <v/>
      </c>
      <c r="Y41" s="8" t="str">
        <f>IF(_xlfn.NUMBERVALUE('2.0WP - Cen'!Y41)-_xlfn.NUMBERVALUE('2.0WP - State'!Y41)=0,"",_xlfn.NUMBERVALUE('2.0WP - Cen'!Y41)-_xlfn.NUMBERVALUE('2.0WP - State'!Y41))</f>
        <v/>
      </c>
      <c r="Z41" s="8" t="str">
        <f>IF(_xlfn.NUMBERVALUE('2.0WP - Cen'!Z41)-_xlfn.NUMBERVALUE('2.0WP - State'!Z41)=0,"",_xlfn.NUMBERVALUE('2.0WP - Cen'!Z41)-_xlfn.NUMBERVALUE('2.0WP - State'!Z41))</f>
        <v/>
      </c>
      <c r="AA41" s="8" t="str">
        <f>IF(_xlfn.NUMBERVALUE('2.0WP - Cen'!AA41)-_xlfn.NUMBERVALUE('2.0WP - State'!AA41)=0,"",_xlfn.NUMBERVALUE('2.0WP - Cen'!AA41)-_xlfn.NUMBERVALUE('2.0WP - State'!AA41))</f>
        <v/>
      </c>
      <c r="AB41" s="8">
        <f>IF(_xlfn.NUMBERVALUE('2.0WP - Cen'!AB41)-_xlfn.NUMBERVALUE('2.0WP - State'!AB41)=0,"",_xlfn.NUMBERVALUE('2.0WP - Cen'!AB41)-_xlfn.NUMBERVALUE('2.0WP - State'!AB41))</f>
        <v>2</v>
      </c>
      <c r="AC41" s="8" t="str">
        <f>IF(_xlfn.NUMBERVALUE('2.0WP - Cen'!AC41)-_xlfn.NUMBERVALUE('2.0WP - State'!AC41)=0,"",_xlfn.NUMBERVALUE('2.0WP - Cen'!AC41)-_xlfn.NUMBERVALUE('2.0WP - State'!AC41))</f>
        <v/>
      </c>
      <c r="AD41" s="8" t="str">
        <f>IF(_xlfn.NUMBERVALUE('2.0WP - Cen'!AD41)-_xlfn.NUMBERVALUE('2.0WP - State'!AD41)=0,"",_xlfn.NUMBERVALUE('2.0WP - Cen'!AD41)-_xlfn.NUMBERVALUE('2.0WP - State'!AD41))</f>
        <v/>
      </c>
      <c r="AE41" s="8" t="str">
        <f>IF(_xlfn.NUMBERVALUE('2.0WP - Cen'!AE41)-_xlfn.NUMBERVALUE('2.0WP - State'!AE41)=0,"",_xlfn.NUMBERVALUE('2.0WP - Cen'!AE41)-_xlfn.NUMBERVALUE('2.0WP - State'!AE41))</f>
        <v/>
      </c>
      <c r="AF41" s="8">
        <f>IF(_xlfn.NUMBERVALUE('2.0WP - Cen'!AF41)-_xlfn.NUMBERVALUE('2.0WP - State'!AF41)=0,"",_xlfn.NUMBERVALUE('2.0WP - Cen'!AF41)-_xlfn.NUMBERVALUE('2.0WP - State'!AF41))</f>
        <v>4</v>
      </c>
      <c r="AG41" s="8" t="str">
        <f>IF(_xlfn.NUMBERVALUE('2.0WP - Cen'!AG41)-_xlfn.NUMBERVALUE('2.0WP - State'!AG41)=0,"",_xlfn.NUMBERVALUE('2.0WP - Cen'!AG41)-_xlfn.NUMBERVALUE('2.0WP - State'!AG41))</f>
        <v/>
      </c>
      <c r="AH41" s="8" t="str">
        <f>IF(_xlfn.NUMBERVALUE('2.0WP - Cen'!AH41)-_xlfn.NUMBERVALUE('2.0WP - State'!AH41)=0,"",_xlfn.NUMBERVALUE('2.0WP - Cen'!AH41)-_xlfn.NUMBERVALUE('2.0WP - State'!AH41))</f>
        <v/>
      </c>
      <c r="AI41" s="8" t="str">
        <f>IF(_xlfn.NUMBERVALUE('2.0WP - Cen'!AI41)-_xlfn.NUMBERVALUE('2.0WP - State'!AI41)=0,"",_xlfn.NUMBERVALUE('2.0WP - Cen'!AI41)-_xlfn.NUMBERVALUE('2.0WP - State'!AI41))</f>
        <v/>
      </c>
      <c r="AJ41" s="8" t="str">
        <f>IF(_xlfn.NUMBERVALUE('2.0WP - Cen'!AJ41)-_xlfn.NUMBERVALUE('2.0WP - State'!AJ41)=0,"",_xlfn.NUMBERVALUE('2.0WP - Cen'!AJ41)-_xlfn.NUMBERVALUE('2.0WP - State'!AJ41))</f>
        <v/>
      </c>
      <c r="AK41" s="17">
        <f t="shared" si="1"/>
        <v>14</v>
      </c>
      <c r="AL41" s="10">
        <f t="shared" si="2"/>
        <v>24</v>
      </c>
    </row>
    <row r="42" spans="1:38" s="3" customFormat="1" ht="14.4" customHeight="1" x14ac:dyDescent="0.25">
      <c r="A42" s="19" t="str">
        <f>'[1]2.0WS'!A42</f>
        <v>SRO MADURAI TOTAL</v>
      </c>
      <c r="B42" s="19"/>
      <c r="C42" s="14">
        <f t="shared" ref="C42:S42" si="22">SUM(C38:C41)</f>
        <v>0</v>
      </c>
      <c r="D42" s="14">
        <f t="shared" si="22"/>
        <v>0</v>
      </c>
      <c r="E42" s="14">
        <f t="shared" si="22"/>
        <v>4</v>
      </c>
      <c r="F42" s="14">
        <f t="shared" si="22"/>
        <v>4</v>
      </c>
      <c r="G42" s="14">
        <f t="shared" si="22"/>
        <v>0</v>
      </c>
      <c r="H42" s="14">
        <f t="shared" si="22"/>
        <v>4</v>
      </c>
      <c r="I42" s="14">
        <f t="shared" si="22"/>
        <v>0</v>
      </c>
      <c r="J42" s="14">
        <f t="shared" si="22"/>
        <v>6</v>
      </c>
      <c r="K42" s="14">
        <f t="shared" si="22"/>
        <v>0</v>
      </c>
      <c r="L42" s="14">
        <f t="shared" si="22"/>
        <v>6</v>
      </c>
      <c r="M42" s="14">
        <f t="shared" si="22"/>
        <v>0</v>
      </c>
      <c r="N42" s="14">
        <f t="shared" si="22"/>
        <v>0</v>
      </c>
      <c r="O42" s="14">
        <f t="shared" si="22"/>
        <v>0</v>
      </c>
      <c r="P42" s="14">
        <f t="shared" si="22"/>
        <v>6</v>
      </c>
      <c r="Q42" s="14">
        <f t="shared" si="22"/>
        <v>0</v>
      </c>
      <c r="R42" s="14">
        <f t="shared" si="22"/>
        <v>4</v>
      </c>
      <c r="S42" s="14">
        <f t="shared" si="22"/>
        <v>0</v>
      </c>
      <c r="T42" s="9">
        <f t="shared" si="4"/>
        <v>34</v>
      </c>
      <c r="U42" s="14">
        <f t="shared" ref="U42:AJ42" si="23">SUM(U38:U41)</f>
        <v>0</v>
      </c>
      <c r="V42" s="14">
        <f t="shared" si="23"/>
        <v>14</v>
      </c>
      <c r="W42" s="14">
        <f t="shared" si="23"/>
        <v>4</v>
      </c>
      <c r="X42" s="14">
        <f t="shared" si="23"/>
        <v>0</v>
      </c>
      <c r="Y42" s="14">
        <f t="shared" si="23"/>
        <v>4</v>
      </c>
      <c r="Z42" s="14">
        <f t="shared" si="23"/>
        <v>4</v>
      </c>
      <c r="AA42" s="14">
        <f t="shared" si="23"/>
        <v>0</v>
      </c>
      <c r="AB42" s="14">
        <f t="shared" si="23"/>
        <v>8</v>
      </c>
      <c r="AC42" s="14">
        <f t="shared" si="23"/>
        <v>0</v>
      </c>
      <c r="AD42" s="14">
        <f t="shared" si="23"/>
        <v>0</v>
      </c>
      <c r="AE42" s="14">
        <f t="shared" si="23"/>
        <v>0</v>
      </c>
      <c r="AF42" s="14">
        <f t="shared" si="23"/>
        <v>4</v>
      </c>
      <c r="AG42" s="14">
        <f t="shared" si="23"/>
        <v>0</v>
      </c>
      <c r="AH42" s="14">
        <f t="shared" si="23"/>
        <v>4</v>
      </c>
      <c r="AI42" s="14">
        <f t="shared" si="23"/>
        <v>4</v>
      </c>
      <c r="AJ42" s="14">
        <f t="shared" si="23"/>
        <v>6</v>
      </c>
      <c r="AK42" s="17">
        <f t="shared" si="1"/>
        <v>52</v>
      </c>
      <c r="AL42" s="10">
        <f t="shared" si="2"/>
        <v>86</v>
      </c>
    </row>
    <row r="43" spans="1:38" x14ac:dyDescent="0.25">
      <c r="A43" s="12" t="str">
        <f>'[1]2.0WS'!A43</f>
        <v>19</v>
      </c>
      <c r="B43" s="13" t="str">
        <f>'[1]2.0WS'!B43</f>
        <v>NAGAPATTINAM</v>
      </c>
      <c r="C43" s="8" t="str">
        <f>IF(_xlfn.NUMBERVALUE('2.0WP - Cen'!C43)-_xlfn.NUMBERVALUE('2.0WP - State'!C43)=0,"",_xlfn.NUMBERVALUE('2.0WP - Cen'!C43)-_xlfn.NUMBERVALUE('2.0WP - State'!C43))</f>
        <v/>
      </c>
      <c r="D43" s="8" t="str">
        <f>IF(_xlfn.NUMBERVALUE('2.0WP - Cen'!D43)-_xlfn.NUMBERVALUE('2.0WP - State'!D43)=0,"",_xlfn.NUMBERVALUE('2.0WP - Cen'!D43)-_xlfn.NUMBERVALUE('2.0WP - State'!D43))</f>
        <v/>
      </c>
      <c r="E43" s="8" t="str">
        <f>IF(_xlfn.NUMBERVALUE('2.0WP - Cen'!E43)-_xlfn.NUMBERVALUE('2.0WP - State'!E43)=0,"",_xlfn.NUMBERVALUE('2.0WP - Cen'!E43)-_xlfn.NUMBERVALUE('2.0WP - State'!E43))</f>
        <v/>
      </c>
      <c r="F43" s="8" t="str">
        <f>IF(_xlfn.NUMBERVALUE('2.0WP - Cen'!F43)-_xlfn.NUMBERVALUE('2.0WP - State'!F43)=0,"",_xlfn.NUMBERVALUE('2.0WP - Cen'!F43)-_xlfn.NUMBERVALUE('2.0WP - State'!F43))</f>
        <v/>
      </c>
      <c r="G43" s="8" t="str">
        <f>IF(_xlfn.NUMBERVALUE('2.0WP - Cen'!G43)-_xlfn.NUMBERVALUE('2.0WP - State'!G43)=0,"",_xlfn.NUMBERVALUE('2.0WP - Cen'!G43)-_xlfn.NUMBERVALUE('2.0WP - State'!G43))</f>
        <v/>
      </c>
      <c r="H43" s="8" t="str">
        <f>IF(_xlfn.NUMBERVALUE('2.0WP - Cen'!H43)-_xlfn.NUMBERVALUE('2.0WP - State'!H43)=0,"",_xlfn.NUMBERVALUE('2.0WP - Cen'!H43)-_xlfn.NUMBERVALUE('2.0WP - State'!H43))</f>
        <v/>
      </c>
      <c r="I43" s="8" t="str">
        <f>IF(_xlfn.NUMBERVALUE('2.0WP - Cen'!I43)-_xlfn.NUMBERVALUE('2.0WP - State'!I43)=0,"",_xlfn.NUMBERVALUE('2.0WP - Cen'!I43)-_xlfn.NUMBERVALUE('2.0WP - State'!I43))</f>
        <v/>
      </c>
      <c r="J43" s="8" t="str">
        <f>IF(_xlfn.NUMBERVALUE('2.0WP - Cen'!J43)-_xlfn.NUMBERVALUE('2.0WP - State'!J43)=0,"",_xlfn.NUMBERVALUE('2.0WP - Cen'!J43)-_xlfn.NUMBERVALUE('2.0WP - State'!J43))</f>
        <v/>
      </c>
      <c r="K43" s="8" t="str">
        <f>IF(_xlfn.NUMBERVALUE('2.0WP - Cen'!K43)-_xlfn.NUMBERVALUE('2.0WP - State'!K43)=0,"",_xlfn.NUMBERVALUE('2.0WP - Cen'!K43)-_xlfn.NUMBERVALUE('2.0WP - State'!K43))</f>
        <v/>
      </c>
      <c r="L43" s="8" t="str">
        <f>IF(_xlfn.NUMBERVALUE('2.0WP - Cen'!L43)-_xlfn.NUMBERVALUE('2.0WP - State'!L43)=0,"",_xlfn.NUMBERVALUE('2.0WP - Cen'!L43)-_xlfn.NUMBERVALUE('2.0WP - State'!L43))</f>
        <v/>
      </c>
      <c r="M43" s="8" t="str">
        <f>IF(_xlfn.NUMBERVALUE('2.0WP - Cen'!M43)-_xlfn.NUMBERVALUE('2.0WP - State'!M43)=0,"",_xlfn.NUMBERVALUE('2.0WP - Cen'!M43)-_xlfn.NUMBERVALUE('2.0WP - State'!M43))</f>
        <v/>
      </c>
      <c r="N43" s="8" t="str">
        <f>IF(_xlfn.NUMBERVALUE('2.0WP - Cen'!N43)-_xlfn.NUMBERVALUE('2.0WP - State'!N43)=0,"",_xlfn.NUMBERVALUE('2.0WP - Cen'!N43)-_xlfn.NUMBERVALUE('2.0WP - State'!N43))</f>
        <v/>
      </c>
      <c r="O43" s="8" t="str">
        <f>IF(_xlfn.NUMBERVALUE('2.0WP - Cen'!O43)-_xlfn.NUMBERVALUE('2.0WP - State'!O43)=0,"",_xlfn.NUMBERVALUE('2.0WP - Cen'!O43)-_xlfn.NUMBERVALUE('2.0WP - State'!O43))</f>
        <v/>
      </c>
      <c r="P43" s="8" t="str">
        <f>IF(_xlfn.NUMBERVALUE('2.0WP - Cen'!P43)-_xlfn.NUMBERVALUE('2.0WP - State'!P43)=0,"",_xlfn.NUMBERVALUE('2.0WP - Cen'!P43)-_xlfn.NUMBERVALUE('2.0WP - State'!P43))</f>
        <v/>
      </c>
      <c r="Q43" s="8" t="str">
        <f>IF(_xlfn.NUMBERVALUE('2.0WP - Cen'!Q43)-_xlfn.NUMBERVALUE('2.0WP - State'!Q43)=0,"",_xlfn.NUMBERVALUE('2.0WP - Cen'!Q43)-_xlfn.NUMBERVALUE('2.0WP - State'!Q43))</f>
        <v/>
      </c>
      <c r="R43" s="8" t="str">
        <f>IF(_xlfn.NUMBERVALUE('2.0WP - Cen'!R43)-_xlfn.NUMBERVALUE('2.0WP - State'!R43)=0,"",_xlfn.NUMBERVALUE('2.0WP - Cen'!R43)-_xlfn.NUMBERVALUE('2.0WP - State'!R43))</f>
        <v/>
      </c>
      <c r="S43" s="8" t="str">
        <f>IF(_xlfn.NUMBERVALUE('2.0WP - Cen'!S43)-_xlfn.NUMBERVALUE('2.0WP - State'!S43)=0,"",_xlfn.NUMBERVALUE('2.0WP - Cen'!S43)-_xlfn.NUMBERVALUE('2.0WP - State'!S43))</f>
        <v/>
      </c>
      <c r="T43" s="9">
        <f t="shared" si="4"/>
        <v>0</v>
      </c>
      <c r="U43" s="8" t="str">
        <f>IF(_xlfn.NUMBERVALUE('2.0WP - Cen'!U43)-_xlfn.NUMBERVALUE('2.0WP - State'!U43)=0,"",_xlfn.NUMBERVALUE('2.0WP - Cen'!U43)-_xlfn.NUMBERVALUE('2.0WP - State'!U43))</f>
        <v/>
      </c>
      <c r="V43" s="8" t="str">
        <f>IF(_xlfn.NUMBERVALUE('2.0WP - Cen'!V43)-_xlfn.NUMBERVALUE('2.0WP - State'!V43)=0,"",_xlfn.NUMBERVALUE('2.0WP - Cen'!V43)-_xlfn.NUMBERVALUE('2.0WP - State'!V43))</f>
        <v/>
      </c>
      <c r="W43" s="8" t="str">
        <f>IF(_xlfn.NUMBERVALUE('2.0WP - Cen'!W43)-_xlfn.NUMBERVALUE('2.0WP - State'!W43)=0,"",_xlfn.NUMBERVALUE('2.0WP - Cen'!W43)-_xlfn.NUMBERVALUE('2.0WP - State'!W43))</f>
        <v/>
      </c>
      <c r="X43" s="8" t="str">
        <f>IF(_xlfn.NUMBERVALUE('2.0WP - Cen'!X43)-_xlfn.NUMBERVALUE('2.0WP - State'!X43)=0,"",_xlfn.NUMBERVALUE('2.0WP - Cen'!X43)-_xlfn.NUMBERVALUE('2.0WP - State'!X43))</f>
        <v/>
      </c>
      <c r="Y43" s="8" t="str">
        <f>IF(_xlfn.NUMBERVALUE('2.0WP - Cen'!Y43)-_xlfn.NUMBERVALUE('2.0WP - State'!Y43)=0,"",_xlfn.NUMBERVALUE('2.0WP - Cen'!Y43)-_xlfn.NUMBERVALUE('2.0WP - State'!Y43))</f>
        <v/>
      </c>
      <c r="Z43" s="8">
        <f>IF(_xlfn.NUMBERVALUE('2.0WP - Cen'!Z43)-_xlfn.NUMBERVALUE('2.0WP - State'!Z43)=0,"",_xlfn.NUMBERVALUE('2.0WP - Cen'!Z43)-_xlfn.NUMBERVALUE('2.0WP - State'!Z43))</f>
        <v>4</v>
      </c>
      <c r="AA43" s="8" t="str">
        <f>IF(_xlfn.NUMBERVALUE('2.0WP - Cen'!AA43)-_xlfn.NUMBERVALUE('2.0WP - State'!AA43)=0,"",_xlfn.NUMBERVALUE('2.0WP - Cen'!AA43)-_xlfn.NUMBERVALUE('2.0WP - State'!AA43))</f>
        <v/>
      </c>
      <c r="AB43" s="8">
        <f>IF(_xlfn.NUMBERVALUE('2.0WP - Cen'!AB43)-_xlfn.NUMBERVALUE('2.0WP - State'!AB43)=0,"",_xlfn.NUMBERVALUE('2.0WP - Cen'!AB43)-_xlfn.NUMBERVALUE('2.0WP - State'!AB43))</f>
        <v>4</v>
      </c>
      <c r="AC43" s="8" t="str">
        <f>IF(_xlfn.NUMBERVALUE('2.0WP - Cen'!AC43)-_xlfn.NUMBERVALUE('2.0WP - State'!AC43)=0,"",_xlfn.NUMBERVALUE('2.0WP - Cen'!AC43)-_xlfn.NUMBERVALUE('2.0WP - State'!AC43))</f>
        <v/>
      </c>
      <c r="AD43" s="8" t="str">
        <f>IF(_xlfn.NUMBERVALUE('2.0WP - Cen'!AD43)-_xlfn.NUMBERVALUE('2.0WP - State'!AD43)=0,"",_xlfn.NUMBERVALUE('2.0WP - Cen'!AD43)-_xlfn.NUMBERVALUE('2.0WP - State'!AD43))</f>
        <v/>
      </c>
      <c r="AE43" s="8" t="str">
        <f>IF(_xlfn.NUMBERVALUE('2.0WP - Cen'!AE43)-_xlfn.NUMBERVALUE('2.0WP - State'!AE43)=0,"",_xlfn.NUMBERVALUE('2.0WP - Cen'!AE43)-_xlfn.NUMBERVALUE('2.0WP - State'!AE43))</f>
        <v/>
      </c>
      <c r="AF43" s="8" t="str">
        <f>IF(_xlfn.NUMBERVALUE('2.0WP - Cen'!AF43)-_xlfn.NUMBERVALUE('2.0WP - State'!AF43)=0,"",_xlfn.NUMBERVALUE('2.0WP - Cen'!AF43)-_xlfn.NUMBERVALUE('2.0WP - State'!AF43))</f>
        <v/>
      </c>
      <c r="AG43" s="8" t="str">
        <f>IF(_xlfn.NUMBERVALUE('2.0WP - Cen'!AG43)-_xlfn.NUMBERVALUE('2.0WP - State'!AG43)=0,"",_xlfn.NUMBERVALUE('2.0WP - Cen'!AG43)-_xlfn.NUMBERVALUE('2.0WP - State'!AG43))</f>
        <v/>
      </c>
      <c r="AH43" s="8" t="str">
        <f>IF(_xlfn.NUMBERVALUE('2.0WP - Cen'!AH43)-_xlfn.NUMBERVALUE('2.0WP - State'!AH43)=0,"",_xlfn.NUMBERVALUE('2.0WP - Cen'!AH43)-_xlfn.NUMBERVALUE('2.0WP - State'!AH43))</f>
        <v/>
      </c>
      <c r="AI43" s="8" t="str">
        <f>IF(_xlfn.NUMBERVALUE('2.0WP - Cen'!AI43)-_xlfn.NUMBERVALUE('2.0WP - State'!AI43)=0,"",_xlfn.NUMBERVALUE('2.0WP - Cen'!AI43)-_xlfn.NUMBERVALUE('2.0WP - State'!AI43))</f>
        <v/>
      </c>
      <c r="AJ43" s="8" t="str">
        <f>IF(_xlfn.NUMBERVALUE('2.0WP - Cen'!AJ43)-_xlfn.NUMBERVALUE('2.0WP - State'!AJ43)=0,"",_xlfn.NUMBERVALUE('2.0WP - Cen'!AJ43)-_xlfn.NUMBERVALUE('2.0WP - State'!AJ43))</f>
        <v/>
      </c>
      <c r="AK43" s="17">
        <f t="shared" si="1"/>
        <v>8</v>
      </c>
      <c r="AL43" s="10">
        <f t="shared" si="2"/>
        <v>8</v>
      </c>
    </row>
    <row r="44" spans="1:38" x14ac:dyDescent="0.25">
      <c r="A44" s="12" t="str">
        <f>'[1]2.0WS'!A44</f>
        <v>20</v>
      </c>
      <c r="B44" s="13" t="str">
        <f>'[1]2.0WS'!B44</f>
        <v>THIRUVARUR</v>
      </c>
      <c r="C44" s="8">
        <f>IF(_xlfn.NUMBERVALUE('2.0WP - Cen'!C44)-_xlfn.NUMBERVALUE('2.0WP - State'!C44)=0,"",_xlfn.NUMBERVALUE('2.0WP - Cen'!C44)-_xlfn.NUMBERVALUE('2.0WP - State'!C44))</f>
        <v>4</v>
      </c>
      <c r="D44" s="8" t="str">
        <f>IF(_xlfn.NUMBERVALUE('2.0WP - Cen'!D44)-_xlfn.NUMBERVALUE('2.0WP - State'!D44)=0,"",_xlfn.NUMBERVALUE('2.0WP - Cen'!D44)-_xlfn.NUMBERVALUE('2.0WP - State'!D44))</f>
        <v/>
      </c>
      <c r="E44" s="8">
        <f>IF(_xlfn.NUMBERVALUE('2.0WP - Cen'!E44)-_xlfn.NUMBERVALUE('2.0WP - State'!E44)=0,"",_xlfn.NUMBERVALUE('2.0WP - Cen'!E44)-_xlfn.NUMBERVALUE('2.0WP - State'!E44))</f>
        <v>4</v>
      </c>
      <c r="F44" s="8" t="str">
        <f>IF(_xlfn.NUMBERVALUE('2.0WP - Cen'!F44)-_xlfn.NUMBERVALUE('2.0WP - State'!F44)=0,"",_xlfn.NUMBERVALUE('2.0WP - Cen'!F44)-_xlfn.NUMBERVALUE('2.0WP - State'!F44))</f>
        <v/>
      </c>
      <c r="G44" s="8" t="str">
        <f>IF(_xlfn.NUMBERVALUE('2.0WP - Cen'!G44)-_xlfn.NUMBERVALUE('2.0WP - State'!G44)=0,"",_xlfn.NUMBERVALUE('2.0WP - Cen'!G44)-_xlfn.NUMBERVALUE('2.0WP - State'!G44))</f>
        <v/>
      </c>
      <c r="H44" s="8" t="str">
        <f>IF(_xlfn.NUMBERVALUE('2.0WP - Cen'!H44)-_xlfn.NUMBERVALUE('2.0WP - State'!H44)=0,"",_xlfn.NUMBERVALUE('2.0WP - Cen'!H44)-_xlfn.NUMBERVALUE('2.0WP - State'!H44))</f>
        <v/>
      </c>
      <c r="I44" s="8" t="str">
        <f>IF(_xlfn.NUMBERVALUE('2.0WP - Cen'!I44)-_xlfn.NUMBERVALUE('2.0WP - State'!I44)=0,"",_xlfn.NUMBERVALUE('2.0WP - Cen'!I44)-_xlfn.NUMBERVALUE('2.0WP - State'!I44))</f>
        <v/>
      </c>
      <c r="J44" s="8" t="str">
        <f>IF(_xlfn.NUMBERVALUE('2.0WP - Cen'!J44)-_xlfn.NUMBERVALUE('2.0WP - State'!J44)=0,"",_xlfn.NUMBERVALUE('2.0WP - Cen'!J44)-_xlfn.NUMBERVALUE('2.0WP - State'!J44))</f>
        <v/>
      </c>
      <c r="K44" s="8" t="str">
        <f>IF(_xlfn.NUMBERVALUE('2.0WP - Cen'!K44)-_xlfn.NUMBERVALUE('2.0WP - State'!K44)=0,"",_xlfn.NUMBERVALUE('2.0WP - Cen'!K44)-_xlfn.NUMBERVALUE('2.0WP - State'!K44))</f>
        <v/>
      </c>
      <c r="L44" s="8" t="str">
        <f>IF(_xlfn.NUMBERVALUE('2.0WP - Cen'!L44)-_xlfn.NUMBERVALUE('2.0WP - State'!L44)=0,"",_xlfn.NUMBERVALUE('2.0WP - Cen'!L44)-_xlfn.NUMBERVALUE('2.0WP - State'!L44))</f>
        <v/>
      </c>
      <c r="M44" s="8" t="str">
        <f>IF(_xlfn.NUMBERVALUE('2.0WP - Cen'!M44)-_xlfn.NUMBERVALUE('2.0WP - State'!M44)=0,"",_xlfn.NUMBERVALUE('2.0WP - Cen'!M44)-_xlfn.NUMBERVALUE('2.0WP - State'!M44))</f>
        <v/>
      </c>
      <c r="N44" s="8" t="str">
        <f>IF(_xlfn.NUMBERVALUE('2.0WP - Cen'!N44)-_xlfn.NUMBERVALUE('2.0WP - State'!N44)=0,"",_xlfn.NUMBERVALUE('2.0WP - Cen'!N44)-_xlfn.NUMBERVALUE('2.0WP - State'!N44))</f>
        <v/>
      </c>
      <c r="O44" s="8" t="str">
        <f>IF(_xlfn.NUMBERVALUE('2.0WP - Cen'!O44)-_xlfn.NUMBERVALUE('2.0WP - State'!O44)=0,"",_xlfn.NUMBERVALUE('2.0WP - Cen'!O44)-_xlfn.NUMBERVALUE('2.0WP - State'!O44))</f>
        <v/>
      </c>
      <c r="P44" s="8" t="str">
        <f>IF(_xlfn.NUMBERVALUE('2.0WP - Cen'!P44)-_xlfn.NUMBERVALUE('2.0WP - State'!P44)=0,"",_xlfn.NUMBERVALUE('2.0WP - Cen'!P44)-_xlfn.NUMBERVALUE('2.0WP - State'!P44))</f>
        <v/>
      </c>
      <c r="Q44" s="8" t="str">
        <f>IF(_xlfn.NUMBERVALUE('2.0WP - Cen'!Q44)-_xlfn.NUMBERVALUE('2.0WP - State'!Q44)=0,"",_xlfn.NUMBERVALUE('2.0WP - Cen'!Q44)-_xlfn.NUMBERVALUE('2.0WP - State'!Q44))</f>
        <v/>
      </c>
      <c r="R44" s="8" t="str">
        <f>IF(_xlfn.NUMBERVALUE('2.0WP - Cen'!R44)-_xlfn.NUMBERVALUE('2.0WP - State'!R44)=0,"",_xlfn.NUMBERVALUE('2.0WP - Cen'!R44)-_xlfn.NUMBERVALUE('2.0WP - State'!R44))</f>
        <v/>
      </c>
      <c r="S44" s="8" t="str">
        <f>IF(_xlfn.NUMBERVALUE('2.0WP - Cen'!S44)-_xlfn.NUMBERVALUE('2.0WP - State'!S44)=0,"",_xlfn.NUMBERVALUE('2.0WP - Cen'!S44)-_xlfn.NUMBERVALUE('2.0WP - State'!S44))</f>
        <v/>
      </c>
      <c r="T44" s="9">
        <f t="shared" si="4"/>
        <v>8</v>
      </c>
      <c r="U44" s="8">
        <f>IF(_xlfn.NUMBERVALUE('2.0WP - Cen'!U44)-_xlfn.NUMBERVALUE('2.0WP - State'!U44)=0,"",_xlfn.NUMBERVALUE('2.0WP - Cen'!U44)-_xlfn.NUMBERVALUE('2.0WP - State'!U44))</f>
        <v>4</v>
      </c>
      <c r="V44" s="8" t="str">
        <f>IF(_xlfn.NUMBERVALUE('2.0WP - Cen'!V44)-_xlfn.NUMBERVALUE('2.0WP - State'!V44)=0,"",_xlfn.NUMBERVALUE('2.0WP - Cen'!V44)-_xlfn.NUMBERVALUE('2.0WP - State'!V44))</f>
        <v/>
      </c>
      <c r="W44" s="8" t="str">
        <f>IF(_xlfn.NUMBERVALUE('2.0WP - Cen'!W44)-_xlfn.NUMBERVALUE('2.0WP - State'!W44)=0,"",_xlfn.NUMBERVALUE('2.0WP - Cen'!W44)-_xlfn.NUMBERVALUE('2.0WP - State'!W44))</f>
        <v/>
      </c>
      <c r="X44" s="8" t="str">
        <f>IF(_xlfn.NUMBERVALUE('2.0WP - Cen'!X44)-_xlfn.NUMBERVALUE('2.0WP - State'!X44)=0,"",_xlfn.NUMBERVALUE('2.0WP - Cen'!X44)-_xlfn.NUMBERVALUE('2.0WP - State'!X44))</f>
        <v/>
      </c>
      <c r="Y44" s="8">
        <f>IF(_xlfn.NUMBERVALUE('2.0WP - Cen'!Y44)-_xlfn.NUMBERVALUE('2.0WP - State'!Y44)=0,"",_xlfn.NUMBERVALUE('2.0WP - Cen'!Y44)-_xlfn.NUMBERVALUE('2.0WP - State'!Y44))</f>
        <v>4</v>
      </c>
      <c r="Z44" s="8">
        <f>IF(_xlfn.NUMBERVALUE('2.0WP - Cen'!Z44)-_xlfn.NUMBERVALUE('2.0WP - State'!Z44)=0,"",_xlfn.NUMBERVALUE('2.0WP - Cen'!Z44)-_xlfn.NUMBERVALUE('2.0WP - State'!Z44))</f>
        <v>6</v>
      </c>
      <c r="AA44" s="8">
        <f>IF(_xlfn.NUMBERVALUE('2.0WP - Cen'!AA44)-_xlfn.NUMBERVALUE('2.0WP - State'!AA44)=0,"",_xlfn.NUMBERVALUE('2.0WP - Cen'!AA44)-_xlfn.NUMBERVALUE('2.0WP - State'!AA44))</f>
        <v>6</v>
      </c>
      <c r="AB44" s="8">
        <f>IF(_xlfn.NUMBERVALUE('2.0WP - Cen'!AB44)-_xlfn.NUMBERVALUE('2.0WP - State'!AB44)=0,"",_xlfn.NUMBERVALUE('2.0WP - Cen'!AB44)-_xlfn.NUMBERVALUE('2.0WP - State'!AB44))</f>
        <v>12</v>
      </c>
      <c r="AC44" s="8" t="str">
        <f>IF(_xlfn.NUMBERVALUE('2.0WP - Cen'!AC44)-_xlfn.NUMBERVALUE('2.0WP - State'!AC44)=0,"",_xlfn.NUMBERVALUE('2.0WP - Cen'!AC44)-_xlfn.NUMBERVALUE('2.0WP - State'!AC44))</f>
        <v/>
      </c>
      <c r="AD44" s="8">
        <f>IF(_xlfn.NUMBERVALUE('2.0WP - Cen'!AD44)-_xlfn.NUMBERVALUE('2.0WP - State'!AD44)=0,"",_xlfn.NUMBERVALUE('2.0WP - Cen'!AD44)-_xlfn.NUMBERVALUE('2.0WP - State'!AD44))</f>
        <v>2</v>
      </c>
      <c r="AE44" s="8" t="str">
        <f>IF(_xlfn.NUMBERVALUE('2.0WP - Cen'!AE44)-_xlfn.NUMBERVALUE('2.0WP - State'!AE44)=0,"",_xlfn.NUMBERVALUE('2.0WP - Cen'!AE44)-_xlfn.NUMBERVALUE('2.0WP - State'!AE44))</f>
        <v/>
      </c>
      <c r="AF44" s="8" t="str">
        <f>IF(_xlfn.NUMBERVALUE('2.0WP - Cen'!AF44)-_xlfn.NUMBERVALUE('2.0WP - State'!AF44)=0,"",_xlfn.NUMBERVALUE('2.0WP - Cen'!AF44)-_xlfn.NUMBERVALUE('2.0WP - State'!AF44))</f>
        <v/>
      </c>
      <c r="AG44" s="8" t="str">
        <f>IF(_xlfn.NUMBERVALUE('2.0WP - Cen'!AG44)-_xlfn.NUMBERVALUE('2.0WP - State'!AG44)=0,"",_xlfn.NUMBERVALUE('2.0WP - Cen'!AG44)-_xlfn.NUMBERVALUE('2.0WP - State'!AG44))</f>
        <v/>
      </c>
      <c r="AH44" s="8" t="str">
        <f>IF(_xlfn.NUMBERVALUE('2.0WP - Cen'!AH44)-_xlfn.NUMBERVALUE('2.0WP - State'!AH44)=0,"",_xlfn.NUMBERVALUE('2.0WP - Cen'!AH44)-_xlfn.NUMBERVALUE('2.0WP - State'!AH44))</f>
        <v/>
      </c>
      <c r="AI44" s="8" t="str">
        <f>IF(_xlfn.NUMBERVALUE('2.0WP - Cen'!AI44)-_xlfn.NUMBERVALUE('2.0WP - State'!AI44)=0,"",_xlfn.NUMBERVALUE('2.0WP - Cen'!AI44)-_xlfn.NUMBERVALUE('2.0WP - State'!AI44))</f>
        <v/>
      </c>
      <c r="AJ44" s="8">
        <f>IF(_xlfn.NUMBERVALUE('2.0WP - Cen'!AJ44)-_xlfn.NUMBERVALUE('2.0WP - State'!AJ44)=0,"",_xlfn.NUMBERVALUE('2.0WP - Cen'!AJ44)-_xlfn.NUMBERVALUE('2.0WP - State'!AJ44))</f>
        <v>2</v>
      </c>
      <c r="AK44" s="17">
        <f t="shared" si="1"/>
        <v>36</v>
      </c>
      <c r="AL44" s="10">
        <f t="shared" si="2"/>
        <v>44</v>
      </c>
    </row>
    <row r="45" spans="1:38" x14ac:dyDescent="0.25">
      <c r="A45" s="12" t="str">
        <f>'[1]2.0WS'!A45</f>
        <v>21</v>
      </c>
      <c r="B45" s="13" t="str">
        <f>'[1]2.0WS'!B45</f>
        <v>THANJAVUR</v>
      </c>
      <c r="C45" s="8">
        <f>IF(_xlfn.NUMBERVALUE('2.0WP - Cen'!C45)-_xlfn.NUMBERVALUE('2.0WP - State'!C45)=0,"",_xlfn.NUMBERVALUE('2.0WP - Cen'!C45)-_xlfn.NUMBERVALUE('2.0WP - State'!C45))</f>
        <v>4</v>
      </c>
      <c r="D45" s="8" t="str">
        <f>IF(_xlfn.NUMBERVALUE('2.0WP - Cen'!D45)-_xlfn.NUMBERVALUE('2.0WP - State'!D45)=0,"",_xlfn.NUMBERVALUE('2.0WP - Cen'!D45)-_xlfn.NUMBERVALUE('2.0WP - State'!D45))</f>
        <v/>
      </c>
      <c r="E45" s="8">
        <f>IF(_xlfn.NUMBERVALUE('2.0WP - Cen'!E45)-_xlfn.NUMBERVALUE('2.0WP - State'!E45)=0,"",_xlfn.NUMBERVALUE('2.0WP - Cen'!E45)-_xlfn.NUMBERVALUE('2.0WP - State'!E45))</f>
        <v>6</v>
      </c>
      <c r="F45" s="8" t="str">
        <f>IF(_xlfn.NUMBERVALUE('2.0WP - Cen'!F45)-_xlfn.NUMBERVALUE('2.0WP - State'!F45)=0,"",_xlfn.NUMBERVALUE('2.0WP - Cen'!F45)-_xlfn.NUMBERVALUE('2.0WP - State'!F45))</f>
        <v/>
      </c>
      <c r="G45" s="8" t="str">
        <f>IF(_xlfn.NUMBERVALUE('2.0WP - Cen'!G45)-_xlfn.NUMBERVALUE('2.0WP - State'!G45)=0,"",_xlfn.NUMBERVALUE('2.0WP - Cen'!G45)-_xlfn.NUMBERVALUE('2.0WP - State'!G45))</f>
        <v/>
      </c>
      <c r="H45" s="8" t="str">
        <f>IF(_xlfn.NUMBERVALUE('2.0WP - Cen'!H45)-_xlfn.NUMBERVALUE('2.0WP - State'!H45)=0,"",_xlfn.NUMBERVALUE('2.0WP - Cen'!H45)-_xlfn.NUMBERVALUE('2.0WP - State'!H45))</f>
        <v/>
      </c>
      <c r="I45" s="8" t="str">
        <f>IF(_xlfn.NUMBERVALUE('2.0WP - Cen'!I45)-_xlfn.NUMBERVALUE('2.0WP - State'!I45)=0,"",_xlfn.NUMBERVALUE('2.0WP - Cen'!I45)-_xlfn.NUMBERVALUE('2.0WP - State'!I45))</f>
        <v/>
      </c>
      <c r="J45" s="8" t="str">
        <f>IF(_xlfn.NUMBERVALUE('2.0WP - Cen'!J45)-_xlfn.NUMBERVALUE('2.0WP - State'!J45)=0,"",_xlfn.NUMBERVALUE('2.0WP - Cen'!J45)-_xlfn.NUMBERVALUE('2.0WP - State'!J45))</f>
        <v/>
      </c>
      <c r="K45" s="8" t="str">
        <f>IF(_xlfn.NUMBERVALUE('2.0WP - Cen'!K45)-_xlfn.NUMBERVALUE('2.0WP - State'!K45)=0,"",_xlfn.NUMBERVALUE('2.0WP - Cen'!K45)-_xlfn.NUMBERVALUE('2.0WP - State'!K45))</f>
        <v/>
      </c>
      <c r="L45" s="8" t="str">
        <f>IF(_xlfn.NUMBERVALUE('2.0WP - Cen'!L45)-_xlfn.NUMBERVALUE('2.0WP - State'!L45)=0,"",_xlfn.NUMBERVALUE('2.0WP - Cen'!L45)-_xlfn.NUMBERVALUE('2.0WP - State'!L45))</f>
        <v/>
      </c>
      <c r="M45" s="8" t="str">
        <f>IF(_xlfn.NUMBERVALUE('2.0WP - Cen'!M45)-_xlfn.NUMBERVALUE('2.0WP - State'!M45)=0,"",_xlfn.NUMBERVALUE('2.0WP - Cen'!M45)-_xlfn.NUMBERVALUE('2.0WP - State'!M45))</f>
        <v/>
      </c>
      <c r="N45" s="8" t="str">
        <f>IF(_xlfn.NUMBERVALUE('2.0WP - Cen'!N45)-_xlfn.NUMBERVALUE('2.0WP - State'!N45)=0,"",_xlfn.NUMBERVALUE('2.0WP - Cen'!N45)-_xlfn.NUMBERVALUE('2.0WP - State'!N45))</f>
        <v/>
      </c>
      <c r="O45" s="8">
        <f>IF(_xlfn.NUMBERVALUE('2.0WP - Cen'!O45)-_xlfn.NUMBERVALUE('2.0WP - State'!O45)=0,"",_xlfn.NUMBERVALUE('2.0WP - Cen'!O45)-_xlfn.NUMBERVALUE('2.0WP - State'!O45))</f>
        <v>4</v>
      </c>
      <c r="P45" s="8" t="str">
        <f>IF(_xlfn.NUMBERVALUE('2.0WP - Cen'!P45)-_xlfn.NUMBERVALUE('2.0WP - State'!P45)=0,"",_xlfn.NUMBERVALUE('2.0WP - Cen'!P45)-_xlfn.NUMBERVALUE('2.0WP - State'!P45))</f>
        <v/>
      </c>
      <c r="Q45" s="8" t="str">
        <f>IF(_xlfn.NUMBERVALUE('2.0WP - Cen'!Q45)-_xlfn.NUMBERVALUE('2.0WP - State'!Q45)=0,"",_xlfn.NUMBERVALUE('2.0WP - Cen'!Q45)-_xlfn.NUMBERVALUE('2.0WP - State'!Q45))</f>
        <v/>
      </c>
      <c r="R45" s="8" t="str">
        <f>IF(_xlfn.NUMBERVALUE('2.0WP - Cen'!R45)-_xlfn.NUMBERVALUE('2.0WP - State'!R45)=0,"",_xlfn.NUMBERVALUE('2.0WP - Cen'!R45)-_xlfn.NUMBERVALUE('2.0WP - State'!R45))</f>
        <v/>
      </c>
      <c r="S45" s="8">
        <f>IF(_xlfn.NUMBERVALUE('2.0WP - Cen'!S45)-_xlfn.NUMBERVALUE('2.0WP - State'!S45)=0,"",_xlfn.NUMBERVALUE('2.0WP - Cen'!S45)-_xlfn.NUMBERVALUE('2.0WP - State'!S45))</f>
        <v>4</v>
      </c>
      <c r="T45" s="9">
        <f t="shared" si="4"/>
        <v>18</v>
      </c>
      <c r="U45" s="8" t="str">
        <f>IF(_xlfn.NUMBERVALUE('2.0WP - Cen'!U45)-_xlfn.NUMBERVALUE('2.0WP - State'!U45)=0,"",_xlfn.NUMBERVALUE('2.0WP - Cen'!U45)-_xlfn.NUMBERVALUE('2.0WP - State'!U45))</f>
        <v/>
      </c>
      <c r="V45" s="8" t="str">
        <f>IF(_xlfn.NUMBERVALUE('2.0WP - Cen'!V45)-_xlfn.NUMBERVALUE('2.0WP - State'!V45)=0,"",_xlfn.NUMBERVALUE('2.0WP - Cen'!V45)-_xlfn.NUMBERVALUE('2.0WP - State'!V45))</f>
        <v/>
      </c>
      <c r="W45" s="8" t="str">
        <f>IF(_xlfn.NUMBERVALUE('2.0WP - Cen'!W45)-_xlfn.NUMBERVALUE('2.0WP - State'!W45)=0,"",_xlfn.NUMBERVALUE('2.0WP - Cen'!W45)-_xlfn.NUMBERVALUE('2.0WP - State'!W45))</f>
        <v/>
      </c>
      <c r="X45" s="8" t="str">
        <f>IF(_xlfn.NUMBERVALUE('2.0WP - Cen'!X45)-_xlfn.NUMBERVALUE('2.0WP - State'!X45)=0,"",_xlfn.NUMBERVALUE('2.0WP - Cen'!X45)-_xlfn.NUMBERVALUE('2.0WP - State'!X45))</f>
        <v/>
      </c>
      <c r="Y45" s="8" t="str">
        <f>IF(_xlfn.NUMBERVALUE('2.0WP - Cen'!Y45)-_xlfn.NUMBERVALUE('2.0WP - State'!Y45)=0,"",_xlfn.NUMBERVALUE('2.0WP - Cen'!Y45)-_xlfn.NUMBERVALUE('2.0WP - State'!Y45))</f>
        <v/>
      </c>
      <c r="Z45" s="8" t="str">
        <f>IF(_xlfn.NUMBERVALUE('2.0WP - Cen'!Z45)-_xlfn.NUMBERVALUE('2.0WP - State'!Z45)=0,"",_xlfn.NUMBERVALUE('2.0WP - Cen'!Z45)-_xlfn.NUMBERVALUE('2.0WP - State'!Z45))</f>
        <v/>
      </c>
      <c r="AA45" s="8" t="str">
        <f>IF(_xlfn.NUMBERVALUE('2.0WP - Cen'!AA45)-_xlfn.NUMBERVALUE('2.0WP - State'!AA45)=0,"",_xlfn.NUMBERVALUE('2.0WP - Cen'!AA45)-_xlfn.NUMBERVALUE('2.0WP - State'!AA45))</f>
        <v/>
      </c>
      <c r="AB45" s="8">
        <f>IF(_xlfn.NUMBERVALUE('2.0WP - Cen'!AB45)-_xlfn.NUMBERVALUE('2.0WP - State'!AB45)=0,"",_xlfn.NUMBERVALUE('2.0WP - Cen'!AB45)-_xlfn.NUMBERVALUE('2.0WP - State'!AB45))</f>
        <v>2</v>
      </c>
      <c r="AC45" s="8" t="str">
        <f>IF(_xlfn.NUMBERVALUE('2.0WP - Cen'!AC45)-_xlfn.NUMBERVALUE('2.0WP - State'!AC45)=0,"",_xlfn.NUMBERVALUE('2.0WP - Cen'!AC45)-_xlfn.NUMBERVALUE('2.0WP - State'!AC45))</f>
        <v/>
      </c>
      <c r="AD45" s="8">
        <f>IF(_xlfn.NUMBERVALUE('2.0WP - Cen'!AD45)-_xlfn.NUMBERVALUE('2.0WP - State'!AD45)=0,"",_xlfn.NUMBERVALUE('2.0WP - Cen'!AD45)-_xlfn.NUMBERVALUE('2.0WP - State'!AD45))</f>
        <v>2</v>
      </c>
      <c r="AE45" s="8">
        <f>IF(_xlfn.NUMBERVALUE('2.0WP - Cen'!AE45)-_xlfn.NUMBERVALUE('2.0WP - State'!AE45)=0,"",_xlfn.NUMBERVALUE('2.0WP - Cen'!AE45)-_xlfn.NUMBERVALUE('2.0WP - State'!AE45))</f>
        <v>2</v>
      </c>
      <c r="AF45" s="8" t="str">
        <f>IF(_xlfn.NUMBERVALUE('2.0WP - Cen'!AF45)-_xlfn.NUMBERVALUE('2.0WP - State'!AF45)=0,"",_xlfn.NUMBERVALUE('2.0WP - Cen'!AF45)-_xlfn.NUMBERVALUE('2.0WP - State'!AF45))</f>
        <v/>
      </c>
      <c r="AG45" s="8" t="str">
        <f>IF(_xlfn.NUMBERVALUE('2.0WP - Cen'!AG45)-_xlfn.NUMBERVALUE('2.0WP - State'!AG45)=0,"",_xlfn.NUMBERVALUE('2.0WP - Cen'!AG45)-_xlfn.NUMBERVALUE('2.0WP - State'!AG45))</f>
        <v/>
      </c>
      <c r="AH45" s="8" t="str">
        <f>IF(_xlfn.NUMBERVALUE('2.0WP - Cen'!AH45)-_xlfn.NUMBERVALUE('2.0WP - State'!AH45)=0,"",_xlfn.NUMBERVALUE('2.0WP - Cen'!AH45)-_xlfn.NUMBERVALUE('2.0WP - State'!AH45))</f>
        <v/>
      </c>
      <c r="AI45" s="8" t="str">
        <f>IF(_xlfn.NUMBERVALUE('2.0WP - Cen'!AI45)-_xlfn.NUMBERVALUE('2.0WP - State'!AI45)=0,"",_xlfn.NUMBERVALUE('2.0WP - Cen'!AI45)-_xlfn.NUMBERVALUE('2.0WP - State'!AI45))</f>
        <v/>
      </c>
      <c r="AJ45" s="8" t="str">
        <f>IF(_xlfn.NUMBERVALUE('2.0WP - Cen'!AJ45)-_xlfn.NUMBERVALUE('2.0WP - State'!AJ45)=0,"",_xlfn.NUMBERVALUE('2.0WP - Cen'!AJ45)-_xlfn.NUMBERVALUE('2.0WP - State'!AJ45))</f>
        <v/>
      </c>
      <c r="AK45" s="17">
        <f t="shared" si="1"/>
        <v>6</v>
      </c>
      <c r="AL45" s="10">
        <f t="shared" si="2"/>
        <v>24</v>
      </c>
    </row>
    <row r="46" spans="1:38" x14ac:dyDescent="0.25">
      <c r="A46" s="12" t="str">
        <f>'[1]2.0WS'!A46</f>
        <v>22</v>
      </c>
      <c r="B46" s="13" t="str">
        <f>'[1]2.0WS'!B46</f>
        <v>PUDUKKOTTAI</v>
      </c>
      <c r="C46" s="8" t="str">
        <f>IF(_xlfn.NUMBERVALUE('2.0WP - Cen'!C46)-_xlfn.NUMBERVALUE('2.0WP - State'!C46)=0,"",_xlfn.NUMBERVALUE('2.0WP - Cen'!C46)-_xlfn.NUMBERVALUE('2.0WP - State'!C46))</f>
        <v/>
      </c>
      <c r="D46" s="8" t="str">
        <f>IF(_xlfn.NUMBERVALUE('2.0WP - Cen'!D46)-_xlfn.NUMBERVALUE('2.0WP - State'!D46)=0,"",_xlfn.NUMBERVALUE('2.0WP - Cen'!D46)-_xlfn.NUMBERVALUE('2.0WP - State'!D46))</f>
        <v/>
      </c>
      <c r="E46" s="8" t="str">
        <f>IF(_xlfn.NUMBERVALUE('2.0WP - Cen'!E46)-_xlfn.NUMBERVALUE('2.0WP - State'!E46)=0,"",_xlfn.NUMBERVALUE('2.0WP - Cen'!E46)-_xlfn.NUMBERVALUE('2.0WP - State'!E46))</f>
        <v/>
      </c>
      <c r="F46" s="8" t="str">
        <f>IF(_xlfn.NUMBERVALUE('2.0WP - Cen'!F46)-_xlfn.NUMBERVALUE('2.0WP - State'!F46)=0,"",_xlfn.NUMBERVALUE('2.0WP - Cen'!F46)-_xlfn.NUMBERVALUE('2.0WP - State'!F46))</f>
        <v/>
      </c>
      <c r="G46" s="8" t="str">
        <f>IF(_xlfn.NUMBERVALUE('2.0WP - Cen'!G46)-_xlfn.NUMBERVALUE('2.0WP - State'!G46)=0,"",_xlfn.NUMBERVALUE('2.0WP - Cen'!G46)-_xlfn.NUMBERVALUE('2.0WP - State'!G46))</f>
        <v/>
      </c>
      <c r="H46" s="8" t="str">
        <f>IF(_xlfn.NUMBERVALUE('2.0WP - Cen'!H46)-_xlfn.NUMBERVALUE('2.0WP - State'!H46)=0,"",_xlfn.NUMBERVALUE('2.0WP - Cen'!H46)-_xlfn.NUMBERVALUE('2.0WP - State'!H46))</f>
        <v/>
      </c>
      <c r="I46" s="8" t="str">
        <f>IF(_xlfn.NUMBERVALUE('2.0WP - Cen'!I46)-_xlfn.NUMBERVALUE('2.0WP - State'!I46)=0,"",_xlfn.NUMBERVALUE('2.0WP - Cen'!I46)-_xlfn.NUMBERVALUE('2.0WP - State'!I46))</f>
        <v/>
      </c>
      <c r="J46" s="8" t="str">
        <f>IF(_xlfn.NUMBERVALUE('2.0WP - Cen'!J46)-_xlfn.NUMBERVALUE('2.0WP - State'!J46)=0,"",_xlfn.NUMBERVALUE('2.0WP - Cen'!J46)-_xlfn.NUMBERVALUE('2.0WP - State'!J46))</f>
        <v/>
      </c>
      <c r="K46" s="8" t="str">
        <f>IF(_xlfn.NUMBERVALUE('2.0WP - Cen'!K46)-_xlfn.NUMBERVALUE('2.0WP - State'!K46)=0,"",_xlfn.NUMBERVALUE('2.0WP - Cen'!K46)-_xlfn.NUMBERVALUE('2.0WP - State'!K46))</f>
        <v/>
      </c>
      <c r="L46" s="8" t="str">
        <f>IF(_xlfn.NUMBERVALUE('2.0WP - Cen'!L46)-_xlfn.NUMBERVALUE('2.0WP - State'!L46)=0,"",_xlfn.NUMBERVALUE('2.0WP - Cen'!L46)-_xlfn.NUMBERVALUE('2.0WP - State'!L46))</f>
        <v/>
      </c>
      <c r="M46" s="8" t="str">
        <f>IF(_xlfn.NUMBERVALUE('2.0WP - Cen'!M46)-_xlfn.NUMBERVALUE('2.0WP - State'!M46)=0,"",_xlfn.NUMBERVALUE('2.0WP - Cen'!M46)-_xlfn.NUMBERVALUE('2.0WP - State'!M46))</f>
        <v/>
      </c>
      <c r="N46" s="8" t="str">
        <f>IF(_xlfn.NUMBERVALUE('2.0WP - Cen'!N46)-_xlfn.NUMBERVALUE('2.0WP - State'!N46)=0,"",_xlfn.NUMBERVALUE('2.0WP - Cen'!N46)-_xlfn.NUMBERVALUE('2.0WP - State'!N46))</f>
        <v/>
      </c>
      <c r="O46" s="8" t="str">
        <f>IF(_xlfn.NUMBERVALUE('2.0WP - Cen'!O46)-_xlfn.NUMBERVALUE('2.0WP - State'!O46)=0,"",_xlfn.NUMBERVALUE('2.0WP - Cen'!O46)-_xlfn.NUMBERVALUE('2.0WP - State'!O46))</f>
        <v/>
      </c>
      <c r="P46" s="8" t="str">
        <f>IF(_xlfn.NUMBERVALUE('2.0WP - Cen'!P46)-_xlfn.NUMBERVALUE('2.0WP - State'!P46)=0,"",_xlfn.NUMBERVALUE('2.0WP - Cen'!P46)-_xlfn.NUMBERVALUE('2.0WP - State'!P46))</f>
        <v/>
      </c>
      <c r="Q46" s="8" t="str">
        <f>IF(_xlfn.NUMBERVALUE('2.0WP - Cen'!Q46)-_xlfn.NUMBERVALUE('2.0WP - State'!Q46)=0,"",_xlfn.NUMBERVALUE('2.0WP - Cen'!Q46)-_xlfn.NUMBERVALUE('2.0WP - State'!Q46))</f>
        <v/>
      </c>
      <c r="R46" s="8" t="str">
        <f>IF(_xlfn.NUMBERVALUE('2.0WP - Cen'!R46)-_xlfn.NUMBERVALUE('2.0WP - State'!R46)=0,"",_xlfn.NUMBERVALUE('2.0WP - Cen'!R46)-_xlfn.NUMBERVALUE('2.0WP - State'!R46))</f>
        <v/>
      </c>
      <c r="S46" s="8" t="str">
        <f>IF(_xlfn.NUMBERVALUE('2.0WP - Cen'!S46)-_xlfn.NUMBERVALUE('2.0WP - State'!S46)=0,"",_xlfn.NUMBERVALUE('2.0WP - Cen'!S46)-_xlfn.NUMBERVALUE('2.0WP - State'!S46))</f>
        <v/>
      </c>
      <c r="T46" s="9">
        <f t="shared" si="4"/>
        <v>0</v>
      </c>
      <c r="U46" s="8" t="str">
        <f>IF(_xlfn.NUMBERVALUE('2.0WP - Cen'!U46)-_xlfn.NUMBERVALUE('2.0WP - State'!U46)=0,"",_xlfn.NUMBERVALUE('2.0WP - Cen'!U46)-_xlfn.NUMBERVALUE('2.0WP - State'!U46))</f>
        <v/>
      </c>
      <c r="V46" s="8" t="str">
        <f>IF(_xlfn.NUMBERVALUE('2.0WP - Cen'!V46)-_xlfn.NUMBERVALUE('2.0WP - State'!V46)=0,"",_xlfn.NUMBERVALUE('2.0WP - Cen'!V46)-_xlfn.NUMBERVALUE('2.0WP - State'!V46))</f>
        <v/>
      </c>
      <c r="W46" s="8" t="str">
        <f>IF(_xlfn.NUMBERVALUE('2.0WP - Cen'!W46)-_xlfn.NUMBERVALUE('2.0WP - State'!W46)=0,"",_xlfn.NUMBERVALUE('2.0WP - Cen'!W46)-_xlfn.NUMBERVALUE('2.0WP - State'!W46))</f>
        <v/>
      </c>
      <c r="X46" s="8" t="str">
        <f>IF(_xlfn.NUMBERVALUE('2.0WP - Cen'!X46)-_xlfn.NUMBERVALUE('2.0WP - State'!X46)=0,"",_xlfn.NUMBERVALUE('2.0WP - Cen'!X46)-_xlfn.NUMBERVALUE('2.0WP - State'!X46))</f>
        <v/>
      </c>
      <c r="Y46" s="8" t="str">
        <f>IF(_xlfn.NUMBERVALUE('2.0WP - Cen'!Y46)-_xlfn.NUMBERVALUE('2.0WP - State'!Y46)=0,"",_xlfn.NUMBERVALUE('2.0WP - Cen'!Y46)-_xlfn.NUMBERVALUE('2.0WP - State'!Y46))</f>
        <v/>
      </c>
      <c r="Z46" s="8" t="str">
        <f>IF(_xlfn.NUMBERVALUE('2.0WP - Cen'!Z46)-_xlfn.NUMBERVALUE('2.0WP - State'!Z46)=0,"",_xlfn.NUMBERVALUE('2.0WP - Cen'!Z46)-_xlfn.NUMBERVALUE('2.0WP - State'!Z46))</f>
        <v/>
      </c>
      <c r="AA46" s="8" t="str">
        <f>IF(_xlfn.NUMBERVALUE('2.0WP - Cen'!AA46)-_xlfn.NUMBERVALUE('2.0WP - State'!AA46)=0,"",_xlfn.NUMBERVALUE('2.0WP - Cen'!AA46)-_xlfn.NUMBERVALUE('2.0WP - State'!AA46))</f>
        <v/>
      </c>
      <c r="AB46" s="8" t="str">
        <f>IF(_xlfn.NUMBERVALUE('2.0WP - Cen'!AB46)-_xlfn.NUMBERVALUE('2.0WP - State'!AB46)=0,"",_xlfn.NUMBERVALUE('2.0WP - Cen'!AB46)-_xlfn.NUMBERVALUE('2.0WP - State'!AB46))</f>
        <v/>
      </c>
      <c r="AC46" s="8" t="str">
        <f>IF(_xlfn.NUMBERVALUE('2.0WP - Cen'!AC46)-_xlfn.NUMBERVALUE('2.0WP - State'!AC46)=0,"",_xlfn.NUMBERVALUE('2.0WP - Cen'!AC46)-_xlfn.NUMBERVALUE('2.0WP - State'!AC46))</f>
        <v/>
      </c>
      <c r="AD46" s="8" t="str">
        <f>IF(_xlfn.NUMBERVALUE('2.0WP - Cen'!AD46)-_xlfn.NUMBERVALUE('2.0WP - State'!AD46)=0,"",_xlfn.NUMBERVALUE('2.0WP - Cen'!AD46)-_xlfn.NUMBERVALUE('2.0WP - State'!AD46))</f>
        <v/>
      </c>
      <c r="AE46" s="8" t="str">
        <f>IF(_xlfn.NUMBERVALUE('2.0WP - Cen'!AE46)-_xlfn.NUMBERVALUE('2.0WP - State'!AE46)=0,"",_xlfn.NUMBERVALUE('2.0WP - Cen'!AE46)-_xlfn.NUMBERVALUE('2.0WP - State'!AE46))</f>
        <v/>
      </c>
      <c r="AF46" s="8" t="str">
        <f>IF(_xlfn.NUMBERVALUE('2.0WP - Cen'!AF46)-_xlfn.NUMBERVALUE('2.0WP - State'!AF46)=0,"",_xlfn.NUMBERVALUE('2.0WP - Cen'!AF46)-_xlfn.NUMBERVALUE('2.0WP - State'!AF46))</f>
        <v/>
      </c>
      <c r="AG46" s="8" t="str">
        <f>IF(_xlfn.NUMBERVALUE('2.0WP - Cen'!AG46)-_xlfn.NUMBERVALUE('2.0WP - State'!AG46)=0,"",_xlfn.NUMBERVALUE('2.0WP - Cen'!AG46)-_xlfn.NUMBERVALUE('2.0WP - State'!AG46))</f>
        <v/>
      </c>
      <c r="AH46" s="8" t="str">
        <f>IF(_xlfn.NUMBERVALUE('2.0WP - Cen'!AH46)-_xlfn.NUMBERVALUE('2.0WP - State'!AH46)=0,"",_xlfn.NUMBERVALUE('2.0WP - Cen'!AH46)-_xlfn.NUMBERVALUE('2.0WP - State'!AH46))</f>
        <v/>
      </c>
      <c r="AI46" s="8" t="str">
        <f>IF(_xlfn.NUMBERVALUE('2.0WP - Cen'!AI46)-_xlfn.NUMBERVALUE('2.0WP - State'!AI46)=0,"",_xlfn.NUMBERVALUE('2.0WP - Cen'!AI46)-_xlfn.NUMBERVALUE('2.0WP - State'!AI46))</f>
        <v/>
      </c>
      <c r="AJ46" s="8" t="str">
        <f>IF(_xlfn.NUMBERVALUE('2.0WP - Cen'!AJ46)-_xlfn.NUMBERVALUE('2.0WP - State'!AJ46)=0,"",_xlfn.NUMBERVALUE('2.0WP - Cen'!AJ46)-_xlfn.NUMBERVALUE('2.0WP - State'!AJ46))</f>
        <v/>
      </c>
      <c r="AK46" s="17">
        <f t="shared" si="1"/>
        <v>0</v>
      </c>
      <c r="AL46" s="10">
        <f t="shared" si="2"/>
        <v>0</v>
      </c>
    </row>
    <row r="47" spans="1:38" s="3" customFormat="1" ht="14.4" customHeight="1" x14ac:dyDescent="0.25">
      <c r="A47" s="19" t="str">
        <f>'[1]2.0WS'!A47</f>
        <v>SRO THANJAVUR TOTAL</v>
      </c>
      <c r="B47" s="19"/>
      <c r="C47" s="14">
        <f t="shared" ref="C47:S47" si="24">SUM(C43:C46)</f>
        <v>8</v>
      </c>
      <c r="D47" s="14">
        <f t="shared" si="24"/>
        <v>0</v>
      </c>
      <c r="E47" s="14">
        <f t="shared" si="24"/>
        <v>10</v>
      </c>
      <c r="F47" s="14">
        <f t="shared" si="24"/>
        <v>0</v>
      </c>
      <c r="G47" s="14">
        <f t="shared" si="24"/>
        <v>0</v>
      </c>
      <c r="H47" s="14">
        <f t="shared" si="24"/>
        <v>0</v>
      </c>
      <c r="I47" s="14">
        <f t="shared" si="24"/>
        <v>0</v>
      </c>
      <c r="J47" s="14">
        <f t="shared" si="24"/>
        <v>0</v>
      </c>
      <c r="K47" s="14">
        <f t="shared" si="24"/>
        <v>0</v>
      </c>
      <c r="L47" s="14">
        <f t="shared" si="24"/>
        <v>0</v>
      </c>
      <c r="M47" s="14">
        <f t="shared" si="24"/>
        <v>0</v>
      </c>
      <c r="N47" s="14">
        <f t="shared" si="24"/>
        <v>0</v>
      </c>
      <c r="O47" s="14">
        <f t="shared" si="24"/>
        <v>4</v>
      </c>
      <c r="P47" s="14">
        <f t="shared" si="24"/>
        <v>0</v>
      </c>
      <c r="Q47" s="14">
        <f t="shared" si="24"/>
        <v>0</v>
      </c>
      <c r="R47" s="14">
        <f t="shared" si="24"/>
        <v>0</v>
      </c>
      <c r="S47" s="14">
        <f t="shared" si="24"/>
        <v>4</v>
      </c>
      <c r="T47" s="9">
        <f t="shared" si="4"/>
        <v>26</v>
      </c>
      <c r="U47" s="14">
        <f t="shared" ref="U47:AJ47" si="25">SUM(U43:U46)</f>
        <v>4</v>
      </c>
      <c r="V47" s="14">
        <f t="shared" si="25"/>
        <v>0</v>
      </c>
      <c r="W47" s="14">
        <f t="shared" si="25"/>
        <v>0</v>
      </c>
      <c r="X47" s="14">
        <f t="shared" si="25"/>
        <v>0</v>
      </c>
      <c r="Y47" s="14">
        <f t="shared" si="25"/>
        <v>4</v>
      </c>
      <c r="Z47" s="14">
        <f t="shared" si="25"/>
        <v>10</v>
      </c>
      <c r="AA47" s="14">
        <f t="shared" si="25"/>
        <v>6</v>
      </c>
      <c r="AB47" s="14">
        <f t="shared" si="25"/>
        <v>18</v>
      </c>
      <c r="AC47" s="14">
        <f t="shared" si="25"/>
        <v>0</v>
      </c>
      <c r="AD47" s="14">
        <f t="shared" si="25"/>
        <v>4</v>
      </c>
      <c r="AE47" s="14">
        <f t="shared" si="25"/>
        <v>2</v>
      </c>
      <c r="AF47" s="14">
        <f t="shared" si="25"/>
        <v>0</v>
      </c>
      <c r="AG47" s="14">
        <f t="shared" si="25"/>
        <v>0</v>
      </c>
      <c r="AH47" s="14">
        <f t="shared" si="25"/>
        <v>0</v>
      </c>
      <c r="AI47" s="14">
        <f t="shared" si="25"/>
        <v>0</v>
      </c>
      <c r="AJ47" s="14">
        <f t="shared" si="25"/>
        <v>2</v>
      </c>
      <c r="AK47" s="17">
        <f t="shared" si="1"/>
        <v>50</v>
      </c>
      <c r="AL47" s="10">
        <f t="shared" si="2"/>
        <v>76</v>
      </c>
    </row>
    <row r="48" spans="1:38" x14ac:dyDescent="0.25">
      <c r="A48" s="12" t="str">
        <f>'[1]2.0WS'!A48</f>
        <v>28</v>
      </c>
      <c r="B48" s="13" t="str">
        <f>'[1]2.0WS'!B48</f>
        <v>THOOTHUKUDI</v>
      </c>
      <c r="C48" s="8" t="str">
        <f>IF(_xlfn.NUMBERVALUE('2.0WP - Cen'!C48)-_xlfn.NUMBERVALUE('2.0WP - State'!C48)=0,"",_xlfn.NUMBERVALUE('2.0WP - Cen'!C48)-_xlfn.NUMBERVALUE('2.0WP - State'!C48))</f>
        <v/>
      </c>
      <c r="D48" s="8" t="str">
        <f>IF(_xlfn.NUMBERVALUE('2.0WP - Cen'!D48)-_xlfn.NUMBERVALUE('2.0WP - State'!D48)=0,"",_xlfn.NUMBERVALUE('2.0WP - Cen'!D48)-_xlfn.NUMBERVALUE('2.0WP - State'!D48))</f>
        <v/>
      </c>
      <c r="E48" s="8" t="str">
        <f>IF(_xlfn.NUMBERVALUE('2.0WP - Cen'!E48)-_xlfn.NUMBERVALUE('2.0WP - State'!E48)=0,"",_xlfn.NUMBERVALUE('2.0WP - Cen'!E48)-_xlfn.NUMBERVALUE('2.0WP - State'!E48))</f>
        <v/>
      </c>
      <c r="F48" s="8" t="str">
        <f>IF(_xlfn.NUMBERVALUE('2.0WP - Cen'!F48)-_xlfn.NUMBERVALUE('2.0WP - State'!F48)=0,"",_xlfn.NUMBERVALUE('2.0WP - Cen'!F48)-_xlfn.NUMBERVALUE('2.0WP - State'!F48))</f>
        <v/>
      </c>
      <c r="G48" s="8" t="str">
        <f>IF(_xlfn.NUMBERVALUE('2.0WP - Cen'!G48)-_xlfn.NUMBERVALUE('2.0WP - State'!G48)=0,"",_xlfn.NUMBERVALUE('2.0WP - Cen'!G48)-_xlfn.NUMBERVALUE('2.0WP - State'!G48))</f>
        <v/>
      </c>
      <c r="H48" s="8" t="str">
        <f>IF(_xlfn.NUMBERVALUE('2.0WP - Cen'!H48)-_xlfn.NUMBERVALUE('2.0WP - State'!H48)=0,"",_xlfn.NUMBERVALUE('2.0WP - Cen'!H48)-_xlfn.NUMBERVALUE('2.0WP - State'!H48))</f>
        <v/>
      </c>
      <c r="I48" s="8" t="str">
        <f>IF(_xlfn.NUMBERVALUE('2.0WP - Cen'!I48)-_xlfn.NUMBERVALUE('2.0WP - State'!I48)=0,"",_xlfn.NUMBERVALUE('2.0WP - Cen'!I48)-_xlfn.NUMBERVALUE('2.0WP - State'!I48))</f>
        <v/>
      </c>
      <c r="J48" s="8" t="str">
        <f>IF(_xlfn.NUMBERVALUE('2.0WP - Cen'!J48)-_xlfn.NUMBERVALUE('2.0WP - State'!J48)=0,"",_xlfn.NUMBERVALUE('2.0WP - Cen'!J48)-_xlfn.NUMBERVALUE('2.0WP - State'!J48))</f>
        <v/>
      </c>
      <c r="K48" s="8" t="str">
        <f>IF(_xlfn.NUMBERVALUE('2.0WP - Cen'!K48)-_xlfn.NUMBERVALUE('2.0WP - State'!K48)=0,"",_xlfn.NUMBERVALUE('2.0WP - Cen'!K48)-_xlfn.NUMBERVALUE('2.0WP - State'!K48))</f>
        <v/>
      </c>
      <c r="L48" s="8" t="str">
        <f>IF(_xlfn.NUMBERVALUE('2.0WP - Cen'!L48)-_xlfn.NUMBERVALUE('2.0WP - State'!L48)=0,"",_xlfn.NUMBERVALUE('2.0WP - Cen'!L48)-_xlfn.NUMBERVALUE('2.0WP - State'!L48))</f>
        <v/>
      </c>
      <c r="M48" s="8" t="str">
        <f>IF(_xlfn.NUMBERVALUE('2.0WP - Cen'!M48)-_xlfn.NUMBERVALUE('2.0WP - State'!M48)=0,"",_xlfn.NUMBERVALUE('2.0WP - Cen'!M48)-_xlfn.NUMBERVALUE('2.0WP - State'!M48))</f>
        <v/>
      </c>
      <c r="N48" s="8" t="str">
        <f>IF(_xlfn.NUMBERVALUE('2.0WP - Cen'!N48)-_xlfn.NUMBERVALUE('2.0WP - State'!N48)=0,"",_xlfn.NUMBERVALUE('2.0WP - Cen'!N48)-_xlfn.NUMBERVALUE('2.0WP - State'!N48))</f>
        <v/>
      </c>
      <c r="O48" s="8" t="str">
        <f>IF(_xlfn.NUMBERVALUE('2.0WP - Cen'!O48)-_xlfn.NUMBERVALUE('2.0WP - State'!O48)=0,"",_xlfn.NUMBERVALUE('2.0WP - Cen'!O48)-_xlfn.NUMBERVALUE('2.0WP - State'!O48))</f>
        <v/>
      </c>
      <c r="P48" s="8" t="str">
        <f>IF(_xlfn.NUMBERVALUE('2.0WP - Cen'!P48)-_xlfn.NUMBERVALUE('2.0WP - State'!P48)=0,"",_xlfn.NUMBERVALUE('2.0WP - Cen'!P48)-_xlfn.NUMBERVALUE('2.0WP - State'!P48))</f>
        <v/>
      </c>
      <c r="Q48" s="8" t="str">
        <f>IF(_xlfn.NUMBERVALUE('2.0WP - Cen'!Q48)-_xlfn.NUMBERVALUE('2.0WP - State'!Q48)=0,"",_xlfn.NUMBERVALUE('2.0WP - Cen'!Q48)-_xlfn.NUMBERVALUE('2.0WP - State'!Q48))</f>
        <v/>
      </c>
      <c r="R48" s="8" t="str">
        <f>IF(_xlfn.NUMBERVALUE('2.0WP - Cen'!R48)-_xlfn.NUMBERVALUE('2.0WP - State'!R48)=0,"",_xlfn.NUMBERVALUE('2.0WP - Cen'!R48)-_xlfn.NUMBERVALUE('2.0WP - State'!R48))</f>
        <v/>
      </c>
      <c r="S48" s="8" t="str">
        <f>IF(_xlfn.NUMBERVALUE('2.0WP - Cen'!S48)-_xlfn.NUMBERVALUE('2.0WP - State'!S48)=0,"",_xlfn.NUMBERVALUE('2.0WP - Cen'!S48)-_xlfn.NUMBERVALUE('2.0WP - State'!S48))</f>
        <v/>
      </c>
      <c r="T48" s="9">
        <f t="shared" si="4"/>
        <v>0</v>
      </c>
      <c r="U48" s="8" t="str">
        <f>IF(_xlfn.NUMBERVALUE('2.0WP - Cen'!U48)-_xlfn.NUMBERVALUE('2.0WP - State'!U48)=0,"",_xlfn.NUMBERVALUE('2.0WP - Cen'!U48)-_xlfn.NUMBERVALUE('2.0WP - State'!U48))</f>
        <v/>
      </c>
      <c r="V48" s="8">
        <f>IF(_xlfn.NUMBERVALUE('2.0WP - Cen'!V48)-_xlfn.NUMBERVALUE('2.0WP - State'!V48)=0,"",_xlfn.NUMBERVALUE('2.0WP - Cen'!V48)-_xlfn.NUMBERVALUE('2.0WP - State'!V48))</f>
        <v>2</v>
      </c>
      <c r="W48" s="8" t="str">
        <f>IF(_xlfn.NUMBERVALUE('2.0WP - Cen'!W48)-_xlfn.NUMBERVALUE('2.0WP - State'!W48)=0,"",_xlfn.NUMBERVALUE('2.0WP - Cen'!W48)-_xlfn.NUMBERVALUE('2.0WP - State'!W48))</f>
        <v/>
      </c>
      <c r="X48" s="8" t="str">
        <f>IF(_xlfn.NUMBERVALUE('2.0WP - Cen'!X48)-_xlfn.NUMBERVALUE('2.0WP - State'!X48)=0,"",_xlfn.NUMBERVALUE('2.0WP - Cen'!X48)-_xlfn.NUMBERVALUE('2.0WP - State'!X48))</f>
        <v/>
      </c>
      <c r="Y48" s="8" t="str">
        <f>IF(_xlfn.NUMBERVALUE('2.0WP - Cen'!Y48)-_xlfn.NUMBERVALUE('2.0WP - State'!Y48)=0,"",_xlfn.NUMBERVALUE('2.0WP - Cen'!Y48)-_xlfn.NUMBERVALUE('2.0WP - State'!Y48))</f>
        <v/>
      </c>
      <c r="Z48" s="8">
        <f>IF(_xlfn.NUMBERVALUE('2.0WP - Cen'!Z48)-_xlfn.NUMBERVALUE('2.0WP - State'!Z48)=0,"",_xlfn.NUMBERVALUE('2.0WP - Cen'!Z48)-_xlfn.NUMBERVALUE('2.0WP - State'!Z48))</f>
        <v>4</v>
      </c>
      <c r="AA48" s="8" t="str">
        <f>IF(_xlfn.NUMBERVALUE('2.0WP - Cen'!AA48)-_xlfn.NUMBERVALUE('2.0WP - State'!AA48)=0,"",_xlfn.NUMBERVALUE('2.0WP - Cen'!AA48)-_xlfn.NUMBERVALUE('2.0WP - State'!AA48))</f>
        <v/>
      </c>
      <c r="AB48" s="8">
        <f>IF(_xlfn.NUMBERVALUE('2.0WP - Cen'!AB48)-_xlfn.NUMBERVALUE('2.0WP - State'!AB48)=0,"",_xlfn.NUMBERVALUE('2.0WP - Cen'!AB48)-_xlfn.NUMBERVALUE('2.0WP - State'!AB48))</f>
        <v>8</v>
      </c>
      <c r="AC48" s="8" t="str">
        <f>IF(_xlfn.NUMBERVALUE('2.0WP - Cen'!AC48)-_xlfn.NUMBERVALUE('2.0WP - State'!AC48)=0,"",_xlfn.NUMBERVALUE('2.0WP - Cen'!AC48)-_xlfn.NUMBERVALUE('2.0WP - State'!AC48))</f>
        <v/>
      </c>
      <c r="AD48" s="8" t="str">
        <f>IF(_xlfn.NUMBERVALUE('2.0WP - Cen'!AD48)-_xlfn.NUMBERVALUE('2.0WP - State'!AD48)=0,"",_xlfn.NUMBERVALUE('2.0WP - Cen'!AD48)-_xlfn.NUMBERVALUE('2.0WP - State'!AD48))</f>
        <v/>
      </c>
      <c r="AE48" s="8" t="str">
        <f>IF(_xlfn.NUMBERVALUE('2.0WP - Cen'!AE48)-_xlfn.NUMBERVALUE('2.0WP - State'!AE48)=0,"",_xlfn.NUMBERVALUE('2.0WP - Cen'!AE48)-_xlfn.NUMBERVALUE('2.0WP - State'!AE48))</f>
        <v/>
      </c>
      <c r="AF48" s="8">
        <f>IF(_xlfn.NUMBERVALUE('2.0WP - Cen'!AF48)-_xlfn.NUMBERVALUE('2.0WP - State'!AF48)=0,"",_xlfn.NUMBERVALUE('2.0WP - Cen'!AF48)-_xlfn.NUMBERVALUE('2.0WP - State'!AF48))</f>
        <v>6</v>
      </c>
      <c r="AG48" s="8" t="str">
        <f>IF(_xlfn.NUMBERVALUE('2.0WP - Cen'!AG48)-_xlfn.NUMBERVALUE('2.0WP - State'!AG48)=0,"",_xlfn.NUMBERVALUE('2.0WP - Cen'!AG48)-_xlfn.NUMBERVALUE('2.0WP - State'!AG48))</f>
        <v/>
      </c>
      <c r="AH48" s="8" t="str">
        <f>IF(_xlfn.NUMBERVALUE('2.0WP - Cen'!AH48)-_xlfn.NUMBERVALUE('2.0WP - State'!AH48)=0,"",_xlfn.NUMBERVALUE('2.0WP - Cen'!AH48)-_xlfn.NUMBERVALUE('2.0WP - State'!AH48))</f>
        <v/>
      </c>
      <c r="AI48" s="8">
        <f>IF(_xlfn.NUMBERVALUE('2.0WP - Cen'!AI48)-_xlfn.NUMBERVALUE('2.0WP - State'!AI48)=0,"",_xlfn.NUMBERVALUE('2.0WP - Cen'!AI48)-_xlfn.NUMBERVALUE('2.0WP - State'!AI48))</f>
        <v>2</v>
      </c>
      <c r="AJ48" s="8" t="str">
        <f>IF(_xlfn.NUMBERVALUE('2.0WP - Cen'!AJ48)-_xlfn.NUMBERVALUE('2.0WP - State'!AJ48)=0,"",_xlfn.NUMBERVALUE('2.0WP - Cen'!AJ48)-_xlfn.NUMBERVALUE('2.0WP - State'!AJ48))</f>
        <v/>
      </c>
      <c r="AK48" s="17">
        <f t="shared" si="1"/>
        <v>22</v>
      </c>
      <c r="AL48" s="10">
        <f t="shared" si="2"/>
        <v>22</v>
      </c>
    </row>
    <row r="49" spans="1:38" x14ac:dyDescent="0.25">
      <c r="A49" s="12" t="str">
        <f>'[1]2.0WS'!A49</f>
        <v>29</v>
      </c>
      <c r="B49" s="13" t="str">
        <f>'[1]2.0WS'!B49</f>
        <v>TIRUNELVELI</v>
      </c>
      <c r="C49" s="8" t="str">
        <f>IF(_xlfn.NUMBERVALUE('2.0WP - Cen'!C49)-_xlfn.NUMBERVALUE('2.0WP - State'!C49)=0,"",_xlfn.NUMBERVALUE('2.0WP - Cen'!C49)-_xlfn.NUMBERVALUE('2.0WP - State'!C49))</f>
        <v/>
      </c>
      <c r="D49" s="8" t="str">
        <f>IF(_xlfn.NUMBERVALUE('2.0WP - Cen'!D49)-_xlfn.NUMBERVALUE('2.0WP - State'!D49)=0,"",_xlfn.NUMBERVALUE('2.0WP - Cen'!D49)-_xlfn.NUMBERVALUE('2.0WP - State'!D49))</f>
        <v/>
      </c>
      <c r="E49" s="8" t="str">
        <f>IF(_xlfn.NUMBERVALUE('2.0WP - Cen'!E49)-_xlfn.NUMBERVALUE('2.0WP - State'!E49)=0,"",_xlfn.NUMBERVALUE('2.0WP - Cen'!E49)-_xlfn.NUMBERVALUE('2.0WP - State'!E49))</f>
        <v/>
      </c>
      <c r="F49" s="8" t="str">
        <f>IF(_xlfn.NUMBERVALUE('2.0WP - Cen'!F49)-_xlfn.NUMBERVALUE('2.0WP - State'!F49)=0,"",_xlfn.NUMBERVALUE('2.0WP - Cen'!F49)-_xlfn.NUMBERVALUE('2.0WP - State'!F49))</f>
        <v/>
      </c>
      <c r="G49" s="8" t="str">
        <f>IF(_xlfn.NUMBERVALUE('2.0WP - Cen'!G49)-_xlfn.NUMBERVALUE('2.0WP - State'!G49)=0,"",_xlfn.NUMBERVALUE('2.0WP - Cen'!G49)-_xlfn.NUMBERVALUE('2.0WP - State'!G49))</f>
        <v/>
      </c>
      <c r="H49" s="8" t="str">
        <f>IF(_xlfn.NUMBERVALUE('2.0WP - Cen'!H49)-_xlfn.NUMBERVALUE('2.0WP - State'!H49)=0,"",_xlfn.NUMBERVALUE('2.0WP - Cen'!H49)-_xlfn.NUMBERVALUE('2.0WP - State'!H49))</f>
        <v/>
      </c>
      <c r="I49" s="8" t="str">
        <f>IF(_xlfn.NUMBERVALUE('2.0WP - Cen'!I49)-_xlfn.NUMBERVALUE('2.0WP - State'!I49)=0,"",_xlfn.NUMBERVALUE('2.0WP - Cen'!I49)-_xlfn.NUMBERVALUE('2.0WP - State'!I49))</f>
        <v/>
      </c>
      <c r="J49" s="8" t="str">
        <f>IF(_xlfn.NUMBERVALUE('2.0WP - Cen'!J49)-_xlfn.NUMBERVALUE('2.0WP - State'!J49)=0,"",_xlfn.NUMBERVALUE('2.0WP - Cen'!J49)-_xlfn.NUMBERVALUE('2.0WP - State'!J49))</f>
        <v/>
      </c>
      <c r="K49" s="8" t="str">
        <f>IF(_xlfn.NUMBERVALUE('2.0WP - Cen'!K49)-_xlfn.NUMBERVALUE('2.0WP - State'!K49)=0,"",_xlfn.NUMBERVALUE('2.0WP - Cen'!K49)-_xlfn.NUMBERVALUE('2.0WP - State'!K49))</f>
        <v/>
      </c>
      <c r="L49" s="8" t="str">
        <f>IF(_xlfn.NUMBERVALUE('2.0WP - Cen'!L49)-_xlfn.NUMBERVALUE('2.0WP - State'!L49)=0,"",_xlfn.NUMBERVALUE('2.0WP - Cen'!L49)-_xlfn.NUMBERVALUE('2.0WP - State'!L49))</f>
        <v/>
      </c>
      <c r="M49" s="8" t="str">
        <f>IF(_xlfn.NUMBERVALUE('2.0WP - Cen'!M49)-_xlfn.NUMBERVALUE('2.0WP - State'!M49)=0,"",_xlfn.NUMBERVALUE('2.0WP - Cen'!M49)-_xlfn.NUMBERVALUE('2.0WP - State'!M49))</f>
        <v/>
      </c>
      <c r="N49" s="8" t="str">
        <f>IF(_xlfn.NUMBERVALUE('2.0WP - Cen'!N49)-_xlfn.NUMBERVALUE('2.0WP - State'!N49)=0,"",_xlfn.NUMBERVALUE('2.0WP - Cen'!N49)-_xlfn.NUMBERVALUE('2.0WP - State'!N49))</f>
        <v/>
      </c>
      <c r="O49" s="8" t="str">
        <f>IF(_xlfn.NUMBERVALUE('2.0WP - Cen'!O49)-_xlfn.NUMBERVALUE('2.0WP - State'!O49)=0,"",_xlfn.NUMBERVALUE('2.0WP - Cen'!O49)-_xlfn.NUMBERVALUE('2.0WP - State'!O49))</f>
        <v/>
      </c>
      <c r="P49" s="8" t="str">
        <f>IF(_xlfn.NUMBERVALUE('2.0WP - Cen'!P49)-_xlfn.NUMBERVALUE('2.0WP - State'!P49)=0,"",_xlfn.NUMBERVALUE('2.0WP - Cen'!P49)-_xlfn.NUMBERVALUE('2.0WP - State'!P49))</f>
        <v/>
      </c>
      <c r="Q49" s="8" t="str">
        <f>IF(_xlfn.NUMBERVALUE('2.0WP - Cen'!Q49)-_xlfn.NUMBERVALUE('2.0WP - State'!Q49)=0,"",_xlfn.NUMBERVALUE('2.0WP - Cen'!Q49)-_xlfn.NUMBERVALUE('2.0WP - State'!Q49))</f>
        <v/>
      </c>
      <c r="R49" s="8" t="str">
        <f>IF(_xlfn.NUMBERVALUE('2.0WP - Cen'!R49)-_xlfn.NUMBERVALUE('2.0WP - State'!R49)=0,"",_xlfn.NUMBERVALUE('2.0WP - Cen'!R49)-_xlfn.NUMBERVALUE('2.0WP - State'!R49))</f>
        <v/>
      </c>
      <c r="S49" s="8" t="str">
        <f>IF(_xlfn.NUMBERVALUE('2.0WP - Cen'!S49)-_xlfn.NUMBERVALUE('2.0WP - State'!S49)=0,"",_xlfn.NUMBERVALUE('2.0WP - Cen'!S49)-_xlfn.NUMBERVALUE('2.0WP - State'!S49))</f>
        <v/>
      </c>
      <c r="T49" s="9">
        <f t="shared" si="4"/>
        <v>0</v>
      </c>
      <c r="U49" s="8">
        <f>IF(_xlfn.NUMBERVALUE('2.0WP - Cen'!U49)-_xlfn.NUMBERVALUE('2.0WP - State'!U49)=0,"",_xlfn.NUMBERVALUE('2.0WP - Cen'!U49)-_xlfn.NUMBERVALUE('2.0WP - State'!U49))</f>
        <v>4</v>
      </c>
      <c r="V49" s="8" t="str">
        <f>IF(_xlfn.NUMBERVALUE('2.0WP - Cen'!V49)-_xlfn.NUMBERVALUE('2.0WP - State'!V49)=0,"",_xlfn.NUMBERVALUE('2.0WP - Cen'!V49)-_xlfn.NUMBERVALUE('2.0WP - State'!V49))</f>
        <v/>
      </c>
      <c r="W49" s="8" t="str">
        <f>IF(_xlfn.NUMBERVALUE('2.0WP - Cen'!W49)-_xlfn.NUMBERVALUE('2.0WP - State'!W49)=0,"",_xlfn.NUMBERVALUE('2.0WP - Cen'!W49)-_xlfn.NUMBERVALUE('2.0WP - State'!W49))</f>
        <v/>
      </c>
      <c r="X49" s="8" t="str">
        <f>IF(_xlfn.NUMBERVALUE('2.0WP - Cen'!X49)-_xlfn.NUMBERVALUE('2.0WP - State'!X49)=0,"",_xlfn.NUMBERVALUE('2.0WP - Cen'!X49)-_xlfn.NUMBERVALUE('2.0WP - State'!X49))</f>
        <v/>
      </c>
      <c r="Y49" s="8" t="str">
        <f>IF(_xlfn.NUMBERVALUE('2.0WP - Cen'!Y49)-_xlfn.NUMBERVALUE('2.0WP - State'!Y49)=0,"",_xlfn.NUMBERVALUE('2.0WP - Cen'!Y49)-_xlfn.NUMBERVALUE('2.0WP - State'!Y49))</f>
        <v/>
      </c>
      <c r="Z49" s="8" t="str">
        <f>IF(_xlfn.NUMBERVALUE('2.0WP - Cen'!Z49)-_xlfn.NUMBERVALUE('2.0WP - State'!Z49)=0,"",_xlfn.NUMBERVALUE('2.0WP - Cen'!Z49)-_xlfn.NUMBERVALUE('2.0WP - State'!Z49))</f>
        <v/>
      </c>
      <c r="AA49" s="8" t="str">
        <f>IF(_xlfn.NUMBERVALUE('2.0WP - Cen'!AA49)-_xlfn.NUMBERVALUE('2.0WP - State'!AA49)=0,"",_xlfn.NUMBERVALUE('2.0WP - Cen'!AA49)-_xlfn.NUMBERVALUE('2.0WP - State'!AA49))</f>
        <v/>
      </c>
      <c r="AB49" s="8" t="str">
        <f>IF(_xlfn.NUMBERVALUE('2.0WP - Cen'!AB49)-_xlfn.NUMBERVALUE('2.0WP - State'!AB49)=0,"",_xlfn.NUMBERVALUE('2.0WP - Cen'!AB49)-_xlfn.NUMBERVALUE('2.0WP - State'!AB49))</f>
        <v/>
      </c>
      <c r="AC49" s="8" t="str">
        <f>IF(_xlfn.NUMBERVALUE('2.0WP - Cen'!AC49)-_xlfn.NUMBERVALUE('2.0WP - State'!AC49)=0,"",_xlfn.NUMBERVALUE('2.0WP - Cen'!AC49)-_xlfn.NUMBERVALUE('2.0WP - State'!AC49))</f>
        <v/>
      </c>
      <c r="AD49" s="8" t="str">
        <f>IF(_xlfn.NUMBERVALUE('2.0WP - Cen'!AD49)-_xlfn.NUMBERVALUE('2.0WP - State'!AD49)=0,"",_xlfn.NUMBERVALUE('2.0WP - Cen'!AD49)-_xlfn.NUMBERVALUE('2.0WP - State'!AD49))</f>
        <v/>
      </c>
      <c r="AE49" s="8" t="str">
        <f>IF(_xlfn.NUMBERVALUE('2.0WP - Cen'!AE49)-_xlfn.NUMBERVALUE('2.0WP - State'!AE49)=0,"",_xlfn.NUMBERVALUE('2.0WP - Cen'!AE49)-_xlfn.NUMBERVALUE('2.0WP - State'!AE49))</f>
        <v/>
      </c>
      <c r="AF49" s="8" t="str">
        <f>IF(_xlfn.NUMBERVALUE('2.0WP - Cen'!AF49)-_xlfn.NUMBERVALUE('2.0WP - State'!AF49)=0,"",_xlfn.NUMBERVALUE('2.0WP - Cen'!AF49)-_xlfn.NUMBERVALUE('2.0WP - State'!AF49))</f>
        <v/>
      </c>
      <c r="AG49" s="8" t="str">
        <f>IF(_xlfn.NUMBERVALUE('2.0WP - Cen'!AG49)-_xlfn.NUMBERVALUE('2.0WP - State'!AG49)=0,"",_xlfn.NUMBERVALUE('2.0WP - Cen'!AG49)-_xlfn.NUMBERVALUE('2.0WP - State'!AG49))</f>
        <v/>
      </c>
      <c r="AH49" s="8" t="str">
        <f>IF(_xlfn.NUMBERVALUE('2.0WP - Cen'!AH49)-_xlfn.NUMBERVALUE('2.0WP - State'!AH49)=0,"",_xlfn.NUMBERVALUE('2.0WP - Cen'!AH49)-_xlfn.NUMBERVALUE('2.0WP - State'!AH49))</f>
        <v/>
      </c>
      <c r="AI49" s="8" t="str">
        <f>IF(_xlfn.NUMBERVALUE('2.0WP - Cen'!AI49)-_xlfn.NUMBERVALUE('2.0WP - State'!AI49)=0,"",_xlfn.NUMBERVALUE('2.0WP - Cen'!AI49)-_xlfn.NUMBERVALUE('2.0WP - State'!AI49))</f>
        <v/>
      </c>
      <c r="AJ49" s="8" t="str">
        <f>IF(_xlfn.NUMBERVALUE('2.0WP - Cen'!AJ49)-_xlfn.NUMBERVALUE('2.0WP - State'!AJ49)=0,"",_xlfn.NUMBERVALUE('2.0WP - Cen'!AJ49)-_xlfn.NUMBERVALUE('2.0WP - State'!AJ49))</f>
        <v/>
      </c>
      <c r="AK49" s="17">
        <f t="shared" si="1"/>
        <v>4</v>
      </c>
      <c r="AL49" s="10">
        <f t="shared" si="2"/>
        <v>4</v>
      </c>
    </row>
    <row r="50" spans="1:38" x14ac:dyDescent="0.25">
      <c r="A50" s="12" t="str">
        <f>'[1]2.0WS'!A50</f>
        <v>30</v>
      </c>
      <c r="B50" s="13" t="str">
        <f>'[1]2.0WS'!B50</f>
        <v>KANNIYAKUMARI</v>
      </c>
      <c r="C50" s="8" t="str">
        <f>IF(_xlfn.NUMBERVALUE('2.0WP - Cen'!C50)-_xlfn.NUMBERVALUE('2.0WP - State'!C50)=0,"",_xlfn.NUMBERVALUE('2.0WP - Cen'!C50)-_xlfn.NUMBERVALUE('2.0WP - State'!C50))</f>
        <v/>
      </c>
      <c r="D50" s="8" t="str">
        <f>IF(_xlfn.NUMBERVALUE('2.0WP - Cen'!D50)-_xlfn.NUMBERVALUE('2.0WP - State'!D50)=0,"",_xlfn.NUMBERVALUE('2.0WP - Cen'!D50)-_xlfn.NUMBERVALUE('2.0WP - State'!D50))</f>
        <v/>
      </c>
      <c r="E50" s="8" t="str">
        <f>IF(_xlfn.NUMBERVALUE('2.0WP - Cen'!E50)-_xlfn.NUMBERVALUE('2.0WP - State'!E50)=0,"",_xlfn.NUMBERVALUE('2.0WP - Cen'!E50)-_xlfn.NUMBERVALUE('2.0WP - State'!E50))</f>
        <v/>
      </c>
      <c r="F50" s="8" t="str">
        <f>IF(_xlfn.NUMBERVALUE('2.0WP - Cen'!F50)-_xlfn.NUMBERVALUE('2.0WP - State'!F50)=0,"",_xlfn.NUMBERVALUE('2.0WP - Cen'!F50)-_xlfn.NUMBERVALUE('2.0WP - State'!F50))</f>
        <v/>
      </c>
      <c r="G50" s="8" t="str">
        <f>IF(_xlfn.NUMBERVALUE('2.0WP - Cen'!G50)-_xlfn.NUMBERVALUE('2.0WP - State'!G50)=0,"",_xlfn.NUMBERVALUE('2.0WP - Cen'!G50)-_xlfn.NUMBERVALUE('2.0WP - State'!G50))</f>
        <v/>
      </c>
      <c r="H50" s="8" t="str">
        <f>IF(_xlfn.NUMBERVALUE('2.0WP - Cen'!H50)-_xlfn.NUMBERVALUE('2.0WP - State'!H50)=0,"",_xlfn.NUMBERVALUE('2.0WP - Cen'!H50)-_xlfn.NUMBERVALUE('2.0WP - State'!H50))</f>
        <v/>
      </c>
      <c r="I50" s="8" t="str">
        <f>IF(_xlfn.NUMBERVALUE('2.0WP - Cen'!I50)-_xlfn.NUMBERVALUE('2.0WP - State'!I50)=0,"",_xlfn.NUMBERVALUE('2.0WP - Cen'!I50)-_xlfn.NUMBERVALUE('2.0WP - State'!I50))</f>
        <v/>
      </c>
      <c r="J50" s="8" t="str">
        <f>IF(_xlfn.NUMBERVALUE('2.0WP - Cen'!J50)-_xlfn.NUMBERVALUE('2.0WP - State'!J50)=0,"",_xlfn.NUMBERVALUE('2.0WP - Cen'!J50)-_xlfn.NUMBERVALUE('2.0WP - State'!J50))</f>
        <v/>
      </c>
      <c r="K50" s="8" t="str">
        <f>IF(_xlfn.NUMBERVALUE('2.0WP - Cen'!K50)-_xlfn.NUMBERVALUE('2.0WP - State'!K50)=0,"",_xlfn.NUMBERVALUE('2.0WP - Cen'!K50)-_xlfn.NUMBERVALUE('2.0WP - State'!K50))</f>
        <v/>
      </c>
      <c r="L50" s="8" t="str">
        <f>IF(_xlfn.NUMBERVALUE('2.0WP - Cen'!L50)-_xlfn.NUMBERVALUE('2.0WP - State'!L50)=0,"",_xlfn.NUMBERVALUE('2.0WP - Cen'!L50)-_xlfn.NUMBERVALUE('2.0WP - State'!L50))</f>
        <v/>
      </c>
      <c r="M50" s="8" t="str">
        <f>IF(_xlfn.NUMBERVALUE('2.0WP - Cen'!M50)-_xlfn.NUMBERVALUE('2.0WP - State'!M50)=0,"",_xlfn.NUMBERVALUE('2.0WP - Cen'!M50)-_xlfn.NUMBERVALUE('2.0WP - State'!M50))</f>
        <v/>
      </c>
      <c r="N50" s="8" t="str">
        <f>IF(_xlfn.NUMBERVALUE('2.0WP - Cen'!N50)-_xlfn.NUMBERVALUE('2.0WP - State'!N50)=0,"",_xlfn.NUMBERVALUE('2.0WP - Cen'!N50)-_xlfn.NUMBERVALUE('2.0WP - State'!N50))</f>
        <v/>
      </c>
      <c r="O50" s="8" t="str">
        <f>IF(_xlfn.NUMBERVALUE('2.0WP - Cen'!O50)-_xlfn.NUMBERVALUE('2.0WP - State'!O50)=0,"",_xlfn.NUMBERVALUE('2.0WP - Cen'!O50)-_xlfn.NUMBERVALUE('2.0WP - State'!O50))</f>
        <v/>
      </c>
      <c r="P50" s="8" t="str">
        <f>IF(_xlfn.NUMBERVALUE('2.0WP - Cen'!P50)-_xlfn.NUMBERVALUE('2.0WP - State'!P50)=0,"",_xlfn.NUMBERVALUE('2.0WP - Cen'!P50)-_xlfn.NUMBERVALUE('2.0WP - State'!P50))</f>
        <v/>
      </c>
      <c r="Q50" s="8" t="str">
        <f>IF(_xlfn.NUMBERVALUE('2.0WP - Cen'!Q50)-_xlfn.NUMBERVALUE('2.0WP - State'!Q50)=0,"",_xlfn.NUMBERVALUE('2.0WP - Cen'!Q50)-_xlfn.NUMBERVALUE('2.0WP - State'!Q50))</f>
        <v/>
      </c>
      <c r="R50" s="8" t="str">
        <f>IF(_xlfn.NUMBERVALUE('2.0WP - Cen'!R50)-_xlfn.NUMBERVALUE('2.0WP - State'!R50)=0,"",_xlfn.NUMBERVALUE('2.0WP - Cen'!R50)-_xlfn.NUMBERVALUE('2.0WP - State'!R50))</f>
        <v/>
      </c>
      <c r="S50" s="8" t="str">
        <f>IF(_xlfn.NUMBERVALUE('2.0WP - Cen'!S50)-_xlfn.NUMBERVALUE('2.0WP - State'!S50)=0,"",_xlfn.NUMBERVALUE('2.0WP - Cen'!S50)-_xlfn.NUMBERVALUE('2.0WP - State'!S50))</f>
        <v/>
      </c>
      <c r="T50" s="9">
        <f t="shared" si="4"/>
        <v>0</v>
      </c>
      <c r="U50" s="8" t="str">
        <f>IF(_xlfn.NUMBERVALUE('2.0WP - Cen'!U50)-_xlfn.NUMBERVALUE('2.0WP - State'!U50)=0,"",_xlfn.NUMBERVALUE('2.0WP - Cen'!U50)-_xlfn.NUMBERVALUE('2.0WP - State'!U50))</f>
        <v/>
      </c>
      <c r="V50" s="8" t="str">
        <f>IF(_xlfn.NUMBERVALUE('2.0WP - Cen'!V50)-_xlfn.NUMBERVALUE('2.0WP - State'!V50)=0,"",_xlfn.NUMBERVALUE('2.0WP - Cen'!V50)-_xlfn.NUMBERVALUE('2.0WP - State'!V50))</f>
        <v/>
      </c>
      <c r="W50" s="8" t="str">
        <f>IF(_xlfn.NUMBERVALUE('2.0WP - Cen'!W50)-_xlfn.NUMBERVALUE('2.0WP - State'!W50)=0,"",_xlfn.NUMBERVALUE('2.0WP - Cen'!W50)-_xlfn.NUMBERVALUE('2.0WP - State'!W50))</f>
        <v/>
      </c>
      <c r="X50" s="8" t="str">
        <f>IF(_xlfn.NUMBERVALUE('2.0WP - Cen'!X50)-_xlfn.NUMBERVALUE('2.0WP - State'!X50)=0,"",_xlfn.NUMBERVALUE('2.0WP - Cen'!X50)-_xlfn.NUMBERVALUE('2.0WP - State'!X50))</f>
        <v/>
      </c>
      <c r="Y50" s="8" t="str">
        <f>IF(_xlfn.NUMBERVALUE('2.0WP - Cen'!Y50)-_xlfn.NUMBERVALUE('2.0WP - State'!Y50)=0,"",_xlfn.NUMBERVALUE('2.0WP - Cen'!Y50)-_xlfn.NUMBERVALUE('2.0WP - State'!Y50))</f>
        <v/>
      </c>
      <c r="Z50" s="8" t="str">
        <f>IF(_xlfn.NUMBERVALUE('2.0WP - Cen'!Z50)-_xlfn.NUMBERVALUE('2.0WP - State'!Z50)=0,"",_xlfn.NUMBERVALUE('2.0WP - Cen'!Z50)-_xlfn.NUMBERVALUE('2.0WP - State'!Z50))</f>
        <v/>
      </c>
      <c r="AA50" s="8" t="str">
        <f>IF(_xlfn.NUMBERVALUE('2.0WP - Cen'!AA50)-_xlfn.NUMBERVALUE('2.0WP - State'!AA50)=0,"",_xlfn.NUMBERVALUE('2.0WP - Cen'!AA50)-_xlfn.NUMBERVALUE('2.0WP - State'!AA50))</f>
        <v/>
      </c>
      <c r="AB50" s="8" t="str">
        <f>IF(_xlfn.NUMBERVALUE('2.0WP - Cen'!AB50)-_xlfn.NUMBERVALUE('2.0WP - State'!AB50)=0,"",_xlfn.NUMBERVALUE('2.0WP - Cen'!AB50)-_xlfn.NUMBERVALUE('2.0WP - State'!AB50))</f>
        <v/>
      </c>
      <c r="AC50" s="8" t="str">
        <f>IF(_xlfn.NUMBERVALUE('2.0WP - Cen'!AC50)-_xlfn.NUMBERVALUE('2.0WP - State'!AC50)=0,"",_xlfn.NUMBERVALUE('2.0WP - Cen'!AC50)-_xlfn.NUMBERVALUE('2.0WP - State'!AC50))</f>
        <v/>
      </c>
      <c r="AD50" s="8" t="str">
        <f>IF(_xlfn.NUMBERVALUE('2.0WP - Cen'!AD50)-_xlfn.NUMBERVALUE('2.0WP - State'!AD50)=0,"",_xlfn.NUMBERVALUE('2.0WP - Cen'!AD50)-_xlfn.NUMBERVALUE('2.0WP - State'!AD50))</f>
        <v/>
      </c>
      <c r="AE50" s="8" t="str">
        <f>IF(_xlfn.NUMBERVALUE('2.0WP - Cen'!AE50)-_xlfn.NUMBERVALUE('2.0WP - State'!AE50)=0,"",_xlfn.NUMBERVALUE('2.0WP - Cen'!AE50)-_xlfn.NUMBERVALUE('2.0WP - State'!AE50))</f>
        <v/>
      </c>
      <c r="AF50" s="8" t="str">
        <f>IF(_xlfn.NUMBERVALUE('2.0WP - Cen'!AF50)-_xlfn.NUMBERVALUE('2.0WP - State'!AF50)=0,"",_xlfn.NUMBERVALUE('2.0WP - Cen'!AF50)-_xlfn.NUMBERVALUE('2.0WP - State'!AF50))</f>
        <v/>
      </c>
      <c r="AG50" s="8" t="str">
        <f>IF(_xlfn.NUMBERVALUE('2.0WP - Cen'!AG50)-_xlfn.NUMBERVALUE('2.0WP - State'!AG50)=0,"",_xlfn.NUMBERVALUE('2.0WP - Cen'!AG50)-_xlfn.NUMBERVALUE('2.0WP - State'!AG50))</f>
        <v/>
      </c>
      <c r="AH50" s="8" t="str">
        <f>IF(_xlfn.NUMBERVALUE('2.0WP - Cen'!AH50)-_xlfn.NUMBERVALUE('2.0WP - State'!AH50)=0,"",_xlfn.NUMBERVALUE('2.0WP - Cen'!AH50)-_xlfn.NUMBERVALUE('2.0WP - State'!AH50))</f>
        <v/>
      </c>
      <c r="AI50" s="8" t="str">
        <f>IF(_xlfn.NUMBERVALUE('2.0WP - Cen'!AI50)-_xlfn.NUMBERVALUE('2.0WP - State'!AI50)=0,"",_xlfn.NUMBERVALUE('2.0WP - Cen'!AI50)-_xlfn.NUMBERVALUE('2.0WP - State'!AI50))</f>
        <v/>
      </c>
      <c r="AJ50" s="8" t="str">
        <f>IF(_xlfn.NUMBERVALUE('2.0WP - Cen'!AJ50)-_xlfn.NUMBERVALUE('2.0WP - State'!AJ50)=0,"",_xlfn.NUMBERVALUE('2.0WP - Cen'!AJ50)-_xlfn.NUMBERVALUE('2.0WP - State'!AJ50))</f>
        <v/>
      </c>
      <c r="AK50" s="17">
        <f t="shared" si="1"/>
        <v>0</v>
      </c>
      <c r="AL50" s="10">
        <f t="shared" si="2"/>
        <v>0</v>
      </c>
    </row>
    <row r="51" spans="1:38" x14ac:dyDescent="0.25">
      <c r="A51" s="12" t="str">
        <f>'[1]2.0WS'!A51</f>
        <v>37</v>
      </c>
      <c r="B51" s="13" t="str">
        <f>'[1]2.0WS'!B51</f>
        <v>TENKASI</v>
      </c>
      <c r="C51" s="8" t="str">
        <f>IF(_xlfn.NUMBERVALUE('2.0WP - Cen'!C51)-_xlfn.NUMBERVALUE('2.0WP - State'!C51)=0,"",_xlfn.NUMBERVALUE('2.0WP - Cen'!C51)-_xlfn.NUMBERVALUE('2.0WP - State'!C51))</f>
        <v/>
      </c>
      <c r="D51" s="8" t="str">
        <f>IF(_xlfn.NUMBERVALUE('2.0WP - Cen'!D51)-_xlfn.NUMBERVALUE('2.0WP - State'!D51)=0,"",_xlfn.NUMBERVALUE('2.0WP - Cen'!D51)-_xlfn.NUMBERVALUE('2.0WP - State'!D51))</f>
        <v/>
      </c>
      <c r="E51" s="8" t="str">
        <f>IF(_xlfn.NUMBERVALUE('2.0WP - Cen'!E51)-_xlfn.NUMBERVALUE('2.0WP - State'!E51)=0,"",_xlfn.NUMBERVALUE('2.0WP - Cen'!E51)-_xlfn.NUMBERVALUE('2.0WP - State'!E51))</f>
        <v/>
      </c>
      <c r="F51" s="8" t="str">
        <f>IF(_xlfn.NUMBERVALUE('2.0WP - Cen'!F51)-_xlfn.NUMBERVALUE('2.0WP - State'!F51)=0,"",_xlfn.NUMBERVALUE('2.0WP - Cen'!F51)-_xlfn.NUMBERVALUE('2.0WP - State'!F51))</f>
        <v/>
      </c>
      <c r="G51" s="8" t="str">
        <f>IF(_xlfn.NUMBERVALUE('2.0WP - Cen'!G51)-_xlfn.NUMBERVALUE('2.0WP - State'!G51)=0,"",_xlfn.NUMBERVALUE('2.0WP - Cen'!G51)-_xlfn.NUMBERVALUE('2.0WP - State'!G51))</f>
        <v/>
      </c>
      <c r="H51" s="8" t="str">
        <f>IF(_xlfn.NUMBERVALUE('2.0WP - Cen'!H51)-_xlfn.NUMBERVALUE('2.0WP - State'!H51)=0,"",_xlfn.NUMBERVALUE('2.0WP - Cen'!H51)-_xlfn.NUMBERVALUE('2.0WP - State'!H51))</f>
        <v/>
      </c>
      <c r="I51" s="8" t="str">
        <f>IF(_xlfn.NUMBERVALUE('2.0WP - Cen'!I51)-_xlfn.NUMBERVALUE('2.0WP - State'!I51)=0,"",_xlfn.NUMBERVALUE('2.0WP - Cen'!I51)-_xlfn.NUMBERVALUE('2.0WP - State'!I51))</f>
        <v/>
      </c>
      <c r="J51" s="8" t="str">
        <f>IF(_xlfn.NUMBERVALUE('2.0WP - Cen'!J51)-_xlfn.NUMBERVALUE('2.0WP - State'!J51)=0,"",_xlfn.NUMBERVALUE('2.0WP - Cen'!J51)-_xlfn.NUMBERVALUE('2.0WP - State'!J51))</f>
        <v/>
      </c>
      <c r="K51" s="8" t="str">
        <f>IF(_xlfn.NUMBERVALUE('2.0WP - Cen'!K51)-_xlfn.NUMBERVALUE('2.0WP - State'!K51)=0,"",_xlfn.NUMBERVALUE('2.0WP - Cen'!K51)-_xlfn.NUMBERVALUE('2.0WP - State'!K51))</f>
        <v/>
      </c>
      <c r="L51" s="8" t="str">
        <f>IF(_xlfn.NUMBERVALUE('2.0WP - Cen'!L51)-_xlfn.NUMBERVALUE('2.0WP - State'!L51)=0,"",_xlfn.NUMBERVALUE('2.0WP - Cen'!L51)-_xlfn.NUMBERVALUE('2.0WP - State'!L51))</f>
        <v/>
      </c>
      <c r="M51" s="8" t="str">
        <f>IF(_xlfn.NUMBERVALUE('2.0WP - Cen'!M51)-_xlfn.NUMBERVALUE('2.0WP - State'!M51)=0,"",_xlfn.NUMBERVALUE('2.0WP - Cen'!M51)-_xlfn.NUMBERVALUE('2.0WP - State'!M51))</f>
        <v/>
      </c>
      <c r="N51" s="8">
        <f>IF(_xlfn.NUMBERVALUE('2.0WP - Cen'!N51)-_xlfn.NUMBERVALUE('2.0WP - State'!N51)=0,"",_xlfn.NUMBERVALUE('2.0WP - Cen'!N51)-_xlfn.NUMBERVALUE('2.0WP - State'!N51))</f>
        <v>2</v>
      </c>
      <c r="O51" s="8" t="str">
        <f>IF(_xlfn.NUMBERVALUE('2.0WP - Cen'!O51)-_xlfn.NUMBERVALUE('2.0WP - State'!O51)=0,"",_xlfn.NUMBERVALUE('2.0WP - Cen'!O51)-_xlfn.NUMBERVALUE('2.0WP - State'!O51))</f>
        <v/>
      </c>
      <c r="P51" s="8" t="str">
        <f>IF(_xlfn.NUMBERVALUE('2.0WP - Cen'!P51)-_xlfn.NUMBERVALUE('2.0WP - State'!P51)=0,"",_xlfn.NUMBERVALUE('2.0WP - Cen'!P51)-_xlfn.NUMBERVALUE('2.0WP - State'!P51))</f>
        <v/>
      </c>
      <c r="Q51" s="8" t="str">
        <f>IF(_xlfn.NUMBERVALUE('2.0WP - Cen'!Q51)-_xlfn.NUMBERVALUE('2.0WP - State'!Q51)=0,"",_xlfn.NUMBERVALUE('2.0WP - Cen'!Q51)-_xlfn.NUMBERVALUE('2.0WP - State'!Q51))</f>
        <v/>
      </c>
      <c r="R51" s="8" t="str">
        <f>IF(_xlfn.NUMBERVALUE('2.0WP - Cen'!R51)-_xlfn.NUMBERVALUE('2.0WP - State'!R51)=0,"",_xlfn.NUMBERVALUE('2.0WP - Cen'!R51)-_xlfn.NUMBERVALUE('2.0WP - State'!R51))</f>
        <v/>
      </c>
      <c r="S51" s="8">
        <f>IF(_xlfn.NUMBERVALUE('2.0WP - Cen'!S51)-_xlfn.NUMBERVALUE('2.0WP - State'!S51)=0,"",_xlfn.NUMBERVALUE('2.0WP - Cen'!S51)-_xlfn.NUMBERVALUE('2.0WP - State'!S51))</f>
        <v>4</v>
      </c>
      <c r="T51" s="9">
        <f t="shared" si="4"/>
        <v>6</v>
      </c>
      <c r="U51" s="8" t="str">
        <f>IF(_xlfn.NUMBERVALUE('2.0WP - Cen'!U51)-_xlfn.NUMBERVALUE('2.0WP - State'!U51)=0,"",_xlfn.NUMBERVALUE('2.0WP - Cen'!U51)-_xlfn.NUMBERVALUE('2.0WP - State'!U51))</f>
        <v/>
      </c>
      <c r="V51" s="8" t="str">
        <f>IF(_xlfn.NUMBERVALUE('2.0WP - Cen'!V51)-_xlfn.NUMBERVALUE('2.0WP - State'!V51)=0,"",_xlfn.NUMBERVALUE('2.0WP - Cen'!V51)-_xlfn.NUMBERVALUE('2.0WP - State'!V51))</f>
        <v/>
      </c>
      <c r="W51" s="8" t="str">
        <f>IF(_xlfn.NUMBERVALUE('2.0WP - Cen'!W51)-_xlfn.NUMBERVALUE('2.0WP - State'!W51)=0,"",_xlfn.NUMBERVALUE('2.0WP - Cen'!W51)-_xlfn.NUMBERVALUE('2.0WP - State'!W51))</f>
        <v/>
      </c>
      <c r="X51" s="8" t="str">
        <f>IF(_xlfn.NUMBERVALUE('2.0WP - Cen'!X51)-_xlfn.NUMBERVALUE('2.0WP - State'!X51)=0,"",_xlfn.NUMBERVALUE('2.0WP - Cen'!X51)-_xlfn.NUMBERVALUE('2.0WP - State'!X51))</f>
        <v/>
      </c>
      <c r="Y51" s="8" t="str">
        <f>IF(_xlfn.NUMBERVALUE('2.0WP - Cen'!Y51)-_xlfn.NUMBERVALUE('2.0WP - State'!Y51)=0,"",_xlfn.NUMBERVALUE('2.0WP - Cen'!Y51)-_xlfn.NUMBERVALUE('2.0WP - State'!Y51))</f>
        <v/>
      </c>
      <c r="Z51" s="8" t="str">
        <f>IF(_xlfn.NUMBERVALUE('2.0WP - Cen'!Z51)-_xlfn.NUMBERVALUE('2.0WP - State'!Z51)=0,"",_xlfn.NUMBERVALUE('2.0WP - Cen'!Z51)-_xlfn.NUMBERVALUE('2.0WP - State'!Z51))</f>
        <v/>
      </c>
      <c r="AA51" s="8" t="str">
        <f>IF(_xlfn.NUMBERVALUE('2.0WP - Cen'!AA51)-_xlfn.NUMBERVALUE('2.0WP - State'!AA51)=0,"",_xlfn.NUMBERVALUE('2.0WP - Cen'!AA51)-_xlfn.NUMBERVALUE('2.0WP - State'!AA51))</f>
        <v/>
      </c>
      <c r="AB51" s="8">
        <f>IF(_xlfn.NUMBERVALUE('2.0WP - Cen'!AB51)-_xlfn.NUMBERVALUE('2.0WP - State'!AB51)=0,"",_xlfn.NUMBERVALUE('2.0WP - Cen'!AB51)-_xlfn.NUMBERVALUE('2.0WP - State'!AB51))</f>
        <v>2</v>
      </c>
      <c r="AC51" s="8" t="str">
        <f>IF(_xlfn.NUMBERVALUE('2.0WP - Cen'!AC51)-_xlfn.NUMBERVALUE('2.0WP - State'!AC51)=0,"",_xlfn.NUMBERVALUE('2.0WP - Cen'!AC51)-_xlfn.NUMBERVALUE('2.0WP - State'!AC51))</f>
        <v/>
      </c>
      <c r="AD51" s="8" t="str">
        <f>IF(_xlfn.NUMBERVALUE('2.0WP - Cen'!AD51)-_xlfn.NUMBERVALUE('2.0WP - State'!AD51)=0,"",_xlfn.NUMBERVALUE('2.0WP - Cen'!AD51)-_xlfn.NUMBERVALUE('2.0WP - State'!AD51))</f>
        <v/>
      </c>
      <c r="AE51" s="8" t="str">
        <f>IF(_xlfn.NUMBERVALUE('2.0WP - Cen'!AE51)-_xlfn.NUMBERVALUE('2.0WP - State'!AE51)=0,"",_xlfn.NUMBERVALUE('2.0WP - Cen'!AE51)-_xlfn.NUMBERVALUE('2.0WP - State'!AE51))</f>
        <v/>
      </c>
      <c r="AF51" s="8" t="str">
        <f>IF(_xlfn.NUMBERVALUE('2.0WP - Cen'!AF51)-_xlfn.NUMBERVALUE('2.0WP - State'!AF51)=0,"",_xlfn.NUMBERVALUE('2.0WP - Cen'!AF51)-_xlfn.NUMBERVALUE('2.0WP - State'!AF51))</f>
        <v/>
      </c>
      <c r="AG51" s="8" t="str">
        <f>IF(_xlfn.NUMBERVALUE('2.0WP - Cen'!AG51)-_xlfn.NUMBERVALUE('2.0WP - State'!AG51)=0,"",_xlfn.NUMBERVALUE('2.0WP - Cen'!AG51)-_xlfn.NUMBERVALUE('2.0WP - State'!AG51))</f>
        <v/>
      </c>
      <c r="AH51" s="8" t="str">
        <f>IF(_xlfn.NUMBERVALUE('2.0WP - Cen'!AH51)-_xlfn.NUMBERVALUE('2.0WP - State'!AH51)=0,"",_xlfn.NUMBERVALUE('2.0WP - Cen'!AH51)-_xlfn.NUMBERVALUE('2.0WP - State'!AH51))</f>
        <v/>
      </c>
      <c r="AI51" s="8" t="str">
        <f>IF(_xlfn.NUMBERVALUE('2.0WP - Cen'!AI51)-_xlfn.NUMBERVALUE('2.0WP - State'!AI51)=0,"",_xlfn.NUMBERVALUE('2.0WP - Cen'!AI51)-_xlfn.NUMBERVALUE('2.0WP - State'!AI51))</f>
        <v/>
      </c>
      <c r="AJ51" s="8" t="str">
        <f>IF(_xlfn.NUMBERVALUE('2.0WP - Cen'!AJ51)-_xlfn.NUMBERVALUE('2.0WP - State'!AJ51)=0,"",_xlfn.NUMBERVALUE('2.0WP - Cen'!AJ51)-_xlfn.NUMBERVALUE('2.0WP - State'!AJ51))</f>
        <v/>
      </c>
      <c r="AK51" s="17">
        <f t="shared" si="1"/>
        <v>2</v>
      </c>
      <c r="AL51" s="10">
        <f t="shared" si="2"/>
        <v>8</v>
      </c>
    </row>
    <row r="52" spans="1:38" s="3" customFormat="1" ht="14.4" customHeight="1" x14ac:dyDescent="0.25">
      <c r="A52" s="19" t="str">
        <f>'[1]2.0WS'!A52</f>
        <v>SRO TIRUNELVELI TOTAL</v>
      </c>
      <c r="B52" s="19"/>
      <c r="C52" s="14">
        <f t="shared" ref="C52:S52" si="26">SUM(C48:C51)</f>
        <v>0</v>
      </c>
      <c r="D52" s="14">
        <f t="shared" si="26"/>
        <v>0</v>
      </c>
      <c r="E52" s="14">
        <f t="shared" si="26"/>
        <v>0</v>
      </c>
      <c r="F52" s="14">
        <f t="shared" si="26"/>
        <v>0</v>
      </c>
      <c r="G52" s="14">
        <f t="shared" si="26"/>
        <v>0</v>
      </c>
      <c r="H52" s="14">
        <f t="shared" si="26"/>
        <v>0</v>
      </c>
      <c r="I52" s="14">
        <f t="shared" si="26"/>
        <v>0</v>
      </c>
      <c r="J52" s="14">
        <f t="shared" si="26"/>
        <v>0</v>
      </c>
      <c r="K52" s="14">
        <f t="shared" si="26"/>
        <v>0</v>
      </c>
      <c r="L52" s="14">
        <f t="shared" si="26"/>
        <v>0</v>
      </c>
      <c r="M52" s="14">
        <f t="shared" si="26"/>
        <v>0</v>
      </c>
      <c r="N52" s="14">
        <f t="shared" si="26"/>
        <v>2</v>
      </c>
      <c r="O52" s="14">
        <f t="shared" si="26"/>
        <v>0</v>
      </c>
      <c r="P52" s="14">
        <f t="shared" si="26"/>
        <v>0</v>
      </c>
      <c r="Q52" s="14">
        <f t="shared" si="26"/>
        <v>0</v>
      </c>
      <c r="R52" s="14">
        <f t="shared" si="26"/>
        <v>0</v>
      </c>
      <c r="S52" s="14">
        <f t="shared" si="26"/>
        <v>4</v>
      </c>
      <c r="T52" s="9">
        <f t="shared" si="4"/>
        <v>6</v>
      </c>
      <c r="U52" s="14">
        <f t="shared" ref="U52:AJ52" si="27">SUM(U48:U51)</f>
        <v>4</v>
      </c>
      <c r="V52" s="14">
        <f t="shared" si="27"/>
        <v>2</v>
      </c>
      <c r="W52" s="14">
        <f t="shared" si="27"/>
        <v>0</v>
      </c>
      <c r="X52" s="14">
        <f t="shared" si="27"/>
        <v>0</v>
      </c>
      <c r="Y52" s="14">
        <f t="shared" si="27"/>
        <v>0</v>
      </c>
      <c r="Z52" s="14">
        <f t="shared" si="27"/>
        <v>4</v>
      </c>
      <c r="AA52" s="14">
        <f t="shared" si="27"/>
        <v>0</v>
      </c>
      <c r="AB52" s="14">
        <f t="shared" si="27"/>
        <v>10</v>
      </c>
      <c r="AC52" s="14">
        <f t="shared" si="27"/>
        <v>0</v>
      </c>
      <c r="AD52" s="14">
        <f t="shared" si="27"/>
        <v>0</v>
      </c>
      <c r="AE52" s="14">
        <f t="shared" si="27"/>
        <v>0</v>
      </c>
      <c r="AF52" s="14">
        <f t="shared" si="27"/>
        <v>6</v>
      </c>
      <c r="AG52" s="14">
        <f t="shared" si="27"/>
        <v>0</v>
      </c>
      <c r="AH52" s="14">
        <f t="shared" si="27"/>
        <v>0</v>
      </c>
      <c r="AI52" s="14">
        <f t="shared" si="27"/>
        <v>2</v>
      </c>
      <c r="AJ52" s="14">
        <f t="shared" si="27"/>
        <v>0</v>
      </c>
      <c r="AK52" s="17">
        <f t="shared" si="1"/>
        <v>28</v>
      </c>
      <c r="AL52" s="10">
        <f t="shared" si="2"/>
        <v>34</v>
      </c>
    </row>
    <row r="53" spans="1:38" x14ac:dyDescent="0.25">
      <c r="A53" s="12" t="str">
        <f>'[1]2.0WS'!A53</f>
        <v>26</v>
      </c>
      <c r="B53" s="13" t="str">
        <f>'[1]2.0WS'!B53</f>
        <v>VIRUDHUNAGAR</v>
      </c>
      <c r="C53" s="8" t="str">
        <f>IF(_xlfn.NUMBERVALUE('2.0WP - Cen'!C53)-_xlfn.NUMBERVALUE('2.0WP - State'!C53)=0,"",_xlfn.NUMBERVALUE('2.0WP - Cen'!C53)-_xlfn.NUMBERVALUE('2.0WP - State'!C53))</f>
        <v/>
      </c>
      <c r="D53" s="8" t="str">
        <f>IF(_xlfn.NUMBERVALUE('2.0WP - Cen'!D53)-_xlfn.NUMBERVALUE('2.0WP - State'!D53)=0,"",_xlfn.NUMBERVALUE('2.0WP - Cen'!D53)-_xlfn.NUMBERVALUE('2.0WP - State'!D53))</f>
        <v/>
      </c>
      <c r="E53" s="8" t="str">
        <f>IF(_xlfn.NUMBERVALUE('2.0WP - Cen'!E53)-_xlfn.NUMBERVALUE('2.0WP - State'!E53)=0,"",_xlfn.NUMBERVALUE('2.0WP - Cen'!E53)-_xlfn.NUMBERVALUE('2.0WP - State'!E53))</f>
        <v/>
      </c>
      <c r="F53" s="8">
        <f>IF(_xlfn.NUMBERVALUE('2.0WP - Cen'!F53)-_xlfn.NUMBERVALUE('2.0WP - State'!F53)=0,"",_xlfn.NUMBERVALUE('2.0WP - Cen'!F53)-_xlfn.NUMBERVALUE('2.0WP - State'!F53))</f>
        <v>4</v>
      </c>
      <c r="G53" s="8" t="str">
        <f>IF(_xlfn.NUMBERVALUE('2.0WP - Cen'!G53)-_xlfn.NUMBERVALUE('2.0WP - State'!G53)=0,"",_xlfn.NUMBERVALUE('2.0WP - Cen'!G53)-_xlfn.NUMBERVALUE('2.0WP - State'!G53))</f>
        <v/>
      </c>
      <c r="H53" s="8" t="str">
        <f>IF(_xlfn.NUMBERVALUE('2.0WP - Cen'!H53)-_xlfn.NUMBERVALUE('2.0WP - State'!H53)=0,"",_xlfn.NUMBERVALUE('2.0WP - Cen'!H53)-_xlfn.NUMBERVALUE('2.0WP - State'!H53))</f>
        <v/>
      </c>
      <c r="I53" s="8" t="str">
        <f>IF(_xlfn.NUMBERVALUE('2.0WP - Cen'!I53)-_xlfn.NUMBERVALUE('2.0WP - State'!I53)=0,"",_xlfn.NUMBERVALUE('2.0WP - Cen'!I53)-_xlfn.NUMBERVALUE('2.0WP - State'!I53))</f>
        <v/>
      </c>
      <c r="J53" s="8">
        <f>IF(_xlfn.NUMBERVALUE('2.0WP - Cen'!J53)-_xlfn.NUMBERVALUE('2.0WP - State'!J53)=0,"",_xlfn.NUMBERVALUE('2.0WP - Cen'!J53)-_xlfn.NUMBERVALUE('2.0WP - State'!J53))</f>
        <v>2</v>
      </c>
      <c r="K53" s="8" t="str">
        <f>IF(_xlfn.NUMBERVALUE('2.0WP - Cen'!K53)-_xlfn.NUMBERVALUE('2.0WP - State'!K53)=0,"",_xlfn.NUMBERVALUE('2.0WP - Cen'!K53)-_xlfn.NUMBERVALUE('2.0WP - State'!K53))</f>
        <v/>
      </c>
      <c r="L53" s="8" t="str">
        <f>IF(_xlfn.NUMBERVALUE('2.0WP - Cen'!L53)-_xlfn.NUMBERVALUE('2.0WP - State'!L53)=0,"",_xlfn.NUMBERVALUE('2.0WP - Cen'!L53)-_xlfn.NUMBERVALUE('2.0WP - State'!L53))</f>
        <v/>
      </c>
      <c r="M53" s="8" t="str">
        <f>IF(_xlfn.NUMBERVALUE('2.0WP - Cen'!M53)-_xlfn.NUMBERVALUE('2.0WP - State'!M53)=0,"",_xlfn.NUMBERVALUE('2.0WP - Cen'!M53)-_xlfn.NUMBERVALUE('2.0WP - State'!M53))</f>
        <v/>
      </c>
      <c r="N53" s="8">
        <f>IF(_xlfn.NUMBERVALUE('2.0WP - Cen'!N53)-_xlfn.NUMBERVALUE('2.0WP - State'!N53)=0,"",_xlfn.NUMBERVALUE('2.0WP - Cen'!N53)-_xlfn.NUMBERVALUE('2.0WP - State'!N53))</f>
        <v>4</v>
      </c>
      <c r="O53" s="8" t="str">
        <f>IF(_xlfn.NUMBERVALUE('2.0WP - Cen'!O53)-_xlfn.NUMBERVALUE('2.0WP - State'!O53)=0,"",_xlfn.NUMBERVALUE('2.0WP - Cen'!O53)-_xlfn.NUMBERVALUE('2.0WP - State'!O53))</f>
        <v/>
      </c>
      <c r="P53" s="8" t="str">
        <f>IF(_xlfn.NUMBERVALUE('2.0WP - Cen'!P53)-_xlfn.NUMBERVALUE('2.0WP - State'!P53)=0,"",_xlfn.NUMBERVALUE('2.0WP - Cen'!P53)-_xlfn.NUMBERVALUE('2.0WP - State'!P53))</f>
        <v/>
      </c>
      <c r="Q53" s="8">
        <f>IF(_xlfn.NUMBERVALUE('2.0WP - Cen'!Q53)-_xlfn.NUMBERVALUE('2.0WP - State'!Q53)=0,"",_xlfn.NUMBERVALUE('2.0WP - Cen'!Q53)-_xlfn.NUMBERVALUE('2.0WP - State'!Q53))</f>
        <v>2</v>
      </c>
      <c r="R53" s="8" t="str">
        <f>IF(_xlfn.NUMBERVALUE('2.0WP - Cen'!R53)-_xlfn.NUMBERVALUE('2.0WP - State'!R53)=0,"",_xlfn.NUMBERVALUE('2.0WP - Cen'!R53)-_xlfn.NUMBERVALUE('2.0WP - State'!R53))</f>
        <v/>
      </c>
      <c r="S53" s="8" t="str">
        <f>IF(_xlfn.NUMBERVALUE('2.0WP - Cen'!S53)-_xlfn.NUMBERVALUE('2.0WP - State'!S53)=0,"",_xlfn.NUMBERVALUE('2.0WP - Cen'!S53)-_xlfn.NUMBERVALUE('2.0WP - State'!S53))</f>
        <v/>
      </c>
      <c r="T53" s="9">
        <f t="shared" si="4"/>
        <v>12</v>
      </c>
      <c r="U53" s="8" t="str">
        <f>IF(_xlfn.NUMBERVALUE('2.0WP - Cen'!U53)-_xlfn.NUMBERVALUE('2.0WP - State'!U53)=0,"",_xlfn.NUMBERVALUE('2.0WP - Cen'!U53)-_xlfn.NUMBERVALUE('2.0WP - State'!U53))</f>
        <v/>
      </c>
      <c r="V53" s="8">
        <f>IF(_xlfn.NUMBERVALUE('2.0WP - Cen'!V53)-_xlfn.NUMBERVALUE('2.0WP - State'!V53)=0,"",_xlfn.NUMBERVALUE('2.0WP - Cen'!V53)-_xlfn.NUMBERVALUE('2.0WP - State'!V53))</f>
        <v>2</v>
      </c>
      <c r="W53" s="8" t="str">
        <f>IF(_xlfn.NUMBERVALUE('2.0WP - Cen'!W53)-_xlfn.NUMBERVALUE('2.0WP - State'!W53)=0,"",_xlfn.NUMBERVALUE('2.0WP - Cen'!W53)-_xlfn.NUMBERVALUE('2.0WP - State'!W53))</f>
        <v/>
      </c>
      <c r="X53" s="8">
        <f>IF(_xlfn.NUMBERVALUE('2.0WP - Cen'!X53)-_xlfn.NUMBERVALUE('2.0WP - State'!X53)=0,"",_xlfn.NUMBERVALUE('2.0WP - Cen'!X53)-_xlfn.NUMBERVALUE('2.0WP - State'!X53))</f>
        <v>6</v>
      </c>
      <c r="Y53" s="8" t="str">
        <f>IF(_xlfn.NUMBERVALUE('2.0WP - Cen'!Y53)-_xlfn.NUMBERVALUE('2.0WP - State'!Y53)=0,"",_xlfn.NUMBERVALUE('2.0WP - Cen'!Y53)-_xlfn.NUMBERVALUE('2.0WP - State'!Y53))</f>
        <v/>
      </c>
      <c r="Z53" s="8" t="str">
        <f>IF(_xlfn.NUMBERVALUE('2.0WP - Cen'!Z53)-_xlfn.NUMBERVALUE('2.0WP - State'!Z53)=0,"",_xlfn.NUMBERVALUE('2.0WP - Cen'!Z53)-_xlfn.NUMBERVALUE('2.0WP - State'!Z53))</f>
        <v/>
      </c>
      <c r="AA53" s="8" t="str">
        <f>IF(_xlfn.NUMBERVALUE('2.0WP - Cen'!AA53)-_xlfn.NUMBERVALUE('2.0WP - State'!AA53)=0,"",_xlfn.NUMBERVALUE('2.0WP - Cen'!AA53)-_xlfn.NUMBERVALUE('2.0WP - State'!AA53))</f>
        <v/>
      </c>
      <c r="AB53" s="8">
        <f>IF(_xlfn.NUMBERVALUE('2.0WP - Cen'!AB53)-_xlfn.NUMBERVALUE('2.0WP - State'!AB53)=0,"",_xlfn.NUMBERVALUE('2.0WP - Cen'!AB53)-_xlfn.NUMBERVALUE('2.0WP - State'!AB53))</f>
        <v>4</v>
      </c>
      <c r="AC53" s="8" t="str">
        <f>IF(_xlfn.NUMBERVALUE('2.0WP - Cen'!AC53)-_xlfn.NUMBERVALUE('2.0WP - State'!AC53)=0,"",_xlfn.NUMBERVALUE('2.0WP - Cen'!AC53)-_xlfn.NUMBERVALUE('2.0WP - State'!AC53))</f>
        <v/>
      </c>
      <c r="AD53" s="8" t="str">
        <f>IF(_xlfn.NUMBERVALUE('2.0WP - Cen'!AD53)-_xlfn.NUMBERVALUE('2.0WP - State'!AD53)=0,"",_xlfn.NUMBERVALUE('2.0WP - Cen'!AD53)-_xlfn.NUMBERVALUE('2.0WP - State'!AD53))</f>
        <v/>
      </c>
      <c r="AE53" s="8" t="str">
        <f>IF(_xlfn.NUMBERVALUE('2.0WP - Cen'!AE53)-_xlfn.NUMBERVALUE('2.0WP - State'!AE53)=0,"",_xlfn.NUMBERVALUE('2.0WP - Cen'!AE53)-_xlfn.NUMBERVALUE('2.0WP - State'!AE53))</f>
        <v/>
      </c>
      <c r="AF53" s="8">
        <f>IF(_xlfn.NUMBERVALUE('2.0WP - Cen'!AF53)-_xlfn.NUMBERVALUE('2.0WP - State'!AF53)=0,"",_xlfn.NUMBERVALUE('2.0WP - Cen'!AF53)-_xlfn.NUMBERVALUE('2.0WP - State'!AF53))</f>
        <v>4</v>
      </c>
      <c r="AG53" s="8" t="str">
        <f>IF(_xlfn.NUMBERVALUE('2.0WP - Cen'!AG53)-_xlfn.NUMBERVALUE('2.0WP - State'!AG53)=0,"",_xlfn.NUMBERVALUE('2.0WP - Cen'!AG53)-_xlfn.NUMBERVALUE('2.0WP - State'!AG53))</f>
        <v/>
      </c>
      <c r="AH53" s="8" t="str">
        <f>IF(_xlfn.NUMBERVALUE('2.0WP - Cen'!AH53)-_xlfn.NUMBERVALUE('2.0WP - State'!AH53)=0,"",_xlfn.NUMBERVALUE('2.0WP - Cen'!AH53)-_xlfn.NUMBERVALUE('2.0WP - State'!AH53))</f>
        <v/>
      </c>
      <c r="AI53" s="8">
        <f>IF(_xlfn.NUMBERVALUE('2.0WP - Cen'!AI53)-_xlfn.NUMBERVALUE('2.0WP - State'!AI53)=0,"",_xlfn.NUMBERVALUE('2.0WP - Cen'!AI53)-_xlfn.NUMBERVALUE('2.0WP - State'!AI53))</f>
        <v>6</v>
      </c>
      <c r="AJ53" s="8">
        <f>IF(_xlfn.NUMBERVALUE('2.0WP - Cen'!AJ53)-_xlfn.NUMBERVALUE('2.0WP - State'!AJ53)=0,"",_xlfn.NUMBERVALUE('2.0WP - Cen'!AJ53)-_xlfn.NUMBERVALUE('2.0WP - State'!AJ53))</f>
        <v>2</v>
      </c>
      <c r="AK53" s="17">
        <f t="shared" si="1"/>
        <v>24</v>
      </c>
      <c r="AL53" s="10">
        <f t="shared" si="2"/>
        <v>36</v>
      </c>
    </row>
    <row r="54" spans="1:38" x14ac:dyDescent="0.25">
      <c r="A54" s="12" t="str">
        <f>'[1]2.0WS'!A54</f>
        <v>27</v>
      </c>
      <c r="B54" s="13" t="str">
        <f>'[1]2.0WS'!B54</f>
        <v>RAMANATHAPURAM</v>
      </c>
      <c r="C54" s="8" t="str">
        <f>IF(_xlfn.NUMBERVALUE('2.0WP - Cen'!C54)-_xlfn.NUMBERVALUE('2.0WP - State'!C54)=0,"",_xlfn.NUMBERVALUE('2.0WP - Cen'!C54)-_xlfn.NUMBERVALUE('2.0WP - State'!C54))</f>
        <v/>
      </c>
      <c r="D54" s="8">
        <f>IF(_xlfn.NUMBERVALUE('2.0WP - Cen'!D54)-_xlfn.NUMBERVALUE('2.0WP - State'!D54)=0,"",_xlfn.NUMBERVALUE('2.0WP - Cen'!D54)-_xlfn.NUMBERVALUE('2.0WP - State'!D54))</f>
        <v>2</v>
      </c>
      <c r="E54" s="8" t="str">
        <f>IF(_xlfn.NUMBERVALUE('2.0WP - Cen'!E54)-_xlfn.NUMBERVALUE('2.0WP - State'!E54)=0,"",_xlfn.NUMBERVALUE('2.0WP - Cen'!E54)-_xlfn.NUMBERVALUE('2.0WP - State'!E54))</f>
        <v/>
      </c>
      <c r="F54" s="8" t="str">
        <f>IF(_xlfn.NUMBERVALUE('2.0WP - Cen'!F54)-_xlfn.NUMBERVALUE('2.0WP - State'!F54)=0,"",_xlfn.NUMBERVALUE('2.0WP - Cen'!F54)-_xlfn.NUMBERVALUE('2.0WP - State'!F54))</f>
        <v/>
      </c>
      <c r="G54" s="8" t="str">
        <f>IF(_xlfn.NUMBERVALUE('2.0WP - Cen'!G54)-_xlfn.NUMBERVALUE('2.0WP - State'!G54)=0,"",_xlfn.NUMBERVALUE('2.0WP - Cen'!G54)-_xlfn.NUMBERVALUE('2.0WP - State'!G54))</f>
        <v/>
      </c>
      <c r="H54" s="8" t="str">
        <f>IF(_xlfn.NUMBERVALUE('2.0WP - Cen'!H54)-_xlfn.NUMBERVALUE('2.0WP - State'!H54)=0,"",_xlfn.NUMBERVALUE('2.0WP - Cen'!H54)-_xlfn.NUMBERVALUE('2.0WP - State'!H54))</f>
        <v/>
      </c>
      <c r="I54" s="8" t="str">
        <f>IF(_xlfn.NUMBERVALUE('2.0WP - Cen'!I54)-_xlfn.NUMBERVALUE('2.0WP - State'!I54)=0,"",_xlfn.NUMBERVALUE('2.0WP - Cen'!I54)-_xlfn.NUMBERVALUE('2.0WP - State'!I54))</f>
        <v/>
      </c>
      <c r="J54" s="8" t="str">
        <f>IF(_xlfn.NUMBERVALUE('2.0WP - Cen'!J54)-_xlfn.NUMBERVALUE('2.0WP - State'!J54)=0,"",_xlfn.NUMBERVALUE('2.0WP - Cen'!J54)-_xlfn.NUMBERVALUE('2.0WP - State'!J54))</f>
        <v/>
      </c>
      <c r="K54" s="8" t="str">
        <f>IF(_xlfn.NUMBERVALUE('2.0WP - Cen'!K54)-_xlfn.NUMBERVALUE('2.0WP - State'!K54)=0,"",_xlfn.NUMBERVALUE('2.0WP - Cen'!K54)-_xlfn.NUMBERVALUE('2.0WP - State'!K54))</f>
        <v/>
      </c>
      <c r="L54" s="8" t="str">
        <f>IF(_xlfn.NUMBERVALUE('2.0WP - Cen'!L54)-_xlfn.NUMBERVALUE('2.0WP - State'!L54)=0,"",_xlfn.NUMBERVALUE('2.0WP - Cen'!L54)-_xlfn.NUMBERVALUE('2.0WP - State'!L54))</f>
        <v/>
      </c>
      <c r="M54" s="8" t="str">
        <f>IF(_xlfn.NUMBERVALUE('2.0WP - Cen'!M54)-_xlfn.NUMBERVALUE('2.0WP - State'!M54)=0,"",_xlfn.NUMBERVALUE('2.0WP - Cen'!M54)-_xlfn.NUMBERVALUE('2.0WP - State'!M54))</f>
        <v/>
      </c>
      <c r="N54" s="8" t="str">
        <f>IF(_xlfn.NUMBERVALUE('2.0WP - Cen'!N54)-_xlfn.NUMBERVALUE('2.0WP - State'!N54)=0,"",_xlfn.NUMBERVALUE('2.0WP - Cen'!N54)-_xlfn.NUMBERVALUE('2.0WP - State'!N54))</f>
        <v/>
      </c>
      <c r="O54" s="8" t="str">
        <f>IF(_xlfn.NUMBERVALUE('2.0WP - Cen'!O54)-_xlfn.NUMBERVALUE('2.0WP - State'!O54)=0,"",_xlfn.NUMBERVALUE('2.0WP - Cen'!O54)-_xlfn.NUMBERVALUE('2.0WP - State'!O54))</f>
        <v/>
      </c>
      <c r="P54" s="8" t="str">
        <f>IF(_xlfn.NUMBERVALUE('2.0WP - Cen'!P54)-_xlfn.NUMBERVALUE('2.0WP - State'!P54)=0,"",_xlfn.NUMBERVALUE('2.0WP - Cen'!P54)-_xlfn.NUMBERVALUE('2.0WP - State'!P54))</f>
        <v/>
      </c>
      <c r="Q54" s="8" t="str">
        <f>IF(_xlfn.NUMBERVALUE('2.0WP - Cen'!Q54)-_xlfn.NUMBERVALUE('2.0WP - State'!Q54)=0,"",_xlfn.NUMBERVALUE('2.0WP - Cen'!Q54)-_xlfn.NUMBERVALUE('2.0WP - State'!Q54))</f>
        <v/>
      </c>
      <c r="R54" s="8" t="str">
        <f>IF(_xlfn.NUMBERVALUE('2.0WP - Cen'!R54)-_xlfn.NUMBERVALUE('2.0WP - State'!R54)=0,"",_xlfn.NUMBERVALUE('2.0WP - Cen'!R54)-_xlfn.NUMBERVALUE('2.0WP - State'!R54))</f>
        <v/>
      </c>
      <c r="S54" s="8" t="str">
        <f>IF(_xlfn.NUMBERVALUE('2.0WP - Cen'!S54)-_xlfn.NUMBERVALUE('2.0WP - State'!S54)=0,"",_xlfn.NUMBERVALUE('2.0WP - Cen'!S54)-_xlfn.NUMBERVALUE('2.0WP - State'!S54))</f>
        <v/>
      </c>
      <c r="T54" s="9">
        <f t="shared" si="4"/>
        <v>2</v>
      </c>
      <c r="U54" s="8" t="str">
        <f>IF(_xlfn.NUMBERVALUE('2.0WP - Cen'!U54)-_xlfn.NUMBERVALUE('2.0WP - State'!U54)=0,"",_xlfn.NUMBERVALUE('2.0WP - Cen'!U54)-_xlfn.NUMBERVALUE('2.0WP - State'!U54))</f>
        <v/>
      </c>
      <c r="V54" s="8">
        <f>IF(_xlfn.NUMBERVALUE('2.0WP - Cen'!V54)-_xlfn.NUMBERVALUE('2.0WP - State'!V54)=0,"",_xlfn.NUMBERVALUE('2.0WP - Cen'!V54)-_xlfn.NUMBERVALUE('2.0WP - State'!V54))</f>
        <v>4</v>
      </c>
      <c r="W54" s="8" t="str">
        <f>IF(_xlfn.NUMBERVALUE('2.0WP - Cen'!W54)-_xlfn.NUMBERVALUE('2.0WP - State'!W54)=0,"",_xlfn.NUMBERVALUE('2.0WP - Cen'!W54)-_xlfn.NUMBERVALUE('2.0WP - State'!W54))</f>
        <v/>
      </c>
      <c r="X54" s="8">
        <f>IF(_xlfn.NUMBERVALUE('2.0WP - Cen'!X54)-_xlfn.NUMBERVALUE('2.0WP - State'!X54)=0,"",_xlfn.NUMBERVALUE('2.0WP - Cen'!X54)-_xlfn.NUMBERVALUE('2.0WP - State'!X54))</f>
        <v>2</v>
      </c>
      <c r="Y54" s="8" t="str">
        <f>IF(_xlfn.NUMBERVALUE('2.0WP - Cen'!Y54)-_xlfn.NUMBERVALUE('2.0WP - State'!Y54)=0,"",_xlfn.NUMBERVALUE('2.0WP - Cen'!Y54)-_xlfn.NUMBERVALUE('2.0WP - State'!Y54))</f>
        <v/>
      </c>
      <c r="Z54" s="8" t="str">
        <f>IF(_xlfn.NUMBERVALUE('2.0WP - Cen'!Z54)-_xlfn.NUMBERVALUE('2.0WP - State'!Z54)=0,"",_xlfn.NUMBERVALUE('2.0WP - Cen'!Z54)-_xlfn.NUMBERVALUE('2.0WP - State'!Z54))</f>
        <v/>
      </c>
      <c r="AA54" s="8" t="str">
        <f>IF(_xlfn.NUMBERVALUE('2.0WP - Cen'!AA54)-_xlfn.NUMBERVALUE('2.0WP - State'!AA54)=0,"",_xlfn.NUMBERVALUE('2.0WP - Cen'!AA54)-_xlfn.NUMBERVALUE('2.0WP - State'!AA54))</f>
        <v/>
      </c>
      <c r="AB54" s="8" t="str">
        <f>IF(_xlfn.NUMBERVALUE('2.0WP - Cen'!AB54)-_xlfn.NUMBERVALUE('2.0WP - State'!AB54)=0,"",_xlfn.NUMBERVALUE('2.0WP - Cen'!AB54)-_xlfn.NUMBERVALUE('2.0WP - State'!AB54))</f>
        <v/>
      </c>
      <c r="AC54" s="8" t="str">
        <f>IF(_xlfn.NUMBERVALUE('2.0WP - Cen'!AC54)-_xlfn.NUMBERVALUE('2.0WP - State'!AC54)=0,"",_xlfn.NUMBERVALUE('2.0WP - Cen'!AC54)-_xlfn.NUMBERVALUE('2.0WP - State'!AC54))</f>
        <v/>
      </c>
      <c r="AD54" s="8">
        <f>IF(_xlfn.NUMBERVALUE('2.0WP - Cen'!AD54)-_xlfn.NUMBERVALUE('2.0WP - State'!AD54)=0,"",_xlfn.NUMBERVALUE('2.0WP - Cen'!AD54)-_xlfn.NUMBERVALUE('2.0WP - State'!AD54))</f>
        <v>2</v>
      </c>
      <c r="AE54" s="8" t="str">
        <f>IF(_xlfn.NUMBERVALUE('2.0WP - Cen'!AE54)-_xlfn.NUMBERVALUE('2.0WP - State'!AE54)=0,"",_xlfn.NUMBERVALUE('2.0WP - Cen'!AE54)-_xlfn.NUMBERVALUE('2.0WP - State'!AE54))</f>
        <v/>
      </c>
      <c r="AF54" s="8" t="str">
        <f>IF(_xlfn.NUMBERVALUE('2.0WP - Cen'!AF54)-_xlfn.NUMBERVALUE('2.0WP - State'!AF54)=0,"",_xlfn.NUMBERVALUE('2.0WP - Cen'!AF54)-_xlfn.NUMBERVALUE('2.0WP - State'!AF54))</f>
        <v/>
      </c>
      <c r="AG54" s="8" t="str">
        <f>IF(_xlfn.NUMBERVALUE('2.0WP - Cen'!AG54)-_xlfn.NUMBERVALUE('2.0WP - State'!AG54)=0,"",_xlfn.NUMBERVALUE('2.0WP - Cen'!AG54)-_xlfn.NUMBERVALUE('2.0WP - State'!AG54))</f>
        <v/>
      </c>
      <c r="AH54" s="8" t="str">
        <f>IF(_xlfn.NUMBERVALUE('2.0WP - Cen'!AH54)-_xlfn.NUMBERVALUE('2.0WP - State'!AH54)=0,"",_xlfn.NUMBERVALUE('2.0WP - Cen'!AH54)-_xlfn.NUMBERVALUE('2.0WP - State'!AH54))</f>
        <v/>
      </c>
      <c r="AI54" s="8" t="str">
        <f>IF(_xlfn.NUMBERVALUE('2.0WP - Cen'!AI54)-_xlfn.NUMBERVALUE('2.0WP - State'!AI54)=0,"",_xlfn.NUMBERVALUE('2.0WP - Cen'!AI54)-_xlfn.NUMBERVALUE('2.0WP - State'!AI54))</f>
        <v/>
      </c>
      <c r="AJ54" s="8" t="str">
        <f>IF(_xlfn.NUMBERVALUE('2.0WP - Cen'!AJ54)-_xlfn.NUMBERVALUE('2.0WP - State'!AJ54)=0,"",_xlfn.NUMBERVALUE('2.0WP - Cen'!AJ54)-_xlfn.NUMBERVALUE('2.0WP - State'!AJ54))</f>
        <v/>
      </c>
      <c r="AK54" s="17">
        <f t="shared" si="1"/>
        <v>8</v>
      </c>
      <c r="AL54" s="10">
        <f t="shared" si="2"/>
        <v>10</v>
      </c>
    </row>
    <row r="55" spans="1:38" s="3" customFormat="1" ht="14.4" customHeight="1" x14ac:dyDescent="0.25">
      <c r="A55" s="19" t="str">
        <f>'[1]2.0WS'!A55</f>
        <v>SRO VIRUDHNAGAR TOTAL</v>
      </c>
      <c r="B55" s="19"/>
      <c r="C55" s="14">
        <f t="shared" ref="C55:S55" si="28">SUM(C53:C54)</f>
        <v>0</v>
      </c>
      <c r="D55" s="14">
        <f t="shared" si="28"/>
        <v>2</v>
      </c>
      <c r="E55" s="14">
        <f t="shared" si="28"/>
        <v>0</v>
      </c>
      <c r="F55" s="14">
        <f t="shared" si="28"/>
        <v>4</v>
      </c>
      <c r="G55" s="14">
        <f t="shared" si="28"/>
        <v>0</v>
      </c>
      <c r="H55" s="14">
        <f t="shared" si="28"/>
        <v>0</v>
      </c>
      <c r="I55" s="14">
        <f t="shared" si="28"/>
        <v>0</v>
      </c>
      <c r="J55" s="14">
        <f t="shared" si="28"/>
        <v>2</v>
      </c>
      <c r="K55" s="14">
        <f t="shared" si="28"/>
        <v>0</v>
      </c>
      <c r="L55" s="14">
        <f t="shared" si="28"/>
        <v>0</v>
      </c>
      <c r="M55" s="14">
        <f t="shared" si="28"/>
        <v>0</v>
      </c>
      <c r="N55" s="14">
        <f t="shared" si="28"/>
        <v>4</v>
      </c>
      <c r="O55" s="14">
        <f t="shared" si="28"/>
        <v>0</v>
      </c>
      <c r="P55" s="14">
        <f t="shared" si="28"/>
        <v>0</v>
      </c>
      <c r="Q55" s="14">
        <f t="shared" si="28"/>
        <v>2</v>
      </c>
      <c r="R55" s="14">
        <f t="shared" si="28"/>
        <v>0</v>
      </c>
      <c r="S55" s="14">
        <f t="shared" si="28"/>
        <v>0</v>
      </c>
      <c r="T55" s="9">
        <f t="shared" si="4"/>
        <v>14</v>
      </c>
      <c r="U55" s="14">
        <f t="shared" ref="U55:AJ55" si="29">SUM(U53:U54)</f>
        <v>0</v>
      </c>
      <c r="V55" s="14">
        <f t="shared" si="29"/>
        <v>6</v>
      </c>
      <c r="W55" s="14">
        <f t="shared" si="29"/>
        <v>0</v>
      </c>
      <c r="X55" s="14">
        <f t="shared" si="29"/>
        <v>8</v>
      </c>
      <c r="Y55" s="14">
        <f t="shared" si="29"/>
        <v>0</v>
      </c>
      <c r="Z55" s="14">
        <f t="shared" si="29"/>
        <v>0</v>
      </c>
      <c r="AA55" s="14">
        <f t="shared" si="29"/>
        <v>0</v>
      </c>
      <c r="AB55" s="14">
        <f t="shared" si="29"/>
        <v>4</v>
      </c>
      <c r="AC55" s="14">
        <f t="shared" si="29"/>
        <v>0</v>
      </c>
      <c r="AD55" s="14">
        <f t="shared" si="29"/>
        <v>2</v>
      </c>
      <c r="AE55" s="14">
        <f t="shared" si="29"/>
        <v>0</v>
      </c>
      <c r="AF55" s="14">
        <f t="shared" si="29"/>
        <v>4</v>
      </c>
      <c r="AG55" s="14">
        <f t="shared" si="29"/>
        <v>0</v>
      </c>
      <c r="AH55" s="14">
        <f t="shared" si="29"/>
        <v>0</v>
      </c>
      <c r="AI55" s="14">
        <f t="shared" si="29"/>
        <v>6</v>
      </c>
      <c r="AJ55" s="14">
        <f t="shared" si="29"/>
        <v>2</v>
      </c>
      <c r="AK55" s="17">
        <f t="shared" si="1"/>
        <v>32</v>
      </c>
      <c r="AL55" s="10">
        <f t="shared" si="2"/>
        <v>46</v>
      </c>
    </row>
    <row r="56" spans="1:38" s="3" customFormat="1" ht="14.4" customHeight="1" x14ac:dyDescent="0.25">
      <c r="A56" s="20" t="str">
        <f>'[1]2.0WS'!A56</f>
        <v>RO MADURAI TOTAL</v>
      </c>
      <c r="B56" s="20"/>
      <c r="C56" s="15">
        <f>SUM(C55,C52,C47,C42)</f>
        <v>8</v>
      </c>
      <c r="D56" s="15">
        <f t="shared" ref="D56:S56" si="30">SUM(D55,D52,D47,D42)</f>
        <v>2</v>
      </c>
      <c r="E56" s="15">
        <f t="shared" si="30"/>
        <v>14</v>
      </c>
      <c r="F56" s="15">
        <f t="shared" si="30"/>
        <v>8</v>
      </c>
      <c r="G56" s="15">
        <f t="shared" si="30"/>
        <v>0</v>
      </c>
      <c r="H56" s="15">
        <f t="shared" si="30"/>
        <v>4</v>
      </c>
      <c r="I56" s="15">
        <f t="shared" si="30"/>
        <v>0</v>
      </c>
      <c r="J56" s="15">
        <f t="shared" si="30"/>
        <v>8</v>
      </c>
      <c r="K56" s="15">
        <f t="shared" si="30"/>
        <v>0</v>
      </c>
      <c r="L56" s="15">
        <f t="shared" si="30"/>
        <v>6</v>
      </c>
      <c r="M56" s="15">
        <f t="shared" si="30"/>
        <v>0</v>
      </c>
      <c r="N56" s="15">
        <f t="shared" si="30"/>
        <v>6</v>
      </c>
      <c r="O56" s="15">
        <f t="shared" si="30"/>
        <v>4</v>
      </c>
      <c r="P56" s="15">
        <f t="shared" si="30"/>
        <v>6</v>
      </c>
      <c r="Q56" s="15">
        <f t="shared" si="30"/>
        <v>2</v>
      </c>
      <c r="R56" s="15">
        <f t="shared" si="30"/>
        <v>4</v>
      </c>
      <c r="S56" s="15">
        <f t="shared" si="30"/>
        <v>8</v>
      </c>
      <c r="T56" s="18">
        <f t="shared" si="4"/>
        <v>80</v>
      </c>
      <c r="U56" s="15">
        <f t="shared" ref="U56:AJ56" si="31">SUM(U55,U52,U47,U42)</f>
        <v>8</v>
      </c>
      <c r="V56" s="15">
        <f t="shared" si="31"/>
        <v>22</v>
      </c>
      <c r="W56" s="15">
        <f t="shared" si="31"/>
        <v>4</v>
      </c>
      <c r="X56" s="15">
        <f t="shared" si="31"/>
        <v>8</v>
      </c>
      <c r="Y56" s="15">
        <f t="shared" si="31"/>
        <v>8</v>
      </c>
      <c r="Z56" s="15">
        <f t="shared" si="31"/>
        <v>18</v>
      </c>
      <c r="AA56" s="15">
        <f t="shared" si="31"/>
        <v>6</v>
      </c>
      <c r="AB56" s="15">
        <f t="shared" si="31"/>
        <v>40</v>
      </c>
      <c r="AC56" s="15">
        <f t="shared" si="31"/>
        <v>0</v>
      </c>
      <c r="AD56" s="15">
        <f t="shared" si="31"/>
        <v>6</v>
      </c>
      <c r="AE56" s="15">
        <f t="shared" si="31"/>
        <v>2</v>
      </c>
      <c r="AF56" s="15">
        <f t="shared" si="31"/>
        <v>14</v>
      </c>
      <c r="AG56" s="15">
        <f t="shared" si="31"/>
        <v>0</v>
      </c>
      <c r="AH56" s="15">
        <f t="shared" si="31"/>
        <v>4</v>
      </c>
      <c r="AI56" s="15">
        <f t="shared" si="31"/>
        <v>12</v>
      </c>
      <c r="AJ56" s="15">
        <f t="shared" si="31"/>
        <v>10</v>
      </c>
      <c r="AK56" s="17">
        <f t="shared" si="1"/>
        <v>162</v>
      </c>
      <c r="AL56" s="10">
        <f t="shared" si="2"/>
        <v>242</v>
      </c>
    </row>
    <row r="57" spans="1:38" s="3" customFormat="1" ht="15" customHeight="1" x14ac:dyDescent="0.25">
      <c r="A57" s="21" t="str">
        <f>'[1]2.0WS'!A57</f>
        <v>STATE TOTAL</v>
      </c>
      <c r="B57" s="21"/>
      <c r="C57" s="16">
        <f>SUM(C56,C37,C23)</f>
        <v>24</v>
      </c>
      <c r="D57" s="16">
        <f t="shared" ref="D57:S57" si="32">SUM(D56,D37,D23)</f>
        <v>2</v>
      </c>
      <c r="E57" s="16">
        <f t="shared" si="32"/>
        <v>26</v>
      </c>
      <c r="F57" s="16">
        <f t="shared" si="32"/>
        <v>28</v>
      </c>
      <c r="G57" s="16">
        <f t="shared" si="32"/>
        <v>2</v>
      </c>
      <c r="H57" s="16">
        <f t="shared" si="32"/>
        <v>22</v>
      </c>
      <c r="I57" s="16">
        <f t="shared" si="32"/>
        <v>4</v>
      </c>
      <c r="J57" s="16">
        <f t="shared" si="32"/>
        <v>24</v>
      </c>
      <c r="K57" s="16">
        <f t="shared" si="32"/>
        <v>14</v>
      </c>
      <c r="L57" s="16">
        <f t="shared" si="32"/>
        <v>18</v>
      </c>
      <c r="M57" s="16">
        <f t="shared" si="32"/>
        <v>4</v>
      </c>
      <c r="N57" s="16">
        <f t="shared" si="32"/>
        <v>18</v>
      </c>
      <c r="O57" s="16">
        <f t="shared" si="32"/>
        <v>10</v>
      </c>
      <c r="P57" s="16">
        <f t="shared" si="32"/>
        <v>38</v>
      </c>
      <c r="Q57" s="16">
        <f t="shared" si="32"/>
        <v>44</v>
      </c>
      <c r="R57" s="16">
        <f t="shared" si="32"/>
        <v>10</v>
      </c>
      <c r="S57" s="16">
        <f t="shared" si="32"/>
        <v>26</v>
      </c>
      <c r="T57" s="18">
        <f t="shared" si="4"/>
        <v>314</v>
      </c>
      <c r="U57" s="16">
        <f t="shared" ref="U57:AJ57" si="33">SUM(U56,U37,U23)</f>
        <v>22</v>
      </c>
      <c r="V57" s="16">
        <f t="shared" si="33"/>
        <v>36</v>
      </c>
      <c r="W57" s="16">
        <f t="shared" si="33"/>
        <v>10</v>
      </c>
      <c r="X57" s="16">
        <f t="shared" si="33"/>
        <v>8</v>
      </c>
      <c r="Y57" s="16">
        <f t="shared" si="33"/>
        <v>28</v>
      </c>
      <c r="Z57" s="16">
        <f t="shared" si="33"/>
        <v>24</v>
      </c>
      <c r="AA57" s="16">
        <f t="shared" si="33"/>
        <v>6</v>
      </c>
      <c r="AB57" s="16">
        <f t="shared" si="33"/>
        <v>42</v>
      </c>
      <c r="AC57" s="16">
        <f t="shared" si="33"/>
        <v>4</v>
      </c>
      <c r="AD57" s="16">
        <f t="shared" si="33"/>
        <v>10</v>
      </c>
      <c r="AE57" s="16">
        <f t="shared" si="33"/>
        <v>10</v>
      </c>
      <c r="AF57" s="16">
        <f t="shared" si="33"/>
        <v>16</v>
      </c>
      <c r="AG57" s="16">
        <f t="shared" si="33"/>
        <v>2</v>
      </c>
      <c r="AH57" s="16">
        <f t="shared" si="33"/>
        <v>24</v>
      </c>
      <c r="AI57" s="16">
        <f t="shared" si="33"/>
        <v>12</v>
      </c>
      <c r="AJ57" s="16">
        <f t="shared" si="33"/>
        <v>12</v>
      </c>
      <c r="AK57" s="17">
        <f t="shared" si="1"/>
        <v>266</v>
      </c>
      <c r="AL57" s="10">
        <f t="shared" si="2"/>
        <v>580</v>
      </c>
    </row>
  </sheetData>
  <mergeCells count="38">
    <mergeCell ref="A1:AL1"/>
    <mergeCell ref="C2:T2"/>
    <mergeCell ref="U2:AK2"/>
    <mergeCell ref="AL2:AL5"/>
    <mergeCell ref="D3:E4"/>
    <mergeCell ref="F3:G4"/>
    <mergeCell ref="H3:I4"/>
    <mergeCell ref="J3:K4"/>
    <mergeCell ref="L3:M4"/>
    <mergeCell ref="N3:O4"/>
    <mergeCell ref="AK3:AK5"/>
    <mergeCell ref="AH3:AH4"/>
    <mergeCell ref="AI3:AJ4"/>
    <mergeCell ref="A23:B23"/>
    <mergeCell ref="Z3:AA4"/>
    <mergeCell ref="AB3:AC4"/>
    <mergeCell ref="AD3:AE4"/>
    <mergeCell ref="AF3:AG4"/>
    <mergeCell ref="P3:P4"/>
    <mergeCell ref="Q3:R4"/>
    <mergeCell ref="S3:S5"/>
    <mergeCell ref="T3:T5"/>
    <mergeCell ref="V3:W4"/>
    <mergeCell ref="X3:Y4"/>
    <mergeCell ref="A10:B10"/>
    <mergeCell ref="A14:B14"/>
    <mergeCell ref="A17:B17"/>
    <mergeCell ref="A22:B22"/>
    <mergeCell ref="A52:B52"/>
    <mergeCell ref="A55:B55"/>
    <mergeCell ref="A56:B56"/>
    <mergeCell ref="A57:B57"/>
    <mergeCell ref="A27:B27"/>
    <mergeCell ref="A32:B32"/>
    <mergeCell ref="A36:B36"/>
    <mergeCell ref="A37:B37"/>
    <mergeCell ref="A42:B42"/>
    <mergeCell ref="A47:B47"/>
  </mergeCells>
  <printOptions horizontalCentered="1"/>
  <pageMargins left="0" right="0" top="0" bottom="0" header="0" footer="0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2.0WP - Cen</vt:lpstr>
      <vt:lpstr>2.0WP - State</vt:lpstr>
      <vt:lpstr>2.0WP - DIFF</vt:lpstr>
      <vt:lpstr>'2.0WP - Cen'!Print_Area</vt:lpstr>
      <vt:lpstr>'2.0WP - DIFF'!Print_Area</vt:lpstr>
      <vt:lpstr>'2.0WP - State'!Print_Area</vt:lpstr>
      <vt:lpstr>'2.0WP - Cen'!Print_Titles</vt:lpstr>
      <vt:lpstr>'2.0WP - DIFF'!Print_Titles</vt:lpstr>
      <vt:lpstr>'2.0WP - State'!Print_Titles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2026-06-04T10:15:41Z</dcterms:modified>
</cp:coreProperties>
</file>
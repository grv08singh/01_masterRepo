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SL 2.0\"/>
    </mc:Choice>
  </mc:AlternateContent>
  <xr:revisionPtr revIDLastSave="0" documentId="13_ncr:1_{97775BD6-BABF-464D-BB4B-5BBE70804C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ntral 2.0" sheetId="1" r:id="rId1"/>
    <sheet name="state 2.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2" l="1"/>
  <c r="H19" i="2"/>
  <c r="J19" i="2"/>
  <c r="L19" i="2"/>
  <c r="N19" i="2"/>
  <c r="D19" i="2" l="1"/>
  <c r="P18" i="2"/>
  <c r="P17" i="2"/>
  <c r="P16" i="2"/>
  <c r="P15" i="2"/>
  <c r="P14" i="2"/>
  <c r="P13" i="2"/>
  <c r="P12" i="2"/>
  <c r="P19" i="2" s="1"/>
  <c r="D10" i="2"/>
  <c r="P9" i="2"/>
  <c r="P8" i="2"/>
  <c r="P7" i="2"/>
  <c r="P5" i="2"/>
  <c r="F11" i="1"/>
  <c r="H11" i="1"/>
  <c r="J11" i="1"/>
  <c r="L11" i="1"/>
  <c r="N11" i="1"/>
  <c r="F24" i="1"/>
  <c r="H24" i="1"/>
  <c r="J24" i="1"/>
  <c r="J25" i="1" s="1"/>
  <c r="L24" i="1"/>
  <c r="L25" i="1" s="1"/>
  <c r="N24" i="1"/>
  <c r="N25" i="1" s="1"/>
  <c r="D24" i="1"/>
  <c r="P14" i="1"/>
  <c r="P15" i="1"/>
  <c r="P16" i="1"/>
  <c r="P17" i="1"/>
  <c r="P18" i="1"/>
  <c r="P19" i="1"/>
  <c r="P20" i="1"/>
  <c r="P21" i="1"/>
  <c r="P22" i="1"/>
  <c r="P23" i="1"/>
  <c r="P13" i="1"/>
  <c r="P8" i="1"/>
  <c r="P9" i="1"/>
  <c r="P10" i="1"/>
  <c r="P7" i="1"/>
  <c r="P5" i="1"/>
  <c r="H25" i="1" l="1"/>
  <c r="D20" i="2"/>
  <c r="F25" i="1"/>
  <c r="P24" i="1"/>
  <c r="P11" i="1" l="1"/>
  <c r="P25" i="1" s="1"/>
  <c r="D11" i="1"/>
  <c r="D25" i="1" s="1"/>
  <c r="H10" i="2"/>
  <c r="H20" i="2" s="1"/>
  <c r="J10" i="2"/>
  <c r="J20" i="2" s="1"/>
  <c r="L10" i="2"/>
  <c r="L20" i="2" s="1"/>
  <c r="N10" i="2"/>
  <c r="N20" i="2" s="1"/>
  <c r="F10" i="2"/>
  <c r="P10" i="2" l="1"/>
  <c r="F20" i="2"/>
  <c r="P20" i="2"/>
</calcChain>
</file>

<file path=xl/sharedStrings.xml><?xml version="1.0" encoding="utf-8"?>
<sst xmlns="http://schemas.openxmlformats.org/spreadsheetml/2006/main" count="141" uniqueCount="60">
  <si>
    <t xml:space="preserve">                               GUJARAT                                              STATEMENT NO. 4                                                  CENTRAL                                                                                      </t>
  </si>
  <si>
    <t xml:space="preserve">      Name of crop,   No. of exp.  And Order of selection                                                          Season: Kharif  </t>
  </si>
  <si>
    <t>PART- A</t>
  </si>
  <si>
    <t>Total</t>
  </si>
  <si>
    <t>Castor</t>
  </si>
  <si>
    <t>Tur</t>
  </si>
  <si>
    <t>Cotton (I)</t>
  </si>
  <si>
    <t>Taluka</t>
  </si>
  <si>
    <t>Circle</t>
  </si>
  <si>
    <t>VILLAGE</t>
  </si>
  <si>
    <t>No. of Exp.</t>
  </si>
  <si>
    <t>OS</t>
  </si>
  <si>
    <t>Total Part- A</t>
  </si>
  <si>
    <t>PART- B</t>
  </si>
  <si>
    <t>Total Part-B</t>
  </si>
  <si>
    <t>Total Part- A + B</t>
  </si>
  <si>
    <t xml:space="preserve">                               GUJARAT                                              STATEMENT NO. 4                                                 state                                                                                   </t>
  </si>
  <si>
    <t>Year-2026-27</t>
  </si>
  <si>
    <t>Paddy(UI)</t>
  </si>
  <si>
    <t>MAIZE</t>
  </si>
  <si>
    <t>Balasinor</t>
  </si>
  <si>
    <t>Kunjara</t>
  </si>
  <si>
    <t>Khanpur</t>
  </si>
  <si>
    <t>Tejakui</t>
  </si>
  <si>
    <t>Santrampur</t>
  </si>
  <si>
    <t>Kunda</t>
  </si>
  <si>
    <t>Virpur</t>
  </si>
  <si>
    <t>Javrakhant Na Muvada</t>
  </si>
  <si>
    <t>Alela</t>
  </si>
  <si>
    <t>Baliyadev</t>
  </si>
  <si>
    <t>Bodeli</t>
  </si>
  <si>
    <t>Kothmba</t>
  </si>
  <si>
    <t>Jesola</t>
  </si>
  <si>
    <t>Lunawada</t>
  </si>
  <si>
    <t>Ambli Muvada</t>
  </si>
  <si>
    <t>Bhaiyasar</t>
  </si>
  <si>
    <t>Chavadiya</t>
  </si>
  <si>
    <t>Dokaliyani Muvadi</t>
  </si>
  <si>
    <t>Panam Palla</t>
  </si>
  <si>
    <t>Savdasna Muvada</t>
  </si>
  <si>
    <t>Vanta (Mahetana)</t>
  </si>
  <si>
    <t>Kadana</t>
  </si>
  <si>
    <t>Padhara</t>
  </si>
  <si>
    <t>Taralana Muvada</t>
  </si>
  <si>
    <t>Bhatpur</t>
  </si>
  <si>
    <t>Kolambi</t>
  </si>
  <si>
    <t>Dokelav</t>
  </si>
  <si>
    <t>Hanseliya</t>
  </si>
  <si>
    <t>Nalna Muvada</t>
  </si>
  <si>
    <t>Ambaliyat</t>
  </si>
  <si>
    <t>Endra</t>
  </si>
  <si>
    <t>Bar</t>
  </si>
  <si>
    <t>District: Mahisagar</t>
  </si>
  <si>
    <t>2A</t>
  </si>
  <si>
    <t>1B</t>
  </si>
  <si>
    <t>Varadhari</t>
  </si>
  <si>
    <t>Mota Khanpur</t>
  </si>
  <si>
    <t>Rampur (Sant)</t>
  </si>
  <si>
    <t>Paddy(I)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</si>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</sst>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1" xfId="0" applyFill="1" applyBorder="1"/>
    <xf numFmtId="0" fontId="0" fillId="4" borderId="11" xfId="0" applyFill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zoomScale="70" zoomScaleNormal="70" workbookViewId="0">
      <selection activeCell="B14" sqref="B14:B23"/>
    </sheetView>
  </sheetViews>
  <sheetFormatPr defaultRowHeight="14.4" x14ac:dyDescent="0.3"/>
  <cols>
    <col min="1" max="1" width="12.21875" bestFit="1" customWidth="1"/>
    <col min="2" max="2" width="14.6640625" bestFit="1" customWidth="1"/>
    <col min="3" max="3" width="18.109375" bestFit="1" customWidth="1"/>
    <col min="6" max="6" width="9.6640625" customWidth="1"/>
  </cols>
  <sheetData>
    <row r="1" spans="1:16" ht="18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15.6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ht="15.6" x14ac:dyDescent="0.3">
      <c r="A4" s="17" t="s">
        <v>52</v>
      </c>
      <c r="B4" s="18"/>
      <c r="C4" s="21" t="s">
        <v>17</v>
      </c>
      <c r="D4" s="23">
        <v>10</v>
      </c>
      <c r="E4" s="23"/>
      <c r="F4" s="23">
        <v>10</v>
      </c>
      <c r="G4" s="23"/>
      <c r="H4" s="23">
        <v>6</v>
      </c>
      <c r="I4" s="23"/>
      <c r="J4" s="23">
        <v>4</v>
      </c>
      <c r="K4" s="23"/>
      <c r="L4" s="23">
        <v>4</v>
      </c>
      <c r="M4" s="23"/>
      <c r="N4" s="23">
        <v>4</v>
      </c>
      <c r="O4" s="23"/>
      <c r="P4" s="1" t="s">
        <v>3</v>
      </c>
    </row>
    <row r="5" spans="1:16" ht="15.6" x14ac:dyDescent="0.3">
      <c r="A5" s="19"/>
      <c r="B5" s="20"/>
      <c r="C5" s="22"/>
      <c r="D5" s="29" t="s">
        <v>19</v>
      </c>
      <c r="E5" s="29"/>
      <c r="F5" s="29" t="s">
        <v>58</v>
      </c>
      <c r="G5" s="29"/>
      <c r="H5" s="4" t="s">
        <v>18</v>
      </c>
      <c r="I5" s="4"/>
      <c r="J5" s="24" t="s">
        <v>4</v>
      </c>
      <c r="K5" s="25"/>
      <c r="L5" s="24" t="s">
        <v>5</v>
      </c>
      <c r="M5" s="25"/>
      <c r="N5" s="24" t="s">
        <v>6</v>
      </c>
      <c r="O5" s="25"/>
      <c r="P5" s="1">
        <f>SUM(D4:O4)</f>
        <v>38</v>
      </c>
    </row>
    <row r="6" spans="1:16" ht="31.2" x14ac:dyDescent="0.3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16" ht="18" x14ac:dyDescent="0.3">
      <c r="A7" s="8" t="s">
        <v>20</v>
      </c>
      <c r="B7" s="8" t="s">
        <v>20</v>
      </c>
      <c r="C7" s="8" t="s">
        <v>21</v>
      </c>
      <c r="D7" s="8">
        <v>2</v>
      </c>
      <c r="E7" s="7">
        <v>1</v>
      </c>
      <c r="F7" s="8">
        <v>2</v>
      </c>
      <c r="G7" s="7">
        <v>1</v>
      </c>
      <c r="H7" s="8"/>
      <c r="I7" s="8"/>
      <c r="J7" s="8">
        <v>2</v>
      </c>
      <c r="K7" s="7">
        <v>1</v>
      </c>
      <c r="L7" s="8"/>
      <c r="M7" s="8"/>
      <c r="N7" s="8">
        <v>2</v>
      </c>
      <c r="O7" s="7" t="s">
        <v>54</v>
      </c>
      <c r="P7" s="3">
        <f>+D7+F7+H7+J7+L7+N7</f>
        <v>8</v>
      </c>
    </row>
    <row r="8" spans="1:16" ht="18" x14ac:dyDescent="0.3">
      <c r="A8" s="8" t="s">
        <v>22</v>
      </c>
      <c r="B8" s="13" t="s">
        <v>56</v>
      </c>
      <c r="C8" s="8" t="s">
        <v>23</v>
      </c>
      <c r="D8" s="8">
        <v>2</v>
      </c>
      <c r="E8" s="7">
        <v>2</v>
      </c>
      <c r="F8" s="8"/>
      <c r="G8" s="7"/>
      <c r="H8" s="8"/>
      <c r="I8" s="8"/>
      <c r="J8" s="8"/>
      <c r="K8" s="8"/>
      <c r="L8" s="8"/>
      <c r="M8" s="8"/>
      <c r="N8" s="8"/>
      <c r="O8" s="8"/>
      <c r="P8" s="3">
        <f t="shared" ref="P8:P10" si="0">+D8+F8+H8+J8+L8+N8</f>
        <v>2</v>
      </c>
    </row>
    <row r="9" spans="1:16" ht="18" x14ac:dyDescent="0.3">
      <c r="A9" s="8" t="s">
        <v>24</v>
      </c>
      <c r="B9" s="14" t="s">
        <v>57</v>
      </c>
      <c r="C9" s="8" t="s">
        <v>25</v>
      </c>
      <c r="D9" s="8"/>
      <c r="E9" s="7"/>
      <c r="F9" s="8"/>
      <c r="G9" s="7"/>
      <c r="H9" s="8">
        <v>2</v>
      </c>
      <c r="I9" s="7">
        <v>1</v>
      </c>
      <c r="J9" s="8"/>
      <c r="K9" s="8"/>
      <c r="L9" s="8"/>
      <c r="M9" s="8"/>
      <c r="N9" s="8"/>
      <c r="O9" s="8"/>
      <c r="P9" s="3">
        <f t="shared" si="0"/>
        <v>2</v>
      </c>
    </row>
    <row r="10" spans="1:16" ht="28.8" x14ac:dyDescent="0.3">
      <c r="A10" s="8" t="s">
        <v>26</v>
      </c>
      <c r="B10" s="3" t="s">
        <v>26</v>
      </c>
      <c r="C10" s="11" t="s">
        <v>27</v>
      </c>
      <c r="D10" s="8">
        <v>2</v>
      </c>
      <c r="E10" s="7">
        <v>3</v>
      </c>
      <c r="F10" s="8">
        <v>2</v>
      </c>
      <c r="G10" s="7">
        <v>2</v>
      </c>
      <c r="H10" s="8"/>
      <c r="I10" s="8"/>
      <c r="J10" s="8"/>
      <c r="K10" s="8"/>
      <c r="L10" s="8"/>
      <c r="M10" s="8"/>
      <c r="N10" s="8"/>
      <c r="O10" s="8"/>
      <c r="P10" s="3">
        <f t="shared" si="0"/>
        <v>4</v>
      </c>
    </row>
    <row r="11" spans="1:16" ht="15.6" x14ac:dyDescent="0.3">
      <c r="A11" s="23" t="s">
        <v>12</v>
      </c>
      <c r="B11" s="23"/>
      <c r="C11" s="23"/>
      <c r="D11" s="4">
        <f>SUM(D7:D10)</f>
        <v>6</v>
      </c>
      <c r="E11" s="4"/>
      <c r="F11" s="4">
        <f t="shared" ref="F11" si="1">SUM(F7:F10)</f>
        <v>4</v>
      </c>
      <c r="G11" s="4"/>
      <c r="H11" s="4">
        <f t="shared" ref="H11" si="2">SUM(H7:H10)</f>
        <v>2</v>
      </c>
      <c r="I11" s="4"/>
      <c r="J11" s="4">
        <f t="shared" ref="J11" si="3">SUM(J7:J10)</f>
        <v>2</v>
      </c>
      <c r="K11" s="4"/>
      <c r="L11" s="4">
        <f t="shared" ref="L11" si="4">SUM(L7:L10)</f>
        <v>0</v>
      </c>
      <c r="M11" s="4"/>
      <c r="N11" s="4">
        <f t="shared" ref="N11" si="5">SUM(N7:N10)</f>
        <v>2</v>
      </c>
      <c r="O11" s="4"/>
      <c r="P11" s="4">
        <f>SUM(P7:P10)</f>
        <v>16</v>
      </c>
    </row>
    <row r="12" spans="1:16" ht="15.6" x14ac:dyDescent="0.3">
      <c r="A12" s="16" t="s">
        <v>13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 ht="15.6" x14ac:dyDescent="0.3">
      <c r="A13" s="3" t="s">
        <v>20</v>
      </c>
      <c r="B13" s="3" t="s">
        <v>59</v>
      </c>
      <c r="C13" s="3" t="s">
        <v>28</v>
      </c>
      <c r="D13" s="3"/>
      <c r="E13" s="3"/>
      <c r="F13" s="3"/>
      <c r="G13" s="3"/>
      <c r="H13" s="3"/>
      <c r="I13" s="3"/>
      <c r="J13" s="3">
        <v>2</v>
      </c>
      <c r="K13" s="1">
        <v>2</v>
      </c>
      <c r="L13" s="3"/>
      <c r="M13" s="3"/>
      <c r="N13" s="3"/>
      <c r="O13" s="3"/>
      <c r="P13" s="3">
        <f t="shared" ref="P13:P23" si="6">+D13+F13+H13+J13+L13+N13</f>
        <v>2</v>
      </c>
    </row>
    <row r="14" spans="1:16" ht="15.6" x14ac:dyDescent="0.3">
      <c r="A14" s="3" t="s">
        <v>20</v>
      </c>
      <c r="B14" s="3" t="s">
        <v>59</v>
      </c>
      <c r="C14" s="3" t="s">
        <v>29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v>2</v>
      </c>
      <c r="O14" s="1" t="s">
        <v>53</v>
      </c>
      <c r="P14" s="3">
        <f t="shared" si="6"/>
        <v>2</v>
      </c>
    </row>
    <row r="15" spans="1:16" ht="15.6" x14ac:dyDescent="0.3">
      <c r="A15" s="3" t="s">
        <v>20</v>
      </c>
      <c r="B15" s="3" t="s">
        <v>59</v>
      </c>
      <c r="C15" s="3" t="s">
        <v>30</v>
      </c>
      <c r="D15" s="3"/>
      <c r="E15" s="3"/>
      <c r="F15" s="3">
        <v>2</v>
      </c>
      <c r="G15" s="1">
        <v>3</v>
      </c>
      <c r="H15" s="3"/>
      <c r="I15" s="3"/>
      <c r="J15" s="3"/>
      <c r="K15" s="3"/>
      <c r="L15" s="3"/>
      <c r="M15" s="3"/>
      <c r="N15" s="3"/>
      <c r="O15" s="3"/>
      <c r="P15" s="3">
        <f t="shared" si="6"/>
        <v>2</v>
      </c>
    </row>
    <row r="16" spans="1:16" ht="15.6" x14ac:dyDescent="0.3">
      <c r="A16" s="3" t="s">
        <v>31</v>
      </c>
      <c r="B16" s="3" t="s">
        <v>59</v>
      </c>
      <c r="C16" s="3" t="s">
        <v>32</v>
      </c>
      <c r="D16" s="3"/>
      <c r="E16" s="3"/>
      <c r="F16" s="3">
        <v>2</v>
      </c>
      <c r="G16" s="1">
        <v>4</v>
      </c>
      <c r="H16" s="3"/>
      <c r="I16" s="3"/>
      <c r="J16" s="3"/>
      <c r="K16" s="3"/>
      <c r="L16" s="3"/>
      <c r="M16" s="3"/>
      <c r="N16" s="3"/>
      <c r="O16" s="3"/>
      <c r="P16" s="3">
        <f t="shared" si="6"/>
        <v>2</v>
      </c>
    </row>
    <row r="17" spans="1:16" ht="15.6" x14ac:dyDescent="0.3">
      <c r="A17" s="3" t="s">
        <v>33</v>
      </c>
      <c r="B17" s="3" t="s">
        <v>59</v>
      </c>
      <c r="C17" s="3" t="s">
        <v>34</v>
      </c>
      <c r="D17" s="3">
        <v>2</v>
      </c>
      <c r="E17" s="1">
        <v>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6"/>
        <v>2</v>
      </c>
    </row>
    <row r="18" spans="1:16" ht="15.6" x14ac:dyDescent="0.3">
      <c r="A18" s="3" t="s">
        <v>33</v>
      </c>
      <c r="B18" s="3" t="s">
        <v>59</v>
      </c>
      <c r="C18" s="3" t="s">
        <v>35</v>
      </c>
      <c r="D18" s="3"/>
      <c r="E18" s="3"/>
      <c r="F18" s="3"/>
      <c r="G18" s="3"/>
      <c r="H18" s="3"/>
      <c r="I18" s="3"/>
      <c r="J18" s="3"/>
      <c r="K18" s="3"/>
      <c r="L18" s="3">
        <v>2</v>
      </c>
      <c r="M18" s="1">
        <v>1</v>
      </c>
      <c r="N18" s="3"/>
      <c r="O18" s="3"/>
      <c r="P18" s="3">
        <f t="shared" si="6"/>
        <v>2</v>
      </c>
    </row>
    <row r="19" spans="1:16" ht="15.6" x14ac:dyDescent="0.3">
      <c r="A19" s="3" t="s">
        <v>33</v>
      </c>
      <c r="B19" s="3" t="s">
        <v>59</v>
      </c>
      <c r="C19" s="3" t="s">
        <v>36</v>
      </c>
      <c r="D19" s="3"/>
      <c r="E19" s="3"/>
      <c r="F19" s="3">
        <v>2</v>
      </c>
      <c r="G19" s="1">
        <v>5</v>
      </c>
      <c r="H19" s="3"/>
      <c r="I19" s="3"/>
      <c r="J19" s="3"/>
      <c r="K19" s="3"/>
      <c r="L19" s="3"/>
      <c r="M19" s="3"/>
      <c r="N19" s="3"/>
      <c r="O19" s="3"/>
      <c r="P19" s="3">
        <f t="shared" si="6"/>
        <v>2</v>
      </c>
    </row>
    <row r="20" spans="1:16" ht="28.8" x14ac:dyDescent="0.3">
      <c r="A20" s="3" t="s">
        <v>33</v>
      </c>
      <c r="B20" s="3" t="s">
        <v>59</v>
      </c>
      <c r="C20" s="12" t="s">
        <v>37</v>
      </c>
      <c r="D20" s="3">
        <v>2</v>
      </c>
      <c r="E20" s="1">
        <v>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6"/>
        <v>2</v>
      </c>
    </row>
    <row r="21" spans="1:16" ht="15.6" x14ac:dyDescent="0.3">
      <c r="A21" s="3" t="s">
        <v>33</v>
      </c>
      <c r="B21" s="3" t="s">
        <v>59</v>
      </c>
      <c r="C21" s="3" t="s">
        <v>38</v>
      </c>
      <c r="D21" s="3"/>
      <c r="E21" s="3"/>
      <c r="F21" s="3"/>
      <c r="G21" s="3"/>
      <c r="H21" s="3"/>
      <c r="I21" s="3"/>
      <c r="J21" s="3"/>
      <c r="K21" s="3"/>
      <c r="L21" s="3">
        <v>2</v>
      </c>
      <c r="M21" s="1">
        <v>2</v>
      </c>
      <c r="N21" s="3"/>
      <c r="O21" s="3"/>
      <c r="P21" s="3">
        <f t="shared" si="6"/>
        <v>2</v>
      </c>
    </row>
    <row r="22" spans="1:16" ht="15.6" x14ac:dyDescent="0.3">
      <c r="A22" s="3" t="s">
        <v>33</v>
      </c>
      <c r="B22" s="3" t="s">
        <v>59</v>
      </c>
      <c r="C22" s="12" t="s">
        <v>39</v>
      </c>
      <c r="D22" s="3"/>
      <c r="E22" s="3"/>
      <c r="F22" s="3"/>
      <c r="G22" s="3"/>
      <c r="H22" s="3">
        <v>2</v>
      </c>
      <c r="I22" s="1">
        <v>3</v>
      </c>
      <c r="J22" s="3"/>
      <c r="K22" s="3"/>
      <c r="L22" s="3"/>
      <c r="M22" s="3"/>
      <c r="N22" s="3"/>
      <c r="O22" s="3"/>
      <c r="P22" s="3">
        <f t="shared" si="6"/>
        <v>2</v>
      </c>
    </row>
    <row r="23" spans="1:16" ht="15.6" x14ac:dyDescent="0.3">
      <c r="A23" s="3" t="s">
        <v>24</v>
      </c>
      <c r="B23" s="3" t="s">
        <v>59</v>
      </c>
      <c r="C23" s="12" t="s">
        <v>40</v>
      </c>
      <c r="D23" s="3"/>
      <c r="E23" s="3"/>
      <c r="F23" s="3"/>
      <c r="G23" s="3"/>
      <c r="H23" s="3">
        <v>2</v>
      </c>
      <c r="I23" s="1">
        <v>2</v>
      </c>
      <c r="J23" s="3"/>
      <c r="K23" s="3"/>
      <c r="L23" s="3"/>
      <c r="M23" s="3"/>
      <c r="N23" s="3"/>
      <c r="O23" s="3"/>
      <c r="P23" s="3">
        <f t="shared" si="6"/>
        <v>2</v>
      </c>
    </row>
    <row r="24" spans="1:16" ht="15.6" x14ac:dyDescent="0.3">
      <c r="A24" s="26" t="s">
        <v>14</v>
      </c>
      <c r="B24" s="27"/>
      <c r="C24" s="28"/>
      <c r="D24" s="4">
        <f>SUM(D13:D23)</f>
        <v>4</v>
      </c>
      <c r="E24" s="4"/>
      <c r="F24" s="4">
        <f t="shared" ref="F24" si="7">SUM(F13:F23)</f>
        <v>6</v>
      </c>
      <c r="G24" s="4"/>
      <c r="H24" s="4">
        <f t="shared" ref="H24" si="8">SUM(H13:H23)</f>
        <v>4</v>
      </c>
      <c r="I24" s="4"/>
      <c r="J24" s="4">
        <f t="shared" ref="J24" si="9">SUM(J13:J23)</f>
        <v>2</v>
      </c>
      <c r="K24" s="4"/>
      <c r="L24" s="4">
        <f t="shared" ref="L24" si="10">SUM(L13:L23)</f>
        <v>4</v>
      </c>
      <c r="M24" s="4"/>
      <c r="N24" s="4">
        <f t="shared" ref="N24" si="11">SUM(N13:N23)</f>
        <v>2</v>
      </c>
      <c r="O24" s="4"/>
      <c r="P24" s="4">
        <f t="shared" ref="P24" si="12">SUM(P13:P23)</f>
        <v>22</v>
      </c>
    </row>
    <row r="25" spans="1:16" ht="15.6" x14ac:dyDescent="0.3">
      <c r="A25" s="26" t="s">
        <v>15</v>
      </c>
      <c r="B25" s="27"/>
      <c r="C25" s="28"/>
      <c r="D25" s="4">
        <f>+D11+D24</f>
        <v>10</v>
      </c>
      <c r="E25" s="4"/>
      <c r="F25" s="4">
        <f t="shared" ref="F25" si="13">+F11+F24</f>
        <v>10</v>
      </c>
      <c r="G25" s="4"/>
      <c r="H25" s="4">
        <f t="shared" ref="H25" si="14">+H11+H24</f>
        <v>6</v>
      </c>
      <c r="I25" s="4"/>
      <c r="J25" s="4">
        <f t="shared" ref="J25" si="15">+J11+J24</f>
        <v>4</v>
      </c>
      <c r="K25" s="4"/>
      <c r="L25" s="4">
        <f t="shared" ref="L25" si="16">+L11+L24</f>
        <v>4</v>
      </c>
      <c r="M25" s="4"/>
      <c r="N25" s="4">
        <f t="shared" ref="N25" si="17">+N11+N24</f>
        <v>4</v>
      </c>
      <c r="O25" s="4"/>
      <c r="P25" s="4">
        <f t="shared" ref="P25" si="18">+P11+P24</f>
        <v>38</v>
      </c>
    </row>
  </sheetData>
  <mergeCells count="20">
    <mergeCell ref="A24:C24"/>
    <mergeCell ref="A25:C25"/>
    <mergeCell ref="A11:C11"/>
    <mergeCell ref="A12:P12"/>
    <mergeCell ref="D5:E5"/>
    <mergeCell ref="F5:G5"/>
    <mergeCell ref="A1:P1"/>
    <mergeCell ref="A2:P2"/>
    <mergeCell ref="A3:P3"/>
    <mergeCell ref="A4:B5"/>
    <mergeCell ref="C4:C5"/>
    <mergeCell ref="D4:E4"/>
    <mergeCell ref="H4:I4"/>
    <mergeCell ref="J4:K4"/>
    <mergeCell ref="L4:M4"/>
    <mergeCell ref="N4:O4"/>
    <mergeCell ref="F4:G4"/>
    <mergeCell ref="N5:O5"/>
    <mergeCell ref="J5:K5"/>
    <mergeCell ref="L5:M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"/>
  <sheetViews>
    <sheetView tabSelected="1" zoomScale="70" zoomScaleNormal="70" workbookViewId="0">
      <selection activeCell="E25" sqref="E25"/>
    </sheetView>
  </sheetViews>
  <sheetFormatPr defaultRowHeight="14.4" x14ac:dyDescent="0.3"/>
  <cols>
    <col min="1" max="1" width="11.33203125" bestFit="1" customWidth="1"/>
    <col min="2" max="2" width="9.5546875" bestFit="1" customWidth="1"/>
    <col min="3" max="3" width="16" bestFit="1" customWidth="1"/>
  </cols>
  <sheetData>
    <row r="1" spans="1:35" ht="18" x14ac:dyDescent="0.3">
      <c r="A1" s="15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35" ht="18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35" ht="15.6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35" ht="15.6" x14ac:dyDescent="0.3">
      <c r="A4" s="17" t="s">
        <v>52</v>
      </c>
      <c r="B4" s="18"/>
      <c r="C4" s="21" t="s">
        <v>17</v>
      </c>
      <c r="D4" s="9">
        <v>4</v>
      </c>
      <c r="E4" s="10"/>
      <c r="F4" s="23">
        <v>6</v>
      </c>
      <c r="G4" s="23"/>
      <c r="H4" s="30">
        <v>4</v>
      </c>
      <c r="I4" s="31"/>
      <c r="J4" s="30">
        <v>4</v>
      </c>
      <c r="K4" s="31"/>
      <c r="L4" s="30">
        <v>4</v>
      </c>
      <c r="M4" s="31"/>
      <c r="N4" s="30">
        <v>4</v>
      </c>
      <c r="O4" s="31"/>
      <c r="P4" s="1" t="s">
        <v>3</v>
      </c>
    </row>
    <row r="5" spans="1:35" ht="31.2" x14ac:dyDescent="0.3">
      <c r="A5" s="19"/>
      <c r="B5" s="20"/>
      <c r="C5" s="22"/>
      <c r="D5" s="29" t="s">
        <v>19</v>
      </c>
      <c r="E5" s="29"/>
      <c r="F5" s="24" t="s">
        <v>58</v>
      </c>
      <c r="G5" s="25"/>
      <c r="H5" s="4" t="s">
        <v>18</v>
      </c>
      <c r="I5" s="4"/>
      <c r="J5" s="6" t="s">
        <v>4</v>
      </c>
      <c r="K5" s="6"/>
      <c r="L5" s="6" t="s">
        <v>5</v>
      </c>
      <c r="M5" s="6"/>
      <c r="N5" s="6" t="s">
        <v>6</v>
      </c>
      <c r="O5" s="6"/>
      <c r="P5" s="1">
        <f>SUM(D4:O4)</f>
        <v>26</v>
      </c>
    </row>
    <row r="6" spans="1:35" ht="31.2" x14ac:dyDescent="0.3">
      <c r="A6" s="1" t="s">
        <v>7</v>
      </c>
      <c r="B6" s="1" t="s">
        <v>8</v>
      </c>
      <c r="C6" s="1" t="s">
        <v>9</v>
      </c>
      <c r="D6" s="2" t="s">
        <v>10</v>
      </c>
      <c r="E6" s="2" t="s">
        <v>11</v>
      </c>
      <c r="F6" s="2" t="s">
        <v>10</v>
      </c>
      <c r="G6" s="2" t="s">
        <v>11</v>
      </c>
      <c r="H6" s="2" t="s">
        <v>10</v>
      </c>
      <c r="I6" s="2" t="s">
        <v>11</v>
      </c>
      <c r="J6" s="2" t="s">
        <v>10</v>
      </c>
      <c r="K6" s="2" t="s">
        <v>11</v>
      </c>
      <c r="L6" s="2" t="s">
        <v>10</v>
      </c>
      <c r="M6" s="2" t="s">
        <v>11</v>
      </c>
      <c r="N6" s="2" t="s">
        <v>10</v>
      </c>
      <c r="O6" s="2" t="s">
        <v>11</v>
      </c>
      <c r="P6" s="3"/>
    </row>
    <row r="7" spans="1:35" ht="18" x14ac:dyDescent="0.3">
      <c r="A7" s="8" t="s">
        <v>41</v>
      </c>
      <c r="B7" s="8" t="s">
        <v>41</v>
      </c>
      <c r="C7" s="8" t="s">
        <v>42</v>
      </c>
      <c r="D7" s="8">
        <v>2</v>
      </c>
      <c r="E7" s="7">
        <v>1</v>
      </c>
      <c r="F7" s="8"/>
      <c r="G7" s="8"/>
      <c r="H7" s="8"/>
      <c r="I7" s="8"/>
      <c r="J7" s="8"/>
      <c r="K7" s="8"/>
      <c r="L7" s="8"/>
      <c r="M7" s="8"/>
      <c r="N7" s="8"/>
      <c r="O7" s="8"/>
      <c r="P7" s="3">
        <f>+D7+F7+H7+J7+L7+N7</f>
        <v>2</v>
      </c>
      <c r="AI7" s="8">
        <v>1</v>
      </c>
    </row>
    <row r="8" spans="1:35" ht="18" x14ac:dyDescent="0.3">
      <c r="A8" s="8" t="s">
        <v>33</v>
      </c>
      <c r="B8" s="13" t="s">
        <v>55</v>
      </c>
      <c r="C8" s="8" t="s">
        <v>43</v>
      </c>
      <c r="D8" s="8"/>
      <c r="E8" s="8"/>
      <c r="F8" s="8"/>
      <c r="G8" s="8"/>
      <c r="H8" s="8">
        <v>2</v>
      </c>
      <c r="I8" s="7">
        <v>1</v>
      </c>
      <c r="J8" s="8"/>
      <c r="K8" s="8"/>
      <c r="L8" s="8"/>
      <c r="M8" s="8"/>
      <c r="N8" s="8"/>
      <c r="O8" s="8"/>
      <c r="P8" s="3">
        <f>+D8+F8+H8+J8+L8+N8</f>
        <v>2</v>
      </c>
      <c r="AI8" s="8">
        <v>1</v>
      </c>
    </row>
    <row r="9" spans="1:35" ht="18" x14ac:dyDescent="0.3">
      <c r="A9" s="8" t="s">
        <v>26</v>
      </c>
      <c r="B9" s="8" t="s">
        <v>26</v>
      </c>
      <c r="C9" s="8" t="s">
        <v>44</v>
      </c>
      <c r="D9" s="8">
        <v>2</v>
      </c>
      <c r="E9" s="7">
        <v>2</v>
      </c>
      <c r="F9" s="8">
        <v>2</v>
      </c>
      <c r="G9" s="7">
        <v>1</v>
      </c>
      <c r="H9" s="8"/>
      <c r="I9" s="8"/>
      <c r="J9" s="8">
        <v>2</v>
      </c>
      <c r="K9" s="7">
        <v>1</v>
      </c>
      <c r="L9" s="8"/>
      <c r="M9" s="8"/>
      <c r="N9" s="8">
        <v>2</v>
      </c>
      <c r="O9" s="7" t="s">
        <v>54</v>
      </c>
      <c r="P9" s="3">
        <f>+D9+F9+H9+J9+L9+N9</f>
        <v>8</v>
      </c>
      <c r="AI9" s="8">
        <v>4</v>
      </c>
    </row>
    <row r="10" spans="1:35" ht="15.6" x14ac:dyDescent="0.3">
      <c r="A10" s="23" t="s">
        <v>12</v>
      </c>
      <c r="B10" s="23"/>
      <c r="C10" s="23"/>
      <c r="D10" s="4">
        <f>SUM(D7:D9)</f>
        <v>4</v>
      </c>
      <c r="E10" s="4"/>
      <c r="F10" s="4">
        <f>SUM(F7:F9)</f>
        <v>2</v>
      </c>
      <c r="G10" s="4"/>
      <c r="H10" s="4">
        <f>SUM(H7:H9)</f>
        <v>2</v>
      </c>
      <c r="I10" s="4"/>
      <c r="J10" s="4">
        <f>SUM(J7:J9)</f>
        <v>2</v>
      </c>
      <c r="K10" s="4"/>
      <c r="L10" s="4">
        <f>SUM(L7:L9)</f>
        <v>0</v>
      </c>
      <c r="M10" s="4"/>
      <c r="N10" s="4">
        <f>SUM(N7:N9)</f>
        <v>2</v>
      </c>
      <c r="O10" s="4"/>
      <c r="P10" s="3">
        <f>+D10+F10+H10+J10+L10+N10</f>
        <v>12</v>
      </c>
    </row>
    <row r="11" spans="1:35" ht="15.6" x14ac:dyDescent="0.3">
      <c r="A11" s="16" t="s">
        <v>13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35" ht="15.6" x14ac:dyDescent="0.3">
      <c r="A12" s="3" t="s">
        <v>22</v>
      </c>
      <c r="B12" s="3" t="s">
        <v>59</v>
      </c>
      <c r="C12" s="3" t="s">
        <v>45</v>
      </c>
      <c r="D12" s="3"/>
      <c r="E12" s="3"/>
      <c r="F12" s="3">
        <v>2</v>
      </c>
      <c r="G12" s="1">
        <v>2</v>
      </c>
      <c r="H12" s="3"/>
      <c r="I12" s="3"/>
      <c r="J12" s="3"/>
      <c r="K12" s="3"/>
      <c r="L12" s="3"/>
      <c r="M12" s="3"/>
      <c r="N12" s="3"/>
      <c r="O12" s="3"/>
      <c r="P12" s="3">
        <f t="shared" ref="P12:P18" si="0">+D12+F12+H12+J12+L12+N12</f>
        <v>2</v>
      </c>
    </row>
    <row r="13" spans="1:35" ht="15.6" x14ac:dyDescent="0.3">
      <c r="A13" s="3" t="s">
        <v>33</v>
      </c>
      <c r="B13" s="3" t="s">
        <v>59</v>
      </c>
      <c r="C13" s="3" t="s">
        <v>46</v>
      </c>
      <c r="D13" s="3"/>
      <c r="E13" s="3"/>
      <c r="F13" s="3"/>
      <c r="G13" s="3"/>
      <c r="H13" s="3"/>
      <c r="I13" s="3"/>
      <c r="J13" s="3"/>
      <c r="K13" s="3"/>
      <c r="L13" s="3">
        <v>2</v>
      </c>
      <c r="M13" s="1">
        <v>2</v>
      </c>
      <c r="N13" s="3"/>
      <c r="O13" s="3"/>
      <c r="P13" s="3">
        <f t="shared" si="0"/>
        <v>2</v>
      </c>
    </row>
    <row r="14" spans="1:35" ht="15.6" x14ac:dyDescent="0.3">
      <c r="A14" s="3" t="s">
        <v>33</v>
      </c>
      <c r="B14" s="3" t="s">
        <v>59</v>
      </c>
      <c r="C14" s="3" t="s">
        <v>47</v>
      </c>
      <c r="D14" s="3"/>
      <c r="E14" s="3"/>
      <c r="F14" s="3"/>
      <c r="G14" s="3"/>
      <c r="H14" s="3"/>
      <c r="I14" s="3"/>
      <c r="J14" s="3">
        <v>2</v>
      </c>
      <c r="K14" s="1">
        <v>2</v>
      </c>
      <c r="L14" s="3"/>
      <c r="M14" s="3"/>
      <c r="N14" s="3"/>
      <c r="O14" s="3"/>
      <c r="P14" s="3">
        <f t="shared" si="0"/>
        <v>2</v>
      </c>
    </row>
    <row r="15" spans="1:35" ht="15.6" x14ac:dyDescent="0.3">
      <c r="A15" s="3" t="s">
        <v>33</v>
      </c>
      <c r="B15" s="3" t="s">
        <v>59</v>
      </c>
      <c r="C15" s="3" t="s">
        <v>48</v>
      </c>
      <c r="D15" s="3"/>
      <c r="E15" s="3"/>
      <c r="F15" s="3"/>
      <c r="G15" s="3"/>
      <c r="H15" s="3"/>
      <c r="I15" s="3"/>
      <c r="J15" s="3"/>
      <c r="K15" s="3"/>
      <c r="L15" s="3">
        <v>2</v>
      </c>
      <c r="M15" s="1">
        <v>1</v>
      </c>
      <c r="N15" s="3"/>
      <c r="O15" s="3"/>
      <c r="P15" s="3">
        <f t="shared" si="0"/>
        <v>2</v>
      </c>
    </row>
    <row r="16" spans="1:35" ht="15.6" x14ac:dyDescent="0.3">
      <c r="A16" s="3" t="s">
        <v>24</v>
      </c>
      <c r="B16" s="3" t="s">
        <v>59</v>
      </c>
      <c r="C16" s="3" t="s">
        <v>49</v>
      </c>
      <c r="D16" s="3"/>
      <c r="E16" s="3"/>
      <c r="F16" s="3">
        <v>2</v>
      </c>
      <c r="G16" s="1">
        <v>3</v>
      </c>
      <c r="H16" s="3"/>
      <c r="I16" s="3"/>
      <c r="J16" s="3"/>
      <c r="K16" s="3"/>
      <c r="L16" s="3"/>
      <c r="M16" s="3"/>
      <c r="N16" s="3"/>
      <c r="O16" s="3"/>
      <c r="P16" s="3">
        <f t="shared" si="0"/>
        <v>2</v>
      </c>
    </row>
    <row r="17" spans="1:16" ht="15.6" x14ac:dyDescent="0.3">
      <c r="A17" s="3" t="s">
        <v>24</v>
      </c>
      <c r="B17" s="3" t="s">
        <v>59</v>
      </c>
      <c r="C17" s="3" t="s">
        <v>50</v>
      </c>
      <c r="D17" s="3"/>
      <c r="E17" s="3"/>
      <c r="F17" s="3"/>
      <c r="G17" s="3"/>
      <c r="H17" s="3">
        <v>2</v>
      </c>
      <c r="I17" s="1">
        <v>2</v>
      </c>
      <c r="J17" s="3"/>
      <c r="K17" s="3"/>
      <c r="L17" s="3"/>
      <c r="M17" s="3"/>
      <c r="N17" s="3"/>
      <c r="O17" s="3"/>
      <c r="P17" s="3">
        <f t="shared" si="0"/>
        <v>2</v>
      </c>
    </row>
    <row r="18" spans="1:16" ht="15.6" x14ac:dyDescent="0.3">
      <c r="A18" s="3" t="s">
        <v>26</v>
      </c>
      <c r="B18" s="3" t="s">
        <v>59</v>
      </c>
      <c r="C18" s="3" t="s">
        <v>51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2</v>
      </c>
      <c r="O18" s="1" t="s">
        <v>53</v>
      </c>
      <c r="P18" s="3">
        <f t="shared" si="0"/>
        <v>2</v>
      </c>
    </row>
    <row r="19" spans="1:16" ht="15.6" x14ac:dyDescent="0.3">
      <c r="A19" s="26" t="s">
        <v>14</v>
      </c>
      <c r="B19" s="27"/>
      <c r="C19" s="28"/>
      <c r="D19" s="4">
        <f>SUM(D12:D18)</f>
        <v>0</v>
      </c>
      <c r="E19" s="4"/>
      <c r="F19" s="4">
        <f t="shared" ref="F19" si="1">SUM(F12:F18)</f>
        <v>4</v>
      </c>
      <c r="G19" s="4"/>
      <c r="H19" s="4">
        <f t="shared" ref="H19" si="2">SUM(H12:H18)</f>
        <v>2</v>
      </c>
      <c r="I19" s="4"/>
      <c r="J19" s="4">
        <f t="shared" ref="J19" si="3">SUM(J12:J18)</f>
        <v>2</v>
      </c>
      <c r="K19" s="4"/>
      <c r="L19" s="4">
        <f t="shared" ref="L19" si="4">SUM(L12:L18)</f>
        <v>4</v>
      </c>
      <c r="M19" s="4"/>
      <c r="N19" s="4">
        <f t="shared" ref="N19" si="5">SUM(N12:N18)</f>
        <v>2</v>
      </c>
      <c r="O19" s="4"/>
      <c r="P19" s="4">
        <f t="shared" ref="P19" si="6">SUM(P12:P18)</f>
        <v>14</v>
      </c>
    </row>
    <row r="20" spans="1:16" ht="15.6" x14ac:dyDescent="0.3">
      <c r="A20" s="26" t="s">
        <v>15</v>
      </c>
      <c r="B20" s="27"/>
      <c r="C20" s="28"/>
      <c r="D20" s="4">
        <f>+D10+D19</f>
        <v>4</v>
      </c>
      <c r="E20" s="5"/>
      <c r="F20" s="4">
        <f>+F10+F19</f>
        <v>6</v>
      </c>
      <c r="G20" s="4"/>
      <c r="H20" s="4">
        <f>+H10+H19</f>
        <v>4</v>
      </c>
      <c r="I20" s="4"/>
      <c r="J20" s="4">
        <f>+J10+J19</f>
        <v>4</v>
      </c>
      <c r="K20" s="4"/>
      <c r="L20" s="4">
        <f>+L10+L19</f>
        <v>4</v>
      </c>
      <c r="M20" s="4"/>
      <c r="N20" s="4">
        <f>+N10+N19</f>
        <v>4</v>
      </c>
      <c r="O20" s="4"/>
      <c r="P20" s="4">
        <f>+P10+P19</f>
        <v>26</v>
      </c>
    </row>
  </sheetData>
  <mergeCells count="16">
    <mergeCell ref="A11:P11"/>
    <mergeCell ref="A19:C19"/>
    <mergeCell ref="A20:C20"/>
    <mergeCell ref="A10:C10"/>
    <mergeCell ref="D5:E5"/>
    <mergeCell ref="A1:P1"/>
    <mergeCell ref="A2:P2"/>
    <mergeCell ref="A3:P3"/>
    <mergeCell ref="A4:B5"/>
    <mergeCell ref="C4:C5"/>
    <mergeCell ref="F4:G4"/>
    <mergeCell ref="H4:I4"/>
    <mergeCell ref="J4:K4"/>
    <mergeCell ref="L4:M4"/>
    <mergeCell ref="N4:O4"/>
    <mergeCell ref="F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central 2.0</vt:lpstr>
      <vt:lpstr>state 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dcterms:created xsi:type="dcterms:W3CDTF">2015-06-05T18:17:20Z</dcterms:created>
  <dcterms:modified xsi:type="dcterms:W3CDTF">2026-09-23T07:02:50Z</dcterms:modified>
</cp:coreProperties>
</file>
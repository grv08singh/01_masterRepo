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F5C8044A-D035-407A-AE1F-4303CE2D4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H18" i="2"/>
  <c r="J18" i="2"/>
  <c r="D18" i="2"/>
  <c r="L17" i="2"/>
  <c r="L16" i="2"/>
  <c r="L13" i="2"/>
  <c r="L12" i="2"/>
  <c r="L11" i="2"/>
  <c r="L10" i="2"/>
  <c r="L9" i="2"/>
  <c r="L8" i="2"/>
  <c r="L7" i="2"/>
  <c r="L5" i="2"/>
  <c r="F24" i="1"/>
  <c r="H24" i="1"/>
  <c r="J24" i="1"/>
  <c r="D24" i="1"/>
  <c r="L23" i="1"/>
  <c r="L22" i="1"/>
  <c r="L21" i="1"/>
  <c r="L20" i="1"/>
  <c r="L19" i="1"/>
  <c r="L18" i="1"/>
  <c r="L17" i="1"/>
  <c r="L8" i="1"/>
  <c r="L9" i="1"/>
  <c r="L10" i="1"/>
  <c r="L11" i="1"/>
  <c r="L12" i="1"/>
  <c r="L13" i="1"/>
  <c r="L14" i="1"/>
  <c r="L7" i="1"/>
  <c r="L5" i="1"/>
  <c r="L24" i="1" l="1"/>
  <c r="L18" i="2"/>
  <c r="L15" i="1" l="1"/>
  <c r="L25" i="1" s="1"/>
  <c r="J15" i="1"/>
  <c r="J25" i="1" s="1"/>
  <c r="H15" i="1"/>
  <c r="H25" i="1" s="1"/>
  <c r="F15" i="1"/>
  <c r="F25" i="1" s="1"/>
  <c r="D15" i="1"/>
  <c r="D25" i="1" s="1"/>
  <c r="F14" i="2"/>
  <c r="F19" i="2" s="1"/>
  <c r="H14" i="2"/>
  <c r="H19" i="2" s="1"/>
  <c r="J14" i="2"/>
  <c r="J19" i="2" s="1"/>
  <c r="L14" i="2"/>
  <c r="D14" i="2"/>
  <c r="D19" i="2" l="1"/>
  <c r="L19" i="2"/>
</calcChain>
</file>

<file path=xl/sharedStrings.xml><?xml version="1.0" encoding="utf-8"?>
<sst xmlns="http://schemas.openxmlformats.org/spreadsheetml/2006/main" count="133" uniqueCount="65">
  <si>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</si>
  <si>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</si>
  <si>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</si>
  <si>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</si>
  <si>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</si>
  <si>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</si>
  <si>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</si>
  <si>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</si>
  <si>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</si>
  <si>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</si>
  <si>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</si>
  <si>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</si>
  <si>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</si>
  <si>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</si>
  <si>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</si>
  <si>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</si>
  <si>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</si>
  <si>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</si>
  <si>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</si>
  <si>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Dabhoi</t>
  </si>
  <si>
    <t>Kothara</t>
  </si>
  <si>
    <t>Puniyad</t>
  </si>
  <si>
    <t>Karjan</t>
  </si>
  <si>
    <t>Sagdol</t>
  </si>
  <si>
    <t>Padra</t>
  </si>
  <si>
    <t>Gametha</t>
  </si>
  <si>
    <t>Nedra</t>
  </si>
  <si>
    <t>Savli</t>
  </si>
  <si>
    <t>Sherpura</t>
  </si>
  <si>
    <t>Vadodara Rural</t>
  </si>
  <si>
    <t>Maretha</t>
  </si>
  <si>
    <t>Vaghodia</t>
  </si>
  <si>
    <t>Kachhota</t>
  </si>
  <si>
    <t>District:Vadodara</t>
  </si>
  <si>
    <t>Desar</t>
  </si>
  <si>
    <t>Jalalpur</t>
  </si>
  <si>
    <t>Karkhadi</t>
  </si>
  <si>
    <t>Virpur</t>
  </si>
  <si>
    <t>Narpura</t>
  </si>
  <si>
    <t>Sultanpura</t>
  </si>
  <si>
    <t>Rajpura</t>
  </si>
  <si>
    <t>Thikariya</t>
  </si>
  <si>
    <t>Timbi</t>
  </si>
  <si>
    <t>Kahona</t>
  </si>
  <si>
    <t>Kambola</t>
  </si>
  <si>
    <t>Osalam</t>
  </si>
  <si>
    <t>Dhanora</t>
  </si>
  <si>
    <t>Khervadi</t>
  </si>
  <si>
    <t>Ghemalpura</t>
  </si>
  <si>
    <t>Sinor</t>
  </si>
  <si>
    <t>Kanjetha</t>
  </si>
  <si>
    <t>4A</t>
  </si>
  <si>
    <t>1B</t>
  </si>
  <si>
    <t>2B</t>
  </si>
  <si>
    <t>3B</t>
  </si>
  <si>
    <t>5B</t>
  </si>
  <si>
    <t>7B</t>
  </si>
  <si>
    <t>6B</t>
  </si>
  <si>
    <t>Bhilapur</t>
  </si>
  <si>
    <t>Mobha</t>
  </si>
  <si>
    <t>Vadodara-South</t>
  </si>
  <si>
    <t>DESAR</t>
  </si>
  <si>
    <t>Limdinu Muvadu</t>
  </si>
  <si>
    <t>Pandu</t>
  </si>
  <si>
    <t>PADRA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</si>
</sst>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1" xfId="0" applyFill="1" applyBorder="1"/>
    <xf numFmtId="0" fontId="0" fillId="4" borderId="11" xfId="0" applyFill="1" applyBorder="1"/>
    <xf numFmtId="0" fontId="4" fillId="0" borderId="12" xfId="1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70" zoomScaleNormal="70" workbookViewId="0">
      <selection activeCell="A13" sqref="A7:XFD13"/>
    </sheetView>
  </sheetViews>
  <sheetFormatPr defaultRowHeight="14.4" x14ac:dyDescent="0.3"/>
  <cols>
    <col min="1" max="1" width="14.6640625" bestFit="1" customWidth="1"/>
    <col min="2" max="2" width="15.33203125" bestFit="1" customWidth="1"/>
    <col min="3" max="3" width="16.21875" bestFit="1" customWidth="1"/>
  </cols>
  <sheetData>
    <row r="1" spans="1:12" ht="18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.6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6" x14ac:dyDescent="0.3">
      <c r="A4" s="22" t="s">
        <v>33</v>
      </c>
      <c r="B4" s="23"/>
      <c r="C4" s="26" t="s">
        <v>18</v>
      </c>
      <c r="D4" s="18">
        <v>10</v>
      </c>
      <c r="E4" s="18"/>
      <c r="F4" s="18">
        <v>14</v>
      </c>
      <c r="G4" s="18"/>
      <c r="H4" s="18">
        <v>12</v>
      </c>
      <c r="I4" s="18"/>
      <c r="J4" s="18">
        <v>14</v>
      </c>
      <c r="K4" s="18"/>
      <c r="L4" s="2" t="s">
        <v>3</v>
      </c>
    </row>
    <row r="5" spans="1:12" ht="15.6" x14ac:dyDescent="0.3">
      <c r="A5" s="24"/>
      <c r="B5" s="25"/>
      <c r="C5" s="27"/>
      <c r="D5" s="20" t="s">
        <v>4</v>
      </c>
      <c r="E5" s="20"/>
      <c r="F5" s="20" t="s">
        <v>5</v>
      </c>
      <c r="G5" s="20"/>
      <c r="H5" s="20" t="s">
        <v>6</v>
      </c>
      <c r="I5" s="20"/>
      <c r="J5" s="20" t="s">
        <v>7</v>
      </c>
      <c r="K5" s="20"/>
      <c r="L5" s="2">
        <f>SUM(D4:K4)</f>
        <v>50</v>
      </c>
    </row>
    <row r="6" spans="1:12" ht="31.2" x14ac:dyDescent="0.3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18" x14ac:dyDescent="0.3">
      <c r="A7" s="6" t="s">
        <v>19</v>
      </c>
      <c r="B7" s="12" t="s">
        <v>58</v>
      </c>
      <c r="C7" s="6" t="s">
        <v>20</v>
      </c>
      <c r="D7" s="6"/>
      <c r="E7" s="6"/>
      <c r="F7" s="6">
        <v>2</v>
      </c>
      <c r="G7" s="5">
        <v>1</v>
      </c>
      <c r="H7" s="6"/>
      <c r="I7" s="6"/>
      <c r="J7" s="6"/>
      <c r="K7" s="6"/>
      <c r="L7" s="4">
        <f>+D7+F7+H7+J7</f>
        <v>2</v>
      </c>
    </row>
    <row r="8" spans="1:12" ht="18" x14ac:dyDescent="0.3">
      <c r="A8" s="6" t="s">
        <v>19</v>
      </c>
      <c r="B8" s="4" t="s">
        <v>19</v>
      </c>
      <c r="C8" s="6" t="s">
        <v>21</v>
      </c>
      <c r="D8" s="6"/>
      <c r="E8" s="6"/>
      <c r="F8" s="6">
        <v>2</v>
      </c>
      <c r="G8" s="5">
        <v>2</v>
      </c>
      <c r="H8" s="6"/>
      <c r="I8" s="6"/>
      <c r="J8" s="6"/>
      <c r="K8" s="6"/>
      <c r="L8" s="4">
        <f t="shared" ref="L8:L14" si="0">+D8+F8+H8+J8</f>
        <v>2</v>
      </c>
    </row>
    <row r="9" spans="1:12" ht="18" x14ac:dyDescent="0.3">
      <c r="A9" s="6" t="s">
        <v>22</v>
      </c>
      <c r="B9" s="4" t="s">
        <v>22</v>
      </c>
      <c r="C9" s="6" t="s">
        <v>23</v>
      </c>
      <c r="D9" s="6"/>
      <c r="E9" s="6"/>
      <c r="F9" s="6">
        <v>2</v>
      </c>
      <c r="G9" s="5">
        <v>3</v>
      </c>
      <c r="H9" s="6">
        <v>2</v>
      </c>
      <c r="I9" s="5">
        <v>1</v>
      </c>
      <c r="J9" s="6"/>
      <c r="K9" s="6"/>
      <c r="L9" s="4">
        <f t="shared" si="0"/>
        <v>4</v>
      </c>
    </row>
    <row r="10" spans="1:12" ht="18" x14ac:dyDescent="0.3">
      <c r="A10" s="6" t="s">
        <v>24</v>
      </c>
      <c r="B10" s="13" t="s">
        <v>59</v>
      </c>
      <c r="C10" s="6" t="s">
        <v>25</v>
      </c>
      <c r="D10" s="6">
        <v>2</v>
      </c>
      <c r="E10" s="5">
        <v>1</v>
      </c>
      <c r="F10" s="6"/>
      <c r="G10" s="5"/>
      <c r="H10" s="6">
        <v>2</v>
      </c>
      <c r="I10" s="5">
        <v>2</v>
      </c>
      <c r="J10" s="6">
        <v>2</v>
      </c>
      <c r="K10" s="5" t="s">
        <v>52</v>
      </c>
      <c r="L10" s="4">
        <f t="shared" si="0"/>
        <v>6</v>
      </c>
    </row>
    <row r="11" spans="1:12" ht="18" x14ac:dyDescent="0.3">
      <c r="A11" s="6" t="s">
        <v>24</v>
      </c>
      <c r="B11" s="13" t="s">
        <v>59</v>
      </c>
      <c r="C11" s="6" t="s">
        <v>26</v>
      </c>
      <c r="D11" s="6"/>
      <c r="E11" s="6"/>
      <c r="F11" s="6"/>
      <c r="G11" s="5"/>
      <c r="H11" s="6">
        <v>2</v>
      </c>
      <c r="I11" s="5">
        <v>3</v>
      </c>
      <c r="J11" s="6">
        <v>2</v>
      </c>
      <c r="K11" s="5" t="s">
        <v>53</v>
      </c>
      <c r="L11" s="4">
        <f t="shared" si="0"/>
        <v>4</v>
      </c>
    </row>
    <row r="12" spans="1:12" ht="18" x14ac:dyDescent="0.3">
      <c r="A12" s="6" t="s">
        <v>27</v>
      </c>
      <c r="B12" s="4" t="s">
        <v>27</v>
      </c>
      <c r="C12" s="6" t="s">
        <v>28</v>
      </c>
      <c r="D12" s="6"/>
      <c r="E12" s="6"/>
      <c r="F12" s="6">
        <v>2</v>
      </c>
      <c r="G12" s="5">
        <v>4</v>
      </c>
      <c r="H12" s="6">
        <v>2</v>
      </c>
      <c r="I12" s="5">
        <v>4</v>
      </c>
      <c r="J12" s="6">
        <v>2</v>
      </c>
      <c r="K12" s="5" t="s">
        <v>54</v>
      </c>
      <c r="L12" s="4">
        <f t="shared" si="0"/>
        <v>6</v>
      </c>
    </row>
    <row r="13" spans="1:12" ht="18" x14ac:dyDescent="0.3">
      <c r="A13" s="6" t="s">
        <v>29</v>
      </c>
      <c r="B13" s="12" t="s">
        <v>60</v>
      </c>
      <c r="C13" s="6" t="s">
        <v>30</v>
      </c>
      <c r="D13" s="6"/>
      <c r="E13" s="6"/>
      <c r="F13" s="6"/>
      <c r="G13" s="5"/>
      <c r="H13" s="6">
        <v>2</v>
      </c>
      <c r="I13" s="5">
        <v>5</v>
      </c>
      <c r="J13" s="6">
        <v>2</v>
      </c>
      <c r="K13" s="5" t="s">
        <v>51</v>
      </c>
      <c r="L13" s="4">
        <f t="shared" si="0"/>
        <v>4</v>
      </c>
    </row>
    <row r="14" spans="1:12" ht="18" x14ac:dyDescent="0.3">
      <c r="A14" s="6" t="s">
        <v>31</v>
      </c>
      <c r="B14" s="4" t="s">
        <v>31</v>
      </c>
      <c r="C14" s="6" t="s">
        <v>32</v>
      </c>
      <c r="D14" s="6"/>
      <c r="E14" s="6"/>
      <c r="F14" s="6">
        <v>2</v>
      </c>
      <c r="G14" s="5">
        <v>5</v>
      </c>
      <c r="H14" s="6">
        <v>2</v>
      </c>
      <c r="I14" s="5">
        <v>6</v>
      </c>
      <c r="J14" s="6">
        <v>2</v>
      </c>
      <c r="K14" s="5" t="s">
        <v>55</v>
      </c>
      <c r="L14" s="4">
        <f t="shared" si="0"/>
        <v>6</v>
      </c>
    </row>
    <row r="15" spans="1:12" ht="15.6" x14ac:dyDescent="0.3">
      <c r="A15" s="18" t="s">
        <v>13</v>
      </c>
      <c r="B15" s="18"/>
      <c r="C15" s="18"/>
      <c r="D15" s="1">
        <f>SUM(D7:D14)</f>
        <v>2</v>
      </c>
      <c r="E15" s="1"/>
      <c r="F15" s="1">
        <f>SUM(F7:F14)</f>
        <v>10</v>
      </c>
      <c r="G15" s="1"/>
      <c r="H15" s="1">
        <f>SUM(H7:H14)</f>
        <v>12</v>
      </c>
      <c r="I15" s="1"/>
      <c r="J15" s="1">
        <f>SUM(J7:J14)</f>
        <v>10</v>
      </c>
      <c r="K15" s="1"/>
      <c r="L15" s="1">
        <f>SUM(L7:L14)</f>
        <v>34</v>
      </c>
    </row>
    <row r="16" spans="1:12" ht="15.6" x14ac:dyDescent="0.3">
      <c r="A16" s="19" t="s">
        <v>14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15.6" x14ac:dyDescent="0.3">
      <c r="A17" s="4" t="s">
        <v>61</v>
      </c>
      <c r="B17" s="14" t="s">
        <v>63</v>
      </c>
      <c r="C17" s="7" t="s">
        <v>62</v>
      </c>
      <c r="D17" s="4">
        <v>2</v>
      </c>
      <c r="E17" s="2">
        <v>5</v>
      </c>
      <c r="F17" s="4"/>
      <c r="G17" s="4"/>
      <c r="H17" s="4"/>
      <c r="I17" s="4"/>
      <c r="J17" s="4"/>
      <c r="K17" s="4"/>
      <c r="L17" s="4">
        <f t="shared" ref="L17:L23" si="1">+D17+F17+H17+J17</f>
        <v>2</v>
      </c>
    </row>
    <row r="18" spans="1:12" ht="15.6" x14ac:dyDescent="0.3">
      <c r="A18" s="4" t="s">
        <v>64</v>
      </c>
      <c r="B18" s="14" t="s">
        <v>59</v>
      </c>
      <c r="C18" s="7" t="s">
        <v>35</v>
      </c>
      <c r="D18" s="4">
        <v>2</v>
      </c>
      <c r="E18" s="2">
        <v>4</v>
      </c>
      <c r="F18" s="4"/>
      <c r="G18" s="4"/>
      <c r="H18" s="4"/>
      <c r="I18" s="4"/>
      <c r="J18" s="4"/>
      <c r="K18" s="4"/>
      <c r="L18" s="4">
        <f t="shared" si="1"/>
        <v>2</v>
      </c>
    </row>
    <row r="19" spans="1:12" ht="15.6" x14ac:dyDescent="0.3">
      <c r="A19" s="4" t="s">
        <v>24</v>
      </c>
      <c r="B19" s="14" t="s">
        <v>59</v>
      </c>
      <c r="C19" s="7" t="s">
        <v>36</v>
      </c>
      <c r="D19" s="4"/>
      <c r="E19" s="4"/>
      <c r="F19" s="4"/>
      <c r="G19" s="4"/>
      <c r="H19" s="4"/>
      <c r="I19" s="4"/>
      <c r="J19" s="4">
        <v>2</v>
      </c>
      <c r="K19" s="2" t="s">
        <v>56</v>
      </c>
      <c r="L19" s="4">
        <f t="shared" si="1"/>
        <v>2</v>
      </c>
    </row>
    <row r="20" spans="1:12" ht="15.6" x14ac:dyDescent="0.3">
      <c r="A20" s="4" t="s">
        <v>24</v>
      </c>
      <c r="B20" s="4" t="s">
        <v>24</v>
      </c>
      <c r="C20" s="7" t="s">
        <v>37</v>
      </c>
      <c r="D20" s="4"/>
      <c r="E20" s="4"/>
      <c r="F20" s="4">
        <v>2</v>
      </c>
      <c r="G20" s="2">
        <v>6</v>
      </c>
      <c r="H20" s="4"/>
      <c r="I20" s="4"/>
      <c r="J20" s="4"/>
      <c r="K20" s="4"/>
      <c r="L20" s="4">
        <f t="shared" si="1"/>
        <v>2</v>
      </c>
    </row>
    <row r="21" spans="1:12" ht="15.6" x14ac:dyDescent="0.3">
      <c r="A21" s="4" t="s">
        <v>27</v>
      </c>
      <c r="B21" s="14" t="s">
        <v>63</v>
      </c>
      <c r="C21" s="7" t="s">
        <v>38</v>
      </c>
      <c r="D21" s="4">
        <v>2</v>
      </c>
      <c r="E21" s="2">
        <v>2</v>
      </c>
      <c r="F21" s="4"/>
      <c r="G21" s="4"/>
      <c r="H21" s="4"/>
      <c r="I21" s="4"/>
      <c r="J21" s="4"/>
      <c r="K21" s="4"/>
      <c r="L21" s="4">
        <f t="shared" si="1"/>
        <v>2</v>
      </c>
    </row>
    <row r="22" spans="1:12" ht="15.6" x14ac:dyDescent="0.3">
      <c r="A22" s="4" t="s">
        <v>29</v>
      </c>
      <c r="B22" s="14" t="s">
        <v>60</v>
      </c>
      <c r="C22" s="7" t="s">
        <v>39</v>
      </c>
      <c r="D22" s="4">
        <v>2</v>
      </c>
      <c r="E22" s="2">
        <v>3</v>
      </c>
      <c r="F22" s="4"/>
      <c r="G22" s="4"/>
      <c r="H22" s="4"/>
      <c r="I22" s="4"/>
      <c r="J22" s="4"/>
      <c r="K22" s="4"/>
      <c r="L22" s="4">
        <f t="shared" si="1"/>
        <v>2</v>
      </c>
    </row>
    <row r="23" spans="1:12" ht="15.6" x14ac:dyDescent="0.3">
      <c r="A23" s="4" t="s">
        <v>31</v>
      </c>
      <c r="B23" s="4" t="s">
        <v>31</v>
      </c>
      <c r="C23" s="7" t="s">
        <v>40</v>
      </c>
      <c r="D23" s="4"/>
      <c r="E23" s="4"/>
      <c r="F23" s="4">
        <v>2</v>
      </c>
      <c r="G23" s="2">
        <v>7</v>
      </c>
      <c r="H23" s="4"/>
      <c r="I23" s="4"/>
      <c r="J23" s="4">
        <v>2</v>
      </c>
      <c r="K23" s="2" t="s">
        <v>57</v>
      </c>
      <c r="L23" s="4">
        <f t="shared" si="1"/>
        <v>4</v>
      </c>
    </row>
    <row r="24" spans="1:12" ht="15.6" x14ac:dyDescent="0.3">
      <c r="A24" s="15" t="s">
        <v>15</v>
      </c>
      <c r="B24" s="16"/>
      <c r="C24" s="17"/>
      <c r="D24" s="1">
        <f>SUM(D17:D23)</f>
        <v>8</v>
      </c>
      <c r="E24" s="1"/>
      <c r="F24" s="1">
        <f t="shared" ref="F24" si="2">SUM(F17:F23)</f>
        <v>4</v>
      </c>
      <c r="G24" s="1"/>
      <c r="H24" s="1">
        <f t="shared" ref="H24" si="3">SUM(H17:H23)</f>
        <v>0</v>
      </c>
      <c r="I24" s="1"/>
      <c r="J24" s="1">
        <f t="shared" ref="J24" si="4">SUM(J17:J23)</f>
        <v>4</v>
      </c>
      <c r="K24" s="1"/>
      <c r="L24" s="1">
        <f t="shared" ref="L24" si="5">SUM(L17:L23)</f>
        <v>16</v>
      </c>
    </row>
    <row r="25" spans="1:12" ht="15.6" x14ac:dyDescent="0.3">
      <c r="A25" s="15" t="s">
        <v>16</v>
      </c>
      <c r="B25" s="16"/>
      <c r="C25" s="17"/>
      <c r="D25" s="1">
        <f>+D15+D24</f>
        <v>10</v>
      </c>
      <c r="E25" s="1"/>
      <c r="F25" s="1">
        <f>+F15+F24</f>
        <v>14</v>
      </c>
      <c r="G25" s="1"/>
      <c r="H25" s="1">
        <f>+H15+H24</f>
        <v>12</v>
      </c>
      <c r="I25" s="1"/>
      <c r="J25" s="1">
        <f>+J15+J24</f>
        <v>14</v>
      </c>
      <c r="K25" s="1"/>
      <c r="L25" s="1">
        <f>+L15+L24</f>
        <v>50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5:C25"/>
    <mergeCell ref="A15:C15"/>
    <mergeCell ref="A16:L16"/>
    <mergeCell ref="A24:C24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="70" zoomScaleNormal="70" workbookViewId="0">
      <selection activeCell="M26" sqref="M26"/>
    </sheetView>
  </sheetViews>
  <sheetFormatPr defaultRowHeight="14.4" x14ac:dyDescent="0.3"/>
  <cols>
    <col min="1" max="2" width="12.21875" bestFit="1" customWidth="1"/>
    <col min="3" max="3" width="13.77734375" bestFit="1" customWidth="1"/>
  </cols>
  <sheetData>
    <row r="1" spans="1:12" ht="18" x14ac:dyDescent="0.3">
      <c r="A1" s="21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.6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6" x14ac:dyDescent="0.3">
      <c r="A4" s="22" t="s">
        <v>33</v>
      </c>
      <c r="B4" s="23"/>
      <c r="C4" s="26" t="s">
        <v>18</v>
      </c>
      <c r="D4" s="18">
        <v>4</v>
      </c>
      <c r="E4" s="18"/>
      <c r="F4" s="18">
        <v>8</v>
      </c>
      <c r="G4" s="18"/>
      <c r="H4" s="18">
        <v>8</v>
      </c>
      <c r="I4" s="18"/>
      <c r="J4" s="18">
        <v>8</v>
      </c>
      <c r="K4" s="18"/>
      <c r="L4" s="2" t="s">
        <v>3</v>
      </c>
    </row>
    <row r="5" spans="1:12" ht="15.6" x14ac:dyDescent="0.3">
      <c r="A5" s="24"/>
      <c r="B5" s="25"/>
      <c r="C5" s="27"/>
      <c r="D5" s="20" t="s">
        <v>4</v>
      </c>
      <c r="E5" s="20"/>
      <c r="F5" s="20" t="s">
        <v>5</v>
      </c>
      <c r="G5" s="20"/>
      <c r="H5" s="20" t="s">
        <v>6</v>
      </c>
      <c r="I5" s="20"/>
      <c r="J5" s="20" t="s">
        <v>7</v>
      </c>
      <c r="K5" s="20"/>
      <c r="L5" s="2">
        <f>SUM(D4:K4)</f>
        <v>28</v>
      </c>
    </row>
    <row r="6" spans="1:12" ht="31.2" x14ac:dyDescent="0.3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18" x14ac:dyDescent="0.35">
      <c r="A7" s="8" t="s">
        <v>19</v>
      </c>
      <c r="B7" s="13" t="s">
        <v>58</v>
      </c>
      <c r="C7" s="8" t="s">
        <v>41</v>
      </c>
      <c r="D7" s="8"/>
      <c r="E7" s="8"/>
      <c r="F7" s="8">
        <v>2</v>
      </c>
      <c r="G7" s="9">
        <v>1</v>
      </c>
      <c r="H7" s="8">
        <v>2</v>
      </c>
      <c r="I7" s="9">
        <v>1</v>
      </c>
      <c r="J7" s="8"/>
      <c r="K7" s="9"/>
      <c r="L7" s="4">
        <f t="shared" ref="L7:L13" si="0">+D7+F7+H7+J7</f>
        <v>4</v>
      </c>
    </row>
    <row r="8" spans="1:12" ht="18" x14ac:dyDescent="0.35">
      <c r="A8" s="8" t="s">
        <v>19</v>
      </c>
      <c r="B8" s="12" t="s">
        <v>19</v>
      </c>
      <c r="C8" s="8" t="s">
        <v>42</v>
      </c>
      <c r="D8" s="10"/>
      <c r="E8" s="8"/>
      <c r="F8" s="8"/>
      <c r="G8" s="9"/>
      <c r="H8" s="8"/>
      <c r="I8" s="9"/>
      <c r="J8" s="8"/>
      <c r="K8" s="9"/>
      <c r="L8" s="4">
        <f t="shared" si="0"/>
        <v>0</v>
      </c>
    </row>
    <row r="9" spans="1:12" ht="18" x14ac:dyDescent="0.35">
      <c r="A9" s="8" t="s">
        <v>22</v>
      </c>
      <c r="B9" s="8" t="s">
        <v>22</v>
      </c>
      <c r="C9" s="8" t="s">
        <v>43</v>
      </c>
      <c r="D9" s="8"/>
      <c r="E9" s="8"/>
      <c r="F9" s="8"/>
      <c r="G9" s="9"/>
      <c r="H9" s="8">
        <v>2</v>
      </c>
      <c r="I9" s="9">
        <v>2</v>
      </c>
      <c r="J9" s="8">
        <v>2</v>
      </c>
      <c r="K9" s="9" t="s">
        <v>52</v>
      </c>
      <c r="L9" s="4">
        <f t="shared" si="0"/>
        <v>4</v>
      </c>
    </row>
    <row r="10" spans="1:12" ht="18" x14ac:dyDescent="0.35">
      <c r="A10" s="8" t="s">
        <v>22</v>
      </c>
      <c r="B10" s="8" t="s">
        <v>22</v>
      </c>
      <c r="C10" s="8" t="s">
        <v>44</v>
      </c>
      <c r="D10" s="8"/>
      <c r="E10" s="8"/>
      <c r="F10" s="8"/>
      <c r="G10" s="9"/>
      <c r="H10" s="8"/>
      <c r="I10" s="9"/>
      <c r="J10" s="8">
        <v>2</v>
      </c>
      <c r="K10" s="9" t="s">
        <v>53</v>
      </c>
      <c r="L10" s="4">
        <f t="shared" si="0"/>
        <v>2</v>
      </c>
    </row>
    <row r="11" spans="1:12" ht="18" x14ac:dyDescent="0.35">
      <c r="A11" s="8" t="s">
        <v>22</v>
      </c>
      <c r="B11" s="8" t="s">
        <v>22</v>
      </c>
      <c r="C11" s="8" t="s">
        <v>45</v>
      </c>
      <c r="D11" s="8"/>
      <c r="E11" s="8"/>
      <c r="F11" s="8">
        <v>2</v>
      </c>
      <c r="G11" s="9">
        <v>2</v>
      </c>
      <c r="H11" s="8">
        <v>2</v>
      </c>
      <c r="I11" s="9">
        <v>3</v>
      </c>
      <c r="J11" s="8"/>
      <c r="K11" s="9"/>
      <c r="L11" s="4">
        <f t="shared" si="0"/>
        <v>4</v>
      </c>
    </row>
    <row r="12" spans="1:12" ht="18" x14ac:dyDescent="0.35">
      <c r="A12" s="8" t="s">
        <v>27</v>
      </c>
      <c r="B12" s="8" t="s">
        <v>27</v>
      </c>
      <c r="C12" s="8" t="s">
        <v>46</v>
      </c>
      <c r="D12" s="8">
        <v>2</v>
      </c>
      <c r="E12" s="11">
        <v>1</v>
      </c>
      <c r="F12" s="8"/>
      <c r="G12" s="9"/>
      <c r="H12" s="8"/>
      <c r="I12" s="9"/>
      <c r="J12" s="8">
        <v>2</v>
      </c>
      <c r="K12" s="9" t="s">
        <v>54</v>
      </c>
      <c r="L12" s="4">
        <f t="shared" si="0"/>
        <v>4</v>
      </c>
    </row>
    <row r="13" spans="1:12" ht="18" x14ac:dyDescent="0.35">
      <c r="A13" s="8" t="s">
        <v>31</v>
      </c>
      <c r="B13" s="8" t="s">
        <v>31</v>
      </c>
      <c r="C13" s="8" t="s">
        <v>47</v>
      </c>
      <c r="D13" s="8">
        <v>2</v>
      </c>
      <c r="E13" s="11">
        <v>2</v>
      </c>
      <c r="F13" s="8">
        <v>2</v>
      </c>
      <c r="G13" s="9">
        <v>3</v>
      </c>
      <c r="H13" s="8">
        <v>2</v>
      </c>
      <c r="I13" s="9">
        <v>4</v>
      </c>
      <c r="J13" s="8"/>
      <c r="K13" s="8"/>
      <c r="L13" s="4">
        <f t="shared" si="0"/>
        <v>6</v>
      </c>
    </row>
    <row r="14" spans="1:12" ht="15.6" x14ac:dyDescent="0.3">
      <c r="A14" s="18" t="s">
        <v>13</v>
      </c>
      <c r="B14" s="18"/>
      <c r="C14" s="18"/>
      <c r="D14" s="1">
        <f>SUM(D7:D13)</f>
        <v>4</v>
      </c>
      <c r="E14" s="1"/>
      <c r="F14" s="1">
        <f>SUM(F7:F13)</f>
        <v>6</v>
      </c>
      <c r="G14" s="1"/>
      <c r="H14" s="1">
        <f>SUM(H7:H13)</f>
        <v>8</v>
      </c>
      <c r="I14" s="1"/>
      <c r="J14" s="1">
        <f>SUM(J7:J13)</f>
        <v>6</v>
      </c>
      <c r="K14" s="1"/>
      <c r="L14" s="1">
        <f>SUM(L7:L13)</f>
        <v>24</v>
      </c>
    </row>
    <row r="15" spans="1:12" ht="15.6" x14ac:dyDescent="0.3">
      <c r="A15" s="19" t="s">
        <v>14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15.6" x14ac:dyDescent="0.3">
      <c r="A16" s="4" t="s">
        <v>34</v>
      </c>
      <c r="B16" s="4" t="s">
        <v>34</v>
      </c>
      <c r="C16" s="4" t="s">
        <v>48</v>
      </c>
      <c r="D16" s="4"/>
      <c r="E16" s="4"/>
      <c r="F16" s="4"/>
      <c r="G16" s="4"/>
      <c r="H16" s="4"/>
      <c r="I16" s="4"/>
      <c r="J16" s="4">
        <v>2</v>
      </c>
      <c r="K16" s="2" t="s">
        <v>51</v>
      </c>
      <c r="L16" s="4">
        <f t="shared" ref="L16:L17" si="1">+D16+F16+H16+J16</f>
        <v>2</v>
      </c>
    </row>
    <row r="17" spans="1:12" ht="15.6" x14ac:dyDescent="0.3">
      <c r="A17" s="4" t="s">
        <v>49</v>
      </c>
      <c r="B17" s="4" t="s">
        <v>49</v>
      </c>
      <c r="C17" s="4" t="s">
        <v>50</v>
      </c>
      <c r="D17" s="4"/>
      <c r="E17" s="4"/>
      <c r="F17" s="4">
        <v>2</v>
      </c>
      <c r="G17" s="2">
        <v>4</v>
      </c>
      <c r="H17" s="4"/>
      <c r="I17" s="4"/>
      <c r="J17" s="4"/>
      <c r="K17" s="4"/>
      <c r="L17" s="4">
        <f t="shared" si="1"/>
        <v>2</v>
      </c>
    </row>
    <row r="18" spans="1:12" ht="15.6" x14ac:dyDescent="0.3">
      <c r="A18" s="15" t="s">
        <v>15</v>
      </c>
      <c r="B18" s="16"/>
      <c r="C18" s="17"/>
      <c r="D18" s="1">
        <f>SUM(D16:D17)</f>
        <v>0</v>
      </c>
      <c r="E18" s="1"/>
      <c r="F18" s="1">
        <f t="shared" ref="F18" si="2">SUM(F16:F17)</f>
        <v>2</v>
      </c>
      <c r="G18" s="1"/>
      <c r="H18" s="1">
        <f t="shared" ref="H18" si="3">SUM(H16:H17)</f>
        <v>0</v>
      </c>
      <c r="I18" s="1"/>
      <c r="J18" s="1">
        <f t="shared" ref="J18" si="4">SUM(J16:J17)</f>
        <v>2</v>
      </c>
      <c r="K18" s="1"/>
      <c r="L18" s="1">
        <f t="shared" ref="L18" si="5">SUM(L16:L17)</f>
        <v>4</v>
      </c>
    </row>
    <row r="19" spans="1:12" ht="15.6" x14ac:dyDescent="0.3">
      <c r="A19" s="15" t="s">
        <v>16</v>
      </c>
      <c r="B19" s="16"/>
      <c r="C19" s="17"/>
      <c r="D19" s="1">
        <f>+D14+D18</f>
        <v>4</v>
      </c>
      <c r="E19" s="1"/>
      <c r="F19" s="1">
        <f>+F14+F18</f>
        <v>8</v>
      </c>
      <c r="G19" s="1"/>
      <c r="H19" s="1">
        <f>+H14+H18</f>
        <v>8</v>
      </c>
      <c r="I19" s="1"/>
      <c r="J19" s="1">
        <f>+J14+J18</f>
        <v>8</v>
      </c>
      <c r="K19" s="1"/>
      <c r="L19" s="1">
        <f>+L14+L18</f>
        <v>28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5:L15"/>
    <mergeCell ref="A18:C18"/>
    <mergeCell ref="A19:C19"/>
    <mergeCell ref="D5:E5"/>
    <mergeCell ref="F5:G5"/>
    <mergeCell ref="H5:I5"/>
    <mergeCell ref="J5:K5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2026-09-23T06:57:04Z</dcterms:modified>
</cp:coreProperties>
</file>
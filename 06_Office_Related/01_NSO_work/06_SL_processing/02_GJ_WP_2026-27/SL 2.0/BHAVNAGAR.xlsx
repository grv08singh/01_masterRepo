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3C7FA3DF-EB1A-480A-BBD4-A0B78704A92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2" l="1"/>
  <c r="H25" i="2"/>
  <c r="J25" i="2"/>
  <c r="D25" i="2"/>
  <c r="L24" i="2"/>
  <c r="L23" i="2"/>
  <c r="L22" i="2"/>
  <c r="L21" i="2"/>
  <c r="L25" i="2" s="1"/>
  <c r="L18" i="2"/>
  <c r="L17" i="2"/>
  <c r="L16" i="2"/>
  <c r="L15" i="2"/>
  <c r="L14" i="2"/>
  <c r="L13" i="2"/>
  <c r="L12" i="2"/>
  <c r="L11" i="2"/>
  <c r="L10" i="2"/>
  <c r="L9" i="2"/>
  <c r="L8" i="2"/>
  <c r="L7" i="2"/>
  <c r="L27" i="1"/>
  <c r="L26" i="1"/>
  <c r="L25" i="1"/>
  <c r="L24" i="1"/>
  <c r="L23" i="1"/>
  <c r="L22" i="1"/>
  <c r="L21" i="1"/>
  <c r="L8" i="1"/>
  <c r="L9" i="1"/>
  <c r="L10" i="1"/>
  <c r="L11" i="1"/>
  <c r="L12" i="1"/>
  <c r="L13" i="1"/>
  <c r="L14" i="1"/>
  <c r="L15" i="1"/>
  <c r="L16" i="1"/>
  <c r="L17" i="1"/>
  <c r="L18" i="1"/>
  <c r="L7" i="1"/>
  <c r="F19" i="2"/>
  <c r="F26" i="2" s="1"/>
  <c r="H19" i="2"/>
  <c r="J19" i="2"/>
  <c r="J26" i="2" s="1"/>
  <c r="D19" i="2"/>
  <c r="D26" i="2" s="1"/>
  <c r="L5" i="2"/>
  <c r="F28" i="1"/>
  <c r="H28" i="1"/>
  <c r="J28" i="1"/>
  <c r="D28" i="1"/>
  <c r="F19" i="1"/>
  <c r="H19" i="1"/>
  <c r="J19" i="1"/>
  <c r="J29" i="1" s="1"/>
  <c r="D19" i="1"/>
  <c r="L5" i="1"/>
  <c r="D29" i="1" l="1"/>
  <c r="H29" i="1"/>
  <c r="L28" i="1"/>
  <c r="F29" i="1"/>
  <c r="H26" i="2"/>
  <c r="L19" i="2"/>
  <c r="L26" i="2" s="1"/>
  <c r="L19" i="1"/>
  <c r="L29" i="1" s="1"/>
</calcChain>
</file>

<file path=xl/sharedStrings.xml><?xml version="1.0" encoding="utf-8"?>
<sst xmlns="http://schemas.openxmlformats.org/spreadsheetml/2006/main" count="186" uniqueCount="84">
  <si>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</si>
  <si>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</si>
  <si>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</si>
  <si>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</si>
  <si>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Cotton (UI)</t>
  </si>
  <si>
    <t>District: BHAVNAGAR</t>
  </si>
  <si>
    <t>BAJARA</t>
  </si>
  <si>
    <t>Cotton (IR)</t>
  </si>
  <si>
    <t>Bhavnagar</t>
  </si>
  <si>
    <t>Gariyadhar</t>
  </si>
  <si>
    <t>Manvilas</t>
  </si>
  <si>
    <t>Mahuva</t>
  </si>
  <si>
    <t>Bhaguda</t>
  </si>
  <si>
    <t>Otha</t>
  </si>
  <si>
    <t>Ranparda</t>
  </si>
  <si>
    <t>Palitana</t>
  </si>
  <si>
    <t>Juna Sarod</t>
  </si>
  <si>
    <t>Sihor</t>
  </si>
  <si>
    <t>Gadhula</t>
  </si>
  <si>
    <t>Gundala</t>
  </si>
  <si>
    <t>Talaja</t>
  </si>
  <si>
    <t>Alang</t>
  </si>
  <si>
    <t>Dantrad</t>
  </si>
  <si>
    <t>Gadhada</t>
  </si>
  <si>
    <t>Umarala</t>
  </si>
  <si>
    <t>Dhamnaka</t>
  </si>
  <si>
    <t>Dharwala</t>
  </si>
  <si>
    <t>Taluka</t>
  </si>
  <si>
    <t>Circle</t>
  </si>
  <si>
    <t>VILLAGE</t>
  </si>
  <si>
    <t>No. of Exp.</t>
  </si>
  <si>
    <t>OS</t>
  </si>
  <si>
    <t>Total Part- A</t>
  </si>
  <si>
    <t>PART- B</t>
  </si>
  <si>
    <t>Bhamariya</t>
  </si>
  <si>
    <t>Ghogha</t>
  </si>
  <si>
    <t>Hoidad</t>
  </si>
  <si>
    <t>Gandhol</t>
  </si>
  <si>
    <t>Pratapgadh</t>
  </si>
  <si>
    <t>Bhalar</t>
  </si>
  <si>
    <t>Nava Juna Rajapara</t>
  </si>
  <si>
    <t>Vallabhipur</t>
  </si>
  <si>
    <t>Bhojpara</t>
  </si>
  <si>
    <t>Total Part-B</t>
  </si>
  <si>
    <t>Total Part- A + B</t>
  </si>
  <si>
    <t xml:space="preserve">                               GUJARAT                                              STATEMENT NO. 4                                                  STATE                                                                                     </t>
  </si>
  <si>
    <t>Koliyak</t>
  </si>
  <si>
    <t>Jesar</t>
  </si>
  <si>
    <t>Chiroda</t>
  </si>
  <si>
    <t>Depla</t>
  </si>
  <si>
    <t>Rupavati</t>
  </si>
  <si>
    <t>Vaghnagar</t>
  </si>
  <si>
    <t>Bhutiya</t>
  </si>
  <si>
    <t>Panchpipla</t>
  </si>
  <si>
    <t>Mota Surka</t>
  </si>
  <si>
    <t>Ghantarvala</t>
  </si>
  <si>
    <t>Velavadar</t>
  </si>
  <si>
    <t>Khari</t>
  </si>
  <si>
    <t>Thadach</t>
  </si>
  <si>
    <t>Sar</t>
  </si>
  <si>
    <t>2A</t>
  </si>
  <si>
    <t>6A</t>
  </si>
  <si>
    <t>1B</t>
  </si>
  <si>
    <t>2B</t>
  </si>
  <si>
    <t>3B</t>
  </si>
  <si>
    <t>4B</t>
  </si>
  <si>
    <t>5B</t>
  </si>
  <si>
    <t>6B</t>
  </si>
  <si>
    <t>8B</t>
  </si>
  <si>
    <t>9B</t>
  </si>
  <si>
    <t>7B</t>
  </si>
  <si>
    <t>4A</t>
  </si>
  <si>
    <t>8A</t>
  </si>
  <si>
    <t>3A</t>
  </si>
  <si>
    <t>Year-2026-27</t>
  </si>
  <si>
    <t>Mahuva Rural</t>
  </si>
  <si>
    <t>Chok</t>
  </si>
  <si>
    <t>Trapaj</t>
  </si>
  <si>
    <t>Moti Vavadi</t>
  </si>
  <si>
    <t>Bagdana</t>
  </si>
  <si>
    <t>GROUNDNUT</t>
  </si>
  <si>
    <t>NOTE: NO SEASAMUM PLANNING IN BHAVNAGAR SO TRANSFERED TO BOTAD</t>
  </si>
  <si>
    <t>Cotton (I)</t>
  </si>
  <si>
    <t>MAHUVA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</si>
</sst>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3" borderId="11" xfId="0" applyFill="1" applyBorder="1"/>
    <xf numFmtId="0" fontId="0" fillId="4" borderId="1" xfId="0" applyFill="1" applyBorder="1"/>
    <xf numFmtId="0" fontId="0" fillId="2" borderId="1" xfId="0" applyFill="1" applyBorder="1"/>
    <xf numFmtId="0" fontId="0" fillId="0" borderId="1" xfId="0" applyBorder="1"/>
    <xf numFmtId="0" fontId="5" fillId="0" borderId="12" xfId="1" applyFont="1" applyBorder="1"/>
    <xf numFmtId="0" fontId="0" fillId="4" borderId="11" xfId="0" applyFill="1" applyBorder="1"/>
    <xf numFmtId="0" fontId="3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2">
    <cellStyle name="Normal" xfId="0" builtinId="0"/>
    <cellStyle name="Normal 2" xfId="1" xr:uid="{670793B8-B819-4E7F-815B-BB986C5DD9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zoomScale="55" zoomScaleNormal="55" workbookViewId="0">
      <selection activeCell="N17" sqref="N17"/>
    </sheetView>
  </sheetViews>
  <sheetFormatPr defaultRowHeight="14.4" x14ac:dyDescent="0.3"/>
  <cols>
    <col min="1" max="1" width="12.33203125" customWidth="1"/>
    <col min="2" max="2" width="11.109375" customWidth="1"/>
    <col min="3" max="3" width="13.6640625" style="10" customWidth="1"/>
  </cols>
  <sheetData>
    <row r="1" spans="1:12" ht="18" x14ac:dyDescent="0.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18" x14ac:dyDescent="0.3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ht="15.6" x14ac:dyDescent="0.3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ht="15.6" x14ac:dyDescent="0.3">
      <c r="A4" s="27" t="s">
        <v>5</v>
      </c>
      <c r="B4" s="28"/>
      <c r="C4" s="11" t="s">
        <v>74</v>
      </c>
      <c r="D4" s="25">
        <v>14</v>
      </c>
      <c r="E4" s="25"/>
      <c r="F4" s="25">
        <v>16</v>
      </c>
      <c r="G4" s="25"/>
      <c r="H4" s="25">
        <v>18</v>
      </c>
      <c r="I4" s="25"/>
      <c r="J4" s="25">
        <v>16</v>
      </c>
      <c r="K4" s="25"/>
      <c r="L4" s="1" t="s">
        <v>3</v>
      </c>
    </row>
    <row r="5" spans="1:12" ht="15.6" x14ac:dyDescent="0.3">
      <c r="A5" s="29"/>
      <c r="B5" s="30"/>
      <c r="C5" s="12"/>
      <c r="D5" s="24" t="s">
        <v>80</v>
      </c>
      <c r="E5" s="24"/>
      <c r="F5" s="24" t="s">
        <v>6</v>
      </c>
      <c r="G5" s="24"/>
      <c r="H5" s="24" t="s">
        <v>7</v>
      </c>
      <c r="I5" s="24"/>
      <c r="J5" s="24" t="s">
        <v>4</v>
      </c>
      <c r="K5" s="24"/>
      <c r="L5" s="1">
        <f>D4+F4+H4+J4</f>
        <v>64</v>
      </c>
    </row>
    <row r="6" spans="1:12" ht="31.2" x14ac:dyDescent="0.3">
      <c r="A6" s="1" t="s">
        <v>27</v>
      </c>
      <c r="B6" s="1" t="s">
        <v>28</v>
      </c>
      <c r="C6" s="5" t="s">
        <v>29</v>
      </c>
      <c r="D6" s="5" t="s">
        <v>30</v>
      </c>
      <c r="E6" s="5" t="s">
        <v>31</v>
      </c>
      <c r="F6" s="5" t="s">
        <v>30</v>
      </c>
      <c r="G6" s="5" t="s">
        <v>31</v>
      </c>
      <c r="H6" s="5" t="s">
        <v>30</v>
      </c>
      <c r="I6" s="5" t="s">
        <v>31</v>
      </c>
      <c r="J6" s="5" t="s">
        <v>30</v>
      </c>
      <c r="K6" s="5" t="s">
        <v>31</v>
      </c>
      <c r="L6" s="5" t="s">
        <v>30</v>
      </c>
    </row>
    <row r="7" spans="1:12" ht="18" x14ac:dyDescent="0.3">
      <c r="A7" s="16" t="s">
        <v>9</v>
      </c>
      <c r="B7" s="14" t="s">
        <v>78</v>
      </c>
      <c r="C7" s="8" t="s">
        <v>10</v>
      </c>
      <c r="D7" s="2">
        <v>2</v>
      </c>
      <c r="E7" s="3">
        <v>4</v>
      </c>
      <c r="F7" s="2"/>
      <c r="G7" s="2"/>
      <c r="H7" s="2">
        <v>2</v>
      </c>
      <c r="I7" s="3" t="s">
        <v>62</v>
      </c>
      <c r="J7" s="2">
        <v>2</v>
      </c>
      <c r="K7" s="3" t="s">
        <v>62</v>
      </c>
      <c r="L7" s="2">
        <f>+D7+F7+H7+J7</f>
        <v>6</v>
      </c>
    </row>
    <row r="8" spans="1:12" ht="18" x14ac:dyDescent="0.3">
      <c r="A8" s="16" t="s">
        <v>11</v>
      </c>
      <c r="B8" s="14" t="s">
        <v>79</v>
      </c>
      <c r="C8" s="8" t="s">
        <v>12</v>
      </c>
      <c r="D8" s="2">
        <v>2</v>
      </c>
      <c r="E8" s="3">
        <v>3</v>
      </c>
      <c r="F8" s="2">
        <v>2</v>
      </c>
      <c r="G8" s="4">
        <v>1</v>
      </c>
      <c r="H8" s="2"/>
      <c r="I8" s="3"/>
      <c r="J8" s="2"/>
      <c r="K8" s="3"/>
      <c r="L8" s="2">
        <f t="shared" ref="L8:L18" si="0">+D8+F8+H8+J8</f>
        <v>4</v>
      </c>
    </row>
    <row r="9" spans="1:12" ht="18" x14ac:dyDescent="0.3">
      <c r="A9" s="16" t="s">
        <v>11</v>
      </c>
      <c r="B9" s="14" t="s">
        <v>79</v>
      </c>
      <c r="C9" s="8" t="s">
        <v>13</v>
      </c>
      <c r="D9" s="2">
        <v>2</v>
      </c>
      <c r="E9" s="3">
        <v>1</v>
      </c>
      <c r="F9" s="2"/>
      <c r="G9" s="4"/>
      <c r="H9" s="2">
        <v>2</v>
      </c>
      <c r="I9" s="3" t="s">
        <v>60</v>
      </c>
      <c r="J9" s="2"/>
      <c r="K9" s="3"/>
      <c r="L9" s="2">
        <f t="shared" si="0"/>
        <v>4</v>
      </c>
    </row>
    <row r="10" spans="1:12" ht="18" x14ac:dyDescent="0.3">
      <c r="A10" s="16" t="s">
        <v>11</v>
      </c>
      <c r="B10" s="14" t="s">
        <v>79</v>
      </c>
      <c r="C10" s="8" t="s">
        <v>14</v>
      </c>
      <c r="D10" s="2"/>
      <c r="E10" s="3"/>
      <c r="F10" s="2">
        <v>2</v>
      </c>
      <c r="G10" s="4">
        <v>2</v>
      </c>
      <c r="H10" s="2"/>
      <c r="I10" s="3"/>
      <c r="J10" s="2">
        <v>2</v>
      </c>
      <c r="K10" s="3" t="s">
        <v>63</v>
      </c>
      <c r="L10" s="2">
        <f t="shared" si="0"/>
        <v>4</v>
      </c>
    </row>
    <row r="11" spans="1:12" ht="18" x14ac:dyDescent="0.3">
      <c r="A11" s="16" t="s">
        <v>15</v>
      </c>
      <c r="B11" s="15" t="s">
        <v>15</v>
      </c>
      <c r="C11" s="8" t="s">
        <v>16</v>
      </c>
      <c r="D11" s="2">
        <v>2</v>
      </c>
      <c r="E11" s="3">
        <v>7</v>
      </c>
      <c r="F11" s="2">
        <v>2</v>
      </c>
      <c r="G11" s="4">
        <v>3</v>
      </c>
      <c r="H11" s="2"/>
      <c r="I11" s="3"/>
      <c r="J11" s="2">
        <v>2</v>
      </c>
      <c r="K11" s="3" t="s">
        <v>64</v>
      </c>
      <c r="L11" s="2">
        <f t="shared" si="0"/>
        <v>6</v>
      </c>
    </row>
    <row r="12" spans="1:12" ht="18" x14ac:dyDescent="0.3">
      <c r="A12" s="16" t="s">
        <v>17</v>
      </c>
      <c r="B12" s="15" t="s">
        <v>17</v>
      </c>
      <c r="C12" s="8" t="s">
        <v>18</v>
      </c>
      <c r="D12" s="2"/>
      <c r="E12" s="3"/>
      <c r="F12" s="2"/>
      <c r="G12" s="4"/>
      <c r="H12" s="2">
        <v>2</v>
      </c>
      <c r="I12" s="3" t="s">
        <v>64</v>
      </c>
      <c r="J12" s="2">
        <v>2</v>
      </c>
      <c r="K12" s="3" t="s">
        <v>71</v>
      </c>
      <c r="L12" s="2">
        <f t="shared" si="0"/>
        <v>4</v>
      </c>
    </row>
    <row r="13" spans="1:12" ht="18" x14ac:dyDescent="0.3">
      <c r="A13" s="16" t="s">
        <v>17</v>
      </c>
      <c r="B13" s="15" t="s">
        <v>17</v>
      </c>
      <c r="C13" s="8" t="s">
        <v>19</v>
      </c>
      <c r="D13" s="2">
        <v>2</v>
      </c>
      <c r="E13" s="3">
        <v>5</v>
      </c>
      <c r="F13" s="2">
        <v>2</v>
      </c>
      <c r="G13" s="4">
        <v>4</v>
      </c>
      <c r="H13" s="2">
        <v>2</v>
      </c>
      <c r="I13" s="3" t="s">
        <v>65</v>
      </c>
      <c r="J13" s="2"/>
      <c r="K13" s="3"/>
      <c r="L13" s="2">
        <f t="shared" si="0"/>
        <v>6</v>
      </c>
    </row>
    <row r="14" spans="1:12" ht="18" x14ac:dyDescent="0.3">
      <c r="A14" s="16" t="s">
        <v>20</v>
      </c>
      <c r="B14" s="14" t="s">
        <v>77</v>
      </c>
      <c r="C14" s="8" t="s">
        <v>21</v>
      </c>
      <c r="D14" s="2">
        <v>2</v>
      </c>
      <c r="E14" s="3">
        <v>2</v>
      </c>
      <c r="F14" s="2">
        <v>2</v>
      </c>
      <c r="G14" s="4">
        <v>5</v>
      </c>
      <c r="H14" s="2"/>
      <c r="I14" s="3"/>
      <c r="J14" s="2"/>
      <c r="K14" s="3"/>
      <c r="L14" s="2">
        <f t="shared" si="0"/>
        <v>4</v>
      </c>
    </row>
    <row r="15" spans="1:12" ht="18" x14ac:dyDescent="0.3">
      <c r="A15" s="16" t="s">
        <v>20</v>
      </c>
      <c r="B15" s="14" t="s">
        <v>77</v>
      </c>
      <c r="C15" s="8" t="s">
        <v>22</v>
      </c>
      <c r="D15" s="2"/>
      <c r="E15" s="3"/>
      <c r="F15" s="2">
        <v>2</v>
      </c>
      <c r="G15" s="4">
        <v>6</v>
      </c>
      <c r="H15" s="2"/>
      <c r="I15" s="3"/>
      <c r="J15" s="2"/>
      <c r="K15" s="3"/>
      <c r="L15" s="2">
        <f t="shared" si="0"/>
        <v>2</v>
      </c>
    </row>
    <row r="16" spans="1:12" ht="18" x14ac:dyDescent="0.3">
      <c r="A16" s="16" t="s">
        <v>20</v>
      </c>
      <c r="B16" s="14" t="s">
        <v>77</v>
      </c>
      <c r="C16" s="8" t="s">
        <v>23</v>
      </c>
      <c r="D16" s="2">
        <v>2</v>
      </c>
      <c r="E16" s="3">
        <v>6</v>
      </c>
      <c r="F16" s="2"/>
      <c r="G16" s="2"/>
      <c r="H16" s="2"/>
      <c r="I16" s="3"/>
      <c r="J16" s="2"/>
      <c r="K16" s="3"/>
      <c r="L16" s="2">
        <f t="shared" si="0"/>
        <v>2</v>
      </c>
    </row>
    <row r="17" spans="1:12" ht="18" x14ac:dyDescent="0.3">
      <c r="A17" s="16" t="s">
        <v>24</v>
      </c>
      <c r="B17" s="15" t="s">
        <v>24</v>
      </c>
      <c r="C17" s="8" t="s">
        <v>25</v>
      </c>
      <c r="D17" s="2"/>
      <c r="E17" s="2"/>
      <c r="F17" s="2"/>
      <c r="G17" s="2"/>
      <c r="H17" s="2">
        <v>2</v>
      </c>
      <c r="I17" s="3" t="s">
        <v>66</v>
      </c>
      <c r="J17" s="2">
        <v>2</v>
      </c>
      <c r="K17" s="3" t="s">
        <v>66</v>
      </c>
      <c r="L17" s="2">
        <f t="shared" si="0"/>
        <v>4</v>
      </c>
    </row>
    <row r="18" spans="1:12" ht="18" x14ac:dyDescent="0.3">
      <c r="A18" s="16" t="s">
        <v>24</v>
      </c>
      <c r="B18" s="16" t="s">
        <v>24</v>
      </c>
      <c r="C18" s="8" t="s">
        <v>26</v>
      </c>
      <c r="D18" s="2"/>
      <c r="E18" s="2"/>
      <c r="F18" s="2"/>
      <c r="G18" s="2"/>
      <c r="H18" s="2">
        <v>2</v>
      </c>
      <c r="I18" s="4" t="s">
        <v>61</v>
      </c>
      <c r="J18" s="2">
        <v>2</v>
      </c>
      <c r="K18" s="3" t="s">
        <v>67</v>
      </c>
      <c r="L18" s="2">
        <f t="shared" si="0"/>
        <v>4</v>
      </c>
    </row>
    <row r="19" spans="1:12" ht="15.6" x14ac:dyDescent="0.3">
      <c r="A19" s="25" t="s">
        <v>32</v>
      </c>
      <c r="B19" s="25"/>
      <c r="C19" s="25"/>
      <c r="D19" s="4">
        <f>SUM(D7:D18)</f>
        <v>14</v>
      </c>
      <c r="E19" s="4"/>
      <c r="F19" s="4">
        <f t="shared" ref="F19" si="1">SUM(F7:F18)</f>
        <v>12</v>
      </c>
      <c r="G19" s="4"/>
      <c r="H19" s="4">
        <f t="shared" ref="H19" si="2">SUM(H7:H18)</f>
        <v>12</v>
      </c>
      <c r="I19" s="4"/>
      <c r="J19" s="4">
        <f t="shared" ref="J19" si="3">SUM(J7:J18)</f>
        <v>12</v>
      </c>
      <c r="K19" s="4"/>
      <c r="L19" s="4">
        <f t="shared" ref="L19" si="4">SUM(L7:L18)</f>
        <v>50</v>
      </c>
    </row>
    <row r="20" spans="1:12" ht="15.6" x14ac:dyDescent="0.3">
      <c r="A20" s="20" t="s">
        <v>33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 ht="18" x14ac:dyDescent="0.3">
      <c r="A21" s="15" t="s">
        <v>9</v>
      </c>
      <c r="B21" s="17" t="s">
        <v>78</v>
      </c>
      <c r="C21" s="9" t="s">
        <v>34</v>
      </c>
      <c r="D21" s="6"/>
      <c r="E21" s="6"/>
      <c r="F21" s="6"/>
      <c r="G21" s="6"/>
      <c r="H21" s="6">
        <v>2</v>
      </c>
      <c r="I21" s="7" t="s">
        <v>68</v>
      </c>
      <c r="J21" s="6"/>
      <c r="K21" s="6"/>
      <c r="L21" s="2">
        <f t="shared" ref="L21:L27" si="5">+D21+F21+H21+J21</f>
        <v>2</v>
      </c>
    </row>
    <row r="22" spans="1:12" ht="18" x14ac:dyDescent="0.3">
      <c r="A22" s="15" t="s">
        <v>35</v>
      </c>
      <c r="B22" s="15" t="s">
        <v>35</v>
      </c>
      <c r="C22" s="9" t="s">
        <v>36</v>
      </c>
      <c r="D22" s="6"/>
      <c r="E22" s="6"/>
      <c r="F22" s="6">
        <v>2</v>
      </c>
      <c r="G22" s="7">
        <v>7</v>
      </c>
      <c r="H22" s="6"/>
      <c r="I22" s="6"/>
      <c r="J22" s="6"/>
      <c r="K22" s="6"/>
      <c r="L22" s="2">
        <f t="shared" si="5"/>
        <v>2</v>
      </c>
    </row>
    <row r="23" spans="1:12" ht="18" x14ac:dyDescent="0.3">
      <c r="A23" s="15" t="s">
        <v>15</v>
      </c>
      <c r="B23" s="17" t="s">
        <v>76</v>
      </c>
      <c r="C23" s="9" t="s">
        <v>37</v>
      </c>
      <c r="D23" s="6"/>
      <c r="E23" s="6"/>
      <c r="F23" s="6"/>
      <c r="G23" s="6"/>
      <c r="H23" s="6"/>
      <c r="I23" s="6"/>
      <c r="J23" s="6">
        <v>2</v>
      </c>
      <c r="K23" s="7" t="s">
        <v>70</v>
      </c>
      <c r="L23" s="2">
        <f t="shared" si="5"/>
        <v>2</v>
      </c>
    </row>
    <row r="24" spans="1:12" ht="18" x14ac:dyDescent="0.3">
      <c r="A24" s="15" t="s">
        <v>15</v>
      </c>
      <c r="B24" s="17" t="s">
        <v>15</v>
      </c>
      <c r="C24" s="9" t="s">
        <v>38</v>
      </c>
      <c r="D24" s="6"/>
      <c r="E24" s="6"/>
      <c r="F24" s="6"/>
      <c r="G24" s="6"/>
      <c r="H24" s="6"/>
      <c r="I24" s="6"/>
      <c r="J24" s="6">
        <v>2</v>
      </c>
      <c r="K24" s="7" t="s">
        <v>72</v>
      </c>
      <c r="L24" s="2">
        <f t="shared" si="5"/>
        <v>2</v>
      </c>
    </row>
    <row r="25" spans="1:12" ht="18" x14ac:dyDescent="0.3">
      <c r="A25" s="15" t="s">
        <v>20</v>
      </c>
      <c r="B25" s="15" t="s">
        <v>20</v>
      </c>
      <c r="C25" s="9" t="s">
        <v>39</v>
      </c>
      <c r="D25" s="6"/>
      <c r="E25" s="6"/>
      <c r="F25" s="6"/>
      <c r="G25" s="6"/>
      <c r="H25" s="6">
        <v>2</v>
      </c>
      <c r="I25" s="7" t="s">
        <v>69</v>
      </c>
      <c r="J25" s="6"/>
      <c r="K25" s="6"/>
      <c r="L25" s="2">
        <f t="shared" si="5"/>
        <v>2</v>
      </c>
    </row>
    <row r="26" spans="1:12" ht="28.8" x14ac:dyDescent="0.3">
      <c r="A26" s="15" t="s">
        <v>20</v>
      </c>
      <c r="B26" s="15" t="s">
        <v>20</v>
      </c>
      <c r="C26" s="9" t="s">
        <v>40</v>
      </c>
      <c r="D26" s="6"/>
      <c r="E26" s="6"/>
      <c r="F26" s="6">
        <v>2</v>
      </c>
      <c r="G26" s="7">
        <v>8</v>
      </c>
      <c r="H26" s="6"/>
      <c r="I26" s="6"/>
      <c r="J26" s="6"/>
      <c r="K26" s="6"/>
      <c r="L26" s="2">
        <f t="shared" si="5"/>
        <v>2</v>
      </c>
    </row>
    <row r="27" spans="1:12" ht="18" x14ac:dyDescent="0.3">
      <c r="A27" s="15" t="s">
        <v>41</v>
      </c>
      <c r="B27" s="15" t="s">
        <v>41</v>
      </c>
      <c r="C27" s="9" t="s">
        <v>42</v>
      </c>
      <c r="D27" s="6"/>
      <c r="E27" s="6"/>
      <c r="F27" s="6"/>
      <c r="G27" s="6"/>
      <c r="H27" s="6">
        <v>2</v>
      </c>
      <c r="I27" s="7" t="s">
        <v>70</v>
      </c>
      <c r="J27" s="6"/>
      <c r="K27" s="6"/>
      <c r="L27" s="2">
        <f t="shared" si="5"/>
        <v>2</v>
      </c>
    </row>
    <row r="28" spans="1:12" ht="15.6" x14ac:dyDescent="0.3">
      <c r="A28" s="21" t="s">
        <v>43</v>
      </c>
      <c r="B28" s="22"/>
      <c r="C28" s="23"/>
      <c r="D28" s="4">
        <f>SUM(D21:D27)</f>
        <v>0</v>
      </c>
      <c r="E28" s="4"/>
      <c r="F28" s="4">
        <f t="shared" ref="F28" si="6">SUM(F21:F27)</f>
        <v>4</v>
      </c>
      <c r="G28" s="4"/>
      <c r="H28" s="4">
        <f t="shared" ref="H28" si="7">SUM(H21:H27)</f>
        <v>6</v>
      </c>
      <c r="I28" s="4"/>
      <c r="J28" s="4">
        <f t="shared" ref="J28" si="8">SUM(J21:J27)</f>
        <v>4</v>
      </c>
      <c r="K28" s="4"/>
      <c r="L28" s="4">
        <f t="shared" ref="L28" si="9">SUM(L21:L27)</f>
        <v>14</v>
      </c>
    </row>
    <row r="29" spans="1:12" ht="15.6" x14ac:dyDescent="0.3">
      <c r="A29" s="21" t="s">
        <v>44</v>
      </c>
      <c r="B29" s="22"/>
      <c r="C29" s="23"/>
      <c r="D29" s="4">
        <f>+D19+D28</f>
        <v>14</v>
      </c>
      <c r="E29" s="4"/>
      <c r="F29" s="4">
        <f t="shared" ref="F29" si="10">+F19+F28</f>
        <v>16</v>
      </c>
      <c r="G29" s="4"/>
      <c r="H29" s="4">
        <f t="shared" ref="H29" si="11">+H19+H28</f>
        <v>18</v>
      </c>
      <c r="I29" s="4"/>
      <c r="J29" s="4">
        <f t="shared" ref="J29" si="12">+J19+J28</f>
        <v>16</v>
      </c>
      <c r="K29" s="4"/>
      <c r="L29" s="4">
        <f t="shared" ref="L29" si="13">+L19+L28</f>
        <v>64</v>
      </c>
    </row>
    <row r="30" spans="1:12" x14ac:dyDescent="0.3">
      <c r="A30" s="19" t="s">
        <v>81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</sheetData>
  <mergeCells count="17">
    <mergeCell ref="A1:L1"/>
    <mergeCell ref="A2:L2"/>
    <mergeCell ref="A3:L3"/>
    <mergeCell ref="A4:B5"/>
    <mergeCell ref="D4:E4"/>
    <mergeCell ref="F4:G4"/>
    <mergeCell ref="H4:I4"/>
    <mergeCell ref="J4:K4"/>
    <mergeCell ref="A30:L30"/>
    <mergeCell ref="A20:L20"/>
    <mergeCell ref="A28:C28"/>
    <mergeCell ref="A29:C29"/>
    <mergeCell ref="D5:E5"/>
    <mergeCell ref="F5:G5"/>
    <mergeCell ref="H5:I5"/>
    <mergeCell ref="J5:K5"/>
    <mergeCell ref="A19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abSelected="1" zoomScale="55" zoomScaleNormal="55" workbookViewId="0">
      <selection activeCell="A27" sqref="A27:L27"/>
    </sheetView>
  </sheetViews>
  <sheetFormatPr defaultRowHeight="14.4" x14ac:dyDescent="0.3"/>
  <cols>
    <col min="1" max="1" width="11.33203125" bestFit="1" customWidth="1"/>
    <col min="2" max="2" width="13.109375" bestFit="1" customWidth="1"/>
    <col min="3" max="3" width="11.5546875" bestFit="1" customWidth="1"/>
  </cols>
  <sheetData>
    <row r="1" spans="1:12" ht="18" x14ac:dyDescent="0.3">
      <c r="A1" s="31" t="s">
        <v>45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18" x14ac:dyDescent="0.3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ht="15.6" x14ac:dyDescent="0.3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ht="31.2" x14ac:dyDescent="0.3">
      <c r="A4" s="27" t="s">
        <v>5</v>
      </c>
      <c r="B4" s="28"/>
      <c r="C4" s="11" t="s">
        <v>74</v>
      </c>
      <c r="D4" s="25">
        <v>8</v>
      </c>
      <c r="E4" s="25"/>
      <c r="F4" s="25">
        <v>8</v>
      </c>
      <c r="G4" s="25"/>
      <c r="H4" s="25">
        <v>10</v>
      </c>
      <c r="I4" s="25"/>
      <c r="J4" s="25">
        <v>10</v>
      </c>
      <c r="K4" s="25"/>
      <c r="L4" s="1" t="s">
        <v>3</v>
      </c>
    </row>
    <row r="5" spans="1:12" ht="15.6" x14ac:dyDescent="0.3">
      <c r="A5" s="29"/>
      <c r="B5" s="30"/>
      <c r="C5" s="12"/>
      <c r="D5" s="24" t="s">
        <v>80</v>
      </c>
      <c r="E5" s="24"/>
      <c r="F5" s="24" t="s">
        <v>6</v>
      </c>
      <c r="G5" s="24"/>
      <c r="H5" s="24" t="s">
        <v>82</v>
      </c>
      <c r="I5" s="24"/>
      <c r="J5" s="24" t="s">
        <v>4</v>
      </c>
      <c r="K5" s="24"/>
      <c r="L5" s="1">
        <f>D4+F4+H4+J4</f>
        <v>36</v>
      </c>
    </row>
    <row r="6" spans="1:12" ht="31.2" x14ac:dyDescent="0.3">
      <c r="A6" s="1" t="s">
        <v>27</v>
      </c>
      <c r="B6" s="1" t="s">
        <v>28</v>
      </c>
      <c r="C6" s="5" t="s">
        <v>29</v>
      </c>
      <c r="D6" s="5" t="s">
        <v>30</v>
      </c>
      <c r="E6" s="5" t="s">
        <v>31</v>
      </c>
      <c r="F6" s="5" t="s">
        <v>30</v>
      </c>
      <c r="G6" s="5" t="s">
        <v>31</v>
      </c>
      <c r="H6" s="5" t="s">
        <v>30</v>
      </c>
      <c r="I6" s="5" t="s">
        <v>31</v>
      </c>
      <c r="J6" s="5" t="s">
        <v>30</v>
      </c>
      <c r="K6" s="5" t="s">
        <v>31</v>
      </c>
      <c r="L6" s="5" t="s">
        <v>30</v>
      </c>
    </row>
    <row r="7" spans="1:12" ht="15.6" x14ac:dyDescent="0.3">
      <c r="A7" s="2" t="s">
        <v>8</v>
      </c>
      <c r="B7" s="2" t="s">
        <v>8</v>
      </c>
      <c r="C7" s="2" t="s">
        <v>46</v>
      </c>
      <c r="D7" s="2">
        <v>2</v>
      </c>
      <c r="E7" s="4">
        <v>2</v>
      </c>
      <c r="F7" s="2"/>
      <c r="G7" s="2"/>
      <c r="H7" s="2">
        <v>2</v>
      </c>
      <c r="I7" s="4" t="s">
        <v>63</v>
      </c>
      <c r="J7" s="2"/>
      <c r="K7" s="2"/>
      <c r="L7" s="2">
        <f t="shared" ref="L7:L18" si="0">+D7+F7+H7+J7</f>
        <v>4</v>
      </c>
    </row>
    <row r="8" spans="1:12" ht="18" x14ac:dyDescent="0.3">
      <c r="A8" s="2" t="s">
        <v>47</v>
      </c>
      <c r="B8" s="2" t="s">
        <v>47</v>
      </c>
      <c r="C8" s="2" t="s">
        <v>48</v>
      </c>
      <c r="D8" s="2"/>
      <c r="E8" s="4"/>
      <c r="F8" s="2"/>
      <c r="G8" s="2"/>
      <c r="H8" s="2"/>
      <c r="I8" s="4"/>
      <c r="J8" s="2">
        <v>2</v>
      </c>
      <c r="K8" s="3" t="s">
        <v>62</v>
      </c>
      <c r="L8" s="2">
        <f t="shared" si="0"/>
        <v>2</v>
      </c>
    </row>
    <row r="9" spans="1:12" ht="18" x14ac:dyDescent="0.3">
      <c r="A9" s="2" t="s">
        <v>47</v>
      </c>
      <c r="B9" s="2" t="s">
        <v>47</v>
      </c>
      <c r="C9" s="2" t="s">
        <v>49</v>
      </c>
      <c r="D9" s="2">
        <v>2</v>
      </c>
      <c r="E9" s="4">
        <v>4</v>
      </c>
      <c r="F9" s="2"/>
      <c r="G9" s="2"/>
      <c r="H9" s="2">
        <v>2</v>
      </c>
      <c r="I9" s="4" t="s">
        <v>65</v>
      </c>
      <c r="J9" s="2">
        <v>2</v>
      </c>
      <c r="K9" s="3" t="s">
        <v>63</v>
      </c>
      <c r="L9" s="2">
        <f t="shared" si="0"/>
        <v>6</v>
      </c>
    </row>
    <row r="10" spans="1:12" ht="18" x14ac:dyDescent="0.3">
      <c r="A10" s="2" t="s">
        <v>11</v>
      </c>
      <c r="B10" s="13" t="s">
        <v>75</v>
      </c>
      <c r="C10" s="2" t="s">
        <v>50</v>
      </c>
      <c r="D10" s="2"/>
      <c r="E10" s="4"/>
      <c r="F10" s="2"/>
      <c r="G10" s="2"/>
      <c r="H10" s="2"/>
      <c r="I10" s="4"/>
      <c r="J10" s="2"/>
      <c r="K10" s="3"/>
      <c r="L10" s="2">
        <f t="shared" si="0"/>
        <v>0</v>
      </c>
    </row>
    <row r="11" spans="1:12" ht="18" x14ac:dyDescent="0.3">
      <c r="A11" s="2" t="s">
        <v>11</v>
      </c>
      <c r="B11" s="13" t="s">
        <v>75</v>
      </c>
      <c r="C11" s="2" t="s">
        <v>51</v>
      </c>
      <c r="D11" s="2"/>
      <c r="E11" s="4"/>
      <c r="F11" s="2"/>
      <c r="G11" s="2"/>
      <c r="H11" s="2"/>
      <c r="I11" s="4"/>
      <c r="J11" s="2">
        <v>2</v>
      </c>
      <c r="K11" s="3" t="s">
        <v>73</v>
      </c>
      <c r="L11" s="2">
        <f t="shared" si="0"/>
        <v>2</v>
      </c>
    </row>
    <row r="12" spans="1:12" ht="18" x14ac:dyDescent="0.3">
      <c r="A12" s="2" t="s">
        <v>15</v>
      </c>
      <c r="B12" s="2" t="s">
        <v>15</v>
      </c>
      <c r="C12" s="2" t="s">
        <v>52</v>
      </c>
      <c r="D12" s="2">
        <v>2</v>
      </c>
      <c r="E12" s="4">
        <v>1</v>
      </c>
      <c r="F12" s="2"/>
      <c r="G12" s="2"/>
      <c r="H12" s="2">
        <v>2</v>
      </c>
      <c r="I12" s="4" t="s">
        <v>62</v>
      </c>
      <c r="J12" s="2"/>
      <c r="K12" s="3"/>
      <c r="L12" s="2">
        <f t="shared" si="0"/>
        <v>4</v>
      </c>
    </row>
    <row r="13" spans="1:12" ht="18" x14ac:dyDescent="0.3">
      <c r="A13" s="2" t="s">
        <v>15</v>
      </c>
      <c r="B13" s="13" t="s">
        <v>76</v>
      </c>
      <c r="C13" s="2" t="s">
        <v>53</v>
      </c>
      <c r="D13" s="2"/>
      <c r="E13" s="4"/>
      <c r="F13" s="2"/>
      <c r="G13" s="2"/>
      <c r="H13" s="2">
        <v>2</v>
      </c>
      <c r="I13" s="4" t="s">
        <v>66</v>
      </c>
      <c r="J13" s="2"/>
      <c r="K13" s="3"/>
      <c r="L13" s="2">
        <f t="shared" si="0"/>
        <v>2</v>
      </c>
    </row>
    <row r="14" spans="1:12" ht="18" x14ac:dyDescent="0.3">
      <c r="A14" s="2" t="s">
        <v>17</v>
      </c>
      <c r="B14" s="2" t="s">
        <v>17</v>
      </c>
      <c r="C14" s="2" t="s">
        <v>54</v>
      </c>
      <c r="D14" s="2">
        <v>2</v>
      </c>
      <c r="E14" s="4">
        <v>3</v>
      </c>
      <c r="F14" s="2"/>
      <c r="G14" s="2"/>
      <c r="H14" s="2"/>
      <c r="I14" s="4"/>
      <c r="J14" s="2"/>
      <c r="K14" s="3"/>
      <c r="L14" s="2">
        <f t="shared" si="0"/>
        <v>2</v>
      </c>
    </row>
    <row r="15" spans="1:12" ht="18" x14ac:dyDescent="0.3">
      <c r="A15" s="2" t="s">
        <v>20</v>
      </c>
      <c r="B15" s="18" t="s">
        <v>77</v>
      </c>
      <c r="C15" s="2" t="s">
        <v>55</v>
      </c>
      <c r="D15" s="2"/>
      <c r="E15" s="2"/>
      <c r="F15" s="2"/>
      <c r="G15" s="2"/>
      <c r="H15" s="2"/>
      <c r="I15" s="4"/>
      <c r="J15" s="2"/>
      <c r="K15" s="3"/>
      <c r="L15" s="2">
        <f t="shared" si="0"/>
        <v>0</v>
      </c>
    </row>
    <row r="16" spans="1:12" ht="18" x14ac:dyDescent="0.3">
      <c r="A16" s="2" t="s">
        <v>20</v>
      </c>
      <c r="B16" s="18" t="s">
        <v>77</v>
      </c>
      <c r="C16" s="2" t="s">
        <v>53</v>
      </c>
      <c r="D16" s="2"/>
      <c r="E16" s="2"/>
      <c r="F16" s="2">
        <v>2</v>
      </c>
      <c r="G16" s="3">
        <v>1</v>
      </c>
      <c r="H16" s="2"/>
      <c r="I16" s="4"/>
      <c r="J16" s="2"/>
      <c r="K16" s="3"/>
      <c r="L16" s="2">
        <f t="shared" si="0"/>
        <v>2</v>
      </c>
    </row>
    <row r="17" spans="1:12" ht="18" x14ac:dyDescent="0.3">
      <c r="A17" s="2" t="s">
        <v>20</v>
      </c>
      <c r="B17" s="18" t="s">
        <v>77</v>
      </c>
      <c r="C17" s="2" t="s">
        <v>56</v>
      </c>
      <c r="D17" s="2"/>
      <c r="E17" s="2"/>
      <c r="F17" s="2"/>
      <c r="G17" s="2"/>
      <c r="H17" s="2">
        <v>2</v>
      </c>
      <c r="I17" s="4" t="s">
        <v>73</v>
      </c>
      <c r="J17" s="2"/>
      <c r="K17" s="3"/>
      <c r="L17" s="2">
        <f t="shared" si="0"/>
        <v>2</v>
      </c>
    </row>
    <row r="18" spans="1:12" ht="18" x14ac:dyDescent="0.3">
      <c r="A18" s="2" t="s">
        <v>41</v>
      </c>
      <c r="B18" s="6" t="s">
        <v>41</v>
      </c>
      <c r="C18" s="2" t="s">
        <v>56</v>
      </c>
      <c r="D18" s="2"/>
      <c r="E18" s="2"/>
      <c r="F18" s="2"/>
      <c r="G18" s="2"/>
      <c r="H18" s="2"/>
      <c r="I18" s="2"/>
      <c r="J18" s="2">
        <v>2</v>
      </c>
      <c r="K18" s="3" t="s">
        <v>65</v>
      </c>
      <c r="L18" s="2">
        <f t="shared" si="0"/>
        <v>2</v>
      </c>
    </row>
    <row r="19" spans="1:12" ht="15.6" x14ac:dyDescent="0.3">
      <c r="A19" s="25" t="s">
        <v>32</v>
      </c>
      <c r="B19" s="25"/>
      <c r="C19" s="25"/>
      <c r="D19" s="4">
        <f>SUM(D7:D18)</f>
        <v>8</v>
      </c>
      <c r="E19" s="4"/>
      <c r="F19" s="4">
        <f t="shared" ref="F19" si="1">SUM(F7:F18)</f>
        <v>2</v>
      </c>
      <c r="G19" s="4"/>
      <c r="H19" s="4">
        <f t="shared" ref="H19" si="2">SUM(H7:H18)</f>
        <v>10</v>
      </c>
      <c r="I19" s="4"/>
      <c r="J19" s="4">
        <f t="shared" ref="J19" si="3">SUM(J7:J18)</f>
        <v>8</v>
      </c>
      <c r="K19" s="4"/>
      <c r="L19" s="4">
        <f t="shared" ref="L19" si="4">SUM(L7:L18)</f>
        <v>28</v>
      </c>
    </row>
    <row r="20" spans="1:12" ht="15.6" x14ac:dyDescent="0.3">
      <c r="A20" s="20" t="s">
        <v>33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 ht="15.6" x14ac:dyDescent="0.3">
      <c r="A21" s="2" t="s">
        <v>83</v>
      </c>
      <c r="B21" s="17" t="s">
        <v>79</v>
      </c>
      <c r="C21" s="2" t="s">
        <v>57</v>
      </c>
      <c r="D21" s="2"/>
      <c r="E21" s="2"/>
      <c r="F21" s="2">
        <v>2</v>
      </c>
      <c r="G21" s="4">
        <v>4</v>
      </c>
      <c r="H21" s="2"/>
      <c r="I21" s="2"/>
      <c r="J21" s="2"/>
      <c r="K21" s="2"/>
      <c r="L21" s="2">
        <f t="shared" ref="L21:L24" si="5">+D21+F21+H21+J21</f>
        <v>2</v>
      </c>
    </row>
    <row r="22" spans="1:12" ht="15.6" x14ac:dyDescent="0.3">
      <c r="A22" s="2" t="s">
        <v>15</v>
      </c>
      <c r="B22" s="17" t="s">
        <v>76</v>
      </c>
      <c r="C22" s="2" t="s">
        <v>37</v>
      </c>
      <c r="D22" s="2"/>
      <c r="E22" s="2"/>
      <c r="F22" s="2"/>
      <c r="G22" s="4"/>
      <c r="H22" s="2"/>
      <c r="I22" s="2"/>
      <c r="J22" s="2">
        <v>2</v>
      </c>
      <c r="K22" s="4" t="s">
        <v>66</v>
      </c>
      <c r="L22" s="2">
        <f t="shared" si="5"/>
        <v>2</v>
      </c>
    </row>
    <row r="23" spans="1:12" ht="15.6" x14ac:dyDescent="0.3">
      <c r="A23" s="17" t="s">
        <v>15</v>
      </c>
      <c r="B23" s="17" t="s">
        <v>15</v>
      </c>
      <c r="C23" s="2" t="s">
        <v>58</v>
      </c>
      <c r="D23" s="2"/>
      <c r="E23" s="2"/>
      <c r="F23" s="2">
        <v>2</v>
      </c>
      <c r="G23" s="4">
        <v>2</v>
      </c>
      <c r="H23" s="2"/>
      <c r="I23" s="2"/>
      <c r="J23" s="2"/>
      <c r="K23" s="2"/>
      <c r="L23" s="2">
        <f t="shared" si="5"/>
        <v>2</v>
      </c>
    </row>
    <row r="24" spans="1:12" ht="15.6" x14ac:dyDescent="0.3">
      <c r="A24" s="2" t="s">
        <v>17</v>
      </c>
      <c r="B24" s="2" t="s">
        <v>17</v>
      </c>
      <c r="C24" s="2" t="s">
        <v>59</v>
      </c>
      <c r="D24" s="2"/>
      <c r="E24" s="2"/>
      <c r="F24" s="2">
        <v>2</v>
      </c>
      <c r="G24" s="4">
        <v>3</v>
      </c>
      <c r="H24" s="2"/>
      <c r="I24" s="2"/>
      <c r="J24" s="2"/>
      <c r="K24" s="2"/>
      <c r="L24" s="2">
        <f t="shared" si="5"/>
        <v>2</v>
      </c>
    </row>
    <row r="25" spans="1:12" ht="15.6" x14ac:dyDescent="0.3">
      <c r="A25" s="21" t="s">
        <v>43</v>
      </c>
      <c r="B25" s="22"/>
      <c r="C25" s="23"/>
      <c r="D25" s="4">
        <f>SUM(D21:D24)</f>
        <v>0</v>
      </c>
      <c r="E25" s="4"/>
      <c r="F25" s="4">
        <f t="shared" ref="F25" si="6">SUM(F21:F24)</f>
        <v>6</v>
      </c>
      <c r="G25" s="4"/>
      <c r="H25" s="4">
        <f t="shared" ref="H25" si="7">SUM(H21:H24)</f>
        <v>0</v>
      </c>
      <c r="I25" s="4"/>
      <c r="J25" s="4">
        <f t="shared" ref="J25" si="8">SUM(J21:J24)</f>
        <v>2</v>
      </c>
      <c r="K25" s="4"/>
      <c r="L25" s="4">
        <f t="shared" ref="L25" si="9">SUM(L21:L24)</f>
        <v>8</v>
      </c>
    </row>
    <row r="26" spans="1:12" ht="15.6" x14ac:dyDescent="0.3">
      <c r="A26" s="21" t="s">
        <v>44</v>
      </c>
      <c r="B26" s="22"/>
      <c r="C26" s="23"/>
      <c r="D26" s="4">
        <f>+D19+D25</f>
        <v>8</v>
      </c>
      <c r="E26" s="4"/>
      <c r="F26" s="4">
        <f t="shared" ref="F26" si="10">+F19+F25</f>
        <v>8</v>
      </c>
      <c r="G26" s="4"/>
      <c r="H26" s="4">
        <f t="shared" ref="H26" si="11">+H19+H25</f>
        <v>10</v>
      </c>
      <c r="I26" s="4"/>
      <c r="J26" s="4">
        <f t="shared" ref="J26" si="12">+J19+J25</f>
        <v>10</v>
      </c>
      <c r="K26" s="4"/>
      <c r="L26" s="4">
        <f t="shared" ref="L26" si="13">+L19+L25</f>
        <v>36</v>
      </c>
    </row>
    <row r="27" spans="1:12" x14ac:dyDescent="0.3">
      <c r="A27" s="19" t="s">
        <v>81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</sheetData>
  <mergeCells count="17">
    <mergeCell ref="A1:L1"/>
    <mergeCell ref="A2:L2"/>
    <mergeCell ref="A3:L3"/>
    <mergeCell ref="A4:B5"/>
    <mergeCell ref="D4:E4"/>
    <mergeCell ref="F4:G4"/>
    <mergeCell ref="H4:I4"/>
    <mergeCell ref="J4:K4"/>
    <mergeCell ref="D5:E5"/>
    <mergeCell ref="A27:L27"/>
    <mergeCell ref="A26:C26"/>
    <mergeCell ref="F5:G5"/>
    <mergeCell ref="H5:I5"/>
    <mergeCell ref="J5:K5"/>
    <mergeCell ref="A19:C19"/>
    <mergeCell ref="A20:L20"/>
    <mergeCell ref="A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2026-09-23T07:32:04Z</dcterms:modified>
</cp:coreProperties>
</file>
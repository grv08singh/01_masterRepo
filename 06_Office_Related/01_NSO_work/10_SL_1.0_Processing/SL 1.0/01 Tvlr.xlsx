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10_SL_1.0_Processing\AS 1.0 SL\"/>
    </mc:Choice>
  </mc:AlternateContent>
  <xr:revisionPtr revIDLastSave="0" documentId="13_ncr:1_{ECC0B0BF-4B19-40A9-9DB4-18B8CFB3027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tratum-wise CS " sheetId="9" r:id="rId1"/>
    <sheet name="stratum-wiseSS" sheetId="8" r:id="rId2"/>
    <sheet name="central &amp; state stratum-wise vi" sheetId="4" r:id="rId3"/>
    <sheet name="Working sheet" sheetId="5" r:id="rId4"/>
  </sheets>
  <definedNames>
    <definedName name="_xlnm.Print_Area" localSheetId="2">'central &amp; state stratum-wise vi'!$A$1:$I$160</definedName>
    <definedName name="_xlnm.Print_Area" localSheetId="0">'stratum-wise CS '!$A$1:$F$10</definedName>
    <definedName name="_xlnm.Print_Area" localSheetId="1">'stratum-wiseSS'!$A$1:$F$10</definedName>
    <definedName name="_xlnm.Print_Titles" localSheetId="2">'central &amp; state stratum-wise vi'!$3:$3</definedName>
    <definedName name="_xlnm.Print_Titles" localSheetId="0">'stratum-wise CS '!$4:$4</definedName>
    <definedName name="_xlnm.Print_Titles" localSheetId="1">'stratum-wiseSS'!$4:$4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5" l="1"/>
  <c r="E8" i="5" s="1"/>
  <c r="E11" i="5" s="1"/>
  <c r="E12" i="5" s="1"/>
  <c r="E13" i="5" s="1"/>
  <c r="E16" i="5"/>
  <c r="E17" i="5" s="1"/>
  <c r="E18" i="5" s="1"/>
  <c r="E19" i="5" s="1"/>
  <c r="E20" i="5" s="1"/>
  <c r="E21" i="5" s="1"/>
  <c r="E22" i="5" s="1"/>
  <c r="E23" i="5" s="1"/>
  <c r="E24" i="5" s="1"/>
  <c r="E25" i="5" s="1"/>
  <c r="D26" i="5"/>
  <c r="D27" i="5" l="1"/>
</calcChain>
</file>

<file path=xl/sharedStrings.xml><?xml version="1.0" encoding="utf-8"?>
<sst xmlns="http://schemas.openxmlformats.org/spreadsheetml/2006/main" count="1092" uniqueCount="332">
  <si>
    <t>TRS_TKCODE</t>
  </si>
  <si>
    <t>TRS_TKNAME</t>
  </si>
  <si>
    <t>TRS_BKCODE</t>
  </si>
  <si>
    <t>TRS_BKNAME</t>
  </si>
  <si>
    <t>VGNAME</t>
  </si>
  <si>
    <t>RV_CODE</t>
  </si>
  <si>
    <t>THIRUVALLUR</t>
  </si>
  <si>
    <t>GUMMIDIPOONDI</t>
  </si>
  <si>
    <t>11</t>
  </si>
  <si>
    <t>68</t>
  </si>
  <si>
    <t>81</t>
  </si>
  <si>
    <t>82</t>
  </si>
  <si>
    <t>71</t>
  </si>
  <si>
    <t>1</t>
  </si>
  <si>
    <t>41</t>
  </si>
  <si>
    <t>16</t>
  </si>
  <si>
    <t>20</t>
  </si>
  <si>
    <t>79</t>
  </si>
  <si>
    <t>NARASINGAPURAM</t>
  </si>
  <si>
    <t>59</t>
  </si>
  <si>
    <t>PALLIPATTU</t>
  </si>
  <si>
    <t>19</t>
  </si>
  <si>
    <t>4</t>
  </si>
  <si>
    <t>3</t>
  </si>
  <si>
    <t>10</t>
  </si>
  <si>
    <t>PONNERI</t>
  </si>
  <si>
    <t>MINJUR</t>
  </si>
  <si>
    <t>6</t>
  </si>
  <si>
    <t>12</t>
  </si>
  <si>
    <t>2</t>
  </si>
  <si>
    <t>56</t>
  </si>
  <si>
    <t>42</t>
  </si>
  <si>
    <t>52</t>
  </si>
  <si>
    <t>55</t>
  </si>
  <si>
    <t>99</t>
  </si>
  <si>
    <t>98</t>
  </si>
  <si>
    <t>33</t>
  </si>
  <si>
    <t>58</t>
  </si>
  <si>
    <t>25</t>
  </si>
  <si>
    <t>17</t>
  </si>
  <si>
    <t>22</t>
  </si>
  <si>
    <t>29</t>
  </si>
  <si>
    <t>SHOLAVARAM</t>
  </si>
  <si>
    <t>112</t>
  </si>
  <si>
    <t>76</t>
  </si>
  <si>
    <t>77</t>
  </si>
  <si>
    <t>67</t>
  </si>
  <si>
    <t>129</t>
  </si>
  <si>
    <t>PUZHAL</t>
  </si>
  <si>
    <t>24</t>
  </si>
  <si>
    <t>31</t>
  </si>
  <si>
    <t>35</t>
  </si>
  <si>
    <t>POONAMALLEE</t>
  </si>
  <si>
    <t>5</t>
  </si>
  <si>
    <t>15</t>
  </si>
  <si>
    <t>8</t>
  </si>
  <si>
    <t>7</t>
  </si>
  <si>
    <t>VILLIVAKKAM</t>
  </si>
  <si>
    <t>VANAGARAM</t>
  </si>
  <si>
    <t>80</t>
  </si>
  <si>
    <t>92</t>
  </si>
  <si>
    <t>32</t>
  </si>
  <si>
    <t>73</t>
  </si>
  <si>
    <t>POONDI</t>
  </si>
  <si>
    <t>21</t>
  </si>
  <si>
    <t>57</t>
  </si>
  <si>
    <t>64</t>
  </si>
  <si>
    <t>9</t>
  </si>
  <si>
    <t>KADAMBATHUR</t>
  </si>
  <si>
    <t>109</t>
  </si>
  <si>
    <t>VENGATHUR</t>
  </si>
  <si>
    <t>ALINJIVAKKAM</t>
  </si>
  <si>
    <t>145</t>
  </si>
  <si>
    <t>134</t>
  </si>
  <si>
    <t>135</t>
  </si>
  <si>
    <t>117</t>
  </si>
  <si>
    <t>143</t>
  </si>
  <si>
    <t>107</t>
  </si>
  <si>
    <t>69</t>
  </si>
  <si>
    <t>ELLAPURAM</t>
  </si>
  <si>
    <t>TIRUTTANI</t>
  </si>
  <si>
    <t>13</t>
  </si>
  <si>
    <t>THIRUVALANGADU</t>
  </si>
  <si>
    <t>34</t>
  </si>
  <si>
    <t>54</t>
  </si>
  <si>
    <t>46</t>
  </si>
  <si>
    <t>UTHUKOTTAI</t>
  </si>
  <si>
    <t>26</t>
  </si>
  <si>
    <t>PERIYAPALAYAM</t>
  </si>
  <si>
    <t>48</t>
  </si>
  <si>
    <t>PALAVAKKAM</t>
  </si>
  <si>
    <t>AVADI</t>
  </si>
  <si>
    <t>R.K.PET</t>
  </si>
  <si>
    <t>18</t>
  </si>
  <si>
    <t>14</t>
  </si>
  <si>
    <t>THIRUVALLUR(01)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</si>
  <si>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</si>
  <si>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</si>
  <si>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</si>
  <si>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</si>
  <si>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</si>
  <si>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 xml:space="preserve">District: </t>
  </si>
  <si>
    <t>Sample : Central /State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</si>
  <si>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</si>
  <si>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</si>
  <si>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</si>
  <si>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</si>
  <si>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</si>
  <si>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</si>
  <si>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</si>
  <si>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</si>
  <si>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</si>
  <si>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</si>
  <si>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</si>
  <si>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GRAND TOTAL</t>
  </si>
  <si>
    <t>Avadi</t>
  </si>
  <si>
    <t>Poonamallee</t>
  </si>
  <si>
    <t>Villivakkam</t>
  </si>
  <si>
    <t>Gummidipoondi</t>
  </si>
  <si>
    <t>Pallipet</t>
  </si>
  <si>
    <t>Ponneri</t>
  </si>
  <si>
    <t>Minjur</t>
  </si>
  <si>
    <t>Puzhal</t>
  </si>
  <si>
    <t>Sh0lavaram</t>
  </si>
  <si>
    <t>R.K.Pet</t>
  </si>
  <si>
    <t xml:space="preserve">Thiruvallur </t>
  </si>
  <si>
    <t>Ellapuram</t>
  </si>
  <si>
    <t>Thiruvallur</t>
  </si>
  <si>
    <t>Kadambathur</t>
  </si>
  <si>
    <t>Thiruvalllur</t>
  </si>
  <si>
    <t>Poondi</t>
  </si>
  <si>
    <t>Thiruthani</t>
  </si>
  <si>
    <t>Thiruvalangadu</t>
  </si>
  <si>
    <t>Uthukottai</t>
  </si>
  <si>
    <t>AGRAHARAMEL</t>
  </si>
  <si>
    <t>VILINGIYEMPAKKAM</t>
  </si>
  <si>
    <t>POTHUR</t>
  </si>
  <si>
    <t>PAMMADUKULAM</t>
  </si>
  <si>
    <t>MITANAMALLI</t>
  </si>
  <si>
    <t>VELLANOR_2</t>
  </si>
  <si>
    <t>SIRUPULALPETTAI__2</t>
  </si>
  <si>
    <t>AUTHUPAKKAM</t>
  </si>
  <si>
    <t>NAIDUKUPPAM</t>
  </si>
  <si>
    <t>NELVOY</t>
  </si>
  <si>
    <t>37</t>
  </si>
  <si>
    <t>ERUKKUVOY</t>
  </si>
  <si>
    <t>THERVOY KANDIGAI</t>
  </si>
  <si>
    <t>GETNAMALLEE</t>
  </si>
  <si>
    <t>45</t>
  </si>
  <si>
    <t>PUDUGUMMIDIPUNDI</t>
  </si>
  <si>
    <t>KANNAMBAKKAM</t>
  </si>
  <si>
    <t>MELAKALANI</t>
  </si>
  <si>
    <t>AYANALLUR</t>
  </si>
  <si>
    <t>KEELMUDALAMBEDU_2</t>
  </si>
  <si>
    <t>VAZHUTHALAMBEDU</t>
  </si>
  <si>
    <t>66</t>
  </si>
  <si>
    <t>EDUR</t>
  </si>
  <si>
    <t>APPAVARAM</t>
  </si>
  <si>
    <t>PERIA_OBULAPURAM</t>
  </si>
  <si>
    <t>50</t>
  </si>
  <si>
    <t>CHEDILPAKKAM</t>
  </si>
  <si>
    <t>AATHIVARAKAPURAM
(  GP)</t>
  </si>
  <si>
    <t>DEVALAMPAPURAM</t>
  </si>
  <si>
    <t>VEDIYANGADU</t>
  </si>
  <si>
    <t>AYYANERI_(WEST)(C BLOCK)</t>
  </si>
  <si>
    <t>S.PADAMAPURAM (A-B BLOCK)</t>
  </si>
  <si>
    <t>PADMAPURAM</t>
  </si>
  <si>
    <t>CHELLATHUR</t>
  </si>
  <si>
    <t>VILAKANAMPOODI</t>
  </si>
  <si>
    <t>ENAMBAKKAM</t>
  </si>
  <si>
    <t>SENJIAGARAM</t>
  </si>
  <si>
    <t>THAMARAIKUPPAM</t>
  </si>
  <si>
    <t>40</t>
  </si>
  <si>
    <t>CHITTIRIYAMPAKKAM</t>
  </si>
  <si>
    <t>VADAMADURAI_A</t>
  </si>
  <si>
    <t>VADAMADURAI_B</t>
  </si>
  <si>
    <t>ATHANGIKAVANUR</t>
  </si>
  <si>
    <t>74</t>
  </si>
  <si>
    <t>75</t>
  </si>
  <si>
    <t>KANNIGAIPAIR_SOUTH</t>
  </si>
  <si>
    <t>90</t>
  </si>
  <si>
    <t>ALAPAKKAM</t>
  </si>
  <si>
    <t>KANNIGAIPAIR_NORTH</t>
  </si>
  <si>
    <t>MAMBAKKAM</t>
  </si>
  <si>
    <t>VEMBEDU</t>
  </si>
  <si>
    <t>KORAKATHNDALAM</t>
  </si>
  <si>
    <t>GOVINDARAJAKUPPAM</t>
  </si>
  <si>
    <t>KALAVAI</t>
  </si>
  <si>
    <t>MEIYUR</t>
  </si>
  <si>
    <t>ANANDERI</t>
  </si>
  <si>
    <t>36</t>
  </si>
  <si>
    <t>ARUMGULAM</t>
  </si>
  <si>
    <t>CHINNAMADALI</t>
  </si>
  <si>
    <t>KOLLALAKUPPAM</t>
  </si>
  <si>
    <t>27</t>
  </si>
  <si>
    <t>ZAHIRMANGALAM</t>
  </si>
  <si>
    <t>51</t>
  </si>
  <si>
    <t>POONIMAGADU_A</t>
  </si>
  <si>
    <t>28</t>
  </si>
  <si>
    <t>RAJAPADAMPURAM</t>
  </si>
  <si>
    <t>MUTHUKONDAPURAM</t>
  </si>
  <si>
    <t>ORATHUR</t>
  </si>
  <si>
    <t>NEDUMBARAM</t>
  </si>
  <si>
    <t>BEERAKUPPAM</t>
  </si>
  <si>
    <t>SIRUGUMI</t>
  </si>
  <si>
    <t>CHINAKADAMBUR</t>
  </si>
  <si>
    <t>PERIYAKADAMBUR</t>
  </si>
  <si>
    <t>AGOOR</t>
  </si>
  <si>
    <t>T.C.KANDIGAI</t>
  </si>
  <si>
    <t>SETHUPAKKAM</t>
  </si>
  <si>
    <t>AARKKAMBATTU</t>
  </si>
  <si>
    <t>PUDUKUPPAM</t>
  </si>
  <si>
    <t>108</t>
  </si>
  <si>
    <t>RAMANKOIL</t>
  </si>
  <si>
    <t>POLIVAKKAM</t>
  </si>
  <si>
    <t>104</t>
  </si>
  <si>
    <t>CHITRAMBAKKAM</t>
  </si>
  <si>
    <t>119</t>
  </si>
  <si>
    <t>IRULANJERI</t>
  </si>
  <si>
    <t>KOOVAM</t>
  </si>
  <si>
    <t>132</t>
  </si>
  <si>
    <t>MELNALLATHUR</t>
  </si>
  <si>
    <t>MANAMEDU</t>
  </si>
  <si>
    <t>142</t>
  </si>
  <si>
    <t>97</t>
  </si>
  <si>
    <t>KOPPUR</t>
  </si>
  <si>
    <t>100</t>
  </si>
  <si>
    <t>PAPPARAMBAKKAM_A</t>
  </si>
  <si>
    <t>CHENNAVARAM</t>
  </si>
  <si>
    <t>114</t>
  </si>
  <si>
    <t>KENGULUKANDIGAI</t>
  </si>
  <si>
    <t>KAATTANOOR</t>
  </si>
  <si>
    <t>KANNANKKARANI</t>
  </si>
  <si>
    <t>THOZLUTHAVAKKAM</t>
  </si>
  <si>
    <t>KAIVANDUR</t>
  </si>
  <si>
    <t>VEDANKINALLUR</t>
  </si>
  <si>
    <t>KELVILAGAM</t>
  </si>
  <si>
    <t>PLACEPALAYAM</t>
  </si>
  <si>
    <t>SIRUKALATHUR</t>
  </si>
  <si>
    <t>ARUMBAKKAM</t>
  </si>
  <si>
    <t>VADHATTUR</t>
  </si>
  <si>
    <t>VELLIYUR_A</t>
  </si>
  <si>
    <t>KERUKAMPOONDI</t>
  </si>
  <si>
    <t>ARANVOYAL"A"</t>
  </si>
  <si>
    <t>96</t>
  </si>
  <si>
    <t>88_VEPPAMPATTU</t>
  </si>
  <si>
    <t>88</t>
  </si>
  <si>
    <t>THOZUVUR</t>
  </si>
  <si>
    <t>93</t>
  </si>
  <si>
    <t>KALYANAKUPPAM</t>
  </si>
  <si>
    <t>ARANVOYAL"B"</t>
  </si>
  <si>
    <t>NOOMBAL</t>
  </si>
  <si>
    <t>AMUDURMEDU</t>
  </si>
  <si>
    <t>MELPAKKAM</t>
  </si>
  <si>
    <t>PADUR</t>
  </si>
  <si>
    <t>NAZARATHPETTAI</t>
  </si>
  <si>
    <t>SEMBARAMBAKKAM</t>
  </si>
  <si>
    <t>THIRUVERKADU</t>
  </si>
  <si>
    <t>30</t>
  </si>
  <si>
    <t>THIRUMALAIRAJAPURAM</t>
  </si>
  <si>
    <t>REDHILLS</t>
  </si>
  <si>
    <t>THANDAL_KALANI</t>
  </si>
  <si>
    <t>MADIYUR</t>
  </si>
  <si>
    <t>ANGADU</t>
  </si>
  <si>
    <t>124</t>
  </si>
  <si>
    <t>SIRUNIAM</t>
  </si>
  <si>
    <t>NEW_ERUMAIVETTIPALAYAM</t>
  </si>
  <si>
    <t>NAYUR-1</t>
  </si>
  <si>
    <t>THATCHOOR_1</t>
  </si>
  <si>
    <t>AMOOR-2</t>
  </si>
  <si>
    <t>THIRUNILAI</t>
  </si>
  <si>
    <t>147</t>
  </si>
  <si>
    <t>VELLIVOYAL-2</t>
  </si>
  <si>
    <t>149</t>
  </si>
  <si>
    <t>KEELAMENI</t>
  </si>
  <si>
    <t>ARANI_1</t>
  </si>
  <si>
    <t>NATHAM</t>
  </si>
  <si>
    <t>PANDIKAVANOOR</t>
  </si>
  <si>
    <t>SEEMAPURAM</t>
  </si>
  <si>
    <t>SOMBATTU</t>
  </si>
  <si>
    <t>KARIMANAL</t>
  </si>
  <si>
    <t>VALLUR_2</t>
  </si>
  <si>
    <t>144</t>
  </si>
  <si>
    <t>MINJUR_II</t>
  </si>
  <si>
    <t>ANUPPAMPATTU_I</t>
  </si>
  <si>
    <t>78</t>
  </si>
  <si>
    <t>VALLUR_1</t>
  </si>
  <si>
    <t>MINJUR_I</t>
  </si>
  <si>
    <t>GUDUVANJERI</t>
  </si>
  <si>
    <t>KOLLATTI</t>
  </si>
  <si>
    <t>137</t>
  </si>
  <si>
    <t>ATHAMANANJERI</t>
  </si>
  <si>
    <t>86</t>
  </si>
  <si>
    <t>ATHIPATTU_I</t>
  </si>
  <si>
    <t>ELAIMBEDU_II</t>
  </si>
  <si>
    <t>ALADU_I</t>
  </si>
  <si>
    <t>ALADU_II</t>
  </si>
  <si>
    <t>PANAPAKKAM</t>
  </si>
  <si>
    <t>PERUMBEDU_1</t>
  </si>
  <si>
    <t>AVURIVAKKAM</t>
  </si>
  <si>
    <t>VOYALUR_3</t>
  </si>
  <si>
    <t>SIRUVELUR</t>
  </si>
  <si>
    <t>KOLUR_1</t>
  </si>
  <si>
    <t>SENGANYAM</t>
  </si>
  <si>
    <t>UPPUNELVOYAL</t>
  </si>
  <si>
    <t>POOVAMI</t>
  </si>
  <si>
    <t>THADAPERUMBAKKAM_II</t>
  </si>
  <si>
    <t>POTHATTUR_PETTAI (EAST)</t>
  </si>
  <si>
    <t>KONA_SAMUTHRAM_A</t>
  </si>
  <si>
    <t>PUNNIYAM</t>
  </si>
  <si>
    <t>I.V.PETTAI 
(IRU THALAIVARI PATTADAI )</t>
  </si>
  <si>
    <t>KUMARA_RAJI_PETTAI</t>
  </si>
  <si>
    <t>MELA_POODI</t>
  </si>
  <si>
    <t>Year:2026-27 (Fasli-1436)</t>
  </si>
  <si>
    <t>Pallipattu</t>
  </si>
  <si>
    <t>10(1)</t>
  </si>
  <si>
    <t>59(2)</t>
  </si>
  <si>
    <t>62(3)</t>
  </si>
  <si>
    <t>32(1)</t>
  </si>
  <si>
    <t>25(2)</t>
  </si>
  <si>
    <t>27(3)</t>
  </si>
  <si>
    <t>69(1)</t>
  </si>
  <si>
    <t>43(2)</t>
  </si>
  <si>
    <t>79(3)</t>
  </si>
  <si>
    <t>07(1)</t>
  </si>
  <si>
    <t>30(2)</t>
  </si>
  <si>
    <t>61(3)</t>
  </si>
  <si>
    <t xml:space="preserve">Sample : Central </t>
  </si>
  <si>
    <t>Oder of Slection</t>
  </si>
  <si>
    <t>Year :2026-27(Fasli 1436)</t>
  </si>
  <si>
    <t>Sample : State</t>
  </si>
  <si>
    <t>Stratum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</si>
</sst>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0"/>
      <name val="Bookman Old Style"/>
      <family val="1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indexed="8"/>
      <name val="Calibri"/>
      <family val="2"/>
    </font>
    <font>
      <b/>
      <sz val="16"/>
      <color indexed="8"/>
      <name val="Calibri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i/>
      <sz val="11"/>
      <color indexed="8"/>
      <name val="Calibri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</cellStyleXfs>
  <cellXfs count="51">
    <xf numFmtId="0" fontId="0" fillId="0" borderId="0" xfId="0"/>
    <xf numFmtId="0" fontId="6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7" fillId="0" borderId="0" xfId="5" applyFont="1"/>
    <xf numFmtId="0" fontId="7" fillId="0" borderId="0" xfId="5" applyFont="1" applyAlignment="1">
      <alignment horizontal="center" vertical="center"/>
    </xf>
    <xf numFmtId="0" fontId="7" fillId="0" borderId="0" xfId="5" applyFont="1" applyAlignment="1">
      <alignment horizontal="left"/>
    </xf>
    <xf numFmtId="0" fontId="7" fillId="0" borderId="0" xfId="5" applyFont="1" applyAlignment="1">
      <alignment vertical="center"/>
    </xf>
    <xf numFmtId="0" fontId="9" fillId="0" borderId="1" xfId="5" applyFont="1" applyBorder="1" applyAlignment="1">
      <alignment horizontal="center" vertical="center" wrapText="1"/>
    </xf>
    <xf numFmtId="0" fontId="5" fillId="0" borderId="1" xfId="1" applyFont="1" applyBorder="1" applyAlignment="1">
      <alignment wrapText="1"/>
    </xf>
    <xf numFmtId="0" fontId="5" fillId="0" borderId="1" xfId="1" applyFont="1" applyBorder="1" applyAlignment="1">
      <alignment horizontal="center" wrapText="1"/>
    </xf>
    <xf numFmtId="0" fontId="7" fillId="0" borderId="1" xfId="5" applyFont="1" applyBorder="1" applyAlignment="1">
      <alignment horizontal="center" vertical="center"/>
    </xf>
    <xf numFmtId="0" fontId="2" fillId="0" borderId="0" xfId="5"/>
    <xf numFmtId="0" fontId="9" fillId="0" borderId="1" xfId="5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7" fillId="0" borderId="1" xfId="5" quotePrefix="1" applyFont="1" applyBorder="1" applyAlignment="1">
      <alignment horizontal="center" vertical="center"/>
    </xf>
    <xf numFmtId="0" fontId="11" fillId="0" borderId="1" xfId="1" applyFont="1" applyBorder="1" applyAlignment="1">
      <alignment wrapText="1"/>
    </xf>
    <xf numFmtId="0" fontId="12" fillId="0" borderId="1" xfId="5" applyFont="1" applyBorder="1" applyAlignment="1">
      <alignment horizontal="center" vertical="center"/>
    </xf>
    <xf numFmtId="0" fontId="13" fillId="0" borderId="1" xfId="5" applyFont="1" applyBorder="1" applyAlignment="1">
      <alignment horizontal="center" vertical="center"/>
    </xf>
    <xf numFmtId="0" fontId="10" fillId="0" borderId="1" xfId="1" applyFont="1" applyBorder="1" applyAlignment="1">
      <alignment horizontal="right" vertical="center" wrapText="1"/>
    </xf>
    <xf numFmtId="0" fontId="14" fillId="0" borderId="1" xfId="5" applyFont="1" applyBorder="1" applyAlignment="1">
      <alignment horizontal="center" vertical="center"/>
    </xf>
    <xf numFmtId="0" fontId="15" fillId="0" borderId="0" xfId="5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6" fillId="0" borderId="1" xfId="1" applyFont="1" applyBorder="1" applyAlignment="1">
      <alignment wrapText="1"/>
    </xf>
    <xf numFmtId="0" fontId="5" fillId="0" borderId="1" xfId="4" applyFont="1" applyBorder="1" applyAlignment="1">
      <alignment horizontal="center" vertical="center" wrapText="1"/>
    </xf>
    <xf numFmtId="0" fontId="17" fillId="0" borderId="1" xfId="4" applyFont="1" applyBorder="1" applyAlignment="1">
      <alignment horizontal="center" vertical="center" wrapText="1"/>
    </xf>
    <xf numFmtId="0" fontId="8" fillId="0" borderId="1" xfId="5" applyFont="1" applyBorder="1" applyAlignment="1">
      <alignment horizontal="left" vertical="center"/>
    </xf>
    <xf numFmtId="0" fontId="9" fillId="0" borderId="1" xfId="5" applyFont="1" applyBorder="1" applyAlignment="1">
      <alignment horizontal="left" vertical="center"/>
    </xf>
    <xf numFmtId="0" fontId="7" fillId="0" borderId="1" xfId="5" applyFont="1" applyBorder="1" applyAlignment="1">
      <alignment horizontal="left" vertical="center"/>
    </xf>
    <xf numFmtId="0" fontId="8" fillId="0" borderId="1" xfId="5" applyFont="1" applyBorder="1" applyAlignment="1">
      <alignment horizontal="center" vertical="center"/>
    </xf>
    <xf numFmtId="0" fontId="9" fillId="0" borderId="1" xfId="5" applyFont="1" applyBorder="1" applyAlignment="1">
      <alignment vertical="center"/>
    </xf>
    <xf numFmtId="0" fontId="9" fillId="0" borderId="0" xfId="5" applyFont="1" applyAlignment="1">
      <alignment vertical="center"/>
    </xf>
    <xf numFmtId="0" fontId="4" fillId="2" borderId="1" xfId="2" applyFont="1" applyFill="1" applyBorder="1" applyAlignment="1">
      <alignment vertical="center"/>
    </xf>
    <xf numFmtId="0" fontId="17" fillId="0" borderId="1" xfId="4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1" xfId="5" applyFont="1" applyBorder="1" applyAlignment="1">
      <alignment horizontal="center" vertical="center"/>
    </xf>
    <xf numFmtId="0" fontId="9" fillId="0" borderId="6" xfId="5" applyFont="1" applyBorder="1" applyAlignment="1">
      <alignment horizontal="center" vertical="center"/>
    </xf>
    <xf numFmtId="0" fontId="9" fillId="0" borderId="5" xfId="5" applyFont="1" applyBorder="1" applyAlignment="1">
      <alignment horizontal="center" vertical="center"/>
    </xf>
    <xf numFmtId="0" fontId="9" fillId="0" borderId="7" xfId="5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8" fillId="0" borderId="1" xfId="5" applyFont="1" applyBorder="1" applyAlignment="1">
      <alignment horizontal="center" vertical="center" textRotation="90" wrapText="1"/>
    </xf>
    <xf numFmtId="0" fontId="9" fillId="0" borderId="1" xfId="5" applyFont="1" applyBorder="1" applyAlignment="1">
      <alignment horizontal="center" vertical="center" wrapText="1"/>
    </xf>
    <xf numFmtId="0" fontId="9" fillId="0" borderId="2" xfId="5" applyFont="1" applyBorder="1" applyAlignment="1">
      <alignment horizontal="center" vertical="center" wrapText="1"/>
    </xf>
    <xf numFmtId="0" fontId="9" fillId="0" borderId="4" xfId="5" applyFont="1" applyBorder="1" applyAlignment="1">
      <alignment horizontal="center" vertical="center" wrapText="1"/>
    </xf>
  </cellXfs>
  <cellStyles count="6">
    <cellStyle name="Normal" xfId="0" builtinId="0"/>
    <cellStyle name="Normal 2" xfId="5" xr:uid="{00000000-0005-0000-0000-000001000000}"/>
    <cellStyle name="Normal 3" xfId="2" xr:uid="{00000000-0005-0000-0000-000002000000}"/>
    <cellStyle name="Normal 4" xfId="3" xr:uid="{00000000-0005-0000-0000-000003000000}"/>
    <cellStyle name="Normal_Sheet1" xfId="1" xr:uid="{00000000-0005-0000-0000-000004000000}"/>
    <cellStyle name="Normal_Sheet2_1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0"/>
  <sheetViews>
    <sheetView tabSelected="1" zoomScale="70" zoomScaleNormal="70" workbookViewId="0">
      <selection activeCell="C11" sqref="C11"/>
    </sheetView>
  </sheetViews>
  <sheetFormatPr defaultRowHeight="14.4" x14ac:dyDescent="0.3"/>
  <cols>
    <col min="1" max="1" width="9.88671875" bestFit="1" customWidth="1"/>
    <col min="2" max="2" width="25.6640625" customWidth="1"/>
    <col min="3" max="3" width="28.109375" customWidth="1"/>
    <col min="4" max="4" width="35.33203125" bestFit="1" customWidth="1"/>
    <col min="5" max="5" width="9.5546875" customWidth="1"/>
    <col min="6" max="6" width="10.33203125" style="2" customWidth="1"/>
  </cols>
  <sheetData>
    <row r="1" spans="1:10" s="5" customFormat="1" ht="13.8" x14ac:dyDescent="0.25">
      <c r="A1" s="40" t="s">
        <v>99</v>
      </c>
      <c r="B1" s="40"/>
      <c r="C1" s="40"/>
      <c r="D1" s="40"/>
      <c r="E1" s="40"/>
      <c r="F1" s="40"/>
      <c r="G1" s="6"/>
      <c r="H1" s="6"/>
      <c r="I1" s="6"/>
      <c r="J1" s="6"/>
    </row>
    <row r="2" spans="1:10" s="3" customFormat="1" ht="13.8" x14ac:dyDescent="0.25">
      <c r="A2" s="40" t="s">
        <v>100</v>
      </c>
      <c r="B2" s="40"/>
      <c r="C2" s="40"/>
      <c r="D2" s="40"/>
      <c r="E2" s="40"/>
      <c r="F2" s="40"/>
      <c r="G2" s="6"/>
      <c r="H2" s="6"/>
      <c r="I2" s="6"/>
      <c r="J2" s="6"/>
    </row>
    <row r="3" spans="1:10" s="3" customFormat="1" ht="15.6" x14ac:dyDescent="0.25">
      <c r="A3" s="28" t="s">
        <v>101</v>
      </c>
      <c r="B3" s="29" t="s">
        <v>95</v>
      </c>
      <c r="C3" s="29" t="s">
        <v>329</v>
      </c>
      <c r="D3" s="41" t="s">
        <v>327</v>
      </c>
      <c r="E3" s="42"/>
      <c r="F3" s="43"/>
      <c r="I3" s="6"/>
      <c r="J3" s="6"/>
    </row>
    <row r="4" spans="1:10" ht="28.8" x14ac:dyDescent="0.3">
      <c r="A4" s="1" t="s">
        <v>96</v>
      </c>
      <c r="B4" s="1" t="s">
        <v>1</v>
      </c>
      <c r="C4" s="1" t="s">
        <v>3</v>
      </c>
      <c r="D4" s="1" t="s">
        <v>4</v>
      </c>
      <c r="E4" s="1" t="s">
        <v>5</v>
      </c>
      <c r="F4" s="26" t="s">
        <v>328</v>
      </c>
    </row>
    <row r="5" spans="1:10" x14ac:dyDescent="0.3">
      <c r="A5" s="36">
        <v>1</v>
      </c>
      <c r="B5" s="8" t="s">
        <v>25</v>
      </c>
      <c r="C5" s="8" t="s">
        <v>42</v>
      </c>
      <c r="D5" s="8" t="s">
        <v>262</v>
      </c>
      <c r="E5" s="8" t="s">
        <v>73</v>
      </c>
      <c r="F5" s="24">
        <v>1</v>
      </c>
    </row>
    <row r="6" spans="1:10" x14ac:dyDescent="0.3">
      <c r="A6" s="36"/>
      <c r="B6" s="8" t="s">
        <v>7</v>
      </c>
      <c r="C6" s="8" t="s">
        <v>7</v>
      </c>
      <c r="D6" s="25" t="s">
        <v>90</v>
      </c>
      <c r="E6" s="25" t="s">
        <v>31</v>
      </c>
      <c r="F6" s="24">
        <v>2</v>
      </c>
    </row>
    <row r="7" spans="1:10" x14ac:dyDescent="0.3">
      <c r="A7" s="36"/>
      <c r="B7" s="8" t="s">
        <v>7</v>
      </c>
      <c r="C7" s="8" t="s">
        <v>7</v>
      </c>
      <c r="D7" s="25" t="s">
        <v>149</v>
      </c>
      <c r="E7" s="25" t="s">
        <v>45</v>
      </c>
      <c r="F7" s="24">
        <v>3</v>
      </c>
    </row>
    <row r="8" spans="1:10" x14ac:dyDescent="0.3">
      <c r="A8" s="36">
        <v>2</v>
      </c>
      <c r="B8" s="8" t="s">
        <v>6</v>
      </c>
      <c r="C8" s="8" t="s">
        <v>6</v>
      </c>
      <c r="D8" s="8" t="s">
        <v>241</v>
      </c>
      <c r="E8" s="8" t="s">
        <v>61</v>
      </c>
      <c r="F8" s="24">
        <v>1</v>
      </c>
    </row>
    <row r="9" spans="1:10" x14ac:dyDescent="0.3">
      <c r="A9" s="36"/>
      <c r="B9" s="8" t="s">
        <v>6</v>
      </c>
      <c r="C9" s="8" t="s">
        <v>79</v>
      </c>
      <c r="D9" s="8" t="s">
        <v>209</v>
      </c>
      <c r="E9" s="8" t="s">
        <v>51</v>
      </c>
      <c r="F9" s="24">
        <v>2</v>
      </c>
    </row>
    <row r="10" spans="1:10" x14ac:dyDescent="0.3">
      <c r="A10" s="36"/>
      <c r="B10" s="8" t="s">
        <v>52</v>
      </c>
      <c r="C10" s="8" t="s">
        <v>52</v>
      </c>
      <c r="D10" s="8" t="s">
        <v>253</v>
      </c>
      <c r="E10" s="8" t="s">
        <v>198</v>
      </c>
      <c r="F10" s="24">
        <v>3</v>
      </c>
    </row>
  </sheetData>
  <mergeCells count="5">
    <mergeCell ref="D3:F3"/>
    <mergeCell ref="A5:A7"/>
    <mergeCell ref="A8:A10"/>
    <mergeCell ref="A1:F1"/>
    <mergeCell ref="A2:F2"/>
  </mergeCells>
  <pageMargins left="0.11811023622047245" right="0.11811023622047245" top="0.15748031496062992" bottom="0.19685039370078741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0"/>
  <sheetViews>
    <sheetView zoomScale="85" zoomScaleNormal="85" workbookViewId="0">
      <selection activeCell="D13" sqref="D13"/>
    </sheetView>
  </sheetViews>
  <sheetFormatPr defaultRowHeight="14.4" x14ac:dyDescent="0.3"/>
  <cols>
    <col min="1" max="1" width="9.88671875" bestFit="1" customWidth="1"/>
    <col min="2" max="2" width="25.6640625" customWidth="1"/>
    <col min="3" max="3" width="26.44140625" customWidth="1"/>
    <col min="4" max="4" width="35.33203125" bestFit="1" customWidth="1"/>
    <col min="5" max="5" width="9.5546875" customWidth="1"/>
    <col min="6" max="6" width="10.33203125" style="2" customWidth="1"/>
  </cols>
  <sheetData>
    <row r="1" spans="1:6" x14ac:dyDescent="0.3">
      <c r="A1" s="40" t="s">
        <v>99</v>
      </c>
      <c r="B1" s="40"/>
      <c r="C1" s="40"/>
      <c r="D1" s="40"/>
      <c r="E1" s="40"/>
      <c r="F1" s="40"/>
    </row>
    <row r="2" spans="1:6" s="5" customFormat="1" ht="15.6" x14ac:dyDescent="0.25">
      <c r="A2" s="28" t="s">
        <v>101</v>
      </c>
      <c r="B2" s="12" t="s">
        <v>127</v>
      </c>
      <c r="C2" s="30"/>
      <c r="D2" s="29" t="s">
        <v>330</v>
      </c>
      <c r="E2" s="30"/>
      <c r="F2" s="30"/>
    </row>
    <row r="3" spans="1:6" s="3" customFormat="1" ht="15.6" x14ac:dyDescent="0.25">
      <c r="A3" s="31"/>
      <c r="B3" s="10"/>
      <c r="C3" s="10"/>
      <c r="D3" s="29" t="s">
        <v>313</v>
      </c>
      <c r="E3" s="10"/>
      <c r="F3" s="10"/>
    </row>
    <row r="4" spans="1:6" ht="28.8" x14ac:dyDescent="0.3">
      <c r="A4" s="1" t="s">
        <v>96</v>
      </c>
      <c r="B4" s="1" t="s">
        <v>1</v>
      </c>
      <c r="C4" s="1" t="s">
        <v>3</v>
      </c>
      <c r="D4" s="1" t="s">
        <v>4</v>
      </c>
      <c r="E4" s="1" t="s">
        <v>5</v>
      </c>
      <c r="F4" s="27" t="s">
        <v>328</v>
      </c>
    </row>
    <row r="5" spans="1:6" x14ac:dyDescent="0.3">
      <c r="A5" s="36">
        <v>1</v>
      </c>
      <c r="B5" s="8" t="s">
        <v>25</v>
      </c>
      <c r="C5" s="8" t="s">
        <v>26</v>
      </c>
      <c r="D5" s="8" t="s">
        <v>289</v>
      </c>
      <c r="E5" s="8" t="s">
        <v>290</v>
      </c>
      <c r="F5" s="24">
        <v>4</v>
      </c>
    </row>
    <row r="6" spans="1:6" x14ac:dyDescent="0.3">
      <c r="A6" s="36"/>
      <c r="B6" s="8" t="s">
        <v>25</v>
      </c>
      <c r="C6" s="8" t="s">
        <v>26</v>
      </c>
      <c r="D6" s="8" t="s">
        <v>280</v>
      </c>
      <c r="E6" s="8" t="s">
        <v>53</v>
      </c>
      <c r="F6" s="24">
        <v>5</v>
      </c>
    </row>
    <row r="7" spans="1:6" x14ac:dyDescent="0.3">
      <c r="A7" s="36"/>
      <c r="B7" s="8" t="s">
        <v>25</v>
      </c>
      <c r="C7" s="8" t="s">
        <v>26</v>
      </c>
      <c r="D7" s="8" t="s">
        <v>283</v>
      </c>
      <c r="E7" s="8" t="s">
        <v>74</v>
      </c>
      <c r="F7" s="24">
        <v>6</v>
      </c>
    </row>
    <row r="8" spans="1:6" x14ac:dyDescent="0.3">
      <c r="A8" s="36">
        <v>2</v>
      </c>
      <c r="B8" s="8" t="s">
        <v>92</v>
      </c>
      <c r="C8" s="8" t="s">
        <v>92</v>
      </c>
      <c r="D8" s="8" t="s">
        <v>167</v>
      </c>
      <c r="E8" s="8" t="s">
        <v>81</v>
      </c>
      <c r="F8" s="24">
        <v>4</v>
      </c>
    </row>
    <row r="9" spans="1:6" x14ac:dyDescent="0.3">
      <c r="A9" s="36"/>
      <c r="B9" s="8" t="s">
        <v>80</v>
      </c>
      <c r="C9" s="8" t="s">
        <v>82</v>
      </c>
      <c r="D9" s="8" t="s">
        <v>193</v>
      </c>
      <c r="E9" s="8" t="s">
        <v>194</v>
      </c>
      <c r="F9" s="24">
        <v>5</v>
      </c>
    </row>
    <row r="10" spans="1:6" x14ac:dyDescent="0.3">
      <c r="A10" s="36"/>
      <c r="B10" s="8" t="s">
        <v>6</v>
      </c>
      <c r="C10" s="8" t="s">
        <v>63</v>
      </c>
      <c r="D10" s="8" t="s">
        <v>233</v>
      </c>
      <c r="E10" s="8" t="s">
        <v>37</v>
      </c>
      <c r="F10" s="24">
        <v>6</v>
      </c>
    </row>
  </sheetData>
  <mergeCells count="3">
    <mergeCell ref="A5:A7"/>
    <mergeCell ref="A8:A10"/>
    <mergeCell ref="A1:F1"/>
  </mergeCells>
  <pageMargins left="0.11811023622047245" right="0.11811023622047245" top="0.15748031496062992" bottom="0.19685039370078741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160"/>
  <sheetViews>
    <sheetView zoomScale="70" zoomScaleNormal="70" workbookViewId="0">
      <selection activeCell="C13" sqref="C13"/>
    </sheetView>
  </sheetViews>
  <sheetFormatPr defaultRowHeight="14.4" x14ac:dyDescent="0.3"/>
  <cols>
    <col min="1" max="1" width="9.88671875" bestFit="1" customWidth="1"/>
    <col min="2" max="2" width="13.5546875" bestFit="1" customWidth="1"/>
    <col min="3" max="3" width="25.6640625" customWidth="1"/>
    <col min="4" max="4" width="13.5546875" bestFit="1" customWidth="1"/>
    <col min="5" max="5" width="26.44140625" customWidth="1"/>
    <col min="6" max="6" width="35.33203125" bestFit="1" customWidth="1"/>
    <col min="7" max="7" width="9.5546875" customWidth="1"/>
    <col min="8" max="8" width="10.6640625" style="2" customWidth="1"/>
    <col min="9" max="9" width="10.33203125" style="2" customWidth="1"/>
  </cols>
  <sheetData>
    <row r="1" spans="1:10" s="5" customFormat="1" ht="24.9" customHeight="1" x14ac:dyDescent="0.25">
      <c r="A1" s="40" t="s">
        <v>99</v>
      </c>
      <c r="B1" s="40"/>
      <c r="C1" s="40"/>
      <c r="D1" s="40"/>
      <c r="E1" s="40"/>
      <c r="F1" s="40"/>
      <c r="G1" s="40"/>
      <c r="H1" s="40"/>
      <c r="I1" s="40"/>
      <c r="J1" s="33"/>
    </row>
    <row r="2" spans="1:10" s="3" customFormat="1" ht="24.9" customHeight="1" x14ac:dyDescent="0.25">
      <c r="A2" s="28" t="s">
        <v>101</v>
      </c>
      <c r="B2" s="34" t="s">
        <v>95</v>
      </c>
      <c r="C2" s="10"/>
      <c r="D2" s="30"/>
      <c r="E2" s="30"/>
      <c r="F2" s="29" t="s">
        <v>102</v>
      </c>
      <c r="G2" s="30"/>
      <c r="H2" s="30"/>
      <c r="I2" s="30"/>
      <c r="J2" s="5"/>
    </row>
    <row r="3" spans="1:10" ht="15.6" x14ac:dyDescent="0.3">
      <c r="A3" s="31"/>
      <c r="B3" s="10"/>
      <c r="C3" s="10"/>
      <c r="D3" s="10"/>
      <c r="E3" s="10"/>
      <c r="F3" s="29" t="s">
        <v>313</v>
      </c>
      <c r="G3" s="10"/>
      <c r="H3" s="10"/>
      <c r="I3" s="10"/>
      <c r="J3" s="3"/>
    </row>
    <row r="4" spans="1:10" ht="57.6" x14ac:dyDescent="0.3">
      <c r="A4" s="1" t="s">
        <v>331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35" t="s">
        <v>97</v>
      </c>
      <c r="I4" s="35" t="s">
        <v>98</v>
      </c>
    </row>
    <row r="5" spans="1:10" x14ac:dyDescent="0.3">
      <c r="A5" s="36">
        <v>1</v>
      </c>
      <c r="B5" s="8" t="s">
        <v>28</v>
      </c>
      <c r="C5" s="8" t="s">
        <v>91</v>
      </c>
      <c r="D5" s="8" t="s">
        <v>67</v>
      </c>
      <c r="E5" s="8" t="s">
        <v>57</v>
      </c>
      <c r="F5" s="8" t="s">
        <v>136</v>
      </c>
      <c r="G5" s="8" t="s">
        <v>54</v>
      </c>
      <c r="H5" s="21">
        <v>1</v>
      </c>
      <c r="I5" s="21">
        <v>1</v>
      </c>
    </row>
    <row r="6" spans="1:10" x14ac:dyDescent="0.3">
      <c r="A6" s="36"/>
      <c r="B6" s="8" t="s">
        <v>28</v>
      </c>
      <c r="C6" s="8" t="s">
        <v>91</v>
      </c>
      <c r="D6" s="8" t="s">
        <v>67</v>
      </c>
      <c r="E6" s="8" t="s">
        <v>57</v>
      </c>
      <c r="F6" s="8" t="s">
        <v>137</v>
      </c>
      <c r="G6" s="8" t="s">
        <v>94</v>
      </c>
      <c r="H6" s="21">
        <v>2</v>
      </c>
      <c r="I6" s="21">
        <v>2</v>
      </c>
    </row>
    <row r="7" spans="1:10" x14ac:dyDescent="0.3">
      <c r="A7" s="36"/>
      <c r="B7" s="8" t="s">
        <v>28</v>
      </c>
      <c r="C7" s="8" t="s">
        <v>91</v>
      </c>
      <c r="D7" s="8" t="s">
        <v>67</v>
      </c>
      <c r="E7" s="8" t="s">
        <v>57</v>
      </c>
      <c r="F7" s="8" t="s">
        <v>138</v>
      </c>
      <c r="G7" s="8" t="s">
        <v>8</v>
      </c>
      <c r="H7" s="21">
        <v>3</v>
      </c>
      <c r="I7" s="21">
        <v>3</v>
      </c>
    </row>
    <row r="8" spans="1:10" x14ac:dyDescent="0.3">
      <c r="A8" s="36"/>
      <c r="B8" s="8" t="s">
        <v>28</v>
      </c>
      <c r="C8" s="8" t="s">
        <v>91</v>
      </c>
      <c r="D8" s="8" t="s">
        <v>67</v>
      </c>
      <c r="E8" s="8" t="s">
        <v>57</v>
      </c>
      <c r="F8" s="8" t="s">
        <v>139</v>
      </c>
      <c r="G8" s="8" t="s">
        <v>81</v>
      </c>
      <c r="H8" s="21">
        <v>4</v>
      </c>
      <c r="I8" s="21">
        <v>4</v>
      </c>
    </row>
    <row r="9" spans="1:10" x14ac:dyDescent="0.3">
      <c r="A9" s="36"/>
      <c r="B9" s="8" t="s">
        <v>28</v>
      </c>
      <c r="C9" s="8" t="s">
        <v>91</v>
      </c>
      <c r="D9" s="8" t="s">
        <v>53</v>
      </c>
      <c r="E9" s="8" t="s">
        <v>52</v>
      </c>
      <c r="F9" s="8" t="s">
        <v>134</v>
      </c>
      <c r="G9" s="8" t="s">
        <v>22</v>
      </c>
      <c r="H9" s="21">
        <v>1</v>
      </c>
      <c r="I9" s="21">
        <v>5</v>
      </c>
    </row>
    <row r="10" spans="1:10" x14ac:dyDescent="0.3">
      <c r="A10" s="36"/>
      <c r="B10" s="8" t="s">
        <v>28</v>
      </c>
      <c r="C10" s="8" t="s">
        <v>91</v>
      </c>
      <c r="D10" s="8" t="s">
        <v>53</v>
      </c>
      <c r="E10" s="8" t="s">
        <v>52</v>
      </c>
      <c r="F10" s="8" t="s">
        <v>135</v>
      </c>
      <c r="G10" s="8" t="s">
        <v>49</v>
      </c>
      <c r="H10" s="21">
        <v>2</v>
      </c>
      <c r="I10" s="21">
        <v>6</v>
      </c>
    </row>
    <row r="11" spans="1:10" x14ac:dyDescent="0.3">
      <c r="A11" s="36"/>
      <c r="B11" s="8" t="s">
        <v>22</v>
      </c>
      <c r="C11" s="8" t="s">
        <v>25</v>
      </c>
      <c r="D11" s="8" t="s">
        <v>24</v>
      </c>
      <c r="E11" s="8" t="s">
        <v>48</v>
      </c>
      <c r="F11" s="8" t="s">
        <v>260</v>
      </c>
      <c r="G11" s="8" t="s">
        <v>40</v>
      </c>
      <c r="H11" s="21">
        <v>1</v>
      </c>
      <c r="I11" s="21">
        <v>7</v>
      </c>
    </row>
    <row r="12" spans="1:10" x14ac:dyDescent="0.3">
      <c r="A12" s="36"/>
      <c r="B12" s="8" t="s">
        <v>22</v>
      </c>
      <c r="C12" s="8" t="s">
        <v>25</v>
      </c>
      <c r="D12" s="8" t="s">
        <v>24</v>
      </c>
      <c r="E12" s="8" t="s">
        <v>48</v>
      </c>
      <c r="F12" s="8" t="s">
        <v>71</v>
      </c>
      <c r="G12" s="8" t="s">
        <v>61</v>
      </c>
      <c r="H12" s="21">
        <v>2</v>
      </c>
      <c r="I12" s="21">
        <v>8</v>
      </c>
    </row>
    <row r="13" spans="1:10" x14ac:dyDescent="0.3">
      <c r="A13" s="36"/>
      <c r="B13" s="8" t="s">
        <v>22</v>
      </c>
      <c r="C13" s="8" t="s">
        <v>25</v>
      </c>
      <c r="D13" s="8" t="s">
        <v>24</v>
      </c>
      <c r="E13" s="8" t="s">
        <v>48</v>
      </c>
      <c r="F13" s="8" t="s">
        <v>261</v>
      </c>
      <c r="G13" s="8" t="s">
        <v>190</v>
      </c>
      <c r="H13" s="21">
        <v>3</v>
      </c>
      <c r="I13" s="21">
        <v>9</v>
      </c>
    </row>
    <row r="14" spans="1:10" x14ac:dyDescent="0.3">
      <c r="A14" s="36"/>
      <c r="B14" s="8" t="s">
        <v>22</v>
      </c>
      <c r="C14" s="8" t="s">
        <v>25</v>
      </c>
      <c r="D14" s="8" t="s">
        <v>56</v>
      </c>
      <c r="E14" s="8" t="s">
        <v>42</v>
      </c>
      <c r="F14" s="8" t="s">
        <v>262</v>
      </c>
      <c r="G14" s="8" t="s">
        <v>73</v>
      </c>
      <c r="H14" s="21">
        <v>1</v>
      </c>
      <c r="I14" s="23">
        <v>10</v>
      </c>
    </row>
    <row r="15" spans="1:10" x14ac:dyDescent="0.3">
      <c r="A15" s="36"/>
      <c r="B15" s="8" t="s">
        <v>22</v>
      </c>
      <c r="C15" s="8" t="s">
        <v>25</v>
      </c>
      <c r="D15" s="8" t="s">
        <v>56</v>
      </c>
      <c r="E15" s="8" t="s">
        <v>42</v>
      </c>
      <c r="F15" s="8" t="s">
        <v>263</v>
      </c>
      <c r="G15" s="8" t="s">
        <v>264</v>
      </c>
      <c r="H15" s="21">
        <v>2</v>
      </c>
      <c r="I15" s="21">
        <v>11</v>
      </c>
    </row>
    <row r="16" spans="1:10" x14ac:dyDescent="0.3">
      <c r="A16" s="36"/>
      <c r="B16" s="8" t="s">
        <v>22</v>
      </c>
      <c r="C16" s="8" t="s">
        <v>25</v>
      </c>
      <c r="D16" s="8" t="s">
        <v>56</v>
      </c>
      <c r="E16" s="8" t="s">
        <v>42</v>
      </c>
      <c r="F16" s="8" t="s">
        <v>265</v>
      </c>
      <c r="G16" s="8" t="s">
        <v>75</v>
      </c>
      <c r="H16" s="21">
        <v>3</v>
      </c>
      <c r="I16" s="21">
        <v>12</v>
      </c>
    </row>
    <row r="17" spans="1:9" x14ac:dyDescent="0.3">
      <c r="A17" s="36"/>
      <c r="B17" s="8" t="s">
        <v>22</v>
      </c>
      <c r="C17" s="8" t="s">
        <v>25</v>
      </c>
      <c r="D17" s="8" t="s">
        <v>56</v>
      </c>
      <c r="E17" s="8" t="s">
        <v>42</v>
      </c>
      <c r="F17" s="8" t="s">
        <v>266</v>
      </c>
      <c r="G17" s="8" t="s">
        <v>69</v>
      </c>
      <c r="H17" s="21">
        <v>4</v>
      </c>
      <c r="I17" s="21">
        <v>13</v>
      </c>
    </row>
    <row r="18" spans="1:9" x14ac:dyDescent="0.3">
      <c r="A18" s="36"/>
      <c r="B18" s="8" t="s">
        <v>22</v>
      </c>
      <c r="C18" s="8" t="s">
        <v>25</v>
      </c>
      <c r="D18" s="8" t="s">
        <v>56</v>
      </c>
      <c r="E18" s="8" t="s">
        <v>42</v>
      </c>
      <c r="F18" s="8" t="s">
        <v>267</v>
      </c>
      <c r="G18" s="8" t="s">
        <v>226</v>
      </c>
      <c r="H18" s="21">
        <v>5</v>
      </c>
      <c r="I18" s="21">
        <v>14</v>
      </c>
    </row>
    <row r="19" spans="1:9" x14ac:dyDescent="0.3">
      <c r="A19" s="36"/>
      <c r="B19" s="8" t="s">
        <v>22</v>
      </c>
      <c r="C19" s="8" t="s">
        <v>25</v>
      </c>
      <c r="D19" s="8" t="s">
        <v>56</v>
      </c>
      <c r="E19" s="8" t="s">
        <v>42</v>
      </c>
      <c r="F19" s="8" t="s">
        <v>268</v>
      </c>
      <c r="G19" s="8" t="s">
        <v>44</v>
      </c>
      <c r="H19" s="21">
        <v>6</v>
      </c>
      <c r="I19" s="21">
        <v>15</v>
      </c>
    </row>
    <row r="20" spans="1:9" x14ac:dyDescent="0.3">
      <c r="A20" s="36"/>
      <c r="B20" s="8" t="s">
        <v>22</v>
      </c>
      <c r="C20" s="8" t="s">
        <v>25</v>
      </c>
      <c r="D20" s="8" t="s">
        <v>56</v>
      </c>
      <c r="E20" s="8" t="s">
        <v>42</v>
      </c>
      <c r="F20" s="8" t="s">
        <v>269</v>
      </c>
      <c r="G20" s="8" t="s">
        <v>45</v>
      </c>
      <c r="H20" s="21">
        <v>7</v>
      </c>
      <c r="I20" s="21">
        <v>16</v>
      </c>
    </row>
    <row r="21" spans="1:9" x14ac:dyDescent="0.3">
      <c r="A21" s="36"/>
      <c r="B21" s="8" t="s">
        <v>22</v>
      </c>
      <c r="C21" s="8" t="s">
        <v>25</v>
      </c>
      <c r="D21" s="8" t="s">
        <v>56</v>
      </c>
      <c r="E21" s="8" t="s">
        <v>42</v>
      </c>
      <c r="F21" s="8" t="s">
        <v>270</v>
      </c>
      <c r="G21" s="8" t="s">
        <v>271</v>
      </c>
      <c r="H21" s="21">
        <v>8</v>
      </c>
      <c r="I21" s="21">
        <v>17</v>
      </c>
    </row>
    <row r="22" spans="1:9" x14ac:dyDescent="0.3">
      <c r="A22" s="36"/>
      <c r="B22" s="8" t="s">
        <v>22</v>
      </c>
      <c r="C22" s="8" t="s">
        <v>25</v>
      </c>
      <c r="D22" s="8" t="s">
        <v>56</v>
      </c>
      <c r="E22" s="8" t="s">
        <v>42</v>
      </c>
      <c r="F22" s="8" t="s">
        <v>272</v>
      </c>
      <c r="G22" s="8" t="s">
        <v>273</v>
      </c>
      <c r="H22" s="21">
        <v>9</v>
      </c>
      <c r="I22" s="21">
        <v>18</v>
      </c>
    </row>
    <row r="23" spans="1:9" x14ac:dyDescent="0.3">
      <c r="A23" s="36"/>
      <c r="B23" s="8" t="s">
        <v>22</v>
      </c>
      <c r="C23" s="8" t="s">
        <v>25</v>
      </c>
      <c r="D23" s="8" t="s">
        <v>56</v>
      </c>
      <c r="E23" s="8" t="s">
        <v>42</v>
      </c>
      <c r="F23" s="8" t="s">
        <v>274</v>
      </c>
      <c r="G23" s="8" t="s">
        <v>12</v>
      </c>
      <c r="H23" s="21">
        <v>10</v>
      </c>
      <c r="I23" s="21">
        <v>19</v>
      </c>
    </row>
    <row r="24" spans="1:9" x14ac:dyDescent="0.3">
      <c r="A24" s="36"/>
      <c r="B24" s="8" t="s">
        <v>22</v>
      </c>
      <c r="C24" s="8" t="s">
        <v>25</v>
      </c>
      <c r="D24" s="8" t="s">
        <v>56</v>
      </c>
      <c r="E24" s="8" t="s">
        <v>42</v>
      </c>
      <c r="F24" s="8" t="s">
        <v>275</v>
      </c>
      <c r="G24" s="8" t="s">
        <v>9</v>
      </c>
      <c r="H24" s="21">
        <v>11</v>
      </c>
      <c r="I24" s="21">
        <v>20</v>
      </c>
    </row>
    <row r="25" spans="1:9" x14ac:dyDescent="0.3">
      <c r="A25" s="36"/>
      <c r="B25" s="8" t="s">
        <v>22</v>
      </c>
      <c r="C25" s="8" t="s">
        <v>25</v>
      </c>
      <c r="D25" s="8" t="s">
        <v>56</v>
      </c>
      <c r="E25" s="8" t="s">
        <v>42</v>
      </c>
      <c r="F25" s="8" t="s">
        <v>276</v>
      </c>
      <c r="G25" s="8" t="s">
        <v>62</v>
      </c>
      <c r="H25" s="21">
        <v>12</v>
      </c>
      <c r="I25" s="21">
        <v>21</v>
      </c>
    </row>
    <row r="26" spans="1:9" x14ac:dyDescent="0.3">
      <c r="A26" s="36"/>
      <c r="B26" s="8" t="s">
        <v>22</v>
      </c>
      <c r="C26" s="8" t="s">
        <v>25</v>
      </c>
      <c r="D26" s="8" t="s">
        <v>56</v>
      </c>
      <c r="E26" s="8" t="s">
        <v>42</v>
      </c>
      <c r="F26" s="8" t="s">
        <v>277</v>
      </c>
      <c r="G26" s="8" t="s">
        <v>77</v>
      </c>
      <c r="H26" s="21">
        <v>13</v>
      </c>
      <c r="I26" s="21">
        <v>22</v>
      </c>
    </row>
    <row r="27" spans="1:9" x14ac:dyDescent="0.3">
      <c r="A27" s="36"/>
      <c r="B27" s="8" t="s">
        <v>22</v>
      </c>
      <c r="C27" s="8" t="s">
        <v>25</v>
      </c>
      <c r="D27" s="8" t="s">
        <v>56</v>
      </c>
      <c r="E27" s="8" t="s">
        <v>42</v>
      </c>
      <c r="F27" s="8" t="s">
        <v>278</v>
      </c>
      <c r="G27" s="8" t="s">
        <v>72</v>
      </c>
      <c r="H27" s="21">
        <v>14</v>
      </c>
      <c r="I27" s="21">
        <v>23</v>
      </c>
    </row>
    <row r="28" spans="1:9" x14ac:dyDescent="0.3">
      <c r="A28" s="36"/>
      <c r="B28" s="8" t="s">
        <v>22</v>
      </c>
      <c r="C28" s="8" t="s">
        <v>25</v>
      </c>
      <c r="D28" s="8" t="s">
        <v>27</v>
      </c>
      <c r="E28" s="8" t="s">
        <v>26</v>
      </c>
      <c r="F28" s="8" t="s">
        <v>279</v>
      </c>
      <c r="G28" s="8" t="s">
        <v>89</v>
      </c>
      <c r="H28" s="21">
        <v>1</v>
      </c>
      <c r="I28" s="21">
        <v>24</v>
      </c>
    </row>
    <row r="29" spans="1:9" x14ac:dyDescent="0.3">
      <c r="A29" s="36"/>
      <c r="B29" s="8" t="s">
        <v>22</v>
      </c>
      <c r="C29" s="8" t="s">
        <v>25</v>
      </c>
      <c r="D29" s="8" t="s">
        <v>27</v>
      </c>
      <c r="E29" s="8" t="s">
        <v>26</v>
      </c>
      <c r="F29" s="8" t="s">
        <v>280</v>
      </c>
      <c r="G29" s="8" t="s">
        <v>53</v>
      </c>
      <c r="H29" s="21">
        <v>2</v>
      </c>
      <c r="I29" s="22">
        <v>25</v>
      </c>
    </row>
    <row r="30" spans="1:9" x14ac:dyDescent="0.3">
      <c r="A30" s="36"/>
      <c r="B30" s="8" t="s">
        <v>22</v>
      </c>
      <c r="C30" s="8" t="s">
        <v>25</v>
      </c>
      <c r="D30" s="8" t="s">
        <v>27</v>
      </c>
      <c r="E30" s="8" t="s">
        <v>26</v>
      </c>
      <c r="F30" s="8" t="s">
        <v>281</v>
      </c>
      <c r="G30" s="8" t="s">
        <v>282</v>
      </c>
      <c r="H30" s="21">
        <v>3</v>
      </c>
      <c r="I30" s="21">
        <v>26</v>
      </c>
    </row>
    <row r="31" spans="1:9" x14ac:dyDescent="0.3">
      <c r="A31" s="36"/>
      <c r="B31" s="8" t="s">
        <v>22</v>
      </c>
      <c r="C31" s="8" t="s">
        <v>25</v>
      </c>
      <c r="D31" s="8" t="s">
        <v>27</v>
      </c>
      <c r="E31" s="8" t="s">
        <v>26</v>
      </c>
      <c r="F31" s="8" t="s">
        <v>283</v>
      </c>
      <c r="G31" s="8" t="s">
        <v>74</v>
      </c>
      <c r="H31" s="21">
        <v>4</v>
      </c>
      <c r="I31" s="22">
        <v>27</v>
      </c>
    </row>
    <row r="32" spans="1:9" x14ac:dyDescent="0.3">
      <c r="A32" s="36"/>
      <c r="B32" s="8" t="s">
        <v>22</v>
      </c>
      <c r="C32" s="8" t="s">
        <v>25</v>
      </c>
      <c r="D32" s="8" t="s">
        <v>27</v>
      </c>
      <c r="E32" s="8" t="s">
        <v>26</v>
      </c>
      <c r="F32" s="8" t="s">
        <v>284</v>
      </c>
      <c r="G32" s="8" t="s">
        <v>285</v>
      </c>
      <c r="H32" s="21">
        <v>5</v>
      </c>
      <c r="I32" s="21">
        <v>28</v>
      </c>
    </row>
    <row r="33" spans="1:9" x14ac:dyDescent="0.3">
      <c r="A33" s="36"/>
      <c r="B33" s="8" t="s">
        <v>22</v>
      </c>
      <c r="C33" s="8" t="s">
        <v>25</v>
      </c>
      <c r="D33" s="8" t="s">
        <v>27</v>
      </c>
      <c r="E33" s="8" t="s">
        <v>26</v>
      </c>
      <c r="F33" s="8" t="s">
        <v>286</v>
      </c>
      <c r="G33" s="8" t="s">
        <v>282</v>
      </c>
      <c r="H33" s="21">
        <v>6</v>
      </c>
      <c r="I33" s="21">
        <v>29</v>
      </c>
    </row>
    <row r="34" spans="1:9" x14ac:dyDescent="0.3">
      <c r="A34" s="36"/>
      <c r="B34" s="8" t="s">
        <v>22</v>
      </c>
      <c r="C34" s="8" t="s">
        <v>25</v>
      </c>
      <c r="D34" s="8" t="s">
        <v>27</v>
      </c>
      <c r="E34" s="8" t="s">
        <v>26</v>
      </c>
      <c r="F34" s="8" t="s">
        <v>287</v>
      </c>
      <c r="G34" s="8" t="s">
        <v>74</v>
      </c>
      <c r="H34" s="21">
        <v>7</v>
      </c>
      <c r="I34" s="21">
        <v>30</v>
      </c>
    </row>
    <row r="35" spans="1:9" x14ac:dyDescent="0.3">
      <c r="A35" s="36"/>
      <c r="B35" s="8" t="s">
        <v>22</v>
      </c>
      <c r="C35" s="8" t="s">
        <v>25</v>
      </c>
      <c r="D35" s="8" t="s">
        <v>27</v>
      </c>
      <c r="E35" s="8" t="s">
        <v>26</v>
      </c>
      <c r="F35" s="8" t="s">
        <v>288</v>
      </c>
      <c r="G35" s="8" t="s">
        <v>84</v>
      </c>
      <c r="H35" s="21">
        <v>8</v>
      </c>
      <c r="I35" s="24">
        <v>31</v>
      </c>
    </row>
    <row r="36" spans="1:9" x14ac:dyDescent="0.3">
      <c r="A36" s="36"/>
      <c r="B36" s="8" t="s">
        <v>22</v>
      </c>
      <c r="C36" s="8" t="s">
        <v>25</v>
      </c>
      <c r="D36" s="8" t="s">
        <v>27</v>
      </c>
      <c r="E36" s="8" t="s">
        <v>26</v>
      </c>
      <c r="F36" s="8" t="s">
        <v>289</v>
      </c>
      <c r="G36" s="8" t="s">
        <v>290</v>
      </c>
      <c r="H36" s="21">
        <v>9</v>
      </c>
      <c r="I36" s="22">
        <v>32</v>
      </c>
    </row>
    <row r="37" spans="1:9" x14ac:dyDescent="0.3">
      <c r="A37" s="36"/>
      <c r="B37" s="8" t="s">
        <v>22</v>
      </c>
      <c r="C37" s="8" t="s">
        <v>25</v>
      </c>
      <c r="D37" s="8" t="s">
        <v>27</v>
      </c>
      <c r="E37" s="8" t="s">
        <v>26</v>
      </c>
      <c r="F37" s="8" t="s">
        <v>291</v>
      </c>
      <c r="G37" s="8" t="s">
        <v>292</v>
      </c>
      <c r="H37" s="21">
        <v>10</v>
      </c>
      <c r="I37" s="24">
        <v>33</v>
      </c>
    </row>
    <row r="38" spans="1:9" x14ac:dyDescent="0.3">
      <c r="A38" s="36"/>
      <c r="B38" s="8" t="s">
        <v>22</v>
      </c>
      <c r="C38" s="8" t="s">
        <v>25</v>
      </c>
      <c r="D38" s="8" t="s">
        <v>27</v>
      </c>
      <c r="E38" s="8" t="s">
        <v>26</v>
      </c>
      <c r="F38" s="8" t="s">
        <v>293</v>
      </c>
      <c r="G38" s="8" t="s">
        <v>76</v>
      </c>
      <c r="H38" s="21">
        <v>11</v>
      </c>
      <c r="I38" s="24">
        <v>34</v>
      </c>
    </row>
    <row r="39" spans="1:9" x14ac:dyDescent="0.3">
      <c r="A39" s="36"/>
      <c r="B39" s="8" t="s">
        <v>22</v>
      </c>
      <c r="C39" s="8" t="s">
        <v>25</v>
      </c>
      <c r="D39" s="8" t="s">
        <v>27</v>
      </c>
      <c r="E39" s="8" t="s">
        <v>26</v>
      </c>
      <c r="F39" s="8" t="s">
        <v>294</v>
      </c>
      <c r="G39" s="8" t="s">
        <v>32</v>
      </c>
      <c r="H39" s="21">
        <v>12</v>
      </c>
      <c r="I39" s="24">
        <v>35</v>
      </c>
    </row>
    <row r="40" spans="1:9" x14ac:dyDescent="0.3">
      <c r="A40" s="36"/>
      <c r="B40" s="8" t="s">
        <v>22</v>
      </c>
      <c r="C40" s="8" t="s">
        <v>25</v>
      </c>
      <c r="D40" s="8" t="s">
        <v>27</v>
      </c>
      <c r="E40" s="8" t="s">
        <v>26</v>
      </c>
      <c r="F40" s="8" t="s">
        <v>295</v>
      </c>
      <c r="G40" s="8" t="s">
        <v>65</v>
      </c>
      <c r="H40" s="21">
        <v>13</v>
      </c>
      <c r="I40" s="21">
        <v>36</v>
      </c>
    </row>
    <row r="41" spans="1:9" x14ac:dyDescent="0.3">
      <c r="A41" s="36"/>
      <c r="B41" s="8" t="s">
        <v>22</v>
      </c>
      <c r="C41" s="8" t="s">
        <v>25</v>
      </c>
      <c r="D41" s="8" t="s">
        <v>27</v>
      </c>
      <c r="E41" s="8" t="s">
        <v>26</v>
      </c>
      <c r="F41" s="8" t="s">
        <v>296</v>
      </c>
      <c r="G41" s="8" t="s">
        <v>65</v>
      </c>
      <c r="H41" s="21">
        <v>14</v>
      </c>
      <c r="I41" s="21">
        <v>37</v>
      </c>
    </row>
    <row r="42" spans="1:9" x14ac:dyDescent="0.3">
      <c r="A42" s="36"/>
      <c r="B42" s="8" t="s">
        <v>22</v>
      </c>
      <c r="C42" s="8" t="s">
        <v>25</v>
      </c>
      <c r="D42" s="8" t="s">
        <v>27</v>
      </c>
      <c r="E42" s="8" t="s">
        <v>26</v>
      </c>
      <c r="F42" s="8" t="s">
        <v>297</v>
      </c>
      <c r="G42" s="8" t="s">
        <v>49</v>
      </c>
      <c r="H42" s="21">
        <v>15</v>
      </c>
      <c r="I42" s="21">
        <v>38</v>
      </c>
    </row>
    <row r="43" spans="1:9" x14ac:dyDescent="0.3">
      <c r="A43" s="36"/>
      <c r="B43" s="8" t="s">
        <v>22</v>
      </c>
      <c r="C43" s="8" t="s">
        <v>25</v>
      </c>
      <c r="D43" s="8" t="s">
        <v>27</v>
      </c>
      <c r="E43" s="8" t="s">
        <v>26</v>
      </c>
      <c r="F43" s="8" t="s">
        <v>298</v>
      </c>
      <c r="G43" s="8" t="s">
        <v>172</v>
      </c>
      <c r="H43" s="21">
        <v>16</v>
      </c>
      <c r="I43" s="21">
        <v>39</v>
      </c>
    </row>
    <row r="44" spans="1:9" x14ac:dyDescent="0.3">
      <c r="A44" s="36"/>
      <c r="B44" s="8" t="s">
        <v>22</v>
      </c>
      <c r="C44" s="8" t="s">
        <v>25</v>
      </c>
      <c r="D44" s="8" t="s">
        <v>27</v>
      </c>
      <c r="E44" s="8" t="s">
        <v>26</v>
      </c>
      <c r="F44" s="8" t="s">
        <v>299</v>
      </c>
      <c r="G44" s="8" t="s">
        <v>67</v>
      </c>
      <c r="H44" s="21">
        <v>17</v>
      </c>
      <c r="I44" s="21">
        <v>40</v>
      </c>
    </row>
    <row r="45" spans="1:9" x14ac:dyDescent="0.3">
      <c r="A45" s="36"/>
      <c r="B45" s="8" t="s">
        <v>22</v>
      </c>
      <c r="C45" s="8" t="s">
        <v>25</v>
      </c>
      <c r="D45" s="8" t="s">
        <v>27</v>
      </c>
      <c r="E45" s="8" t="s">
        <v>26</v>
      </c>
      <c r="F45" s="8" t="s">
        <v>300</v>
      </c>
      <c r="G45" s="8" t="s">
        <v>60</v>
      </c>
      <c r="H45" s="21">
        <v>18</v>
      </c>
      <c r="I45" s="21">
        <v>41</v>
      </c>
    </row>
    <row r="46" spans="1:9" x14ac:dyDescent="0.3">
      <c r="A46" s="36"/>
      <c r="B46" s="8" t="s">
        <v>22</v>
      </c>
      <c r="C46" s="8" t="s">
        <v>25</v>
      </c>
      <c r="D46" s="8" t="s">
        <v>27</v>
      </c>
      <c r="E46" s="8" t="s">
        <v>26</v>
      </c>
      <c r="F46" s="8" t="s">
        <v>301</v>
      </c>
      <c r="G46" s="8" t="s">
        <v>11</v>
      </c>
      <c r="H46" s="21">
        <v>19</v>
      </c>
      <c r="I46" s="21">
        <v>42</v>
      </c>
    </row>
    <row r="47" spans="1:9" x14ac:dyDescent="0.3">
      <c r="A47" s="36"/>
      <c r="B47" s="8" t="s">
        <v>22</v>
      </c>
      <c r="C47" s="8" t="s">
        <v>25</v>
      </c>
      <c r="D47" s="8" t="s">
        <v>27</v>
      </c>
      <c r="E47" s="8" t="s">
        <v>26</v>
      </c>
      <c r="F47" s="8" t="s">
        <v>302</v>
      </c>
      <c r="G47" s="8" t="s">
        <v>40</v>
      </c>
      <c r="H47" s="21">
        <v>20</v>
      </c>
      <c r="I47" s="21">
        <v>43</v>
      </c>
    </row>
    <row r="48" spans="1:9" x14ac:dyDescent="0.3">
      <c r="A48" s="36"/>
      <c r="B48" s="8" t="s">
        <v>22</v>
      </c>
      <c r="C48" s="8" t="s">
        <v>25</v>
      </c>
      <c r="D48" s="8" t="s">
        <v>27</v>
      </c>
      <c r="E48" s="8" t="s">
        <v>26</v>
      </c>
      <c r="F48" s="8" t="s">
        <v>303</v>
      </c>
      <c r="G48" s="8" t="s">
        <v>93</v>
      </c>
      <c r="H48" s="21">
        <v>21</v>
      </c>
      <c r="I48" s="21">
        <v>44</v>
      </c>
    </row>
    <row r="49" spans="1:9" x14ac:dyDescent="0.3">
      <c r="A49" s="36"/>
      <c r="B49" s="8" t="s">
        <v>22</v>
      </c>
      <c r="C49" s="8" t="s">
        <v>25</v>
      </c>
      <c r="D49" s="8" t="s">
        <v>27</v>
      </c>
      <c r="E49" s="8" t="s">
        <v>26</v>
      </c>
      <c r="F49" s="8" t="s">
        <v>304</v>
      </c>
      <c r="G49" s="8" t="s">
        <v>81</v>
      </c>
      <c r="H49" s="21">
        <v>22</v>
      </c>
      <c r="I49" s="21">
        <v>45</v>
      </c>
    </row>
    <row r="50" spans="1:9" x14ac:dyDescent="0.3">
      <c r="A50" s="36"/>
      <c r="B50" s="8" t="s">
        <v>22</v>
      </c>
      <c r="C50" s="8" t="s">
        <v>25</v>
      </c>
      <c r="D50" s="8" t="s">
        <v>27</v>
      </c>
      <c r="E50" s="8" t="s">
        <v>26</v>
      </c>
      <c r="F50" s="8" t="s">
        <v>305</v>
      </c>
      <c r="G50" s="8" t="s">
        <v>198</v>
      </c>
      <c r="H50" s="21">
        <v>23</v>
      </c>
      <c r="I50" s="21">
        <v>46</v>
      </c>
    </row>
    <row r="51" spans="1:9" x14ac:dyDescent="0.3">
      <c r="A51" s="36"/>
      <c r="B51" s="8" t="s">
        <v>22</v>
      </c>
      <c r="C51" s="8" t="s">
        <v>25</v>
      </c>
      <c r="D51" s="8" t="s">
        <v>27</v>
      </c>
      <c r="E51" s="8" t="s">
        <v>26</v>
      </c>
      <c r="F51" s="8" t="s">
        <v>306</v>
      </c>
      <c r="G51" s="8" t="s">
        <v>37</v>
      </c>
      <c r="H51" s="21">
        <v>24</v>
      </c>
      <c r="I51" s="21">
        <v>47</v>
      </c>
    </row>
    <row r="52" spans="1:9" x14ac:dyDescent="0.3">
      <c r="A52" s="36"/>
      <c r="B52" s="8" t="s">
        <v>23</v>
      </c>
      <c r="C52" s="8" t="s">
        <v>20</v>
      </c>
      <c r="D52" s="8" t="s">
        <v>81</v>
      </c>
      <c r="E52" s="8" t="s">
        <v>20</v>
      </c>
      <c r="F52" s="8" t="s">
        <v>307</v>
      </c>
      <c r="G52" s="8" t="s">
        <v>8</v>
      </c>
      <c r="H52" s="21">
        <v>1</v>
      </c>
      <c r="I52" s="21">
        <v>48</v>
      </c>
    </row>
    <row r="53" spans="1:9" x14ac:dyDescent="0.3">
      <c r="A53" s="36"/>
      <c r="B53" s="8" t="s">
        <v>23</v>
      </c>
      <c r="C53" s="8" t="s">
        <v>20</v>
      </c>
      <c r="D53" s="8" t="s">
        <v>81</v>
      </c>
      <c r="E53" s="8" t="s">
        <v>20</v>
      </c>
      <c r="F53" s="8" t="s">
        <v>308</v>
      </c>
      <c r="G53" s="8" t="s">
        <v>28</v>
      </c>
      <c r="H53" s="21">
        <v>2</v>
      </c>
      <c r="I53" s="21">
        <v>49</v>
      </c>
    </row>
    <row r="54" spans="1:9" x14ac:dyDescent="0.3">
      <c r="A54" s="36"/>
      <c r="B54" s="8" t="s">
        <v>23</v>
      </c>
      <c r="C54" s="8" t="s">
        <v>20</v>
      </c>
      <c r="D54" s="8" t="s">
        <v>81</v>
      </c>
      <c r="E54" s="8" t="s">
        <v>20</v>
      </c>
      <c r="F54" s="8" t="s">
        <v>309</v>
      </c>
      <c r="G54" s="8" t="s">
        <v>56</v>
      </c>
      <c r="H54" s="21">
        <v>3</v>
      </c>
      <c r="I54" s="21">
        <v>50</v>
      </c>
    </row>
    <row r="55" spans="1:9" ht="28.8" x14ac:dyDescent="0.3">
      <c r="A55" s="36"/>
      <c r="B55" s="8" t="s">
        <v>23</v>
      </c>
      <c r="C55" s="8" t="s">
        <v>20</v>
      </c>
      <c r="D55" s="8" t="s">
        <v>81</v>
      </c>
      <c r="E55" s="8" t="s">
        <v>20</v>
      </c>
      <c r="F55" s="8" t="s">
        <v>310</v>
      </c>
      <c r="G55" s="8" t="s">
        <v>29</v>
      </c>
      <c r="H55" s="21">
        <v>4</v>
      </c>
      <c r="I55" s="21">
        <v>51</v>
      </c>
    </row>
    <row r="56" spans="1:9" x14ac:dyDescent="0.3">
      <c r="A56" s="36"/>
      <c r="B56" s="8" t="s">
        <v>23</v>
      </c>
      <c r="C56" s="8" t="s">
        <v>20</v>
      </c>
      <c r="D56" s="8" t="s">
        <v>81</v>
      </c>
      <c r="E56" s="8" t="s">
        <v>20</v>
      </c>
      <c r="F56" s="8" t="s">
        <v>311</v>
      </c>
      <c r="G56" s="8" t="s">
        <v>22</v>
      </c>
      <c r="H56" s="21">
        <v>5</v>
      </c>
      <c r="I56" s="21">
        <v>52</v>
      </c>
    </row>
    <row r="57" spans="1:9" x14ac:dyDescent="0.3">
      <c r="A57" s="36"/>
      <c r="B57" s="8" t="s">
        <v>23</v>
      </c>
      <c r="C57" s="8" t="s">
        <v>20</v>
      </c>
      <c r="D57" s="8" t="s">
        <v>81</v>
      </c>
      <c r="E57" s="8" t="s">
        <v>20</v>
      </c>
      <c r="F57" s="8" t="s">
        <v>312</v>
      </c>
      <c r="G57" s="8" t="s">
        <v>53</v>
      </c>
      <c r="H57" s="21">
        <v>6</v>
      </c>
      <c r="I57" s="21">
        <v>53</v>
      </c>
    </row>
    <row r="58" spans="1:9" x14ac:dyDescent="0.3">
      <c r="A58" s="36"/>
      <c r="B58" s="8" t="s">
        <v>29</v>
      </c>
      <c r="C58" s="8" t="s">
        <v>7</v>
      </c>
      <c r="D58" s="8" t="s">
        <v>55</v>
      </c>
      <c r="E58" s="8" t="s">
        <v>7</v>
      </c>
      <c r="F58" s="25" t="s">
        <v>140</v>
      </c>
      <c r="G58" s="25" t="s">
        <v>85</v>
      </c>
      <c r="H58" s="21">
        <v>1</v>
      </c>
      <c r="I58" s="21">
        <v>54</v>
      </c>
    </row>
    <row r="59" spans="1:9" x14ac:dyDescent="0.3">
      <c r="A59" s="36"/>
      <c r="B59" s="8" t="s">
        <v>29</v>
      </c>
      <c r="C59" s="8" t="s">
        <v>7</v>
      </c>
      <c r="D59" s="8" t="s">
        <v>55</v>
      </c>
      <c r="E59" s="8" t="s">
        <v>7</v>
      </c>
      <c r="F59" s="25" t="s">
        <v>141</v>
      </c>
      <c r="G59" s="25" t="s">
        <v>66</v>
      </c>
      <c r="H59" s="21">
        <v>2</v>
      </c>
      <c r="I59" s="21">
        <v>55</v>
      </c>
    </row>
    <row r="60" spans="1:9" x14ac:dyDescent="0.3">
      <c r="A60" s="36"/>
      <c r="B60" s="8" t="s">
        <v>29</v>
      </c>
      <c r="C60" s="8" t="s">
        <v>7</v>
      </c>
      <c r="D60" s="8" t="s">
        <v>55</v>
      </c>
      <c r="E60" s="8" t="s">
        <v>7</v>
      </c>
      <c r="F60" s="25" t="s">
        <v>142</v>
      </c>
      <c r="G60" s="25" t="s">
        <v>29</v>
      </c>
      <c r="H60" s="21">
        <v>3</v>
      </c>
      <c r="I60" s="21">
        <v>56</v>
      </c>
    </row>
    <row r="61" spans="1:9" x14ac:dyDescent="0.3">
      <c r="A61" s="36"/>
      <c r="B61" s="8" t="s">
        <v>29</v>
      </c>
      <c r="C61" s="8" t="s">
        <v>7</v>
      </c>
      <c r="D61" s="8" t="s">
        <v>55</v>
      </c>
      <c r="E61" s="8" t="s">
        <v>7</v>
      </c>
      <c r="F61" s="25" t="s">
        <v>143</v>
      </c>
      <c r="G61" s="25" t="s">
        <v>144</v>
      </c>
      <c r="H61" s="21">
        <v>4</v>
      </c>
      <c r="I61" s="21">
        <v>57</v>
      </c>
    </row>
    <row r="62" spans="1:9" x14ac:dyDescent="0.3">
      <c r="A62" s="36"/>
      <c r="B62" s="8" t="s">
        <v>29</v>
      </c>
      <c r="C62" s="8" t="s">
        <v>7</v>
      </c>
      <c r="D62" s="8" t="s">
        <v>55</v>
      </c>
      <c r="E62" s="8" t="s">
        <v>7</v>
      </c>
      <c r="F62" s="25" t="s">
        <v>145</v>
      </c>
      <c r="G62" s="25" t="s">
        <v>83</v>
      </c>
      <c r="H62" s="21">
        <v>5</v>
      </c>
      <c r="I62" s="21">
        <v>58</v>
      </c>
    </row>
    <row r="63" spans="1:9" x14ac:dyDescent="0.3">
      <c r="A63" s="36"/>
      <c r="B63" s="8" t="s">
        <v>29</v>
      </c>
      <c r="C63" s="8" t="s">
        <v>7</v>
      </c>
      <c r="D63" s="8" t="s">
        <v>55</v>
      </c>
      <c r="E63" s="8" t="s">
        <v>7</v>
      </c>
      <c r="F63" s="25" t="s">
        <v>90</v>
      </c>
      <c r="G63" s="25" t="s">
        <v>31</v>
      </c>
      <c r="H63" s="21">
        <v>6</v>
      </c>
      <c r="I63" s="23">
        <v>59</v>
      </c>
    </row>
    <row r="64" spans="1:9" x14ac:dyDescent="0.3">
      <c r="A64" s="36"/>
      <c r="B64" s="8" t="s">
        <v>29</v>
      </c>
      <c r="C64" s="8" t="s">
        <v>7</v>
      </c>
      <c r="D64" s="8" t="s">
        <v>55</v>
      </c>
      <c r="E64" s="8" t="s">
        <v>7</v>
      </c>
      <c r="F64" s="25" t="s">
        <v>146</v>
      </c>
      <c r="G64" s="25" t="s">
        <v>41</v>
      </c>
      <c r="H64" s="21">
        <v>7</v>
      </c>
      <c r="I64" s="21">
        <v>60</v>
      </c>
    </row>
    <row r="65" spans="1:9" x14ac:dyDescent="0.3">
      <c r="A65" s="36"/>
      <c r="B65" s="8" t="s">
        <v>29</v>
      </c>
      <c r="C65" s="8" t="s">
        <v>7</v>
      </c>
      <c r="D65" s="8" t="s">
        <v>55</v>
      </c>
      <c r="E65" s="8" t="s">
        <v>7</v>
      </c>
      <c r="F65" s="25" t="s">
        <v>147</v>
      </c>
      <c r="G65" s="25" t="s">
        <v>148</v>
      </c>
      <c r="H65" s="21">
        <v>8</v>
      </c>
      <c r="I65" s="21">
        <v>61</v>
      </c>
    </row>
    <row r="66" spans="1:9" x14ac:dyDescent="0.3">
      <c r="A66" s="36"/>
      <c r="B66" s="8" t="s">
        <v>29</v>
      </c>
      <c r="C66" s="8" t="s">
        <v>7</v>
      </c>
      <c r="D66" s="8" t="s">
        <v>55</v>
      </c>
      <c r="E66" s="8" t="s">
        <v>7</v>
      </c>
      <c r="F66" s="25" t="s">
        <v>149</v>
      </c>
      <c r="G66" s="25" t="s">
        <v>45</v>
      </c>
      <c r="H66" s="21">
        <v>9</v>
      </c>
      <c r="I66" s="23">
        <v>62</v>
      </c>
    </row>
    <row r="67" spans="1:9" x14ac:dyDescent="0.3">
      <c r="A67" s="36"/>
      <c r="B67" s="8" t="s">
        <v>29</v>
      </c>
      <c r="C67" s="8" t="s">
        <v>7</v>
      </c>
      <c r="D67" s="8" t="s">
        <v>55</v>
      </c>
      <c r="E67" s="8" t="s">
        <v>7</v>
      </c>
      <c r="F67" s="25" t="s">
        <v>150</v>
      </c>
      <c r="G67" s="25" t="s">
        <v>53</v>
      </c>
      <c r="H67" s="21">
        <v>10</v>
      </c>
      <c r="I67" s="21">
        <v>63</v>
      </c>
    </row>
    <row r="68" spans="1:9" x14ac:dyDescent="0.3">
      <c r="A68" s="36"/>
      <c r="B68" s="8" t="s">
        <v>29</v>
      </c>
      <c r="C68" s="8" t="s">
        <v>7</v>
      </c>
      <c r="D68" s="8" t="s">
        <v>55</v>
      </c>
      <c r="E68" s="8" t="s">
        <v>7</v>
      </c>
      <c r="F68" s="25" t="s">
        <v>151</v>
      </c>
      <c r="G68" s="25" t="s">
        <v>33</v>
      </c>
      <c r="H68" s="21">
        <v>11</v>
      </c>
      <c r="I68" s="21">
        <v>64</v>
      </c>
    </row>
    <row r="69" spans="1:9" x14ac:dyDescent="0.3">
      <c r="A69" s="36"/>
      <c r="B69" s="8" t="s">
        <v>29</v>
      </c>
      <c r="C69" s="8" t="s">
        <v>7</v>
      </c>
      <c r="D69" s="8" t="s">
        <v>55</v>
      </c>
      <c r="E69" s="8" t="s">
        <v>7</v>
      </c>
      <c r="F69" s="25" t="s">
        <v>152</v>
      </c>
      <c r="G69" s="25" t="s">
        <v>78</v>
      </c>
      <c r="H69" s="21">
        <v>12</v>
      </c>
      <c r="I69" s="21">
        <v>65</v>
      </c>
    </row>
    <row r="70" spans="1:9" x14ac:dyDescent="0.3">
      <c r="A70" s="36"/>
      <c r="B70" s="8" t="s">
        <v>29</v>
      </c>
      <c r="C70" s="8" t="s">
        <v>7</v>
      </c>
      <c r="D70" s="8" t="s">
        <v>55</v>
      </c>
      <c r="E70" s="8" t="s">
        <v>7</v>
      </c>
      <c r="F70" s="25" t="s">
        <v>153</v>
      </c>
      <c r="G70" s="25" t="s">
        <v>17</v>
      </c>
      <c r="H70" s="21">
        <v>13</v>
      </c>
      <c r="I70" s="21">
        <v>66</v>
      </c>
    </row>
    <row r="71" spans="1:9" x14ac:dyDescent="0.3">
      <c r="A71" s="36"/>
      <c r="B71" s="8" t="s">
        <v>29</v>
      </c>
      <c r="C71" s="8" t="s">
        <v>7</v>
      </c>
      <c r="D71" s="8" t="s">
        <v>55</v>
      </c>
      <c r="E71" s="8" t="s">
        <v>7</v>
      </c>
      <c r="F71" s="25" t="s">
        <v>154</v>
      </c>
      <c r="G71" s="25" t="s">
        <v>155</v>
      </c>
      <c r="H71" s="21">
        <v>14</v>
      </c>
      <c r="I71" s="21">
        <v>67</v>
      </c>
    </row>
    <row r="72" spans="1:9" x14ac:dyDescent="0.3">
      <c r="A72" s="36"/>
      <c r="B72" s="8" t="s">
        <v>29</v>
      </c>
      <c r="C72" s="8" t="s">
        <v>7</v>
      </c>
      <c r="D72" s="8" t="s">
        <v>55</v>
      </c>
      <c r="E72" s="8" t="s">
        <v>7</v>
      </c>
      <c r="F72" s="25" t="s">
        <v>156</v>
      </c>
      <c r="G72" s="25" t="s">
        <v>55</v>
      </c>
      <c r="H72" s="21">
        <v>15</v>
      </c>
      <c r="I72" s="21">
        <v>68</v>
      </c>
    </row>
    <row r="73" spans="1:9" x14ac:dyDescent="0.3">
      <c r="A73" s="36"/>
      <c r="B73" s="8" t="s">
        <v>29</v>
      </c>
      <c r="C73" s="8" t="s">
        <v>7</v>
      </c>
      <c r="D73" s="8" t="s">
        <v>55</v>
      </c>
      <c r="E73" s="8" t="s">
        <v>7</v>
      </c>
      <c r="F73" s="25" t="s">
        <v>157</v>
      </c>
      <c r="G73" s="25" t="s">
        <v>30</v>
      </c>
      <c r="H73" s="21">
        <v>16</v>
      </c>
      <c r="I73" s="21">
        <v>69</v>
      </c>
    </row>
    <row r="74" spans="1:9" x14ac:dyDescent="0.3">
      <c r="A74" s="36"/>
      <c r="B74" s="8" t="s">
        <v>29</v>
      </c>
      <c r="C74" s="8" t="s">
        <v>7</v>
      </c>
      <c r="D74" s="8" t="s">
        <v>55</v>
      </c>
      <c r="E74" s="8" t="s">
        <v>7</v>
      </c>
      <c r="F74" s="25" t="s">
        <v>158</v>
      </c>
      <c r="G74" s="25" t="s">
        <v>159</v>
      </c>
      <c r="H74" s="21">
        <v>17</v>
      </c>
      <c r="I74" s="21">
        <v>70</v>
      </c>
    </row>
    <row r="75" spans="1:9" x14ac:dyDescent="0.3">
      <c r="A75" s="36"/>
      <c r="B75" s="8" t="s">
        <v>29</v>
      </c>
      <c r="C75" s="8" t="s">
        <v>7</v>
      </c>
      <c r="D75" s="8" t="s">
        <v>55</v>
      </c>
      <c r="E75" s="8" t="s">
        <v>7</v>
      </c>
      <c r="F75" s="25" t="s">
        <v>160</v>
      </c>
      <c r="G75" s="25" t="s">
        <v>81</v>
      </c>
      <c r="H75" s="21">
        <v>18</v>
      </c>
      <c r="I75" s="21">
        <v>71</v>
      </c>
    </row>
    <row r="76" spans="1:9" ht="16.5" customHeight="1" x14ac:dyDescent="0.3">
      <c r="A76" s="37">
        <v>2</v>
      </c>
      <c r="B76" s="8" t="s">
        <v>81</v>
      </c>
      <c r="C76" s="8" t="s">
        <v>92</v>
      </c>
      <c r="D76" s="8" t="s">
        <v>94</v>
      </c>
      <c r="E76" s="8" t="s">
        <v>92</v>
      </c>
      <c r="F76" s="8" t="s">
        <v>161</v>
      </c>
      <c r="G76" s="8" t="s">
        <v>64</v>
      </c>
      <c r="H76" s="21">
        <v>1</v>
      </c>
      <c r="I76" s="21">
        <v>1</v>
      </c>
    </row>
    <row r="77" spans="1:9" x14ac:dyDescent="0.3">
      <c r="A77" s="38"/>
      <c r="B77" s="8" t="s">
        <v>81</v>
      </c>
      <c r="C77" s="8" t="s">
        <v>92</v>
      </c>
      <c r="D77" s="8" t="s">
        <v>94</v>
      </c>
      <c r="E77" s="8" t="s">
        <v>92</v>
      </c>
      <c r="F77" s="8" t="s">
        <v>162</v>
      </c>
      <c r="G77" s="8" t="s">
        <v>23</v>
      </c>
      <c r="H77" s="21">
        <v>2</v>
      </c>
      <c r="I77" s="21">
        <v>2</v>
      </c>
    </row>
    <row r="78" spans="1:9" x14ac:dyDescent="0.3">
      <c r="A78" s="38"/>
      <c r="B78" s="8" t="s">
        <v>81</v>
      </c>
      <c r="C78" s="8" t="s">
        <v>92</v>
      </c>
      <c r="D78" s="8" t="s">
        <v>94</v>
      </c>
      <c r="E78" s="8" t="s">
        <v>92</v>
      </c>
      <c r="F78" s="8" t="s">
        <v>163</v>
      </c>
      <c r="G78" s="8" t="s">
        <v>29</v>
      </c>
      <c r="H78" s="21">
        <v>3</v>
      </c>
      <c r="I78" s="21">
        <v>3</v>
      </c>
    </row>
    <row r="79" spans="1:9" x14ac:dyDescent="0.3">
      <c r="A79" s="38"/>
      <c r="B79" s="8" t="s">
        <v>81</v>
      </c>
      <c r="C79" s="8" t="s">
        <v>92</v>
      </c>
      <c r="D79" s="8" t="s">
        <v>94</v>
      </c>
      <c r="E79" s="8" t="s">
        <v>92</v>
      </c>
      <c r="F79" s="8" t="s">
        <v>164</v>
      </c>
      <c r="G79" s="8" t="s">
        <v>40</v>
      </c>
      <c r="H79" s="21">
        <v>4</v>
      </c>
      <c r="I79" s="21">
        <v>4</v>
      </c>
    </row>
    <row r="80" spans="1:9" x14ac:dyDescent="0.3">
      <c r="A80" s="38"/>
      <c r="B80" s="8" t="s">
        <v>81</v>
      </c>
      <c r="C80" s="8" t="s">
        <v>92</v>
      </c>
      <c r="D80" s="8" t="s">
        <v>94</v>
      </c>
      <c r="E80" s="8" t="s">
        <v>92</v>
      </c>
      <c r="F80" s="8" t="s">
        <v>165</v>
      </c>
      <c r="G80" s="8" t="s">
        <v>54</v>
      </c>
      <c r="H80" s="21">
        <v>5</v>
      </c>
      <c r="I80" s="21">
        <v>5</v>
      </c>
    </row>
    <row r="81" spans="1:9" x14ac:dyDescent="0.3">
      <c r="A81" s="38"/>
      <c r="B81" s="8" t="s">
        <v>81</v>
      </c>
      <c r="C81" s="8" t="s">
        <v>92</v>
      </c>
      <c r="D81" s="8" t="s">
        <v>94</v>
      </c>
      <c r="E81" s="8" t="s">
        <v>92</v>
      </c>
      <c r="F81" s="8" t="s">
        <v>166</v>
      </c>
      <c r="G81" s="8" t="s">
        <v>16</v>
      </c>
      <c r="H81" s="21">
        <v>6</v>
      </c>
      <c r="I81" s="21">
        <v>6</v>
      </c>
    </row>
    <row r="82" spans="1:9" x14ac:dyDescent="0.3">
      <c r="A82" s="38"/>
      <c r="B82" s="8" t="s">
        <v>81</v>
      </c>
      <c r="C82" s="8" t="s">
        <v>92</v>
      </c>
      <c r="D82" s="8" t="s">
        <v>94</v>
      </c>
      <c r="E82" s="8" t="s">
        <v>92</v>
      </c>
      <c r="F82" s="8" t="s">
        <v>167</v>
      </c>
      <c r="G82" s="8" t="s">
        <v>81</v>
      </c>
      <c r="H82" s="21">
        <v>7</v>
      </c>
      <c r="I82" s="22">
        <v>7</v>
      </c>
    </row>
    <row r="83" spans="1:9" x14ac:dyDescent="0.3">
      <c r="A83" s="38"/>
      <c r="B83" s="8" t="s">
        <v>81</v>
      </c>
      <c r="C83" s="8" t="s">
        <v>92</v>
      </c>
      <c r="D83" s="8" t="s">
        <v>94</v>
      </c>
      <c r="E83" s="8" t="s">
        <v>92</v>
      </c>
      <c r="F83" s="8" t="s">
        <v>168</v>
      </c>
      <c r="G83" s="8" t="s">
        <v>81</v>
      </c>
      <c r="H83" s="21">
        <v>8</v>
      </c>
      <c r="I83" s="21">
        <v>8</v>
      </c>
    </row>
    <row r="84" spans="1:9" x14ac:dyDescent="0.3">
      <c r="A84" s="38"/>
      <c r="B84" s="8" t="s">
        <v>55</v>
      </c>
      <c r="C84" s="8" t="s">
        <v>86</v>
      </c>
      <c r="D84" s="8" t="s">
        <v>22</v>
      </c>
      <c r="E84" s="8" t="s">
        <v>79</v>
      </c>
      <c r="F84" s="8" t="s">
        <v>169</v>
      </c>
      <c r="G84" s="8" t="s">
        <v>85</v>
      </c>
      <c r="H84" s="21">
        <v>1</v>
      </c>
      <c r="I84" s="21">
        <v>9</v>
      </c>
    </row>
    <row r="85" spans="1:9" x14ac:dyDescent="0.3">
      <c r="A85" s="38"/>
      <c r="B85" s="8" t="s">
        <v>55</v>
      </c>
      <c r="C85" s="8" t="s">
        <v>86</v>
      </c>
      <c r="D85" s="8" t="s">
        <v>22</v>
      </c>
      <c r="E85" s="8" t="s">
        <v>79</v>
      </c>
      <c r="F85" s="8" t="s">
        <v>170</v>
      </c>
      <c r="G85" s="8" t="s">
        <v>14</v>
      </c>
      <c r="H85" s="21">
        <v>2</v>
      </c>
      <c r="I85" s="21">
        <v>10</v>
      </c>
    </row>
    <row r="86" spans="1:9" x14ac:dyDescent="0.3">
      <c r="A86" s="38"/>
      <c r="B86" s="8" t="s">
        <v>55</v>
      </c>
      <c r="C86" s="8" t="s">
        <v>86</v>
      </c>
      <c r="D86" s="8" t="s">
        <v>22</v>
      </c>
      <c r="E86" s="8" t="s">
        <v>79</v>
      </c>
      <c r="F86" s="8" t="s">
        <v>171</v>
      </c>
      <c r="G86" s="8" t="s">
        <v>172</v>
      </c>
      <c r="H86" s="21">
        <v>3</v>
      </c>
      <c r="I86" s="21">
        <v>11</v>
      </c>
    </row>
    <row r="87" spans="1:9" x14ac:dyDescent="0.3">
      <c r="A87" s="38"/>
      <c r="B87" s="8" t="s">
        <v>55</v>
      </c>
      <c r="C87" s="8" t="s">
        <v>86</v>
      </c>
      <c r="D87" s="8" t="s">
        <v>22</v>
      </c>
      <c r="E87" s="8" t="s">
        <v>79</v>
      </c>
      <c r="F87" s="8" t="s">
        <v>173</v>
      </c>
      <c r="G87" s="8" t="s">
        <v>46</v>
      </c>
      <c r="H87" s="21">
        <v>4</v>
      </c>
      <c r="I87" s="21">
        <v>12</v>
      </c>
    </row>
    <row r="88" spans="1:9" x14ac:dyDescent="0.3">
      <c r="A88" s="38"/>
      <c r="B88" s="8" t="s">
        <v>55</v>
      </c>
      <c r="C88" s="8" t="s">
        <v>86</v>
      </c>
      <c r="D88" s="8" t="s">
        <v>22</v>
      </c>
      <c r="E88" s="8" t="s">
        <v>79</v>
      </c>
      <c r="F88" s="8" t="s">
        <v>174</v>
      </c>
      <c r="G88" s="8" t="s">
        <v>78</v>
      </c>
      <c r="H88" s="21">
        <v>5</v>
      </c>
      <c r="I88" s="21">
        <v>13</v>
      </c>
    </row>
    <row r="89" spans="1:9" x14ac:dyDescent="0.3">
      <c r="A89" s="38"/>
      <c r="B89" s="8" t="s">
        <v>55</v>
      </c>
      <c r="C89" s="8" t="s">
        <v>86</v>
      </c>
      <c r="D89" s="8" t="s">
        <v>22</v>
      </c>
      <c r="E89" s="8" t="s">
        <v>79</v>
      </c>
      <c r="F89" s="8" t="s">
        <v>88</v>
      </c>
      <c r="G89" s="8" t="s">
        <v>155</v>
      </c>
      <c r="H89" s="21">
        <v>6</v>
      </c>
      <c r="I89" s="21">
        <v>14</v>
      </c>
    </row>
    <row r="90" spans="1:9" x14ac:dyDescent="0.3">
      <c r="A90" s="38"/>
      <c r="B90" s="8" t="s">
        <v>55</v>
      </c>
      <c r="C90" s="8" t="s">
        <v>86</v>
      </c>
      <c r="D90" s="8" t="s">
        <v>22</v>
      </c>
      <c r="E90" s="8" t="s">
        <v>79</v>
      </c>
      <c r="F90" s="8" t="s">
        <v>175</v>
      </c>
      <c r="G90" s="8" t="s">
        <v>78</v>
      </c>
      <c r="H90" s="21">
        <v>7</v>
      </c>
      <c r="I90" s="21">
        <v>15</v>
      </c>
    </row>
    <row r="91" spans="1:9" x14ac:dyDescent="0.3">
      <c r="A91" s="38"/>
      <c r="B91" s="8" t="s">
        <v>55</v>
      </c>
      <c r="C91" s="8" t="s">
        <v>86</v>
      </c>
      <c r="D91" s="8" t="s">
        <v>22</v>
      </c>
      <c r="E91" s="8" t="s">
        <v>79</v>
      </c>
      <c r="F91" s="8" t="s">
        <v>176</v>
      </c>
      <c r="G91" s="8" t="s">
        <v>177</v>
      </c>
      <c r="H91" s="21">
        <v>8</v>
      </c>
      <c r="I91" s="21">
        <v>16</v>
      </c>
    </row>
    <row r="92" spans="1:9" x14ac:dyDescent="0.3">
      <c r="A92" s="38"/>
      <c r="B92" s="8" t="s">
        <v>55</v>
      </c>
      <c r="C92" s="8" t="s">
        <v>86</v>
      </c>
      <c r="D92" s="8" t="s">
        <v>22</v>
      </c>
      <c r="E92" s="8" t="s">
        <v>79</v>
      </c>
      <c r="F92" s="8" t="s">
        <v>71</v>
      </c>
      <c r="G92" s="8" t="s">
        <v>178</v>
      </c>
      <c r="H92" s="21">
        <v>9</v>
      </c>
      <c r="I92" s="21">
        <v>17</v>
      </c>
    </row>
    <row r="93" spans="1:9" x14ac:dyDescent="0.3">
      <c r="A93" s="38"/>
      <c r="B93" s="8" t="s">
        <v>55</v>
      </c>
      <c r="C93" s="8" t="s">
        <v>86</v>
      </c>
      <c r="D93" s="8" t="s">
        <v>22</v>
      </c>
      <c r="E93" s="8" t="s">
        <v>79</v>
      </c>
      <c r="F93" s="8" t="s">
        <v>179</v>
      </c>
      <c r="G93" s="8" t="s">
        <v>180</v>
      </c>
      <c r="H93" s="21">
        <v>10</v>
      </c>
      <c r="I93" s="21">
        <v>18</v>
      </c>
    </row>
    <row r="94" spans="1:9" x14ac:dyDescent="0.3">
      <c r="A94" s="38"/>
      <c r="B94" s="8" t="s">
        <v>55</v>
      </c>
      <c r="C94" s="8" t="s">
        <v>86</v>
      </c>
      <c r="D94" s="8" t="s">
        <v>22</v>
      </c>
      <c r="E94" s="8" t="s">
        <v>79</v>
      </c>
      <c r="F94" s="8" t="s">
        <v>181</v>
      </c>
      <c r="G94" s="8" t="s">
        <v>59</v>
      </c>
      <c r="H94" s="21">
        <v>11</v>
      </c>
      <c r="I94" s="21">
        <v>19</v>
      </c>
    </row>
    <row r="95" spans="1:9" x14ac:dyDescent="0.3">
      <c r="A95" s="38"/>
      <c r="B95" s="8" t="s">
        <v>55</v>
      </c>
      <c r="C95" s="8" t="s">
        <v>86</v>
      </c>
      <c r="D95" s="8" t="s">
        <v>22</v>
      </c>
      <c r="E95" s="8" t="s">
        <v>79</v>
      </c>
      <c r="F95" s="8" t="s">
        <v>182</v>
      </c>
      <c r="G95" s="8" t="s">
        <v>180</v>
      </c>
      <c r="H95" s="21">
        <v>12</v>
      </c>
      <c r="I95" s="21">
        <v>20</v>
      </c>
    </row>
    <row r="96" spans="1:9" x14ac:dyDescent="0.3">
      <c r="A96" s="38"/>
      <c r="B96" s="8" t="s">
        <v>55</v>
      </c>
      <c r="C96" s="8" t="s">
        <v>86</v>
      </c>
      <c r="D96" s="8" t="s">
        <v>29</v>
      </c>
      <c r="E96" s="8" t="s">
        <v>63</v>
      </c>
      <c r="F96" s="8" t="s">
        <v>183</v>
      </c>
      <c r="G96" s="8" t="s">
        <v>36</v>
      </c>
      <c r="H96" s="21">
        <v>1</v>
      </c>
      <c r="I96" s="21">
        <v>21</v>
      </c>
    </row>
    <row r="97" spans="1:9" x14ac:dyDescent="0.3">
      <c r="A97" s="38"/>
      <c r="B97" s="8" t="s">
        <v>55</v>
      </c>
      <c r="C97" s="8" t="s">
        <v>86</v>
      </c>
      <c r="D97" s="8" t="s">
        <v>29</v>
      </c>
      <c r="E97" s="8" t="s">
        <v>63</v>
      </c>
      <c r="F97" s="8" t="s">
        <v>184</v>
      </c>
      <c r="G97" s="8" t="s">
        <v>38</v>
      </c>
      <c r="H97" s="21">
        <v>2</v>
      </c>
      <c r="I97" s="21">
        <v>22</v>
      </c>
    </row>
    <row r="98" spans="1:9" x14ac:dyDescent="0.3">
      <c r="A98" s="38"/>
      <c r="B98" s="8" t="s">
        <v>55</v>
      </c>
      <c r="C98" s="8" t="s">
        <v>86</v>
      </c>
      <c r="D98" s="8" t="s">
        <v>29</v>
      </c>
      <c r="E98" s="8" t="s">
        <v>63</v>
      </c>
      <c r="F98" s="8" t="s">
        <v>185</v>
      </c>
      <c r="G98" s="8" t="s">
        <v>16</v>
      </c>
      <c r="H98" s="21">
        <v>3</v>
      </c>
      <c r="I98" s="21">
        <v>23</v>
      </c>
    </row>
    <row r="99" spans="1:9" x14ac:dyDescent="0.3">
      <c r="A99" s="38"/>
      <c r="B99" s="8" t="s">
        <v>55</v>
      </c>
      <c r="C99" s="8" t="s">
        <v>86</v>
      </c>
      <c r="D99" s="8" t="s">
        <v>29</v>
      </c>
      <c r="E99" s="8" t="s">
        <v>63</v>
      </c>
      <c r="F99" s="8" t="s">
        <v>186</v>
      </c>
      <c r="G99" s="8" t="s">
        <v>39</v>
      </c>
      <c r="H99" s="21">
        <v>4</v>
      </c>
      <c r="I99" s="21">
        <v>24</v>
      </c>
    </row>
    <row r="100" spans="1:9" x14ac:dyDescent="0.3">
      <c r="A100" s="38"/>
      <c r="B100" s="8" t="s">
        <v>55</v>
      </c>
      <c r="C100" s="8" t="s">
        <v>86</v>
      </c>
      <c r="D100" s="8" t="s">
        <v>29</v>
      </c>
      <c r="E100" s="8" t="s">
        <v>63</v>
      </c>
      <c r="F100" s="8" t="s">
        <v>187</v>
      </c>
      <c r="G100" s="8" t="s">
        <v>50</v>
      </c>
      <c r="H100" s="21">
        <v>5</v>
      </c>
      <c r="I100" s="21">
        <v>25</v>
      </c>
    </row>
    <row r="101" spans="1:9" x14ac:dyDescent="0.3">
      <c r="A101" s="38"/>
      <c r="B101" s="8" t="s">
        <v>55</v>
      </c>
      <c r="C101" s="8" t="s">
        <v>86</v>
      </c>
      <c r="D101" s="8" t="s">
        <v>29</v>
      </c>
      <c r="E101" s="8" t="s">
        <v>63</v>
      </c>
      <c r="F101" s="8" t="s">
        <v>188</v>
      </c>
      <c r="G101" s="8" t="s">
        <v>49</v>
      </c>
      <c r="H101" s="21">
        <v>6</v>
      </c>
      <c r="I101" s="21">
        <v>26</v>
      </c>
    </row>
    <row r="102" spans="1:9" x14ac:dyDescent="0.3">
      <c r="A102" s="38"/>
      <c r="B102" s="8" t="s">
        <v>55</v>
      </c>
      <c r="C102" s="8" t="s">
        <v>86</v>
      </c>
      <c r="D102" s="8" t="s">
        <v>29</v>
      </c>
      <c r="E102" s="8" t="s">
        <v>63</v>
      </c>
      <c r="F102" s="8" t="s">
        <v>189</v>
      </c>
      <c r="G102" s="8" t="s">
        <v>190</v>
      </c>
      <c r="H102" s="21">
        <v>7</v>
      </c>
      <c r="I102" s="21">
        <v>27</v>
      </c>
    </row>
    <row r="103" spans="1:9" x14ac:dyDescent="0.3">
      <c r="A103" s="38"/>
      <c r="B103" s="8" t="s">
        <v>56</v>
      </c>
      <c r="C103" s="8" t="s">
        <v>80</v>
      </c>
      <c r="D103" s="8" t="s">
        <v>28</v>
      </c>
      <c r="E103" s="8" t="s">
        <v>82</v>
      </c>
      <c r="F103" s="8" t="s">
        <v>191</v>
      </c>
      <c r="G103" s="8" t="s">
        <v>36</v>
      </c>
      <c r="H103" s="21">
        <v>1</v>
      </c>
      <c r="I103" s="21">
        <v>28</v>
      </c>
    </row>
    <row r="104" spans="1:9" x14ac:dyDescent="0.3">
      <c r="A104" s="38"/>
      <c r="B104" s="8" t="s">
        <v>56</v>
      </c>
      <c r="C104" s="8" t="s">
        <v>80</v>
      </c>
      <c r="D104" s="8" t="s">
        <v>28</v>
      </c>
      <c r="E104" s="8" t="s">
        <v>82</v>
      </c>
      <c r="F104" s="8" t="s">
        <v>192</v>
      </c>
      <c r="G104" s="8" t="s">
        <v>66</v>
      </c>
      <c r="H104" s="21">
        <v>2</v>
      </c>
      <c r="I104" s="21">
        <v>29</v>
      </c>
    </row>
    <row r="105" spans="1:9" x14ac:dyDescent="0.3">
      <c r="A105" s="38"/>
      <c r="B105" s="8" t="s">
        <v>56</v>
      </c>
      <c r="C105" s="8" t="s">
        <v>80</v>
      </c>
      <c r="D105" s="8" t="s">
        <v>28</v>
      </c>
      <c r="E105" s="8" t="s">
        <v>82</v>
      </c>
      <c r="F105" s="8" t="s">
        <v>193</v>
      </c>
      <c r="G105" s="8" t="s">
        <v>194</v>
      </c>
      <c r="H105" s="21">
        <v>3</v>
      </c>
      <c r="I105" s="22">
        <v>30</v>
      </c>
    </row>
    <row r="106" spans="1:9" x14ac:dyDescent="0.3">
      <c r="A106" s="38"/>
      <c r="B106" s="8" t="s">
        <v>56</v>
      </c>
      <c r="C106" s="8" t="s">
        <v>80</v>
      </c>
      <c r="D106" s="8" t="s">
        <v>28</v>
      </c>
      <c r="E106" s="8" t="s">
        <v>82</v>
      </c>
      <c r="F106" s="8" t="s">
        <v>195</v>
      </c>
      <c r="G106" s="8" t="s">
        <v>196</v>
      </c>
      <c r="H106" s="21">
        <v>4</v>
      </c>
      <c r="I106" s="21">
        <v>31</v>
      </c>
    </row>
    <row r="107" spans="1:9" x14ac:dyDescent="0.3">
      <c r="A107" s="38"/>
      <c r="B107" s="8" t="s">
        <v>56</v>
      </c>
      <c r="C107" s="8" t="s">
        <v>80</v>
      </c>
      <c r="D107" s="8" t="s">
        <v>28</v>
      </c>
      <c r="E107" s="8" t="s">
        <v>82</v>
      </c>
      <c r="F107" s="8" t="s">
        <v>197</v>
      </c>
      <c r="G107" s="8" t="s">
        <v>198</v>
      </c>
      <c r="H107" s="21">
        <v>5</v>
      </c>
      <c r="I107" s="21">
        <v>32</v>
      </c>
    </row>
    <row r="108" spans="1:9" x14ac:dyDescent="0.3">
      <c r="A108" s="38"/>
      <c r="B108" s="8" t="s">
        <v>56</v>
      </c>
      <c r="C108" s="8" t="s">
        <v>80</v>
      </c>
      <c r="D108" s="8" t="s">
        <v>28</v>
      </c>
      <c r="E108" s="8" t="s">
        <v>82</v>
      </c>
      <c r="F108" s="8" t="s">
        <v>199</v>
      </c>
      <c r="G108" s="8" t="s">
        <v>19</v>
      </c>
      <c r="H108" s="21">
        <v>6</v>
      </c>
      <c r="I108" s="21">
        <v>33</v>
      </c>
    </row>
    <row r="109" spans="1:9" x14ac:dyDescent="0.3">
      <c r="A109" s="38"/>
      <c r="B109" s="8" t="s">
        <v>56</v>
      </c>
      <c r="C109" s="8" t="s">
        <v>80</v>
      </c>
      <c r="D109" s="8" t="s">
        <v>28</v>
      </c>
      <c r="E109" s="8" t="s">
        <v>82</v>
      </c>
      <c r="F109" s="8" t="s">
        <v>200</v>
      </c>
      <c r="G109" s="8" t="s">
        <v>148</v>
      </c>
      <c r="H109" s="21">
        <v>7</v>
      </c>
      <c r="I109" s="21">
        <v>34</v>
      </c>
    </row>
    <row r="110" spans="1:9" x14ac:dyDescent="0.3">
      <c r="A110" s="38"/>
      <c r="B110" s="8" t="s">
        <v>56</v>
      </c>
      <c r="C110" s="8" t="s">
        <v>80</v>
      </c>
      <c r="D110" s="8" t="s">
        <v>28</v>
      </c>
      <c r="E110" s="8" t="s">
        <v>82</v>
      </c>
      <c r="F110" s="8" t="s">
        <v>201</v>
      </c>
      <c r="G110" s="8" t="s">
        <v>33</v>
      </c>
      <c r="H110" s="21">
        <v>8</v>
      </c>
      <c r="I110" s="21">
        <v>35</v>
      </c>
    </row>
    <row r="111" spans="1:9" x14ac:dyDescent="0.3">
      <c r="A111" s="38"/>
      <c r="B111" s="8" t="s">
        <v>56</v>
      </c>
      <c r="C111" s="8" t="s">
        <v>80</v>
      </c>
      <c r="D111" s="8" t="s">
        <v>28</v>
      </c>
      <c r="E111" s="8" t="s">
        <v>82</v>
      </c>
      <c r="F111" s="8" t="s">
        <v>202</v>
      </c>
      <c r="G111" s="8" t="s">
        <v>172</v>
      </c>
      <c r="H111" s="21">
        <v>9</v>
      </c>
      <c r="I111" s="21">
        <v>36</v>
      </c>
    </row>
    <row r="112" spans="1:9" x14ac:dyDescent="0.3">
      <c r="A112" s="38"/>
      <c r="B112" s="8" t="s">
        <v>56</v>
      </c>
      <c r="C112" s="8" t="s">
        <v>80</v>
      </c>
      <c r="D112" s="8" t="s">
        <v>8</v>
      </c>
      <c r="E112" s="8" t="s">
        <v>80</v>
      </c>
      <c r="F112" s="8" t="s">
        <v>203</v>
      </c>
      <c r="G112" s="8" t="s">
        <v>53</v>
      </c>
      <c r="H112" s="21">
        <v>1</v>
      </c>
      <c r="I112" s="21">
        <v>37</v>
      </c>
    </row>
    <row r="113" spans="1:9" x14ac:dyDescent="0.3">
      <c r="A113" s="38"/>
      <c r="B113" s="8" t="s">
        <v>56</v>
      </c>
      <c r="C113" s="8" t="s">
        <v>80</v>
      </c>
      <c r="D113" s="8" t="s">
        <v>8</v>
      </c>
      <c r="E113" s="8" t="s">
        <v>80</v>
      </c>
      <c r="F113" s="8" t="s">
        <v>204</v>
      </c>
      <c r="G113" s="8" t="s">
        <v>23</v>
      </c>
      <c r="H113" s="21">
        <v>2</v>
      </c>
      <c r="I113" s="21">
        <v>38</v>
      </c>
    </row>
    <row r="114" spans="1:9" x14ac:dyDescent="0.3">
      <c r="A114" s="38"/>
      <c r="B114" s="8" t="s">
        <v>56</v>
      </c>
      <c r="C114" s="8" t="s">
        <v>80</v>
      </c>
      <c r="D114" s="8" t="s">
        <v>8</v>
      </c>
      <c r="E114" s="8" t="s">
        <v>80</v>
      </c>
      <c r="F114" s="8" t="s">
        <v>205</v>
      </c>
      <c r="G114" s="8" t="s">
        <v>93</v>
      </c>
      <c r="H114" s="21">
        <v>3</v>
      </c>
      <c r="I114" s="21">
        <v>39</v>
      </c>
    </row>
    <row r="115" spans="1:9" x14ac:dyDescent="0.3">
      <c r="A115" s="38"/>
      <c r="B115" s="8" t="s">
        <v>56</v>
      </c>
      <c r="C115" s="8" t="s">
        <v>80</v>
      </c>
      <c r="D115" s="8" t="s">
        <v>8</v>
      </c>
      <c r="E115" s="8" t="s">
        <v>80</v>
      </c>
      <c r="F115" s="8" t="s">
        <v>206</v>
      </c>
      <c r="G115" s="8" t="s">
        <v>21</v>
      </c>
      <c r="H115" s="21">
        <v>4</v>
      </c>
      <c r="I115" s="21">
        <v>40</v>
      </c>
    </row>
    <row r="116" spans="1:9" x14ac:dyDescent="0.3">
      <c r="A116" s="38"/>
      <c r="B116" s="8" t="s">
        <v>56</v>
      </c>
      <c r="C116" s="8" t="s">
        <v>80</v>
      </c>
      <c r="D116" s="8" t="s">
        <v>8</v>
      </c>
      <c r="E116" s="8" t="s">
        <v>80</v>
      </c>
      <c r="F116" s="8" t="s">
        <v>207</v>
      </c>
      <c r="G116" s="8" t="s">
        <v>39</v>
      </c>
      <c r="H116" s="21">
        <v>5</v>
      </c>
      <c r="I116" s="21">
        <v>41</v>
      </c>
    </row>
    <row r="117" spans="1:9" x14ac:dyDescent="0.3">
      <c r="A117" s="38"/>
      <c r="B117" s="8" t="s">
        <v>56</v>
      </c>
      <c r="C117" s="8" t="s">
        <v>80</v>
      </c>
      <c r="D117" s="8" t="s">
        <v>8</v>
      </c>
      <c r="E117" s="8" t="s">
        <v>80</v>
      </c>
      <c r="F117" s="8" t="s">
        <v>208</v>
      </c>
      <c r="G117" s="8" t="s">
        <v>13</v>
      </c>
      <c r="H117" s="21">
        <v>6</v>
      </c>
      <c r="I117" s="21">
        <v>42</v>
      </c>
    </row>
    <row r="118" spans="1:9" x14ac:dyDescent="0.3">
      <c r="A118" s="38"/>
      <c r="B118" s="8" t="s">
        <v>27</v>
      </c>
      <c r="C118" s="8" t="s">
        <v>6</v>
      </c>
      <c r="D118" s="8" t="s">
        <v>22</v>
      </c>
      <c r="E118" s="8" t="s">
        <v>79</v>
      </c>
      <c r="F118" s="8" t="s">
        <v>209</v>
      </c>
      <c r="G118" s="8" t="s">
        <v>51</v>
      </c>
      <c r="H118" s="21">
        <v>1</v>
      </c>
      <c r="I118" s="23">
        <v>43</v>
      </c>
    </row>
    <row r="119" spans="1:9" x14ac:dyDescent="0.3">
      <c r="A119" s="38"/>
      <c r="B119" s="8" t="s">
        <v>27</v>
      </c>
      <c r="C119" s="8" t="s">
        <v>6</v>
      </c>
      <c r="D119" s="8" t="s">
        <v>22</v>
      </c>
      <c r="E119" s="8" t="s">
        <v>79</v>
      </c>
      <c r="F119" s="8" t="s">
        <v>210</v>
      </c>
      <c r="G119" s="8" t="s">
        <v>144</v>
      </c>
      <c r="H119" s="21">
        <v>2</v>
      </c>
      <c r="I119" s="21">
        <v>44</v>
      </c>
    </row>
    <row r="120" spans="1:9" x14ac:dyDescent="0.3">
      <c r="A120" s="38"/>
      <c r="B120" s="8" t="s">
        <v>27</v>
      </c>
      <c r="C120" s="8" t="s">
        <v>6</v>
      </c>
      <c r="D120" s="8" t="s">
        <v>22</v>
      </c>
      <c r="E120" s="8" t="s">
        <v>79</v>
      </c>
      <c r="F120" s="8" t="s">
        <v>211</v>
      </c>
      <c r="G120" s="8" t="s">
        <v>172</v>
      </c>
      <c r="H120" s="21">
        <v>3</v>
      </c>
      <c r="I120" s="21">
        <v>45</v>
      </c>
    </row>
    <row r="121" spans="1:9" x14ac:dyDescent="0.3">
      <c r="A121" s="38"/>
      <c r="B121" s="8" t="s">
        <v>27</v>
      </c>
      <c r="C121" s="8" t="s">
        <v>6</v>
      </c>
      <c r="D121" s="8" t="s">
        <v>23</v>
      </c>
      <c r="E121" s="8" t="s">
        <v>68</v>
      </c>
      <c r="F121" s="8" t="s">
        <v>68</v>
      </c>
      <c r="G121" s="8" t="s">
        <v>212</v>
      </c>
      <c r="H121" s="21">
        <v>1</v>
      </c>
      <c r="I121" s="21">
        <v>46</v>
      </c>
    </row>
    <row r="122" spans="1:9" x14ac:dyDescent="0.3">
      <c r="A122" s="38"/>
      <c r="B122" s="8" t="s">
        <v>27</v>
      </c>
      <c r="C122" s="8" t="s">
        <v>6</v>
      </c>
      <c r="D122" s="8" t="s">
        <v>23</v>
      </c>
      <c r="E122" s="8" t="s">
        <v>68</v>
      </c>
      <c r="F122" s="8" t="s">
        <v>213</v>
      </c>
      <c r="G122" s="8" t="s">
        <v>43</v>
      </c>
      <c r="H122" s="21">
        <v>2</v>
      </c>
      <c r="I122" s="21">
        <v>47</v>
      </c>
    </row>
    <row r="123" spans="1:9" x14ac:dyDescent="0.3">
      <c r="A123" s="38"/>
      <c r="B123" s="8" t="s">
        <v>27</v>
      </c>
      <c r="C123" s="8" t="s">
        <v>6</v>
      </c>
      <c r="D123" s="8" t="s">
        <v>23</v>
      </c>
      <c r="E123" s="8" t="s">
        <v>68</v>
      </c>
      <c r="F123" s="8" t="s">
        <v>214</v>
      </c>
      <c r="G123" s="8" t="s">
        <v>215</v>
      </c>
      <c r="H123" s="21">
        <v>3</v>
      </c>
      <c r="I123" s="21">
        <v>48</v>
      </c>
    </row>
    <row r="124" spans="1:9" x14ac:dyDescent="0.3">
      <c r="A124" s="38"/>
      <c r="B124" s="8" t="s">
        <v>27</v>
      </c>
      <c r="C124" s="8" t="s">
        <v>6</v>
      </c>
      <c r="D124" s="8" t="s">
        <v>23</v>
      </c>
      <c r="E124" s="8" t="s">
        <v>68</v>
      </c>
      <c r="F124" s="8" t="s">
        <v>216</v>
      </c>
      <c r="G124" s="8" t="s">
        <v>217</v>
      </c>
      <c r="H124" s="21">
        <v>4</v>
      </c>
      <c r="I124" s="21">
        <v>49</v>
      </c>
    </row>
    <row r="125" spans="1:9" x14ac:dyDescent="0.3">
      <c r="A125" s="38"/>
      <c r="B125" s="8" t="s">
        <v>27</v>
      </c>
      <c r="C125" s="8" t="s">
        <v>6</v>
      </c>
      <c r="D125" s="8" t="s">
        <v>23</v>
      </c>
      <c r="E125" s="8" t="s">
        <v>68</v>
      </c>
      <c r="F125" s="8" t="s">
        <v>218</v>
      </c>
      <c r="G125" s="8" t="s">
        <v>47</v>
      </c>
      <c r="H125" s="21">
        <v>5</v>
      </c>
      <c r="I125" s="21">
        <v>50</v>
      </c>
    </row>
    <row r="126" spans="1:9" x14ac:dyDescent="0.3">
      <c r="A126" s="38"/>
      <c r="B126" s="8" t="s">
        <v>27</v>
      </c>
      <c r="C126" s="8" t="s">
        <v>6</v>
      </c>
      <c r="D126" s="8" t="s">
        <v>23</v>
      </c>
      <c r="E126" s="8" t="s">
        <v>68</v>
      </c>
      <c r="F126" s="8" t="s">
        <v>219</v>
      </c>
      <c r="G126" s="8" t="s">
        <v>220</v>
      </c>
      <c r="H126" s="21">
        <v>6</v>
      </c>
      <c r="I126" s="21">
        <v>51</v>
      </c>
    </row>
    <row r="127" spans="1:9" x14ac:dyDescent="0.3">
      <c r="A127" s="38"/>
      <c r="B127" s="8" t="s">
        <v>27</v>
      </c>
      <c r="C127" s="8" t="s">
        <v>6</v>
      </c>
      <c r="D127" s="8" t="s">
        <v>23</v>
      </c>
      <c r="E127" s="8" t="s">
        <v>68</v>
      </c>
      <c r="F127" s="8" t="s">
        <v>221</v>
      </c>
      <c r="G127" s="8" t="s">
        <v>35</v>
      </c>
      <c r="H127" s="21">
        <v>7</v>
      </c>
      <c r="I127" s="21">
        <v>52</v>
      </c>
    </row>
    <row r="128" spans="1:9" x14ac:dyDescent="0.3">
      <c r="A128" s="38"/>
      <c r="B128" s="8" t="s">
        <v>27</v>
      </c>
      <c r="C128" s="8" t="s">
        <v>6</v>
      </c>
      <c r="D128" s="8" t="s">
        <v>23</v>
      </c>
      <c r="E128" s="8" t="s">
        <v>68</v>
      </c>
      <c r="F128" s="8" t="s">
        <v>222</v>
      </c>
      <c r="G128" s="8" t="s">
        <v>223</v>
      </c>
      <c r="H128" s="21">
        <v>8</v>
      </c>
      <c r="I128" s="21">
        <v>53</v>
      </c>
    </row>
    <row r="129" spans="1:9" x14ac:dyDescent="0.3">
      <c r="A129" s="38"/>
      <c r="B129" s="8" t="s">
        <v>27</v>
      </c>
      <c r="C129" s="8" t="s">
        <v>6</v>
      </c>
      <c r="D129" s="8" t="s">
        <v>23</v>
      </c>
      <c r="E129" s="8" t="s">
        <v>68</v>
      </c>
      <c r="F129" s="8" t="s">
        <v>70</v>
      </c>
      <c r="G129" s="8" t="s">
        <v>224</v>
      </c>
      <c r="H129" s="21">
        <v>9</v>
      </c>
      <c r="I129" s="21">
        <v>54</v>
      </c>
    </row>
    <row r="130" spans="1:9" x14ac:dyDescent="0.3">
      <c r="A130" s="38"/>
      <c r="B130" s="8" t="s">
        <v>27</v>
      </c>
      <c r="C130" s="8" t="s">
        <v>6</v>
      </c>
      <c r="D130" s="8" t="s">
        <v>23</v>
      </c>
      <c r="E130" s="8" t="s">
        <v>68</v>
      </c>
      <c r="F130" s="8" t="s">
        <v>225</v>
      </c>
      <c r="G130" s="8" t="s">
        <v>226</v>
      </c>
      <c r="H130" s="21">
        <v>10</v>
      </c>
      <c r="I130" s="21">
        <v>55</v>
      </c>
    </row>
    <row r="131" spans="1:9" x14ac:dyDescent="0.3">
      <c r="A131" s="38"/>
      <c r="B131" s="8" t="s">
        <v>27</v>
      </c>
      <c r="C131" s="8" t="s">
        <v>6</v>
      </c>
      <c r="D131" s="8" t="s">
        <v>23</v>
      </c>
      <c r="E131" s="8" t="s">
        <v>68</v>
      </c>
      <c r="F131" s="8" t="s">
        <v>227</v>
      </c>
      <c r="G131" s="8" t="s">
        <v>34</v>
      </c>
      <c r="H131" s="21">
        <v>11</v>
      </c>
      <c r="I131" s="21">
        <v>56</v>
      </c>
    </row>
    <row r="132" spans="1:9" x14ac:dyDescent="0.3">
      <c r="A132" s="38"/>
      <c r="B132" s="8" t="s">
        <v>27</v>
      </c>
      <c r="C132" s="8" t="s">
        <v>6</v>
      </c>
      <c r="D132" s="8" t="s">
        <v>23</v>
      </c>
      <c r="E132" s="8" t="s">
        <v>68</v>
      </c>
      <c r="F132" s="8" t="s">
        <v>228</v>
      </c>
      <c r="G132" s="8" t="s">
        <v>229</v>
      </c>
      <c r="H132" s="21">
        <v>12</v>
      </c>
      <c r="I132" s="21">
        <v>57</v>
      </c>
    </row>
    <row r="133" spans="1:9" x14ac:dyDescent="0.3">
      <c r="A133" s="38"/>
      <c r="B133" s="8" t="s">
        <v>27</v>
      </c>
      <c r="C133" s="8" t="s">
        <v>6</v>
      </c>
      <c r="D133" s="8" t="s">
        <v>29</v>
      </c>
      <c r="E133" s="8" t="s">
        <v>63</v>
      </c>
      <c r="F133" s="8" t="s">
        <v>230</v>
      </c>
      <c r="G133" s="8" t="s">
        <v>23</v>
      </c>
      <c r="H133" s="21">
        <v>1</v>
      </c>
      <c r="I133" s="21">
        <v>58</v>
      </c>
    </row>
    <row r="134" spans="1:9" x14ac:dyDescent="0.3">
      <c r="A134" s="38"/>
      <c r="B134" s="8" t="s">
        <v>27</v>
      </c>
      <c r="C134" s="8" t="s">
        <v>6</v>
      </c>
      <c r="D134" s="8" t="s">
        <v>29</v>
      </c>
      <c r="E134" s="8" t="s">
        <v>63</v>
      </c>
      <c r="F134" s="8" t="s">
        <v>231</v>
      </c>
      <c r="G134" s="8" t="s">
        <v>8</v>
      </c>
      <c r="H134" s="21">
        <v>2</v>
      </c>
      <c r="I134" s="21">
        <v>59</v>
      </c>
    </row>
    <row r="135" spans="1:9" x14ac:dyDescent="0.3">
      <c r="A135" s="38"/>
      <c r="B135" s="8" t="s">
        <v>27</v>
      </c>
      <c r="C135" s="8" t="s">
        <v>6</v>
      </c>
      <c r="D135" s="8" t="s">
        <v>29</v>
      </c>
      <c r="E135" s="8" t="s">
        <v>63</v>
      </c>
      <c r="F135" s="8" t="s">
        <v>232</v>
      </c>
      <c r="G135" s="8" t="s">
        <v>37</v>
      </c>
      <c r="H135" s="21">
        <v>3</v>
      </c>
      <c r="I135" s="21">
        <v>60</v>
      </c>
    </row>
    <row r="136" spans="1:9" x14ac:dyDescent="0.3">
      <c r="A136" s="38"/>
      <c r="B136" s="8" t="s">
        <v>27</v>
      </c>
      <c r="C136" s="8" t="s">
        <v>6</v>
      </c>
      <c r="D136" s="8" t="s">
        <v>29</v>
      </c>
      <c r="E136" s="8" t="s">
        <v>63</v>
      </c>
      <c r="F136" s="8" t="s">
        <v>233</v>
      </c>
      <c r="G136" s="8" t="s">
        <v>37</v>
      </c>
      <c r="H136" s="21">
        <v>4</v>
      </c>
      <c r="I136" s="22">
        <v>61</v>
      </c>
    </row>
    <row r="137" spans="1:9" x14ac:dyDescent="0.3">
      <c r="A137" s="38"/>
      <c r="B137" s="8" t="s">
        <v>27</v>
      </c>
      <c r="C137" s="8" t="s">
        <v>6</v>
      </c>
      <c r="D137" s="8" t="s">
        <v>29</v>
      </c>
      <c r="E137" s="8" t="s">
        <v>63</v>
      </c>
      <c r="F137" s="8" t="s">
        <v>234</v>
      </c>
      <c r="G137" s="8" t="s">
        <v>37</v>
      </c>
      <c r="H137" s="21">
        <v>5</v>
      </c>
      <c r="I137" s="21">
        <v>62</v>
      </c>
    </row>
    <row r="138" spans="1:9" x14ac:dyDescent="0.3">
      <c r="A138" s="38"/>
      <c r="B138" s="8" t="s">
        <v>27</v>
      </c>
      <c r="C138" s="8" t="s">
        <v>6</v>
      </c>
      <c r="D138" s="8" t="s">
        <v>29</v>
      </c>
      <c r="E138" s="8" t="s">
        <v>63</v>
      </c>
      <c r="F138" s="8" t="s">
        <v>235</v>
      </c>
      <c r="G138" s="8" t="s">
        <v>65</v>
      </c>
      <c r="H138" s="21">
        <v>6</v>
      </c>
      <c r="I138" s="21">
        <v>63</v>
      </c>
    </row>
    <row r="139" spans="1:9" x14ac:dyDescent="0.3">
      <c r="A139" s="38"/>
      <c r="B139" s="8" t="s">
        <v>27</v>
      </c>
      <c r="C139" s="8" t="s">
        <v>6</v>
      </c>
      <c r="D139" s="8" t="s">
        <v>29</v>
      </c>
      <c r="E139" s="8" t="s">
        <v>63</v>
      </c>
      <c r="F139" s="8" t="s">
        <v>236</v>
      </c>
      <c r="G139" s="8" t="s">
        <v>155</v>
      </c>
      <c r="H139" s="21">
        <v>7</v>
      </c>
      <c r="I139" s="21">
        <v>64</v>
      </c>
    </row>
    <row r="140" spans="1:9" x14ac:dyDescent="0.3">
      <c r="A140" s="38"/>
      <c r="B140" s="8" t="s">
        <v>27</v>
      </c>
      <c r="C140" s="8" t="s">
        <v>6</v>
      </c>
      <c r="D140" s="8" t="s">
        <v>29</v>
      </c>
      <c r="E140" s="8" t="s">
        <v>63</v>
      </c>
      <c r="F140" s="8" t="s">
        <v>237</v>
      </c>
      <c r="G140" s="8" t="s">
        <v>29</v>
      </c>
      <c r="H140" s="21">
        <v>8</v>
      </c>
      <c r="I140" s="21">
        <v>65</v>
      </c>
    </row>
    <row r="141" spans="1:9" x14ac:dyDescent="0.3">
      <c r="A141" s="38"/>
      <c r="B141" s="8" t="s">
        <v>27</v>
      </c>
      <c r="C141" s="8" t="s">
        <v>6</v>
      </c>
      <c r="D141" s="8" t="s">
        <v>13</v>
      </c>
      <c r="E141" s="8" t="s">
        <v>6</v>
      </c>
      <c r="F141" s="8" t="s">
        <v>238</v>
      </c>
      <c r="G141" s="8" t="s">
        <v>10</v>
      </c>
      <c r="H141" s="21">
        <v>1</v>
      </c>
      <c r="I141" s="21">
        <v>66</v>
      </c>
    </row>
    <row r="142" spans="1:9" x14ac:dyDescent="0.3">
      <c r="A142" s="38"/>
      <c r="B142" s="8" t="s">
        <v>27</v>
      </c>
      <c r="C142" s="8" t="s">
        <v>6</v>
      </c>
      <c r="D142" s="8" t="s">
        <v>13</v>
      </c>
      <c r="E142" s="8" t="s">
        <v>6</v>
      </c>
      <c r="F142" s="8" t="s">
        <v>239</v>
      </c>
      <c r="G142" s="8" t="s">
        <v>87</v>
      </c>
      <c r="H142" s="21">
        <v>2</v>
      </c>
      <c r="I142" s="21">
        <v>67</v>
      </c>
    </row>
    <row r="143" spans="1:9" x14ac:dyDescent="0.3">
      <c r="A143" s="38"/>
      <c r="B143" s="8" t="s">
        <v>27</v>
      </c>
      <c r="C143" s="8" t="s">
        <v>6</v>
      </c>
      <c r="D143" s="8" t="s">
        <v>13</v>
      </c>
      <c r="E143" s="8" t="s">
        <v>6</v>
      </c>
      <c r="F143" s="8" t="s">
        <v>240</v>
      </c>
      <c r="G143" s="8" t="s">
        <v>85</v>
      </c>
      <c r="H143" s="21">
        <v>3</v>
      </c>
      <c r="I143" s="21">
        <v>68</v>
      </c>
    </row>
    <row r="144" spans="1:9" x14ac:dyDescent="0.3">
      <c r="A144" s="38"/>
      <c r="B144" s="8" t="s">
        <v>27</v>
      </c>
      <c r="C144" s="8" t="s">
        <v>6</v>
      </c>
      <c r="D144" s="8" t="s">
        <v>13</v>
      </c>
      <c r="E144" s="8" t="s">
        <v>6</v>
      </c>
      <c r="F144" s="8" t="s">
        <v>241</v>
      </c>
      <c r="G144" s="8" t="s">
        <v>61</v>
      </c>
      <c r="H144" s="21">
        <v>4</v>
      </c>
      <c r="I144" s="23">
        <v>69</v>
      </c>
    </row>
    <row r="145" spans="1:9" x14ac:dyDescent="0.3">
      <c r="A145" s="38"/>
      <c r="B145" s="8" t="s">
        <v>27</v>
      </c>
      <c r="C145" s="8" t="s">
        <v>6</v>
      </c>
      <c r="D145" s="8" t="s">
        <v>13</v>
      </c>
      <c r="E145" s="8" t="s">
        <v>6</v>
      </c>
      <c r="F145" s="8" t="s">
        <v>242</v>
      </c>
      <c r="G145" s="8" t="s">
        <v>198</v>
      </c>
      <c r="H145" s="21">
        <v>5</v>
      </c>
      <c r="I145" s="21">
        <v>70</v>
      </c>
    </row>
    <row r="146" spans="1:9" x14ac:dyDescent="0.3">
      <c r="A146" s="38"/>
      <c r="B146" s="8" t="s">
        <v>27</v>
      </c>
      <c r="C146" s="8" t="s">
        <v>6</v>
      </c>
      <c r="D146" s="8" t="s">
        <v>13</v>
      </c>
      <c r="E146" s="8" t="s">
        <v>6</v>
      </c>
      <c r="F146" s="8" t="s">
        <v>243</v>
      </c>
      <c r="G146" s="8" t="s">
        <v>244</v>
      </c>
      <c r="H146" s="21">
        <v>6</v>
      </c>
      <c r="I146" s="21">
        <v>71</v>
      </c>
    </row>
    <row r="147" spans="1:9" x14ac:dyDescent="0.3">
      <c r="A147" s="38"/>
      <c r="B147" s="8" t="s">
        <v>27</v>
      </c>
      <c r="C147" s="8" t="s">
        <v>6</v>
      </c>
      <c r="D147" s="8" t="s">
        <v>13</v>
      </c>
      <c r="E147" s="8" t="s">
        <v>6</v>
      </c>
      <c r="F147" s="8" t="s">
        <v>245</v>
      </c>
      <c r="G147" s="8" t="s">
        <v>246</v>
      </c>
      <c r="H147" s="21">
        <v>7</v>
      </c>
      <c r="I147" s="21">
        <v>72</v>
      </c>
    </row>
    <row r="148" spans="1:9" x14ac:dyDescent="0.3">
      <c r="A148" s="38"/>
      <c r="B148" s="8" t="s">
        <v>27</v>
      </c>
      <c r="C148" s="8" t="s">
        <v>6</v>
      </c>
      <c r="D148" s="8" t="s">
        <v>13</v>
      </c>
      <c r="E148" s="8" t="s">
        <v>6</v>
      </c>
      <c r="F148" s="8" t="s">
        <v>247</v>
      </c>
      <c r="G148" s="8" t="s">
        <v>248</v>
      </c>
      <c r="H148" s="21">
        <v>8</v>
      </c>
      <c r="I148" s="21">
        <v>73</v>
      </c>
    </row>
    <row r="149" spans="1:9" x14ac:dyDescent="0.3">
      <c r="A149" s="38"/>
      <c r="B149" s="8" t="s">
        <v>27</v>
      </c>
      <c r="C149" s="8" t="s">
        <v>6</v>
      </c>
      <c r="D149" s="8" t="s">
        <v>13</v>
      </c>
      <c r="E149" s="8" t="s">
        <v>6</v>
      </c>
      <c r="F149" s="8" t="s">
        <v>249</v>
      </c>
      <c r="G149" s="8" t="s">
        <v>196</v>
      </c>
      <c r="H149" s="21">
        <v>9</v>
      </c>
      <c r="I149" s="21">
        <v>74</v>
      </c>
    </row>
    <row r="150" spans="1:9" x14ac:dyDescent="0.3">
      <c r="A150" s="38"/>
      <c r="B150" s="8" t="s">
        <v>27</v>
      </c>
      <c r="C150" s="8" t="s">
        <v>6</v>
      </c>
      <c r="D150" s="8" t="s">
        <v>13</v>
      </c>
      <c r="E150" s="8" t="s">
        <v>6</v>
      </c>
      <c r="F150" s="8" t="s">
        <v>250</v>
      </c>
      <c r="G150" s="8" t="s">
        <v>244</v>
      </c>
      <c r="H150" s="21">
        <v>10</v>
      </c>
      <c r="I150" s="21">
        <v>75</v>
      </c>
    </row>
    <row r="151" spans="1:9" x14ac:dyDescent="0.3">
      <c r="A151" s="38"/>
      <c r="B151" s="8" t="s">
        <v>53</v>
      </c>
      <c r="C151" s="8" t="s">
        <v>52</v>
      </c>
      <c r="D151" s="8" t="s">
        <v>67</v>
      </c>
      <c r="E151" s="8" t="s">
        <v>57</v>
      </c>
      <c r="F151" s="8" t="s">
        <v>251</v>
      </c>
      <c r="G151" s="8" t="s">
        <v>46</v>
      </c>
      <c r="H151" s="21">
        <v>1</v>
      </c>
      <c r="I151" s="21">
        <v>76</v>
      </c>
    </row>
    <row r="152" spans="1:9" x14ac:dyDescent="0.3">
      <c r="A152" s="38"/>
      <c r="B152" s="8" t="s">
        <v>53</v>
      </c>
      <c r="C152" s="8" t="s">
        <v>52</v>
      </c>
      <c r="D152" s="8" t="s">
        <v>67</v>
      </c>
      <c r="E152" s="8" t="s">
        <v>57</v>
      </c>
      <c r="F152" s="8" t="s">
        <v>58</v>
      </c>
      <c r="G152" s="8" t="s">
        <v>12</v>
      </c>
      <c r="H152" s="21">
        <v>2</v>
      </c>
      <c r="I152" s="21">
        <v>77</v>
      </c>
    </row>
    <row r="153" spans="1:9" x14ac:dyDescent="0.3">
      <c r="A153" s="38"/>
      <c r="B153" s="8" t="s">
        <v>53</v>
      </c>
      <c r="C153" s="8" t="s">
        <v>52</v>
      </c>
      <c r="D153" s="8" t="s">
        <v>53</v>
      </c>
      <c r="E153" s="8" t="s">
        <v>52</v>
      </c>
      <c r="F153" s="8" t="s">
        <v>252</v>
      </c>
      <c r="G153" s="8" t="s">
        <v>16</v>
      </c>
      <c r="H153" s="21">
        <v>1</v>
      </c>
      <c r="I153" s="21">
        <v>78</v>
      </c>
    </row>
    <row r="154" spans="1:9" x14ac:dyDescent="0.3">
      <c r="A154" s="38"/>
      <c r="B154" s="8" t="s">
        <v>53</v>
      </c>
      <c r="C154" s="8" t="s">
        <v>52</v>
      </c>
      <c r="D154" s="8" t="s">
        <v>53</v>
      </c>
      <c r="E154" s="8" t="s">
        <v>52</v>
      </c>
      <c r="F154" s="8" t="s">
        <v>253</v>
      </c>
      <c r="G154" s="8" t="s">
        <v>198</v>
      </c>
      <c r="H154" s="21">
        <v>2</v>
      </c>
      <c r="I154" s="23">
        <v>79</v>
      </c>
    </row>
    <row r="155" spans="1:9" x14ac:dyDescent="0.3">
      <c r="A155" s="38"/>
      <c r="B155" s="8" t="s">
        <v>53</v>
      </c>
      <c r="C155" s="8" t="s">
        <v>52</v>
      </c>
      <c r="D155" s="8" t="s">
        <v>53</v>
      </c>
      <c r="E155" s="8" t="s">
        <v>52</v>
      </c>
      <c r="F155" s="8" t="s">
        <v>254</v>
      </c>
      <c r="G155" s="8" t="s">
        <v>67</v>
      </c>
      <c r="H155" s="21">
        <v>3</v>
      </c>
      <c r="I155" s="21">
        <v>80</v>
      </c>
    </row>
    <row r="156" spans="1:9" x14ac:dyDescent="0.3">
      <c r="A156" s="38"/>
      <c r="B156" s="8" t="s">
        <v>53</v>
      </c>
      <c r="C156" s="8" t="s">
        <v>52</v>
      </c>
      <c r="D156" s="8" t="s">
        <v>53</v>
      </c>
      <c r="E156" s="8" t="s">
        <v>52</v>
      </c>
      <c r="F156" s="8" t="s">
        <v>255</v>
      </c>
      <c r="G156" s="8" t="s">
        <v>14</v>
      </c>
      <c r="H156" s="21">
        <v>4</v>
      </c>
      <c r="I156" s="21">
        <v>81</v>
      </c>
    </row>
    <row r="157" spans="1:9" x14ac:dyDescent="0.3">
      <c r="A157" s="38"/>
      <c r="B157" s="8" t="s">
        <v>53</v>
      </c>
      <c r="C157" s="8" t="s">
        <v>52</v>
      </c>
      <c r="D157" s="8" t="s">
        <v>53</v>
      </c>
      <c r="E157" s="8" t="s">
        <v>52</v>
      </c>
      <c r="F157" s="8" t="s">
        <v>256</v>
      </c>
      <c r="G157" s="8" t="s">
        <v>94</v>
      </c>
      <c r="H157" s="21">
        <v>5</v>
      </c>
      <c r="I157" s="21">
        <v>82</v>
      </c>
    </row>
    <row r="158" spans="1:9" x14ac:dyDescent="0.3">
      <c r="A158" s="38"/>
      <c r="B158" s="8" t="s">
        <v>53</v>
      </c>
      <c r="C158" s="8" t="s">
        <v>52</v>
      </c>
      <c r="D158" s="8" t="s">
        <v>53</v>
      </c>
      <c r="E158" s="8" t="s">
        <v>52</v>
      </c>
      <c r="F158" s="8" t="s">
        <v>18</v>
      </c>
      <c r="G158" s="8" t="s">
        <v>15</v>
      </c>
      <c r="H158" s="21">
        <v>6</v>
      </c>
      <c r="I158" s="21">
        <v>83</v>
      </c>
    </row>
    <row r="159" spans="1:9" x14ac:dyDescent="0.3">
      <c r="A159" s="38"/>
      <c r="B159" s="8" t="s">
        <v>53</v>
      </c>
      <c r="C159" s="8" t="s">
        <v>52</v>
      </c>
      <c r="D159" s="8" t="s">
        <v>53</v>
      </c>
      <c r="E159" s="8" t="s">
        <v>52</v>
      </c>
      <c r="F159" s="8" t="s">
        <v>257</v>
      </c>
      <c r="G159" s="8" t="s">
        <v>258</v>
      </c>
      <c r="H159" s="21">
        <v>7</v>
      </c>
      <c r="I159" s="21">
        <v>84</v>
      </c>
    </row>
    <row r="160" spans="1:9" x14ac:dyDescent="0.3">
      <c r="A160" s="39"/>
      <c r="B160" s="8" t="s">
        <v>53</v>
      </c>
      <c r="C160" s="8" t="s">
        <v>52</v>
      </c>
      <c r="D160" s="8" t="s">
        <v>53</v>
      </c>
      <c r="E160" s="8" t="s">
        <v>52</v>
      </c>
      <c r="F160" s="8" t="s">
        <v>259</v>
      </c>
      <c r="G160" s="8" t="s">
        <v>8</v>
      </c>
      <c r="H160" s="21">
        <v>8</v>
      </c>
      <c r="I160" s="21">
        <v>85</v>
      </c>
    </row>
  </sheetData>
  <mergeCells count="3">
    <mergeCell ref="A5:A75"/>
    <mergeCell ref="A76:A160"/>
    <mergeCell ref="A1:I1"/>
  </mergeCells>
  <pageMargins left="0.11811023622047245" right="0.11811023622047245" top="0.15748031496062992" bottom="0.19685039370078741" header="0.31496062992125984" footer="0.31496062992125984"/>
  <pageSetup paperSize="9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27"/>
  <sheetViews>
    <sheetView workbookViewId="0">
      <selection sqref="A1:K1"/>
    </sheetView>
  </sheetViews>
  <sheetFormatPr defaultColWidth="20.6640625" defaultRowHeight="24.9" customHeight="1" x14ac:dyDescent="0.25"/>
  <cols>
    <col min="1" max="1" width="6.6640625" style="20" customWidth="1"/>
    <col min="2" max="2" width="16.33203125" style="6" customWidth="1"/>
    <col min="3" max="3" width="17.44140625" style="6" customWidth="1"/>
    <col min="4" max="4" width="11" style="4" customWidth="1"/>
    <col min="5" max="5" width="8" style="4" customWidth="1"/>
    <col min="6" max="6" width="6.5546875" style="4" customWidth="1"/>
    <col min="7" max="7" width="5.88671875" style="4" customWidth="1"/>
    <col min="8" max="8" width="6.5546875" style="4" customWidth="1"/>
    <col min="9" max="9" width="5.88671875" style="4" customWidth="1"/>
    <col min="10" max="10" width="6.88671875" style="4" customWidth="1"/>
    <col min="11" max="11" width="7.33203125" style="4" customWidth="1"/>
    <col min="12" max="16384" width="20.6640625" style="3"/>
  </cols>
  <sheetData>
    <row r="1" spans="1:12" ht="24.9" customHeight="1" x14ac:dyDescent="0.25">
      <c r="A1" s="40" t="s">
        <v>99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2" ht="24.9" customHeight="1" x14ac:dyDescent="0.25">
      <c r="A2" s="40" t="s">
        <v>100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12" s="5" customFormat="1" ht="24.9" customHeight="1" x14ac:dyDescent="0.25">
      <c r="A3" s="28" t="s">
        <v>101</v>
      </c>
      <c r="B3" s="29" t="s">
        <v>95</v>
      </c>
      <c r="C3" s="29"/>
      <c r="D3" s="41" t="s">
        <v>102</v>
      </c>
      <c r="E3" s="42"/>
      <c r="F3" s="42"/>
      <c r="G3" s="42"/>
      <c r="H3" s="42"/>
      <c r="I3" s="42"/>
      <c r="J3" s="42"/>
      <c r="K3" s="43"/>
    </row>
    <row r="4" spans="1:12" ht="24.9" customHeight="1" x14ac:dyDescent="0.25">
      <c r="A4" s="31"/>
      <c r="B4" s="32"/>
      <c r="C4" s="32"/>
      <c r="D4" s="41" t="s">
        <v>313</v>
      </c>
      <c r="E4" s="42"/>
      <c r="F4" s="42"/>
      <c r="G4" s="42"/>
      <c r="H4" s="42"/>
      <c r="I4" s="42"/>
      <c r="J4" s="42"/>
      <c r="K4" s="43"/>
    </row>
    <row r="5" spans="1:12" ht="75.75" customHeight="1" x14ac:dyDescent="0.25">
      <c r="A5" s="47" t="s">
        <v>103</v>
      </c>
      <c r="B5" s="48" t="s">
        <v>104</v>
      </c>
      <c r="C5" s="48" t="s">
        <v>105</v>
      </c>
      <c r="D5" s="48" t="s">
        <v>106</v>
      </c>
      <c r="E5" s="49" t="s">
        <v>107</v>
      </c>
      <c r="F5" s="48" t="s">
        <v>108</v>
      </c>
      <c r="G5" s="48"/>
      <c r="H5" s="48" t="s">
        <v>109</v>
      </c>
      <c r="I5" s="48"/>
      <c r="J5" s="48" t="s">
        <v>110</v>
      </c>
      <c r="K5" s="48"/>
    </row>
    <row r="6" spans="1:12" ht="53.25" customHeight="1" x14ac:dyDescent="0.25">
      <c r="A6" s="47"/>
      <c r="B6" s="48"/>
      <c r="C6" s="48"/>
      <c r="D6" s="48"/>
      <c r="E6" s="50"/>
      <c r="F6" s="7" t="s">
        <v>111</v>
      </c>
      <c r="G6" s="7" t="s">
        <v>112</v>
      </c>
      <c r="H6" s="7" t="s">
        <v>111</v>
      </c>
      <c r="I6" s="7" t="s">
        <v>112</v>
      </c>
      <c r="J6" s="7" t="s">
        <v>111</v>
      </c>
      <c r="K6" s="7" t="s">
        <v>112</v>
      </c>
    </row>
    <row r="7" spans="1:12" ht="30" customHeight="1" x14ac:dyDescent="0.3">
      <c r="A7" s="44">
        <v>1</v>
      </c>
      <c r="B7" s="8" t="s">
        <v>115</v>
      </c>
      <c r="C7" s="8" t="s">
        <v>116</v>
      </c>
      <c r="D7" s="9">
        <v>2</v>
      </c>
      <c r="E7" s="9">
        <f>D7</f>
        <v>2</v>
      </c>
      <c r="F7" s="10"/>
      <c r="G7" s="10"/>
      <c r="H7" s="10"/>
      <c r="I7" s="10"/>
      <c r="J7" s="10" t="s">
        <v>315</v>
      </c>
      <c r="K7" s="10" t="s">
        <v>318</v>
      </c>
      <c r="L7" s="11"/>
    </row>
    <row r="8" spans="1:12" ht="30" customHeight="1" x14ac:dyDescent="0.3">
      <c r="A8" s="45"/>
      <c r="B8" s="8" t="s">
        <v>115</v>
      </c>
      <c r="C8" s="8" t="s">
        <v>117</v>
      </c>
      <c r="D8" s="10">
        <v>4</v>
      </c>
      <c r="E8" s="10">
        <f>D8+E7</f>
        <v>6</v>
      </c>
      <c r="F8" s="10"/>
      <c r="G8" s="10"/>
      <c r="H8" s="10"/>
      <c r="I8" s="10"/>
      <c r="J8" s="10" t="s">
        <v>316</v>
      </c>
      <c r="K8" s="10" t="s">
        <v>319</v>
      </c>
      <c r="L8" s="11"/>
    </row>
    <row r="9" spans="1:12" ht="28.5" customHeight="1" x14ac:dyDescent="0.3">
      <c r="A9" s="45"/>
      <c r="B9" s="8" t="s">
        <v>118</v>
      </c>
      <c r="C9" s="8" t="s">
        <v>118</v>
      </c>
      <c r="D9" s="10">
        <v>18</v>
      </c>
      <c r="E9" s="10">
        <v>24</v>
      </c>
      <c r="F9" s="12"/>
      <c r="G9" s="12"/>
      <c r="H9" s="10"/>
      <c r="I9" s="10"/>
      <c r="J9" s="10" t="s">
        <v>317</v>
      </c>
      <c r="K9" s="10" t="s">
        <v>320</v>
      </c>
      <c r="L9" s="11"/>
    </row>
    <row r="10" spans="1:12" ht="28.5" customHeight="1" x14ac:dyDescent="0.3">
      <c r="A10" s="45"/>
      <c r="B10" s="8" t="s">
        <v>119</v>
      </c>
      <c r="C10" s="8" t="s">
        <v>314</v>
      </c>
      <c r="D10" s="10">
        <v>6</v>
      </c>
      <c r="E10" s="10">
        <v>30</v>
      </c>
      <c r="F10" s="12"/>
      <c r="G10" s="12"/>
      <c r="H10" s="10"/>
      <c r="I10" s="10"/>
      <c r="J10" s="10"/>
      <c r="K10" s="10"/>
      <c r="L10" s="11"/>
    </row>
    <row r="11" spans="1:12" ht="28.5" customHeight="1" x14ac:dyDescent="0.3">
      <c r="A11" s="45"/>
      <c r="B11" s="8" t="s">
        <v>120</v>
      </c>
      <c r="C11" s="8" t="s">
        <v>121</v>
      </c>
      <c r="D11" s="10">
        <v>24</v>
      </c>
      <c r="E11" s="10">
        <f t="shared" ref="E11:E13" si="0">D11+E10</f>
        <v>54</v>
      </c>
      <c r="F11" s="12"/>
      <c r="G11" s="12"/>
      <c r="H11" s="10"/>
      <c r="I11" s="10"/>
      <c r="J11" s="10"/>
      <c r="K11" s="14"/>
      <c r="L11" s="11"/>
    </row>
    <row r="12" spans="1:12" ht="28.5" customHeight="1" x14ac:dyDescent="0.3">
      <c r="A12" s="45"/>
      <c r="B12" s="8" t="s">
        <v>120</v>
      </c>
      <c r="C12" s="8" t="s">
        <v>122</v>
      </c>
      <c r="D12" s="10">
        <v>3</v>
      </c>
      <c r="E12" s="10">
        <f t="shared" si="0"/>
        <v>57</v>
      </c>
      <c r="F12" s="12"/>
      <c r="G12" s="12"/>
      <c r="H12" s="10"/>
      <c r="I12" s="10"/>
      <c r="J12" s="10"/>
      <c r="K12" s="10"/>
      <c r="L12" s="11"/>
    </row>
    <row r="13" spans="1:12" ht="28.5" customHeight="1" x14ac:dyDescent="0.3">
      <c r="A13" s="46"/>
      <c r="B13" s="8" t="s">
        <v>120</v>
      </c>
      <c r="C13" s="8" t="s">
        <v>123</v>
      </c>
      <c r="D13" s="10">
        <v>14</v>
      </c>
      <c r="E13" s="10">
        <f t="shared" si="0"/>
        <v>71</v>
      </c>
      <c r="F13" s="12"/>
      <c r="G13" s="12"/>
      <c r="H13" s="10"/>
      <c r="I13" s="10"/>
      <c r="J13" s="10"/>
      <c r="K13" s="10"/>
      <c r="L13" s="11"/>
    </row>
    <row r="14" spans="1:12" ht="28.5" customHeight="1" x14ac:dyDescent="0.4">
      <c r="A14" s="13"/>
      <c r="B14" s="15" t="s">
        <v>113</v>
      </c>
      <c r="C14" s="8"/>
      <c r="D14" s="16">
        <v>71</v>
      </c>
      <c r="E14" s="16"/>
      <c r="F14" s="12">
        <v>3</v>
      </c>
      <c r="G14" s="12">
        <v>3</v>
      </c>
      <c r="H14" s="12">
        <v>78</v>
      </c>
      <c r="I14" s="12">
        <v>78</v>
      </c>
      <c r="J14" s="10"/>
      <c r="K14" s="10"/>
      <c r="L14" s="11"/>
    </row>
    <row r="15" spans="1:12" ht="24.9" customHeight="1" x14ac:dyDescent="0.3">
      <c r="A15" s="44">
        <v>2</v>
      </c>
      <c r="B15" s="8" t="s">
        <v>116</v>
      </c>
      <c r="C15" s="8" t="s">
        <v>116</v>
      </c>
      <c r="D15" s="10">
        <v>8</v>
      </c>
      <c r="E15" s="10">
        <v>8</v>
      </c>
      <c r="F15" s="10"/>
      <c r="G15" s="10"/>
      <c r="H15" s="10"/>
      <c r="I15" s="10"/>
      <c r="J15" s="10" t="s">
        <v>321</v>
      </c>
      <c r="K15" s="10" t="s">
        <v>324</v>
      </c>
      <c r="L15" s="11"/>
    </row>
    <row r="16" spans="1:12" ht="24.9" customHeight="1" x14ac:dyDescent="0.3">
      <c r="A16" s="45"/>
      <c r="B16" s="8" t="s">
        <v>116</v>
      </c>
      <c r="C16" s="8" t="s">
        <v>117</v>
      </c>
      <c r="D16" s="10">
        <v>2</v>
      </c>
      <c r="E16" s="10">
        <f>D16+E15</f>
        <v>10</v>
      </c>
      <c r="F16" s="10"/>
      <c r="G16" s="10"/>
      <c r="H16" s="10"/>
      <c r="I16" s="10"/>
      <c r="J16" s="10" t="s">
        <v>322</v>
      </c>
      <c r="K16" s="10" t="s">
        <v>325</v>
      </c>
      <c r="L16" s="11"/>
    </row>
    <row r="17" spans="1:12" ht="24.9" customHeight="1" x14ac:dyDescent="0.3">
      <c r="A17" s="45"/>
      <c r="B17" s="8" t="s">
        <v>124</v>
      </c>
      <c r="C17" s="8" t="s">
        <v>124</v>
      </c>
      <c r="D17" s="10">
        <v>8</v>
      </c>
      <c r="E17" s="10">
        <f t="shared" ref="E17:E25" si="1">D17+E16</f>
        <v>18</v>
      </c>
      <c r="F17" s="10"/>
      <c r="G17" s="10"/>
      <c r="H17" s="10"/>
      <c r="I17" s="10"/>
      <c r="J17" s="10" t="s">
        <v>323</v>
      </c>
      <c r="K17" s="10" t="s">
        <v>326</v>
      </c>
      <c r="L17" s="11"/>
    </row>
    <row r="18" spans="1:12" ht="24.9" customHeight="1" x14ac:dyDescent="0.3">
      <c r="A18" s="45"/>
      <c r="B18" s="8" t="s">
        <v>125</v>
      </c>
      <c r="C18" s="8" t="s">
        <v>126</v>
      </c>
      <c r="D18" s="10">
        <v>3</v>
      </c>
      <c r="E18" s="10">
        <f t="shared" si="1"/>
        <v>21</v>
      </c>
      <c r="F18" s="10"/>
      <c r="G18" s="10"/>
      <c r="H18" s="10"/>
      <c r="I18" s="10"/>
      <c r="J18" s="10"/>
      <c r="K18" s="10"/>
      <c r="L18" s="11"/>
    </row>
    <row r="19" spans="1:12" ht="24.9" customHeight="1" x14ac:dyDescent="0.3">
      <c r="A19" s="45"/>
      <c r="B19" s="8" t="s">
        <v>127</v>
      </c>
      <c r="C19" s="8" t="s">
        <v>128</v>
      </c>
      <c r="D19" s="10">
        <v>12</v>
      </c>
      <c r="E19" s="10">
        <f t="shared" si="1"/>
        <v>33</v>
      </c>
      <c r="F19" s="10"/>
      <c r="G19" s="10"/>
      <c r="H19" s="10"/>
      <c r="I19" s="10"/>
      <c r="J19" s="10"/>
      <c r="K19" s="10"/>
      <c r="L19" s="11"/>
    </row>
    <row r="20" spans="1:12" ht="24.9" customHeight="1" x14ac:dyDescent="0.3">
      <c r="A20" s="45"/>
      <c r="B20" s="8" t="s">
        <v>129</v>
      </c>
      <c r="C20" s="8" t="s">
        <v>130</v>
      </c>
      <c r="D20" s="10">
        <v>8</v>
      </c>
      <c r="E20" s="10">
        <f t="shared" si="1"/>
        <v>41</v>
      </c>
      <c r="F20" s="10"/>
      <c r="G20" s="10"/>
      <c r="H20" s="10"/>
      <c r="I20" s="10"/>
      <c r="J20" s="10"/>
      <c r="K20" s="10"/>
      <c r="L20" s="11"/>
    </row>
    <row r="21" spans="1:12" ht="24.9" customHeight="1" x14ac:dyDescent="0.3">
      <c r="A21" s="45"/>
      <c r="B21" s="8" t="s">
        <v>127</v>
      </c>
      <c r="C21" s="8" t="s">
        <v>127</v>
      </c>
      <c r="D21" s="10">
        <v>10</v>
      </c>
      <c r="E21" s="10">
        <f t="shared" si="1"/>
        <v>51</v>
      </c>
      <c r="F21" s="10"/>
      <c r="G21" s="10"/>
      <c r="H21" s="10"/>
      <c r="I21" s="10"/>
      <c r="J21" s="10"/>
      <c r="K21" s="10"/>
      <c r="L21" s="11"/>
    </row>
    <row r="22" spans="1:12" ht="24.9" customHeight="1" x14ac:dyDescent="0.3">
      <c r="A22" s="45"/>
      <c r="B22" s="8" t="s">
        <v>131</v>
      </c>
      <c r="C22" s="8" t="s">
        <v>132</v>
      </c>
      <c r="D22" s="10">
        <v>9</v>
      </c>
      <c r="E22" s="10">
        <f t="shared" si="1"/>
        <v>60</v>
      </c>
      <c r="F22" s="10"/>
      <c r="G22" s="10"/>
      <c r="H22" s="10"/>
      <c r="I22" s="10"/>
      <c r="J22" s="10"/>
      <c r="K22" s="10"/>
      <c r="L22" s="11"/>
    </row>
    <row r="23" spans="1:12" ht="24.9" customHeight="1" x14ac:dyDescent="0.3">
      <c r="A23" s="45"/>
      <c r="B23" s="8" t="s">
        <v>131</v>
      </c>
      <c r="C23" s="8" t="s">
        <v>131</v>
      </c>
      <c r="D23" s="10">
        <v>6</v>
      </c>
      <c r="E23" s="10">
        <f t="shared" si="1"/>
        <v>66</v>
      </c>
      <c r="F23" s="10"/>
      <c r="G23" s="10"/>
      <c r="H23" s="10"/>
      <c r="I23" s="10"/>
      <c r="J23" s="10"/>
      <c r="K23" s="10"/>
      <c r="L23" s="11"/>
    </row>
    <row r="24" spans="1:12" ht="24.9" customHeight="1" x14ac:dyDescent="0.3">
      <c r="A24" s="45"/>
      <c r="B24" s="8" t="s">
        <v>133</v>
      </c>
      <c r="C24" s="8" t="s">
        <v>126</v>
      </c>
      <c r="D24" s="10">
        <v>12</v>
      </c>
      <c r="E24" s="10">
        <f t="shared" si="1"/>
        <v>78</v>
      </c>
      <c r="F24" s="10"/>
      <c r="G24" s="10"/>
      <c r="H24" s="10"/>
      <c r="I24" s="10"/>
      <c r="J24" s="10"/>
      <c r="K24" s="10"/>
      <c r="L24" s="11"/>
    </row>
    <row r="25" spans="1:12" ht="24.9" customHeight="1" x14ac:dyDescent="0.3">
      <c r="A25" s="46"/>
      <c r="B25" s="8" t="s">
        <v>133</v>
      </c>
      <c r="C25" s="8" t="s">
        <v>130</v>
      </c>
      <c r="D25" s="10">
        <v>7</v>
      </c>
      <c r="E25" s="10">
        <f t="shared" si="1"/>
        <v>85</v>
      </c>
      <c r="F25" s="10"/>
      <c r="G25" s="10"/>
      <c r="H25" s="10"/>
      <c r="I25" s="10"/>
      <c r="J25" s="10"/>
      <c r="K25" s="10"/>
      <c r="L25" s="11"/>
    </row>
    <row r="26" spans="1:12" ht="24.9" customHeight="1" x14ac:dyDescent="0.4">
      <c r="A26" s="13"/>
      <c r="B26" s="15" t="s">
        <v>113</v>
      </c>
      <c r="C26" s="8"/>
      <c r="D26" s="17">
        <f>SUM(D15:D25)</f>
        <v>85</v>
      </c>
      <c r="E26" s="17"/>
      <c r="F26" s="12">
        <v>3</v>
      </c>
      <c r="G26" s="12">
        <v>3</v>
      </c>
      <c r="H26" s="12">
        <v>79</v>
      </c>
      <c r="I26" s="12">
        <v>79</v>
      </c>
      <c r="J26" s="10"/>
      <c r="K26" s="10"/>
      <c r="L26" s="11"/>
    </row>
    <row r="27" spans="1:12" ht="24.9" customHeight="1" x14ac:dyDescent="0.3">
      <c r="A27" s="18"/>
      <c r="B27" s="8" t="s">
        <v>114</v>
      </c>
      <c r="C27" s="8"/>
      <c r="D27" s="19">
        <f>D14+D26</f>
        <v>156</v>
      </c>
      <c r="E27" s="19"/>
      <c r="F27" s="10"/>
      <c r="G27" s="10"/>
      <c r="H27" s="10"/>
      <c r="I27" s="10"/>
      <c r="J27" s="10"/>
      <c r="K27" s="10"/>
      <c r="L27" s="11"/>
    </row>
  </sheetData>
  <mergeCells count="14">
    <mergeCell ref="A15:A25"/>
    <mergeCell ref="A1:K1"/>
    <mergeCell ref="A2:K2"/>
    <mergeCell ref="A5:A6"/>
    <mergeCell ref="B5:B6"/>
    <mergeCell ref="C5:C6"/>
    <mergeCell ref="D5:D6"/>
    <mergeCell ref="E5:E6"/>
    <mergeCell ref="F5:G5"/>
    <mergeCell ref="H5:I5"/>
    <mergeCell ref="J5:K5"/>
    <mergeCell ref="A7:A13"/>
    <mergeCell ref="D3:K3"/>
    <mergeCell ref="D4:K4"/>
  </mergeCells>
  <pageMargins left="0.11811023622047245" right="0.11811023622047245" top="0.15748031496062992" bottom="0.35433070866141736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stratum-wise CS </vt:lpstr>
      <vt:lpstr>stratum-wiseSS</vt:lpstr>
      <vt:lpstr>central &amp; state stratum-wise vi</vt:lpstr>
      <vt:lpstr>Working sheet</vt:lpstr>
      <vt:lpstr>'central &amp; state stratum-wise vi'!Print_Area</vt:lpstr>
      <vt:lpstr>'stratum-wise CS '!Print_Area</vt:lpstr>
      <vt:lpstr>'stratum-wiseSS'!Print_Area</vt:lpstr>
      <vt:lpstr>'central &amp; state stratum-wise vi'!Print_Titles</vt:lpstr>
      <vt:lpstr>'stratum-wise CS '!Print_Titles</vt:lpstr>
      <vt:lpstr>'stratum-wiseSS'!Print_Titles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Tamil Nadu</cp:lastModifiedBy>
  <cp:lastPrinted>2025-06-23T06:32:27Z</cp:lastPrinted>
  <dcterms:created xsi:type="dcterms:W3CDTF">2025-06-18T07:28:22Z</dcterms:created>
  <dcterms:modified xsi:type="dcterms:W3CDTF">2026-10-05T07:15:25Z</dcterms:modified>
</cp:coreProperties>
</file>
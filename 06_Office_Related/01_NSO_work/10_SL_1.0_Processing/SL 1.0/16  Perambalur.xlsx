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740" firstSheet="2" activeTab="5"/>
  </bookViews>
  <sheets>
    <sheet name="Perambalur ORIG" sheetId="1" r:id="rId1"/>
    <sheet name="Perambalur ORIG (3)" sheetId="7" r:id="rId2"/>
    <sheet name="STRATUM WISE (CS)" sheetId="9" r:id="rId3"/>
    <sheet name="STRATUM WISE (SS)" sheetId="8" r:id="rId4"/>
    <sheet name="STRATUM WISE" sheetId="5" r:id="rId5"/>
    <sheet name="WORKING SHEET" sheetId="6" r:id="rId6"/>
  </sheets>
  <definedNames>
    <definedName name="_xlnm._FilterDatabase" localSheetId="0" hidden="1">'Perambalur ORIG'!$A$1:$N$33</definedName>
    <definedName name="_xlnm._FilterDatabase" localSheetId="1" hidden="1">'Perambalur ORIG (3)'!$A$1:$J$33</definedName>
    <definedName name="_xlnm._FilterDatabase" localSheetId="4" hidden="1">'STRATUM WISE'!$A$4:$M$34</definedName>
    <definedName name="_xlnm._FilterDatabase" localSheetId="2" hidden="1">'STRATUM WISE (CS)'!$A$4:$J$9</definedName>
    <definedName name="_xlnm._FilterDatabase" localSheetId="3" hidden="1">'STRATUM WISE (SS)'!$A$4:$J$10</definedName>
    <definedName name="_xlnm.Print_Titles" localSheetId="0">'Perambalur ORIG'!$1:$1</definedName>
    <definedName name="_xlnm.Print_Titles" localSheetId="1">'Perambalur ORIG (3)'!$1:$1</definedName>
    <definedName name="_xlnm.Print_Titles" localSheetId="4">'STRATUM WISE'!$4:$4</definedName>
    <definedName name="_xlnm.Print_Titles" localSheetId="2">'STRATUM WISE (CS)'!$4:$4</definedName>
    <definedName name="_xlnm.Print_Titles" localSheetId="3">'STRATUM WISE (SS)'!$4:$4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6"/>
  <c r="E9"/>
  <c r="E8"/>
  <c r="E7"/>
  <c r="D12" l="1"/>
  <c r="D10"/>
  <c r="D13" s="1"/>
</calcChain>
</file>

<file path=xl/sharedStrings.xml><?xml version="1.0" encoding="utf-8"?>
<sst xmlns="http://schemas.openxmlformats.org/spreadsheetml/2006/main" count="707" uniqueCount="206">
  <si>
    <t>TRS_DT</t>
  </si>
  <si>
    <t>TRS_DTNAME</t>
  </si>
  <si>
    <t>TRS_TKCODE</t>
  </si>
  <si>
    <t>TRS_TKNAME</t>
  </si>
  <si>
    <t>TRS_BKCODE</t>
  </si>
  <si>
    <t>TRS_BKNAME</t>
  </si>
  <si>
    <t>FK</t>
  </si>
  <si>
    <t>FKNAME</t>
  </si>
  <si>
    <t>VGNAME</t>
  </si>
  <si>
    <t>RV_CODE</t>
  </si>
  <si>
    <t>AREA</t>
  </si>
  <si>
    <t>TRSNO</t>
  </si>
  <si>
    <t>TRSC</t>
  </si>
  <si>
    <t>Remarks</t>
  </si>
  <si>
    <t>PERAMBALUR</t>
  </si>
  <si>
    <t>KUNNAM</t>
  </si>
  <si>
    <t>VEPPUR</t>
  </si>
  <si>
    <t>VARAGUR</t>
  </si>
  <si>
    <t>PERIYAMMAPALAYAM</t>
  </si>
  <si>
    <t>45</t>
  </si>
  <si>
    <t>1181.52</t>
  </si>
  <si>
    <t>KEELAPULIYUR</t>
  </si>
  <si>
    <t>MALAVARAYANALLUR</t>
  </si>
  <si>
    <t>26</t>
  </si>
  <si>
    <t>92.405</t>
  </si>
  <si>
    <t>PERUMATHUR NORTH</t>
  </si>
  <si>
    <t>20</t>
  </si>
  <si>
    <t>732.51</t>
  </si>
  <si>
    <t>NANNAI EAST</t>
  </si>
  <si>
    <t>18</t>
  </si>
  <si>
    <t>567.445</t>
  </si>
  <si>
    <t>KEELAPULIYUR SOUTH</t>
  </si>
  <si>
    <t>24</t>
  </si>
  <si>
    <t>1287.34</t>
  </si>
  <si>
    <t>PERALI SOUTH</t>
  </si>
  <si>
    <t>42</t>
  </si>
  <si>
    <t>1035.21</t>
  </si>
  <si>
    <t>VADAKKALUR</t>
  </si>
  <si>
    <t>THIRUMANDURAI</t>
  </si>
  <si>
    <t>1</t>
  </si>
  <si>
    <t>1155.49</t>
  </si>
  <si>
    <t>37</t>
  </si>
  <si>
    <t>1192.135</t>
  </si>
  <si>
    <t>NANNAI WEST</t>
  </si>
  <si>
    <t>19</t>
  </si>
  <si>
    <t>753.6</t>
  </si>
  <si>
    <t>KALPADI NORTH</t>
  </si>
  <si>
    <t>25</t>
  </si>
  <si>
    <t>1595.435</t>
  </si>
  <si>
    <t>ELAMBALUR</t>
  </si>
  <si>
    <t>4</t>
  </si>
  <si>
    <t>1785.665</t>
  </si>
  <si>
    <t>NOCHIYAM</t>
  </si>
  <si>
    <t>1002.405</t>
  </si>
  <si>
    <t>ARANARAI NORTH</t>
  </si>
  <si>
    <t>9</t>
  </si>
  <si>
    <t>996.405</t>
  </si>
  <si>
    <t>ALANGIZHI</t>
  </si>
  <si>
    <t>2</t>
  </si>
  <si>
    <t>157.37</t>
  </si>
  <si>
    <t>KURUMBALUR</t>
  </si>
  <si>
    <t>KURUMBALUR SOUTH</t>
  </si>
  <si>
    <t>11</t>
  </si>
  <si>
    <t>1920.715</t>
  </si>
  <si>
    <t>CHATHIRAMANAI</t>
  </si>
  <si>
    <t>970.61</t>
  </si>
  <si>
    <t>VEPPANTHATTAI</t>
  </si>
  <si>
    <t>VENGALAM</t>
  </si>
  <si>
    <t>VENGALAM EAST</t>
  </si>
  <si>
    <t>1307.75</t>
  </si>
  <si>
    <t>THONDAMANDURAI WEST</t>
  </si>
  <si>
    <t>8</t>
  </si>
  <si>
    <t>1394</t>
  </si>
  <si>
    <t>PASUMBALUR</t>
  </si>
  <si>
    <t>PASUMBALUR SOUTH</t>
  </si>
  <si>
    <t>1392.515</t>
  </si>
  <si>
    <t>VALIKANDAPURAM</t>
  </si>
  <si>
    <t>NEIKKUPPAI</t>
  </si>
  <si>
    <t>1977.85</t>
  </si>
  <si>
    <t>ERAIYUR</t>
  </si>
  <si>
    <t>36</t>
  </si>
  <si>
    <t>1181.18</t>
  </si>
  <si>
    <t>METTUPALAYAM SOUTH</t>
  </si>
  <si>
    <t>29</t>
  </si>
  <si>
    <t>1319.7</t>
  </si>
  <si>
    <t>POOLAMBADI WEST</t>
  </si>
  <si>
    <t>3</t>
  </si>
  <si>
    <t>1524.8</t>
  </si>
  <si>
    <t>PILLANGULAM</t>
  </si>
  <si>
    <t>1815.905</t>
  </si>
  <si>
    <t>ALATHUR</t>
  </si>
  <si>
    <t>KOOTHUR</t>
  </si>
  <si>
    <t>AATHANOOR NORTH</t>
  </si>
  <si>
    <t>51</t>
  </si>
  <si>
    <t>634.64</t>
  </si>
  <si>
    <t>AATHANOOR SOUTH</t>
  </si>
  <si>
    <t>52</t>
  </si>
  <si>
    <t>644.105</t>
  </si>
  <si>
    <t>NOCHIKULAM</t>
  </si>
  <si>
    <t>82</t>
  </si>
  <si>
    <t>1095.005</t>
  </si>
  <si>
    <t>KOLAKANATHAM</t>
  </si>
  <si>
    <t>THERANI</t>
  </si>
  <si>
    <t>74</t>
  </si>
  <si>
    <t>1677.32</t>
  </si>
  <si>
    <t>VARAGUPADI</t>
  </si>
  <si>
    <t>57</t>
  </si>
  <si>
    <t>948.18</t>
  </si>
  <si>
    <t>CHETTIKULAM</t>
  </si>
  <si>
    <t>62</t>
  </si>
  <si>
    <t>1604.925</t>
  </si>
  <si>
    <t>IROOR</t>
  </si>
  <si>
    <t>71</t>
  </si>
  <si>
    <t>2001.205</t>
  </si>
  <si>
    <t>SIRUVAYALUR</t>
  </si>
  <si>
    <t>64</t>
  </si>
  <si>
    <t>1719.615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</si>
  <si>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</si>
  <si>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</si>
  <si>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</si>
  <si>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</si>
  <si>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</si>
  <si>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</si>
  <si>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</si>
  <si>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</si>
  <si>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</si>
  <si>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</si>
  <si>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</si>
  <si>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</si>
  <si>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</si>
  <si>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</si>
  <si>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</si>
  <si>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</si>
  <si>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</si>
  <si>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</si>
  <si>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</si>
  <si>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PERAMBALUR(16)</t>
  </si>
  <si>
    <t>URBAN</t>
  </si>
  <si>
    <t>Alathur</t>
  </si>
  <si>
    <t>Kunnam</t>
  </si>
  <si>
    <t>Veppur</t>
  </si>
  <si>
    <t>Veppanthattai</t>
  </si>
  <si>
    <t>7</t>
  </si>
  <si>
    <t>ELANTHALAPATTI</t>
  </si>
  <si>
    <t>66</t>
  </si>
  <si>
    <t>PADALOOR WEST</t>
  </si>
  <si>
    <t>72</t>
  </si>
  <si>
    <t>NAKKASALEM</t>
  </si>
  <si>
    <t>65</t>
  </si>
  <si>
    <t>KOODALUR</t>
  </si>
  <si>
    <t>79</t>
  </si>
  <si>
    <t>AYINAPURAM</t>
  </si>
  <si>
    <t>75</t>
  </si>
  <si>
    <t>SATHANOOR</t>
  </si>
  <si>
    <t>54</t>
  </si>
  <si>
    <t>KARAI WEST</t>
  </si>
  <si>
    <t>59</t>
  </si>
  <si>
    <t>SIRUKANBUR WEST</t>
  </si>
  <si>
    <t>56</t>
  </si>
  <si>
    <t>KEELAKARAI</t>
  </si>
  <si>
    <t>ESANAI</t>
  </si>
  <si>
    <t>SIRUVACHUR</t>
  </si>
  <si>
    <t>23</t>
  </si>
  <si>
    <t>KURUMBALUR NORTH</t>
  </si>
  <si>
    <t>12</t>
  </si>
  <si>
    <t>LADAPURAM EAST</t>
  </si>
  <si>
    <t>16</t>
  </si>
  <si>
    <t>OGALUR WEST</t>
  </si>
  <si>
    <t>5</t>
  </si>
  <si>
    <t>PARAVAI WEST</t>
  </si>
  <si>
    <t>28</t>
  </si>
  <si>
    <t>KOLAPPADI</t>
  </si>
  <si>
    <t>44</t>
  </si>
  <si>
    <t>OGALUR EAST</t>
  </si>
  <si>
    <t>6</t>
  </si>
  <si>
    <t>KIZHUMATHOOR SOUTH</t>
  </si>
  <si>
    <t>KEEZHA PERAMBALUR</t>
  </si>
  <si>
    <t>14</t>
  </si>
  <si>
    <t>OLAIPADI EAST</t>
  </si>
  <si>
    <t>THUNGAPURAM NORTH</t>
  </si>
  <si>
    <t>32</t>
  </si>
  <si>
    <t>BRAMMADESAM</t>
  </si>
  <si>
    <t>METTUPALAYAM NORTH</t>
  </si>
  <si>
    <t>30</t>
  </si>
  <si>
    <t>ANUKKUR</t>
  </si>
  <si>
    <t>27</t>
  </si>
  <si>
    <t>THONDAPPADI</t>
  </si>
  <si>
    <t>NOOTHAPPUR NORTH</t>
  </si>
  <si>
    <t>AGARAM</t>
  </si>
  <si>
    <t>33</t>
  </si>
  <si>
    <t>KAIKALATHUR WEST</t>
  </si>
  <si>
    <t>UDUMBIYAM</t>
  </si>
  <si>
    <t>Year:2026-27 (Fasli-1436)</t>
  </si>
  <si>
    <t>19(1)</t>
  </si>
  <si>
    <t>04(2)</t>
  </si>
  <si>
    <t>09(3)</t>
  </si>
  <si>
    <t>01(1)</t>
  </si>
  <si>
    <t>14(2)</t>
  </si>
  <si>
    <t>18(3)</t>
  </si>
  <si>
    <t>07(1)</t>
  </si>
  <si>
    <t>01(2)</t>
  </si>
  <si>
    <t>08(1)</t>
  </si>
  <si>
    <t>02(2)</t>
  </si>
  <si>
    <t>Sample : Central</t>
  </si>
  <si>
    <t>Oder of selection</t>
  </si>
  <si>
    <t>Sample : State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</si>
</sst>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1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0" borderId="1" xfId="0" applyFont="1" applyBorder="1"/>
    <xf numFmtId="0" fontId="2" fillId="0" borderId="0" xfId="0" applyFont="1"/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wrapText="1"/>
    </xf>
    <xf numFmtId="0" fontId="2" fillId="0" borderId="0" xfId="0" applyFont="1" applyAlignment="1">
      <alignment horizontal="center"/>
    </xf>
    <xf numFmtId="0" fontId="5" fillId="0" borderId="0" xfId="2" applyFont="1" applyAlignment="1">
      <alignment vertical="center"/>
    </xf>
    <xf numFmtId="0" fontId="5" fillId="3" borderId="0" xfId="2" applyFont="1" applyFill="1" applyAlignment="1">
      <alignment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1" xfId="4" applyFont="1" applyBorder="1" applyAlignment="1">
      <alignment horizontal="center" vertical="center" wrapText="1"/>
    </xf>
    <xf numFmtId="0" fontId="6" fillId="0" borderId="1" xfId="1" applyFont="1" applyBorder="1" applyAlignment="1">
      <alignment wrapText="1"/>
    </xf>
    <xf numFmtId="0" fontId="6" fillId="0" borderId="1" xfId="1" applyFont="1" applyBorder="1" applyAlignment="1">
      <alignment horizontal="center" wrapText="1"/>
    </xf>
    <xf numFmtId="0" fontId="8" fillId="0" borderId="1" xfId="4" applyFont="1" applyBorder="1" applyAlignment="1">
      <alignment horizontal="center" vertical="center"/>
    </xf>
    <xf numFmtId="0" fontId="3" fillId="0" borderId="0" xfId="4"/>
    <xf numFmtId="0" fontId="10" fillId="0" borderId="1" xfId="4" applyFont="1" applyBorder="1" applyAlignment="1">
      <alignment horizontal="center" vertical="center"/>
    </xf>
    <xf numFmtId="0" fontId="12" fillId="0" borderId="1" xfId="1" applyFont="1" applyBorder="1" applyAlignment="1">
      <alignment wrapText="1"/>
    </xf>
    <xf numFmtId="0" fontId="13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5" xfId="1" applyFont="1" applyBorder="1" applyAlignment="1">
      <alignment wrapText="1"/>
    </xf>
    <xf numFmtId="0" fontId="0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vertical="center"/>
    </xf>
    <xf numFmtId="0" fontId="17" fillId="0" borderId="1" xfId="5" applyFont="1" applyBorder="1" applyAlignment="1">
      <alignment horizontal="center" wrapText="1"/>
    </xf>
    <xf numFmtId="0" fontId="5" fillId="0" borderId="1" xfId="2" applyFont="1" applyBorder="1" applyAlignment="1">
      <alignment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6" xfId="4" applyFont="1" applyBorder="1" applyAlignment="1">
      <alignment horizontal="left" vertical="center"/>
    </xf>
    <xf numFmtId="0" fontId="10" fillId="0" borderId="7" xfId="4" applyFont="1" applyBorder="1" applyAlignment="1">
      <alignment horizontal="left" vertical="center"/>
    </xf>
    <xf numFmtId="0" fontId="10" fillId="0" borderId="8" xfId="4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10" fillId="0" borderId="0" xfId="4" applyFont="1" applyAlignment="1">
      <alignment horizontal="left" vertical="center"/>
    </xf>
    <xf numFmtId="0" fontId="7" fillId="0" borderId="1" xfId="4" applyFont="1" applyBorder="1" applyAlignment="1">
      <alignment horizontal="center" vertical="center" textRotation="90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1" xfId="5" applyFont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selection activeCell="N24" sqref="N24"/>
    </sheetView>
  </sheetViews>
  <sheetFormatPr defaultRowHeight="20.100000000000001" customHeight="1"/>
  <cols>
    <col min="1" max="1" width="7" style="6" customWidth="1"/>
    <col min="2" max="2" width="23.28515625" style="3" bestFit="1" customWidth="1"/>
    <col min="3" max="3" width="6.28515625" style="6" customWidth="1"/>
    <col min="4" max="4" width="29" style="3" bestFit="1" customWidth="1"/>
    <col min="5" max="5" width="7.42578125" style="6" customWidth="1"/>
    <col min="6" max="6" width="28.7109375" style="3" customWidth="1"/>
    <col min="7" max="7" width="6.5703125" style="6" customWidth="1"/>
    <col min="8" max="8" width="32.42578125" style="3" bestFit="1" customWidth="1"/>
    <col min="9" max="9" width="37" style="3" customWidth="1"/>
    <col min="10" max="10" width="7.42578125" style="6" customWidth="1"/>
    <col min="11" max="11" width="11.140625" style="6" customWidth="1"/>
    <col min="12" max="12" width="7.5703125" style="6" customWidth="1"/>
    <col min="13" max="13" width="5.7109375" style="6" customWidth="1"/>
    <col min="14" max="14" width="25.7109375" style="3" customWidth="1"/>
    <col min="15" max="16384" width="9.140625" style="3"/>
  </cols>
  <sheetData>
    <row r="1" spans="1:14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20.100000000000001" customHeight="1">
      <c r="A2" s="4">
        <v>15</v>
      </c>
      <c r="B2" s="5" t="s">
        <v>14</v>
      </c>
      <c r="C2" s="4">
        <v>2</v>
      </c>
      <c r="D2" s="5" t="s">
        <v>15</v>
      </c>
      <c r="E2" s="4">
        <v>3</v>
      </c>
      <c r="F2" s="5" t="s">
        <v>16</v>
      </c>
      <c r="G2" s="4">
        <v>24</v>
      </c>
      <c r="H2" s="5" t="s">
        <v>17</v>
      </c>
      <c r="I2" s="5" t="s">
        <v>18</v>
      </c>
      <c r="J2" s="4" t="s">
        <v>19</v>
      </c>
      <c r="K2" s="4" t="s">
        <v>20</v>
      </c>
      <c r="L2" s="4">
        <v>11950</v>
      </c>
      <c r="M2" s="4">
        <v>4</v>
      </c>
      <c r="N2" s="2"/>
    </row>
    <row r="3" spans="1:14" ht="20.100000000000001" customHeight="1">
      <c r="A3" s="4">
        <v>15</v>
      </c>
      <c r="B3" s="5" t="s">
        <v>14</v>
      </c>
      <c r="C3" s="4">
        <v>2</v>
      </c>
      <c r="D3" s="5" t="s">
        <v>15</v>
      </c>
      <c r="E3" s="4">
        <v>3</v>
      </c>
      <c r="F3" s="5" t="s">
        <v>16</v>
      </c>
      <c r="G3" s="4">
        <v>7</v>
      </c>
      <c r="H3" s="5" t="s">
        <v>21</v>
      </c>
      <c r="I3" s="5" t="s">
        <v>22</v>
      </c>
      <c r="J3" s="4" t="s">
        <v>23</v>
      </c>
      <c r="K3" s="4" t="s">
        <v>24</v>
      </c>
      <c r="L3" s="4">
        <v>11951</v>
      </c>
      <c r="M3" s="4">
        <v>4</v>
      </c>
      <c r="N3" s="2"/>
    </row>
    <row r="4" spans="1:14" ht="20.100000000000001" customHeight="1">
      <c r="A4" s="4">
        <v>15</v>
      </c>
      <c r="B4" s="5" t="s">
        <v>14</v>
      </c>
      <c r="C4" s="4">
        <v>2</v>
      </c>
      <c r="D4" s="5" t="s">
        <v>15</v>
      </c>
      <c r="E4" s="4">
        <v>3</v>
      </c>
      <c r="F4" s="5" t="s">
        <v>16</v>
      </c>
      <c r="G4" s="4">
        <v>7</v>
      </c>
      <c r="H4" s="5" t="s">
        <v>21</v>
      </c>
      <c r="I4" s="5" t="s">
        <v>25</v>
      </c>
      <c r="J4" s="4" t="s">
        <v>26</v>
      </c>
      <c r="K4" s="4" t="s">
        <v>27</v>
      </c>
      <c r="L4" s="4">
        <v>11952</v>
      </c>
      <c r="M4" s="4">
        <v>4</v>
      </c>
      <c r="N4" s="2"/>
    </row>
    <row r="5" spans="1:14" ht="20.100000000000001" customHeight="1">
      <c r="A5" s="4">
        <v>15</v>
      </c>
      <c r="B5" s="5" t="s">
        <v>14</v>
      </c>
      <c r="C5" s="4">
        <v>2</v>
      </c>
      <c r="D5" s="5" t="s">
        <v>15</v>
      </c>
      <c r="E5" s="4">
        <v>3</v>
      </c>
      <c r="F5" s="5" t="s">
        <v>16</v>
      </c>
      <c r="G5" s="4">
        <v>7</v>
      </c>
      <c r="H5" s="5" t="s">
        <v>21</v>
      </c>
      <c r="I5" s="5" t="s">
        <v>28</v>
      </c>
      <c r="J5" s="4" t="s">
        <v>29</v>
      </c>
      <c r="K5" s="4" t="s">
        <v>30</v>
      </c>
      <c r="L5" s="4">
        <v>11953</v>
      </c>
      <c r="M5" s="4">
        <v>4</v>
      </c>
      <c r="N5" s="2"/>
    </row>
    <row r="6" spans="1:14" ht="20.100000000000001" customHeight="1">
      <c r="A6" s="4">
        <v>15</v>
      </c>
      <c r="B6" s="5" t="s">
        <v>14</v>
      </c>
      <c r="C6" s="4">
        <v>2</v>
      </c>
      <c r="D6" s="5" t="s">
        <v>15</v>
      </c>
      <c r="E6" s="4">
        <v>3</v>
      </c>
      <c r="F6" s="5" t="s">
        <v>16</v>
      </c>
      <c r="G6" s="4">
        <v>7</v>
      </c>
      <c r="H6" s="5" t="s">
        <v>21</v>
      </c>
      <c r="I6" s="5" t="s">
        <v>31</v>
      </c>
      <c r="J6" s="4" t="s">
        <v>32</v>
      </c>
      <c r="K6" s="4" t="s">
        <v>33</v>
      </c>
      <c r="L6" s="4">
        <v>11954</v>
      </c>
      <c r="M6" s="4">
        <v>4</v>
      </c>
      <c r="N6" s="2"/>
    </row>
    <row r="7" spans="1:14" ht="20.100000000000001" customHeight="1">
      <c r="A7" s="4">
        <v>15</v>
      </c>
      <c r="B7" s="5" t="s">
        <v>14</v>
      </c>
      <c r="C7" s="4">
        <v>2</v>
      </c>
      <c r="D7" s="5" t="s">
        <v>15</v>
      </c>
      <c r="E7" s="4">
        <v>3</v>
      </c>
      <c r="F7" s="5" t="s">
        <v>16</v>
      </c>
      <c r="G7" s="4">
        <v>7</v>
      </c>
      <c r="H7" s="5" t="s">
        <v>21</v>
      </c>
      <c r="I7" s="5" t="s">
        <v>34</v>
      </c>
      <c r="J7" s="4" t="s">
        <v>35</v>
      </c>
      <c r="K7" s="4" t="s">
        <v>36</v>
      </c>
      <c r="L7" s="4">
        <v>11955</v>
      </c>
      <c r="M7" s="4">
        <v>4</v>
      </c>
      <c r="N7" s="2"/>
    </row>
    <row r="8" spans="1:14" ht="20.100000000000001" customHeight="1">
      <c r="A8" s="4">
        <v>15</v>
      </c>
      <c r="B8" s="5" t="s">
        <v>14</v>
      </c>
      <c r="C8" s="4">
        <v>2</v>
      </c>
      <c r="D8" s="5" t="s">
        <v>15</v>
      </c>
      <c r="E8" s="4">
        <v>3</v>
      </c>
      <c r="F8" s="5" t="s">
        <v>16</v>
      </c>
      <c r="G8" s="4">
        <v>22</v>
      </c>
      <c r="H8" s="5" t="s">
        <v>37</v>
      </c>
      <c r="I8" s="5" t="s">
        <v>38</v>
      </c>
      <c r="J8" s="4" t="s">
        <v>39</v>
      </c>
      <c r="K8" s="4" t="s">
        <v>40</v>
      </c>
      <c r="L8" s="4">
        <v>11956</v>
      </c>
      <c r="M8" s="4">
        <v>4</v>
      </c>
      <c r="N8" s="2"/>
    </row>
    <row r="9" spans="1:14" ht="20.100000000000001" customHeight="1">
      <c r="A9" s="4">
        <v>15</v>
      </c>
      <c r="B9" s="5" t="s">
        <v>14</v>
      </c>
      <c r="C9" s="4">
        <v>2</v>
      </c>
      <c r="D9" s="5" t="s">
        <v>15</v>
      </c>
      <c r="E9" s="4">
        <v>3</v>
      </c>
      <c r="F9" s="5" t="s">
        <v>16</v>
      </c>
      <c r="G9" s="4">
        <v>24</v>
      </c>
      <c r="H9" s="5" t="s">
        <v>17</v>
      </c>
      <c r="I9" s="5" t="s">
        <v>17</v>
      </c>
      <c r="J9" s="4" t="s">
        <v>41</v>
      </c>
      <c r="K9" s="4" t="s">
        <v>42</v>
      </c>
      <c r="L9" s="4">
        <v>11957</v>
      </c>
      <c r="M9" s="4">
        <v>4</v>
      </c>
      <c r="N9" s="2"/>
    </row>
    <row r="10" spans="1:14" ht="20.100000000000001" customHeight="1">
      <c r="A10" s="4">
        <v>15</v>
      </c>
      <c r="B10" s="5" t="s">
        <v>14</v>
      </c>
      <c r="C10" s="4">
        <v>2</v>
      </c>
      <c r="D10" s="5" t="s">
        <v>15</v>
      </c>
      <c r="E10" s="4">
        <v>3</v>
      </c>
      <c r="F10" s="5" t="s">
        <v>16</v>
      </c>
      <c r="G10" s="4">
        <v>7</v>
      </c>
      <c r="H10" s="5" t="s">
        <v>21</v>
      </c>
      <c r="I10" s="5" t="s">
        <v>43</v>
      </c>
      <c r="J10" s="4" t="s">
        <v>44</v>
      </c>
      <c r="K10" s="4" t="s">
        <v>45</v>
      </c>
      <c r="L10" s="4">
        <v>11958</v>
      </c>
      <c r="M10" s="4">
        <v>4</v>
      </c>
      <c r="N10" s="2"/>
    </row>
    <row r="11" spans="1:14" ht="20.100000000000001" customHeight="1">
      <c r="A11" s="4">
        <v>15</v>
      </c>
      <c r="B11" s="5" t="s">
        <v>14</v>
      </c>
      <c r="C11" s="4">
        <v>3</v>
      </c>
      <c r="D11" s="5" t="s">
        <v>14</v>
      </c>
      <c r="E11" s="4">
        <v>1</v>
      </c>
      <c r="F11" s="5" t="s">
        <v>14</v>
      </c>
      <c r="G11" s="4">
        <v>15</v>
      </c>
      <c r="H11" s="5" t="s">
        <v>14</v>
      </c>
      <c r="I11" s="5" t="s">
        <v>46</v>
      </c>
      <c r="J11" s="4" t="s">
        <v>47</v>
      </c>
      <c r="K11" s="4" t="s">
        <v>48</v>
      </c>
      <c r="L11" s="4">
        <v>11959</v>
      </c>
      <c r="M11" s="4">
        <v>4</v>
      </c>
      <c r="N11" s="2"/>
    </row>
    <row r="12" spans="1:14" ht="20.100000000000001" customHeight="1">
      <c r="A12" s="4">
        <v>15</v>
      </c>
      <c r="B12" s="5" t="s">
        <v>14</v>
      </c>
      <c r="C12" s="4">
        <v>3</v>
      </c>
      <c r="D12" s="5" t="s">
        <v>14</v>
      </c>
      <c r="E12" s="4">
        <v>1</v>
      </c>
      <c r="F12" s="5" t="s">
        <v>14</v>
      </c>
      <c r="G12" s="4">
        <v>15</v>
      </c>
      <c r="H12" s="5" t="s">
        <v>14</v>
      </c>
      <c r="I12" s="5" t="s">
        <v>49</v>
      </c>
      <c r="J12" s="4" t="s">
        <v>50</v>
      </c>
      <c r="K12" s="4" t="s">
        <v>51</v>
      </c>
      <c r="L12" s="4">
        <v>11960</v>
      </c>
      <c r="M12" s="4">
        <v>4</v>
      </c>
      <c r="N12" s="2"/>
    </row>
    <row r="13" spans="1:14" ht="20.100000000000001" customHeight="1">
      <c r="A13" s="4">
        <v>15</v>
      </c>
      <c r="B13" s="5" t="s">
        <v>14</v>
      </c>
      <c r="C13" s="4">
        <v>3</v>
      </c>
      <c r="D13" s="5" t="s">
        <v>14</v>
      </c>
      <c r="E13" s="4">
        <v>1</v>
      </c>
      <c r="F13" s="5" t="s">
        <v>14</v>
      </c>
      <c r="G13" s="4">
        <v>15</v>
      </c>
      <c r="H13" s="5" t="s">
        <v>14</v>
      </c>
      <c r="I13" s="5" t="s">
        <v>52</v>
      </c>
      <c r="J13" s="4" t="s">
        <v>32</v>
      </c>
      <c r="K13" s="4" t="s">
        <v>53</v>
      </c>
      <c r="L13" s="4">
        <v>11961</v>
      </c>
      <c r="M13" s="4">
        <v>4</v>
      </c>
      <c r="N13" s="2"/>
    </row>
    <row r="14" spans="1:14" ht="20.100000000000001" customHeight="1">
      <c r="A14" s="4">
        <v>15</v>
      </c>
      <c r="B14" s="5" t="s">
        <v>14</v>
      </c>
      <c r="C14" s="4">
        <v>3</v>
      </c>
      <c r="D14" s="5" t="s">
        <v>14</v>
      </c>
      <c r="E14" s="4">
        <v>1</v>
      </c>
      <c r="F14" s="5" t="s">
        <v>14</v>
      </c>
      <c r="G14" s="4">
        <v>15</v>
      </c>
      <c r="H14" s="5" t="s">
        <v>14</v>
      </c>
      <c r="I14" s="5" t="s">
        <v>54</v>
      </c>
      <c r="J14" s="4" t="s">
        <v>55</v>
      </c>
      <c r="K14" s="4" t="s">
        <v>56</v>
      </c>
      <c r="L14" s="4">
        <v>11962</v>
      </c>
      <c r="M14" s="4">
        <v>4</v>
      </c>
      <c r="N14" s="2"/>
    </row>
    <row r="15" spans="1:14" ht="20.100000000000001" customHeight="1">
      <c r="A15" s="4">
        <v>15</v>
      </c>
      <c r="B15" s="5" t="s">
        <v>14</v>
      </c>
      <c r="C15" s="4">
        <v>3</v>
      </c>
      <c r="D15" s="5" t="s">
        <v>14</v>
      </c>
      <c r="E15" s="4">
        <v>1</v>
      </c>
      <c r="F15" s="5" t="s">
        <v>14</v>
      </c>
      <c r="G15" s="4">
        <v>15</v>
      </c>
      <c r="H15" s="5" t="s">
        <v>14</v>
      </c>
      <c r="I15" s="5" t="s">
        <v>57</v>
      </c>
      <c r="J15" s="4" t="s">
        <v>58</v>
      </c>
      <c r="K15" s="4" t="s">
        <v>59</v>
      </c>
      <c r="L15" s="4">
        <v>11963</v>
      </c>
      <c r="M15" s="4">
        <v>4</v>
      </c>
      <c r="N15" s="2"/>
    </row>
    <row r="16" spans="1:14" ht="20.100000000000001" customHeight="1">
      <c r="A16" s="4">
        <v>15</v>
      </c>
      <c r="B16" s="5" t="s">
        <v>14</v>
      </c>
      <c r="C16" s="4">
        <v>3</v>
      </c>
      <c r="D16" s="5" t="s">
        <v>14</v>
      </c>
      <c r="E16" s="4">
        <v>1</v>
      </c>
      <c r="F16" s="5" t="s">
        <v>14</v>
      </c>
      <c r="G16" s="4">
        <v>10</v>
      </c>
      <c r="H16" s="5" t="s">
        <v>60</v>
      </c>
      <c r="I16" s="5" t="s">
        <v>61</v>
      </c>
      <c r="J16" s="4" t="s">
        <v>62</v>
      </c>
      <c r="K16" s="4" t="s">
        <v>63</v>
      </c>
      <c r="L16" s="4">
        <v>11964</v>
      </c>
      <c r="M16" s="4">
        <v>4</v>
      </c>
      <c r="N16" s="2" t="s">
        <v>137</v>
      </c>
    </row>
    <row r="17" spans="1:14" ht="20.100000000000001" customHeight="1">
      <c r="A17" s="4">
        <v>15</v>
      </c>
      <c r="B17" s="5" t="s">
        <v>14</v>
      </c>
      <c r="C17" s="4">
        <v>3</v>
      </c>
      <c r="D17" s="5" t="s">
        <v>14</v>
      </c>
      <c r="E17" s="4">
        <v>1</v>
      </c>
      <c r="F17" s="5" t="s">
        <v>14</v>
      </c>
      <c r="G17" s="4">
        <v>10</v>
      </c>
      <c r="H17" s="5" t="s">
        <v>60</v>
      </c>
      <c r="I17" s="5" t="s">
        <v>64</v>
      </c>
      <c r="J17" s="4" t="s">
        <v>44</v>
      </c>
      <c r="K17" s="4" t="s">
        <v>65</v>
      </c>
      <c r="L17" s="4">
        <v>11965</v>
      </c>
      <c r="M17" s="4">
        <v>4</v>
      </c>
      <c r="N17" s="2"/>
    </row>
    <row r="18" spans="1:14" ht="20.100000000000001" customHeight="1">
      <c r="A18" s="4">
        <v>15</v>
      </c>
      <c r="B18" s="5" t="s">
        <v>14</v>
      </c>
      <c r="C18" s="4">
        <v>6</v>
      </c>
      <c r="D18" s="5" t="s">
        <v>66</v>
      </c>
      <c r="E18" s="4">
        <v>2</v>
      </c>
      <c r="F18" s="5" t="s">
        <v>66</v>
      </c>
      <c r="G18" s="4">
        <v>25</v>
      </c>
      <c r="H18" s="5" t="s">
        <v>67</v>
      </c>
      <c r="I18" s="5" t="s">
        <v>68</v>
      </c>
      <c r="J18" s="4" t="s">
        <v>62</v>
      </c>
      <c r="K18" s="4" t="s">
        <v>69</v>
      </c>
      <c r="L18" s="4">
        <v>11966</v>
      </c>
      <c r="M18" s="4">
        <v>4</v>
      </c>
      <c r="N18" s="2"/>
    </row>
    <row r="19" spans="1:14" ht="20.100000000000001" customHeight="1">
      <c r="A19" s="4">
        <v>15</v>
      </c>
      <c r="B19" s="5" t="s">
        <v>14</v>
      </c>
      <c r="C19" s="4">
        <v>6</v>
      </c>
      <c r="D19" s="5" t="s">
        <v>66</v>
      </c>
      <c r="E19" s="4">
        <v>2</v>
      </c>
      <c r="F19" s="5" t="s">
        <v>66</v>
      </c>
      <c r="G19" s="4">
        <v>25</v>
      </c>
      <c r="H19" s="5" t="s">
        <v>67</v>
      </c>
      <c r="I19" s="5" t="s">
        <v>70</v>
      </c>
      <c r="J19" s="4" t="s">
        <v>71</v>
      </c>
      <c r="K19" s="4" t="s">
        <v>72</v>
      </c>
      <c r="L19" s="4">
        <v>11967</v>
      </c>
      <c r="M19" s="4">
        <v>4</v>
      </c>
      <c r="N19" s="2"/>
    </row>
    <row r="20" spans="1:14" ht="20.100000000000001" customHeight="1">
      <c r="A20" s="4">
        <v>15</v>
      </c>
      <c r="B20" s="5" t="s">
        <v>14</v>
      </c>
      <c r="C20" s="4">
        <v>6</v>
      </c>
      <c r="D20" s="5" t="s">
        <v>66</v>
      </c>
      <c r="E20" s="4">
        <v>2</v>
      </c>
      <c r="F20" s="5" t="s">
        <v>66</v>
      </c>
      <c r="G20" s="4">
        <v>14</v>
      </c>
      <c r="H20" s="5" t="s">
        <v>73</v>
      </c>
      <c r="I20" s="5" t="s">
        <v>74</v>
      </c>
      <c r="J20" s="4" t="s">
        <v>32</v>
      </c>
      <c r="K20" s="4" t="s">
        <v>75</v>
      </c>
      <c r="L20" s="4">
        <v>11968</v>
      </c>
      <c r="M20" s="4">
        <v>4</v>
      </c>
      <c r="N20" s="2"/>
    </row>
    <row r="21" spans="1:14" ht="20.100000000000001" customHeight="1">
      <c r="A21" s="4">
        <v>15</v>
      </c>
      <c r="B21" s="5" t="s">
        <v>14</v>
      </c>
      <c r="C21" s="4">
        <v>6</v>
      </c>
      <c r="D21" s="5" t="s">
        <v>66</v>
      </c>
      <c r="E21" s="4">
        <v>2</v>
      </c>
      <c r="F21" s="5" t="s">
        <v>66</v>
      </c>
      <c r="G21" s="4">
        <v>23</v>
      </c>
      <c r="H21" s="5" t="s">
        <v>76</v>
      </c>
      <c r="I21" s="5" t="s">
        <v>77</v>
      </c>
      <c r="J21" s="4" t="s">
        <v>23</v>
      </c>
      <c r="K21" s="4" t="s">
        <v>78</v>
      </c>
      <c r="L21" s="4">
        <v>11969</v>
      </c>
      <c r="M21" s="4">
        <v>4</v>
      </c>
      <c r="N21" s="2"/>
    </row>
    <row r="22" spans="1:14" ht="20.100000000000001" customHeight="1">
      <c r="A22" s="4">
        <v>15</v>
      </c>
      <c r="B22" s="5" t="s">
        <v>14</v>
      </c>
      <c r="C22" s="4">
        <v>6</v>
      </c>
      <c r="D22" s="5" t="s">
        <v>66</v>
      </c>
      <c r="E22" s="4">
        <v>2</v>
      </c>
      <c r="F22" s="5" t="s">
        <v>66</v>
      </c>
      <c r="G22" s="4">
        <v>23</v>
      </c>
      <c r="H22" s="5" t="s">
        <v>76</v>
      </c>
      <c r="I22" s="5" t="s">
        <v>79</v>
      </c>
      <c r="J22" s="4" t="s">
        <v>80</v>
      </c>
      <c r="K22" s="4" t="s">
        <v>81</v>
      </c>
      <c r="L22" s="4">
        <v>11970</v>
      </c>
      <c r="M22" s="4">
        <v>4</v>
      </c>
      <c r="N22" s="2"/>
    </row>
    <row r="23" spans="1:14" ht="20.100000000000001" customHeight="1">
      <c r="A23" s="4">
        <v>15</v>
      </c>
      <c r="B23" s="5" t="s">
        <v>14</v>
      </c>
      <c r="C23" s="4">
        <v>6</v>
      </c>
      <c r="D23" s="5" t="s">
        <v>66</v>
      </c>
      <c r="E23" s="4">
        <v>2</v>
      </c>
      <c r="F23" s="5" t="s">
        <v>66</v>
      </c>
      <c r="G23" s="4">
        <v>23</v>
      </c>
      <c r="H23" s="5" t="s">
        <v>76</v>
      </c>
      <c r="I23" s="5" t="s">
        <v>82</v>
      </c>
      <c r="J23" s="4" t="s">
        <v>83</v>
      </c>
      <c r="K23" s="4" t="s">
        <v>84</v>
      </c>
      <c r="L23" s="4">
        <v>11971</v>
      </c>
      <c r="M23" s="4">
        <v>4</v>
      </c>
      <c r="N23" s="2"/>
    </row>
    <row r="24" spans="1:14" ht="20.100000000000001" customHeight="1">
      <c r="A24" s="4">
        <v>15</v>
      </c>
      <c r="B24" s="5" t="s">
        <v>14</v>
      </c>
      <c r="C24" s="4">
        <v>6</v>
      </c>
      <c r="D24" s="5" t="s">
        <v>66</v>
      </c>
      <c r="E24" s="4">
        <v>2</v>
      </c>
      <c r="F24" s="5" t="s">
        <v>66</v>
      </c>
      <c r="G24" s="4">
        <v>25</v>
      </c>
      <c r="H24" s="5" t="s">
        <v>67</v>
      </c>
      <c r="I24" s="5" t="s">
        <v>85</v>
      </c>
      <c r="J24" s="4" t="s">
        <v>86</v>
      </c>
      <c r="K24" s="4" t="s">
        <v>87</v>
      </c>
      <c r="L24" s="4">
        <v>11972</v>
      </c>
      <c r="M24" s="4">
        <v>4</v>
      </c>
      <c r="N24" s="2" t="s">
        <v>137</v>
      </c>
    </row>
    <row r="25" spans="1:14" ht="20.100000000000001" customHeight="1">
      <c r="A25" s="4">
        <v>15</v>
      </c>
      <c r="B25" s="5" t="s">
        <v>14</v>
      </c>
      <c r="C25" s="4">
        <v>6</v>
      </c>
      <c r="D25" s="5" t="s">
        <v>66</v>
      </c>
      <c r="E25" s="4">
        <v>2</v>
      </c>
      <c r="F25" s="5" t="s">
        <v>66</v>
      </c>
      <c r="G25" s="4">
        <v>14</v>
      </c>
      <c r="H25" s="5" t="s">
        <v>73</v>
      </c>
      <c r="I25" s="5" t="s">
        <v>88</v>
      </c>
      <c r="J25" s="4" t="s">
        <v>44</v>
      </c>
      <c r="K25" s="4" t="s">
        <v>89</v>
      </c>
      <c r="L25" s="4">
        <v>11973</v>
      </c>
      <c r="M25" s="4">
        <v>4</v>
      </c>
      <c r="N25" s="2"/>
    </row>
    <row r="26" spans="1:14" ht="20.100000000000001" customHeight="1">
      <c r="A26" s="4">
        <v>15</v>
      </c>
      <c r="B26" s="5" t="s">
        <v>14</v>
      </c>
      <c r="C26" s="4">
        <v>7</v>
      </c>
      <c r="D26" s="5" t="s">
        <v>90</v>
      </c>
      <c r="E26" s="4">
        <v>4</v>
      </c>
      <c r="F26" s="5" t="s">
        <v>90</v>
      </c>
      <c r="G26" s="4">
        <v>26</v>
      </c>
      <c r="H26" s="5" t="s">
        <v>91</v>
      </c>
      <c r="I26" s="5" t="s">
        <v>92</v>
      </c>
      <c r="J26" s="4" t="s">
        <v>93</v>
      </c>
      <c r="K26" s="4" t="s">
        <v>94</v>
      </c>
      <c r="L26" s="4">
        <v>11974</v>
      </c>
      <c r="M26" s="4">
        <v>4</v>
      </c>
      <c r="N26" s="2"/>
    </row>
    <row r="27" spans="1:14" ht="20.100000000000001" customHeight="1">
      <c r="A27" s="4">
        <v>15</v>
      </c>
      <c r="B27" s="5" t="s">
        <v>14</v>
      </c>
      <c r="C27" s="4">
        <v>7</v>
      </c>
      <c r="D27" s="5" t="s">
        <v>90</v>
      </c>
      <c r="E27" s="4">
        <v>4</v>
      </c>
      <c r="F27" s="5" t="s">
        <v>90</v>
      </c>
      <c r="G27" s="4">
        <v>26</v>
      </c>
      <c r="H27" s="5" t="s">
        <v>91</v>
      </c>
      <c r="I27" s="5" t="s">
        <v>95</v>
      </c>
      <c r="J27" s="4" t="s">
        <v>96</v>
      </c>
      <c r="K27" s="4" t="s">
        <v>97</v>
      </c>
      <c r="L27" s="4">
        <v>11975</v>
      </c>
      <c r="M27" s="4">
        <v>4</v>
      </c>
      <c r="N27" s="2"/>
    </row>
    <row r="28" spans="1:14" ht="20.100000000000001" customHeight="1">
      <c r="A28" s="4">
        <v>15</v>
      </c>
      <c r="B28" s="5" t="s">
        <v>14</v>
      </c>
      <c r="C28" s="4">
        <v>7</v>
      </c>
      <c r="D28" s="5" t="s">
        <v>90</v>
      </c>
      <c r="E28" s="4">
        <v>4</v>
      </c>
      <c r="F28" s="5" t="s">
        <v>90</v>
      </c>
      <c r="G28" s="4">
        <v>26</v>
      </c>
      <c r="H28" s="5" t="s">
        <v>91</v>
      </c>
      <c r="I28" s="5" t="s">
        <v>98</v>
      </c>
      <c r="J28" s="4" t="s">
        <v>99</v>
      </c>
      <c r="K28" s="4" t="s">
        <v>100</v>
      </c>
      <c r="L28" s="4">
        <v>11976</v>
      </c>
      <c r="M28" s="4">
        <v>4</v>
      </c>
      <c r="N28" s="2"/>
    </row>
    <row r="29" spans="1:14" ht="20.100000000000001" customHeight="1">
      <c r="A29" s="4">
        <v>15</v>
      </c>
      <c r="B29" s="5" t="s">
        <v>14</v>
      </c>
      <c r="C29" s="4">
        <v>7</v>
      </c>
      <c r="D29" s="5" t="s">
        <v>90</v>
      </c>
      <c r="E29" s="4">
        <v>4</v>
      </c>
      <c r="F29" s="5" t="s">
        <v>90</v>
      </c>
      <c r="G29" s="4">
        <v>8</v>
      </c>
      <c r="H29" s="5" t="s">
        <v>101</v>
      </c>
      <c r="I29" s="5" t="s">
        <v>102</v>
      </c>
      <c r="J29" s="4" t="s">
        <v>103</v>
      </c>
      <c r="K29" s="4" t="s">
        <v>104</v>
      </c>
      <c r="L29" s="4">
        <v>11977</v>
      </c>
      <c r="M29" s="4">
        <v>4</v>
      </c>
      <c r="N29" s="2"/>
    </row>
    <row r="30" spans="1:14" ht="20.100000000000001" customHeight="1">
      <c r="A30" s="4">
        <v>15</v>
      </c>
      <c r="B30" s="5" t="s">
        <v>14</v>
      </c>
      <c r="C30" s="4">
        <v>7</v>
      </c>
      <c r="D30" s="5" t="s">
        <v>90</v>
      </c>
      <c r="E30" s="4">
        <v>4</v>
      </c>
      <c r="F30" s="5" t="s">
        <v>90</v>
      </c>
      <c r="G30" s="4">
        <v>8</v>
      </c>
      <c r="H30" s="5" t="s">
        <v>101</v>
      </c>
      <c r="I30" s="5" t="s">
        <v>105</v>
      </c>
      <c r="J30" s="4" t="s">
        <v>106</v>
      </c>
      <c r="K30" s="4" t="s">
        <v>107</v>
      </c>
      <c r="L30" s="4">
        <v>11978</v>
      </c>
      <c r="M30" s="4">
        <v>4</v>
      </c>
      <c r="N30" s="2"/>
    </row>
    <row r="31" spans="1:14" ht="20.100000000000001" customHeight="1">
      <c r="A31" s="4">
        <v>15</v>
      </c>
      <c r="B31" s="5" t="s">
        <v>14</v>
      </c>
      <c r="C31" s="4">
        <v>7</v>
      </c>
      <c r="D31" s="5" t="s">
        <v>90</v>
      </c>
      <c r="E31" s="4">
        <v>4</v>
      </c>
      <c r="F31" s="5" t="s">
        <v>90</v>
      </c>
      <c r="G31" s="4">
        <v>3</v>
      </c>
      <c r="H31" s="5" t="s">
        <v>108</v>
      </c>
      <c r="I31" s="5" t="s">
        <v>108</v>
      </c>
      <c r="J31" s="4" t="s">
        <v>109</v>
      </c>
      <c r="K31" s="4" t="s">
        <v>110</v>
      </c>
      <c r="L31" s="4">
        <v>11979</v>
      </c>
      <c r="M31" s="4">
        <v>4</v>
      </c>
      <c r="N31" s="2"/>
    </row>
    <row r="32" spans="1:14" ht="20.100000000000001" customHeight="1">
      <c r="A32" s="4">
        <v>15</v>
      </c>
      <c r="B32" s="5" t="s">
        <v>14</v>
      </c>
      <c r="C32" s="4">
        <v>7</v>
      </c>
      <c r="D32" s="5" t="s">
        <v>90</v>
      </c>
      <c r="E32" s="4">
        <v>4</v>
      </c>
      <c r="F32" s="5" t="s">
        <v>90</v>
      </c>
      <c r="G32" s="4">
        <v>3</v>
      </c>
      <c r="H32" s="5" t="s">
        <v>108</v>
      </c>
      <c r="I32" s="5" t="s">
        <v>111</v>
      </c>
      <c r="J32" s="4" t="s">
        <v>112</v>
      </c>
      <c r="K32" s="4" t="s">
        <v>113</v>
      </c>
      <c r="L32" s="4">
        <v>11980</v>
      </c>
      <c r="M32" s="4">
        <v>4</v>
      </c>
      <c r="N32" s="2"/>
    </row>
    <row r="33" spans="1:14" ht="20.100000000000001" customHeight="1">
      <c r="A33" s="4">
        <v>15</v>
      </c>
      <c r="B33" s="5" t="s">
        <v>14</v>
      </c>
      <c r="C33" s="4">
        <v>7</v>
      </c>
      <c r="D33" s="5" t="s">
        <v>90</v>
      </c>
      <c r="E33" s="4">
        <v>4</v>
      </c>
      <c r="F33" s="5" t="s">
        <v>90</v>
      </c>
      <c r="G33" s="4">
        <v>3</v>
      </c>
      <c r="H33" s="5" t="s">
        <v>108</v>
      </c>
      <c r="I33" s="5" t="s">
        <v>114</v>
      </c>
      <c r="J33" s="4" t="s">
        <v>115</v>
      </c>
      <c r="K33" s="4" t="s">
        <v>116</v>
      </c>
      <c r="L33" s="4">
        <v>11981</v>
      </c>
      <c r="M33" s="4">
        <v>4</v>
      </c>
      <c r="N33" s="2"/>
    </row>
  </sheetData>
  <autoFilter ref="A1:N33"/>
  <printOptions horizontalCentered="1"/>
  <pageMargins left="0.39370078740157483" right="0.19685039370078741" top="0.19685039370078741" bottom="0.19685039370078741" header="0.19685039370078741" footer="0.19685039370078741"/>
  <pageSetup paperSize="5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selection activeCell="E2" sqref="E2:F33"/>
    </sheetView>
  </sheetViews>
  <sheetFormatPr defaultRowHeight="20.100000000000001" customHeight="1"/>
  <cols>
    <col min="1" max="1" width="6.28515625" style="6" customWidth="1"/>
    <col min="2" max="2" width="29" style="3" bestFit="1" customWidth="1"/>
    <col min="3" max="3" width="7.42578125" style="6" customWidth="1"/>
    <col min="4" max="4" width="28.7109375" style="3" customWidth="1"/>
    <col min="5" max="5" width="37" style="3" customWidth="1"/>
    <col min="6" max="6" width="7.42578125" style="6" customWidth="1"/>
    <col min="7" max="7" width="11.140625" style="6" customWidth="1"/>
    <col min="8" max="8" width="7.5703125" style="6" customWidth="1"/>
    <col min="9" max="9" width="5.7109375" style="6" customWidth="1"/>
    <col min="10" max="10" width="25.7109375" style="3" customWidth="1"/>
    <col min="11" max="16384" width="9.140625" style="3"/>
  </cols>
  <sheetData>
    <row r="1" spans="1:10" ht="44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2" t="s">
        <v>13</v>
      </c>
    </row>
    <row r="2" spans="1:10" ht="20.100000000000001" customHeight="1">
      <c r="A2" s="4">
        <v>7</v>
      </c>
      <c r="B2" s="5" t="s">
        <v>90</v>
      </c>
      <c r="C2" s="4">
        <v>4</v>
      </c>
      <c r="D2" s="5" t="s">
        <v>90</v>
      </c>
      <c r="E2" s="5" t="s">
        <v>92</v>
      </c>
      <c r="F2" s="4" t="s">
        <v>93</v>
      </c>
      <c r="G2" s="4" t="s">
        <v>94</v>
      </c>
      <c r="H2" s="4">
        <v>11974</v>
      </c>
      <c r="I2" s="4">
        <v>4</v>
      </c>
      <c r="J2" s="2"/>
    </row>
    <row r="3" spans="1:10" ht="20.100000000000001" customHeight="1">
      <c r="A3" s="4">
        <v>7</v>
      </c>
      <c r="B3" s="5" t="s">
        <v>90</v>
      </c>
      <c r="C3" s="4">
        <v>4</v>
      </c>
      <c r="D3" s="5" t="s">
        <v>90</v>
      </c>
      <c r="E3" s="5" t="s">
        <v>95</v>
      </c>
      <c r="F3" s="4" t="s">
        <v>96</v>
      </c>
      <c r="G3" s="4" t="s">
        <v>97</v>
      </c>
      <c r="H3" s="4">
        <v>11975</v>
      </c>
      <c r="I3" s="4">
        <v>4</v>
      </c>
      <c r="J3" s="2"/>
    </row>
    <row r="4" spans="1:10" ht="20.100000000000001" customHeight="1">
      <c r="A4" s="4">
        <v>7</v>
      </c>
      <c r="B4" s="5" t="s">
        <v>90</v>
      </c>
      <c r="C4" s="4">
        <v>4</v>
      </c>
      <c r="D4" s="5" t="s">
        <v>90</v>
      </c>
      <c r="E4" s="5" t="s">
        <v>98</v>
      </c>
      <c r="F4" s="4" t="s">
        <v>99</v>
      </c>
      <c r="G4" s="4" t="s">
        <v>100</v>
      </c>
      <c r="H4" s="4">
        <v>11976</v>
      </c>
      <c r="I4" s="4">
        <v>4</v>
      </c>
      <c r="J4" s="2"/>
    </row>
    <row r="5" spans="1:10" ht="20.100000000000001" customHeight="1">
      <c r="A5" s="4">
        <v>7</v>
      </c>
      <c r="B5" s="5" t="s">
        <v>90</v>
      </c>
      <c r="C5" s="4">
        <v>4</v>
      </c>
      <c r="D5" s="5" t="s">
        <v>90</v>
      </c>
      <c r="E5" s="5" t="s">
        <v>102</v>
      </c>
      <c r="F5" s="4" t="s">
        <v>103</v>
      </c>
      <c r="G5" s="4" t="s">
        <v>104</v>
      </c>
      <c r="H5" s="4">
        <v>11977</v>
      </c>
      <c r="I5" s="4">
        <v>4</v>
      </c>
      <c r="J5" s="2"/>
    </row>
    <row r="6" spans="1:10" ht="20.100000000000001" customHeight="1">
      <c r="A6" s="4">
        <v>7</v>
      </c>
      <c r="B6" s="5" t="s">
        <v>90</v>
      </c>
      <c r="C6" s="4">
        <v>4</v>
      </c>
      <c r="D6" s="5" t="s">
        <v>90</v>
      </c>
      <c r="E6" s="5" t="s">
        <v>105</v>
      </c>
      <c r="F6" s="4" t="s">
        <v>106</v>
      </c>
      <c r="G6" s="4" t="s">
        <v>107</v>
      </c>
      <c r="H6" s="4">
        <v>11978</v>
      </c>
      <c r="I6" s="4">
        <v>4</v>
      </c>
      <c r="J6" s="2"/>
    </row>
    <row r="7" spans="1:10" ht="20.100000000000001" customHeight="1">
      <c r="A7" s="4">
        <v>7</v>
      </c>
      <c r="B7" s="5" t="s">
        <v>90</v>
      </c>
      <c r="C7" s="4">
        <v>4</v>
      </c>
      <c r="D7" s="5" t="s">
        <v>90</v>
      </c>
      <c r="E7" s="5" t="s">
        <v>108</v>
      </c>
      <c r="F7" s="4" t="s">
        <v>109</v>
      </c>
      <c r="G7" s="4" t="s">
        <v>110</v>
      </c>
      <c r="H7" s="4">
        <v>11979</v>
      </c>
      <c r="I7" s="4">
        <v>4</v>
      </c>
      <c r="J7" s="2"/>
    </row>
    <row r="8" spans="1:10" ht="20.100000000000001" customHeight="1">
      <c r="A8" s="4">
        <v>7</v>
      </c>
      <c r="B8" s="5" t="s">
        <v>90</v>
      </c>
      <c r="C8" s="4">
        <v>4</v>
      </c>
      <c r="D8" s="5" t="s">
        <v>90</v>
      </c>
      <c r="E8" s="5" t="s">
        <v>111</v>
      </c>
      <c r="F8" s="4" t="s">
        <v>112</v>
      </c>
      <c r="G8" s="4" t="s">
        <v>113</v>
      </c>
      <c r="H8" s="4">
        <v>11980</v>
      </c>
      <c r="I8" s="4">
        <v>4</v>
      </c>
      <c r="J8" s="2"/>
    </row>
    <row r="9" spans="1:10" ht="20.100000000000001" customHeight="1">
      <c r="A9" s="4">
        <v>7</v>
      </c>
      <c r="B9" s="5" t="s">
        <v>90</v>
      </c>
      <c r="C9" s="4">
        <v>4</v>
      </c>
      <c r="D9" s="5" t="s">
        <v>90</v>
      </c>
      <c r="E9" s="5" t="s">
        <v>114</v>
      </c>
      <c r="F9" s="4" t="s">
        <v>115</v>
      </c>
      <c r="G9" s="4" t="s">
        <v>116</v>
      </c>
      <c r="H9" s="4">
        <v>11981</v>
      </c>
      <c r="I9" s="4">
        <v>4</v>
      </c>
      <c r="J9" s="2"/>
    </row>
    <row r="10" spans="1:10" ht="20.100000000000001" customHeight="1">
      <c r="A10" s="4">
        <v>2</v>
      </c>
      <c r="B10" s="5" t="s">
        <v>15</v>
      </c>
      <c r="C10" s="4">
        <v>3</v>
      </c>
      <c r="D10" s="5" t="s">
        <v>16</v>
      </c>
      <c r="E10" s="5" t="s">
        <v>18</v>
      </c>
      <c r="F10" s="4" t="s">
        <v>19</v>
      </c>
      <c r="G10" s="4" t="s">
        <v>20</v>
      </c>
      <c r="H10" s="4">
        <v>11950</v>
      </c>
      <c r="I10" s="4">
        <v>4</v>
      </c>
      <c r="J10" s="2"/>
    </row>
    <row r="11" spans="1:10" ht="20.100000000000001" customHeight="1">
      <c r="A11" s="4">
        <v>2</v>
      </c>
      <c r="B11" s="5" t="s">
        <v>15</v>
      </c>
      <c r="C11" s="4">
        <v>3</v>
      </c>
      <c r="D11" s="5" t="s">
        <v>16</v>
      </c>
      <c r="E11" s="5" t="s">
        <v>22</v>
      </c>
      <c r="F11" s="4" t="s">
        <v>23</v>
      </c>
      <c r="G11" s="4" t="s">
        <v>24</v>
      </c>
      <c r="H11" s="4">
        <v>11951</v>
      </c>
      <c r="I11" s="4">
        <v>4</v>
      </c>
      <c r="J11" s="2"/>
    </row>
    <row r="12" spans="1:10" ht="20.100000000000001" customHeight="1">
      <c r="A12" s="4">
        <v>2</v>
      </c>
      <c r="B12" s="5" t="s">
        <v>15</v>
      </c>
      <c r="C12" s="4">
        <v>3</v>
      </c>
      <c r="D12" s="5" t="s">
        <v>16</v>
      </c>
      <c r="E12" s="5" t="s">
        <v>25</v>
      </c>
      <c r="F12" s="4" t="s">
        <v>26</v>
      </c>
      <c r="G12" s="4" t="s">
        <v>27</v>
      </c>
      <c r="H12" s="4">
        <v>11952</v>
      </c>
      <c r="I12" s="4">
        <v>4</v>
      </c>
      <c r="J12" s="2"/>
    </row>
    <row r="13" spans="1:10" ht="20.100000000000001" customHeight="1">
      <c r="A13" s="4">
        <v>2</v>
      </c>
      <c r="B13" s="5" t="s">
        <v>15</v>
      </c>
      <c r="C13" s="4">
        <v>3</v>
      </c>
      <c r="D13" s="5" t="s">
        <v>16</v>
      </c>
      <c r="E13" s="5" t="s">
        <v>28</v>
      </c>
      <c r="F13" s="4" t="s">
        <v>29</v>
      </c>
      <c r="G13" s="4" t="s">
        <v>30</v>
      </c>
      <c r="H13" s="4">
        <v>11953</v>
      </c>
      <c r="I13" s="4">
        <v>4</v>
      </c>
      <c r="J13" s="2"/>
    </row>
    <row r="14" spans="1:10" ht="20.100000000000001" customHeight="1">
      <c r="A14" s="4">
        <v>2</v>
      </c>
      <c r="B14" s="5" t="s">
        <v>15</v>
      </c>
      <c r="C14" s="4">
        <v>3</v>
      </c>
      <c r="D14" s="5" t="s">
        <v>16</v>
      </c>
      <c r="E14" s="5" t="s">
        <v>31</v>
      </c>
      <c r="F14" s="4" t="s">
        <v>32</v>
      </c>
      <c r="G14" s="4" t="s">
        <v>33</v>
      </c>
      <c r="H14" s="4">
        <v>11954</v>
      </c>
      <c r="I14" s="4">
        <v>4</v>
      </c>
      <c r="J14" s="2"/>
    </row>
    <row r="15" spans="1:10" ht="20.100000000000001" customHeight="1">
      <c r="A15" s="4">
        <v>2</v>
      </c>
      <c r="B15" s="5" t="s">
        <v>15</v>
      </c>
      <c r="C15" s="4">
        <v>3</v>
      </c>
      <c r="D15" s="5" t="s">
        <v>16</v>
      </c>
      <c r="E15" s="5" t="s">
        <v>34</v>
      </c>
      <c r="F15" s="4" t="s">
        <v>35</v>
      </c>
      <c r="G15" s="4" t="s">
        <v>36</v>
      </c>
      <c r="H15" s="4">
        <v>11955</v>
      </c>
      <c r="I15" s="4">
        <v>4</v>
      </c>
      <c r="J15" s="2"/>
    </row>
    <row r="16" spans="1:10" ht="20.100000000000001" customHeight="1">
      <c r="A16" s="4">
        <v>2</v>
      </c>
      <c r="B16" s="5" t="s">
        <v>15</v>
      </c>
      <c r="C16" s="4">
        <v>3</v>
      </c>
      <c r="D16" s="5" t="s">
        <v>16</v>
      </c>
      <c r="E16" s="5" t="s">
        <v>38</v>
      </c>
      <c r="F16" s="4" t="s">
        <v>39</v>
      </c>
      <c r="G16" s="4" t="s">
        <v>40</v>
      </c>
      <c r="H16" s="4">
        <v>11956</v>
      </c>
      <c r="I16" s="4">
        <v>4</v>
      </c>
      <c r="J16" s="2"/>
    </row>
    <row r="17" spans="1:10" ht="20.100000000000001" customHeight="1">
      <c r="A17" s="4">
        <v>2</v>
      </c>
      <c r="B17" s="5" t="s">
        <v>15</v>
      </c>
      <c r="C17" s="4">
        <v>3</v>
      </c>
      <c r="D17" s="5" t="s">
        <v>16</v>
      </c>
      <c r="E17" s="5" t="s">
        <v>17</v>
      </c>
      <c r="F17" s="4" t="s">
        <v>41</v>
      </c>
      <c r="G17" s="4" t="s">
        <v>42</v>
      </c>
      <c r="H17" s="4">
        <v>11957</v>
      </c>
      <c r="I17" s="4">
        <v>4</v>
      </c>
      <c r="J17" s="2"/>
    </row>
    <row r="18" spans="1:10" ht="20.100000000000001" customHeight="1">
      <c r="A18" s="4">
        <v>2</v>
      </c>
      <c r="B18" s="5" t="s">
        <v>15</v>
      </c>
      <c r="C18" s="4">
        <v>3</v>
      </c>
      <c r="D18" s="5" t="s">
        <v>16</v>
      </c>
      <c r="E18" s="5" t="s">
        <v>43</v>
      </c>
      <c r="F18" s="4" t="s">
        <v>44</v>
      </c>
      <c r="G18" s="4" t="s">
        <v>45</v>
      </c>
      <c r="H18" s="4">
        <v>11958</v>
      </c>
      <c r="I18" s="4">
        <v>4</v>
      </c>
      <c r="J18" s="2"/>
    </row>
    <row r="19" spans="1:10" ht="20.100000000000001" customHeight="1">
      <c r="A19" s="4">
        <v>3</v>
      </c>
      <c r="B19" s="5" t="s">
        <v>14</v>
      </c>
      <c r="C19" s="4">
        <v>1</v>
      </c>
      <c r="D19" s="5" t="s">
        <v>14</v>
      </c>
      <c r="E19" s="5" t="s">
        <v>46</v>
      </c>
      <c r="F19" s="4" t="s">
        <v>47</v>
      </c>
      <c r="G19" s="4" t="s">
        <v>48</v>
      </c>
      <c r="H19" s="4">
        <v>11959</v>
      </c>
      <c r="I19" s="4">
        <v>4</v>
      </c>
      <c r="J19" s="2"/>
    </row>
    <row r="20" spans="1:10" ht="20.100000000000001" customHeight="1">
      <c r="A20" s="4">
        <v>3</v>
      </c>
      <c r="B20" s="5" t="s">
        <v>14</v>
      </c>
      <c r="C20" s="4">
        <v>1</v>
      </c>
      <c r="D20" s="5" t="s">
        <v>14</v>
      </c>
      <c r="E20" s="5" t="s">
        <v>49</v>
      </c>
      <c r="F20" s="4" t="s">
        <v>50</v>
      </c>
      <c r="G20" s="4" t="s">
        <v>51</v>
      </c>
      <c r="H20" s="4">
        <v>11960</v>
      </c>
      <c r="I20" s="4">
        <v>4</v>
      </c>
      <c r="J20" s="2"/>
    </row>
    <row r="21" spans="1:10" ht="20.100000000000001" customHeight="1">
      <c r="A21" s="4">
        <v>3</v>
      </c>
      <c r="B21" s="5" t="s">
        <v>14</v>
      </c>
      <c r="C21" s="4">
        <v>1</v>
      </c>
      <c r="D21" s="5" t="s">
        <v>14</v>
      </c>
      <c r="E21" s="5" t="s">
        <v>52</v>
      </c>
      <c r="F21" s="4" t="s">
        <v>32</v>
      </c>
      <c r="G21" s="4" t="s">
        <v>53</v>
      </c>
      <c r="H21" s="4">
        <v>11961</v>
      </c>
      <c r="I21" s="4">
        <v>4</v>
      </c>
      <c r="J21" s="2"/>
    </row>
    <row r="22" spans="1:10" ht="20.100000000000001" customHeight="1">
      <c r="A22" s="4">
        <v>3</v>
      </c>
      <c r="B22" s="5" t="s">
        <v>14</v>
      </c>
      <c r="C22" s="4">
        <v>1</v>
      </c>
      <c r="D22" s="5" t="s">
        <v>14</v>
      </c>
      <c r="E22" s="5" t="s">
        <v>54</v>
      </c>
      <c r="F22" s="4" t="s">
        <v>55</v>
      </c>
      <c r="G22" s="4" t="s">
        <v>56</v>
      </c>
      <c r="H22" s="4">
        <v>11962</v>
      </c>
      <c r="I22" s="4">
        <v>4</v>
      </c>
      <c r="J22" s="2"/>
    </row>
    <row r="23" spans="1:10" ht="20.100000000000001" customHeight="1">
      <c r="A23" s="4">
        <v>3</v>
      </c>
      <c r="B23" s="5" t="s">
        <v>14</v>
      </c>
      <c r="C23" s="4">
        <v>1</v>
      </c>
      <c r="D23" s="5" t="s">
        <v>14</v>
      </c>
      <c r="E23" s="5" t="s">
        <v>57</v>
      </c>
      <c r="F23" s="4" t="s">
        <v>58</v>
      </c>
      <c r="G23" s="4" t="s">
        <v>59</v>
      </c>
      <c r="H23" s="4">
        <v>11963</v>
      </c>
      <c r="I23" s="4">
        <v>4</v>
      </c>
      <c r="J23" s="2"/>
    </row>
    <row r="24" spans="1:10" ht="20.100000000000001" customHeight="1">
      <c r="A24" s="4">
        <v>3</v>
      </c>
      <c r="B24" s="5" t="s">
        <v>14</v>
      </c>
      <c r="C24" s="4">
        <v>1</v>
      </c>
      <c r="D24" s="5" t="s">
        <v>14</v>
      </c>
      <c r="E24" s="5" t="s">
        <v>61</v>
      </c>
      <c r="F24" s="4" t="s">
        <v>62</v>
      </c>
      <c r="G24" s="4" t="s">
        <v>63</v>
      </c>
      <c r="H24" s="4">
        <v>11964</v>
      </c>
      <c r="I24" s="4">
        <v>4</v>
      </c>
      <c r="J24" s="2"/>
    </row>
    <row r="25" spans="1:10" ht="20.100000000000001" customHeight="1">
      <c r="A25" s="4">
        <v>3</v>
      </c>
      <c r="B25" s="5" t="s">
        <v>14</v>
      </c>
      <c r="C25" s="4">
        <v>1</v>
      </c>
      <c r="D25" s="5" t="s">
        <v>14</v>
      </c>
      <c r="E25" s="5" t="s">
        <v>64</v>
      </c>
      <c r="F25" s="4" t="s">
        <v>44</v>
      </c>
      <c r="G25" s="4" t="s">
        <v>65</v>
      </c>
      <c r="H25" s="4">
        <v>11965</v>
      </c>
      <c r="I25" s="4">
        <v>4</v>
      </c>
      <c r="J25" s="2"/>
    </row>
    <row r="26" spans="1:10" ht="20.100000000000001" customHeight="1">
      <c r="A26" s="4">
        <v>6</v>
      </c>
      <c r="B26" s="5" t="s">
        <v>66</v>
      </c>
      <c r="C26" s="4">
        <v>2</v>
      </c>
      <c r="D26" s="5" t="s">
        <v>66</v>
      </c>
      <c r="E26" s="5" t="s">
        <v>68</v>
      </c>
      <c r="F26" s="4" t="s">
        <v>62</v>
      </c>
      <c r="G26" s="4" t="s">
        <v>69</v>
      </c>
      <c r="H26" s="4">
        <v>11966</v>
      </c>
      <c r="I26" s="4">
        <v>4</v>
      </c>
      <c r="J26" s="2"/>
    </row>
    <row r="27" spans="1:10" ht="20.100000000000001" customHeight="1">
      <c r="A27" s="4">
        <v>6</v>
      </c>
      <c r="B27" s="5" t="s">
        <v>66</v>
      </c>
      <c r="C27" s="4">
        <v>2</v>
      </c>
      <c r="D27" s="5" t="s">
        <v>66</v>
      </c>
      <c r="E27" s="5" t="s">
        <v>70</v>
      </c>
      <c r="F27" s="4" t="s">
        <v>71</v>
      </c>
      <c r="G27" s="4" t="s">
        <v>72</v>
      </c>
      <c r="H27" s="4">
        <v>11967</v>
      </c>
      <c r="I27" s="4">
        <v>4</v>
      </c>
      <c r="J27" s="2"/>
    </row>
    <row r="28" spans="1:10" ht="20.100000000000001" customHeight="1">
      <c r="A28" s="4">
        <v>6</v>
      </c>
      <c r="B28" s="5" t="s">
        <v>66</v>
      </c>
      <c r="C28" s="4">
        <v>2</v>
      </c>
      <c r="D28" s="5" t="s">
        <v>66</v>
      </c>
      <c r="E28" s="5" t="s">
        <v>74</v>
      </c>
      <c r="F28" s="4" t="s">
        <v>32</v>
      </c>
      <c r="G28" s="4" t="s">
        <v>75</v>
      </c>
      <c r="H28" s="4">
        <v>11968</v>
      </c>
      <c r="I28" s="4">
        <v>4</v>
      </c>
      <c r="J28" s="2"/>
    </row>
    <row r="29" spans="1:10" ht="20.100000000000001" customHeight="1">
      <c r="A29" s="4">
        <v>6</v>
      </c>
      <c r="B29" s="5" t="s">
        <v>66</v>
      </c>
      <c r="C29" s="4">
        <v>2</v>
      </c>
      <c r="D29" s="5" t="s">
        <v>66</v>
      </c>
      <c r="E29" s="5" t="s">
        <v>77</v>
      </c>
      <c r="F29" s="4" t="s">
        <v>23</v>
      </c>
      <c r="G29" s="4" t="s">
        <v>78</v>
      </c>
      <c r="H29" s="4">
        <v>11969</v>
      </c>
      <c r="I29" s="4">
        <v>4</v>
      </c>
      <c r="J29" s="2"/>
    </row>
    <row r="30" spans="1:10" ht="20.100000000000001" customHeight="1">
      <c r="A30" s="4">
        <v>6</v>
      </c>
      <c r="B30" s="5" t="s">
        <v>66</v>
      </c>
      <c r="C30" s="4">
        <v>2</v>
      </c>
      <c r="D30" s="5" t="s">
        <v>66</v>
      </c>
      <c r="E30" s="5" t="s">
        <v>79</v>
      </c>
      <c r="F30" s="4" t="s">
        <v>80</v>
      </c>
      <c r="G30" s="4" t="s">
        <v>81</v>
      </c>
      <c r="H30" s="4">
        <v>11970</v>
      </c>
      <c r="I30" s="4">
        <v>4</v>
      </c>
      <c r="J30" s="2"/>
    </row>
    <row r="31" spans="1:10" ht="20.100000000000001" customHeight="1">
      <c r="A31" s="4">
        <v>6</v>
      </c>
      <c r="B31" s="5" t="s">
        <v>66</v>
      </c>
      <c r="C31" s="4">
        <v>2</v>
      </c>
      <c r="D31" s="5" t="s">
        <v>66</v>
      </c>
      <c r="E31" s="5" t="s">
        <v>82</v>
      </c>
      <c r="F31" s="4" t="s">
        <v>83</v>
      </c>
      <c r="G31" s="4" t="s">
        <v>84</v>
      </c>
      <c r="H31" s="4">
        <v>11971</v>
      </c>
      <c r="I31" s="4">
        <v>4</v>
      </c>
      <c r="J31" s="2"/>
    </row>
    <row r="32" spans="1:10" ht="20.100000000000001" customHeight="1">
      <c r="A32" s="4">
        <v>6</v>
      </c>
      <c r="B32" s="5" t="s">
        <v>66</v>
      </c>
      <c r="C32" s="4">
        <v>2</v>
      </c>
      <c r="D32" s="5" t="s">
        <v>66</v>
      </c>
      <c r="E32" s="5" t="s">
        <v>85</v>
      </c>
      <c r="F32" s="4" t="s">
        <v>86</v>
      </c>
      <c r="G32" s="4" t="s">
        <v>87</v>
      </c>
      <c r="H32" s="4">
        <v>11972</v>
      </c>
      <c r="I32" s="4">
        <v>4</v>
      </c>
      <c r="J32" s="2"/>
    </row>
    <row r="33" spans="1:10" ht="20.100000000000001" customHeight="1">
      <c r="A33" s="4">
        <v>6</v>
      </c>
      <c r="B33" s="5" t="s">
        <v>66</v>
      </c>
      <c r="C33" s="4">
        <v>2</v>
      </c>
      <c r="D33" s="5" t="s">
        <v>66</v>
      </c>
      <c r="E33" s="5" t="s">
        <v>88</v>
      </c>
      <c r="F33" s="4" t="s">
        <v>44</v>
      </c>
      <c r="G33" s="4" t="s">
        <v>89</v>
      </c>
      <c r="H33" s="4">
        <v>11973</v>
      </c>
      <c r="I33" s="4">
        <v>4</v>
      </c>
      <c r="J33" s="2"/>
    </row>
  </sheetData>
  <autoFilter ref="A1:J33"/>
  <printOptions horizontalCentered="1"/>
  <pageMargins left="0.39370078740157483" right="0.19685039370078741" top="0.19685039370078741" bottom="0.19685039370078741" header="0.19685039370078741" footer="0.19685039370078741"/>
  <pageSetup paperSize="5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D15" sqref="D15"/>
    </sheetView>
  </sheetViews>
  <sheetFormatPr defaultRowHeight="15"/>
  <cols>
    <col min="1" max="1" width="9.85546875" bestFit="1" customWidth="1"/>
    <col min="2" max="3" width="19.85546875" bestFit="1" customWidth="1"/>
    <col min="4" max="4" width="35.28515625" bestFit="1" customWidth="1"/>
    <col min="5" max="5" width="10.85546875" customWidth="1"/>
    <col min="6" max="6" width="10.28515625" style="16" customWidth="1"/>
  </cols>
  <sheetData>
    <row r="1" spans="1:11" ht="30" customHeight="1">
      <c r="A1" s="43" t="s">
        <v>122</v>
      </c>
      <c r="B1" s="43"/>
      <c r="C1" s="43"/>
      <c r="D1" s="43"/>
      <c r="E1" s="43"/>
      <c r="F1" s="43"/>
      <c r="G1" s="36"/>
      <c r="H1" s="36"/>
      <c r="I1" s="36"/>
      <c r="J1" s="36"/>
      <c r="K1" s="36"/>
    </row>
    <row r="2" spans="1:11" s="11" customFormat="1" ht="30" customHeight="1">
      <c r="A2" s="38" t="s">
        <v>117</v>
      </c>
      <c r="B2" s="22" t="s">
        <v>14</v>
      </c>
      <c r="C2" s="39"/>
      <c r="D2" s="44" t="s">
        <v>203</v>
      </c>
      <c r="E2" s="45"/>
      <c r="F2" s="46"/>
    </row>
    <row r="3" spans="1:11" s="14" customFormat="1" ht="21" customHeight="1">
      <c r="A3" s="40"/>
      <c r="B3" s="20"/>
      <c r="C3" s="20"/>
      <c r="D3" s="44" t="s">
        <v>192</v>
      </c>
      <c r="E3" s="45"/>
      <c r="F3" s="46"/>
    </row>
    <row r="4" spans="1:11" ht="30" customHeight="1">
      <c r="A4" s="15" t="s">
        <v>119</v>
      </c>
      <c r="B4" s="15" t="s">
        <v>3</v>
      </c>
      <c r="C4" s="15" t="s">
        <v>5</v>
      </c>
      <c r="D4" s="15" t="s">
        <v>8</v>
      </c>
      <c r="E4" s="15" t="s">
        <v>9</v>
      </c>
      <c r="F4" s="37" t="s">
        <v>204</v>
      </c>
    </row>
    <row r="5" spans="1:11" ht="30" customHeight="1">
      <c r="A5" s="42">
        <v>1</v>
      </c>
      <c r="B5" s="18" t="s">
        <v>15</v>
      </c>
      <c r="C5" s="18" t="s">
        <v>16</v>
      </c>
      <c r="D5" s="18" t="s">
        <v>175</v>
      </c>
      <c r="E5" s="18" t="s">
        <v>62</v>
      </c>
      <c r="F5" s="31">
        <v>1</v>
      </c>
    </row>
    <row r="6" spans="1:11" ht="30" customHeight="1">
      <c r="A6" s="42"/>
      <c r="B6" s="18" t="s">
        <v>90</v>
      </c>
      <c r="C6" s="18" t="s">
        <v>90</v>
      </c>
      <c r="D6" s="18" t="s">
        <v>149</v>
      </c>
      <c r="E6" s="18" t="s">
        <v>150</v>
      </c>
      <c r="F6" s="31">
        <v>2</v>
      </c>
    </row>
    <row r="7" spans="1:11" ht="30" customHeight="1">
      <c r="A7" s="42"/>
      <c r="B7" s="18" t="s">
        <v>14</v>
      </c>
      <c r="C7" s="18" t="s">
        <v>14</v>
      </c>
      <c r="D7" s="18" t="s">
        <v>159</v>
      </c>
      <c r="E7" s="18" t="s">
        <v>86</v>
      </c>
      <c r="F7" s="31">
        <v>3</v>
      </c>
    </row>
    <row r="8" spans="1:11" ht="30" customHeight="1">
      <c r="A8" s="42">
        <v>2</v>
      </c>
      <c r="B8" s="18" t="s">
        <v>66</v>
      </c>
      <c r="C8" s="18" t="s">
        <v>66</v>
      </c>
      <c r="D8" s="18" t="s">
        <v>190</v>
      </c>
      <c r="E8" s="18" t="s">
        <v>26</v>
      </c>
      <c r="F8" s="31">
        <v>1</v>
      </c>
    </row>
    <row r="9" spans="1:11" ht="30" customHeight="1">
      <c r="A9" s="42"/>
      <c r="B9" s="18" t="s">
        <v>66</v>
      </c>
      <c r="C9" s="18" t="s">
        <v>66</v>
      </c>
      <c r="D9" s="18" t="s">
        <v>181</v>
      </c>
      <c r="E9" s="18" t="s">
        <v>170</v>
      </c>
      <c r="F9" s="31">
        <v>2</v>
      </c>
    </row>
  </sheetData>
  <mergeCells count="5">
    <mergeCell ref="A5:A7"/>
    <mergeCell ref="A8:A9"/>
    <mergeCell ref="A1:F1"/>
    <mergeCell ref="D2:F2"/>
    <mergeCell ref="D3:F3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F5" sqref="F5:F9"/>
    </sheetView>
  </sheetViews>
  <sheetFormatPr defaultRowHeight="15"/>
  <cols>
    <col min="1" max="1" width="9.85546875" bestFit="1" customWidth="1"/>
    <col min="2" max="3" width="19.85546875" bestFit="1" customWidth="1"/>
    <col min="4" max="4" width="35.28515625" bestFit="1" customWidth="1"/>
    <col min="5" max="5" width="11.140625" customWidth="1"/>
    <col min="6" max="6" width="10.28515625" style="16" customWidth="1"/>
  </cols>
  <sheetData>
    <row r="1" spans="1:6" ht="30" customHeight="1">
      <c r="A1" s="43" t="s">
        <v>122</v>
      </c>
      <c r="B1" s="43"/>
      <c r="C1" s="43"/>
      <c r="D1" s="43"/>
      <c r="E1" s="43"/>
      <c r="F1" s="43"/>
    </row>
    <row r="2" spans="1:6" s="11" customFormat="1" ht="30" customHeight="1">
      <c r="A2" s="38" t="s">
        <v>117</v>
      </c>
      <c r="B2" s="22" t="s">
        <v>14</v>
      </c>
      <c r="C2" s="39"/>
      <c r="D2" s="44" t="s">
        <v>205</v>
      </c>
      <c r="E2" s="45"/>
      <c r="F2" s="46"/>
    </row>
    <row r="3" spans="1:6" s="14" customFormat="1" ht="30" customHeight="1">
      <c r="A3" s="40"/>
      <c r="B3" s="20"/>
      <c r="C3" s="20"/>
      <c r="D3" s="44" t="s">
        <v>192</v>
      </c>
      <c r="E3" s="45"/>
      <c r="F3" s="46"/>
    </row>
    <row r="4" spans="1:6" ht="30" customHeight="1">
      <c r="A4" s="15" t="s">
        <v>119</v>
      </c>
      <c r="B4" s="15" t="s">
        <v>3</v>
      </c>
      <c r="C4" s="15" t="s">
        <v>5</v>
      </c>
      <c r="D4" s="15" t="s">
        <v>8</v>
      </c>
      <c r="E4" s="15" t="s">
        <v>9</v>
      </c>
      <c r="F4" s="37" t="s">
        <v>204</v>
      </c>
    </row>
    <row r="5" spans="1:6" ht="30" customHeight="1">
      <c r="A5" s="42">
        <v>1</v>
      </c>
      <c r="B5" s="18" t="s">
        <v>90</v>
      </c>
      <c r="C5" s="18" t="s">
        <v>90</v>
      </c>
      <c r="D5" s="18" t="s">
        <v>143</v>
      </c>
      <c r="E5" s="18" t="s">
        <v>144</v>
      </c>
      <c r="F5" s="31">
        <v>4</v>
      </c>
    </row>
    <row r="6" spans="1:6" ht="30" customHeight="1">
      <c r="A6" s="42"/>
      <c r="B6" s="18" t="s">
        <v>15</v>
      </c>
      <c r="C6" s="18" t="s">
        <v>16</v>
      </c>
      <c r="D6" s="18" t="s">
        <v>167</v>
      </c>
      <c r="E6" s="18" t="s">
        <v>168</v>
      </c>
      <c r="F6" s="31">
        <v>5</v>
      </c>
    </row>
    <row r="7" spans="1:6" ht="30" customHeight="1">
      <c r="A7" s="42"/>
      <c r="B7" s="18" t="s">
        <v>15</v>
      </c>
      <c r="C7" s="18" t="s">
        <v>16</v>
      </c>
      <c r="D7" s="18" t="s">
        <v>173</v>
      </c>
      <c r="E7" s="18" t="s">
        <v>174</v>
      </c>
      <c r="F7" s="31">
        <v>6</v>
      </c>
    </row>
    <row r="8" spans="1:6" ht="30" customHeight="1">
      <c r="A8" s="42">
        <v>2</v>
      </c>
      <c r="B8" s="18" t="s">
        <v>66</v>
      </c>
      <c r="C8" s="18" t="s">
        <v>66</v>
      </c>
      <c r="D8" s="18" t="s">
        <v>191</v>
      </c>
      <c r="E8" s="18" t="s">
        <v>39</v>
      </c>
      <c r="F8" s="31">
        <v>3</v>
      </c>
    </row>
    <row r="9" spans="1:6" ht="30" customHeight="1">
      <c r="A9" s="42"/>
      <c r="B9" s="18" t="s">
        <v>66</v>
      </c>
      <c r="C9" s="18" t="s">
        <v>66</v>
      </c>
      <c r="D9" s="18" t="s">
        <v>182</v>
      </c>
      <c r="E9" s="18" t="s">
        <v>183</v>
      </c>
      <c r="F9" s="31">
        <v>4</v>
      </c>
    </row>
  </sheetData>
  <mergeCells count="5">
    <mergeCell ref="A5:A7"/>
    <mergeCell ref="A8:A9"/>
    <mergeCell ref="A1:F1"/>
    <mergeCell ref="D2:F2"/>
    <mergeCell ref="D3:F3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>
      <selection activeCell="F11" sqref="F11"/>
    </sheetView>
  </sheetViews>
  <sheetFormatPr defaultRowHeight="15"/>
  <cols>
    <col min="1" max="1" width="9.85546875" bestFit="1" customWidth="1"/>
    <col min="2" max="2" width="15.140625" customWidth="1"/>
    <col min="3" max="3" width="19.85546875" bestFit="1" customWidth="1"/>
    <col min="4" max="4" width="13.5703125" bestFit="1" customWidth="1"/>
    <col min="5" max="5" width="19.85546875" bestFit="1" customWidth="1"/>
    <col min="6" max="6" width="33.28515625" customWidth="1"/>
    <col min="7" max="7" width="11.7109375" customWidth="1"/>
    <col min="8" max="8" width="10.7109375" style="16" customWidth="1"/>
    <col min="9" max="9" width="10.28515625" style="16" customWidth="1"/>
  </cols>
  <sheetData>
    <row r="1" spans="1:11">
      <c r="A1" s="50" t="s">
        <v>122</v>
      </c>
      <c r="B1" s="50"/>
      <c r="C1" s="50"/>
      <c r="D1" s="50"/>
      <c r="E1" s="50"/>
      <c r="F1" s="50"/>
      <c r="G1" s="50"/>
      <c r="H1" s="50"/>
      <c r="I1" s="50"/>
      <c r="J1" s="36"/>
      <c r="K1" s="36"/>
    </row>
    <row r="2" spans="1:11" s="11" customFormat="1" ht="15.75">
      <c r="A2" s="7" t="s">
        <v>117</v>
      </c>
      <c r="B2" s="8" t="s">
        <v>136</v>
      </c>
      <c r="C2" s="10"/>
      <c r="D2" s="9"/>
      <c r="E2" s="9"/>
      <c r="F2" s="41" t="s">
        <v>118</v>
      </c>
      <c r="G2" s="9"/>
      <c r="H2" s="9"/>
      <c r="I2" s="9"/>
    </row>
    <row r="3" spans="1:11" s="14" customFormat="1" ht="15.75">
      <c r="A3" s="12"/>
      <c r="B3" s="10"/>
      <c r="C3" s="10"/>
      <c r="D3" s="10"/>
      <c r="E3" s="10"/>
      <c r="F3" s="41" t="s">
        <v>192</v>
      </c>
      <c r="G3" s="10"/>
      <c r="H3" s="10"/>
      <c r="I3" s="10"/>
    </row>
    <row r="4" spans="1:11" ht="57" customHeight="1">
      <c r="A4" s="59" t="s">
        <v>119</v>
      </c>
      <c r="B4" s="59" t="s">
        <v>2</v>
      </c>
      <c r="C4" s="59" t="s">
        <v>3</v>
      </c>
      <c r="D4" s="59" t="s">
        <v>4</v>
      </c>
      <c r="E4" s="59" t="s">
        <v>5</v>
      </c>
      <c r="F4" s="59" t="s">
        <v>8</v>
      </c>
      <c r="G4" s="59" t="s">
        <v>9</v>
      </c>
      <c r="H4" s="60" t="s">
        <v>120</v>
      </c>
      <c r="I4" s="60" t="s">
        <v>121</v>
      </c>
    </row>
    <row r="5" spans="1:11">
      <c r="A5" s="47">
        <v>1</v>
      </c>
      <c r="B5" s="29" t="s">
        <v>142</v>
      </c>
      <c r="C5" s="29" t="s">
        <v>90</v>
      </c>
      <c r="D5" s="29" t="s">
        <v>50</v>
      </c>
      <c r="E5" s="29" t="s">
        <v>90</v>
      </c>
      <c r="F5" s="29" t="s">
        <v>143</v>
      </c>
      <c r="G5" s="29" t="s">
        <v>144</v>
      </c>
      <c r="H5" s="28">
        <v>1</v>
      </c>
      <c r="I5" s="33">
        <v>1</v>
      </c>
    </row>
    <row r="6" spans="1:11">
      <c r="A6" s="48"/>
      <c r="B6" s="29" t="s">
        <v>142</v>
      </c>
      <c r="C6" s="29" t="s">
        <v>90</v>
      </c>
      <c r="D6" s="29" t="s">
        <v>50</v>
      </c>
      <c r="E6" s="29" t="s">
        <v>90</v>
      </c>
      <c r="F6" s="29" t="s">
        <v>145</v>
      </c>
      <c r="G6" s="29" t="s">
        <v>146</v>
      </c>
      <c r="H6" s="28">
        <v>2</v>
      </c>
      <c r="I6" s="30">
        <v>2</v>
      </c>
    </row>
    <row r="7" spans="1:11">
      <c r="A7" s="48"/>
      <c r="B7" s="29" t="s">
        <v>142</v>
      </c>
      <c r="C7" s="29" t="s">
        <v>90</v>
      </c>
      <c r="D7" s="29" t="s">
        <v>50</v>
      </c>
      <c r="E7" s="29" t="s">
        <v>90</v>
      </c>
      <c r="F7" s="29" t="s">
        <v>147</v>
      </c>
      <c r="G7" s="29" t="s">
        <v>148</v>
      </c>
      <c r="H7" s="28">
        <v>3</v>
      </c>
      <c r="I7" s="31">
        <v>3</v>
      </c>
    </row>
    <row r="8" spans="1:11">
      <c r="A8" s="48"/>
      <c r="B8" s="29" t="s">
        <v>142</v>
      </c>
      <c r="C8" s="29" t="s">
        <v>90</v>
      </c>
      <c r="D8" s="29" t="s">
        <v>50</v>
      </c>
      <c r="E8" s="29" t="s">
        <v>90</v>
      </c>
      <c r="F8" s="29" t="s">
        <v>149</v>
      </c>
      <c r="G8" s="29" t="s">
        <v>150</v>
      </c>
      <c r="H8" s="28">
        <v>4</v>
      </c>
      <c r="I8" s="32">
        <v>4</v>
      </c>
    </row>
    <row r="9" spans="1:11">
      <c r="A9" s="48"/>
      <c r="B9" s="29" t="s">
        <v>142</v>
      </c>
      <c r="C9" s="29" t="s">
        <v>90</v>
      </c>
      <c r="D9" s="29" t="s">
        <v>50</v>
      </c>
      <c r="E9" s="29" t="s">
        <v>90</v>
      </c>
      <c r="F9" s="29" t="s">
        <v>151</v>
      </c>
      <c r="G9" s="29" t="s">
        <v>152</v>
      </c>
      <c r="H9" s="28">
        <v>5</v>
      </c>
      <c r="I9" s="31">
        <v>5</v>
      </c>
    </row>
    <row r="10" spans="1:11">
      <c r="A10" s="48"/>
      <c r="B10" s="29" t="s">
        <v>142</v>
      </c>
      <c r="C10" s="29" t="s">
        <v>90</v>
      </c>
      <c r="D10" s="29" t="s">
        <v>50</v>
      </c>
      <c r="E10" s="29" t="s">
        <v>90</v>
      </c>
      <c r="F10" s="29" t="s">
        <v>153</v>
      </c>
      <c r="G10" s="29" t="s">
        <v>154</v>
      </c>
      <c r="H10" s="28">
        <v>6</v>
      </c>
      <c r="I10" s="30">
        <v>6</v>
      </c>
    </row>
    <row r="11" spans="1:11">
      <c r="A11" s="48"/>
      <c r="B11" s="29" t="s">
        <v>142</v>
      </c>
      <c r="C11" s="29" t="s">
        <v>90</v>
      </c>
      <c r="D11" s="29" t="s">
        <v>50</v>
      </c>
      <c r="E11" s="29" t="s">
        <v>90</v>
      </c>
      <c r="F11" s="29" t="s">
        <v>155</v>
      </c>
      <c r="G11" s="29" t="s">
        <v>156</v>
      </c>
      <c r="H11" s="28">
        <v>7</v>
      </c>
      <c r="I11" s="31">
        <v>7</v>
      </c>
    </row>
    <row r="12" spans="1:11">
      <c r="A12" s="48"/>
      <c r="B12" s="29" t="s">
        <v>142</v>
      </c>
      <c r="C12" s="29" t="s">
        <v>90</v>
      </c>
      <c r="D12" s="29" t="s">
        <v>50</v>
      </c>
      <c r="E12" s="29" t="s">
        <v>90</v>
      </c>
      <c r="F12" s="29" t="s">
        <v>157</v>
      </c>
      <c r="G12" s="29" t="s">
        <v>158</v>
      </c>
      <c r="H12" s="28">
        <v>8</v>
      </c>
      <c r="I12" s="30">
        <v>8</v>
      </c>
    </row>
    <row r="13" spans="1:11">
      <c r="A13" s="48"/>
      <c r="B13" s="29" t="s">
        <v>86</v>
      </c>
      <c r="C13" s="29" t="s">
        <v>14</v>
      </c>
      <c r="D13" s="29" t="s">
        <v>39</v>
      </c>
      <c r="E13" s="29" t="s">
        <v>14</v>
      </c>
      <c r="F13" s="29" t="s">
        <v>159</v>
      </c>
      <c r="G13" s="29" t="s">
        <v>86</v>
      </c>
      <c r="H13" s="28">
        <v>1</v>
      </c>
      <c r="I13" s="32">
        <v>9</v>
      </c>
    </row>
    <row r="14" spans="1:11">
      <c r="A14" s="48"/>
      <c r="B14" s="29" t="s">
        <v>86</v>
      </c>
      <c r="C14" s="29" t="s">
        <v>14</v>
      </c>
      <c r="D14" s="29" t="s">
        <v>39</v>
      </c>
      <c r="E14" s="29" t="s">
        <v>14</v>
      </c>
      <c r="F14" s="29" t="s">
        <v>160</v>
      </c>
      <c r="G14" s="29" t="s">
        <v>39</v>
      </c>
      <c r="H14" s="28">
        <v>2</v>
      </c>
      <c r="I14" s="30">
        <v>10</v>
      </c>
    </row>
    <row r="15" spans="1:11">
      <c r="A15" s="48"/>
      <c r="B15" s="29" t="s">
        <v>86</v>
      </c>
      <c r="C15" s="29" t="s">
        <v>14</v>
      </c>
      <c r="D15" s="29" t="s">
        <v>39</v>
      </c>
      <c r="E15" s="29" t="s">
        <v>14</v>
      </c>
      <c r="F15" s="29" t="s">
        <v>161</v>
      </c>
      <c r="G15" s="29" t="s">
        <v>162</v>
      </c>
      <c r="H15" s="28">
        <v>3</v>
      </c>
      <c r="I15" s="31">
        <v>11</v>
      </c>
    </row>
    <row r="16" spans="1:11">
      <c r="A16" s="48"/>
      <c r="B16" s="29" t="s">
        <v>86</v>
      </c>
      <c r="C16" s="29" t="s">
        <v>14</v>
      </c>
      <c r="D16" s="29" t="s">
        <v>39</v>
      </c>
      <c r="E16" s="29" t="s">
        <v>14</v>
      </c>
      <c r="F16" s="29" t="s">
        <v>163</v>
      </c>
      <c r="G16" s="29" t="s">
        <v>164</v>
      </c>
      <c r="H16" s="28">
        <v>4</v>
      </c>
      <c r="I16" s="30">
        <v>12</v>
      </c>
    </row>
    <row r="17" spans="1:9">
      <c r="A17" s="48"/>
      <c r="B17" s="29" t="s">
        <v>86</v>
      </c>
      <c r="C17" s="29" t="s">
        <v>14</v>
      </c>
      <c r="D17" s="29" t="s">
        <v>39</v>
      </c>
      <c r="E17" s="29" t="s">
        <v>14</v>
      </c>
      <c r="F17" s="29" t="s">
        <v>165</v>
      </c>
      <c r="G17" s="29" t="s">
        <v>166</v>
      </c>
      <c r="H17" s="28">
        <v>5</v>
      </c>
      <c r="I17" s="31">
        <v>13</v>
      </c>
    </row>
    <row r="18" spans="1:9">
      <c r="A18" s="48"/>
      <c r="B18" s="29" t="s">
        <v>58</v>
      </c>
      <c r="C18" s="29" t="s">
        <v>15</v>
      </c>
      <c r="D18" s="29" t="s">
        <v>86</v>
      </c>
      <c r="E18" s="29" t="s">
        <v>16</v>
      </c>
      <c r="F18" s="29" t="s">
        <v>167</v>
      </c>
      <c r="G18" s="29" t="s">
        <v>168</v>
      </c>
      <c r="H18" s="28">
        <v>1</v>
      </c>
      <c r="I18" s="33">
        <v>14</v>
      </c>
    </row>
    <row r="19" spans="1:9">
      <c r="A19" s="48"/>
      <c r="B19" s="29" t="s">
        <v>58</v>
      </c>
      <c r="C19" s="29" t="s">
        <v>15</v>
      </c>
      <c r="D19" s="29" t="s">
        <v>86</v>
      </c>
      <c r="E19" s="29" t="s">
        <v>16</v>
      </c>
      <c r="F19" s="29" t="s">
        <v>169</v>
      </c>
      <c r="G19" s="29" t="s">
        <v>170</v>
      </c>
      <c r="H19" s="28">
        <v>2</v>
      </c>
      <c r="I19" s="31">
        <v>15</v>
      </c>
    </row>
    <row r="20" spans="1:9">
      <c r="A20" s="48"/>
      <c r="B20" s="29" t="s">
        <v>58</v>
      </c>
      <c r="C20" s="29" t="s">
        <v>15</v>
      </c>
      <c r="D20" s="29" t="s">
        <v>86</v>
      </c>
      <c r="E20" s="29" t="s">
        <v>16</v>
      </c>
      <c r="F20" s="29" t="s">
        <v>171</v>
      </c>
      <c r="G20" s="29" t="s">
        <v>80</v>
      </c>
      <c r="H20" s="28">
        <v>3</v>
      </c>
      <c r="I20" s="30">
        <v>16</v>
      </c>
    </row>
    <row r="21" spans="1:9">
      <c r="A21" s="48"/>
      <c r="B21" s="29" t="s">
        <v>58</v>
      </c>
      <c r="C21" s="29" t="s">
        <v>15</v>
      </c>
      <c r="D21" s="29" t="s">
        <v>86</v>
      </c>
      <c r="E21" s="29" t="s">
        <v>16</v>
      </c>
      <c r="F21" s="29" t="s">
        <v>15</v>
      </c>
      <c r="G21" s="29" t="s">
        <v>172</v>
      </c>
      <c r="H21" s="28">
        <v>4</v>
      </c>
      <c r="I21" s="31">
        <v>17</v>
      </c>
    </row>
    <row r="22" spans="1:9">
      <c r="A22" s="48"/>
      <c r="B22" s="29" t="s">
        <v>58</v>
      </c>
      <c r="C22" s="29" t="s">
        <v>15</v>
      </c>
      <c r="D22" s="29" t="s">
        <v>86</v>
      </c>
      <c r="E22" s="29" t="s">
        <v>16</v>
      </c>
      <c r="F22" s="29" t="s">
        <v>173</v>
      </c>
      <c r="G22" s="29" t="s">
        <v>174</v>
      </c>
      <c r="H22" s="28">
        <v>5</v>
      </c>
      <c r="I22" s="33">
        <v>18</v>
      </c>
    </row>
    <row r="23" spans="1:9">
      <c r="A23" s="48"/>
      <c r="B23" s="29" t="s">
        <v>58</v>
      </c>
      <c r="C23" s="29" t="s">
        <v>15</v>
      </c>
      <c r="D23" s="29" t="s">
        <v>86</v>
      </c>
      <c r="E23" s="29" t="s">
        <v>16</v>
      </c>
      <c r="F23" s="29" t="s">
        <v>175</v>
      </c>
      <c r="G23" s="29" t="s">
        <v>62</v>
      </c>
      <c r="H23" s="28">
        <v>6</v>
      </c>
      <c r="I23" s="32">
        <v>19</v>
      </c>
    </row>
    <row r="24" spans="1:9">
      <c r="A24" s="48"/>
      <c r="B24" s="29" t="s">
        <v>58</v>
      </c>
      <c r="C24" s="29" t="s">
        <v>15</v>
      </c>
      <c r="D24" s="29" t="s">
        <v>86</v>
      </c>
      <c r="E24" s="29" t="s">
        <v>16</v>
      </c>
      <c r="F24" s="29" t="s">
        <v>176</v>
      </c>
      <c r="G24" s="29" t="s">
        <v>177</v>
      </c>
      <c r="H24" s="28">
        <v>7</v>
      </c>
      <c r="I24" s="30">
        <v>20</v>
      </c>
    </row>
    <row r="25" spans="1:9">
      <c r="A25" s="48"/>
      <c r="B25" s="29" t="s">
        <v>58</v>
      </c>
      <c r="C25" s="29" t="s">
        <v>15</v>
      </c>
      <c r="D25" s="29" t="s">
        <v>86</v>
      </c>
      <c r="E25" s="29" t="s">
        <v>16</v>
      </c>
      <c r="F25" s="29" t="s">
        <v>178</v>
      </c>
      <c r="G25" s="29" t="s">
        <v>166</v>
      </c>
      <c r="H25" s="28">
        <v>8</v>
      </c>
      <c r="I25" s="31">
        <v>21</v>
      </c>
    </row>
    <row r="26" spans="1:9">
      <c r="A26" s="48"/>
      <c r="B26" s="29" t="s">
        <v>58</v>
      </c>
      <c r="C26" s="29" t="s">
        <v>15</v>
      </c>
      <c r="D26" s="29" t="s">
        <v>86</v>
      </c>
      <c r="E26" s="29" t="s">
        <v>16</v>
      </c>
      <c r="F26" s="29" t="s">
        <v>179</v>
      </c>
      <c r="G26" s="29" t="s">
        <v>180</v>
      </c>
      <c r="H26" s="28">
        <v>9</v>
      </c>
      <c r="I26" s="30">
        <v>22</v>
      </c>
    </row>
    <row r="27" spans="1:9">
      <c r="A27" s="47">
        <v>2</v>
      </c>
      <c r="B27" s="29" t="s">
        <v>174</v>
      </c>
      <c r="C27" s="29" t="s">
        <v>66</v>
      </c>
      <c r="D27" s="29" t="s">
        <v>58</v>
      </c>
      <c r="E27" s="29" t="s">
        <v>66</v>
      </c>
      <c r="F27" s="29" t="s">
        <v>181</v>
      </c>
      <c r="G27" s="29" t="s">
        <v>170</v>
      </c>
      <c r="H27" s="28">
        <v>1</v>
      </c>
      <c r="I27" s="32">
        <v>1</v>
      </c>
    </row>
    <row r="28" spans="1:9">
      <c r="A28" s="48"/>
      <c r="B28" s="29" t="s">
        <v>174</v>
      </c>
      <c r="C28" s="29" t="s">
        <v>66</v>
      </c>
      <c r="D28" s="29" t="s">
        <v>58</v>
      </c>
      <c r="E28" s="29" t="s">
        <v>66</v>
      </c>
      <c r="F28" s="29" t="s">
        <v>182</v>
      </c>
      <c r="G28" s="29" t="s">
        <v>183</v>
      </c>
      <c r="H28" s="28">
        <v>2</v>
      </c>
      <c r="I28" s="33">
        <v>2</v>
      </c>
    </row>
    <row r="29" spans="1:9">
      <c r="A29" s="48"/>
      <c r="B29" s="29" t="s">
        <v>174</v>
      </c>
      <c r="C29" s="29" t="s">
        <v>66</v>
      </c>
      <c r="D29" s="29" t="s">
        <v>58</v>
      </c>
      <c r="E29" s="29" t="s">
        <v>66</v>
      </c>
      <c r="F29" s="29" t="s">
        <v>184</v>
      </c>
      <c r="G29" s="29" t="s">
        <v>185</v>
      </c>
      <c r="H29" s="28">
        <v>3</v>
      </c>
      <c r="I29" s="31">
        <v>3</v>
      </c>
    </row>
    <row r="30" spans="1:9">
      <c r="A30" s="48"/>
      <c r="B30" s="29" t="s">
        <v>174</v>
      </c>
      <c r="C30" s="29" t="s">
        <v>66</v>
      </c>
      <c r="D30" s="29" t="s">
        <v>58</v>
      </c>
      <c r="E30" s="29" t="s">
        <v>66</v>
      </c>
      <c r="F30" s="29" t="s">
        <v>186</v>
      </c>
      <c r="G30" s="29" t="s">
        <v>177</v>
      </c>
      <c r="H30" s="28">
        <v>4</v>
      </c>
      <c r="I30" s="30">
        <v>4</v>
      </c>
    </row>
    <row r="31" spans="1:9">
      <c r="A31" s="48"/>
      <c r="B31" s="29" t="s">
        <v>174</v>
      </c>
      <c r="C31" s="29" t="s">
        <v>66</v>
      </c>
      <c r="D31" s="29" t="s">
        <v>58</v>
      </c>
      <c r="E31" s="29" t="s">
        <v>66</v>
      </c>
      <c r="F31" s="29" t="s">
        <v>187</v>
      </c>
      <c r="G31" s="29" t="s">
        <v>29</v>
      </c>
      <c r="H31" s="28">
        <v>5</v>
      </c>
      <c r="I31" s="31">
        <v>5</v>
      </c>
    </row>
    <row r="32" spans="1:9">
      <c r="A32" s="48"/>
      <c r="B32" s="29" t="s">
        <v>174</v>
      </c>
      <c r="C32" s="29" t="s">
        <v>66</v>
      </c>
      <c r="D32" s="29" t="s">
        <v>58</v>
      </c>
      <c r="E32" s="29" t="s">
        <v>66</v>
      </c>
      <c r="F32" s="29" t="s">
        <v>188</v>
      </c>
      <c r="G32" s="29" t="s">
        <v>189</v>
      </c>
      <c r="H32" s="28">
        <v>6</v>
      </c>
      <c r="I32" s="30">
        <v>6</v>
      </c>
    </row>
    <row r="33" spans="1:9">
      <c r="A33" s="48"/>
      <c r="B33" s="29" t="s">
        <v>174</v>
      </c>
      <c r="C33" s="29" t="s">
        <v>66</v>
      </c>
      <c r="D33" s="29" t="s">
        <v>58</v>
      </c>
      <c r="E33" s="29" t="s">
        <v>66</v>
      </c>
      <c r="F33" s="29" t="s">
        <v>190</v>
      </c>
      <c r="G33" s="29" t="s">
        <v>26</v>
      </c>
      <c r="H33" s="28">
        <v>7</v>
      </c>
      <c r="I33" s="32">
        <v>7</v>
      </c>
    </row>
    <row r="34" spans="1:9">
      <c r="A34" s="49"/>
      <c r="B34" s="29" t="s">
        <v>174</v>
      </c>
      <c r="C34" s="29" t="s">
        <v>66</v>
      </c>
      <c r="D34" s="29" t="s">
        <v>58</v>
      </c>
      <c r="E34" s="29" t="s">
        <v>66</v>
      </c>
      <c r="F34" s="29" t="s">
        <v>191</v>
      </c>
      <c r="G34" s="29" t="s">
        <v>39</v>
      </c>
      <c r="H34" s="28">
        <v>8</v>
      </c>
      <c r="I34" s="33">
        <v>8</v>
      </c>
    </row>
  </sheetData>
  <mergeCells count="3">
    <mergeCell ref="A5:A26"/>
    <mergeCell ref="A27:A34"/>
    <mergeCell ref="A1:I1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selection sqref="A1:K1"/>
    </sheetView>
  </sheetViews>
  <sheetFormatPr defaultColWidth="20.7109375" defaultRowHeight="24.95" customHeight="1"/>
  <cols>
    <col min="1" max="1" width="7.85546875" style="27" customWidth="1"/>
    <col min="2" max="2" width="19.42578125" style="13" customWidth="1"/>
    <col min="3" max="3" width="16.85546875" style="13" customWidth="1"/>
    <col min="4" max="4" width="13" style="10" customWidth="1"/>
    <col min="5" max="5" width="14" style="10" customWidth="1"/>
    <col min="6" max="6" width="8.85546875" style="10" customWidth="1"/>
    <col min="7" max="7" width="6.7109375" style="10" customWidth="1"/>
    <col min="8" max="8" width="9" style="10" customWidth="1"/>
    <col min="9" max="9" width="7.140625" style="10" customWidth="1"/>
    <col min="10" max="10" width="8" style="10" customWidth="1"/>
    <col min="11" max="11" width="8.7109375" style="10" customWidth="1"/>
    <col min="12" max="16384" width="20.7109375" style="14"/>
  </cols>
  <sheetData>
    <row r="1" spans="1:12" ht="24.95" customHeight="1">
      <c r="A1" s="50" t="s">
        <v>122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2" ht="24.95" customHeight="1">
      <c r="A2" s="50" t="s">
        <v>123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2" s="11" customFormat="1" ht="24.95" customHeight="1">
      <c r="A3" s="7" t="s">
        <v>117</v>
      </c>
      <c r="B3" s="8" t="s">
        <v>136</v>
      </c>
      <c r="C3" s="34"/>
      <c r="D3" s="35"/>
      <c r="E3" s="35"/>
      <c r="F3" s="34"/>
      <c r="G3" s="55" t="s">
        <v>118</v>
      </c>
      <c r="H3" s="55"/>
      <c r="I3" s="55"/>
      <c r="J3" s="55"/>
      <c r="K3" s="55"/>
    </row>
    <row r="4" spans="1:12" ht="24.95" customHeight="1">
      <c r="A4" s="12"/>
      <c r="B4" s="36"/>
      <c r="C4" s="36"/>
      <c r="D4" s="35"/>
      <c r="E4" s="35"/>
      <c r="F4" s="35"/>
      <c r="G4" s="35"/>
      <c r="H4" s="35" t="s">
        <v>192</v>
      </c>
      <c r="I4" s="35"/>
      <c r="J4" s="35"/>
      <c r="K4" s="35"/>
    </row>
    <row r="5" spans="1:12" ht="63.75" customHeight="1">
      <c r="A5" s="56" t="s">
        <v>124</v>
      </c>
      <c r="B5" s="54" t="s">
        <v>125</v>
      </c>
      <c r="C5" s="54" t="s">
        <v>126</v>
      </c>
      <c r="D5" s="54" t="s">
        <v>127</v>
      </c>
      <c r="E5" s="57" t="s">
        <v>128</v>
      </c>
      <c r="F5" s="54" t="s">
        <v>129</v>
      </c>
      <c r="G5" s="54"/>
      <c r="H5" s="54" t="s">
        <v>130</v>
      </c>
      <c r="I5" s="54"/>
      <c r="J5" s="54" t="s">
        <v>131</v>
      </c>
      <c r="K5" s="54"/>
    </row>
    <row r="6" spans="1:12" ht="35.25" customHeight="1">
      <c r="A6" s="56"/>
      <c r="B6" s="54"/>
      <c r="C6" s="54"/>
      <c r="D6" s="54"/>
      <c r="E6" s="58"/>
      <c r="F6" s="17" t="s">
        <v>132</v>
      </c>
      <c r="G6" s="17" t="s">
        <v>133</v>
      </c>
      <c r="H6" s="17" t="s">
        <v>132</v>
      </c>
      <c r="I6" s="17" t="s">
        <v>133</v>
      </c>
      <c r="J6" s="17" t="s">
        <v>132</v>
      </c>
      <c r="K6" s="17" t="s">
        <v>133</v>
      </c>
    </row>
    <row r="7" spans="1:12" ht="30" customHeight="1">
      <c r="A7" s="51">
        <v>1</v>
      </c>
      <c r="B7" s="18" t="s">
        <v>138</v>
      </c>
      <c r="C7" s="18" t="s">
        <v>138</v>
      </c>
      <c r="D7" s="19">
        <v>8</v>
      </c>
      <c r="E7" s="19">
        <f>D7</f>
        <v>8</v>
      </c>
      <c r="F7" s="20"/>
      <c r="G7" s="20"/>
      <c r="H7" s="20"/>
      <c r="I7" s="20"/>
      <c r="J7" s="20" t="s">
        <v>193</v>
      </c>
      <c r="K7" s="20" t="s">
        <v>196</v>
      </c>
      <c r="L7" s="21"/>
    </row>
    <row r="8" spans="1:12" ht="30" customHeight="1">
      <c r="A8" s="52"/>
      <c r="B8" s="18" t="s">
        <v>139</v>
      </c>
      <c r="C8" s="18" t="s">
        <v>140</v>
      </c>
      <c r="D8" s="20">
        <v>9</v>
      </c>
      <c r="E8" s="20">
        <f>D8+E7</f>
        <v>17</v>
      </c>
      <c r="F8" s="20"/>
      <c r="G8" s="20"/>
      <c r="H8" s="20"/>
      <c r="I8" s="20"/>
      <c r="J8" s="20" t="s">
        <v>194</v>
      </c>
      <c r="K8" s="20" t="s">
        <v>197</v>
      </c>
      <c r="L8" s="21"/>
    </row>
    <row r="9" spans="1:12" ht="28.5" customHeight="1">
      <c r="A9" s="52"/>
      <c r="B9" s="18" t="s">
        <v>14</v>
      </c>
      <c r="C9" s="18" t="s">
        <v>14</v>
      </c>
      <c r="D9" s="20">
        <v>5</v>
      </c>
      <c r="E9" s="20">
        <f>D9+E8</f>
        <v>22</v>
      </c>
      <c r="F9" s="22"/>
      <c r="G9" s="22"/>
      <c r="H9" s="20"/>
      <c r="I9" s="20"/>
      <c r="J9" s="20" t="s">
        <v>195</v>
      </c>
      <c r="K9" s="20" t="s">
        <v>198</v>
      </c>
      <c r="L9" s="21"/>
    </row>
    <row r="10" spans="1:12" ht="28.5" customHeight="1">
      <c r="A10" s="53"/>
      <c r="B10" s="23" t="s">
        <v>134</v>
      </c>
      <c r="C10" s="18"/>
      <c r="D10" s="24">
        <f>SUM(D7:D9)</f>
        <v>22</v>
      </c>
      <c r="E10" s="24"/>
      <c r="F10" s="22">
        <v>3</v>
      </c>
      <c r="G10" s="22">
        <v>3</v>
      </c>
      <c r="H10" s="22">
        <v>19</v>
      </c>
      <c r="I10" s="22">
        <v>19</v>
      </c>
      <c r="J10" s="20"/>
      <c r="K10" s="20"/>
      <c r="L10" s="21"/>
    </row>
    <row r="11" spans="1:12" ht="24.95" customHeight="1">
      <c r="A11" s="51">
        <v>2</v>
      </c>
      <c r="B11" s="18" t="s">
        <v>141</v>
      </c>
      <c r="C11" s="18" t="s">
        <v>141</v>
      </c>
      <c r="D11" s="20">
        <v>8</v>
      </c>
      <c r="E11" s="20">
        <f>D11</f>
        <v>8</v>
      </c>
      <c r="F11" s="20"/>
      <c r="G11" s="20"/>
      <c r="H11" s="22"/>
      <c r="I11" s="22"/>
      <c r="J11" s="20" t="s">
        <v>199</v>
      </c>
      <c r="K11" s="20" t="s">
        <v>201</v>
      </c>
      <c r="L11" s="21"/>
    </row>
    <row r="12" spans="1:12" ht="24.95" customHeight="1">
      <c r="A12" s="52"/>
      <c r="B12" s="23" t="s">
        <v>134</v>
      </c>
      <c r="C12" s="18"/>
      <c r="D12" s="25">
        <f>SUM(D11:D11)</f>
        <v>8</v>
      </c>
      <c r="E12" s="25"/>
      <c r="F12" s="22">
        <v>2</v>
      </c>
      <c r="G12" s="22">
        <v>2</v>
      </c>
      <c r="H12" s="22">
        <v>20</v>
      </c>
      <c r="I12" s="22">
        <v>20</v>
      </c>
      <c r="J12" s="20" t="s">
        <v>200</v>
      </c>
      <c r="K12" s="20" t="s">
        <v>202</v>
      </c>
      <c r="L12" s="21"/>
    </row>
    <row r="13" spans="1:12" ht="24.95" customHeight="1">
      <c r="A13" s="53"/>
      <c r="B13" s="18" t="s">
        <v>135</v>
      </c>
      <c r="C13" s="18"/>
      <c r="D13" s="26">
        <f>D10+D12</f>
        <v>30</v>
      </c>
      <c r="E13" s="26"/>
      <c r="F13" s="20"/>
      <c r="G13" s="20"/>
      <c r="H13" s="20"/>
      <c r="I13" s="20"/>
      <c r="J13" s="20"/>
      <c r="K13" s="20"/>
      <c r="L13" s="21"/>
    </row>
  </sheetData>
  <mergeCells count="13">
    <mergeCell ref="A11:A13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A7:A10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Perambalur ORIG</vt:lpstr>
      <vt:lpstr>Perambalur ORIG (3)</vt:lpstr>
      <vt:lpstr>STRATUM WISE (CS)</vt:lpstr>
      <vt:lpstr>STRATUM WISE (SS)</vt:lpstr>
      <vt:lpstr>STRATUM WISE</vt:lpstr>
      <vt:lpstr>WORKING SHEET</vt:lpstr>
      <vt:lpstr>'Perambalur ORIG'!Print_Titles</vt:lpstr>
      <vt:lpstr>'Perambalur ORIG (3)'!Print_Titles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2025-06-25T05:08:01Z</cp:lastPrinted>
  <dcterms:created xsi:type="dcterms:W3CDTF">2025-06-18T07:44:24Z</dcterms:created>
  <dcterms:modified xsi:type="dcterms:W3CDTF">2026-06-16T12:02:55Z</dcterms:modified>
</cp:coreProperties>
</file>
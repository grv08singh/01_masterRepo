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10_SL_1.0_Processing\SL 1.0\"/>
    </mc:Choice>
  </mc:AlternateContent>
  <xr:revisionPtr revIDLastSave="0" documentId="13_ncr:1_{74917063-DE8A-4CF3-98DD-D250054875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RATUM WISE CS" sheetId="9" r:id="rId1"/>
    <sheet name="STRATUM WISE SS" sheetId="8" r:id="rId2"/>
    <sheet name="STRATUM WISE" sheetId="4" r:id="rId3"/>
    <sheet name="WORKING SHEET" sheetId="5" r:id="rId4"/>
  </sheets>
  <definedNames>
    <definedName name="_xlnm._FilterDatabase" localSheetId="2" hidden="1">'STRATUM WISE'!$A$4:$I$218</definedName>
    <definedName name="_xlnm._FilterDatabase" localSheetId="0" hidden="1">'STRATUM WISE CS'!$A$4:$F$19</definedName>
    <definedName name="_xlnm._FilterDatabase" localSheetId="1" hidden="1">'STRATUM WISE SS'!$A$4:$F$19</definedName>
    <definedName name="_xlnm.Print_Titles" localSheetId="2">'STRATUM WISE'!$4:$4</definedName>
    <definedName name="_xlnm.Print_Titles" localSheetId="0">'STRATUM WISE CS'!$3:$3</definedName>
    <definedName name="_xlnm.Print_Titles" localSheetId="1">'STRATUM WISE SS'!$4:$4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" l="1"/>
  <c r="G38" i="5"/>
  <c r="F38" i="5"/>
  <c r="E33" i="5"/>
  <c r="E34" i="5" s="1"/>
  <c r="E35" i="5" s="1"/>
  <c r="E36" i="5" s="1"/>
  <c r="E31" i="5"/>
  <c r="E30" i="5"/>
  <c r="E25" i="5"/>
  <c r="E26" i="5" s="1"/>
  <c r="E27" i="5" s="1"/>
  <c r="E28" i="5" s="1"/>
  <c r="E19" i="5"/>
  <c r="E20" i="5" s="1"/>
  <c r="E21" i="5" s="1"/>
  <c r="E22" i="5" s="1"/>
  <c r="E23" i="5" s="1"/>
  <c r="E13" i="5"/>
  <c r="E14" i="5" s="1"/>
  <c r="E15" i="5" s="1"/>
  <c r="E16" i="5" s="1"/>
  <c r="E17" i="5" s="1"/>
  <c r="E7" i="5"/>
  <c r="E8" i="5" s="1"/>
  <c r="E9" i="5" s="1"/>
  <c r="E10" i="5" s="1"/>
  <c r="E11" i="5" s="1"/>
  <c r="D37" i="5"/>
  <c r="D32" i="5"/>
  <c r="D29" i="5"/>
  <c r="D24" i="5"/>
  <c r="D18" i="5"/>
  <c r="D38" i="5" l="1"/>
</calcChain>
</file>

<file path=xl/sharedStrings.xml><?xml version="1.0" encoding="utf-8"?>
<sst xmlns="http://schemas.openxmlformats.org/spreadsheetml/2006/main" count="1552" uniqueCount="460">
  <si>
    <t>TRS_TKCODE</t>
  </si>
  <si>
    <t>TRS_TKNAME</t>
  </si>
  <si>
    <t>TRS_BKCODE</t>
  </si>
  <si>
    <t>TRS_BKNAME</t>
  </si>
  <si>
    <t>VGNAME</t>
  </si>
  <si>
    <t>RV_CODE</t>
  </si>
  <si>
    <t>THIRUVANNAMALAI</t>
  </si>
  <si>
    <t>KILPENNATHUR</t>
  </si>
  <si>
    <t>KADAMBAI</t>
  </si>
  <si>
    <t>ARANI</t>
  </si>
  <si>
    <t>ARNI</t>
  </si>
  <si>
    <t>15</t>
  </si>
  <si>
    <t>38</t>
  </si>
  <si>
    <t>31</t>
  </si>
  <si>
    <t>26</t>
  </si>
  <si>
    <t>WEST ARNI</t>
  </si>
  <si>
    <t>KOLATHUR</t>
  </si>
  <si>
    <t>2</t>
  </si>
  <si>
    <t>17</t>
  </si>
  <si>
    <t>43</t>
  </si>
  <si>
    <t>CHENGAM</t>
  </si>
  <si>
    <t>12</t>
  </si>
  <si>
    <t>33</t>
  </si>
  <si>
    <t>36</t>
  </si>
  <si>
    <t>JAWADHUHILLS</t>
  </si>
  <si>
    <t>4</t>
  </si>
  <si>
    <t>JAMUNAMARATHOOR</t>
  </si>
  <si>
    <t>PUDUPALAYAM</t>
  </si>
  <si>
    <t>CHEYYAR</t>
  </si>
  <si>
    <t>ANAKKAVOOR</t>
  </si>
  <si>
    <t>VAKKADAI</t>
  </si>
  <si>
    <t>POLUR</t>
  </si>
  <si>
    <t>CHETPET</t>
  </si>
  <si>
    <t>SANTHAVASAL</t>
  </si>
  <si>
    <t>THURINJAPURAM</t>
  </si>
  <si>
    <t>MANGALAM</t>
  </si>
  <si>
    <t>TIRUVANNAMALAI</t>
  </si>
  <si>
    <t>THATCHAMPATTU</t>
  </si>
  <si>
    <t>VANDAVASI</t>
  </si>
  <si>
    <t>PERANAMALLUR</t>
  </si>
  <si>
    <t>THELLAR</t>
  </si>
  <si>
    <t>SENNAVARAM</t>
  </si>
  <si>
    <t>AGARAM</t>
  </si>
  <si>
    <t>OSUR</t>
  </si>
  <si>
    <t>THANDARAMPAT</t>
  </si>
  <si>
    <t>16</t>
  </si>
  <si>
    <t>10</t>
  </si>
  <si>
    <t>37</t>
  </si>
  <si>
    <t>23</t>
  </si>
  <si>
    <t>54</t>
  </si>
  <si>
    <t>47</t>
  </si>
  <si>
    <t>52</t>
  </si>
  <si>
    <t>60</t>
  </si>
  <si>
    <t>KALASAPAKKAM</t>
  </si>
  <si>
    <t>THANDARAI</t>
  </si>
  <si>
    <t>NARAYANAMANGALAM</t>
  </si>
  <si>
    <t>50</t>
  </si>
  <si>
    <t>VEMBAKKAM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</si>
  <si>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</si>
  <si>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</si>
  <si>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</si>
  <si>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</si>
  <si>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</si>
  <si>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</si>
  <si>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</si>
  <si>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</si>
  <si>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</si>
  <si>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</si>
  <si>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</si>
  <si>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</si>
  <si>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</si>
  <si>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</si>
  <si>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</si>
  <si>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</si>
  <si>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</si>
  <si>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</si>
  <si>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</si>
  <si>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THIRUVANAMALAI(06)</t>
  </si>
  <si>
    <t>Arni</t>
  </si>
  <si>
    <t>West Arni</t>
  </si>
  <si>
    <t>Chengam</t>
  </si>
  <si>
    <t>Jawadhuhills</t>
  </si>
  <si>
    <t>Pudhupalayam</t>
  </si>
  <si>
    <t>Chetpet</t>
  </si>
  <si>
    <t xml:space="preserve">Chetpet </t>
  </si>
  <si>
    <t>Peranamallur</t>
  </si>
  <si>
    <t>Cheyyar</t>
  </si>
  <si>
    <t>Anakkavoor</t>
  </si>
  <si>
    <t>Jamunamarathoor</t>
  </si>
  <si>
    <t>Kalasapakkam</t>
  </si>
  <si>
    <t>Kilpenathur</t>
  </si>
  <si>
    <t>Thurijapuram</t>
  </si>
  <si>
    <t>Thiruvannamalai</t>
  </si>
  <si>
    <t xml:space="preserve">Polur </t>
  </si>
  <si>
    <t>Polur</t>
  </si>
  <si>
    <t>Thandarampattu</t>
  </si>
  <si>
    <t>Thandarampat</t>
  </si>
  <si>
    <t>Thurinjapuram</t>
  </si>
  <si>
    <t>THIRUVANAMALAI</t>
  </si>
  <si>
    <t>Vandavasi</t>
  </si>
  <si>
    <t>Pernamallur</t>
  </si>
  <si>
    <t>Thellar</t>
  </si>
  <si>
    <t>Vembakkam</t>
  </si>
  <si>
    <t>23(2)</t>
  </si>
  <si>
    <t>8</t>
  </si>
  <si>
    <t>5</t>
  </si>
  <si>
    <t>44</t>
  </si>
  <si>
    <t>MANGANALLUR</t>
  </si>
  <si>
    <t>18</t>
  </si>
  <si>
    <t>29</t>
  </si>
  <si>
    <t>1</t>
  </si>
  <si>
    <t>7</t>
  </si>
  <si>
    <t>9</t>
  </si>
  <si>
    <t>21</t>
  </si>
  <si>
    <t>25</t>
  </si>
  <si>
    <t>28</t>
  </si>
  <si>
    <t>66</t>
  </si>
  <si>
    <t>53</t>
  </si>
  <si>
    <t>42</t>
  </si>
  <si>
    <t>14</t>
  </si>
  <si>
    <t>59</t>
  </si>
  <si>
    <t>45</t>
  </si>
  <si>
    <t>51</t>
  </si>
  <si>
    <t>6</t>
  </si>
  <si>
    <t>11</t>
  </si>
  <si>
    <t>24</t>
  </si>
  <si>
    <t>19</t>
  </si>
  <si>
    <t>82</t>
  </si>
  <si>
    <t>81</t>
  </si>
  <si>
    <t>75</t>
  </si>
  <si>
    <t>67</t>
  </si>
  <si>
    <t>34</t>
  </si>
  <si>
    <t>40</t>
  </si>
  <si>
    <t>3</t>
  </si>
  <si>
    <t>13</t>
  </si>
  <si>
    <t>35</t>
  </si>
  <si>
    <t>27</t>
  </si>
  <si>
    <t>VALLAM</t>
  </si>
  <si>
    <t>20</t>
  </si>
  <si>
    <t>39</t>
  </si>
  <si>
    <t>55</t>
  </si>
  <si>
    <t>69</t>
  </si>
  <si>
    <t>32</t>
  </si>
  <si>
    <t>68</t>
  </si>
  <si>
    <t>94</t>
  </si>
  <si>
    <t>101</t>
  </si>
  <si>
    <t>100</t>
  </si>
  <si>
    <t>72</t>
  </si>
  <si>
    <t>63</t>
  </si>
  <si>
    <t>48</t>
  </si>
  <si>
    <t>57</t>
  </si>
  <si>
    <t>74</t>
  </si>
  <si>
    <t>73</t>
  </si>
  <si>
    <t>POONDI</t>
  </si>
  <si>
    <t>85</t>
  </si>
  <si>
    <t>78</t>
  </si>
  <si>
    <t>134</t>
  </si>
  <si>
    <t>102</t>
  </si>
  <si>
    <t>98</t>
  </si>
  <si>
    <t>144</t>
  </si>
  <si>
    <t>77</t>
  </si>
  <si>
    <t>115</t>
  </si>
  <si>
    <t>117</t>
  </si>
  <si>
    <t>64</t>
  </si>
  <si>
    <t>89</t>
  </si>
  <si>
    <t>96</t>
  </si>
  <si>
    <t>97</t>
  </si>
  <si>
    <t>83</t>
  </si>
  <si>
    <t>159</t>
  </si>
  <si>
    <t>142</t>
  </si>
  <si>
    <t>151</t>
  </si>
  <si>
    <t>160</t>
  </si>
  <si>
    <t>65</t>
  </si>
  <si>
    <t>139</t>
  </si>
  <si>
    <t>84</t>
  </si>
  <si>
    <t>215</t>
  </si>
  <si>
    <t>SENGADU</t>
  </si>
  <si>
    <t>88</t>
  </si>
  <si>
    <t>79</t>
  </si>
  <si>
    <t>127</t>
  </si>
  <si>
    <t>70</t>
  </si>
  <si>
    <t>149</t>
  </si>
  <si>
    <t>155</t>
  </si>
  <si>
    <t>157</t>
  </si>
  <si>
    <t>143</t>
  </si>
  <si>
    <t>191</t>
  </si>
  <si>
    <t>121</t>
  </si>
  <si>
    <t>NERKUNAM</t>
  </si>
  <si>
    <t>76</t>
  </si>
  <si>
    <t>71</t>
  </si>
  <si>
    <t>162</t>
  </si>
  <si>
    <t>118</t>
  </si>
  <si>
    <t>125</t>
  </si>
  <si>
    <t>179</t>
  </si>
  <si>
    <t>ATHIPADI</t>
  </si>
  <si>
    <t>185</t>
  </si>
  <si>
    <t>169</t>
  </si>
  <si>
    <t>108</t>
  </si>
  <si>
    <t>GUDALUR</t>
  </si>
  <si>
    <t>BRAMMADESAM</t>
  </si>
  <si>
    <t>KOVILUR</t>
  </si>
  <si>
    <t>KAPPALUR</t>
  </si>
  <si>
    <t>140</t>
  </si>
  <si>
    <t>106</t>
  </si>
  <si>
    <t>PALAYAM</t>
  </si>
  <si>
    <t>184</t>
  </si>
  <si>
    <t>107</t>
  </si>
  <si>
    <t>109</t>
  </si>
  <si>
    <t>104</t>
  </si>
  <si>
    <t>129</t>
  </si>
  <si>
    <t>122</t>
  </si>
  <si>
    <t>161</t>
  </si>
  <si>
    <t>SATHANOOR</t>
  </si>
  <si>
    <t>217</t>
  </si>
  <si>
    <t>165</t>
  </si>
  <si>
    <t>PULIYAMPATTI</t>
  </si>
  <si>
    <t>NEEPALAMPATTU</t>
  </si>
  <si>
    <t>PULIYANKUPPAM</t>
  </si>
  <si>
    <t>168</t>
  </si>
  <si>
    <t>KUTTAKARAI</t>
  </si>
  <si>
    <t>MELSILAMPADI</t>
  </si>
  <si>
    <t>PADAPANCHAMARATHUR</t>
  </si>
  <si>
    <t>173</t>
  </si>
  <si>
    <t>PATTARAIKADU</t>
  </si>
  <si>
    <t>BAGAVANTHAPURAM</t>
  </si>
  <si>
    <t>VADAMAVANANTHAL</t>
  </si>
  <si>
    <t>ABDULLAPURAM</t>
  </si>
  <si>
    <t>DHARAMACHERI</t>
  </si>
  <si>
    <t>VAGAI</t>
  </si>
  <si>
    <t>SURUTTAL</t>
  </si>
  <si>
    <t>123</t>
  </si>
  <si>
    <t>KAGANAM</t>
  </si>
  <si>
    <t>HARIHARAPAKKAM</t>
  </si>
  <si>
    <t>KIZHNELLI</t>
  </si>
  <si>
    <t>AZHINJALPATTU</t>
  </si>
  <si>
    <t>PILLANTHAGANAL</t>
  </si>
  <si>
    <t>CHETTITHANGAL</t>
  </si>
  <si>
    <t>THIRUPPANANGADU</t>
  </si>
  <si>
    <t>MELBOODERI</t>
  </si>
  <si>
    <t>KODAIYAMPAKKAM</t>
  </si>
  <si>
    <t>POONTHANDALAM</t>
  </si>
  <si>
    <t>POONAITHANGAL</t>
  </si>
  <si>
    <t>MURUKKANANTHAL</t>
  </si>
  <si>
    <t>KOLAKARAVADI</t>
  </si>
  <si>
    <t>KOTHANTHAVADI</t>
  </si>
  <si>
    <t>CHEYYANANTHAL</t>
  </si>
  <si>
    <t>DEVIMANGALAM</t>
  </si>
  <si>
    <t>153</t>
  </si>
  <si>
    <t>ENDAL</t>
  </si>
  <si>
    <t>VEPPAMBATTU</t>
  </si>
  <si>
    <t>MARAKKUNAM</t>
  </si>
  <si>
    <t>VISAMANGALAM</t>
  </si>
  <si>
    <t>ANMARUDAI</t>
  </si>
  <si>
    <t>PERNAMBAKKAM</t>
  </si>
  <si>
    <t>MELANUR</t>
  </si>
  <si>
    <t>POONGUNAM</t>
  </si>
  <si>
    <t>MELACHERY</t>
  </si>
  <si>
    <t>ANADIMANGALAM</t>
  </si>
  <si>
    <t>SIRUNATHUR</t>
  </si>
  <si>
    <t>KALITHERI</t>
  </si>
  <si>
    <t>SIRUKOTHAN</t>
  </si>
  <si>
    <t>SOMASIPADI</t>
  </si>
  <si>
    <t>KEEKALUR</t>
  </si>
  <si>
    <t>NADALAGANANDAL</t>
  </si>
  <si>
    <t>ANDALORE</t>
  </si>
  <si>
    <t>KALPOONDI</t>
  </si>
  <si>
    <t>VAIPUR</t>
  </si>
  <si>
    <t>208</t>
  </si>
  <si>
    <t>ANGUNAM</t>
  </si>
  <si>
    <t>200</t>
  </si>
  <si>
    <t>RAJANTHANGAL</t>
  </si>
  <si>
    <t>SORATHUR</t>
  </si>
  <si>
    <t>209</t>
  </si>
  <si>
    <t>MADURAMPATTU</t>
  </si>
  <si>
    <t>198</t>
  </si>
  <si>
    <t>ERNAMANGALAM</t>
  </si>
  <si>
    <t>VINNUVAMPATTU</t>
  </si>
  <si>
    <t>ANIALAI</t>
  </si>
  <si>
    <t>KEDAMPALAYAM</t>
  </si>
  <si>
    <t>KETTAVARAMPALAYAM-1</t>
  </si>
  <si>
    <t>NALLANPILLAIPETRAN</t>
  </si>
  <si>
    <t>SEENANDAL</t>
  </si>
  <si>
    <t>MELPALUR</t>
  </si>
  <si>
    <t>SERPAPATTU</t>
  </si>
  <si>
    <t>BEEMARAPATTI</t>
  </si>
  <si>
    <t>KIZHRAVANDAVADI</t>
  </si>
  <si>
    <t>AGARAMPALLIPATTU</t>
  </si>
  <si>
    <t>RADAPURAM</t>
  </si>
  <si>
    <t>REDDIYAPALAYAM</t>
  </si>
  <si>
    <t>JAMBODAI</t>
  </si>
  <si>
    <t>AKKARAPATTI</t>
  </si>
  <si>
    <t>SEMMAMPATTI</t>
  </si>
  <si>
    <t>NEDUNKAVADI</t>
  </si>
  <si>
    <t>EDATHANUR</t>
  </si>
  <si>
    <t>EDAKKAL</t>
  </si>
  <si>
    <t>KANDAVARATTI</t>
  </si>
  <si>
    <t>THAKKANDARAYAPURAM</t>
  </si>
  <si>
    <t>SENAL</t>
  </si>
  <si>
    <t>URGUDI</t>
  </si>
  <si>
    <t>SORAPUTHUR</t>
  </si>
  <si>
    <t>THIRAKOIL</t>
  </si>
  <si>
    <t>KILVELLIYUR</t>
  </si>
  <si>
    <t>MAZHAVANGARANAI</t>
  </si>
  <si>
    <t>KILVELLIVALAM</t>
  </si>
  <si>
    <t>178</t>
  </si>
  <si>
    <t>ERIPATTU</t>
  </si>
  <si>
    <t>SOGATHUR</t>
  </si>
  <si>
    <t>AGARAKORAKOTTAI</t>
  </si>
  <si>
    <t>KOTTAI</t>
  </si>
  <si>
    <t>181</t>
  </si>
  <si>
    <t>EYPPAKKAM</t>
  </si>
  <si>
    <t>201</t>
  </si>
  <si>
    <t>ATHIPAKKAM</t>
  </si>
  <si>
    <t>IRUMBEDU</t>
  </si>
  <si>
    <t>ELANGADU</t>
  </si>
  <si>
    <t>113</t>
  </si>
  <si>
    <t>KILSEMBEDU</t>
  </si>
  <si>
    <t>202</t>
  </si>
  <si>
    <t>GARUDAPURAM</t>
  </si>
  <si>
    <t>148</t>
  </si>
  <si>
    <t>182</t>
  </si>
  <si>
    <t>ADIYANKUPPAM</t>
  </si>
  <si>
    <t>190</t>
  </si>
  <si>
    <t>KARANAI</t>
  </si>
  <si>
    <t>RAGUNATHASAMUDRAM</t>
  </si>
  <si>
    <t>AYILAVADI</t>
  </si>
  <si>
    <t>VILANALLUR</t>
  </si>
  <si>
    <t>SU.VALAVETTI</t>
  </si>
  <si>
    <t>194</t>
  </si>
  <si>
    <t>NARIYAPATTU</t>
  </si>
  <si>
    <t>VELAYAMBAKKAM</t>
  </si>
  <si>
    <t>ALLIKONDAPATTU</t>
  </si>
  <si>
    <t>ARUTHIRAPATTU</t>
  </si>
  <si>
    <t>SAVALPOONDI</t>
  </si>
  <si>
    <t>KILKACHIRAPATTU</t>
  </si>
  <si>
    <t>VENGIKKAL</t>
  </si>
  <si>
    <t>KILNATHUR</t>
  </si>
  <si>
    <t>ANAIPIRANDAN</t>
  </si>
  <si>
    <t>KILCHETTIPATTU</t>
  </si>
  <si>
    <t>SU.ANDAPATTU</t>
  </si>
  <si>
    <t>SAMBANDANUR</t>
  </si>
  <si>
    <t>VADAKARINGALIPADI</t>
  </si>
  <si>
    <t>VADA ANDAPATTU</t>
  </si>
  <si>
    <t>SANANANDAL</t>
  </si>
  <si>
    <t>MALLAVADI</t>
  </si>
  <si>
    <t>SORANDAI</t>
  </si>
  <si>
    <t>SADAYANODAI</t>
  </si>
  <si>
    <t>VADAKARIMBALUR</t>
  </si>
  <si>
    <t>SEELAPANDAL</t>
  </si>
  <si>
    <t>ARAPAKKAM</t>
  </si>
  <si>
    <t>DEVANAMPATTU</t>
  </si>
  <si>
    <t>KUNNIYANDAL</t>
  </si>
  <si>
    <t>ERUVATHENI</t>
  </si>
  <si>
    <t>SANIKKAVADI</t>
  </si>
  <si>
    <t>ETTIVADI</t>
  </si>
  <si>
    <t>KIL KARIKATHUR</t>
  </si>
  <si>
    <t>THIRUMALAI</t>
  </si>
  <si>
    <t>SADUPERIPALAYAM</t>
  </si>
  <si>
    <t>188</t>
  </si>
  <si>
    <t>OOTERI</t>
  </si>
  <si>
    <t>180</t>
  </si>
  <si>
    <t>PALVARTHUVENDRAN</t>
  </si>
  <si>
    <t>174</t>
  </si>
  <si>
    <t>IRUMBILI</t>
  </si>
  <si>
    <t>EDAPIRAI</t>
  </si>
  <si>
    <t>MUNIVANTHANGAL</t>
  </si>
  <si>
    <t>KANGIRANANDAL</t>
  </si>
  <si>
    <t>ALLIYABATH</t>
  </si>
  <si>
    <t>KUPPAM</t>
  </si>
  <si>
    <t>SENDARAMPATTU</t>
  </si>
  <si>
    <t>KANGAYANUR</t>
  </si>
  <si>
    <t>THIRUCHUR</t>
  </si>
  <si>
    <t>MELNARMA</t>
  </si>
  <si>
    <t>MELNEMILI</t>
  </si>
  <si>
    <t>196</t>
  </si>
  <si>
    <t>THAVASI</t>
  </si>
  <si>
    <t>IRUNGAL</t>
  </si>
  <si>
    <t>193</t>
  </si>
  <si>
    <t>PAZHANJUR</t>
  </si>
  <si>
    <t>205</t>
  </si>
  <si>
    <t>THENELAPAKKAM</t>
  </si>
  <si>
    <t>EDAVAL</t>
  </si>
  <si>
    <t>AYYAVADI</t>
  </si>
  <si>
    <t>213</t>
  </si>
  <si>
    <t>ECHUR</t>
  </si>
  <si>
    <t>THIRUMPOONDI</t>
  </si>
  <si>
    <t>206</t>
  </si>
  <si>
    <t>UKKAL</t>
  </si>
  <si>
    <t>SERAMPATTU</t>
  </si>
  <si>
    <t>NAVAL</t>
  </si>
  <si>
    <t>192</t>
  </si>
  <si>
    <t>THIRUVATHUR</t>
  </si>
  <si>
    <t>VADAELAPAKKAM</t>
  </si>
  <si>
    <t>KODANAGAR</t>
  </si>
  <si>
    <t>KADUGANUR</t>
  </si>
  <si>
    <t>SENGATTANKUDIL</t>
  </si>
  <si>
    <t>PERUMPALLAM</t>
  </si>
  <si>
    <t>ENATHAVADI</t>
  </si>
  <si>
    <t>ARATHRIVELUR</t>
  </si>
  <si>
    <t>KIZHPUDUPAKKAM</t>
  </si>
  <si>
    <t>NEEPPATHURAI</t>
  </si>
  <si>
    <t>ANDANUR</t>
  </si>
  <si>
    <t>ALAPUTHUR</t>
  </si>
  <si>
    <t>ARASANKANNI</t>
  </si>
  <si>
    <t>MANNANDIPATTI</t>
  </si>
  <si>
    <t>MELVANAKKAMPADI</t>
  </si>
  <si>
    <t>NARADAPPATTU</t>
  </si>
  <si>
    <t>ARIYAKUNJUR</t>
  </si>
  <si>
    <t>MELPENNATHUR</t>
  </si>
  <si>
    <t>SORPANANDAL</t>
  </si>
  <si>
    <t>KALLADAVI</t>
  </si>
  <si>
    <t>KANJI</t>
  </si>
  <si>
    <t>PANAIOLAIPADI</t>
  </si>
  <si>
    <t>MUNNURMANGALAM</t>
  </si>
  <si>
    <t>PADIYAGRAHARAM</t>
  </si>
  <si>
    <t>VADAMATHUR</t>
  </si>
  <si>
    <t>KOTTAKULAM</t>
  </si>
  <si>
    <t>KALLARPADI</t>
  </si>
  <si>
    <t>GENGAMPATTU</t>
  </si>
  <si>
    <t>KILAIYUR</t>
  </si>
  <si>
    <t>ARAYALAM</t>
  </si>
  <si>
    <t>MELNAGAR</t>
  </si>
  <si>
    <t>MAMANDOOR</t>
  </si>
  <si>
    <t>ARANI (EAST)</t>
  </si>
  <si>
    <t>MATTADHARI</t>
  </si>
  <si>
    <t>MORAPANTHANGAL</t>
  </si>
  <si>
    <t>VETTIYANTHOLUVAM</t>
  </si>
  <si>
    <t>21(1)</t>
  </si>
  <si>
    <t>05(2)</t>
  </si>
  <si>
    <t>08(3)</t>
  </si>
  <si>
    <t>03(1)</t>
  </si>
  <si>
    <t>16(3)</t>
  </si>
  <si>
    <t>38(1)</t>
  </si>
  <si>
    <t>16(2)</t>
  </si>
  <si>
    <t>25(1)</t>
  </si>
  <si>
    <t>07(2)</t>
  </si>
  <si>
    <t>Pudupalayam</t>
  </si>
  <si>
    <t>01(1)</t>
  </si>
  <si>
    <t>31(2)</t>
  </si>
  <si>
    <t>15(1)</t>
  </si>
  <si>
    <t>13(2)</t>
  </si>
  <si>
    <t>12(3)</t>
  </si>
  <si>
    <t>28(1)</t>
  </si>
  <si>
    <t>09(2)</t>
  </si>
  <si>
    <t>23(3)</t>
  </si>
  <si>
    <t>10(1)</t>
  </si>
  <si>
    <t>11(2)</t>
  </si>
  <si>
    <t>30(3)</t>
  </si>
  <si>
    <t>17(1)</t>
  </si>
  <si>
    <t>19(2)</t>
  </si>
  <si>
    <t>03(2)</t>
  </si>
  <si>
    <t>12(1)</t>
  </si>
  <si>
    <t>20(2)</t>
  </si>
  <si>
    <t>34(1)</t>
  </si>
  <si>
    <t>Year:2026-27 (Fasli-1436)</t>
  </si>
  <si>
    <t xml:space="preserve">Sample : Central </t>
  </si>
  <si>
    <t>Oder of Selection</t>
  </si>
  <si>
    <t>Year:2026-27(Fasli-1436)</t>
  </si>
  <si>
    <t>Sample :State</t>
  </si>
  <si>
    <t>Oder of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</si>
</sst>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sz val="11"/>
      <color indexed="8"/>
      <name val="Calibri"/>
      <charset val="163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9">
    <xf numFmtId="0" fontId="0" fillId="0" borderId="0" xfId="0"/>
    <xf numFmtId="0" fontId="2" fillId="0" borderId="1" xfId="1" applyFont="1" applyBorder="1" applyAlignment="1">
      <alignment horizontal="center" wrapText="1"/>
    </xf>
    <xf numFmtId="0" fontId="5" fillId="2" borderId="0" xfId="2" applyFont="1" applyFill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0" fillId="0" borderId="0" xfId="0" applyAlignment="1">
      <alignment horizontal="center"/>
    </xf>
    <xf numFmtId="0" fontId="10" fillId="0" borderId="1" xfId="4" applyFont="1" applyBorder="1" applyAlignment="1">
      <alignment horizontal="center" vertical="center" wrapText="1"/>
    </xf>
    <xf numFmtId="0" fontId="6" fillId="0" borderId="1" xfId="1" applyFont="1" applyBorder="1" applyAlignment="1">
      <alignment wrapText="1"/>
    </xf>
    <xf numFmtId="0" fontId="6" fillId="0" borderId="1" xfId="1" applyFont="1" applyBorder="1" applyAlignment="1">
      <alignment horizontal="center"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0" fillId="0" borderId="1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8" fillId="0" borderId="1" xfId="4" quotePrefix="1" applyFont="1" applyBorder="1" applyAlignment="1">
      <alignment horizontal="center" vertical="center"/>
    </xf>
    <xf numFmtId="0" fontId="12" fillId="0" borderId="1" xfId="1" applyFont="1" applyBorder="1" applyAlignment="1">
      <alignment wrapText="1"/>
    </xf>
    <xf numFmtId="0" fontId="13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1" fillId="0" borderId="1" xfId="1" applyFont="1" applyBorder="1" applyAlignment="1">
      <alignment horizontal="right" vertical="center" wrapText="1"/>
    </xf>
    <xf numFmtId="0" fontId="15" fillId="0" borderId="1" xfId="4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2" fillId="0" borderId="0" xfId="1" applyFont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7" xfId="1" applyFont="1" applyBorder="1" applyAlignment="1">
      <alignment wrapText="1"/>
    </xf>
    <xf numFmtId="0" fontId="2" fillId="3" borderId="1" xfId="1" applyFont="1" applyFill="1" applyBorder="1" applyAlignment="1">
      <alignment horizontal="center" wrapText="1"/>
    </xf>
    <xf numFmtId="0" fontId="2" fillId="4" borderId="1" xfId="1" applyFont="1" applyFill="1" applyBorder="1" applyAlignment="1">
      <alignment horizontal="center" wrapText="1"/>
    </xf>
    <xf numFmtId="0" fontId="17" fillId="0" borderId="11" xfId="1" applyFont="1" applyBorder="1" applyAlignment="1">
      <alignment wrapText="1"/>
    </xf>
    <xf numFmtId="0" fontId="17" fillId="0" borderId="1" xfId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0" fillId="0" borderId="0" xfId="4" applyFont="1" applyAlignment="1">
      <alignment vertical="center"/>
    </xf>
    <xf numFmtId="0" fontId="17" fillId="0" borderId="1" xfId="1" applyFont="1" applyBorder="1" applyAlignment="1">
      <alignment wrapText="1"/>
    </xf>
    <xf numFmtId="0" fontId="7" fillId="0" borderId="1" xfId="4" applyFont="1" applyBorder="1" applyAlignment="1">
      <alignment horizontal="left"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18" fillId="0" borderId="1" xfId="5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wrapText="1"/>
    </xf>
    <xf numFmtId="0" fontId="10" fillId="0" borderId="0" xfId="4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7" fillId="0" borderId="1" xfId="1" applyFont="1" applyBorder="1" applyAlignment="1">
      <alignment horizontal="center" wrapText="1"/>
    </xf>
    <xf numFmtId="0" fontId="17" fillId="0" borderId="1" xfId="1" applyFont="1" applyBorder="1" applyAlignment="1">
      <alignment horizontal="center" vertical="center" wrapText="1"/>
    </xf>
    <xf numFmtId="0" fontId="10" fillId="0" borderId="12" xfId="4" applyFont="1" applyBorder="1" applyAlignment="1">
      <alignment horizontal="left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0" borderId="8" xfId="1" applyFont="1" applyBorder="1" applyAlignment="1">
      <alignment horizontal="center" wrapText="1"/>
    </xf>
    <xf numFmtId="0" fontId="17" fillId="0" borderId="0" xfId="1" applyFont="1" applyAlignment="1">
      <alignment horizontal="center" wrapText="1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7" fillId="0" borderId="1" xfId="4" applyFont="1" applyBorder="1" applyAlignment="1">
      <alignment horizontal="center" vertical="center" textRotation="90" wrapText="1"/>
    </xf>
    <xf numFmtId="0" fontId="10" fillId="0" borderId="1" xfId="4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8" fillId="0" borderId="15" xfId="4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</cellXfs>
  <cellStyles count="6">
    <cellStyle name="Normal" xfId="0" builtinId="0"/>
    <cellStyle name="Normal 2" xfId="4" xr:uid="{00000000-0005-0000-0000-000001000000}"/>
    <cellStyle name="Normal 3" xfId="2" xr:uid="{00000000-0005-0000-0000-000002000000}"/>
    <cellStyle name="Normal 4" xfId="3" xr:uid="{00000000-0005-0000-0000-000003000000}"/>
    <cellStyle name="Normal_Sheet1" xfId="1" xr:uid="{00000000-0005-0000-0000-000004000000}"/>
    <cellStyle name="Normal_Sheet2_1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70" zoomScaleNormal="70" workbookViewId="0">
      <selection activeCell="I15" sqref="I15"/>
    </sheetView>
  </sheetViews>
  <sheetFormatPr defaultRowHeight="14.4" x14ac:dyDescent="0.3"/>
  <cols>
    <col min="1" max="1" width="9.88671875" bestFit="1" customWidth="1"/>
    <col min="2" max="2" width="29" customWidth="1"/>
    <col min="3" max="3" width="23.88671875" customWidth="1"/>
    <col min="4" max="4" width="35.33203125" bestFit="1" customWidth="1"/>
    <col min="5" max="5" width="9.5546875" customWidth="1"/>
    <col min="6" max="6" width="10.33203125" style="10" customWidth="1"/>
  </cols>
  <sheetData>
    <row r="1" spans="1:8" s="6" customFormat="1" ht="13.8" x14ac:dyDescent="0.25">
      <c r="A1" s="42" t="s">
        <v>63</v>
      </c>
      <c r="B1" s="42"/>
      <c r="C1" s="42"/>
      <c r="D1" s="42"/>
      <c r="E1" s="42"/>
      <c r="F1" s="42"/>
      <c r="G1" s="33"/>
      <c r="H1" s="33"/>
    </row>
    <row r="2" spans="1:8" s="9" customFormat="1" ht="15.6" x14ac:dyDescent="0.25">
      <c r="A2" s="35" t="s">
        <v>58</v>
      </c>
      <c r="B2" s="14"/>
      <c r="C2" s="36"/>
      <c r="D2" s="43" t="s">
        <v>455</v>
      </c>
      <c r="E2" s="44"/>
      <c r="F2" s="45"/>
      <c r="G2" s="6"/>
      <c r="H2" s="6"/>
    </row>
    <row r="3" spans="1:8" ht="15.6" x14ac:dyDescent="0.3">
      <c r="A3" s="37"/>
      <c r="B3" s="14"/>
      <c r="C3" s="14"/>
      <c r="D3" s="43" t="s">
        <v>454</v>
      </c>
      <c r="E3" s="44"/>
      <c r="F3" s="45"/>
      <c r="G3" s="9"/>
      <c r="H3" s="9"/>
    </row>
    <row r="4" spans="1:8" ht="28.8" x14ac:dyDescent="0.3">
      <c r="A4" s="26" t="s">
        <v>60</v>
      </c>
      <c r="B4" s="26" t="s">
        <v>1</v>
      </c>
      <c r="C4" s="26" t="s">
        <v>3</v>
      </c>
      <c r="D4" s="26" t="s">
        <v>4</v>
      </c>
      <c r="E4" s="26" t="s">
        <v>5</v>
      </c>
      <c r="F4" s="38" t="s">
        <v>456</v>
      </c>
    </row>
    <row r="5" spans="1:8" x14ac:dyDescent="0.3">
      <c r="A5" s="41">
        <v>1</v>
      </c>
      <c r="B5" s="34" t="s">
        <v>20</v>
      </c>
      <c r="C5" s="34" t="s">
        <v>20</v>
      </c>
      <c r="D5" s="34" t="s">
        <v>409</v>
      </c>
      <c r="E5" s="34" t="s">
        <v>197</v>
      </c>
      <c r="F5" s="39">
        <v>1</v>
      </c>
    </row>
    <row r="6" spans="1:8" x14ac:dyDescent="0.3">
      <c r="A6" s="41"/>
      <c r="B6" s="34" t="s">
        <v>9</v>
      </c>
      <c r="C6" s="34" t="s">
        <v>10</v>
      </c>
      <c r="D6" s="34" t="s">
        <v>425</v>
      </c>
      <c r="E6" s="34" t="s">
        <v>134</v>
      </c>
      <c r="F6" s="39">
        <v>2</v>
      </c>
    </row>
    <row r="7" spans="1:8" x14ac:dyDescent="0.3">
      <c r="A7" s="41"/>
      <c r="B7" s="34" t="s">
        <v>9</v>
      </c>
      <c r="C7" s="34" t="s">
        <v>15</v>
      </c>
      <c r="D7" s="34" t="s">
        <v>204</v>
      </c>
      <c r="E7" s="34" t="s">
        <v>126</v>
      </c>
      <c r="F7" s="39">
        <v>3</v>
      </c>
    </row>
    <row r="8" spans="1:8" x14ac:dyDescent="0.3">
      <c r="A8" s="41">
        <v>2</v>
      </c>
      <c r="B8" s="34" t="s">
        <v>28</v>
      </c>
      <c r="C8" s="34" t="s">
        <v>28</v>
      </c>
      <c r="D8" s="34" t="s">
        <v>396</v>
      </c>
      <c r="E8" s="34" t="s">
        <v>12</v>
      </c>
      <c r="F8" s="39">
        <v>1</v>
      </c>
    </row>
    <row r="9" spans="1:8" x14ac:dyDescent="0.3">
      <c r="A9" s="41"/>
      <c r="B9" s="34" t="s">
        <v>32</v>
      </c>
      <c r="C9" s="34" t="s">
        <v>39</v>
      </c>
      <c r="D9" s="34" t="s">
        <v>257</v>
      </c>
      <c r="E9" s="34" t="s">
        <v>46</v>
      </c>
      <c r="F9" s="39">
        <v>2</v>
      </c>
    </row>
    <row r="10" spans="1:8" x14ac:dyDescent="0.3">
      <c r="A10" s="41">
        <v>3</v>
      </c>
      <c r="B10" s="34" t="s">
        <v>26</v>
      </c>
      <c r="C10" s="34" t="s">
        <v>24</v>
      </c>
      <c r="D10" s="34" t="s">
        <v>216</v>
      </c>
      <c r="E10" s="34" t="s">
        <v>117</v>
      </c>
      <c r="F10" s="39">
        <v>1</v>
      </c>
    </row>
    <row r="11" spans="1:8" x14ac:dyDescent="0.3">
      <c r="A11" s="41"/>
      <c r="B11" s="34" t="s">
        <v>7</v>
      </c>
      <c r="C11" s="34" t="s">
        <v>36</v>
      </c>
      <c r="D11" s="34" t="s">
        <v>273</v>
      </c>
      <c r="E11" s="34" t="s">
        <v>274</v>
      </c>
      <c r="F11" s="39">
        <v>2</v>
      </c>
    </row>
    <row r="12" spans="1:8" x14ac:dyDescent="0.3">
      <c r="A12" s="41"/>
      <c r="B12" s="34" t="s">
        <v>53</v>
      </c>
      <c r="C12" s="34" t="s">
        <v>53</v>
      </c>
      <c r="D12" s="34" t="s">
        <v>281</v>
      </c>
      <c r="E12" s="34" t="s">
        <v>120</v>
      </c>
      <c r="F12" s="39">
        <v>3</v>
      </c>
    </row>
    <row r="13" spans="1:8" x14ac:dyDescent="0.3">
      <c r="A13" s="46">
        <v>4</v>
      </c>
      <c r="B13" s="34" t="s">
        <v>44</v>
      </c>
      <c r="C13" s="34" t="s">
        <v>44</v>
      </c>
      <c r="D13" s="34" t="s">
        <v>290</v>
      </c>
      <c r="E13" s="34" t="s">
        <v>13</v>
      </c>
      <c r="F13" s="39">
        <v>1</v>
      </c>
    </row>
    <row r="14" spans="1:8" x14ac:dyDescent="0.3">
      <c r="A14" s="46"/>
      <c r="B14" s="34" t="s">
        <v>31</v>
      </c>
      <c r="C14" s="34" t="s">
        <v>31</v>
      </c>
      <c r="D14" s="34" t="s">
        <v>361</v>
      </c>
      <c r="E14" s="34" t="s">
        <v>362</v>
      </c>
      <c r="F14" s="39">
        <v>2</v>
      </c>
    </row>
    <row r="15" spans="1:8" x14ac:dyDescent="0.3">
      <c r="A15" s="46"/>
      <c r="B15" s="34" t="s">
        <v>44</v>
      </c>
      <c r="C15" s="34" t="s">
        <v>44</v>
      </c>
      <c r="D15" s="34" t="s">
        <v>285</v>
      </c>
      <c r="E15" s="34" t="s">
        <v>112</v>
      </c>
      <c r="F15" s="39">
        <v>3</v>
      </c>
    </row>
    <row r="16" spans="1:8" x14ac:dyDescent="0.3">
      <c r="A16" s="41">
        <v>5</v>
      </c>
      <c r="B16" s="34" t="s">
        <v>6</v>
      </c>
      <c r="C16" s="34" t="s">
        <v>34</v>
      </c>
      <c r="D16" s="34" t="s">
        <v>341</v>
      </c>
      <c r="E16" s="34" t="s">
        <v>180</v>
      </c>
      <c r="F16" s="39">
        <v>1</v>
      </c>
    </row>
    <row r="17" spans="1:6" x14ac:dyDescent="0.3">
      <c r="A17" s="41"/>
      <c r="B17" s="34" t="s">
        <v>6</v>
      </c>
      <c r="C17" s="34" t="s">
        <v>34</v>
      </c>
      <c r="D17" s="34" t="s">
        <v>343</v>
      </c>
      <c r="E17" s="34" t="s">
        <v>151</v>
      </c>
      <c r="F17" s="39">
        <v>2</v>
      </c>
    </row>
    <row r="18" spans="1:6" x14ac:dyDescent="0.3">
      <c r="A18" s="41">
        <v>6</v>
      </c>
      <c r="B18" s="34" t="s">
        <v>57</v>
      </c>
      <c r="C18" s="34" t="s">
        <v>57</v>
      </c>
      <c r="D18" s="34" t="s">
        <v>236</v>
      </c>
      <c r="E18" s="34" t="s">
        <v>151</v>
      </c>
      <c r="F18" s="39">
        <v>1</v>
      </c>
    </row>
    <row r="19" spans="1:6" x14ac:dyDescent="0.3">
      <c r="A19" s="41"/>
      <c r="B19" s="34" t="s">
        <v>38</v>
      </c>
      <c r="C19" s="34" t="s">
        <v>40</v>
      </c>
      <c r="D19" s="34" t="s">
        <v>296</v>
      </c>
      <c r="E19" s="34" t="s">
        <v>151</v>
      </c>
      <c r="F19" s="39">
        <v>2</v>
      </c>
    </row>
    <row r="20" spans="1:6" x14ac:dyDescent="0.3">
      <c r="F20" s="25"/>
    </row>
  </sheetData>
  <mergeCells count="9">
    <mergeCell ref="A16:A17"/>
    <mergeCell ref="A1:F1"/>
    <mergeCell ref="A18:A19"/>
    <mergeCell ref="D2:F2"/>
    <mergeCell ref="D3:F3"/>
    <mergeCell ref="A5:A7"/>
    <mergeCell ref="A8:A9"/>
    <mergeCell ref="A10:A12"/>
    <mergeCell ref="A13:A15"/>
  </mergeCells>
  <pageMargins left="0.11811023622047245" right="0.11811023622047245" top="0.15748031496062992" bottom="0.15748031496062992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zoomScale="70" zoomScaleNormal="70" workbookViewId="0">
      <selection activeCell="B2" sqref="B1:B1048576"/>
    </sheetView>
  </sheetViews>
  <sheetFormatPr defaultRowHeight="14.4" x14ac:dyDescent="0.3"/>
  <cols>
    <col min="1" max="1" width="9.88671875" bestFit="1" customWidth="1"/>
    <col min="2" max="2" width="29" customWidth="1"/>
    <col min="3" max="3" width="23.88671875" customWidth="1"/>
    <col min="4" max="4" width="26.6640625" customWidth="1"/>
    <col min="5" max="5" width="12.109375" customWidth="1"/>
    <col min="6" max="6" width="10.33203125" style="10" customWidth="1"/>
  </cols>
  <sheetData>
    <row r="1" spans="1:6" x14ac:dyDescent="0.3">
      <c r="A1" s="42" t="s">
        <v>63</v>
      </c>
      <c r="B1" s="42"/>
      <c r="C1" s="42"/>
      <c r="D1" s="42"/>
      <c r="E1" s="42"/>
      <c r="F1" s="42"/>
    </row>
    <row r="2" spans="1:6" s="6" customFormat="1" ht="15.6" x14ac:dyDescent="0.25">
      <c r="A2" s="35" t="s">
        <v>58</v>
      </c>
      <c r="B2" s="14"/>
      <c r="C2" s="36"/>
      <c r="D2" s="48" t="s">
        <v>458</v>
      </c>
      <c r="E2" s="49"/>
      <c r="F2" s="50"/>
    </row>
    <row r="3" spans="1:6" s="9" customFormat="1" ht="15.6" x14ac:dyDescent="0.25">
      <c r="A3" s="37"/>
      <c r="B3" s="14"/>
      <c r="C3" s="14"/>
      <c r="D3" s="48" t="s">
        <v>457</v>
      </c>
      <c r="E3" s="49"/>
      <c r="F3" s="50"/>
    </row>
    <row r="4" spans="1:6" ht="28.8" x14ac:dyDescent="0.3">
      <c r="A4" s="26" t="s">
        <v>60</v>
      </c>
      <c r="B4" s="26" t="s">
        <v>1</v>
      </c>
      <c r="C4" s="26" t="s">
        <v>3</v>
      </c>
      <c r="D4" s="26" t="s">
        <v>4</v>
      </c>
      <c r="E4" s="26" t="s">
        <v>5</v>
      </c>
      <c r="F4" s="38" t="s">
        <v>459</v>
      </c>
    </row>
    <row r="5" spans="1:6" x14ac:dyDescent="0.3">
      <c r="A5" s="41">
        <v>1</v>
      </c>
      <c r="B5" s="34" t="s">
        <v>9</v>
      </c>
      <c r="C5" s="34" t="s">
        <v>10</v>
      </c>
      <c r="D5" s="34" t="s">
        <v>424</v>
      </c>
      <c r="E5" s="34" t="s">
        <v>109</v>
      </c>
      <c r="F5" s="39">
        <v>4</v>
      </c>
    </row>
    <row r="6" spans="1:6" x14ac:dyDescent="0.3">
      <c r="A6" s="41"/>
      <c r="B6" s="34" t="s">
        <v>20</v>
      </c>
      <c r="C6" s="34" t="s">
        <v>24</v>
      </c>
      <c r="D6" s="34" t="s">
        <v>419</v>
      </c>
      <c r="E6" s="34" t="s">
        <v>133</v>
      </c>
      <c r="F6" s="39">
        <v>5</v>
      </c>
    </row>
    <row r="7" spans="1:6" x14ac:dyDescent="0.3">
      <c r="A7" s="41"/>
      <c r="B7" s="34" t="s">
        <v>20</v>
      </c>
      <c r="C7" s="34" t="s">
        <v>20</v>
      </c>
      <c r="D7" s="34" t="s">
        <v>215</v>
      </c>
      <c r="E7" s="34" t="s">
        <v>131</v>
      </c>
      <c r="F7" s="39">
        <v>6</v>
      </c>
    </row>
    <row r="8" spans="1:6" x14ac:dyDescent="0.3">
      <c r="A8" s="41">
        <v>2</v>
      </c>
      <c r="B8" s="34" t="s">
        <v>28</v>
      </c>
      <c r="C8" s="34" t="s">
        <v>29</v>
      </c>
      <c r="D8" s="34" t="s">
        <v>381</v>
      </c>
      <c r="E8" s="34" t="s">
        <v>184</v>
      </c>
      <c r="F8" s="39">
        <v>3</v>
      </c>
    </row>
    <row r="9" spans="1:6" x14ac:dyDescent="0.3">
      <c r="A9" s="41"/>
      <c r="B9" s="34" t="s">
        <v>32</v>
      </c>
      <c r="C9" s="34" t="s">
        <v>39</v>
      </c>
      <c r="D9" s="34" t="s">
        <v>248</v>
      </c>
      <c r="E9" s="34" t="s">
        <v>51</v>
      </c>
      <c r="F9" s="39">
        <v>4</v>
      </c>
    </row>
    <row r="10" spans="1:6" x14ac:dyDescent="0.3">
      <c r="A10" s="41">
        <v>3</v>
      </c>
      <c r="B10" s="34" t="s">
        <v>53</v>
      </c>
      <c r="C10" s="34" t="s">
        <v>53</v>
      </c>
      <c r="D10" s="34" t="s">
        <v>280</v>
      </c>
      <c r="E10" s="34" t="s">
        <v>152</v>
      </c>
      <c r="F10" s="39">
        <v>4</v>
      </c>
    </row>
    <row r="11" spans="1:6" x14ac:dyDescent="0.3">
      <c r="A11" s="41"/>
      <c r="B11" s="34" t="s">
        <v>53</v>
      </c>
      <c r="C11" s="34" t="s">
        <v>53</v>
      </c>
      <c r="D11" s="34" t="s">
        <v>278</v>
      </c>
      <c r="E11" s="34" t="s">
        <v>167</v>
      </c>
      <c r="F11" s="39">
        <v>5</v>
      </c>
    </row>
    <row r="12" spans="1:6" x14ac:dyDescent="0.3">
      <c r="A12" s="41"/>
      <c r="B12" s="34" t="s">
        <v>53</v>
      </c>
      <c r="C12" s="34" t="s">
        <v>53</v>
      </c>
      <c r="D12" s="34" t="s">
        <v>277</v>
      </c>
      <c r="E12" s="34" t="s">
        <v>161</v>
      </c>
      <c r="F12" s="39">
        <v>6</v>
      </c>
    </row>
    <row r="13" spans="1:6" x14ac:dyDescent="0.3">
      <c r="A13" s="47">
        <v>4</v>
      </c>
      <c r="B13" s="34" t="s">
        <v>31</v>
      </c>
      <c r="C13" s="34" t="s">
        <v>31</v>
      </c>
      <c r="D13" s="34" t="s">
        <v>363</v>
      </c>
      <c r="E13" s="34" t="s">
        <v>122</v>
      </c>
      <c r="F13" s="39">
        <v>4</v>
      </c>
    </row>
    <row r="14" spans="1:6" x14ac:dyDescent="0.3">
      <c r="A14" s="47"/>
      <c r="B14" s="34" t="s">
        <v>31</v>
      </c>
      <c r="C14" s="34" t="s">
        <v>31</v>
      </c>
      <c r="D14" s="34" t="s">
        <v>364</v>
      </c>
      <c r="E14" s="34" t="s">
        <v>174</v>
      </c>
      <c r="F14" s="39">
        <v>5</v>
      </c>
    </row>
    <row r="15" spans="1:6" x14ac:dyDescent="0.3">
      <c r="A15" s="47"/>
      <c r="B15" s="34" t="s">
        <v>44</v>
      </c>
      <c r="C15" s="34" t="s">
        <v>44</v>
      </c>
      <c r="D15" s="34" t="s">
        <v>292</v>
      </c>
      <c r="E15" s="34" t="s">
        <v>133</v>
      </c>
      <c r="F15" s="39">
        <v>6</v>
      </c>
    </row>
    <row r="16" spans="1:6" x14ac:dyDescent="0.3">
      <c r="A16" s="41">
        <v>5</v>
      </c>
      <c r="B16" s="34" t="s">
        <v>6</v>
      </c>
      <c r="C16" s="34" t="s">
        <v>34</v>
      </c>
      <c r="D16" s="34" t="s">
        <v>349</v>
      </c>
      <c r="E16" s="34" t="s">
        <v>164</v>
      </c>
      <c r="F16" s="39">
        <v>3</v>
      </c>
    </row>
    <row r="17" spans="1:6" x14ac:dyDescent="0.3">
      <c r="A17" s="41"/>
      <c r="B17" s="34" t="s">
        <v>6</v>
      </c>
      <c r="C17" s="34" t="s">
        <v>36</v>
      </c>
      <c r="D17" s="34" t="s">
        <v>329</v>
      </c>
      <c r="E17" s="34" t="s">
        <v>51</v>
      </c>
      <c r="F17" s="39">
        <v>4</v>
      </c>
    </row>
    <row r="18" spans="1:6" x14ac:dyDescent="0.3">
      <c r="A18" s="41">
        <v>6</v>
      </c>
      <c r="B18" s="34" t="s">
        <v>38</v>
      </c>
      <c r="C18" s="34" t="s">
        <v>38</v>
      </c>
      <c r="D18" s="34" t="s">
        <v>310</v>
      </c>
      <c r="E18" s="34" t="s">
        <v>311</v>
      </c>
      <c r="F18" s="39">
        <v>3</v>
      </c>
    </row>
    <row r="19" spans="1:6" x14ac:dyDescent="0.3">
      <c r="A19" s="41"/>
      <c r="B19" s="34" t="s">
        <v>57</v>
      </c>
      <c r="C19" s="34" t="s">
        <v>57</v>
      </c>
      <c r="D19" s="34" t="s">
        <v>199</v>
      </c>
      <c r="E19" s="34" t="s">
        <v>46</v>
      </c>
      <c r="F19" s="39">
        <v>4</v>
      </c>
    </row>
    <row r="20" spans="1:6" x14ac:dyDescent="0.3">
      <c r="F20" s="25"/>
    </row>
  </sheetData>
  <mergeCells count="9">
    <mergeCell ref="A16:A17"/>
    <mergeCell ref="A18:A19"/>
    <mergeCell ref="A1:F1"/>
    <mergeCell ref="A5:A7"/>
    <mergeCell ref="A8:A9"/>
    <mergeCell ref="A10:A12"/>
    <mergeCell ref="A13:A15"/>
    <mergeCell ref="D2:F2"/>
    <mergeCell ref="D3:F3"/>
  </mergeCells>
  <pageMargins left="0.11811023622047245" right="0.11811023622047245" top="0.15748031496062992" bottom="0.15748031496062992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0"/>
  <sheetViews>
    <sheetView workbookViewId="0">
      <selection activeCell="A4" sqref="A4:I4"/>
    </sheetView>
  </sheetViews>
  <sheetFormatPr defaultRowHeight="14.4" x14ac:dyDescent="0.3"/>
  <cols>
    <col min="1" max="1" width="9.88671875" bestFit="1" customWidth="1"/>
    <col min="2" max="2" width="13.5546875" bestFit="1" customWidth="1"/>
    <col min="3" max="3" width="29" customWidth="1"/>
    <col min="4" max="4" width="13.5546875" bestFit="1" customWidth="1"/>
    <col min="5" max="5" width="23.88671875" customWidth="1"/>
    <col min="6" max="6" width="35.33203125" bestFit="1" customWidth="1"/>
    <col min="7" max="7" width="9.5546875" customWidth="1"/>
    <col min="8" max="8" width="10.6640625" style="10" customWidth="1"/>
    <col min="9" max="9" width="10.33203125" style="10" customWidth="1"/>
  </cols>
  <sheetData>
    <row r="1" spans="1:11" x14ac:dyDescent="0.3">
      <c r="A1" s="51" t="s">
        <v>63</v>
      </c>
      <c r="B1" s="51"/>
      <c r="C1" s="51"/>
      <c r="D1" s="51"/>
      <c r="E1" s="51"/>
      <c r="F1" s="51"/>
      <c r="G1" s="51"/>
      <c r="H1" s="51"/>
      <c r="I1" s="51"/>
      <c r="J1" s="8"/>
      <c r="K1" s="8"/>
    </row>
    <row r="2" spans="1:11" s="6" customFormat="1" ht="15.6" x14ac:dyDescent="0.25">
      <c r="A2" s="3" t="s">
        <v>58</v>
      </c>
      <c r="B2" s="2" t="s">
        <v>77</v>
      </c>
      <c r="C2" s="5"/>
      <c r="D2" s="4"/>
      <c r="E2" s="4"/>
      <c r="F2" s="40" t="s">
        <v>59</v>
      </c>
      <c r="G2" s="4"/>
      <c r="H2" s="5"/>
      <c r="I2" s="5"/>
    </row>
    <row r="3" spans="1:11" s="9" customFormat="1" ht="15.6" x14ac:dyDescent="0.25">
      <c r="A3" s="7"/>
      <c r="B3" s="5"/>
      <c r="C3" s="5"/>
      <c r="D3" s="5"/>
      <c r="E3" s="5"/>
      <c r="F3" s="40" t="s">
        <v>454</v>
      </c>
      <c r="G3" s="5"/>
      <c r="H3" s="5"/>
      <c r="I3" s="5"/>
    </row>
    <row r="4" spans="1:11" ht="43.2" x14ac:dyDescent="0.3">
      <c r="A4" s="26" t="s">
        <v>60</v>
      </c>
      <c r="B4" s="26" t="s">
        <v>0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38" t="s">
        <v>61</v>
      </c>
      <c r="I4" s="38" t="s">
        <v>62</v>
      </c>
    </row>
    <row r="5" spans="1:11" x14ac:dyDescent="0.3">
      <c r="A5" s="54">
        <v>1</v>
      </c>
      <c r="B5" s="27" t="s">
        <v>110</v>
      </c>
      <c r="C5" s="27" t="s">
        <v>9</v>
      </c>
      <c r="D5" s="27" t="s">
        <v>119</v>
      </c>
      <c r="E5" s="27" t="s">
        <v>10</v>
      </c>
      <c r="F5" s="27" t="s">
        <v>422</v>
      </c>
      <c r="G5" s="27" t="s">
        <v>22</v>
      </c>
      <c r="H5" s="1">
        <v>1</v>
      </c>
      <c r="I5" s="1">
        <v>1</v>
      </c>
    </row>
    <row r="6" spans="1:11" x14ac:dyDescent="0.3">
      <c r="A6" s="55"/>
      <c r="B6" s="27" t="s">
        <v>110</v>
      </c>
      <c r="C6" s="27" t="s">
        <v>9</v>
      </c>
      <c r="D6" s="27" t="s">
        <v>119</v>
      </c>
      <c r="E6" s="27" t="s">
        <v>10</v>
      </c>
      <c r="F6" s="27" t="s">
        <v>423</v>
      </c>
      <c r="G6" s="27" t="s">
        <v>117</v>
      </c>
      <c r="H6" s="1">
        <v>2</v>
      </c>
      <c r="I6" s="1">
        <v>2</v>
      </c>
    </row>
    <row r="7" spans="1:11" x14ac:dyDescent="0.3">
      <c r="A7" s="55"/>
      <c r="B7" s="27" t="s">
        <v>110</v>
      </c>
      <c r="C7" s="27" t="s">
        <v>9</v>
      </c>
      <c r="D7" s="27" t="s">
        <v>119</v>
      </c>
      <c r="E7" s="27" t="s">
        <v>10</v>
      </c>
      <c r="F7" s="27" t="s">
        <v>424</v>
      </c>
      <c r="G7" s="27" t="s">
        <v>109</v>
      </c>
      <c r="H7" s="1">
        <v>3</v>
      </c>
      <c r="I7" s="29">
        <v>3</v>
      </c>
    </row>
    <row r="8" spans="1:11" x14ac:dyDescent="0.3">
      <c r="A8" s="55"/>
      <c r="B8" s="27" t="s">
        <v>110</v>
      </c>
      <c r="C8" s="27" t="s">
        <v>9</v>
      </c>
      <c r="D8" s="27" t="s">
        <v>119</v>
      </c>
      <c r="E8" s="27" t="s">
        <v>10</v>
      </c>
      <c r="F8" s="27" t="s">
        <v>313</v>
      </c>
      <c r="G8" s="27" t="s">
        <v>136</v>
      </c>
      <c r="H8" s="1">
        <v>4</v>
      </c>
      <c r="I8" s="1">
        <v>4</v>
      </c>
    </row>
    <row r="9" spans="1:11" x14ac:dyDescent="0.3">
      <c r="A9" s="55"/>
      <c r="B9" s="27" t="s">
        <v>110</v>
      </c>
      <c r="C9" s="27" t="s">
        <v>9</v>
      </c>
      <c r="D9" s="27" t="s">
        <v>119</v>
      </c>
      <c r="E9" s="27" t="s">
        <v>10</v>
      </c>
      <c r="F9" s="27" t="s">
        <v>425</v>
      </c>
      <c r="G9" s="27" t="s">
        <v>134</v>
      </c>
      <c r="H9" s="1">
        <v>5</v>
      </c>
      <c r="I9" s="28">
        <v>5</v>
      </c>
    </row>
    <row r="10" spans="1:11" x14ac:dyDescent="0.3">
      <c r="A10" s="55"/>
      <c r="B10" s="27" t="s">
        <v>110</v>
      </c>
      <c r="C10" s="27" t="s">
        <v>9</v>
      </c>
      <c r="D10" s="27" t="s">
        <v>119</v>
      </c>
      <c r="E10" s="27" t="s">
        <v>10</v>
      </c>
      <c r="F10" s="27" t="s">
        <v>426</v>
      </c>
      <c r="G10" s="27" t="s">
        <v>119</v>
      </c>
      <c r="H10" s="1">
        <v>6</v>
      </c>
      <c r="I10" s="1">
        <v>6</v>
      </c>
    </row>
    <row r="11" spans="1:11" x14ac:dyDescent="0.3">
      <c r="A11" s="55"/>
      <c r="B11" s="27" t="s">
        <v>110</v>
      </c>
      <c r="C11" s="27" t="s">
        <v>9</v>
      </c>
      <c r="D11" s="27" t="s">
        <v>11</v>
      </c>
      <c r="E11" s="27" t="s">
        <v>15</v>
      </c>
      <c r="F11" s="27" t="s">
        <v>420</v>
      </c>
      <c r="G11" s="27" t="s">
        <v>118</v>
      </c>
      <c r="H11" s="1">
        <v>1</v>
      </c>
      <c r="I11" s="1">
        <v>7</v>
      </c>
    </row>
    <row r="12" spans="1:11" x14ac:dyDescent="0.3">
      <c r="A12" s="55"/>
      <c r="B12" s="27" t="s">
        <v>110</v>
      </c>
      <c r="C12" s="27" t="s">
        <v>9</v>
      </c>
      <c r="D12" s="27" t="s">
        <v>11</v>
      </c>
      <c r="E12" s="27" t="s">
        <v>15</v>
      </c>
      <c r="F12" s="27" t="s">
        <v>204</v>
      </c>
      <c r="G12" s="27" t="s">
        <v>126</v>
      </c>
      <c r="H12" s="1">
        <v>2</v>
      </c>
      <c r="I12" s="28">
        <v>8</v>
      </c>
    </row>
    <row r="13" spans="1:11" x14ac:dyDescent="0.3">
      <c r="A13" s="55"/>
      <c r="B13" s="27" t="s">
        <v>110</v>
      </c>
      <c r="C13" s="27" t="s">
        <v>9</v>
      </c>
      <c r="D13" s="27" t="s">
        <v>11</v>
      </c>
      <c r="E13" s="27" t="s">
        <v>15</v>
      </c>
      <c r="F13" s="27" t="s">
        <v>42</v>
      </c>
      <c r="G13" s="27" t="s">
        <v>106</v>
      </c>
      <c r="H13" s="1">
        <v>3</v>
      </c>
      <c r="I13" s="1">
        <v>9</v>
      </c>
    </row>
    <row r="14" spans="1:11" x14ac:dyDescent="0.3">
      <c r="A14" s="55"/>
      <c r="B14" s="27" t="s">
        <v>110</v>
      </c>
      <c r="C14" s="27" t="s">
        <v>9</v>
      </c>
      <c r="D14" s="27" t="s">
        <v>11</v>
      </c>
      <c r="E14" s="27" t="s">
        <v>15</v>
      </c>
      <c r="F14" s="27" t="s">
        <v>421</v>
      </c>
      <c r="G14" s="27" t="s">
        <v>111</v>
      </c>
      <c r="H14" s="1">
        <v>4</v>
      </c>
      <c r="I14" s="1">
        <v>10</v>
      </c>
    </row>
    <row r="15" spans="1:11" x14ac:dyDescent="0.3">
      <c r="A15" s="55"/>
      <c r="B15" s="27" t="s">
        <v>17</v>
      </c>
      <c r="C15" s="27" t="s">
        <v>20</v>
      </c>
      <c r="D15" s="27" t="s">
        <v>104</v>
      </c>
      <c r="E15" s="27" t="s">
        <v>20</v>
      </c>
      <c r="F15" s="27" t="s">
        <v>400</v>
      </c>
      <c r="G15" s="27" t="s">
        <v>109</v>
      </c>
      <c r="H15" s="1">
        <v>1</v>
      </c>
      <c r="I15" s="1">
        <v>11</v>
      </c>
    </row>
    <row r="16" spans="1:11" x14ac:dyDescent="0.3">
      <c r="A16" s="55"/>
      <c r="B16" s="27" t="s">
        <v>17</v>
      </c>
      <c r="C16" s="27" t="s">
        <v>20</v>
      </c>
      <c r="D16" s="27" t="s">
        <v>104</v>
      </c>
      <c r="E16" s="27" t="s">
        <v>20</v>
      </c>
      <c r="F16" s="27" t="s">
        <v>401</v>
      </c>
      <c r="G16" s="27" t="s">
        <v>113</v>
      </c>
      <c r="H16" s="1">
        <v>2</v>
      </c>
      <c r="I16" s="1">
        <v>12</v>
      </c>
    </row>
    <row r="17" spans="1:9" x14ac:dyDescent="0.3">
      <c r="A17" s="55"/>
      <c r="B17" s="27" t="s">
        <v>17</v>
      </c>
      <c r="C17" s="27" t="s">
        <v>20</v>
      </c>
      <c r="D17" s="27" t="s">
        <v>104</v>
      </c>
      <c r="E17" s="27" t="s">
        <v>20</v>
      </c>
      <c r="F17" s="27" t="s">
        <v>402</v>
      </c>
      <c r="G17" s="27" t="s">
        <v>104</v>
      </c>
      <c r="H17" s="1">
        <v>3</v>
      </c>
      <c r="I17" s="1">
        <v>13</v>
      </c>
    </row>
    <row r="18" spans="1:9" x14ac:dyDescent="0.3">
      <c r="A18" s="55"/>
      <c r="B18" s="27" t="s">
        <v>17</v>
      </c>
      <c r="C18" s="27" t="s">
        <v>20</v>
      </c>
      <c r="D18" s="27" t="s">
        <v>104</v>
      </c>
      <c r="E18" s="27" t="s">
        <v>20</v>
      </c>
      <c r="F18" s="27" t="s">
        <v>403</v>
      </c>
      <c r="G18" s="27" t="s">
        <v>48</v>
      </c>
      <c r="H18" s="1">
        <v>4</v>
      </c>
      <c r="I18" s="1">
        <v>14</v>
      </c>
    </row>
    <row r="19" spans="1:9" x14ac:dyDescent="0.3">
      <c r="A19" s="55"/>
      <c r="B19" s="27" t="s">
        <v>17</v>
      </c>
      <c r="C19" s="27" t="s">
        <v>20</v>
      </c>
      <c r="D19" s="27" t="s">
        <v>104</v>
      </c>
      <c r="E19" s="27" t="s">
        <v>20</v>
      </c>
      <c r="F19" s="27" t="s">
        <v>404</v>
      </c>
      <c r="G19" s="27" t="s">
        <v>139</v>
      </c>
      <c r="H19" s="1">
        <v>5</v>
      </c>
      <c r="I19" s="1">
        <v>15</v>
      </c>
    </row>
    <row r="20" spans="1:9" x14ac:dyDescent="0.3">
      <c r="A20" s="55"/>
      <c r="B20" s="27" t="s">
        <v>17</v>
      </c>
      <c r="C20" s="27" t="s">
        <v>20</v>
      </c>
      <c r="D20" s="27" t="s">
        <v>104</v>
      </c>
      <c r="E20" s="27" t="s">
        <v>20</v>
      </c>
      <c r="F20" s="27" t="s">
        <v>215</v>
      </c>
      <c r="G20" s="27" t="s">
        <v>131</v>
      </c>
      <c r="H20" s="1">
        <v>6</v>
      </c>
      <c r="I20" s="29">
        <v>16</v>
      </c>
    </row>
    <row r="21" spans="1:9" x14ac:dyDescent="0.3">
      <c r="A21" s="55"/>
      <c r="B21" s="27" t="s">
        <v>17</v>
      </c>
      <c r="C21" s="27" t="s">
        <v>20</v>
      </c>
      <c r="D21" s="27" t="s">
        <v>104</v>
      </c>
      <c r="E21" s="27" t="s">
        <v>20</v>
      </c>
      <c r="F21" s="27" t="s">
        <v>405</v>
      </c>
      <c r="G21" s="27" t="s">
        <v>132</v>
      </c>
      <c r="H21" s="1">
        <v>7</v>
      </c>
      <c r="I21" s="1">
        <v>17</v>
      </c>
    </row>
    <row r="22" spans="1:9" x14ac:dyDescent="0.3">
      <c r="A22" s="55"/>
      <c r="B22" s="27" t="s">
        <v>17</v>
      </c>
      <c r="C22" s="27" t="s">
        <v>20</v>
      </c>
      <c r="D22" s="27" t="s">
        <v>104</v>
      </c>
      <c r="E22" s="27" t="s">
        <v>20</v>
      </c>
      <c r="F22" s="27" t="s">
        <v>406</v>
      </c>
      <c r="G22" s="27" t="s">
        <v>14</v>
      </c>
      <c r="H22" s="1">
        <v>8</v>
      </c>
      <c r="I22" s="1">
        <v>18</v>
      </c>
    </row>
    <row r="23" spans="1:9" x14ac:dyDescent="0.3">
      <c r="A23" s="55"/>
      <c r="B23" s="27" t="s">
        <v>17</v>
      </c>
      <c r="C23" s="27" t="s">
        <v>20</v>
      </c>
      <c r="D23" s="27" t="s">
        <v>104</v>
      </c>
      <c r="E23" s="27" t="s">
        <v>20</v>
      </c>
      <c r="F23" s="27" t="s">
        <v>407</v>
      </c>
      <c r="G23" s="27" t="s">
        <v>206</v>
      </c>
      <c r="H23" s="1">
        <v>9</v>
      </c>
      <c r="I23" s="1">
        <v>19</v>
      </c>
    </row>
    <row r="24" spans="1:9" x14ac:dyDescent="0.3">
      <c r="A24" s="55"/>
      <c r="B24" s="27" t="s">
        <v>17</v>
      </c>
      <c r="C24" s="27" t="s">
        <v>20</v>
      </c>
      <c r="D24" s="27" t="s">
        <v>104</v>
      </c>
      <c r="E24" s="27" t="s">
        <v>20</v>
      </c>
      <c r="F24" s="27" t="s">
        <v>408</v>
      </c>
      <c r="G24" s="27" t="s">
        <v>207</v>
      </c>
      <c r="H24" s="1">
        <v>10</v>
      </c>
      <c r="I24" s="1">
        <v>20</v>
      </c>
    </row>
    <row r="25" spans="1:9" x14ac:dyDescent="0.3">
      <c r="A25" s="55"/>
      <c r="B25" s="27" t="s">
        <v>17</v>
      </c>
      <c r="C25" s="27" t="s">
        <v>20</v>
      </c>
      <c r="D25" s="27" t="s">
        <v>104</v>
      </c>
      <c r="E25" s="27" t="s">
        <v>20</v>
      </c>
      <c r="F25" s="27" t="s">
        <v>409</v>
      </c>
      <c r="G25" s="27" t="s">
        <v>197</v>
      </c>
      <c r="H25" s="1">
        <v>11</v>
      </c>
      <c r="I25" s="28">
        <v>21</v>
      </c>
    </row>
    <row r="26" spans="1:9" x14ac:dyDescent="0.3">
      <c r="A26" s="55"/>
      <c r="B26" s="27" t="s">
        <v>17</v>
      </c>
      <c r="C26" s="27" t="s">
        <v>20</v>
      </c>
      <c r="D26" s="27" t="s">
        <v>104</v>
      </c>
      <c r="E26" s="27" t="s">
        <v>20</v>
      </c>
      <c r="F26" s="27" t="s">
        <v>410</v>
      </c>
      <c r="G26" s="27" t="s">
        <v>115</v>
      </c>
      <c r="H26" s="1">
        <v>12</v>
      </c>
      <c r="I26" s="1">
        <v>22</v>
      </c>
    </row>
    <row r="27" spans="1:9" x14ac:dyDescent="0.3">
      <c r="A27" s="55"/>
      <c r="B27" s="27" t="s">
        <v>17</v>
      </c>
      <c r="C27" s="27" t="s">
        <v>20</v>
      </c>
      <c r="D27" s="27" t="s">
        <v>105</v>
      </c>
      <c r="E27" s="27" t="s">
        <v>24</v>
      </c>
      <c r="F27" s="27" t="s">
        <v>419</v>
      </c>
      <c r="G27" s="27" t="s">
        <v>133</v>
      </c>
      <c r="H27" s="1">
        <v>1</v>
      </c>
      <c r="I27" s="29">
        <v>23</v>
      </c>
    </row>
    <row r="28" spans="1:9" x14ac:dyDescent="0.3">
      <c r="A28" s="55"/>
      <c r="B28" s="27" t="s">
        <v>17</v>
      </c>
      <c r="C28" s="27" t="s">
        <v>20</v>
      </c>
      <c r="D28" s="27" t="s">
        <v>123</v>
      </c>
      <c r="E28" s="27" t="s">
        <v>27</v>
      </c>
      <c r="F28" s="27" t="s">
        <v>411</v>
      </c>
      <c r="G28" s="27" t="s">
        <v>152</v>
      </c>
      <c r="H28" s="1">
        <v>1</v>
      </c>
      <c r="I28" s="1">
        <v>24</v>
      </c>
    </row>
    <row r="29" spans="1:9" x14ac:dyDescent="0.3">
      <c r="A29" s="55"/>
      <c r="B29" s="27" t="s">
        <v>17</v>
      </c>
      <c r="C29" s="27" t="s">
        <v>20</v>
      </c>
      <c r="D29" s="27" t="s">
        <v>123</v>
      </c>
      <c r="E29" s="27" t="s">
        <v>27</v>
      </c>
      <c r="F29" s="27" t="s">
        <v>412</v>
      </c>
      <c r="G29" s="27" t="s">
        <v>143</v>
      </c>
      <c r="H29" s="1">
        <v>2</v>
      </c>
      <c r="I29" s="1">
        <v>25</v>
      </c>
    </row>
    <row r="30" spans="1:9" x14ac:dyDescent="0.3">
      <c r="A30" s="55"/>
      <c r="B30" s="27" t="s">
        <v>17</v>
      </c>
      <c r="C30" s="27" t="s">
        <v>20</v>
      </c>
      <c r="D30" s="27" t="s">
        <v>123</v>
      </c>
      <c r="E30" s="27" t="s">
        <v>27</v>
      </c>
      <c r="F30" s="27" t="s">
        <v>413</v>
      </c>
      <c r="G30" s="27" t="s">
        <v>121</v>
      </c>
      <c r="H30" s="1">
        <v>3</v>
      </c>
      <c r="I30" s="1">
        <v>26</v>
      </c>
    </row>
    <row r="31" spans="1:9" x14ac:dyDescent="0.3">
      <c r="A31" s="55"/>
      <c r="B31" s="27" t="s">
        <v>17</v>
      </c>
      <c r="C31" s="27" t="s">
        <v>20</v>
      </c>
      <c r="D31" s="27" t="s">
        <v>123</v>
      </c>
      <c r="E31" s="27" t="s">
        <v>27</v>
      </c>
      <c r="F31" s="27" t="s">
        <v>414</v>
      </c>
      <c r="G31" s="27" t="s">
        <v>116</v>
      </c>
      <c r="H31" s="1">
        <v>4</v>
      </c>
      <c r="I31" s="1">
        <v>27</v>
      </c>
    </row>
    <row r="32" spans="1:9" x14ac:dyDescent="0.3">
      <c r="A32" s="55"/>
      <c r="B32" s="27" t="s">
        <v>17</v>
      </c>
      <c r="C32" s="27" t="s">
        <v>20</v>
      </c>
      <c r="D32" s="27" t="s">
        <v>123</v>
      </c>
      <c r="E32" s="27" t="s">
        <v>27</v>
      </c>
      <c r="F32" s="27" t="s">
        <v>415</v>
      </c>
      <c r="G32" s="27" t="s">
        <v>177</v>
      </c>
      <c r="H32" s="1">
        <v>5</v>
      </c>
      <c r="I32" s="1">
        <v>28</v>
      </c>
    </row>
    <row r="33" spans="1:9" x14ac:dyDescent="0.3">
      <c r="A33" s="55"/>
      <c r="B33" s="27" t="s">
        <v>17</v>
      </c>
      <c r="C33" s="27" t="s">
        <v>20</v>
      </c>
      <c r="D33" s="27" t="s">
        <v>123</v>
      </c>
      <c r="E33" s="27" t="s">
        <v>27</v>
      </c>
      <c r="F33" s="27" t="s">
        <v>416</v>
      </c>
      <c r="G33" s="27" t="s">
        <v>145</v>
      </c>
      <c r="H33" s="1">
        <v>6</v>
      </c>
      <c r="I33" s="1">
        <v>29</v>
      </c>
    </row>
    <row r="34" spans="1:9" x14ac:dyDescent="0.3">
      <c r="A34" s="55"/>
      <c r="B34" s="27" t="s">
        <v>17</v>
      </c>
      <c r="C34" s="27" t="s">
        <v>20</v>
      </c>
      <c r="D34" s="27" t="s">
        <v>123</v>
      </c>
      <c r="E34" s="27" t="s">
        <v>27</v>
      </c>
      <c r="F34" s="27" t="s">
        <v>417</v>
      </c>
      <c r="G34" s="27" t="s">
        <v>128</v>
      </c>
      <c r="H34" s="1">
        <v>7</v>
      </c>
      <c r="I34" s="1">
        <v>30</v>
      </c>
    </row>
    <row r="35" spans="1:9" x14ac:dyDescent="0.3">
      <c r="A35" s="55"/>
      <c r="B35" s="27" t="s">
        <v>17</v>
      </c>
      <c r="C35" s="27" t="s">
        <v>20</v>
      </c>
      <c r="D35" s="27" t="s">
        <v>123</v>
      </c>
      <c r="E35" s="27" t="s">
        <v>27</v>
      </c>
      <c r="F35" s="27" t="s">
        <v>418</v>
      </c>
      <c r="G35" s="27" t="s">
        <v>154</v>
      </c>
      <c r="H35" s="1">
        <v>8</v>
      </c>
      <c r="I35" s="1">
        <v>31</v>
      </c>
    </row>
    <row r="36" spans="1:9" x14ac:dyDescent="0.3">
      <c r="A36" s="55">
        <v>2</v>
      </c>
      <c r="B36" s="27" t="s">
        <v>46</v>
      </c>
      <c r="C36" s="27" t="s">
        <v>32</v>
      </c>
      <c r="D36" s="27" t="s">
        <v>11</v>
      </c>
      <c r="E36" s="27" t="s">
        <v>15</v>
      </c>
      <c r="F36" s="27" t="s">
        <v>242</v>
      </c>
      <c r="G36" s="30" t="s">
        <v>149</v>
      </c>
      <c r="H36" s="31">
        <v>1</v>
      </c>
      <c r="I36" s="1">
        <v>1</v>
      </c>
    </row>
    <row r="37" spans="1:9" x14ac:dyDescent="0.3">
      <c r="A37" s="55"/>
      <c r="B37" s="27" t="s">
        <v>46</v>
      </c>
      <c r="C37" s="27" t="s">
        <v>32</v>
      </c>
      <c r="D37" s="27" t="s">
        <v>124</v>
      </c>
      <c r="E37" s="27" t="s">
        <v>32</v>
      </c>
      <c r="F37" s="27" t="s">
        <v>243</v>
      </c>
      <c r="G37" s="30" t="s">
        <v>170</v>
      </c>
      <c r="H37" s="31">
        <v>2</v>
      </c>
      <c r="I37" s="1">
        <v>2</v>
      </c>
    </row>
    <row r="38" spans="1:9" x14ac:dyDescent="0.3">
      <c r="A38" s="55"/>
      <c r="B38" s="27" t="s">
        <v>46</v>
      </c>
      <c r="C38" s="27" t="s">
        <v>32</v>
      </c>
      <c r="D38" s="27" t="s">
        <v>124</v>
      </c>
      <c r="E38" s="27" t="s">
        <v>32</v>
      </c>
      <c r="F38" s="27" t="s">
        <v>244</v>
      </c>
      <c r="G38" s="30" t="s">
        <v>168</v>
      </c>
      <c r="H38" s="31">
        <v>3</v>
      </c>
      <c r="I38" s="1">
        <v>3</v>
      </c>
    </row>
    <row r="39" spans="1:9" x14ac:dyDescent="0.3">
      <c r="A39" s="55"/>
      <c r="B39" s="27" t="s">
        <v>46</v>
      </c>
      <c r="C39" s="27" t="s">
        <v>32</v>
      </c>
      <c r="D39" s="27" t="s">
        <v>124</v>
      </c>
      <c r="E39" s="27" t="s">
        <v>32</v>
      </c>
      <c r="F39" s="27" t="s">
        <v>32</v>
      </c>
      <c r="G39" s="30" t="s">
        <v>182</v>
      </c>
      <c r="H39" s="31">
        <v>4</v>
      </c>
      <c r="I39" s="1">
        <v>4</v>
      </c>
    </row>
    <row r="40" spans="1:9" x14ac:dyDescent="0.3">
      <c r="A40" s="55"/>
      <c r="B40" s="27" t="s">
        <v>46</v>
      </c>
      <c r="C40" s="27" t="s">
        <v>32</v>
      </c>
      <c r="D40" s="27" t="s">
        <v>124</v>
      </c>
      <c r="E40" s="27" t="s">
        <v>32</v>
      </c>
      <c r="F40" s="27" t="s">
        <v>245</v>
      </c>
      <c r="G40" s="30" t="s">
        <v>181</v>
      </c>
      <c r="H40" s="31">
        <v>5</v>
      </c>
      <c r="I40" s="1">
        <v>5</v>
      </c>
    </row>
    <row r="41" spans="1:9" x14ac:dyDescent="0.3">
      <c r="A41" s="55"/>
      <c r="B41" s="27" t="s">
        <v>46</v>
      </c>
      <c r="C41" s="27" t="s">
        <v>32</v>
      </c>
      <c r="D41" s="27" t="s">
        <v>124</v>
      </c>
      <c r="E41" s="27" t="s">
        <v>32</v>
      </c>
      <c r="F41" s="27" t="s">
        <v>246</v>
      </c>
      <c r="G41" s="30" t="s">
        <v>247</v>
      </c>
      <c r="H41" s="31">
        <v>6</v>
      </c>
      <c r="I41" s="1">
        <v>6</v>
      </c>
    </row>
    <row r="42" spans="1:9" x14ac:dyDescent="0.3">
      <c r="A42" s="55"/>
      <c r="B42" s="27" t="s">
        <v>46</v>
      </c>
      <c r="C42" s="27" t="s">
        <v>32</v>
      </c>
      <c r="D42" s="27" t="s">
        <v>25</v>
      </c>
      <c r="E42" s="27" t="s">
        <v>39</v>
      </c>
      <c r="F42" s="27" t="s">
        <v>248</v>
      </c>
      <c r="G42" s="27" t="s">
        <v>51</v>
      </c>
      <c r="H42" s="1">
        <v>1</v>
      </c>
      <c r="I42" s="29">
        <v>7</v>
      </c>
    </row>
    <row r="43" spans="1:9" x14ac:dyDescent="0.3">
      <c r="A43" s="55"/>
      <c r="B43" s="27" t="s">
        <v>46</v>
      </c>
      <c r="C43" s="27" t="s">
        <v>32</v>
      </c>
      <c r="D43" s="27" t="s">
        <v>25</v>
      </c>
      <c r="E43" s="27" t="s">
        <v>39</v>
      </c>
      <c r="F43" s="27" t="s">
        <v>249</v>
      </c>
      <c r="G43" s="27" t="s">
        <v>18</v>
      </c>
      <c r="H43" s="1">
        <v>2</v>
      </c>
      <c r="I43" s="1">
        <v>8</v>
      </c>
    </row>
    <row r="44" spans="1:9" x14ac:dyDescent="0.3">
      <c r="A44" s="55"/>
      <c r="B44" s="27" t="s">
        <v>46</v>
      </c>
      <c r="C44" s="27" t="s">
        <v>32</v>
      </c>
      <c r="D44" s="27" t="s">
        <v>25</v>
      </c>
      <c r="E44" s="27" t="s">
        <v>39</v>
      </c>
      <c r="F44" s="27" t="s">
        <v>250</v>
      </c>
      <c r="G44" s="27" t="s">
        <v>142</v>
      </c>
      <c r="H44" s="1">
        <v>3</v>
      </c>
      <c r="I44" s="1">
        <v>9</v>
      </c>
    </row>
    <row r="45" spans="1:9" x14ac:dyDescent="0.3">
      <c r="A45" s="55"/>
      <c r="B45" s="27" t="s">
        <v>46</v>
      </c>
      <c r="C45" s="27" t="s">
        <v>32</v>
      </c>
      <c r="D45" s="27" t="s">
        <v>25</v>
      </c>
      <c r="E45" s="27" t="s">
        <v>39</v>
      </c>
      <c r="F45" s="27" t="s">
        <v>251</v>
      </c>
      <c r="G45" s="27" t="s">
        <v>109</v>
      </c>
      <c r="H45" s="1">
        <v>4</v>
      </c>
      <c r="I45" s="1">
        <v>10</v>
      </c>
    </row>
    <row r="46" spans="1:9" x14ac:dyDescent="0.3">
      <c r="A46" s="55"/>
      <c r="B46" s="27" t="s">
        <v>46</v>
      </c>
      <c r="C46" s="27" t="s">
        <v>32</v>
      </c>
      <c r="D46" s="27" t="s">
        <v>25</v>
      </c>
      <c r="E46" s="27" t="s">
        <v>39</v>
      </c>
      <c r="F46" s="27" t="s">
        <v>252</v>
      </c>
      <c r="G46" s="27" t="s">
        <v>133</v>
      </c>
      <c r="H46" s="1">
        <v>5</v>
      </c>
      <c r="I46" s="1">
        <v>11</v>
      </c>
    </row>
    <row r="47" spans="1:9" x14ac:dyDescent="0.3">
      <c r="A47" s="55"/>
      <c r="B47" s="27" t="s">
        <v>46</v>
      </c>
      <c r="C47" s="27" t="s">
        <v>32</v>
      </c>
      <c r="D47" s="27" t="s">
        <v>25</v>
      </c>
      <c r="E47" s="27" t="s">
        <v>39</v>
      </c>
      <c r="F47" s="27" t="s">
        <v>253</v>
      </c>
      <c r="G47" s="27" t="s">
        <v>134</v>
      </c>
      <c r="H47" s="1">
        <v>6</v>
      </c>
      <c r="I47" s="1">
        <v>12</v>
      </c>
    </row>
    <row r="48" spans="1:9" x14ac:dyDescent="0.3">
      <c r="A48" s="55"/>
      <c r="B48" s="27" t="s">
        <v>46</v>
      </c>
      <c r="C48" s="27" t="s">
        <v>32</v>
      </c>
      <c r="D48" s="27" t="s">
        <v>25</v>
      </c>
      <c r="E48" s="27" t="s">
        <v>39</v>
      </c>
      <c r="F48" s="27" t="s">
        <v>254</v>
      </c>
      <c r="G48" s="27" t="s">
        <v>110</v>
      </c>
      <c r="H48" s="1">
        <v>7</v>
      </c>
      <c r="I48" s="1">
        <v>13</v>
      </c>
    </row>
    <row r="49" spans="1:9" x14ac:dyDescent="0.3">
      <c r="A49" s="55"/>
      <c r="B49" s="27" t="s">
        <v>46</v>
      </c>
      <c r="C49" s="27" t="s">
        <v>32</v>
      </c>
      <c r="D49" s="27" t="s">
        <v>25</v>
      </c>
      <c r="E49" s="27" t="s">
        <v>39</v>
      </c>
      <c r="F49" s="27" t="s">
        <v>255</v>
      </c>
      <c r="G49" s="27" t="s">
        <v>113</v>
      </c>
      <c r="H49" s="1">
        <v>8</v>
      </c>
      <c r="I49" s="1">
        <v>14</v>
      </c>
    </row>
    <row r="50" spans="1:9" x14ac:dyDescent="0.3">
      <c r="A50" s="55"/>
      <c r="B50" s="27" t="s">
        <v>46</v>
      </c>
      <c r="C50" s="27" t="s">
        <v>32</v>
      </c>
      <c r="D50" s="27" t="s">
        <v>25</v>
      </c>
      <c r="E50" s="27" t="s">
        <v>39</v>
      </c>
      <c r="F50" s="27" t="s">
        <v>256</v>
      </c>
      <c r="G50" s="27" t="s">
        <v>114</v>
      </c>
      <c r="H50" s="1">
        <v>9</v>
      </c>
      <c r="I50" s="1">
        <v>15</v>
      </c>
    </row>
    <row r="51" spans="1:9" x14ac:dyDescent="0.3">
      <c r="A51" s="55"/>
      <c r="B51" s="27" t="s">
        <v>46</v>
      </c>
      <c r="C51" s="27" t="s">
        <v>32</v>
      </c>
      <c r="D51" s="27" t="s">
        <v>25</v>
      </c>
      <c r="E51" s="27" t="s">
        <v>39</v>
      </c>
      <c r="F51" s="27" t="s">
        <v>257</v>
      </c>
      <c r="G51" s="27" t="s">
        <v>46</v>
      </c>
      <c r="H51" s="1">
        <v>10</v>
      </c>
      <c r="I51" s="28">
        <v>16</v>
      </c>
    </row>
    <row r="52" spans="1:9" x14ac:dyDescent="0.3">
      <c r="A52" s="55"/>
      <c r="B52" s="27" t="s">
        <v>133</v>
      </c>
      <c r="C52" s="27" t="s">
        <v>28</v>
      </c>
      <c r="D52" s="27" t="s">
        <v>21</v>
      </c>
      <c r="E52" s="27" t="s">
        <v>29</v>
      </c>
      <c r="F52" s="27" t="s">
        <v>372</v>
      </c>
      <c r="G52" s="27" t="s">
        <v>213</v>
      </c>
      <c r="H52" s="1">
        <v>1</v>
      </c>
      <c r="I52" s="1">
        <v>17</v>
      </c>
    </row>
    <row r="53" spans="1:9" x14ac:dyDescent="0.3">
      <c r="A53" s="55"/>
      <c r="B53" s="27" t="s">
        <v>133</v>
      </c>
      <c r="C53" s="27" t="s">
        <v>28</v>
      </c>
      <c r="D53" s="27" t="s">
        <v>21</v>
      </c>
      <c r="E53" s="27" t="s">
        <v>29</v>
      </c>
      <c r="F53" s="27" t="s">
        <v>373</v>
      </c>
      <c r="G53" s="27" t="s">
        <v>374</v>
      </c>
      <c r="H53" s="1">
        <v>2</v>
      </c>
      <c r="I53" s="1">
        <v>18</v>
      </c>
    </row>
    <row r="54" spans="1:9" x14ac:dyDescent="0.3">
      <c r="A54" s="55"/>
      <c r="B54" s="27" t="s">
        <v>133</v>
      </c>
      <c r="C54" s="27" t="s">
        <v>28</v>
      </c>
      <c r="D54" s="27" t="s">
        <v>21</v>
      </c>
      <c r="E54" s="27" t="s">
        <v>29</v>
      </c>
      <c r="F54" s="27" t="s">
        <v>375</v>
      </c>
      <c r="G54" s="27" t="s">
        <v>190</v>
      </c>
      <c r="H54" s="1">
        <v>3</v>
      </c>
      <c r="I54" s="1">
        <v>19</v>
      </c>
    </row>
    <row r="55" spans="1:9" x14ac:dyDescent="0.3">
      <c r="A55" s="55"/>
      <c r="B55" s="27" t="s">
        <v>133</v>
      </c>
      <c r="C55" s="27" t="s">
        <v>28</v>
      </c>
      <c r="D55" s="27" t="s">
        <v>21</v>
      </c>
      <c r="E55" s="27" t="s">
        <v>29</v>
      </c>
      <c r="F55" s="27" t="s">
        <v>176</v>
      </c>
      <c r="G55" s="27" t="s">
        <v>274</v>
      </c>
      <c r="H55" s="1">
        <v>4</v>
      </c>
      <c r="I55" s="1">
        <v>20</v>
      </c>
    </row>
    <row r="56" spans="1:9" x14ac:dyDescent="0.3">
      <c r="A56" s="55"/>
      <c r="B56" s="27" t="s">
        <v>133</v>
      </c>
      <c r="C56" s="27" t="s">
        <v>28</v>
      </c>
      <c r="D56" s="27" t="s">
        <v>21</v>
      </c>
      <c r="E56" s="27" t="s">
        <v>29</v>
      </c>
      <c r="F56" s="27" t="s">
        <v>376</v>
      </c>
      <c r="G56" s="27" t="s">
        <v>377</v>
      </c>
      <c r="H56" s="1">
        <v>5</v>
      </c>
      <c r="I56" s="1">
        <v>21</v>
      </c>
    </row>
    <row r="57" spans="1:9" x14ac:dyDescent="0.3">
      <c r="A57" s="55"/>
      <c r="B57" s="27" t="s">
        <v>133</v>
      </c>
      <c r="C57" s="27" t="s">
        <v>28</v>
      </c>
      <c r="D57" s="27" t="s">
        <v>21</v>
      </c>
      <c r="E57" s="27" t="s">
        <v>29</v>
      </c>
      <c r="F57" s="27" t="s">
        <v>29</v>
      </c>
      <c r="G57" s="27" t="s">
        <v>168</v>
      </c>
      <c r="H57" s="1">
        <v>6</v>
      </c>
      <c r="I57" s="1">
        <v>22</v>
      </c>
    </row>
    <row r="58" spans="1:9" x14ac:dyDescent="0.3">
      <c r="A58" s="55"/>
      <c r="B58" s="27" t="s">
        <v>133</v>
      </c>
      <c r="C58" s="27" t="s">
        <v>28</v>
      </c>
      <c r="D58" s="27" t="s">
        <v>21</v>
      </c>
      <c r="E58" s="27" t="s">
        <v>29</v>
      </c>
      <c r="F58" s="27" t="s">
        <v>378</v>
      </c>
      <c r="G58" s="27" t="s">
        <v>379</v>
      </c>
      <c r="H58" s="1">
        <v>7</v>
      </c>
      <c r="I58" s="1">
        <v>23</v>
      </c>
    </row>
    <row r="59" spans="1:9" x14ac:dyDescent="0.3">
      <c r="A59" s="55"/>
      <c r="B59" s="27" t="s">
        <v>133</v>
      </c>
      <c r="C59" s="27" t="s">
        <v>28</v>
      </c>
      <c r="D59" s="27" t="s">
        <v>21</v>
      </c>
      <c r="E59" s="27" t="s">
        <v>29</v>
      </c>
      <c r="F59" s="27" t="s">
        <v>380</v>
      </c>
      <c r="G59" s="27" t="s">
        <v>175</v>
      </c>
      <c r="H59" s="1">
        <v>8</v>
      </c>
      <c r="I59" s="1">
        <v>24</v>
      </c>
    </row>
    <row r="60" spans="1:9" x14ac:dyDescent="0.3">
      <c r="A60" s="55"/>
      <c r="B60" s="27" t="s">
        <v>133</v>
      </c>
      <c r="C60" s="27" t="s">
        <v>28</v>
      </c>
      <c r="D60" s="27" t="s">
        <v>21</v>
      </c>
      <c r="E60" s="27" t="s">
        <v>29</v>
      </c>
      <c r="F60" s="27" t="s">
        <v>381</v>
      </c>
      <c r="G60" s="27" t="s">
        <v>184</v>
      </c>
      <c r="H60" s="1">
        <v>9</v>
      </c>
      <c r="I60" s="29">
        <v>25</v>
      </c>
    </row>
    <row r="61" spans="1:9" x14ac:dyDescent="0.3">
      <c r="A61" s="55"/>
      <c r="B61" s="27" t="s">
        <v>133</v>
      </c>
      <c r="C61" s="27" t="s">
        <v>28</v>
      </c>
      <c r="D61" s="27" t="s">
        <v>21</v>
      </c>
      <c r="E61" s="27" t="s">
        <v>29</v>
      </c>
      <c r="F61" s="27" t="s">
        <v>382</v>
      </c>
      <c r="G61" s="27" t="s">
        <v>383</v>
      </c>
      <c r="H61" s="1">
        <v>10</v>
      </c>
      <c r="I61" s="1">
        <v>26</v>
      </c>
    </row>
    <row r="62" spans="1:9" x14ac:dyDescent="0.3">
      <c r="A62" s="55"/>
      <c r="B62" s="27" t="s">
        <v>133</v>
      </c>
      <c r="C62" s="27" t="s">
        <v>28</v>
      </c>
      <c r="D62" s="27" t="s">
        <v>21</v>
      </c>
      <c r="E62" s="27" t="s">
        <v>29</v>
      </c>
      <c r="F62" s="27" t="s">
        <v>384</v>
      </c>
      <c r="G62" s="27" t="s">
        <v>272</v>
      </c>
      <c r="H62" s="1">
        <v>11</v>
      </c>
      <c r="I62" s="1">
        <v>27</v>
      </c>
    </row>
    <row r="63" spans="1:9" x14ac:dyDescent="0.3">
      <c r="A63" s="55"/>
      <c r="B63" s="27" t="s">
        <v>133</v>
      </c>
      <c r="C63" s="27" t="s">
        <v>28</v>
      </c>
      <c r="D63" s="27" t="s">
        <v>21</v>
      </c>
      <c r="E63" s="27" t="s">
        <v>29</v>
      </c>
      <c r="F63" s="27" t="s">
        <v>385</v>
      </c>
      <c r="G63" s="27" t="s">
        <v>386</v>
      </c>
      <c r="H63" s="1">
        <v>12</v>
      </c>
      <c r="I63" s="1">
        <v>28</v>
      </c>
    </row>
    <row r="64" spans="1:9" x14ac:dyDescent="0.3">
      <c r="A64" s="55"/>
      <c r="B64" s="27" t="s">
        <v>133</v>
      </c>
      <c r="C64" s="27" t="s">
        <v>28</v>
      </c>
      <c r="D64" s="27" t="s">
        <v>21</v>
      </c>
      <c r="E64" s="27" t="s">
        <v>29</v>
      </c>
      <c r="F64" s="27" t="s">
        <v>387</v>
      </c>
      <c r="G64" s="27" t="s">
        <v>173</v>
      </c>
      <c r="H64" s="1">
        <v>13</v>
      </c>
      <c r="I64" s="1">
        <v>29</v>
      </c>
    </row>
    <row r="65" spans="1:9" x14ac:dyDescent="0.3">
      <c r="A65" s="55"/>
      <c r="B65" s="27" t="s">
        <v>133</v>
      </c>
      <c r="C65" s="27" t="s">
        <v>28</v>
      </c>
      <c r="D65" s="27" t="s">
        <v>111</v>
      </c>
      <c r="E65" s="27" t="s">
        <v>28</v>
      </c>
      <c r="F65" s="27" t="s">
        <v>388</v>
      </c>
      <c r="G65" s="27" t="s">
        <v>23</v>
      </c>
      <c r="H65" s="1">
        <v>1</v>
      </c>
      <c r="I65" s="1">
        <v>30</v>
      </c>
    </row>
    <row r="66" spans="1:9" x14ac:dyDescent="0.3">
      <c r="A66" s="55"/>
      <c r="B66" s="27" t="s">
        <v>133</v>
      </c>
      <c r="C66" s="27" t="s">
        <v>28</v>
      </c>
      <c r="D66" s="27" t="s">
        <v>111</v>
      </c>
      <c r="E66" s="27" t="s">
        <v>28</v>
      </c>
      <c r="F66" s="27" t="s">
        <v>389</v>
      </c>
      <c r="G66" s="27" t="s">
        <v>390</v>
      </c>
      <c r="H66" s="1">
        <v>2</v>
      </c>
      <c r="I66" s="1">
        <v>31</v>
      </c>
    </row>
    <row r="67" spans="1:9" x14ac:dyDescent="0.3">
      <c r="A67" s="55"/>
      <c r="B67" s="27" t="s">
        <v>133</v>
      </c>
      <c r="C67" s="27" t="s">
        <v>28</v>
      </c>
      <c r="D67" s="27" t="s">
        <v>111</v>
      </c>
      <c r="E67" s="27" t="s">
        <v>28</v>
      </c>
      <c r="F67" s="27" t="s">
        <v>391</v>
      </c>
      <c r="G67" s="27" t="s">
        <v>140</v>
      </c>
      <c r="H67" s="1">
        <v>3</v>
      </c>
      <c r="I67" s="1">
        <v>32</v>
      </c>
    </row>
    <row r="68" spans="1:9" x14ac:dyDescent="0.3">
      <c r="A68" s="55"/>
      <c r="B68" s="27" t="s">
        <v>133</v>
      </c>
      <c r="C68" s="27" t="s">
        <v>28</v>
      </c>
      <c r="D68" s="27" t="s">
        <v>111</v>
      </c>
      <c r="E68" s="27" t="s">
        <v>28</v>
      </c>
      <c r="F68" s="27" t="s">
        <v>392</v>
      </c>
      <c r="G68" s="27" t="s">
        <v>177</v>
      </c>
      <c r="H68" s="1">
        <v>4</v>
      </c>
      <c r="I68" s="1">
        <v>33</v>
      </c>
    </row>
    <row r="69" spans="1:9" x14ac:dyDescent="0.3">
      <c r="A69" s="55"/>
      <c r="B69" s="27" t="s">
        <v>133</v>
      </c>
      <c r="C69" s="27" t="s">
        <v>28</v>
      </c>
      <c r="D69" s="27" t="s">
        <v>111</v>
      </c>
      <c r="E69" s="27" t="s">
        <v>28</v>
      </c>
      <c r="F69" s="27" t="s">
        <v>393</v>
      </c>
      <c r="G69" s="27" t="s">
        <v>49</v>
      </c>
      <c r="H69" s="1">
        <v>5</v>
      </c>
      <c r="I69" s="1">
        <v>34</v>
      </c>
    </row>
    <row r="70" spans="1:9" x14ac:dyDescent="0.3">
      <c r="A70" s="55"/>
      <c r="B70" s="27" t="s">
        <v>133</v>
      </c>
      <c r="C70" s="27" t="s">
        <v>28</v>
      </c>
      <c r="D70" s="27" t="s">
        <v>111</v>
      </c>
      <c r="E70" s="27" t="s">
        <v>28</v>
      </c>
      <c r="F70" s="27" t="s">
        <v>30</v>
      </c>
      <c r="G70" s="27" t="s">
        <v>322</v>
      </c>
      <c r="H70" s="1">
        <v>6</v>
      </c>
      <c r="I70" s="1">
        <v>35</v>
      </c>
    </row>
    <row r="71" spans="1:9" x14ac:dyDescent="0.3">
      <c r="A71" s="55"/>
      <c r="B71" s="27" t="s">
        <v>133</v>
      </c>
      <c r="C71" s="27" t="s">
        <v>28</v>
      </c>
      <c r="D71" s="27" t="s">
        <v>111</v>
      </c>
      <c r="E71" s="27" t="s">
        <v>28</v>
      </c>
      <c r="F71" s="27" t="s">
        <v>394</v>
      </c>
      <c r="G71" s="27" t="s">
        <v>222</v>
      </c>
      <c r="H71" s="1">
        <v>7</v>
      </c>
      <c r="I71" s="1">
        <v>36</v>
      </c>
    </row>
    <row r="72" spans="1:9" x14ac:dyDescent="0.3">
      <c r="A72" s="55"/>
      <c r="B72" s="27" t="s">
        <v>133</v>
      </c>
      <c r="C72" s="27" t="s">
        <v>28</v>
      </c>
      <c r="D72" s="27" t="s">
        <v>111</v>
      </c>
      <c r="E72" s="27" t="s">
        <v>28</v>
      </c>
      <c r="F72" s="27" t="s">
        <v>395</v>
      </c>
      <c r="G72" s="27" t="s">
        <v>132</v>
      </c>
      <c r="H72" s="1">
        <v>8</v>
      </c>
      <c r="I72" s="1">
        <v>37</v>
      </c>
    </row>
    <row r="73" spans="1:9" x14ac:dyDescent="0.3">
      <c r="A73" s="55"/>
      <c r="B73" s="27" t="s">
        <v>133</v>
      </c>
      <c r="C73" s="27" t="s">
        <v>28</v>
      </c>
      <c r="D73" s="27" t="s">
        <v>111</v>
      </c>
      <c r="E73" s="27" t="s">
        <v>28</v>
      </c>
      <c r="F73" s="27" t="s">
        <v>396</v>
      </c>
      <c r="G73" s="27" t="s">
        <v>12</v>
      </c>
      <c r="H73" s="1">
        <v>9</v>
      </c>
      <c r="I73" s="28">
        <v>38</v>
      </c>
    </row>
    <row r="74" spans="1:9" x14ac:dyDescent="0.3">
      <c r="A74" s="55"/>
      <c r="B74" s="27" t="s">
        <v>133</v>
      </c>
      <c r="C74" s="27" t="s">
        <v>28</v>
      </c>
      <c r="D74" s="27" t="s">
        <v>111</v>
      </c>
      <c r="E74" s="27" t="s">
        <v>28</v>
      </c>
      <c r="F74" s="27" t="s">
        <v>397</v>
      </c>
      <c r="G74" s="27" t="s">
        <v>22</v>
      </c>
      <c r="H74" s="1">
        <v>10</v>
      </c>
      <c r="I74" s="1">
        <v>39</v>
      </c>
    </row>
    <row r="75" spans="1:9" x14ac:dyDescent="0.3">
      <c r="A75" s="55"/>
      <c r="B75" s="27" t="s">
        <v>133</v>
      </c>
      <c r="C75" s="27" t="s">
        <v>28</v>
      </c>
      <c r="D75" s="27" t="s">
        <v>111</v>
      </c>
      <c r="E75" s="27" t="s">
        <v>28</v>
      </c>
      <c r="F75" s="27" t="s">
        <v>35</v>
      </c>
      <c r="G75" s="27" t="s">
        <v>154</v>
      </c>
      <c r="H75" s="1">
        <v>11</v>
      </c>
      <c r="I75" s="1">
        <v>40</v>
      </c>
    </row>
    <row r="76" spans="1:9" x14ac:dyDescent="0.3">
      <c r="A76" s="55"/>
      <c r="B76" s="27" t="s">
        <v>133</v>
      </c>
      <c r="C76" s="27" t="s">
        <v>28</v>
      </c>
      <c r="D76" s="27" t="s">
        <v>111</v>
      </c>
      <c r="E76" s="27" t="s">
        <v>28</v>
      </c>
      <c r="F76" s="27" t="s">
        <v>54</v>
      </c>
      <c r="G76" s="27" t="s">
        <v>47</v>
      </c>
      <c r="H76" s="1">
        <v>12</v>
      </c>
      <c r="I76" s="1">
        <v>41</v>
      </c>
    </row>
    <row r="77" spans="1:9" x14ac:dyDescent="0.3">
      <c r="A77" s="55"/>
      <c r="B77" s="27" t="s">
        <v>133</v>
      </c>
      <c r="C77" s="27" t="s">
        <v>28</v>
      </c>
      <c r="D77" s="27" t="s">
        <v>111</v>
      </c>
      <c r="E77" s="27" t="s">
        <v>28</v>
      </c>
      <c r="F77" s="27" t="s">
        <v>398</v>
      </c>
      <c r="G77" s="27" t="s">
        <v>106</v>
      </c>
      <c r="H77" s="1">
        <v>13</v>
      </c>
      <c r="I77" s="1">
        <v>42</v>
      </c>
    </row>
    <row r="78" spans="1:9" x14ac:dyDescent="0.3">
      <c r="A78" s="55"/>
      <c r="B78" s="27" t="s">
        <v>133</v>
      </c>
      <c r="C78" s="27" t="s">
        <v>28</v>
      </c>
      <c r="D78" s="27" t="s">
        <v>111</v>
      </c>
      <c r="E78" s="27" t="s">
        <v>28</v>
      </c>
      <c r="F78" s="27" t="s">
        <v>399</v>
      </c>
      <c r="G78" s="27" t="s">
        <v>120</v>
      </c>
      <c r="H78" s="1">
        <v>14</v>
      </c>
      <c r="I78" s="1">
        <v>43</v>
      </c>
    </row>
    <row r="79" spans="1:9" x14ac:dyDescent="0.3">
      <c r="A79" s="55">
        <v>3</v>
      </c>
      <c r="B79" s="27" t="s">
        <v>21</v>
      </c>
      <c r="C79" s="27" t="s">
        <v>26</v>
      </c>
      <c r="D79" s="27" t="s">
        <v>105</v>
      </c>
      <c r="E79" s="27" t="s">
        <v>24</v>
      </c>
      <c r="F79" s="27" t="s">
        <v>216</v>
      </c>
      <c r="G79" s="27" t="s">
        <v>117</v>
      </c>
      <c r="H79" s="1">
        <v>1</v>
      </c>
      <c r="I79" s="28">
        <v>1</v>
      </c>
    </row>
    <row r="80" spans="1:9" x14ac:dyDescent="0.3">
      <c r="A80" s="55"/>
      <c r="B80" s="27" t="s">
        <v>21</v>
      </c>
      <c r="C80" s="27" t="s">
        <v>26</v>
      </c>
      <c r="D80" s="27" t="s">
        <v>105</v>
      </c>
      <c r="E80" s="27" t="s">
        <v>24</v>
      </c>
      <c r="F80" s="27" t="s">
        <v>217</v>
      </c>
      <c r="G80" s="27" t="s">
        <v>218</v>
      </c>
      <c r="H80" s="1">
        <v>2</v>
      </c>
      <c r="I80" s="1">
        <v>2</v>
      </c>
    </row>
    <row r="81" spans="1:9" x14ac:dyDescent="0.3">
      <c r="A81" s="55"/>
      <c r="B81" s="27" t="s">
        <v>21</v>
      </c>
      <c r="C81" s="27" t="s">
        <v>26</v>
      </c>
      <c r="D81" s="27" t="s">
        <v>105</v>
      </c>
      <c r="E81" s="27" t="s">
        <v>24</v>
      </c>
      <c r="F81" s="27" t="s">
        <v>219</v>
      </c>
      <c r="G81" s="27" t="s">
        <v>116</v>
      </c>
      <c r="H81" s="1">
        <v>3</v>
      </c>
      <c r="I81" s="1">
        <v>3</v>
      </c>
    </row>
    <row r="82" spans="1:9" x14ac:dyDescent="0.3">
      <c r="A82" s="55"/>
      <c r="B82" s="27" t="s">
        <v>21</v>
      </c>
      <c r="C82" s="27" t="s">
        <v>26</v>
      </c>
      <c r="D82" s="27" t="s">
        <v>105</v>
      </c>
      <c r="E82" s="27" t="s">
        <v>24</v>
      </c>
      <c r="F82" s="27" t="s">
        <v>220</v>
      </c>
      <c r="G82" s="27" t="s">
        <v>117</v>
      </c>
      <c r="H82" s="1">
        <v>4</v>
      </c>
      <c r="I82" s="1">
        <v>4</v>
      </c>
    </row>
    <row r="83" spans="1:9" x14ac:dyDescent="0.3">
      <c r="A83" s="55"/>
      <c r="B83" s="27" t="s">
        <v>21</v>
      </c>
      <c r="C83" s="27" t="s">
        <v>26</v>
      </c>
      <c r="D83" s="27" t="s">
        <v>105</v>
      </c>
      <c r="E83" s="27" t="s">
        <v>24</v>
      </c>
      <c r="F83" s="27" t="s">
        <v>221</v>
      </c>
      <c r="G83" s="27" t="s">
        <v>56</v>
      </c>
      <c r="H83" s="1">
        <v>5</v>
      </c>
      <c r="I83" s="1">
        <v>5</v>
      </c>
    </row>
    <row r="84" spans="1:9" x14ac:dyDescent="0.3">
      <c r="A84" s="55"/>
      <c r="B84" s="27" t="s">
        <v>21</v>
      </c>
      <c r="C84" s="27" t="s">
        <v>26</v>
      </c>
      <c r="D84" s="27" t="s">
        <v>105</v>
      </c>
      <c r="E84" s="27" t="s">
        <v>24</v>
      </c>
      <c r="F84" s="27" t="s">
        <v>200</v>
      </c>
      <c r="G84" s="27" t="s">
        <v>222</v>
      </c>
      <c r="H84" s="1">
        <v>6</v>
      </c>
      <c r="I84" s="1">
        <v>6</v>
      </c>
    </row>
    <row r="85" spans="1:9" x14ac:dyDescent="0.3">
      <c r="A85" s="55"/>
      <c r="B85" s="27" t="s">
        <v>21</v>
      </c>
      <c r="C85" s="27" t="s">
        <v>26</v>
      </c>
      <c r="D85" s="27" t="s">
        <v>105</v>
      </c>
      <c r="E85" s="27" t="s">
        <v>24</v>
      </c>
      <c r="F85" s="27" t="s">
        <v>223</v>
      </c>
      <c r="G85" s="27" t="s">
        <v>130</v>
      </c>
      <c r="H85" s="1">
        <v>7</v>
      </c>
      <c r="I85" s="1">
        <v>7</v>
      </c>
    </row>
    <row r="86" spans="1:9" x14ac:dyDescent="0.3">
      <c r="A86" s="55"/>
      <c r="B86" s="27" t="s">
        <v>104</v>
      </c>
      <c r="C86" s="27" t="s">
        <v>53</v>
      </c>
      <c r="D86" s="27" t="s">
        <v>133</v>
      </c>
      <c r="E86" s="27" t="s">
        <v>53</v>
      </c>
      <c r="F86" s="27" t="s">
        <v>275</v>
      </c>
      <c r="G86" s="27" t="s">
        <v>155</v>
      </c>
      <c r="H86" s="1">
        <v>1</v>
      </c>
      <c r="I86" s="1">
        <v>8</v>
      </c>
    </row>
    <row r="87" spans="1:9" x14ac:dyDescent="0.3">
      <c r="A87" s="55"/>
      <c r="B87" s="27" t="s">
        <v>104</v>
      </c>
      <c r="C87" s="27" t="s">
        <v>53</v>
      </c>
      <c r="D87" s="27" t="s">
        <v>133</v>
      </c>
      <c r="E87" s="27" t="s">
        <v>53</v>
      </c>
      <c r="F87" s="27" t="s">
        <v>276</v>
      </c>
      <c r="G87" s="27" t="s">
        <v>157</v>
      </c>
      <c r="H87" s="1">
        <v>2</v>
      </c>
      <c r="I87" s="1">
        <v>9</v>
      </c>
    </row>
    <row r="88" spans="1:9" x14ac:dyDescent="0.3">
      <c r="A88" s="55"/>
      <c r="B88" s="27" t="s">
        <v>104</v>
      </c>
      <c r="C88" s="27" t="s">
        <v>53</v>
      </c>
      <c r="D88" s="27" t="s">
        <v>133</v>
      </c>
      <c r="E88" s="27" t="s">
        <v>53</v>
      </c>
      <c r="F88" s="27" t="s">
        <v>153</v>
      </c>
      <c r="G88" s="27" t="s">
        <v>208</v>
      </c>
      <c r="H88" s="1">
        <v>3</v>
      </c>
      <c r="I88" s="1">
        <v>10</v>
      </c>
    </row>
    <row r="89" spans="1:9" x14ac:dyDescent="0.3">
      <c r="A89" s="55"/>
      <c r="B89" s="27" t="s">
        <v>104</v>
      </c>
      <c r="C89" s="27" t="s">
        <v>53</v>
      </c>
      <c r="D89" s="27" t="s">
        <v>133</v>
      </c>
      <c r="E89" s="27" t="s">
        <v>53</v>
      </c>
      <c r="F89" s="27" t="s">
        <v>201</v>
      </c>
      <c r="G89" s="27" t="s">
        <v>166</v>
      </c>
      <c r="H89" s="1">
        <v>4</v>
      </c>
      <c r="I89" s="1">
        <v>11</v>
      </c>
    </row>
    <row r="90" spans="1:9" x14ac:dyDescent="0.3">
      <c r="A90" s="55"/>
      <c r="B90" s="27" t="s">
        <v>104</v>
      </c>
      <c r="C90" s="27" t="s">
        <v>53</v>
      </c>
      <c r="D90" s="27" t="s">
        <v>133</v>
      </c>
      <c r="E90" s="27" t="s">
        <v>53</v>
      </c>
      <c r="F90" s="27" t="s">
        <v>277</v>
      </c>
      <c r="G90" s="27" t="s">
        <v>161</v>
      </c>
      <c r="H90" s="1">
        <v>5</v>
      </c>
      <c r="I90" s="29">
        <v>12</v>
      </c>
    </row>
    <row r="91" spans="1:9" x14ac:dyDescent="0.3">
      <c r="A91" s="55"/>
      <c r="B91" s="27" t="s">
        <v>104</v>
      </c>
      <c r="C91" s="27" t="s">
        <v>53</v>
      </c>
      <c r="D91" s="27" t="s">
        <v>133</v>
      </c>
      <c r="E91" s="27" t="s">
        <v>53</v>
      </c>
      <c r="F91" s="27" t="s">
        <v>278</v>
      </c>
      <c r="G91" s="27" t="s">
        <v>167</v>
      </c>
      <c r="H91" s="1">
        <v>6</v>
      </c>
      <c r="I91" s="29">
        <v>13</v>
      </c>
    </row>
    <row r="92" spans="1:9" x14ac:dyDescent="0.3">
      <c r="A92" s="55"/>
      <c r="B92" s="27" t="s">
        <v>104</v>
      </c>
      <c r="C92" s="27" t="s">
        <v>53</v>
      </c>
      <c r="D92" s="27" t="s">
        <v>133</v>
      </c>
      <c r="E92" s="27" t="s">
        <v>53</v>
      </c>
      <c r="F92" s="27" t="s">
        <v>279</v>
      </c>
      <c r="G92" s="27" t="s">
        <v>127</v>
      </c>
      <c r="H92" s="1">
        <v>7</v>
      </c>
      <c r="I92" s="1">
        <v>14</v>
      </c>
    </row>
    <row r="93" spans="1:9" x14ac:dyDescent="0.3">
      <c r="A93" s="55"/>
      <c r="B93" s="27" t="s">
        <v>104</v>
      </c>
      <c r="C93" s="27" t="s">
        <v>53</v>
      </c>
      <c r="D93" s="27" t="s">
        <v>133</v>
      </c>
      <c r="E93" s="27" t="s">
        <v>53</v>
      </c>
      <c r="F93" s="27" t="s">
        <v>280</v>
      </c>
      <c r="G93" s="27" t="s">
        <v>152</v>
      </c>
      <c r="H93" s="1">
        <v>8</v>
      </c>
      <c r="I93" s="29">
        <v>15</v>
      </c>
    </row>
    <row r="94" spans="1:9" x14ac:dyDescent="0.3">
      <c r="A94" s="55"/>
      <c r="B94" s="27" t="s">
        <v>104</v>
      </c>
      <c r="C94" s="27" t="s">
        <v>53</v>
      </c>
      <c r="D94" s="27" t="s">
        <v>133</v>
      </c>
      <c r="E94" s="27" t="s">
        <v>53</v>
      </c>
      <c r="F94" s="27" t="s">
        <v>281</v>
      </c>
      <c r="G94" s="27" t="s">
        <v>120</v>
      </c>
      <c r="H94" s="1">
        <v>9</v>
      </c>
      <c r="I94" s="28">
        <v>16</v>
      </c>
    </row>
    <row r="95" spans="1:9" x14ac:dyDescent="0.3">
      <c r="A95" s="55"/>
      <c r="B95" s="27" t="s">
        <v>104</v>
      </c>
      <c r="C95" s="27" t="s">
        <v>53</v>
      </c>
      <c r="D95" s="27" t="s">
        <v>133</v>
      </c>
      <c r="E95" s="27" t="s">
        <v>53</v>
      </c>
      <c r="F95" s="27" t="s">
        <v>282</v>
      </c>
      <c r="G95" s="27" t="s">
        <v>163</v>
      </c>
      <c r="H95" s="1">
        <v>10</v>
      </c>
      <c r="I95" s="1">
        <v>17</v>
      </c>
    </row>
    <row r="96" spans="1:9" x14ac:dyDescent="0.3">
      <c r="A96" s="55"/>
      <c r="B96" s="27" t="s">
        <v>112</v>
      </c>
      <c r="C96" s="27" t="s">
        <v>7</v>
      </c>
      <c r="D96" s="27" t="s">
        <v>108</v>
      </c>
      <c r="E96" s="27" t="s">
        <v>7</v>
      </c>
      <c r="F96" s="27" t="s">
        <v>258</v>
      </c>
      <c r="G96" s="27" t="s">
        <v>211</v>
      </c>
      <c r="H96" s="1">
        <v>1</v>
      </c>
      <c r="I96" s="1">
        <v>18</v>
      </c>
    </row>
    <row r="97" spans="1:9" x14ac:dyDescent="0.3">
      <c r="A97" s="55"/>
      <c r="B97" s="27" t="s">
        <v>112</v>
      </c>
      <c r="C97" s="27" t="s">
        <v>7</v>
      </c>
      <c r="D97" s="27" t="s">
        <v>108</v>
      </c>
      <c r="E97" s="27" t="s">
        <v>7</v>
      </c>
      <c r="F97" s="27" t="s">
        <v>259</v>
      </c>
      <c r="G97" s="27" t="s">
        <v>183</v>
      </c>
      <c r="H97" s="1">
        <v>2</v>
      </c>
      <c r="I97" s="1">
        <v>19</v>
      </c>
    </row>
    <row r="98" spans="1:9" x14ac:dyDescent="0.3">
      <c r="A98" s="55"/>
      <c r="B98" s="27" t="s">
        <v>112</v>
      </c>
      <c r="C98" s="27" t="s">
        <v>7</v>
      </c>
      <c r="D98" s="27" t="s">
        <v>108</v>
      </c>
      <c r="E98" s="27" t="s">
        <v>7</v>
      </c>
      <c r="F98" s="27" t="s">
        <v>260</v>
      </c>
      <c r="G98" s="27" t="s">
        <v>168</v>
      </c>
      <c r="H98" s="1">
        <v>3</v>
      </c>
      <c r="I98" s="1">
        <v>20</v>
      </c>
    </row>
    <row r="99" spans="1:9" x14ac:dyDescent="0.3">
      <c r="A99" s="55"/>
      <c r="B99" s="27" t="s">
        <v>112</v>
      </c>
      <c r="C99" s="27" t="s">
        <v>7</v>
      </c>
      <c r="D99" s="27" t="s">
        <v>108</v>
      </c>
      <c r="E99" s="27" t="s">
        <v>7</v>
      </c>
      <c r="F99" s="27" t="s">
        <v>261</v>
      </c>
      <c r="G99" s="27" t="s">
        <v>171</v>
      </c>
      <c r="H99" s="1">
        <v>4</v>
      </c>
      <c r="I99" s="1">
        <v>21</v>
      </c>
    </row>
    <row r="100" spans="1:9" x14ac:dyDescent="0.3">
      <c r="A100" s="55"/>
      <c r="B100" s="27" t="s">
        <v>112</v>
      </c>
      <c r="C100" s="27" t="s">
        <v>7</v>
      </c>
      <c r="D100" s="27" t="s">
        <v>108</v>
      </c>
      <c r="E100" s="27" t="s">
        <v>7</v>
      </c>
      <c r="F100" s="27" t="s">
        <v>262</v>
      </c>
      <c r="G100" s="27" t="s">
        <v>165</v>
      </c>
      <c r="H100" s="1">
        <v>5</v>
      </c>
      <c r="I100" s="1">
        <v>22</v>
      </c>
    </row>
    <row r="101" spans="1:9" x14ac:dyDescent="0.3">
      <c r="A101" s="55"/>
      <c r="B101" s="27" t="s">
        <v>112</v>
      </c>
      <c r="C101" s="27" t="s">
        <v>7</v>
      </c>
      <c r="D101" s="27" t="s">
        <v>108</v>
      </c>
      <c r="E101" s="27" t="s">
        <v>7</v>
      </c>
      <c r="F101" s="27" t="s">
        <v>16</v>
      </c>
      <c r="G101" s="27" t="s">
        <v>196</v>
      </c>
      <c r="H101" s="1">
        <v>6</v>
      </c>
      <c r="I101" s="1">
        <v>23</v>
      </c>
    </row>
    <row r="102" spans="1:9" x14ac:dyDescent="0.3">
      <c r="A102" s="55"/>
      <c r="B102" s="27" t="s">
        <v>112</v>
      </c>
      <c r="C102" s="27" t="s">
        <v>7</v>
      </c>
      <c r="D102" s="27" t="s">
        <v>108</v>
      </c>
      <c r="E102" s="27" t="s">
        <v>7</v>
      </c>
      <c r="F102" s="27" t="s">
        <v>263</v>
      </c>
      <c r="G102" s="27" t="s">
        <v>193</v>
      </c>
      <c r="H102" s="1">
        <v>7</v>
      </c>
      <c r="I102" s="1">
        <v>24</v>
      </c>
    </row>
    <row r="103" spans="1:9" x14ac:dyDescent="0.3">
      <c r="A103" s="55"/>
      <c r="B103" s="27" t="s">
        <v>112</v>
      </c>
      <c r="C103" s="27" t="s">
        <v>7</v>
      </c>
      <c r="D103" s="27" t="s">
        <v>108</v>
      </c>
      <c r="E103" s="27" t="s">
        <v>7</v>
      </c>
      <c r="F103" s="27" t="s">
        <v>264</v>
      </c>
      <c r="G103" s="27" t="s">
        <v>214</v>
      </c>
      <c r="H103" s="1">
        <v>8</v>
      </c>
      <c r="I103" s="1">
        <v>25</v>
      </c>
    </row>
    <row r="104" spans="1:9" x14ac:dyDescent="0.3">
      <c r="A104" s="55"/>
      <c r="B104" s="27" t="s">
        <v>112</v>
      </c>
      <c r="C104" s="27" t="s">
        <v>7</v>
      </c>
      <c r="D104" s="27" t="s">
        <v>108</v>
      </c>
      <c r="E104" s="27" t="s">
        <v>7</v>
      </c>
      <c r="F104" s="27" t="s">
        <v>265</v>
      </c>
      <c r="G104" s="27" t="s">
        <v>158</v>
      </c>
      <c r="H104" s="1">
        <v>9</v>
      </c>
      <c r="I104" s="1">
        <v>26</v>
      </c>
    </row>
    <row r="105" spans="1:9" x14ac:dyDescent="0.3">
      <c r="A105" s="55"/>
      <c r="B105" s="27" t="s">
        <v>112</v>
      </c>
      <c r="C105" s="27" t="s">
        <v>7</v>
      </c>
      <c r="D105" s="27" t="s">
        <v>108</v>
      </c>
      <c r="E105" s="27" t="s">
        <v>7</v>
      </c>
      <c r="F105" s="27" t="s">
        <v>266</v>
      </c>
      <c r="G105" s="27" t="s">
        <v>267</v>
      </c>
      <c r="H105" s="1">
        <v>10</v>
      </c>
      <c r="I105" s="1">
        <v>27</v>
      </c>
    </row>
    <row r="106" spans="1:9" x14ac:dyDescent="0.3">
      <c r="A106" s="55"/>
      <c r="B106" s="27" t="s">
        <v>112</v>
      </c>
      <c r="C106" s="27" t="s">
        <v>7</v>
      </c>
      <c r="D106" s="27" t="s">
        <v>108</v>
      </c>
      <c r="E106" s="27" t="s">
        <v>7</v>
      </c>
      <c r="F106" s="27" t="s">
        <v>268</v>
      </c>
      <c r="G106" s="27" t="s">
        <v>269</v>
      </c>
      <c r="H106" s="1">
        <v>11</v>
      </c>
      <c r="I106" s="1">
        <v>28</v>
      </c>
    </row>
    <row r="107" spans="1:9" x14ac:dyDescent="0.3">
      <c r="A107" s="55"/>
      <c r="B107" s="27" t="s">
        <v>112</v>
      </c>
      <c r="C107" s="27" t="s">
        <v>7</v>
      </c>
      <c r="D107" s="27" t="s">
        <v>108</v>
      </c>
      <c r="E107" s="27" t="s">
        <v>7</v>
      </c>
      <c r="F107" s="27" t="s">
        <v>270</v>
      </c>
      <c r="G107" s="27" t="s">
        <v>195</v>
      </c>
      <c r="H107" s="1">
        <v>12</v>
      </c>
      <c r="I107" s="1">
        <v>29</v>
      </c>
    </row>
    <row r="108" spans="1:9" x14ac:dyDescent="0.3">
      <c r="A108" s="55"/>
      <c r="B108" s="27" t="s">
        <v>112</v>
      </c>
      <c r="C108" s="27" t="s">
        <v>7</v>
      </c>
      <c r="D108" s="27" t="s">
        <v>108</v>
      </c>
      <c r="E108" s="27" t="s">
        <v>7</v>
      </c>
      <c r="F108" s="27" t="s">
        <v>271</v>
      </c>
      <c r="G108" s="27" t="s">
        <v>272</v>
      </c>
      <c r="H108" s="1">
        <v>13</v>
      </c>
      <c r="I108" s="1">
        <v>30</v>
      </c>
    </row>
    <row r="109" spans="1:9" x14ac:dyDescent="0.3">
      <c r="A109" s="55"/>
      <c r="B109" s="27" t="s">
        <v>112</v>
      </c>
      <c r="C109" s="27" t="s">
        <v>7</v>
      </c>
      <c r="D109" s="27" t="s">
        <v>17</v>
      </c>
      <c r="E109" s="27" t="s">
        <v>36</v>
      </c>
      <c r="F109" s="27" t="s">
        <v>273</v>
      </c>
      <c r="G109" s="27" t="s">
        <v>274</v>
      </c>
      <c r="H109" s="1">
        <v>1</v>
      </c>
      <c r="I109" s="28">
        <v>31</v>
      </c>
    </row>
    <row r="110" spans="1:9" x14ac:dyDescent="0.3">
      <c r="A110" s="55"/>
      <c r="B110" s="27" t="s">
        <v>112</v>
      </c>
      <c r="C110" s="27" t="s">
        <v>7</v>
      </c>
      <c r="D110" s="27" t="s">
        <v>110</v>
      </c>
      <c r="E110" s="27" t="s">
        <v>34</v>
      </c>
      <c r="F110" s="27" t="s">
        <v>244</v>
      </c>
      <c r="G110" s="27" t="s">
        <v>146</v>
      </c>
      <c r="H110" s="1">
        <v>1</v>
      </c>
      <c r="I110" s="1">
        <v>32</v>
      </c>
    </row>
    <row r="111" spans="1:9" x14ac:dyDescent="0.3">
      <c r="A111" s="56" t="s">
        <v>25</v>
      </c>
      <c r="B111" s="27" t="s">
        <v>25</v>
      </c>
      <c r="C111" s="27" t="s">
        <v>31</v>
      </c>
      <c r="D111" s="27" t="s">
        <v>124</v>
      </c>
      <c r="E111" s="27" t="s">
        <v>32</v>
      </c>
      <c r="F111" s="27" t="s">
        <v>352</v>
      </c>
      <c r="G111" s="27" t="s">
        <v>193</v>
      </c>
      <c r="H111" s="1">
        <v>1</v>
      </c>
      <c r="I111" s="1">
        <v>1</v>
      </c>
    </row>
    <row r="112" spans="1:9" x14ac:dyDescent="0.3">
      <c r="A112" s="57"/>
      <c r="B112" s="27" t="s">
        <v>25</v>
      </c>
      <c r="C112" s="27" t="s">
        <v>31</v>
      </c>
      <c r="D112" s="27" t="s">
        <v>124</v>
      </c>
      <c r="E112" s="27" t="s">
        <v>32</v>
      </c>
      <c r="F112" s="27" t="s">
        <v>353</v>
      </c>
      <c r="G112" s="27" t="s">
        <v>179</v>
      </c>
      <c r="H112" s="1">
        <v>2</v>
      </c>
      <c r="I112" s="1">
        <v>2</v>
      </c>
    </row>
    <row r="113" spans="1:9" x14ac:dyDescent="0.3">
      <c r="A113" s="57"/>
      <c r="B113" s="27" t="s">
        <v>25</v>
      </c>
      <c r="C113" s="27" t="s">
        <v>31</v>
      </c>
      <c r="D113" s="27" t="s">
        <v>124</v>
      </c>
      <c r="E113" s="27" t="s">
        <v>32</v>
      </c>
      <c r="F113" s="27" t="s">
        <v>354</v>
      </c>
      <c r="G113" s="27" t="s">
        <v>109</v>
      </c>
      <c r="H113" s="1">
        <v>3</v>
      </c>
      <c r="I113" s="1">
        <v>3</v>
      </c>
    </row>
    <row r="114" spans="1:9" x14ac:dyDescent="0.3">
      <c r="A114" s="57"/>
      <c r="B114" s="27" t="s">
        <v>25</v>
      </c>
      <c r="C114" s="27" t="s">
        <v>31</v>
      </c>
      <c r="D114" s="27" t="s">
        <v>124</v>
      </c>
      <c r="E114" s="27" t="s">
        <v>32</v>
      </c>
      <c r="F114" s="27" t="s">
        <v>355</v>
      </c>
      <c r="G114" s="27" t="s">
        <v>114</v>
      </c>
      <c r="H114" s="1">
        <v>4</v>
      </c>
      <c r="I114" s="1">
        <v>4</v>
      </c>
    </row>
    <row r="115" spans="1:9" x14ac:dyDescent="0.3">
      <c r="A115" s="57"/>
      <c r="B115" s="27" t="s">
        <v>25</v>
      </c>
      <c r="C115" s="27" t="s">
        <v>31</v>
      </c>
      <c r="D115" s="27" t="s">
        <v>124</v>
      </c>
      <c r="E115" s="27" t="s">
        <v>32</v>
      </c>
      <c r="F115" s="27" t="s">
        <v>356</v>
      </c>
      <c r="G115" s="27" t="s">
        <v>14</v>
      </c>
      <c r="H115" s="1">
        <v>5</v>
      </c>
      <c r="I115" s="1">
        <v>5</v>
      </c>
    </row>
    <row r="116" spans="1:9" x14ac:dyDescent="0.3">
      <c r="A116" s="57"/>
      <c r="B116" s="27" t="s">
        <v>25</v>
      </c>
      <c r="C116" s="27" t="s">
        <v>31</v>
      </c>
      <c r="D116" s="27" t="s">
        <v>124</v>
      </c>
      <c r="E116" s="27" t="s">
        <v>32</v>
      </c>
      <c r="F116" s="27" t="s">
        <v>198</v>
      </c>
      <c r="G116" s="27" t="s">
        <v>126</v>
      </c>
      <c r="H116" s="1">
        <v>6</v>
      </c>
      <c r="I116" s="1">
        <v>6</v>
      </c>
    </row>
    <row r="117" spans="1:9" x14ac:dyDescent="0.3">
      <c r="A117" s="57"/>
      <c r="B117" s="27" t="s">
        <v>25</v>
      </c>
      <c r="C117" s="27" t="s">
        <v>31</v>
      </c>
      <c r="D117" s="27" t="s">
        <v>124</v>
      </c>
      <c r="E117" s="27" t="s">
        <v>32</v>
      </c>
      <c r="F117" s="27" t="s">
        <v>357</v>
      </c>
      <c r="G117" s="27" t="s">
        <v>358</v>
      </c>
      <c r="H117" s="1">
        <v>7</v>
      </c>
      <c r="I117" s="1">
        <v>7</v>
      </c>
    </row>
    <row r="118" spans="1:9" x14ac:dyDescent="0.3">
      <c r="A118" s="57"/>
      <c r="B118" s="27" t="s">
        <v>25</v>
      </c>
      <c r="C118" s="27" t="s">
        <v>31</v>
      </c>
      <c r="D118" s="27" t="s">
        <v>124</v>
      </c>
      <c r="E118" s="27" t="s">
        <v>32</v>
      </c>
      <c r="F118" s="27" t="s">
        <v>359</v>
      </c>
      <c r="G118" s="27" t="s">
        <v>360</v>
      </c>
      <c r="H118" s="1">
        <v>8</v>
      </c>
      <c r="I118" s="1">
        <v>8</v>
      </c>
    </row>
    <row r="119" spans="1:9" x14ac:dyDescent="0.3">
      <c r="A119" s="57"/>
      <c r="B119" s="27" t="s">
        <v>25</v>
      </c>
      <c r="C119" s="27" t="s">
        <v>31</v>
      </c>
      <c r="D119" s="27" t="s">
        <v>112</v>
      </c>
      <c r="E119" s="27" t="s">
        <v>31</v>
      </c>
      <c r="F119" s="27" t="s">
        <v>361</v>
      </c>
      <c r="G119" s="27" t="s">
        <v>362</v>
      </c>
      <c r="H119" s="1">
        <v>1</v>
      </c>
      <c r="I119" s="28">
        <v>9</v>
      </c>
    </row>
    <row r="120" spans="1:9" x14ac:dyDescent="0.3">
      <c r="A120" s="57"/>
      <c r="B120" s="27" t="s">
        <v>25</v>
      </c>
      <c r="C120" s="27" t="s">
        <v>31</v>
      </c>
      <c r="D120" s="27" t="s">
        <v>112</v>
      </c>
      <c r="E120" s="27" t="s">
        <v>31</v>
      </c>
      <c r="F120" s="27" t="s">
        <v>363</v>
      </c>
      <c r="G120" s="27" t="s">
        <v>122</v>
      </c>
      <c r="H120" s="1">
        <v>2</v>
      </c>
      <c r="I120" s="29">
        <v>10</v>
      </c>
    </row>
    <row r="121" spans="1:9" x14ac:dyDescent="0.3">
      <c r="A121" s="57"/>
      <c r="B121" s="27" t="s">
        <v>25</v>
      </c>
      <c r="C121" s="27" t="s">
        <v>31</v>
      </c>
      <c r="D121" s="27" t="s">
        <v>112</v>
      </c>
      <c r="E121" s="27" t="s">
        <v>31</v>
      </c>
      <c r="F121" s="27" t="s">
        <v>364</v>
      </c>
      <c r="G121" s="27" t="s">
        <v>174</v>
      </c>
      <c r="H121" s="1">
        <v>3</v>
      </c>
      <c r="I121" s="29">
        <v>11</v>
      </c>
    </row>
    <row r="122" spans="1:9" x14ac:dyDescent="0.3">
      <c r="A122" s="57"/>
      <c r="B122" s="27" t="s">
        <v>25</v>
      </c>
      <c r="C122" s="27" t="s">
        <v>31</v>
      </c>
      <c r="D122" s="27" t="s">
        <v>112</v>
      </c>
      <c r="E122" s="27" t="s">
        <v>31</v>
      </c>
      <c r="F122" s="27" t="s">
        <v>365</v>
      </c>
      <c r="G122" s="27" t="s">
        <v>111</v>
      </c>
      <c r="H122" s="1">
        <v>4</v>
      </c>
      <c r="I122" s="1">
        <v>12</v>
      </c>
    </row>
    <row r="123" spans="1:9" x14ac:dyDescent="0.3">
      <c r="A123" s="57"/>
      <c r="B123" s="27" t="s">
        <v>25</v>
      </c>
      <c r="C123" s="27" t="s">
        <v>31</v>
      </c>
      <c r="D123" s="27" t="s">
        <v>112</v>
      </c>
      <c r="E123" s="27" t="s">
        <v>31</v>
      </c>
      <c r="F123" s="27" t="s">
        <v>366</v>
      </c>
      <c r="G123" s="27" t="s">
        <v>112</v>
      </c>
      <c r="H123" s="1">
        <v>5</v>
      </c>
      <c r="I123" s="1">
        <v>13</v>
      </c>
    </row>
    <row r="124" spans="1:9" x14ac:dyDescent="0.3">
      <c r="A124" s="57"/>
      <c r="B124" s="27" t="s">
        <v>25</v>
      </c>
      <c r="C124" s="27" t="s">
        <v>31</v>
      </c>
      <c r="D124" s="27" t="s">
        <v>112</v>
      </c>
      <c r="E124" s="27" t="s">
        <v>31</v>
      </c>
      <c r="F124" s="27" t="s">
        <v>33</v>
      </c>
      <c r="G124" s="27" t="s">
        <v>104</v>
      </c>
      <c r="H124" s="1">
        <v>6</v>
      </c>
      <c r="I124" s="1">
        <v>14</v>
      </c>
    </row>
    <row r="125" spans="1:9" x14ac:dyDescent="0.3">
      <c r="A125" s="57"/>
      <c r="B125" s="27" t="s">
        <v>25</v>
      </c>
      <c r="C125" s="27" t="s">
        <v>31</v>
      </c>
      <c r="D125" s="27" t="s">
        <v>112</v>
      </c>
      <c r="E125" s="27" t="s">
        <v>31</v>
      </c>
      <c r="F125" s="27" t="s">
        <v>367</v>
      </c>
      <c r="G125" s="27" t="s">
        <v>11</v>
      </c>
      <c r="H125" s="1">
        <v>7</v>
      </c>
      <c r="I125" s="1">
        <v>15</v>
      </c>
    </row>
    <row r="126" spans="1:9" x14ac:dyDescent="0.3">
      <c r="A126" s="57"/>
      <c r="B126" s="27" t="s">
        <v>25</v>
      </c>
      <c r="C126" s="27" t="s">
        <v>31</v>
      </c>
      <c r="D126" s="27" t="s">
        <v>112</v>
      </c>
      <c r="E126" s="27" t="s">
        <v>31</v>
      </c>
      <c r="F126" s="27" t="s">
        <v>368</v>
      </c>
      <c r="G126" s="27" t="s">
        <v>56</v>
      </c>
      <c r="H126" s="1">
        <v>8</v>
      </c>
      <c r="I126" s="1">
        <v>16</v>
      </c>
    </row>
    <row r="127" spans="1:9" x14ac:dyDescent="0.3">
      <c r="A127" s="57"/>
      <c r="B127" s="27" t="s">
        <v>25</v>
      </c>
      <c r="C127" s="27" t="s">
        <v>31</v>
      </c>
      <c r="D127" s="27" t="s">
        <v>112</v>
      </c>
      <c r="E127" s="27" t="s">
        <v>31</v>
      </c>
      <c r="F127" s="27" t="s">
        <v>55</v>
      </c>
      <c r="G127" s="27" t="s">
        <v>134</v>
      </c>
      <c r="H127" s="1">
        <v>9</v>
      </c>
      <c r="I127" s="1">
        <v>17</v>
      </c>
    </row>
    <row r="128" spans="1:9" x14ac:dyDescent="0.3">
      <c r="A128" s="57"/>
      <c r="B128" s="27" t="s">
        <v>25</v>
      </c>
      <c r="C128" s="27" t="s">
        <v>31</v>
      </c>
      <c r="D128" s="27" t="s">
        <v>112</v>
      </c>
      <c r="E128" s="27" t="s">
        <v>31</v>
      </c>
      <c r="F128" s="27" t="s">
        <v>369</v>
      </c>
      <c r="G128" s="27" t="s">
        <v>124</v>
      </c>
      <c r="H128" s="1">
        <v>10</v>
      </c>
      <c r="I128" s="1">
        <v>18</v>
      </c>
    </row>
    <row r="129" spans="1:9" x14ac:dyDescent="0.3">
      <c r="A129" s="57"/>
      <c r="B129" s="27" t="s">
        <v>25</v>
      </c>
      <c r="C129" s="27" t="s">
        <v>31</v>
      </c>
      <c r="D129" s="27" t="s">
        <v>112</v>
      </c>
      <c r="E129" s="27" t="s">
        <v>31</v>
      </c>
      <c r="F129" s="27" t="s">
        <v>370</v>
      </c>
      <c r="G129" s="27" t="s">
        <v>158</v>
      </c>
      <c r="H129" s="1">
        <v>11</v>
      </c>
      <c r="I129" s="1">
        <v>19</v>
      </c>
    </row>
    <row r="130" spans="1:9" x14ac:dyDescent="0.3">
      <c r="A130" s="57"/>
      <c r="B130" s="27" t="s">
        <v>25</v>
      </c>
      <c r="C130" s="27" t="s">
        <v>31</v>
      </c>
      <c r="D130" s="27" t="s">
        <v>123</v>
      </c>
      <c r="E130" s="27" t="s">
        <v>27</v>
      </c>
      <c r="F130" s="27" t="s">
        <v>371</v>
      </c>
      <c r="G130" s="27" t="s">
        <v>163</v>
      </c>
      <c r="H130" s="1">
        <v>1</v>
      </c>
      <c r="I130" s="1">
        <v>20</v>
      </c>
    </row>
    <row r="131" spans="1:9" x14ac:dyDescent="0.3">
      <c r="A131" s="57"/>
      <c r="B131" s="27" t="s">
        <v>111</v>
      </c>
      <c r="C131" s="27" t="s">
        <v>44</v>
      </c>
      <c r="D131" s="27" t="s">
        <v>46</v>
      </c>
      <c r="E131" s="27" t="s">
        <v>44</v>
      </c>
      <c r="F131" s="27" t="s">
        <v>283</v>
      </c>
      <c r="G131" s="27" t="s">
        <v>150</v>
      </c>
      <c r="H131" s="1">
        <v>1</v>
      </c>
      <c r="I131" s="1">
        <v>21</v>
      </c>
    </row>
    <row r="132" spans="1:9" x14ac:dyDescent="0.3">
      <c r="A132" s="57"/>
      <c r="B132" s="27" t="s">
        <v>111</v>
      </c>
      <c r="C132" s="27" t="s">
        <v>44</v>
      </c>
      <c r="D132" s="27" t="s">
        <v>46</v>
      </c>
      <c r="E132" s="27" t="s">
        <v>44</v>
      </c>
      <c r="F132" s="27" t="s">
        <v>284</v>
      </c>
      <c r="G132" s="27" t="s">
        <v>22</v>
      </c>
      <c r="H132" s="1">
        <v>2</v>
      </c>
      <c r="I132" s="1">
        <v>22</v>
      </c>
    </row>
    <row r="133" spans="1:9" x14ac:dyDescent="0.3">
      <c r="A133" s="57"/>
      <c r="B133" s="27" t="s">
        <v>111</v>
      </c>
      <c r="C133" s="27" t="s">
        <v>44</v>
      </c>
      <c r="D133" s="27" t="s">
        <v>46</v>
      </c>
      <c r="E133" s="27" t="s">
        <v>44</v>
      </c>
      <c r="F133" s="27" t="s">
        <v>285</v>
      </c>
      <c r="G133" s="27" t="s">
        <v>112</v>
      </c>
      <c r="H133" s="1">
        <v>3</v>
      </c>
      <c r="I133" s="28">
        <v>23</v>
      </c>
    </row>
    <row r="134" spans="1:9" x14ac:dyDescent="0.3">
      <c r="A134" s="57"/>
      <c r="B134" s="27" t="s">
        <v>111</v>
      </c>
      <c r="C134" s="27" t="s">
        <v>44</v>
      </c>
      <c r="D134" s="27" t="s">
        <v>46</v>
      </c>
      <c r="E134" s="27" t="s">
        <v>44</v>
      </c>
      <c r="F134" s="27" t="s">
        <v>286</v>
      </c>
      <c r="G134" s="27" t="s">
        <v>118</v>
      </c>
      <c r="H134" s="1">
        <v>4</v>
      </c>
      <c r="I134" s="1">
        <v>24</v>
      </c>
    </row>
    <row r="135" spans="1:9" x14ac:dyDescent="0.3">
      <c r="A135" s="57"/>
      <c r="B135" s="27" t="s">
        <v>111</v>
      </c>
      <c r="C135" s="27" t="s">
        <v>44</v>
      </c>
      <c r="D135" s="27" t="s">
        <v>46</v>
      </c>
      <c r="E135" s="27" t="s">
        <v>44</v>
      </c>
      <c r="F135" s="27" t="s">
        <v>287</v>
      </c>
      <c r="G135" s="27" t="s">
        <v>149</v>
      </c>
      <c r="H135" s="1">
        <v>5</v>
      </c>
      <c r="I135" s="1">
        <v>25</v>
      </c>
    </row>
    <row r="136" spans="1:9" x14ac:dyDescent="0.3">
      <c r="A136" s="57"/>
      <c r="B136" s="27" t="s">
        <v>111</v>
      </c>
      <c r="C136" s="27" t="s">
        <v>44</v>
      </c>
      <c r="D136" s="27" t="s">
        <v>46</v>
      </c>
      <c r="E136" s="27" t="s">
        <v>44</v>
      </c>
      <c r="F136" s="27" t="s">
        <v>288</v>
      </c>
      <c r="G136" s="27" t="s">
        <v>125</v>
      </c>
      <c r="H136" s="1">
        <v>6</v>
      </c>
      <c r="I136" s="1">
        <v>26</v>
      </c>
    </row>
    <row r="137" spans="1:9" x14ac:dyDescent="0.3">
      <c r="A137" s="57"/>
      <c r="B137" s="27" t="s">
        <v>111</v>
      </c>
      <c r="C137" s="27" t="s">
        <v>44</v>
      </c>
      <c r="D137" s="27" t="s">
        <v>46</v>
      </c>
      <c r="E137" s="27" t="s">
        <v>44</v>
      </c>
      <c r="F137" s="27" t="s">
        <v>289</v>
      </c>
      <c r="G137" s="27" t="s">
        <v>23</v>
      </c>
      <c r="H137" s="1">
        <v>7</v>
      </c>
      <c r="I137" s="1">
        <v>27</v>
      </c>
    </row>
    <row r="138" spans="1:9" x14ac:dyDescent="0.3">
      <c r="A138" s="57"/>
      <c r="B138" s="27" t="s">
        <v>111</v>
      </c>
      <c r="C138" s="27" t="s">
        <v>44</v>
      </c>
      <c r="D138" s="27" t="s">
        <v>46</v>
      </c>
      <c r="E138" s="27" t="s">
        <v>44</v>
      </c>
      <c r="F138" s="27" t="s">
        <v>290</v>
      </c>
      <c r="G138" s="27" t="s">
        <v>13</v>
      </c>
      <c r="H138" s="1">
        <v>8</v>
      </c>
      <c r="I138" s="28">
        <v>28</v>
      </c>
    </row>
    <row r="139" spans="1:9" x14ac:dyDescent="0.3">
      <c r="A139" s="57"/>
      <c r="B139" s="27" t="s">
        <v>111</v>
      </c>
      <c r="C139" s="27" t="s">
        <v>44</v>
      </c>
      <c r="D139" s="27" t="s">
        <v>46</v>
      </c>
      <c r="E139" s="27" t="s">
        <v>44</v>
      </c>
      <c r="F139" s="27" t="s">
        <v>291</v>
      </c>
      <c r="G139" s="27" t="s">
        <v>142</v>
      </c>
      <c r="H139" s="1">
        <v>9</v>
      </c>
      <c r="I139" s="1">
        <v>29</v>
      </c>
    </row>
    <row r="140" spans="1:9" x14ac:dyDescent="0.3">
      <c r="A140" s="57"/>
      <c r="B140" s="27" t="s">
        <v>111</v>
      </c>
      <c r="C140" s="27" t="s">
        <v>44</v>
      </c>
      <c r="D140" s="27" t="s">
        <v>46</v>
      </c>
      <c r="E140" s="27" t="s">
        <v>44</v>
      </c>
      <c r="F140" s="27" t="s">
        <v>292</v>
      </c>
      <c r="G140" s="27" t="s">
        <v>133</v>
      </c>
      <c r="H140" s="1">
        <v>10</v>
      </c>
      <c r="I140" s="29">
        <v>30</v>
      </c>
    </row>
    <row r="141" spans="1:9" x14ac:dyDescent="0.3">
      <c r="A141" s="57"/>
      <c r="B141" s="27" t="s">
        <v>111</v>
      </c>
      <c r="C141" s="27" t="s">
        <v>44</v>
      </c>
      <c r="D141" s="27" t="s">
        <v>46</v>
      </c>
      <c r="E141" s="27" t="s">
        <v>44</v>
      </c>
      <c r="F141" s="27" t="s">
        <v>293</v>
      </c>
      <c r="G141" s="27" t="s">
        <v>124</v>
      </c>
      <c r="H141" s="1">
        <v>11</v>
      </c>
      <c r="I141" s="1">
        <v>31</v>
      </c>
    </row>
    <row r="142" spans="1:9" x14ac:dyDescent="0.3">
      <c r="A142" s="57"/>
      <c r="B142" s="27" t="s">
        <v>111</v>
      </c>
      <c r="C142" s="27" t="s">
        <v>44</v>
      </c>
      <c r="D142" s="27" t="s">
        <v>46</v>
      </c>
      <c r="E142" s="27" t="s">
        <v>44</v>
      </c>
      <c r="F142" s="27" t="s">
        <v>294</v>
      </c>
      <c r="G142" s="27" t="s">
        <v>148</v>
      </c>
      <c r="H142" s="1">
        <v>12</v>
      </c>
      <c r="I142" s="1">
        <v>32</v>
      </c>
    </row>
    <row r="143" spans="1:9" x14ac:dyDescent="0.3">
      <c r="A143" s="52">
        <v>5</v>
      </c>
      <c r="B143" s="27" t="s">
        <v>105</v>
      </c>
      <c r="C143" s="27" t="s">
        <v>6</v>
      </c>
      <c r="D143" s="27" t="s">
        <v>17</v>
      </c>
      <c r="E143" s="27" t="s">
        <v>36</v>
      </c>
      <c r="F143" s="27" t="s">
        <v>327</v>
      </c>
      <c r="G143" s="27" t="s">
        <v>328</v>
      </c>
      <c r="H143" s="1">
        <v>1</v>
      </c>
      <c r="I143" s="1">
        <v>1</v>
      </c>
    </row>
    <row r="144" spans="1:9" x14ac:dyDescent="0.3">
      <c r="A144" s="52"/>
      <c r="B144" s="27" t="s">
        <v>105</v>
      </c>
      <c r="C144" s="27" t="s">
        <v>6</v>
      </c>
      <c r="D144" s="27" t="s">
        <v>17</v>
      </c>
      <c r="E144" s="27" t="s">
        <v>36</v>
      </c>
      <c r="F144" s="27" t="s">
        <v>36</v>
      </c>
      <c r="G144" s="27" t="s">
        <v>130</v>
      </c>
      <c r="H144" s="1">
        <v>2</v>
      </c>
      <c r="I144" s="1">
        <v>2</v>
      </c>
    </row>
    <row r="145" spans="1:9" x14ac:dyDescent="0.3">
      <c r="A145" s="52"/>
      <c r="B145" s="27" t="s">
        <v>105</v>
      </c>
      <c r="C145" s="27" t="s">
        <v>6</v>
      </c>
      <c r="D145" s="27" t="s">
        <v>17</v>
      </c>
      <c r="E145" s="27" t="s">
        <v>36</v>
      </c>
      <c r="F145" s="27" t="s">
        <v>329</v>
      </c>
      <c r="G145" s="27" t="s">
        <v>51</v>
      </c>
      <c r="H145" s="1">
        <v>3</v>
      </c>
      <c r="I145" s="29">
        <v>3</v>
      </c>
    </row>
    <row r="146" spans="1:9" x14ac:dyDescent="0.3">
      <c r="A146" s="52"/>
      <c r="B146" s="27" t="s">
        <v>105</v>
      </c>
      <c r="C146" s="27" t="s">
        <v>6</v>
      </c>
      <c r="D146" s="27" t="s">
        <v>17</v>
      </c>
      <c r="E146" s="27" t="s">
        <v>36</v>
      </c>
      <c r="F146" s="27" t="s">
        <v>330</v>
      </c>
      <c r="G146" s="27" t="s">
        <v>150</v>
      </c>
      <c r="H146" s="1">
        <v>4</v>
      </c>
      <c r="I146" s="1">
        <v>4</v>
      </c>
    </row>
    <row r="147" spans="1:9" x14ac:dyDescent="0.3">
      <c r="A147" s="52"/>
      <c r="B147" s="27" t="s">
        <v>105</v>
      </c>
      <c r="C147" s="27" t="s">
        <v>6</v>
      </c>
      <c r="D147" s="27" t="s">
        <v>17</v>
      </c>
      <c r="E147" s="27" t="s">
        <v>36</v>
      </c>
      <c r="F147" s="27" t="s">
        <v>331</v>
      </c>
      <c r="G147" s="27" t="s">
        <v>52</v>
      </c>
      <c r="H147" s="1">
        <v>5</v>
      </c>
      <c r="I147" s="1">
        <v>5</v>
      </c>
    </row>
    <row r="148" spans="1:9" x14ac:dyDescent="0.3">
      <c r="A148" s="52"/>
      <c r="B148" s="27" t="s">
        <v>105</v>
      </c>
      <c r="C148" s="27" t="s">
        <v>6</v>
      </c>
      <c r="D148" s="27" t="s">
        <v>17</v>
      </c>
      <c r="E148" s="27" t="s">
        <v>36</v>
      </c>
      <c r="F148" s="27" t="s">
        <v>37</v>
      </c>
      <c r="G148" s="27" t="s">
        <v>209</v>
      </c>
      <c r="H148" s="1">
        <v>6</v>
      </c>
      <c r="I148" s="1">
        <v>6</v>
      </c>
    </row>
    <row r="149" spans="1:9" x14ac:dyDescent="0.3">
      <c r="A149" s="52"/>
      <c r="B149" s="27" t="s">
        <v>105</v>
      </c>
      <c r="C149" s="27" t="s">
        <v>6</v>
      </c>
      <c r="D149" s="27" t="s">
        <v>17</v>
      </c>
      <c r="E149" s="27" t="s">
        <v>36</v>
      </c>
      <c r="F149" s="27" t="s">
        <v>194</v>
      </c>
      <c r="G149" s="27" t="s">
        <v>49</v>
      </c>
      <c r="H149" s="1">
        <v>7</v>
      </c>
      <c r="I149" s="1">
        <v>7</v>
      </c>
    </row>
    <row r="150" spans="1:9" x14ac:dyDescent="0.3">
      <c r="A150" s="52"/>
      <c r="B150" s="27" t="s">
        <v>105</v>
      </c>
      <c r="C150" s="27" t="s">
        <v>6</v>
      </c>
      <c r="D150" s="27" t="s">
        <v>17</v>
      </c>
      <c r="E150" s="27" t="s">
        <v>36</v>
      </c>
      <c r="F150" s="27" t="s">
        <v>332</v>
      </c>
      <c r="G150" s="27" t="s">
        <v>156</v>
      </c>
      <c r="H150" s="1">
        <v>8</v>
      </c>
      <c r="I150" s="1">
        <v>8</v>
      </c>
    </row>
    <row r="151" spans="1:9" x14ac:dyDescent="0.3">
      <c r="A151" s="52"/>
      <c r="B151" s="27" t="s">
        <v>105</v>
      </c>
      <c r="C151" s="27" t="s">
        <v>6</v>
      </c>
      <c r="D151" s="27" t="s">
        <v>17</v>
      </c>
      <c r="E151" s="27" t="s">
        <v>36</v>
      </c>
      <c r="F151" s="27" t="s">
        <v>333</v>
      </c>
      <c r="G151" s="27" t="s">
        <v>50</v>
      </c>
      <c r="H151" s="1">
        <v>9</v>
      </c>
      <c r="I151" s="1">
        <v>9</v>
      </c>
    </row>
    <row r="152" spans="1:9" x14ac:dyDescent="0.3">
      <c r="A152" s="52"/>
      <c r="B152" s="27" t="s">
        <v>105</v>
      </c>
      <c r="C152" s="27" t="s">
        <v>6</v>
      </c>
      <c r="D152" s="27" t="s">
        <v>17</v>
      </c>
      <c r="E152" s="27" t="s">
        <v>36</v>
      </c>
      <c r="F152" s="27" t="s">
        <v>334</v>
      </c>
      <c r="G152" s="27" t="s">
        <v>148</v>
      </c>
      <c r="H152" s="1">
        <v>10</v>
      </c>
      <c r="I152" s="1">
        <v>10</v>
      </c>
    </row>
    <row r="153" spans="1:9" x14ac:dyDescent="0.3">
      <c r="A153" s="52"/>
      <c r="B153" s="27" t="s">
        <v>105</v>
      </c>
      <c r="C153" s="27" t="s">
        <v>6</v>
      </c>
      <c r="D153" s="27" t="s">
        <v>17</v>
      </c>
      <c r="E153" s="27" t="s">
        <v>36</v>
      </c>
      <c r="F153" s="27" t="s">
        <v>335</v>
      </c>
      <c r="G153" s="27" t="s">
        <v>14</v>
      </c>
      <c r="H153" s="1">
        <v>11</v>
      </c>
      <c r="I153" s="1">
        <v>11</v>
      </c>
    </row>
    <row r="154" spans="1:9" x14ac:dyDescent="0.3">
      <c r="A154" s="52"/>
      <c r="B154" s="27" t="s">
        <v>105</v>
      </c>
      <c r="C154" s="27" t="s">
        <v>6</v>
      </c>
      <c r="D154" s="27" t="s">
        <v>17</v>
      </c>
      <c r="E154" s="27" t="s">
        <v>36</v>
      </c>
      <c r="F154" s="27" t="s">
        <v>336</v>
      </c>
      <c r="G154" s="27" t="s">
        <v>210</v>
      </c>
      <c r="H154" s="1">
        <v>12</v>
      </c>
      <c r="I154" s="1">
        <v>12</v>
      </c>
    </row>
    <row r="155" spans="1:9" x14ac:dyDescent="0.3">
      <c r="A155" s="52"/>
      <c r="B155" s="27" t="s">
        <v>105</v>
      </c>
      <c r="C155" s="27" t="s">
        <v>6</v>
      </c>
      <c r="D155" s="27" t="s">
        <v>17</v>
      </c>
      <c r="E155" s="27" t="s">
        <v>36</v>
      </c>
      <c r="F155" s="27" t="s">
        <v>337</v>
      </c>
      <c r="G155" s="27" t="s">
        <v>135</v>
      </c>
      <c r="H155" s="1">
        <v>13</v>
      </c>
      <c r="I155" s="1">
        <v>13</v>
      </c>
    </row>
    <row r="156" spans="1:9" x14ac:dyDescent="0.3">
      <c r="A156" s="52"/>
      <c r="B156" s="27" t="s">
        <v>105</v>
      </c>
      <c r="C156" s="27" t="s">
        <v>6</v>
      </c>
      <c r="D156" s="27" t="s">
        <v>17</v>
      </c>
      <c r="E156" s="27" t="s">
        <v>36</v>
      </c>
      <c r="F156" s="27" t="s">
        <v>338</v>
      </c>
      <c r="G156" s="27" t="s">
        <v>19</v>
      </c>
      <c r="H156" s="1">
        <v>14</v>
      </c>
      <c r="I156" s="1">
        <v>14</v>
      </c>
    </row>
    <row r="157" spans="1:9" x14ac:dyDescent="0.3">
      <c r="A157" s="52"/>
      <c r="B157" s="27" t="s">
        <v>105</v>
      </c>
      <c r="C157" s="27" t="s">
        <v>6</v>
      </c>
      <c r="D157" s="27" t="s">
        <v>17</v>
      </c>
      <c r="E157" s="27" t="s">
        <v>36</v>
      </c>
      <c r="F157" s="27" t="s">
        <v>339</v>
      </c>
      <c r="G157" s="27" t="s">
        <v>184</v>
      </c>
      <c r="H157" s="1">
        <v>15</v>
      </c>
      <c r="I157" s="1">
        <v>15</v>
      </c>
    </row>
    <row r="158" spans="1:9" x14ac:dyDescent="0.3">
      <c r="A158" s="52"/>
      <c r="B158" s="27" t="s">
        <v>105</v>
      </c>
      <c r="C158" s="27" t="s">
        <v>6</v>
      </c>
      <c r="D158" s="27" t="s">
        <v>17</v>
      </c>
      <c r="E158" s="27" t="s">
        <v>36</v>
      </c>
      <c r="F158" s="27" t="s">
        <v>340</v>
      </c>
      <c r="G158" s="27" t="s">
        <v>247</v>
      </c>
      <c r="H158" s="1">
        <v>16</v>
      </c>
      <c r="I158" s="1">
        <v>16</v>
      </c>
    </row>
    <row r="159" spans="1:9" x14ac:dyDescent="0.3">
      <c r="A159" s="52"/>
      <c r="B159" s="27" t="s">
        <v>105</v>
      </c>
      <c r="C159" s="27" t="s">
        <v>6</v>
      </c>
      <c r="D159" s="27" t="s">
        <v>110</v>
      </c>
      <c r="E159" s="27" t="s">
        <v>34</v>
      </c>
      <c r="F159" s="27" t="s">
        <v>341</v>
      </c>
      <c r="G159" s="27" t="s">
        <v>180</v>
      </c>
      <c r="H159" s="1">
        <v>1</v>
      </c>
      <c r="I159" s="28">
        <v>17</v>
      </c>
    </row>
    <row r="160" spans="1:9" x14ac:dyDescent="0.3">
      <c r="A160" s="52"/>
      <c r="B160" s="27" t="s">
        <v>105</v>
      </c>
      <c r="C160" s="27" t="s">
        <v>6</v>
      </c>
      <c r="D160" s="27" t="s">
        <v>110</v>
      </c>
      <c r="E160" s="27" t="s">
        <v>34</v>
      </c>
      <c r="F160" s="27" t="s">
        <v>342</v>
      </c>
      <c r="G160" s="27" t="s">
        <v>147</v>
      </c>
      <c r="H160" s="1">
        <v>2</v>
      </c>
      <c r="I160" s="1">
        <v>18</v>
      </c>
    </row>
    <row r="161" spans="1:9" x14ac:dyDescent="0.3">
      <c r="A161" s="52"/>
      <c r="B161" s="27" t="s">
        <v>105</v>
      </c>
      <c r="C161" s="27" t="s">
        <v>6</v>
      </c>
      <c r="D161" s="27" t="s">
        <v>110</v>
      </c>
      <c r="E161" s="27" t="s">
        <v>34</v>
      </c>
      <c r="F161" s="27" t="s">
        <v>343</v>
      </c>
      <c r="G161" s="27" t="s">
        <v>151</v>
      </c>
      <c r="H161" s="1">
        <v>3</v>
      </c>
      <c r="I161" s="28">
        <v>19</v>
      </c>
    </row>
    <row r="162" spans="1:9" x14ac:dyDescent="0.3">
      <c r="A162" s="52"/>
      <c r="B162" s="27" t="s">
        <v>105</v>
      </c>
      <c r="C162" s="27" t="s">
        <v>6</v>
      </c>
      <c r="D162" s="27" t="s">
        <v>110</v>
      </c>
      <c r="E162" s="27" t="s">
        <v>34</v>
      </c>
      <c r="F162" s="27" t="s">
        <v>344</v>
      </c>
      <c r="G162" s="27" t="s">
        <v>126</v>
      </c>
      <c r="H162" s="1">
        <v>4</v>
      </c>
      <c r="I162" s="1">
        <v>20</v>
      </c>
    </row>
    <row r="163" spans="1:9" x14ac:dyDescent="0.3">
      <c r="A163" s="52"/>
      <c r="B163" s="27" t="s">
        <v>105</v>
      </c>
      <c r="C163" s="27" t="s">
        <v>6</v>
      </c>
      <c r="D163" s="27" t="s">
        <v>110</v>
      </c>
      <c r="E163" s="27" t="s">
        <v>34</v>
      </c>
      <c r="F163" s="27" t="s">
        <v>345</v>
      </c>
      <c r="G163" s="27" t="s">
        <v>138</v>
      </c>
      <c r="H163" s="1">
        <v>5</v>
      </c>
      <c r="I163" s="1">
        <v>21</v>
      </c>
    </row>
    <row r="164" spans="1:9" x14ac:dyDescent="0.3">
      <c r="A164" s="52"/>
      <c r="B164" s="27" t="s">
        <v>105</v>
      </c>
      <c r="C164" s="27" t="s">
        <v>6</v>
      </c>
      <c r="D164" s="27" t="s">
        <v>110</v>
      </c>
      <c r="E164" s="27" t="s">
        <v>34</v>
      </c>
      <c r="F164" s="27" t="s">
        <v>346</v>
      </c>
      <c r="G164" s="27" t="s">
        <v>125</v>
      </c>
      <c r="H164" s="1">
        <v>6</v>
      </c>
      <c r="I164" s="1">
        <v>22</v>
      </c>
    </row>
    <row r="165" spans="1:9" x14ac:dyDescent="0.3">
      <c r="A165" s="52"/>
      <c r="B165" s="27" t="s">
        <v>105</v>
      </c>
      <c r="C165" s="27" t="s">
        <v>6</v>
      </c>
      <c r="D165" s="27" t="s">
        <v>110</v>
      </c>
      <c r="E165" s="27" t="s">
        <v>34</v>
      </c>
      <c r="F165" s="27" t="s">
        <v>347</v>
      </c>
      <c r="G165" s="27" t="s">
        <v>188</v>
      </c>
      <c r="H165" s="1">
        <v>7</v>
      </c>
      <c r="I165" s="1">
        <v>23</v>
      </c>
    </row>
    <row r="166" spans="1:9" x14ac:dyDescent="0.3">
      <c r="A166" s="52"/>
      <c r="B166" s="27" t="s">
        <v>105</v>
      </c>
      <c r="C166" s="27" t="s">
        <v>6</v>
      </c>
      <c r="D166" s="27" t="s">
        <v>110</v>
      </c>
      <c r="E166" s="27" t="s">
        <v>34</v>
      </c>
      <c r="F166" s="27" t="s">
        <v>348</v>
      </c>
      <c r="G166" s="27" t="s">
        <v>18</v>
      </c>
      <c r="H166" s="1">
        <v>8</v>
      </c>
      <c r="I166" s="1">
        <v>24</v>
      </c>
    </row>
    <row r="167" spans="1:9" x14ac:dyDescent="0.3">
      <c r="A167" s="52"/>
      <c r="B167" s="27" t="s">
        <v>105</v>
      </c>
      <c r="C167" s="27" t="s">
        <v>6</v>
      </c>
      <c r="D167" s="27" t="s">
        <v>110</v>
      </c>
      <c r="E167" s="27" t="s">
        <v>34</v>
      </c>
      <c r="F167" s="27" t="s">
        <v>349</v>
      </c>
      <c r="G167" s="27" t="s">
        <v>164</v>
      </c>
      <c r="H167" s="1">
        <v>9</v>
      </c>
      <c r="I167" s="29">
        <v>25</v>
      </c>
    </row>
    <row r="168" spans="1:9" x14ac:dyDescent="0.3">
      <c r="A168" s="52"/>
      <c r="B168" s="27" t="s">
        <v>105</v>
      </c>
      <c r="C168" s="27" t="s">
        <v>6</v>
      </c>
      <c r="D168" s="27" t="s">
        <v>110</v>
      </c>
      <c r="E168" s="27" t="s">
        <v>34</v>
      </c>
      <c r="F168" s="27" t="s">
        <v>350</v>
      </c>
      <c r="G168" s="27" t="s">
        <v>112</v>
      </c>
      <c r="H168" s="1">
        <v>10</v>
      </c>
      <c r="I168" s="1">
        <v>26</v>
      </c>
    </row>
    <row r="169" spans="1:9" x14ac:dyDescent="0.3">
      <c r="A169" s="52"/>
      <c r="B169" s="27" t="s">
        <v>105</v>
      </c>
      <c r="C169" s="27" t="s">
        <v>6</v>
      </c>
      <c r="D169" s="27" t="s">
        <v>110</v>
      </c>
      <c r="E169" s="27" t="s">
        <v>34</v>
      </c>
      <c r="F169" s="27" t="s">
        <v>351</v>
      </c>
      <c r="G169" s="27" t="s">
        <v>191</v>
      </c>
      <c r="H169" s="1">
        <v>11</v>
      </c>
      <c r="I169" s="1">
        <v>27</v>
      </c>
    </row>
    <row r="170" spans="1:9" x14ac:dyDescent="0.3">
      <c r="A170" s="52">
        <v>6</v>
      </c>
      <c r="B170" s="27" t="s">
        <v>124</v>
      </c>
      <c r="C170" s="27" t="s">
        <v>57</v>
      </c>
      <c r="D170" s="27" t="s">
        <v>134</v>
      </c>
      <c r="E170" s="27" t="s">
        <v>57</v>
      </c>
      <c r="F170" s="27" t="s">
        <v>224</v>
      </c>
      <c r="G170" s="27" t="s">
        <v>162</v>
      </c>
      <c r="H170" s="1">
        <v>1</v>
      </c>
      <c r="I170" s="1">
        <v>1</v>
      </c>
    </row>
    <row r="171" spans="1:9" x14ac:dyDescent="0.3">
      <c r="A171" s="52"/>
      <c r="B171" s="27" t="s">
        <v>124</v>
      </c>
      <c r="C171" s="27" t="s">
        <v>57</v>
      </c>
      <c r="D171" s="27" t="s">
        <v>134</v>
      </c>
      <c r="E171" s="27" t="s">
        <v>57</v>
      </c>
      <c r="F171" s="27" t="s">
        <v>225</v>
      </c>
      <c r="G171" s="27" t="s">
        <v>155</v>
      </c>
      <c r="H171" s="1">
        <v>2</v>
      </c>
      <c r="I171" s="1">
        <v>2</v>
      </c>
    </row>
    <row r="172" spans="1:9" x14ac:dyDescent="0.3">
      <c r="A172" s="52"/>
      <c r="B172" s="27" t="s">
        <v>124</v>
      </c>
      <c r="C172" s="27" t="s">
        <v>57</v>
      </c>
      <c r="D172" s="27" t="s">
        <v>134</v>
      </c>
      <c r="E172" s="27" t="s">
        <v>57</v>
      </c>
      <c r="F172" s="27" t="s">
        <v>226</v>
      </c>
      <c r="G172" s="27" t="s">
        <v>207</v>
      </c>
      <c r="H172" s="1">
        <v>3</v>
      </c>
      <c r="I172" s="1">
        <v>3</v>
      </c>
    </row>
    <row r="173" spans="1:9" x14ac:dyDescent="0.3">
      <c r="A173" s="52"/>
      <c r="B173" s="27" t="s">
        <v>124</v>
      </c>
      <c r="C173" s="27" t="s">
        <v>57</v>
      </c>
      <c r="D173" s="27" t="s">
        <v>134</v>
      </c>
      <c r="E173" s="27" t="s">
        <v>57</v>
      </c>
      <c r="F173" s="27" t="s">
        <v>227</v>
      </c>
      <c r="G173" s="27" t="s">
        <v>209</v>
      </c>
      <c r="H173" s="1">
        <v>4</v>
      </c>
      <c r="I173" s="1">
        <v>4</v>
      </c>
    </row>
    <row r="174" spans="1:9" x14ac:dyDescent="0.3">
      <c r="A174" s="52"/>
      <c r="B174" s="27" t="s">
        <v>124</v>
      </c>
      <c r="C174" s="27" t="s">
        <v>57</v>
      </c>
      <c r="D174" s="27" t="s">
        <v>134</v>
      </c>
      <c r="E174" s="27" t="s">
        <v>57</v>
      </c>
      <c r="F174" s="27" t="s">
        <v>228</v>
      </c>
      <c r="G174" s="27" t="s">
        <v>197</v>
      </c>
      <c r="H174" s="1">
        <v>5</v>
      </c>
      <c r="I174" s="1">
        <v>5</v>
      </c>
    </row>
    <row r="175" spans="1:9" x14ac:dyDescent="0.3">
      <c r="A175" s="52"/>
      <c r="B175" s="27" t="s">
        <v>124</v>
      </c>
      <c r="C175" s="27" t="s">
        <v>57</v>
      </c>
      <c r="D175" s="27" t="s">
        <v>134</v>
      </c>
      <c r="E175" s="27" t="s">
        <v>57</v>
      </c>
      <c r="F175" s="27" t="s">
        <v>229</v>
      </c>
      <c r="G175" s="27" t="s">
        <v>230</v>
      </c>
      <c r="H175" s="1">
        <v>6</v>
      </c>
      <c r="I175" s="1">
        <v>6</v>
      </c>
    </row>
    <row r="176" spans="1:9" x14ac:dyDescent="0.3">
      <c r="A176" s="52"/>
      <c r="B176" s="27" t="s">
        <v>124</v>
      </c>
      <c r="C176" s="27" t="s">
        <v>57</v>
      </c>
      <c r="D176" s="27" t="s">
        <v>134</v>
      </c>
      <c r="E176" s="27" t="s">
        <v>57</v>
      </c>
      <c r="F176" s="27" t="s">
        <v>231</v>
      </c>
      <c r="G176" s="27" t="s">
        <v>127</v>
      </c>
      <c r="H176" s="1">
        <v>7</v>
      </c>
      <c r="I176" s="1">
        <v>7</v>
      </c>
    </row>
    <row r="177" spans="1:9" x14ac:dyDescent="0.3">
      <c r="A177" s="52"/>
      <c r="B177" s="27" t="s">
        <v>124</v>
      </c>
      <c r="C177" s="27" t="s">
        <v>57</v>
      </c>
      <c r="D177" s="27" t="s">
        <v>134</v>
      </c>
      <c r="E177" s="27" t="s">
        <v>57</v>
      </c>
      <c r="F177" s="27" t="s">
        <v>232</v>
      </c>
      <c r="G177" s="27" t="s">
        <v>146</v>
      </c>
      <c r="H177" s="1">
        <v>8</v>
      </c>
      <c r="I177" s="1">
        <v>8</v>
      </c>
    </row>
    <row r="178" spans="1:9" x14ac:dyDescent="0.3">
      <c r="A178" s="52"/>
      <c r="B178" s="27" t="s">
        <v>124</v>
      </c>
      <c r="C178" s="27" t="s">
        <v>57</v>
      </c>
      <c r="D178" s="27" t="s">
        <v>134</v>
      </c>
      <c r="E178" s="27" t="s">
        <v>57</v>
      </c>
      <c r="F178" s="27" t="s">
        <v>233</v>
      </c>
      <c r="G178" s="27" t="s">
        <v>166</v>
      </c>
      <c r="H178" s="1">
        <v>9</v>
      </c>
      <c r="I178" s="1">
        <v>9</v>
      </c>
    </row>
    <row r="179" spans="1:9" x14ac:dyDescent="0.3">
      <c r="A179" s="52"/>
      <c r="B179" s="27" t="s">
        <v>124</v>
      </c>
      <c r="C179" s="27" t="s">
        <v>57</v>
      </c>
      <c r="D179" s="27" t="s">
        <v>134</v>
      </c>
      <c r="E179" s="27" t="s">
        <v>57</v>
      </c>
      <c r="F179" s="27" t="s">
        <v>234</v>
      </c>
      <c r="G179" s="27" t="s">
        <v>208</v>
      </c>
      <c r="H179" s="1">
        <v>10</v>
      </c>
      <c r="I179" s="1">
        <v>10</v>
      </c>
    </row>
    <row r="180" spans="1:9" x14ac:dyDescent="0.3">
      <c r="A180" s="52"/>
      <c r="B180" s="27" t="s">
        <v>124</v>
      </c>
      <c r="C180" s="27" t="s">
        <v>57</v>
      </c>
      <c r="D180" s="27" t="s">
        <v>134</v>
      </c>
      <c r="E180" s="27" t="s">
        <v>57</v>
      </c>
      <c r="F180" s="27" t="s">
        <v>235</v>
      </c>
      <c r="G180" s="27" t="s">
        <v>178</v>
      </c>
      <c r="H180" s="1">
        <v>11</v>
      </c>
      <c r="I180" s="1">
        <v>11</v>
      </c>
    </row>
    <row r="181" spans="1:9" x14ac:dyDescent="0.3">
      <c r="A181" s="52"/>
      <c r="B181" s="27" t="s">
        <v>124</v>
      </c>
      <c r="C181" s="27" t="s">
        <v>57</v>
      </c>
      <c r="D181" s="27" t="s">
        <v>134</v>
      </c>
      <c r="E181" s="27" t="s">
        <v>57</v>
      </c>
      <c r="F181" s="27" t="s">
        <v>236</v>
      </c>
      <c r="G181" s="27" t="s">
        <v>151</v>
      </c>
      <c r="H181" s="1">
        <v>12</v>
      </c>
      <c r="I181" s="28">
        <v>12</v>
      </c>
    </row>
    <row r="182" spans="1:9" x14ac:dyDescent="0.3">
      <c r="A182" s="52"/>
      <c r="B182" s="27" t="s">
        <v>124</v>
      </c>
      <c r="C182" s="27" t="s">
        <v>57</v>
      </c>
      <c r="D182" s="27" t="s">
        <v>134</v>
      </c>
      <c r="E182" s="27" t="s">
        <v>57</v>
      </c>
      <c r="F182" s="27" t="s">
        <v>237</v>
      </c>
      <c r="G182" s="27" t="s">
        <v>189</v>
      </c>
      <c r="H182" s="1">
        <v>13</v>
      </c>
      <c r="I182" s="1">
        <v>13</v>
      </c>
    </row>
    <row r="183" spans="1:9" x14ac:dyDescent="0.3">
      <c r="A183" s="52"/>
      <c r="B183" s="27" t="s">
        <v>124</v>
      </c>
      <c r="C183" s="27" t="s">
        <v>57</v>
      </c>
      <c r="D183" s="27" t="s">
        <v>134</v>
      </c>
      <c r="E183" s="27" t="s">
        <v>57</v>
      </c>
      <c r="F183" s="27" t="s">
        <v>238</v>
      </c>
      <c r="G183" s="27" t="s">
        <v>126</v>
      </c>
      <c r="H183" s="1">
        <v>14</v>
      </c>
      <c r="I183" s="1">
        <v>14</v>
      </c>
    </row>
    <row r="184" spans="1:9" x14ac:dyDescent="0.3">
      <c r="A184" s="52"/>
      <c r="B184" s="27" t="s">
        <v>124</v>
      </c>
      <c r="C184" s="27" t="s">
        <v>57</v>
      </c>
      <c r="D184" s="27" t="s">
        <v>134</v>
      </c>
      <c r="E184" s="27" t="s">
        <v>57</v>
      </c>
      <c r="F184" s="27" t="s">
        <v>239</v>
      </c>
      <c r="G184" s="27" t="s">
        <v>130</v>
      </c>
      <c r="H184" s="1">
        <v>15</v>
      </c>
      <c r="I184" s="1">
        <v>15</v>
      </c>
    </row>
    <row r="185" spans="1:9" x14ac:dyDescent="0.3">
      <c r="A185" s="52"/>
      <c r="B185" s="27" t="s">
        <v>124</v>
      </c>
      <c r="C185" s="27" t="s">
        <v>57</v>
      </c>
      <c r="D185" s="27" t="s">
        <v>134</v>
      </c>
      <c r="E185" s="27" t="s">
        <v>57</v>
      </c>
      <c r="F185" s="27" t="s">
        <v>199</v>
      </c>
      <c r="G185" s="27" t="s">
        <v>46</v>
      </c>
      <c r="H185" s="1">
        <v>16</v>
      </c>
      <c r="I185" s="29">
        <v>16</v>
      </c>
    </row>
    <row r="186" spans="1:9" x14ac:dyDescent="0.3">
      <c r="A186" s="52"/>
      <c r="B186" s="27" t="s">
        <v>124</v>
      </c>
      <c r="C186" s="27" t="s">
        <v>57</v>
      </c>
      <c r="D186" s="27" t="s">
        <v>134</v>
      </c>
      <c r="E186" s="27" t="s">
        <v>57</v>
      </c>
      <c r="F186" s="27" t="s">
        <v>240</v>
      </c>
      <c r="G186" s="27" t="s">
        <v>133</v>
      </c>
      <c r="H186" s="1">
        <v>17</v>
      </c>
      <c r="I186" s="1">
        <v>17</v>
      </c>
    </row>
    <row r="187" spans="1:9" x14ac:dyDescent="0.3">
      <c r="A187" s="52"/>
      <c r="B187" s="27" t="s">
        <v>124</v>
      </c>
      <c r="C187" s="27" t="s">
        <v>57</v>
      </c>
      <c r="D187" s="27" t="s">
        <v>134</v>
      </c>
      <c r="E187" s="27" t="s">
        <v>57</v>
      </c>
      <c r="F187" s="27" t="s">
        <v>241</v>
      </c>
      <c r="G187" s="27" t="s">
        <v>186</v>
      </c>
      <c r="H187" s="1">
        <v>18</v>
      </c>
      <c r="I187" s="1">
        <v>18</v>
      </c>
    </row>
    <row r="188" spans="1:9" x14ac:dyDescent="0.3">
      <c r="A188" s="52"/>
      <c r="B188" s="27" t="s">
        <v>123</v>
      </c>
      <c r="C188" s="27" t="s">
        <v>38</v>
      </c>
      <c r="D188" s="27" t="s">
        <v>18</v>
      </c>
      <c r="E188" s="27" t="s">
        <v>40</v>
      </c>
      <c r="F188" s="27" t="s">
        <v>295</v>
      </c>
      <c r="G188" s="27" t="s">
        <v>160</v>
      </c>
      <c r="H188" s="1">
        <v>1</v>
      </c>
      <c r="I188" s="1">
        <v>19</v>
      </c>
    </row>
    <row r="189" spans="1:9" x14ac:dyDescent="0.3">
      <c r="A189" s="52"/>
      <c r="B189" s="27" t="s">
        <v>123</v>
      </c>
      <c r="C189" s="27" t="s">
        <v>38</v>
      </c>
      <c r="D189" s="27" t="s">
        <v>18</v>
      </c>
      <c r="E189" s="27" t="s">
        <v>40</v>
      </c>
      <c r="F189" s="27" t="s">
        <v>296</v>
      </c>
      <c r="G189" s="27" t="s">
        <v>151</v>
      </c>
      <c r="H189" s="1">
        <v>2</v>
      </c>
      <c r="I189" s="28">
        <v>20</v>
      </c>
    </row>
    <row r="190" spans="1:9" x14ac:dyDescent="0.3">
      <c r="A190" s="52"/>
      <c r="B190" s="27" t="s">
        <v>123</v>
      </c>
      <c r="C190" s="27" t="s">
        <v>38</v>
      </c>
      <c r="D190" s="27" t="s">
        <v>18</v>
      </c>
      <c r="E190" s="27" t="s">
        <v>40</v>
      </c>
      <c r="F190" s="27" t="s">
        <v>297</v>
      </c>
      <c r="G190" s="27" t="s">
        <v>192</v>
      </c>
      <c r="H190" s="1">
        <v>3</v>
      </c>
      <c r="I190" s="1">
        <v>21</v>
      </c>
    </row>
    <row r="191" spans="1:9" x14ac:dyDescent="0.3">
      <c r="A191" s="52"/>
      <c r="B191" s="27" t="s">
        <v>123</v>
      </c>
      <c r="C191" s="27" t="s">
        <v>38</v>
      </c>
      <c r="D191" s="27" t="s">
        <v>18</v>
      </c>
      <c r="E191" s="27" t="s">
        <v>40</v>
      </c>
      <c r="F191" s="27" t="s">
        <v>187</v>
      </c>
      <c r="G191" s="27" t="s">
        <v>230</v>
      </c>
      <c r="H191" s="1">
        <v>4</v>
      </c>
      <c r="I191" s="1">
        <v>22</v>
      </c>
    </row>
    <row r="192" spans="1:9" x14ac:dyDescent="0.3">
      <c r="A192" s="52"/>
      <c r="B192" s="27" t="s">
        <v>123</v>
      </c>
      <c r="C192" s="27" t="s">
        <v>38</v>
      </c>
      <c r="D192" s="27" t="s">
        <v>18</v>
      </c>
      <c r="E192" s="27" t="s">
        <v>40</v>
      </c>
      <c r="F192" s="27" t="s">
        <v>298</v>
      </c>
      <c r="G192" s="27" t="s">
        <v>141</v>
      </c>
      <c r="H192" s="1">
        <v>5</v>
      </c>
      <c r="I192" s="1">
        <v>23</v>
      </c>
    </row>
    <row r="193" spans="1:9" x14ac:dyDescent="0.3">
      <c r="A193" s="52"/>
      <c r="B193" s="27" t="s">
        <v>123</v>
      </c>
      <c r="C193" s="27" t="s">
        <v>38</v>
      </c>
      <c r="D193" s="27" t="s">
        <v>18</v>
      </c>
      <c r="E193" s="27" t="s">
        <v>40</v>
      </c>
      <c r="F193" s="27" t="s">
        <v>299</v>
      </c>
      <c r="G193" s="27" t="s">
        <v>165</v>
      </c>
      <c r="H193" s="1">
        <v>6</v>
      </c>
      <c r="I193" s="1">
        <v>24</v>
      </c>
    </row>
    <row r="194" spans="1:9" x14ac:dyDescent="0.3">
      <c r="A194" s="52"/>
      <c r="B194" s="27" t="s">
        <v>123</v>
      </c>
      <c r="C194" s="27" t="s">
        <v>38</v>
      </c>
      <c r="D194" s="27" t="s">
        <v>18</v>
      </c>
      <c r="E194" s="27" t="s">
        <v>40</v>
      </c>
      <c r="F194" s="27" t="s">
        <v>300</v>
      </c>
      <c r="G194" s="27" t="s">
        <v>144</v>
      </c>
      <c r="H194" s="1">
        <v>7</v>
      </c>
      <c r="I194" s="1">
        <v>25</v>
      </c>
    </row>
    <row r="195" spans="1:9" x14ac:dyDescent="0.3">
      <c r="A195" s="52"/>
      <c r="B195" s="27" t="s">
        <v>123</v>
      </c>
      <c r="C195" s="27" t="s">
        <v>38</v>
      </c>
      <c r="D195" s="27" t="s">
        <v>18</v>
      </c>
      <c r="E195" s="27" t="s">
        <v>40</v>
      </c>
      <c r="F195" s="27" t="s">
        <v>301</v>
      </c>
      <c r="G195" s="27" t="s">
        <v>129</v>
      </c>
      <c r="H195" s="1">
        <v>8</v>
      </c>
      <c r="I195" s="1">
        <v>26</v>
      </c>
    </row>
    <row r="196" spans="1:9" x14ac:dyDescent="0.3">
      <c r="A196" s="52"/>
      <c r="B196" s="27" t="s">
        <v>123</v>
      </c>
      <c r="C196" s="27" t="s">
        <v>38</v>
      </c>
      <c r="D196" s="27" t="s">
        <v>18</v>
      </c>
      <c r="E196" s="27" t="s">
        <v>40</v>
      </c>
      <c r="F196" s="27" t="s">
        <v>302</v>
      </c>
      <c r="G196" s="27" t="s">
        <v>193</v>
      </c>
      <c r="H196" s="1">
        <v>9</v>
      </c>
      <c r="I196" s="1">
        <v>27</v>
      </c>
    </row>
    <row r="197" spans="1:9" x14ac:dyDescent="0.3">
      <c r="A197" s="52"/>
      <c r="B197" s="27" t="s">
        <v>123</v>
      </c>
      <c r="C197" s="27" t="s">
        <v>38</v>
      </c>
      <c r="D197" s="27" t="s">
        <v>18</v>
      </c>
      <c r="E197" s="27" t="s">
        <v>40</v>
      </c>
      <c r="F197" s="27" t="s">
        <v>303</v>
      </c>
      <c r="G197" s="27" t="s">
        <v>304</v>
      </c>
      <c r="H197" s="1">
        <v>10</v>
      </c>
      <c r="I197" s="1">
        <v>28</v>
      </c>
    </row>
    <row r="198" spans="1:9" x14ac:dyDescent="0.3">
      <c r="A198" s="52"/>
      <c r="B198" s="27" t="s">
        <v>123</v>
      </c>
      <c r="C198" s="27" t="s">
        <v>38</v>
      </c>
      <c r="D198" s="27" t="s">
        <v>18</v>
      </c>
      <c r="E198" s="27" t="s">
        <v>40</v>
      </c>
      <c r="F198" s="27" t="s">
        <v>305</v>
      </c>
      <c r="G198" s="27" t="s">
        <v>169</v>
      </c>
      <c r="H198" s="1">
        <v>11</v>
      </c>
      <c r="I198" s="1">
        <v>29</v>
      </c>
    </row>
    <row r="199" spans="1:9" x14ac:dyDescent="0.3">
      <c r="A199" s="52"/>
      <c r="B199" s="27" t="s">
        <v>123</v>
      </c>
      <c r="C199" s="27" t="s">
        <v>38</v>
      </c>
      <c r="D199" s="27" t="s">
        <v>18</v>
      </c>
      <c r="E199" s="27" t="s">
        <v>40</v>
      </c>
      <c r="F199" s="27" t="s">
        <v>306</v>
      </c>
      <c r="G199" s="27" t="s">
        <v>202</v>
      </c>
      <c r="H199" s="1">
        <v>12</v>
      </c>
      <c r="I199" s="1">
        <v>30</v>
      </c>
    </row>
    <row r="200" spans="1:9" x14ac:dyDescent="0.3">
      <c r="A200" s="52"/>
      <c r="B200" s="27" t="s">
        <v>123</v>
      </c>
      <c r="C200" s="27" t="s">
        <v>38</v>
      </c>
      <c r="D200" s="27" t="s">
        <v>18</v>
      </c>
      <c r="E200" s="27" t="s">
        <v>40</v>
      </c>
      <c r="F200" s="27" t="s">
        <v>307</v>
      </c>
      <c r="G200" s="27" t="s">
        <v>179</v>
      </c>
      <c r="H200" s="1">
        <v>13</v>
      </c>
      <c r="I200" s="1">
        <v>31</v>
      </c>
    </row>
    <row r="201" spans="1:9" x14ac:dyDescent="0.3">
      <c r="A201" s="52"/>
      <c r="B201" s="27" t="s">
        <v>123</v>
      </c>
      <c r="C201" s="27" t="s">
        <v>38</v>
      </c>
      <c r="D201" s="27" t="s">
        <v>18</v>
      </c>
      <c r="E201" s="27" t="s">
        <v>40</v>
      </c>
      <c r="F201" s="27" t="s">
        <v>8</v>
      </c>
      <c r="G201" s="27" t="s">
        <v>155</v>
      </c>
      <c r="H201" s="1">
        <v>14</v>
      </c>
      <c r="I201" s="1">
        <v>32</v>
      </c>
    </row>
    <row r="202" spans="1:9" x14ac:dyDescent="0.3">
      <c r="A202" s="52"/>
      <c r="B202" s="27" t="s">
        <v>123</v>
      </c>
      <c r="C202" s="27" t="s">
        <v>38</v>
      </c>
      <c r="D202" s="27" t="s">
        <v>45</v>
      </c>
      <c r="E202" s="27" t="s">
        <v>38</v>
      </c>
      <c r="F202" s="27" t="s">
        <v>308</v>
      </c>
      <c r="G202" s="27" t="s">
        <v>309</v>
      </c>
      <c r="H202" s="1">
        <v>1</v>
      </c>
      <c r="I202" s="1">
        <v>33</v>
      </c>
    </row>
    <row r="203" spans="1:9" x14ac:dyDescent="0.3">
      <c r="A203" s="52"/>
      <c r="B203" s="27" t="s">
        <v>123</v>
      </c>
      <c r="C203" s="27" t="s">
        <v>38</v>
      </c>
      <c r="D203" s="27" t="s">
        <v>45</v>
      </c>
      <c r="E203" s="27" t="s">
        <v>38</v>
      </c>
      <c r="F203" s="27" t="s">
        <v>310</v>
      </c>
      <c r="G203" s="27" t="s">
        <v>311</v>
      </c>
      <c r="H203" s="1">
        <v>2</v>
      </c>
      <c r="I203" s="29">
        <v>34</v>
      </c>
    </row>
    <row r="204" spans="1:9" x14ac:dyDescent="0.3">
      <c r="A204" s="52"/>
      <c r="B204" s="27" t="s">
        <v>123</v>
      </c>
      <c r="C204" s="27" t="s">
        <v>38</v>
      </c>
      <c r="D204" s="27" t="s">
        <v>45</v>
      </c>
      <c r="E204" s="27" t="s">
        <v>38</v>
      </c>
      <c r="F204" s="27" t="s">
        <v>312</v>
      </c>
      <c r="G204" s="27" t="s">
        <v>159</v>
      </c>
      <c r="H204" s="1">
        <v>3</v>
      </c>
      <c r="I204" s="1">
        <v>35</v>
      </c>
    </row>
    <row r="205" spans="1:9" x14ac:dyDescent="0.3">
      <c r="A205" s="52"/>
      <c r="B205" s="27" t="s">
        <v>123</v>
      </c>
      <c r="C205" s="27" t="s">
        <v>38</v>
      </c>
      <c r="D205" s="27" t="s">
        <v>45</v>
      </c>
      <c r="E205" s="27" t="s">
        <v>38</v>
      </c>
      <c r="F205" s="27" t="s">
        <v>313</v>
      </c>
      <c r="G205" s="27" t="s">
        <v>196</v>
      </c>
      <c r="H205" s="1">
        <v>4</v>
      </c>
      <c r="I205" s="1">
        <v>36</v>
      </c>
    </row>
    <row r="206" spans="1:9" x14ac:dyDescent="0.3">
      <c r="A206" s="52"/>
      <c r="B206" s="27" t="s">
        <v>123</v>
      </c>
      <c r="C206" s="27" t="s">
        <v>38</v>
      </c>
      <c r="D206" s="27" t="s">
        <v>45</v>
      </c>
      <c r="E206" s="27" t="s">
        <v>38</v>
      </c>
      <c r="F206" s="27" t="s">
        <v>212</v>
      </c>
      <c r="G206" s="27" t="s">
        <v>214</v>
      </c>
      <c r="H206" s="1">
        <v>5</v>
      </c>
      <c r="I206" s="1">
        <v>37</v>
      </c>
    </row>
    <row r="207" spans="1:9" x14ac:dyDescent="0.3">
      <c r="A207" s="52"/>
      <c r="B207" s="27" t="s">
        <v>123</v>
      </c>
      <c r="C207" s="27" t="s">
        <v>38</v>
      </c>
      <c r="D207" s="27" t="s">
        <v>45</v>
      </c>
      <c r="E207" s="27" t="s">
        <v>38</v>
      </c>
      <c r="F207" s="27" t="s">
        <v>107</v>
      </c>
      <c r="G207" s="27" t="s">
        <v>168</v>
      </c>
      <c r="H207" s="1">
        <v>6</v>
      </c>
      <c r="I207" s="1">
        <v>38</v>
      </c>
    </row>
    <row r="208" spans="1:9" x14ac:dyDescent="0.3">
      <c r="A208" s="52"/>
      <c r="B208" s="27" t="s">
        <v>123</v>
      </c>
      <c r="C208" s="27" t="s">
        <v>38</v>
      </c>
      <c r="D208" s="27" t="s">
        <v>45</v>
      </c>
      <c r="E208" s="27" t="s">
        <v>38</v>
      </c>
      <c r="F208" s="27" t="s">
        <v>43</v>
      </c>
      <c r="G208" s="27" t="s">
        <v>185</v>
      </c>
      <c r="H208" s="1">
        <v>7</v>
      </c>
      <c r="I208" s="1">
        <v>39</v>
      </c>
    </row>
    <row r="209" spans="1:9" x14ac:dyDescent="0.3">
      <c r="A209" s="52"/>
      <c r="B209" s="27" t="s">
        <v>123</v>
      </c>
      <c r="C209" s="27" t="s">
        <v>38</v>
      </c>
      <c r="D209" s="27" t="s">
        <v>45</v>
      </c>
      <c r="E209" s="27" t="s">
        <v>38</v>
      </c>
      <c r="F209" s="27" t="s">
        <v>314</v>
      </c>
      <c r="G209" s="27" t="s">
        <v>315</v>
      </c>
      <c r="H209" s="1">
        <v>8</v>
      </c>
      <c r="I209" s="1">
        <v>40</v>
      </c>
    </row>
    <row r="210" spans="1:9" x14ac:dyDescent="0.3">
      <c r="A210" s="52"/>
      <c r="B210" s="27" t="s">
        <v>123</v>
      </c>
      <c r="C210" s="27" t="s">
        <v>38</v>
      </c>
      <c r="D210" s="27" t="s">
        <v>45</v>
      </c>
      <c r="E210" s="27" t="s">
        <v>38</v>
      </c>
      <c r="F210" s="27" t="s">
        <v>316</v>
      </c>
      <c r="G210" s="27" t="s">
        <v>317</v>
      </c>
      <c r="H210" s="1">
        <v>9</v>
      </c>
      <c r="I210" s="1">
        <v>41</v>
      </c>
    </row>
    <row r="211" spans="1:9" x14ac:dyDescent="0.3">
      <c r="A211" s="52"/>
      <c r="B211" s="27" t="s">
        <v>123</v>
      </c>
      <c r="C211" s="27" t="s">
        <v>38</v>
      </c>
      <c r="D211" s="27" t="s">
        <v>45</v>
      </c>
      <c r="E211" s="27" t="s">
        <v>38</v>
      </c>
      <c r="F211" s="27" t="s">
        <v>318</v>
      </c>
      <c r="G211" s="27" t="s">
        <v>205</v>
      </c>
      <c r="H211" s="1">
        <v>10</v>
      </c>
      <c r="I211" s="1">
        <v>42</v>
      </c>
    </row>
    <row r="212" spans="1:9" x14ac:dyDescent="0.3">
      <c r="A212" s="52"/>
      <c r="B212" s="27" t="s">
        <v>123</v>
      </c>
      <c r="C212" s="27" t="s">
        <v>38</v>
      </c>
      <c r="D212" s="27" t="s">
        <v>45</v>
      </c>
      <c r="E212" s="27" t="s">
        <v>38</v>
      </c>
      <c r="F212" s="27" t="s">
        <v>41</v>
      </c>
      <c r="G212" s="27" t="s">
        <v>319</v>
      </c>
      <c r="H212" s="1">
        <v>11</v>
      </c>
      <c r="I212" s="1">
        <v>43</v>
      </c>
    </row>
    <row r="213" spans="1:9" x14ac:dyDescent="0.3">
      <c r="A213" s="52"/>
      <c r="B213" s="27" t="s">
        <v>123</v>
      </c>
      <c r="C213" s="27" t="s">
        <v>38</v>
      </c>
      <c r="D213" s="27" t="s">
        <v>45</v>
      </c>
      <c r="E213" s="27" t="s">
        <v>38</v>
      </c>
      <c r="F213" s="27" t="s">
        <v>35</v>
      </c>
      <c r="G213" s="27" t="s">
        <v>320</v>
      </c>
      <c r="H213" s="1">
        <v>12</v>
      </c>
      <c r="I213" s="1">
        <v>44</v>
      </c>
    </row>
    <row r="214" spans="1:9" x14ac:dyDescent="0.3">
      <c r="A214" s="52"/>
      <c r="B214" s="27" t="s">
        <v>123</v>
      </c>
      <c r="C214" s="27" t="s">
        <v>38</v>
      </c>
      <c r="D214" s="27" t="s">
        <v>45</v>
      </c>
      <c r="E214" s="27" t="s">
        <v>38</v>
      </c>
      <c r="F214" s="27" t="s">
        <v>321</v>
      </c>
      <c r="G214" s="27" t="s">
        <v>322</v>
      </c>
      <c r="H214" s="1">
        <v>13</v>
      </c>
      <c r="I214" s="1">
        <v>45</v>
      </c>
    </row>
    <row r="215" spans="1:9" x14ac:dyDescent="0.3">
      <c r="A215" s="52"/>
      <c r="B215" s="27" t="s">
        <v>123</v>
      </c>
      <c r="C215" s="27" t="s">
        <v>38</v>
      </c>
      <c r="D215" s="27" t="s">
        <v>45</v>
      </c>
      <c r="E215" s="27" t="s">
        <v>38</v>
      </c>
      <c r="F215" s="27" t="s">
        <v>323</v>
      </c>
      <c r="G215" s="27" t="s">
        <v>203</v>
      </c>
      <c r="H215" s="1">
        <v>14</v>
      </c>
      <c r="I215" s="1">
        <v>46</v>
      </c>
    </row>
    <row r="216" spans="1:9" x14ac:dyDescent="0.3">
      <c r="A216" s="52"/>
      <c r="B216" s="27" t="s">
        <v>123</v>
      </c>
      <c r="C216" s="27" t="s">
        <v>38</v>
      </c>
      <c r="D216" s="27" t="s">
        <v>25</v>
      </c>
      <c r="E216" s="27" t="s">
        <v>39</v>
      </c>
      <c r="F216" s="27" t="s">
        <v>324</v>
      </c>
      <c r="G216" s="27" t="s">
        <v>149</v>
      </c>
      <c r="H216" s="1">
        <v>1</v>
      </c>
      <c r="I216" s="1">
        <v>47</v>
      </c>
    </row>
    <row r="217" spans="1:9" x14ac:dyDescent="0.3">
      <c r="A217" s="52"/>
      <c r="B217" s="27" t="s">
        <v>123</v>
      </c>
      <c r="C217" s="27" t="s">
        <v>38</v>
      </c>
      <c r="D217" s="27" t="s">
        <v>25</v>
      </c>
      <c r="E217" s="27" t="s">
        <v>39</v>
      </c>
      <c r="F217" s="27" t="s">
        <v>137</v>
      </c>
      <c r="G217" s="27" t="s">
        <v>180</v>
      </c>
      <c r="H217" s="1">
        <v>2</v>
      </c>
      <c r="I217" s="1">
        <v>48</v>
      </c>
    </row>
    <row r="218" spans="1:9" x14ac:dyDescent="0.3">
      <c r="A218" s="52"/>
      <c r="B218" s="27" t="s">
        <v>123</v>
      </c>
      <c r="C218" s="27" t="s">
        <v>38</v>
      </c>
      <c r="D218" s="27" t="s">
        <v>25</v>
      </c>
      <c r="E218" s="27" t="s">
        <v>39</v>
      </c>
      <c r="F218" s="27" t="s">
        <v>325</v>
      </c>
      <c r="G218" s="27" t="s">
        <v>116</v>
      </c>
      <c r="H218" s="1">
        <v>3</v>
      </c>
      <c r="I218" s="1">
        <v>49</v>
      </c>
    </row>
    <row r="219" spans="1:9" x14ac:dyDescent="0.3">
      <c r="A219" s="53"/>
      <c r="B219" s="27" t="s">
        <v>123</v>
      </c>
      <c r="C219" s="27" t="s">
        <v>38</v>
      </c>
      <c r="D219" s="27" t="s">
        <v>25</v>
      </c>
      <c r="E219" s="27" t="s">
        <v>39</v>
      </c>
      <c r="F219" s="27" t="s">
        <v>326</v>
      </c>
      <c r="G219" s="30" t="s">
        <v>172</v>
      </c>
      <c r="H219" s="32">
        <v>4</v>
      </c>
      <c r="I219" s="1">
        <v>50</v>
      </c>
    </row>
    <row r="220" spans="1:9" x14ac:dyDescent="0.3">
      <c r="I220" s="25"/>
    </row>
  </sheetData>
  <mergeCells count="7">
    <mergeCell ref="A1:I1"/>
    <mergeCell ref="A170:A219"/>
    <mergeCell ref="A5:A35"/>
    <mergeCell ref="A36:A78"/>
    <mergeCell ref="A79:A110"/>
    <mergeCell ref="A111:A142"/>
    <mergeCell ref="A143:A169"/>
  </mergeCells>
  <pageMargins left="0.11811023622047245" right="0.11811023622047245" top="0.15748031496062992" bottom="0.15748031496062992" header="0.31496062992125984" footer="0.31496062992125984"/>
  <pageSetup paperSize="9" scale="8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8"/>
  <sheetViews>
    <sheetView zoomScale="154" zoomScaleNormal="154" workbookViewId="0">
      <selection activeCell="C10" sqref="C10"/>
    </sheetView>
  </sheetViews>
  <sheetFormatPr defaultColWidth="20.6640625" defaultRowHeight="24.9" customHeight="1" x14ac:dyDescent="0.25"/>
  <cols>
    <col min="1" max="1" width="6.6640625" style="24" customWidth="1"/>
    <col min="2" max="2" width="19.44140625" style="8" customWidth="1"/>
    <col min="3" max="3" width="20.109375" style="8" customWidth="1"/>
    <col min="4" max="4" width="15" style="5" customWidth="1"/>
    <col min="5" max="5" width="14" style="5" customWidth="1"/>
    <col min="6" max="9" width="5.6640625" style="5" customWidth="1"/>
    <col min="10" max="11" width="6.44140625" style="5" customWidth="1"/>
    <col min="12" max="16384" width="20.6640625" style="9"/>
  </cols>
  <sheetData>
    <row r="1" spans="1:12" ht="24.9" customHeight="1" x14ac:dyDescent="0.25">
      <c r="A1" s="58" t="s">
        <v>63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2" ht="24.9" customHeight="1" x14ac:dyDescent="0.25">
      <c r="A2" s="58" t="s">
        <v>64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2" s="6" customFormat="1" ht="24.9" customHeight="1" x14ac:dyDescent="0.25">
      <c r="A3" s="3" t="s">
        <v>58</v>
      </c>
      <c r="B3" s="2" t="s">
        <v>77</v>
      </c>
      <c r="C3" s="4"/>
      <c r="D3" s="5"/>
      <c r="E3" s="5"/>
      <c r="F3" s="4"/>
      <c r="G3" s="59" t="s">
        <v>59</v>
      </c>
      <c r="H3" s="59"/>
      <c r="I3" s="59"/>
      <c r="J3" s="59"/>
      <c r="K3" s="59"/>
    </row>
    <row r="4" spans="1:12" ht="24.9" customHeight="1" x14ac:dyDescent="0.25">
      <c r="A4" s="7"/>
      <c r="F4" s="64" t="s">
        <v>454</v>
      </c>
      <c r="G4" s="64"/>
      <c r="H4" s="64"/>
      <c r="I4" s="64"/>
      <c r="J4" s="64"/>
      <c r="K4" s="64"/>
    </row>
    <row r="5" spans="1:12" ht="46.5" customHeight="1" x14ac:dyDescent="0.25">
      <c r="A5" s="60" t="s">
        <v>65</v>
      </c>
      <c r="B5" s="61" t="s">
        <v>66</v>
      </c>
      <c r="C5" s="61" t="s">
        <v>67</v>
      </c>
      <c r="D5" s="61" t="s">
        <v>68</v>
      </c>
      <c r="E5" s="62" t="s">
        <v>69</v>
      </c>
      <c r="F5" s="61" t="s">
        <v>70</v>
      </c>
      <c r="G5" s="61"/>
      <c r="H5" s="61" t="s">
        <v>71</v>
      </c>
      <c r="I5" s="61"/>
      <c r="J5" s="61" t="s">
        <v>72</v>
      </c>
      <c r="K5" s="61"/>
    </row>
    <row r="6" spans="1:12" ht="35.25" customHeight="1" x14ac:dyDescent="0.25">
      <c r="A6" s="60"/>
      <c r="B6" s="61"/>
      <c r="C6" s="61"/>
      <c r="D6" s="61"/>
      <c r="E6" s="63"/>
      <c r="F6" s="11" t="s">
        <v>73</v>
      </c>
      <c r="G6" s="11" t="s">
        <v>74</v>
      </c>
      <c r="H6" s="11" t="s">
        <v>73</v>
      </c>
      <c r="I6" s="11" t="s">
        <v>74</v>
      </c>
      <c r="J6" s="11" t="s">
        <v>73</v>
      </c>
      <c r="K6" s="11" t="s">
        <v>74</v>
      </c>
    </row>
    <row r="7" spans="1:12" ht="30" customHeight="1" x14ac:dyDescent="0.3">
      <c r="A7" s="68">
        <v>1</v>
      </c>
      <c r="B7" s="12" t="s">
        <v>78</v>
      </c>
      <c r="C7" s="12" t="s">
        <v>78</v>
      </c>
      <c r="D7" s="13">
        <v>6</v>
      </c>
      <c r="E7" s="13">
        <f>D7</f>
        <v>6</v>
      </c>
      <c r="F7" s="14"/>
      <c r="G7" s="14"/>
      <c r="H7" s="14"/>
      <c r="I7" s="14"/>
      <c r="J7" s="14" t="s">
        <v>427</v>
      </c>
      <c r="K7" s="14" t="s">
        <v>430</v>
      </c>
      <c r="L7" s="15"/>
    </row>
    <row r="8" spans="1:12" ht="30" customHeight="1" x14ac:dyDescent="0.3">
      <c r="A8" s="68"/>
      <c r="B8" s="12" t="s">
        <v>78</v>
      </c>
      <c r="C8" s="12" t="s">
        <v>79</v>
      </c>
      <c r="D8" s="14">
        <v>4</v>
      </c>
      <c r="E8" s="14">
        <f>D8+E7</f>
        <v>10</v>
      </c>
      <c r="F8" s="14"/>
      <c r="G8" s="14"/>
      <c r="H8" s="14"/>
      <c r="I8" s="14"/>
      <c r="J8" s="14" t="s">
        <v>428</v>
      </c>
      <c r="K8" s="14" t="s">
        <v>103</v>
      </c>
      <c r="L8" s="15"/>
    </row>
    <row r="9" spans="1:12" ht="28.5" customHeight="1" x14ac:dyDescent="0.3">
      <c r="A9" s="68"/>
      <c r="B9" s="12" t="s">
        <v>80</v>
      </c>
      <c r="C9" s="12" t="s">
        <v>80</v>
      </c>
      <c r="D9" s="14">
        <v>12</v>
      </c>
      <c r="E9" s="14">
        <f t="shared" ref="E9:E11" si="0">D9+E8</f>
        <v>22</v>
      </c>
      <c r="F9" s="16"/>
      <c r="G9" s="16"/>
      <c r="H9" s="14"/>
      <c r="I9" s="14"/>
      <c r="J9" s="14" t="s">
        <v>429</v>
      </c>
      <c r="K9" s="14" t="s">
        <v>431</v>
      </c>
      <c r="L9" s="15"/>
    </row>
    <row r="10" spans="1:12" ht="28.5" customHeight="1" x14ac:dyDescent="0.3">
      <c r="A10" s="17"/>
      <c r="B10" s="12" t="s">
        <v>80</v>
      </c>
      <c r="C10" s="12" t="s">
        <v>81</v>
      </c>
      <c r="D10" s="14">
        <v>1</v>
      </c>
      <c r="E10" s="14">
        <f t="shared" si="0"/>
        <v>23</v>
      </c>
      <c r="F10" s="16"/>
      <c r="G10" s="16"/>
      <c r="H10" s="14"/>
      <c r="I10" s="14"/>
      <c r="J10" s="14"/>
      <c r="K10" s="14"/>
      <c r="L10" s="15"/>
    </row>
    <row r="11" spans="1:12" ht="28.5" customHeight="1" x14ac:dyDescent="0.3">
      <c r="A11" s="17"/>
      <c r="B11" s="12" t="s">
        <v>80</v>
      </c>
      <c r="C11" s="12" t="s">
        <v>82</v>
      </c>
      <c r="D11" s="14">
        <v>8</v>
      </c>
      <c r="E11" s="14">
        <f t="shared" si="0"/>
        <v>31</v>
      </c>
      <c r="F11" s="16"/>
      <c r="G11" s="16"/>
      <c r="H11" s="14"/>
      <c r="I11" s="14"/>
      <c r="J11" s="14"/>
      <c r="K11" s="18"/>
      <c r="L11" s="15"/>
    </row>
    <row r="12" spans="1:12" ht="28.5" customHeight="1" x14ac:dyDescent="0.4">
      <c r="A12" s="17"/>
      <c r="B12" s="19" t="s">
        <v>75</v>
      </c>
      <c r="C12" s="12"/>
      <c r="D12" s="20">
        <f>SUM(D7:D11)</f>
        <v>31</v>
      </c>
      <c r="E12" s="20"/>
      <c r="F12" s="16">
        <v>3</v>
      </c>
      <c r="G12" s="16">
        <v>3</v>
      </c>
      <c r="H12" s="16">
        <v>86</v>
      </c>
      <c r="I12" s="16">
        <v>86</v>
      </c>
      <c r="J12" s="14"/>
      <c r="K12" s="14"/>
      <c r="L12" s="15"/>
    </row>
    <row r="13" spans="1:12" ht="24.9" customHeight="1" x14ac:dyDescent="0.3">
      <c r="A13" s="65">
        <v>2</v>
      </c>
      <c r="B13" s="12" t="s">
        <v>83</v>
      </c>
      <c r="C13" s="12" t="s">
        <v>83</v>
      </c>
      <c r="D13" s="14">
        <v>6</v>
      </c>
      <c r="E13" s="14">
        <f>D13</f>
        <v>6</v>
      </c>
      <c r="F13" s="14"/>
      <c r="G13" s="14"/>
      <c r="H13" s="14"/>
      <c r="I13" s="14"/>
      <c r="J13" s="14" t="s">
        <v>432</v>
      </c>
      <c r="K13" s="14" t="s">
        <v>434</v>
      </c>
      <c r="L13" s="15"/>
    </row>
    <row r="14" spans="1:12" ht="24.9" customHeight="1" x14ac:dyDescent="0.3">
      <c r="A14" s="66"/>
      <c r="B14" s="12" t="s">
        <v>84</v>
      </c>
      <c r="C14" s="12" t="s">
        <v>85</v>
      </c>
      <c r="D14" s="14">
        <v>10</v>
      </c>
      <c r="E14" s="14">
        <f>D14+E13</f>
        <v>16</v>
      </c>
      <c r="F14" s="14"/>
      <c r="G14" s="14"/>
      <c r="H14" s="14"/>
      <c r="I14" s="14"/>
      <c r="J14" s="14" t="s">
        <v>433</v>
      </c>
      <c r="K14" s="14" t="s">
        <v>435</v>
      </c>
      <c r="L14" s="15"/>
    </row>
    <row r="15" spans="1:12" ht="24.9" customHeight="1" x14ac:dyDescent="0.3">
      <c r="A15" s="66"/>
      <c r="B15" s="12" t="s">
        <v>83</v>
      </c>
      <c r="C15" s="12" t="s">
        <v>79</v>
      </c>
      <c r="D15" s="14">
        <v>0</v>
      </c>
      <c r="E15" s="14">
        <f t="shared" ref="E15:E17" si="1">D15+E14</f>
        <v>16</v>
      </c>
      <c r="F15" s="14"/>
      <c r="G15" s="14"/>
      <c r="H15" s="14"/>
      <c r="I15" s="14"/>
      <c r="J15" s="18"/>
      <c r="K15" s="14"/>
      <c r="L15" s="15"/>
    </row>
    <row r="16" spans="1:12" ht="24.9" customHeight="1" x14ac:dyDescent="0.3">
      <c r="A16" s="66"/>
      <c r="B16" s="12" t="s">
        <v>86</v>
      </c>
      <c r="C16" s="12" t="s">
        <v>87</v>
      </c>
      <c r="D16" s="14">
        <v>13</v>
      </c>
      <c r="E16" s="14">
        <f t="shared" si="1"/>
        <v>29</v>
      </c>
      <c r="F16" s="14"/>
      <c r="G16" s="14"/>
      <c r="H16" s="14"/>
      <c r="I16" s="14"/>
      <c r="J16" s="14"/>
      <c r="K16" s="14"/>
      <c r="L16" s="15"/>
    </row>
    <row r="17" spans="1:12" ht="24.9" customHeight="1" x14ac:dyDescent="0.3">
      <c r="A17" s="66"/>
      <c r="B17" s="12" t="s">
        <v>86</v>
      </c>
      <c r="C17" s="12" t="s">
        <v>86</v>
      </c>
      <c r="D17" s="14">
        <v>14</v>
      </c>
      <c r="E17" s="14">
        <f t="shared" si="1"/>
        <v>43</v>
      </c>
      <c r="F17" s="14"/>
      <c r="G17" s="14"/>
      <c r="H17" s="14"/>
      <c r="I17" s="14"/>
      <c r="J17" s="14"/>
      <c r="K17" s="14"/>
      <c r="L17" s="15"/>
    </row>
    <row r="18" spans="1:12" ht="24.9" customHeight="1" x14ac:dyDescent="0.4">
      <c r="A18" s="66"/>
      <c r="B18" s="19" t="s">
        <v>75</v>
      </c>
      <c r="C18" s="12"/>
      <c r="D18" s="23">
        <f>SUM(D13:D17)</f>
        <v>43</v>
      </c>
      <c r="E18" s="14"/>
      <c r="F18" s="16">
        <v>2</v>
      </c>
      <c r="G18" s="16">
        <v>2</v>
      </c>
      <c r="H18" s="16">
        <v>87</v>
      </c>
      <c r="I18" s="16">
        <v>87</v>
      </c>
      <c r="J18" s="14"/>
      <c r="K18" s="14"/>
      <c r="L18" s="15"/>
    </row>
    <row r="19" spans="1:12" ht="24.9" customHeight="1" x14ac:dyDescent="0.3">
      <c r="A19" s="66">
        <v>3</v>
      </c>
      <c r="B19" s="12" t="s">
        <v>88</v>
      </c>
      <c r="C19" s="12" t="s">
        <v>81</v>
      </c>
      <c r="D19" s="14">
        <v>7</v>
      </c>
      <c r="E19" s="14">
        <f>D19</f>
        <v>7</v>
      </c>
      <c r="F19" s="14"/>
      <c r="G19" s="14"/>
      <c r="H19" s="14"/>
      <c r="I19" s="14"/>
      <c r="J19" s="14" t="s">
        <v>437</v>
      </c>
      <c r="K19" s="14" t="s">
        <v>439</v>
      </c>
      <c r="L19" s="15"/>
    </row>
    <row r="20" spans="1:12" ht="24.9" customHeight="1" x14ac:dyDescent="0.3">
      <c r="A20" s="66"/>
      <c r="B20" s="12" t="s">
        <v>89</v>
      </c>
      <c r="C20" s="12" t="s">
        <v>89</v>
      </c>
      <c r="D20" s="14">
        <v>10</v>
      </c>
      <c r="E20" s="14">
        <f>D20+E19</f>
        <v>17</v>
      </c>
      <c r="F20" s="14"/>
      <c r="G20" s="14"/>
      <c r="H20" s="14"/>
      <c r="I20" s="14"/>
      <c r="J20" s="14" t="s">
        <v>438</v>
      </c>
      <c r="K20" s="14" t="s">
        <v>440</v>
      </c>
      <c r="L20" s="15"/>
    </row>
    <row r="21" spans="1:12" ht="24.9" customHeight="1" x14ac:dyDescent="0.3">
      <c r="A21" s="66"/>
      <c r="B21" s="12" t="s">
        <v>90</v>
      </c>
      <c r="C21" s="12" t="s">
        <v>90</v>
      </c>
      <c r="D21" s="14">
        <v>13</v>
      </c>
      <c r="E21" s="14">
        <f t="shared" ref="E21:E23" si="2">D21+E20</f>
        <v>30</v>
      </c>
      <c r="F21" s="14"/>
      <c r="G21" s="14"/>
      <c r="H21" s="14"/>
      <c r="I21" s="14"/>
      <c r="J21" s="14" t="s">
        <v>431</v>
      </c>
      <c r="K21" s="14" t="s">
        <v>441</v>
      </c>
      <c r="L21" s="15"/>
    </row>
    <row r="22" spans="1:12" ht="24.9" customHeight="1" x14ac:dyDescent="0.3">
      <c r="A22" s="66"/>
      <c r="B22" s="12" t="s">
        <v>90</v>
      </c>
      <c r="C22" s="12" t="s">
        <v>91</v>
      </c>
      <c r="D22" s="14">
        <v>1</v>
      </c>
      <c r="E22" s="14">
        <f t="shared" si="2"/>
        <v>31</v>
      </c>
      <c r="F22" s="14"/>
      <c r="G22" s="14"/>
      <c r="H22" s="14"/>
      <c r="I22" s="14"/>
      <c r="J22" s="14"/>
      <c r="K22" s="14"/>
      <c r="L22" s="15"/>
    </row>
    <row r="23" spans="1:12" ht="24.9" customHeight="1" x14ac:dyDescent="0.3">
      <c r="A23" s="67"/>
      <c r="B23" s="12" t="s">
        <v>90</v>
      </c>
      <c r="C23" s="12" t="s">
        <v>92</v>
      </c>
      <c r="D23" s="14">
        <v>1</v>
      </c>
      <c r="E23" s="14">
        <f t="shared" si="2"/>
        <v>32</v>
      </c>
      <c r="F23" s="14"/>
      <c r="G23" s="14"/>
      <c r="H23" s="14"/>
      <c r="I23" s="14"/>
      <c r="J23" s="14"/>
      <c r="K23" s="14"/>
      <c r="L23" s="15"/>
    </row>
    <row r="24" spans="1:12" ht="24.9" customHeight="1" x14ac:dyDescent="0.4">
      <c r="A24" s="17"/>
      <c r="B24" s="19" t="s">
        <v>75</v>
      </c>
      <c r="C24" s="12"/>
      <c r="D24" s="21">
        <f>SUM(D19:D23)</f>
        <v>32</v>
      </c>
      <c r="E24" s="21"/>
      <c r="F24" s="16">
        <v>3</v>
      </c>
      <c r="G24" s="16">
        <v>3</v>
      </c>
      <c r="H24" s="16">
        <v>88</v>
      </c>
      <c r="I24" s="16">
        <v>88</v>
      </c>
      <c r="J24" s="14"/>
      <c r="K24" s="14"/>
      <c r="L24" s="15"/>
    </row>
    <row r="25" spans="1:12" ht="24.9" customHeight="1" x14ac:dyDescent="0.3">
      <c r="A25" s="65">
        <v>4</v>
      </c>
      <c r="B25" s="12" t="s">
        <v>93</v>
      </c>
      <c r="C25" s="12" t="s">
        <v>83</v>
      </c>
      <c r="D25" s="14">
        <v>8</v>
      </c>
      <c r="E25" s="14">
        <f>D25</f>
        <v>8</v>
      </c>
      <c r="F25" s="14"/>
      <c r="G25" s="14"/>
      <c r="H25" s="14"/>
      <c r="I25" s="14"/>
      <c r="J25" s="14" t="s">
        <v>442</v>
      </c>
      <c r="K25" s="14" t="s">
        <v>445</v>
      </c>
      <c r="L25" s="15"/>
    </row>
    <row r="26" spans="1:12" ht="24.9" customHeight="1" x14ac:dyDescent="0.3">
      <c r="A26" s="66"/>
      <c r="B26" s="12" t="s">
        <v>93</v>
      </c>
      <c r="C26" s="12" t="s">
        <v>94</v>
      </c>
      <c r="D26" s="14">
        <v>11</v>
      </c>
      <c r="E26" s="14">
        <f>D26+E25</f>
        <v>19</v>
      </c>
      <c r="F26" s="14"/>
      <c r="G26" s="14"/>
      <c r="H26" s="14"/>
      <c r="I26" s="14"/>
      <c r="J26" s="14" t="s">
        <v>443</v>
      </c>
      <c r="K26" s="14" t="s">
        <v>446</v>
      </c>
      <c r="L26" s="15"/>
    </row>
    <row r="27" spans="1:12" ht="24.9" customHeight="1" x14ac:dyDescent="0.3">
      <c r="A27" s="66"/>
      <c r="B27" s="12" t="s">
        <v>95</v>
      </c>
      <c r="C27" s="12" t="s">
        <v>436</v>
      </c>
      <c r="D27" s="14">
        <v>1</v>
      </c>
      <c r="E27" s="14">
        <f t="shared" ref="E27:E28" si="3">D27+E26</f>
        <v>20</v>
      </c>
      <c r="F27" s="14"/>
      <c r="G27" s="14"/>
      <c r="H27" s="14"/>
      <c r="I27" s="14"/>
      <c r="J27" s="14" t="s">
        <v>444</v>
      </c>
      <c r="K27" s="14" t="s">
        <v>447</v>
      </c>
      <c r="L27" s="15"/>
    </row>
    <row r="28" spans="1:12" ht="24.9" customHeight="1" x14ac:dyDescent="0.3">
      <c r="A28" s="67"/>
      <c r="B28" s="12" t="s">
        <v>95</v>
      </c>
      <c r="C28" s="12" t="s">
        <v>96</v>
      </c>
      <c r="D28" s="14">
        <v>12</v>
      </c>
      <c r="E28" s="14">
        <f t="shared" si="3"/>
        <v>32</v>
      </c>
      <c r="F28" s="14"/>
      <c r="G28" s="14"/>
      <c r="H28" s="14"/>
      <c r="I28" s="14"/>
      <c r="J28" s="14"/>
      <c r="K28" s="14"/>
      <c r="L28" s="15"/>
    </row>
    <row r="29" spans="1:12" ht="24.9" customHeight="1" x14ac:dyDescent="0.4">
      <c r="A29" s="17"/>
      <c r="B29" s="19" t="s">
        <v>75</v>
      </c>
      <c r="C29" s="12"/>
      <c r="D29" s="23">
        <f>SUM(D25:D28)</f>
        <v>32</v>
      </c>
      <c r="E29" s="21"/>
      <c r="F29" s="16">
        <v>3</v>
      </c>
      <c r="G29" s="16">
        <v>3</v>
      </c>
      <c r="H29" s="16">
        <v>89</v>
      </c>
      <c r="I29" s="16">
        <v>89</v>
      </c>
      <c r="J29" s="14"/>
      <c r="K29" s="14"/>
      <c r="L29" s="15"/>
    </row>
    <row r="30" spans="1:12" ht="24.9" customHeight="1" x14ac:dyDescent="0.3">
      <c r="A30" s="65">
        <v>5</v>
      </c>
      <c r="B30" s="12" t="s">
        <v>98</v>
      </c>
      <c r="C30" s="12" t="s">
        <v>97</v>
      </c>
      <c r="D30" s="14">
        <v>11</v>
      </c>
      <c r="E30" s="14">
        <f>D30</f>
        <v>11</v>
      </c>
      <c r="F30" s="14"/>
      <c r="G30" s="14"/>
      <c r="H30" s="14"/>
      <c r="I30" s="14"/>
      <c r="J30" s="14" t="s">
        <v>448</v>
      </c>
      <c r="K30" s="14" t="s">
        <v>434</v>
      </c>
      <c r="L30" s="15"/>
    </row>
    <row r="31" spans="1:12" ht="24.9" customHeight="1" x14ac:dyDescent="0.3">
      <c r="A31" s="67"/>
      <c r="B31" s="12" t="s">
        <v>98</v>
      </c>
      <c r="C31" s="12" t="s">
        <v>92</v>
      </c>
      <c r="D31" s="14">
        <v>16</v>
      </c>
      <c r="E31" s="16">
        <f>D31+E30</f>
        <v>27</v>
      </c>
      <c r="F31" s="14"/>
      <c r="G31" s="14"/>
      <c r="H31" s="14"/>
      <c r="I31" s="14"/>
      <c r="J31" s="14" t="s">
        <v>449</v>
      </c>
      <c r="K31" s="14" t="s">
        <v>450</v>
      </c>
      <c r="L31" s="15"/>
    </row>
    <row r="32" spans="1:12" ht="24.9" customHeight="1" x14ac:dyDescent="0.4">
      <c r="A32" s="17"/>
      <c r="B32" s="19" t="s">
        <v>75</v>
      </c>
      <c r="C32" s="12"/>
      <c r="D32" s="20">
        <f>SUM(D30:D31)</f>
        <v>27</v>
      </c>
      <c r="E32" s="21"/>
      <c r="F32" s="16">
        <v>2</v>
      </c>
      <c r="G32" s="16">
        <v>2</v>
      </c>
      <c r="H32" s="16">
        <v>90</v>
      </c>
      <c r="I32" s="16">
        <v>90</v>
      </c>
      <c r="J32" s="14"/>
      <c r="K32" s="14"/>
      <c r="L32" s="15"/>
    </row>
    <row r="33" spans="1:12" ht="24.9" customHeight="1" x14ac:dyDescent="0.3">
      <c r="A33" s="65">
        <v>6</v>
      </c>
      <c r="B33" s="12" t="s">
        <v>99</v>
      </c>
      <c r="C33" s="12" t="s">
        <v>100</v>
      </c>
      <c r="D33" s="14">
        <v>4</v>
      </c>
      <c r="E33" s="14">
        <f>D33</f>
        <v>4</v>
      </c>
      <c r="F33" s="14"/>
      <c r="G33" s="14"/>
      <c r="H33" s="14"/>
      <c r="I33" s="14"/>
      <c r="J33" s="14" t="s">
        <v>451</v>
      </c>
      <c r="K33" s="14" t="s">
        <v>453</v>
      </c>
      <c r="L33" s="15"/>
    </row>
    <row r="34" spans="1:12" ht="24.9" customHeight="1" x14ac:dyDescent="0.3">
      <c r="A34" s="66"/>
      <c r="B34" s="12" t="s">
        <v>99</v>
      </c>
      <c r="C34" s="12" t="s">
        <v>101</v>
      </c>
      <c r="D34" s="14">
        <v>14</v>
      </c>
      <c r="E34" s="14">
        <f>D34+E33</f>
        <v>18</v>
      </c>
      <c r="F34" s="14"/>
      <c r="G34" s="14"/>
      <c r="H34" s="14"/>
      <c r="I34" s="14"/>
      <c r="J34" s="14" t="s">
        <v>452</v>
      </c>
      <c r="K34" s="14" t="s">
        <v>433</v>
      </c>
      <c r="L34" s="15"/>
    </row>
    <row r="35" spans="1:12" ht="24.9" customHeight="1" x14ac:dyDescent="0.3">
      <c r="A35" s="66"/>
      <c r="B35" s="12" t="s">
        <v>99</v>
      </c>
      <c r="C35" s="12" t="s">
        <v>99</v>
      </c>
      <c r="D35" s="14">
        <v>14</v>
      </c>
      <c r="E35" s="14">
        <f t="shared" ref="E35:E36" si="4">D35+E34</f>
        <v>32</v>
      </c>
      <c r="F35" s="14"/>
      <c r="G35" s="14"/>
      <c r="H35" s="14"/>
      <c r="I35" s="14"/>
      <c r="J35" s="14"/>
      <c r="K35" s="14"/>
      <c r="L35" s="15"/>
    </row>
    <row r="36" spans="1:12" ht="24.9" customHeight="1" x14ac:dyDescent="0.3">
      <c r="A36" s="67"/>
      <c r="B36" s="12" t="s">
        <v>102</v>
      </c>
      <c r="C36" s="12" t="s">
        <v>102</v>
      </c>
      <c r="D36" s="14">
        <v>18</v>
      </c>
      <c r="E36" s="14">
        <f t="shared" si="4"/>
        <v>50</v>
      </c>
      <c r="F36" s="14"/>
      <c r="G36" s="14"/>
      <c r="H36" s="14"/>
      <c r="I36" s="14"/>
      <c r="J36" s="14"/>
      <c r="K36" s="14"/>
      <c r="L36" s="15"/>
    </row>
    <row r="37" spans="1:12" ht="24.9" customHeight="1" x14ac:dyDescent="0.4">
      <c r="A37" s="17"/>
      <c r="B37" s="19" t="s">
        <v>75</v>
      </c>
      <c r="C37" s="12"/>
      <c r="D37" s="21">
        <f>SUM(D33:D36)</f>
        <v>50</v>
      </c>
      <c r="E37" s="21"/>
      <c r="F37" s="16">
        <v>2</v>
      </c>
      <c r="G37" s="16">
        <v>2</v>
      </c>
      <c r="H37" s="16">
        <v>91</v>
      </c>
      <c r="I37" s="16">
        <v>91</v>
      </c>
      <c r="J37" s="14"/>
      <c r="K37" s="14"/>
      <c r="L37" s="15"/>
    </row>
    <row r="38" spans="1:12" ht="24.9" customHeight="1" x14ac:dyDescent="0.3">
      <c r="A38" s="22"/>
      <c r="B38" s="12" t="s">
        <v>76</v>
      </c>
      <c r="C38" s="12"/>
      <c r="D38" s="16">
        <f>D12+D18+D24+D29+D32+D37</f>
        <v>215</v>
      </c>
      <c r="E38" s="23"/>
      <c r="F38" s="16">
        <f>F12+F18+F24+F29+F32+F37</f>
        <v>15</v>
      </c>
      <c r="G38" s="16">
        <f>G12+G18+G24+G29+G32+G37</f>
        <v>15</v>
      </c>
      <c r="H38" s="14"/>
      <c r="I38" s="14"/>
      <c r="J38" s="14"/>
      <c r="K38" s="14"/>
      <c r="L38" s="15"/>
    </row>
  </sheetData>
  <mergeCells count="18">
    <mergeCell ref="A25:A28"/>
    <mergeCell ref="A30:A31"/>
    <mergeCell ref="A33:A36"/>
    <mergeCell ref="J5:K5"/>
    <mergeCell ref="A7:A9"/>
    <mergeCell ref="A13:A18"/>
    <mergeCell ref="A19:A23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F4:K4"/>
  </mergeCells>
  <pageMargins left="0.31496062992125984" right="0.11811023622047245" top="0.35433070866141736" bottom="0.35433070866141736" header="0.31496062992125984" footer="0.31496062992125984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CS</vt:lpstr>
      <vt:lpstr>STRATUM WISE SS</vt:lpstr>
      <vt:lpstr>STRATUM WISE</vt:lpstr>
      <vt:lpstr>WORKING SHEET</vt:lpstr>
      <vt:lpstr>'STRATUM WISE'!Print_Titles</vt:lpstr>
      <vt:lpstr>'STRATUM WISE CS'!Print_Titles</vt:lpstr>
      <vt:lpstr>'STRATUM WISE SS'!Print_Titles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Tamil Nadu</cp:lastModifiedBy>
  <cp:lastPrinted>2025-06-24T06:14:35Z</cp:lastPrinted>
  <dcterms:created xsi:type="dcterms:W3CDTF">2025-06-18T07:39:28Z</dcterms:created>
  <dcterms:modified xsi:type="dcterms:W3CDTF">2026-10-05T11:35:23Z</dcterms:modified>
</cp:coreProperties>
</file>
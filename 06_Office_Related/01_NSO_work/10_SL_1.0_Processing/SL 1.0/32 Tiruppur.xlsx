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1840" windowHeight="12540" activeTab="3"/>
  </bookViews>
  <sheets>
    <sheet name="STRATUM WISE (CS)" sheetId="8" r:id="rId1"/>
    <sheet name="STRATUM WISE (SS)" sheetId="7" r:id="rId2"/>
    <sheet name="STRATUM WISE" sheetId="5" r:id="rId3"/>
    <sheet name="WORKING SHEET" sheetId="6" r:id="rId4"/>
  </sheets>
  <definedNames>
    <definedName name="_xlnm._FilterDatabase" localSheetId="2" hidden="1">'STRATUM WISE'!$A$4:$P$72</definedName>
    <definedName name="_xlnm._FilterDatabase" localSheetId="0" hidden="1">'STRATUM WISE (CS)'!$A$4:$M$12</definedName>
    <definedName name="_xlnm._FilterDatabase" localSheetId="1" hidden="1">'STRATUM WISE (SS)'!$A$4:$M$12</definedName>
    <definedName name="_xlnm.Print_Titles" localSheetId="2">'STRATUM WISE'!$4:$4</definedName>
    <definedName name="_xlnm.Print_Titles" localSheetId="0">'STRATUM WISE (CS)'!$4:$4</definedName>
    <definedName name="_xlnm.Print_Titles" localSheetId="1">'STRATUM WISE (SS)'!$4:$4</definedName>
  </definedNames>
  <calcPr calcId="124519"/>
</workbook>
</file>

<file path=xl/calcChain.xml><?xml version="1.0" encoding="utf-8"?>
<calcChain xmlns="http://schemas.openxmlformats.org/spreadsheetml/2006/main">
  <c r="D18" i="6"/>
  <c r="D25"/>
  <c r="E19"/>
  <c r="E20" s="1"/>
  <c r="E13"/>
  <c r="E15" s="1"/>
  <c r="E16" s="1"/>
  <c r="E17" s="1"/>
  <c r="E7"/>
  <c r="E8" s="1"/>
  <c r="E9" s="1"/>
  <c r="E10" s="1"/>
  <c r="E11" s="1"/>
  <c r="D12"/>
  <c r="E22" l="1"/>
  <c r="E23" s="1"/>
  <c r="E24" s="1"/>
  <c r="E21"/>
  <c r="D26"/>
</calcChain>
</file>

<file path=xl/sharedStrings.xml><?xml version="1.0" encoding="utf-8"?>
<sst xmlns="http://schemas.openxmlformats.org/spreadsheetml/2006/main" count="580" uniqueCount="173">
  <si>
    <t>TRS_TKCODE</t>
  </si>
  <si>
    <t>TRS_TKNAME</t>
  </si>
  <si>
    <t>TRS_BKCODE</t>
  </si>
  <si>
    <t>TRS_BKNAME</t>
  </si>
  <si>
    <t>VGNAME</t>
  </si>
  <si>
    <t>RV_CODE</t>
  </si>
  <si>
    <t>TIRUPPUR</t>
  </si>
  <si>
    <t>UDUMALPETTAI</t>
  </si>
  <si>
    <t>40</t>
  </si>
  <si>
    <t>69</t>
  </si>
  <si>
    <t>46</t>
  </si>
  <si>
    <t>36</t>
  </si>
  <si>
    <t>25</t>
  </si>
  <si>
    <t>GUDIMANGALAM</t>
  </si>
  <si>
    <t>18</t>
  </si>
  <si>
    <t>24</t>
  </si>
  <si>
    <t>2</t>
  </si>
  <si>
    <t>20</t>
  </si>
  <si>
    <t>11</t>
  </si>
  <si>
    <t>MADATHUKULAM</t>
  </si>
  <si>
    <t>12</t>
  </si>
  <si>
    <t>17</t>
  </si>
  <si>
    <t>13</t>
  </si>
  <si>
    <t>TIRUPPUR (NORTH)</t>
  </si>
  <si>
    <t>6</t>
  </si>
  <si>
    <t>TIRUPPUR (SOUTH)</t>
  </si>
  <si>
    <t>PONGALUR</t>
  </si>
  <si>
    <t>16</t>
  </si>
  <si>
    <t>19</t>
  </si>
  <si>
    <t>PALLADAM</t>
  </si>
  <si>
    <t>29</t>
  </si>
  <si>
    <t>23</t>
  </si>
  <si>
    <t>15</t>
  </si>
  <si>
    <t>VADUGAPALAYAM</t>
  </si>
  <si>
    <t>10</t>
  </si>
  <si>
    <t>5</t>
  </si>
  <si>
    <t>AVINASHI</t>
  </si>
  <si>
    <t>33</t>
  </si>
  <si>
    <t>1</t>
  </si>
  <si>
    <t>UTHUKULI</t>
  </si>
  <si>
    <t>35</t>
  </si>
  <si>
    <t>7</t>
  </si>
  <si>
    <t>4</t>
  </si>
  <si>
    <t>28</t>
  </si>
  <si>
    <t>DHARAPURAM</t>
  </si>
  <si>
    <t>KUNDADAM</t>
  </si>
  <si>
    <t>MULANUR</t>
  </si>
  <si>
    <t>VELLAKOIL</t>
  </si>
  <si>
    <t>KANGAYAM</t>
  </si>
  <si>
    <t>KANGEYAM</t>
  </si>
  <si>
    <t>GANAPATHIPALAYAM</t>
  </si>
  <si>
    <t>30</t>
  </si>
  <si>
    <t>22</t>
  </si>
  <si>
    <t xml:space="preserve">District: </t>
  </si>
  <si>
    <t>Sample : Central /State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</si>
  <si>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</si>
  <si>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</si>
  <si>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</si>
  <si>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</si>
  <si>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</si>
  <si>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</si>
  <si>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</si>
  <si>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</si>
  <si>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</si>
  <si>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</si>
  <si>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</si>
  <si>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</si>
  <si>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</si>
  <si>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</si>
  <si>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</si>
  <si>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</si>
  <si>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GRAND TOTAL</t>
  </si>
  <si>
    <t>THIRUPPUR(32)</t>
  </si>
  <si>
    <t>08(1)</t>
  </si>
  <si>
    <t>13(2)</t>
  </si>
  <si>
    <t>Year:2026-27 (Fasli-1436)</t>
  </si>
  <si>
    <t>8</t>
  </si>
  <si>
    <t>THATTARAVALASU</t>
  </si>
  <si>
    <t>EDAIKKALPADI</t>
  </si>
  <si>
    <t>54</t>
  </si>
  <si>
    <t>PUNJAITHALAIYUR</t>
  </si>
  <si>
    <t>48</t>
  </si>
  <si>
    <t>PONNIVADI</t>
  </si>
  <si>
    <t>63</t>
  </si>
  <si>
    <t>SURIANALLUR</t>
  </si>
  <si>
    <t>21</t>
  </si>
  <si>
    <t>GATHELREV</t>
  </si>
  <si>
    <t>VELAYUDHAMPALAYAM</t>
  </si>
  <si>
    <t>9</t>
  </si>
  <si>
    <t>ALANGIYAM</t>
  </si>
  <si>
    <t>DALAVOIPATTINAM</t>
  </si>
  <si>
    <t>27</t>
  </si>
  <si>
    <t>MADATHUPALAYAM</t>
  </si>
  <si>
    <t>CHINNAPUTHUR</t>
  </si>
  <si>
    <t>SELAMPALAYAM</t>
  </si>
  <si>
    <t>NATHAMPALAYAM</t>
  </si>
  <si>
    <t>PULIPAR</t>
  </si>
  <si>
    <t>KAANUR</t>
  </si>
  <si>
    <t>14</t>
  </si>
  <si>
    <t>CHINNARIPALAYAM</t>
  </si>
  <si>
    <t>PAZHANKARAI</t>
  </si>
  <si>
    <t>26</t>
  </si>
  <si>
    <t>NADUVACHERI</t>
  </si>
  <si>
    <t>RAMANATHAPURAM</t>
  </si>
  <si>
    <t>THEKKALUR</t>
  </si>
  <si>
    <t>THORAVALUR</t>
  </si>
  <si>
    <t>ETTIVEERAMPALAYAM</t>
  </si>
  <si>
    <t>34</t>
  </si>
  <si>
    <t>SENAPATHIPALAYAM</t>
  </si>
  <si>
    <t>MUTHUR</t>
  </si>
  <si>
    <t>VELLAKOVIL</t>
  </si>
  <si>
    <t>UTHAMAPALAYAM</t>
  </si>
  <si>
    <t>NAALROAD</t>
  </si>
  <si>
    <t>MARUDURAI</t>
  </si>
  <si>
    <t>THAMMAREDDIPALAYAM</t>
  </si>
  <si>
    <t>KUTTAPALAYAM</t>
  </si>
  <si>
    <t>MALLEGOUNDENPALAYAM</t>
  </si>
  <si>
    <t>POOMALUR</t>
  </si>
  <si>
    <t>3</t>
  </si>
  <si>
    <t>PULLAMPATTI</t>
  </si>
  <si>
    <t>ANUPATTI</t>
  </si>
  <si>
    <t>KARATHOLUVU</t>
  </si>
  <si>
    <t>JOTTAMPATTI</t>
  </si>
  <si>
    <t>SANGARAMANALLUR_(N)</t>
  </si>
  <si>
    <t>NETTICHIPALAYAM</t>
  </si>
  <si>
    <t>EDAYAPALAYAM</t>
  </si>
  <si>
    <t>VATTALAPATHY</t>
  </si>
  <si>
    <t>SENGALIPALAYAM</t>
  </si>
  <si>
    <t>SUNDAKKAMPALAYAM</t>
  </si>
  <si>
    <t>KAMMALAKUTTAI</t>
  </si>
  <si>
    <t>CHENGAPPALLI</t>
  </si>
  <si>
    <t>PUTHUR_PALLAPALAYAM</t>
  </si>
  <si>
    <t>PUDUPALAYAM</t>
  </si>
  <si>
    <t>ALAGUMALAI</t>
  </si>
  <si>
    <t>MUTHALIPALAYAM</t>
  </si>
  <si>
    <t>ANDIPALAYAM</t>
  </si>
  <si>
    <t>PONGUPALAYAM</t>
  </si>
  <si>
    <t>KOTTAMANGALAM</t>
  </si>
  <si>
    <t>AMANTHAKATAVU</t>
  </si>
  <si>
    <t>PERIAPATTI</t>
  </si>
  <si>
    <t>VIRUGALPATTI</t>
  </si>
  <si>
    <t>VENKITTAPURAM</t>
  </si>
  <si>
    <t>58</t>
  </si>
  <si>
    <t>KANNAMANAICKANUR I&amp;II</t>
  </si>
  <si>
    <t>66</t>
  </si>
  <si>
    <t>GANAPATHYPALAYAM</t>
  </si>
  <si>
    <t>ANDIGOUNDANUR I&amp;II</t>
  </si>
  <si>
    <t>73</t>
  </si>
  <si>
    <t>THALI-THIRUMOORTHINAGAR</t>
  </si>
  <si>
    <t>55</t>
  </si>
  <si>
    <t>MANUPPATTI</t>
  </si>
  <si>
    <t>72</t>
  </si>
  <si>
    <t>SELLAPPAMPALAYAM</t>
  </si>
  <si>
    <t>39</t>
  </si>
  <si>
    <t>THINNAPATTI</t>
  </si>
  <si>
    <t>DEEPALAPATTI</t>
  </si>
  <si>
    <t>53</t>
  </si>
  <si>
    <t>KANAKKAMPALAYAM</t>
  </si>
  <si>
    <t>05(1)</t>
  </si>
  <si>
    <t>07(2)</t>
  </si>
  <si>
    <t>20(3)</t>
  </si>
  <si>
    <t>11(2)</t>
  </si>
  <si>
    <t>02(3)</t>
  </si>
  <si>
    <t>02(1)</t>
  </si>
  <si>
    <t>09(2)</t>
  </si>
  <si>
    <t>10(1)</t>
  </si>
  <si>
    <t>04(2)</t>
  </si>
  <si>
    <t>19(1)</t>
  </si>
  <si>
    <t>27(2)</t>
  </si>
  <si>
    <t>28(3)</t>
  </si>
  <si>
    <t>03(3)</t>
  </si>
  <si>
    <t>Oder of selection</t>
  </si>
  <si>
    <t>Stratum No.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</si>
</sst>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Bookman Old Style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name val="Bookman Old Style"/>
      <family val="1"/>
    </font>
    <font>
      <b/>
      <sz val="11"/>
      <color theme="1"/>
      <name val="Arial"/>
      <family val="2"/>
    </font>
    <font>
      <b/>
      <sz val="12"/>
      <color indexed="8"/>
      <name val="Calibri"/>
      <family val="2"/>
    </font>
    <font>
      <b/>
      <sz val="16"/>
      <color indexed="8"/>
      <name val="Calibri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</cellStyleXfs>
  <cellXfs count="69">
    <xf numFmtId="0" fontId="0" fillId="0" borderId="0" xfId="0"/>
    <xf numFmtId="0" fontId="2" fillId="0" borderId="1" xfId="1" applyFont="1" applyBorder="1" applyAlignment="1">
      <alignment wrapText="1"/>
    </xf>
    <xf numFmtId="0" fontId="5" fillId="2" borderId="0" xfId="2" applyFont="1" applyFill="1" applyBorder="1" applyAlignment="1">
      <alignment vertical="center"/>
    </xf>
    <xf numFmtId="0" fontId="7" fillId="0" borderId="0" xfId="4" applyFont="1" applyAlignment="1">
      <alignment horizontal="left" vertical="center"/>
    </xf>
    <xf numFmtId="0" fontId="8" fillId="0" borderId="0" xfId="4" applyFont="1" applyAlignment="1">
      <alignment horizontal="left" vertical="center"/>
    </xf>
    <xf numFmtId="0" fontId="8" fillId="0" borderId="0" xfId="4" applyFont="1" applyAlignment="1">
      <alignment horizontal="center" vertical="center"/>
    </xf>
    <xf numFmtId="0" fontId="8" fillId="0" borderId="0" xfId="4" applyFont="1" applyAlignment="1">
      <alignment horizontal="left"/>
    </xf>
    <xf numFmtId="0" fontId="7" fillId="0" borderId="0" xfId="4" applyFont="1" applyAlignment="1">
      <alignment horizontal="center" vertical="center"/>
    </xf>
    <xf numFmtId="0" fontId="8" fillId="0" borderId="0" xfId="4" applyFont="1" applyAlignment="1">
      <alignment vertical="center"/>
    </xf>
    <xf numFmtId="0" fontId="8" fillId="0" borderId="0" xfId="4" applyFont="1"/>
    <xf numFmtId="0" fontId="9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8" fillId="0" borderId="0" xfId="4" applyFont="1" applyAlignment="1">
      <alignment horizontal="left" vertical="center"/>
    </xf>
    <xf numFmtId="0" fontId="10" fillId="0" borderId="1" xfId="4" applyFont="1" applyBorder="1" applyAlignment="1">
      <alignment horizontal="center" vertical="center" wrapText="1"/>
    </xf>
    <xf numFmtId="0" fontId="6" fillId="0" borderId="1" xfId="1" applyFont="1" applyFill="1" applyBorder="1" applyAlignment="1">
      <alignment wrapText="1"/>
    </xf>
    <xf numFmtId="0" fontId="6" fillId="0" borderId="1" xfId="1" applyFont="1" applyFill="1" applyBorder="1" applyAlignment="1">
      <alignment horizontal="center" wrapText="1"/>
    </xf>
    <xf numFmtId="0" fontId="8" fillId="0" borderId="1" xfId="4" applyFont="1" applyBorder="1" applyAlignment="1">
      <alignment horizontal="center" vertical="center"/>
    </xf>
    <xf numFmtId="0" fontId="3" fillId="0" borderId="0" xfId="4"/>
    <xf numFmtId="0" fontId="10" fillId="0" borderId="1" xfId="4" applyFont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 wrapText="1"/>
    </xf>
    <xf numFmtId="0" fontId="8" fillId="0" borderId="1" xfId="4" quotePrefix="1" applyFont="1" applyBorder="1" applyAlignment="1">
      <alignment horizontal="center" vertical="center"/>
    </xf>
    <xf numFmtId="0" fontId="12" fillId="0" borderId="1" xfId="1" applyFont="1" applyFill="1" applyBorder="1" applyAlignment="1">
      <alignment wrapText="1"/>
    </xf>
    <xf numFmtId="0" fontId="13" fillId="0" borderId="1" xfId="4" applyFont="1" applyBorder="1" applyAlignment="1">
      <alignment horizontal="center" vertical="center"/>
    </xf>
    <xf numFmtId="0" fontId="14" fillId="0" borderId="1" xfId="4" applyFont="1" applyBorder="1" applyAlignment="1">
      <alignment horizontal="center" vertical="center"/>
    </xf>
    <xf numFmtId="0" fontId="11" fillId="0" borderId="1" xfId="1" applyFont="1" applyFill="1" applyBorder="1" applyAlignment="1">
      <alignment horizontal="right" vertical="center" wrapText="1"/>
    </xf>
    <xf numFmtId="0" fontId="15" fillId="0" borderId="1" xfId="4" applyFont="1" applyBorder="1" applyAlignment="1">
      <alignment horizontal="center" vertical="center"/>
    </xf>
    <xf numFmtId="0" fontId="16" fillId="0" borderId="0" xfId="4" applyFont="1" applyAlignment="1">
      <alignment horizontal="center" vertical="center"/>
    </xf>
    <xf numFmtId="0" fontId="9" fillId="0" borderId="1" xfId="0" applyFont="1" applyBorder="1" applyAlignment="1">
      <alignment horizontal="left" wrapText="1"/>
    </xf>
    <xf numFmtId="0" fontId="2" fillId="0" borderId="1" xfId="1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0" borderId="1" xfId="1" applyFont="1" applyBorder="1" applyAlignment="1">
      <alignment horizontal="left" vertical="top" wrapText="1"/>
    </xf>
    <xf numFmtId="0" fontId="8" fillId="0" borderId="0" xfId="4" applyFont="1" applyBorder="1" applyAlignment="1">
      <alignment horizontal="center" vertical="center"/>
    </xf>
    <xf numFmtId="0" fontId="8" fillId="0" borderId="0" xfId="4" applyFont="1" applyBorder="1" applyAlignment="1">
      <alignment horizontal="left"/>
    </xf>
    <xf numFmtId="0" fontId="8" fillId="0" borderId="0" xfId="4" quotePrefix="1" applyFont="1" applyBorder="1" applyAlignment="1">
      <alignment horizontal="center" vertical="center"/>
    </xf>
    <xf numFmtId="0" fontId="8" fillId="0" borderId="0" xfId="4" applyFont="1" applyBorder="1"/>
    <xf numFmtId="0" fontId="3" fillId="0" borderId="1" xfId="3" applyBorder="1" applyAlignment="1">
      <alignment horizontal="center" vertical="center"/>
    </xf>
    <xf numFmtId="0" fontId="11" fillId="0" borderId="4" xfId="1" applyFont="1" applyFill="1" applyBorder="1" applyAlignment="1">
      <alignment vertical="center" wrapText="1"/>
    </xf>
    <xf numFmtId="0" fontId="8" fillId="0" borderId="1" xfId="4" applyFont="1" applyBorder="1"/>
    <xf numFmtId="0" fontId="3" fillId="0" borderId="1" xfId="3" applyBorder="1" applyAlignment="1">
      <alignment horizontal="center" vertical="center"/>
    </xf>
    <xf numFmtId="0" fontId="3" fillId="2" borderId="1" xfId="3" applyFill="1" applyBorder="1" applyAlignment="1">
      <alignment horizontal="center" vertical="center"/>
    </xf>
    <xf numFmtId="0" fontId="6" fillId="0" borderId="5" xfId="1" applyFont="1" applyBorder="1" applyAlignment="1">
      <alignment wrapText="1"/>
    </xf>
    <xf numFmtId="0" fontId="3" fillId="3" borderId="1" xfId="3" applyFill="1" applyBorder="1" applyAlignment="1">
      <alignment horizontal="center" vertical="center"/>
    </xf>
    <xf numFmtId="0" fontId="3" fillId="4" borderId="1" xfId="3" applyFill="1" applyBorder="1" applyAlignment="1">
      <alignment horizontal="center" vertical="center"/>
    </xf>
    <xf numFmtId="0" fontId="10" fillId="0" borderId="0" xfId="4" applyFont="1" applyAlignment="1">
      <alignment horizontal="left" vertical="center"/>
    </xf>
    <xf numFmtId="0" fontId="10" fillId="0" borderId="0" xfId="4" applyFont="1" applyAlignment="1">
      <alignment horizontal="center" vertical="center"/>
    </xf>
    <xf numFmtId="0" fontId="10" fillId="0" borderId="0" xfId="4" applyFont="1" applyAlignment="1">
      <alignment vertical="center"/>
    </xf>
    <xf numFmtId="0" fontId="7" fillId="0" borderId="1" xfId="4" applyFont="1" applyBorder="1" applyAlignment="1">
      <alignment horizontal="left" vertical="center"/>
    </xf>
    <xf numFmtId="0" fontId="5" fillId="2" borderId="1" xfId="2" applyFont="1" applyFill="1" applyBorder="1" applyAlignment="1">
      <alignment vertical="center"/>
    </xf>
    <xf numFmtId="0" fontId="8" fillId="0" borderId="1" xfId="4" applyFont="1" applyBorder="1" applyAlignment="1">
      <alignment horizontal="left" vertical="center"/>
    </xf>
    <xf numFmtId="0" fontId="7" fillId="0" borderId="1" xfId="4" applyFont="1" applyBorder="1" applyAlignment="1">
      <alignment horizontal="center" vertical="center"/>
    </xf>
    <xf numFmtId="0" fontId="6" fillId="0" borderId="1" xfId="1" applyFont="1" applyBorder="1" applyAlignment="1">
      <alignment wrapText="1"/>
    </xf>
    <xf numFmtId="0" fontId="17" fillId="0" borderId="1" xfId="5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7" fillId="0" borderId="1" xfId="5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0" fontId="10" fillId="0" borderId="1" xfId="4" applyFont="1" applyBorder="1" applyAlignment="1">
      <alignment horizontal="left" vertical="center"/>
    </xf>
    <xf numFmtId="0" fontId="10" fillId="0" borderId="0" xfId="4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0" xfId="4" applyFont="1" applyAlignment="1">
      <alignment horizontal="left" vertical="center"/>
    </xf>
    <xf numFmtId="0" fontId="10" fillId="0" borderId="6" xfId="4" applyFont="1" applyBorder="1" applyAlignment="1">
      <alignment horizontal="left" vertical="center"/>
    </xf>
    <xf numFmtId="0" fontId="11" fillId="0" borderId="2" xfId="1" applyFont="1" applyFill="1" applyBorder="1" applyAlignment="1">
      <alignment horizontal="center" vertical="center" wrapText="1"/>
    </xf>
    <xf numFmtId="0" fontId="11" fillId="0" borderId="4" xfId="1" applyFont="1" applyFill="1" applyBorder="1" applyAlignment="1">
      <alignment horizontal="center" vertical="center" wrapText="1"/>
    </xf>
    <xf numFmtId="0" fontId="11" fillId="0" borderId="3" xfId="1" applyFont="1" applyFill="1" applyBorder="1" applyAlignment="1">
      <alignment horizontal="center" vertical="center" wrapText="1"/>
    </xf>
    <xf numFmtId="0" fontId="10" fillId="0" borderId="1" xfId="4" applyFont="1" applyBorder="1" applyAlignment="1">
      <alignment horizontal="center" vertical="center" wrapText="1"/>
    </xf>
    <xf numFmtId="0" fontId="7" fillId="0" borderId="1" xfId="4" applyFont="1" applyBorder="1" applyAlignment="1">
      <alignment horizontal="center" vertical="center" textRotation="90" wrapText="1"/>
    </xf>
    <xf numFmtId="0" fontId="10" fillId="0" borderId="2" xfId="4" applyFont="1" applyBorder="1" applyAlignment="1">
      <alignment horizontal="center" vertical="center" wrapText="1"/>
    </xf>
    <xf numFmtId="0" fontId="10" fillId="0" borderId="3" xfId="4" applyFont="1" applyBorder="1" applyAlignment="1">
      <alignment horizontal="center" vertical="center" wrapText="1"/>
    </xf>
  </cellXfs>
  <cellStyles count="6">
    <cellStyle name="Normal" xfId="0" builtinId="0"/>
    <cellStyle name="Normal 2" xfId="4"/>
    <cellStyle name="Normal 3" xfId="2"/>
    <cellStyle name="Normal 4" xfId="3"/>
    <cellStyle name="Normal_Sheet1" xfId="1"/>
    <cellStyle name="Normal_Sheet2_1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view="pageBreakPreview" zoomScaleSheetLayoutView="100" workbookViewId="0">
      <selection activeCell="B18" sqref="B18"/>
    </sheetView>
  </sheetViews>
  <sheetFormatPr defaultRowHeight="15"/>
  <cols>
    <col min="1" max="1" width="9.85546875" bestFit="1" customWidth="1"/>
    <col min="2" max="2" width="26.7109375" style="29" customWidth="1"/>
    <col min="3" max="3" width="20.140625" customWidth="1"/>
    <col min="4" max="4" width="33.140625" customWidth="1"/>
    <col min="5" max="5" width="10.7109375" customWidth="1"/>
    <col min="6" max="6" width="10.28515625" style="11" customWidth="1"/>
  </cols>
  <sheetData>
    <row r="1" spans="1:13" ht="30" customHeight="1">
      <c r="A1" s="56" t="s">
        <v>58</v>
      </c>
      <c r="B1" s="56"/>
      <c r="C1" s="56"/>
      <c r="D1" s="56"/>
      <c r="E1" s="56"/>
      <c r="F1" s="56"/>
      <c r="G1" s="45"/>
      <c r="H1" s="45"/>
    </row>
    <row r="2" spans="1:13" s="6" customFormat="1" ht="30" customHeight="1">
      <c r="A2" s="46" t="s">
        <v>53</v>
      </c>
      <c r="B2" s="47" t="s">
        <v>72</v>
      </c>
      <c r="C2" s="48"/>
      <c r="D2" s="57" t="s">
        <v>54</v>
      </c>
      <c r="E2" s="57"/>
      <c r="F2" s="57"/>
      <c r="G2" s="31"/>
      <c r="H2" s="31"/>
      <c r="I2" s="32"/>
      <c r="J2" s="31"/>
      <c r="K2" s="31"/>
      <c r="L2" s="33"/>
      <c r="M2" s="31"/>
    </row>
    <row r="3" spans="1:13" s="9" customFormat="1" ht="30" customHeight="1">
      <c r="A3" s="49"/>
      <c r="B3" s="48"/>
      <c r="C3" s="16"/>
      <c r="D3" s="57" t="s">
        <v>75</v>
      </c>
      <c r="E3" s="57"/>
      <c r="F3" s="57"/>
      <c r="G3" s="33"/>
      <c r="H3" s="33"/>
      <c r="I3" s="34"/>
      <c r="J3" s="33"/>
      <c r="K3" s="33"/>
      <c r="L3" s="31"/>
      <c r="M3" s="33"/>
    </row>
    <row r="4" spans="1:13" ht="30" customHeight="1">
      <c r="A4" s="10" t="s">
        <v>55</v>
      </c>
      <c r="B4" s="27" t="s">
        <v>1</v>
      </c>
      <c r="C4" s="10" t="s">
        <v>3</v>
      </c>
      <c r="D4" s="10" t="s">
        <v>4</v>
      </c>
      <c r="E4" s="10" t="s">
        <v>5</v>
      </c>
      <c r="F4" s="51" t="s">
        <v>171</v>
      </c>
    </row>
    <row r="5" spans="1:13" ht="30" customHeight="1">
      <c r="A5" s="55">
        <v>1</v>
      </c>
      <c r="B5" s="50" t="s">
        <v>44</v>
      </c>
      <c r="C5" s="50" t="s">
        <v>45</v>
      </c>
      <c r="D5" s="50" t="s">
        <v>84</v>
      </c>
      <c r="E5" s="50" t="s">
        <v>85</v>
      </c>
      <c r="F5" s="39">
        <v>1</v>
      </c>
    </row>
    <row r="6" spans="1:13" ht="30" customHeight="1">
      <c r="A6" s="55"/>
      <c r="B6" s="50" t="s">
        <v>44</v>
      </c>
      <c r="C6" s="50" t="s">
        <v>45</v>
      </c>
      <c r="D6" s="50" t="s">
        <v>86</v>
      </c>
      <c r="E6" s="50" t="s">
        <v>14</v>
      </c>
      <c r="F6" s="39">
        <v>2</v>
      </c>
    </row>
    <row r="7" spans="1:13" ht="30" customHeight="1">
      <c r="A7" s="55"/>
      <c r="B7" s="50" t="s">
        <v>36</v>
      </c>
      <c r="C7" s="50" t="s">
        <v>36</v>
      </c>
      <c r="D7" s="50" t="s">
        <v>103</v>
      </c>
      <c r="E7" s="50" t="s">
        <v>32</v>
      </c>
      <c r="F7" s="39">
        <v>3</v>
      </c>
    </row>
    <row r="8" spans="1:13" ht="30" customHeight="1">
      <c r="A8" s="55">
        <v>2</v>
      </c>
      <c r="B8" s="50" t="s">
        <v>48</v>
      </c>
      <c r="C8" s="50" t="s">
        <v>47</v>
      </c>
      <c r="D8" s="50" t="s">
        <v>109</v>
      </c>
      <c r="E8" s="50" t="s">
        <v>32</v>
      </c>
      <c r="F8" s="39">
        <v>1</v>
      </c>
    </row>
    <row r="9" spans="1:13" ht="30" customHeight="1">
      <c r="A9" s="55"/>
      <c r="B9" s="50" t="s">
        <v>29</v>
      </c>
      <c r="C9" s="50" t="s">
        <v>29</v>
      </c>
      <c r="D9" s="50" t="s">
        <v>116</v>
      </c>
      <c r="E9" s="50" t="s">
        <v>18</v>
      </c>
      <c r="F9" s="39">
        <v>2</v>
      </c>
    </row>
    <row r="10" spans="1:13" ht="30" customHeight="1">
      <c r="A10" s="55">
        <v>3</v>
      </c>
      <c r="B10" s="50" t="s">
        <v>7</v>
      </c>
      <c r="C10" s="50" t="s">
        <v>13</v>
      </c>
      <c r="D10" s="50" t="s">
        <v>140</v>
      </c>
      <c r="E10" s="50" t="s">
        <v>22</v>
      </c>
      <c r="F10" s="39">
        <v>1</v>
      </c>
    </row>
    <row r="11" spans="1:13" ht="30" customHeight="1">
      <c r="A11" s="55"/>
      <c r="B11" s="50" t="s">
        <v>7</v>
      </c>
      <c r="C11" s="50" t="s">
        <v>7</v>
      </c>
      <c r="D11" s="50" t="s">
        <v>154</v>
      </c>
      <c r="E11" s="50" t="s">
        <v>81</v>
      </c>
      <c r="F11" s="39">
        <v>2</v>
      </c>
    </row>
    <row r="12" spans="1:13" ht="30" customHeight="1">
      <c r="A12" s="55"/>
      <c r="B12" s="50" t="s">
        <v>7</v>
      </c>
      <c r="C12" s="50" t="s">
        <v>7</v>
      </c>
      <c r="D12" s="50" t="s">
        <v>155</v>
      </c>
      <c r="E12" s="50" t="s">
        <v>156</v>
      </c>
      <c r="F12" s="39">
        <v>3</v>
      </c>
    </row>
  </sheetData>
  <mergeCells count="6">
    <mergeCell ref="A8:A9"/>
    <mergeCell ref="A10:A12"/>
    <mergeCell ref="A1:F1"/>
    <mergeCell ref="D2:F2"/>
    <mergeCell ref="D3:F3"/>
    <mergeCell ref="A5:A7"/>
  </mergeCells>
  <printOptions horizontalCentered="1"/>
  <pageMargins left="0.19685039370078741" right="0.19685039370078741" top="0.19685039370078741" bottom="0.15748031496062992" header="0.19685039370078741" footer="0.19685039370078741"/>
  <pageSetup paperSize="5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2"/>
  <sheetViews>
    <sheetView view="pageBreakPreview" zoomScaleSheetLayoutView="100" workbookViewId="0">
      <selection activeCell="F5" sqref="F5:F12"/>
    </sheetView>
  </sheetViews>
  <sheetFormatPr defaultRowHeight="15"/>
  <cols>
    <col min="1" max="1" width="9.85546875" bestFit="1" customWidth="1"/>
    <col min="2" max="2" width="26.7109375" style="29" customWidth="1"/>
    <col min="3" max="3" width="20.140625" customWidth="1"/>
    <col min="4" max="4" width="33.140625" customWidth="1"/>
    <col min="5" max="5" width="10.7109375" customWidth="1"/>
    <col min="6" max="6" width="10.28515625" style="11" customWidth="1"/>
  </cols>
  <sheetData>
    <row r="1" spans="1:13" ht="30" customHeight="1">
      <c r="A1" s="56" t="s">
        <v>58</v>
      </c>
      <c r="B1" s="56"/>
      <c r="C1" s="56"/>
      <c r="D1" s="56"/>
      <c r="E1" s="56"/>
      <c r="F1" s="56"/>
      <c r="G1" s="45"/>
      <c r="H1" s="45"/>
    </row>
    <row r="2" spans="1:13" s="6" customFormat="1" ht="30" customHeight="1">
      <c r="A2" s="46" t="s">
        <v>53</v>
      </c>
      <c r="B2" s="47" t="s">
        <v>72</v>
      </c>
      <c r="C2" s="48"/>
      <c r="D2" s="57" t="s">
        <v>54</v>
      </c>
      <c r="E2" s="57"/>
      <c r="F2" s="57"/>
      <c r="G2" s="31"/>
      <c r="H2" s="31"/>
      <c r="I2" s="32"/>
      <c r="J2" s="31"/>
      <c r="K2" s="31"/>
      <c r="L2" s="33"/>
      <c r="M2" s="31"/>
    </row>
    <row r="3" spans="1:13" s="9" customFormat="1" ht="30" customHeight="1">
      <c r="A3" s="49"/>
      <c r="B3" s="48"/>
      <c r="C3" s="16"/>
      <c r="D3" s="57" t="s">
        <v>75</v>
      </c>
      <c r="E3" s="57"/>
      <c r="F3" s="57"/>
      <c r="G3" s="33"/>
      <c r="H3" s="33"/>
      <c r="I3" s="34"/>
      <c r="J3" s="33"/>
      <c r="K3" s="33"/>
      <c r="L3" s="31"/>
      <c r="M3" s="33"/>
    </row>
    <row r="4" spans="1:13" ht="30" customHeight="1">
      <c r="A4" s="10" t="s">
        <v>172</v>
      </c>
      <c r="B4" s="27" t="s">
        <v>1</v>
      </c>
      <c r="C4" s="10" t="s">
        <v>3</v>
      </c>
      <c r="D4" s="10" t="s">
        <v>4</v>
      </c>
      <c r="E4" s="10" t="s">
        <v>5</v>
      </c>
      <c r="F4" s="51" t="s">
        <v>171</v>
      </c>
    </row>
    <row r="5" spans="1:13" ht="30" customHeight="1">
      <c r="A5" s="55">
        <v>1</v>
      </c>
      <c r="B5" s="50" t="s">
        <v>44</v>
      </c>
      <c r="C5" s="50" t="s">
        <v>45</v>
      </c>
      <c r="D5" s="50" t="s">
        <v>87</v>
      </c>
      <c r="E5" s="50" t="s">
        <v>21</v>
      </c>
      <c r="F5" s="39">
        <v>4</v>
      </c>
    </row>
    <row r="6" spans="1:13" ht="30" customHeight="1">
      <c r="A6" s="55"/>
      <c r="B6" s="50" t="s">
        <v>44</v>
      </c>
      <c r="C6" s="50" t="s">
        <v>44</v>
      </c>
      <c r="D6" s="50" t="s">
        <v>92</v>
      </c>
      <c r="E6" s="50" t="s">
        <v>30</v>
      </c>
      <c r="F6" s="39">
        <v>5</v>
      </c>
    </row>
    <row r="7" spans="1:13" ht="30" customHeight="1">
      <c r="A7" s="55"/>
      <c r="B7" s="50" t="s">
        <v>44</v>
      </c>
      <c r="C7" s="50" t="s">
        <v>46</v>
      </c>
      <c r="D7" s="50" t="s">
        <v>78</v>
      </c>
      <c r="E7" s="50" t="s">
        <v>79</v>
      </c>
      <c r="F7" s="39">
        <v>6</v>
      </c>
    </row>
    <row r="8" spans="1:13" ht="30" customHeight="1">
      <c r="A8" s="55">
        <v>2</v>
      </c>
      <c r="B8" s="50" t="s">
        <v>29</v>
      </c>
      <c r="C8" s="50" t="s">
        <v>29</v>
      </c>
      <c r="D8" s="50" t="s">
        <v>117</v>
      </c>
      <c r="E8" s="50" t="s">
        <v>118</v>
      </c>
      <c r="F8" s="39">
        <v>3</v>
      </c>
    </row>
    <row r="9" spans="1:13" ht="30" customHeight="1">
      <c r="A9" s="55"/>
      <c r="B9" s="50" t="s">
        <v>48</v>
      </c>
      <c r="C9" s="50" t="s">
        <v>47</v>
      </c>
      <c r="D9" s="50" t="s">
        <v>111</v>
      </c>
      <c r="E9" s="50" t="s">
        <v>12</v>
      </c>
      <c r="F9" s="39">
        <v>4</v>
      </c>
    </row>
    <row r="10" spans="1:13" ht="30" customHeight="1">
      <c r="A10" s="55">
        <v>3</v>
      </c>
      <c r="B10" s="50" t="s">
        <v>39</v>
      </c>
      <c r="C10" s="50" t="s">
        <v>39</v>
      </c>
      <c r="D10" s="50" t="s">
        <v>128</v>
      </c>
      <c r="E10" s="50" t="s">
        <v>15</v>
      </c>
      <c r="F10" s="39">
        <v>4</v>
      </c>
    </row>
    <row r="11" spans="1:13" ht="30" customHeight="1">
      <c r="A11" s="55"/>
      <c r="B11" s="50" t="s">
        <v>25</v>
      </c>
      <c r="C11" s="50" t="s">
        <v>6</v>
      </c>
      <c r="D11" s="50" t="s">
        <v>135</v>
      </c>
      <c r="E11" s="50" t="s">
        <v>88</v>
      </c>
      <c r="F11" s="39">
        <v>5</v>
      </c>
    </row>
    <row r="12" spans="1:13" ht="30" customHeight="1">
      <c r="A12" s="55"/>
      <c r="B12" s="50" t="s">
        <v>39</v>
      </c>
      <c r="C12" s="50" t="s">
        <v>39</v>
      </c>
      <c r="D12" s="50" t="s">
        <v>126</v>
      </c>
      <c r="E12" s="50" t="s">
        <v>118</v>
      </c>
      <c r="F12" s="39">
        <v>6</v>
      </c>
    </row>
  </sheetData>
  <mergeCells count="6">
    <mergeCell ref="A10:A12"/>
    <mergeCell ref="A1:F1"/>
    <mergeCell ref="D2:F2"/>
    <mergeCell ref="D3:F3"/>
    <mergeCell ref="A5:A7"/>
    <mergeCell ref="A8:A9"/>
  </mergeCells>
  <printOptions horizontalCentered="1"/>
  <pageMargins left="0.19685039370078741" right="0.19685039370078741" top="0.19685039370078741" bottom="0.15748031496062992" header="0.19685039370078741" footer="0.19685039370078741"/>
  <pageSetup paperSize="5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72"/>
  <sheetViews>
    <sheetView view="pageBreakPreview" zoomScaleSheetLayoutView="100" workbookViewId="0">
      <selection activeCell="F10" sqref="F10"/>
    </sheetView>
  </sheetViews>
  <sheetFormatPr defaultRowHeight="15"/>
  <cols>
    <col min="1" max="1" width="9.85546875" bestFit="1" customWidth="1"/>
    <col min="2" max="2" width="9.42578125" customWidth="1"/>
    <col min="3" max="3" width="26.7109375" style="29" customWidth="1"/>
    <col min="4" max="4" width="9" customWidth="1"/>
    <col min="5" max="5" width="20.140625" customWidth="1"/>
    <col min="6" max="6" width="33.140625" customWidth="1"/>
    <col min="7" max="7" width="10.7109375" customWidth="1"/>
    <col min="8" max="8" width="10.7109375" style="11" customWidth="1"/>
    <col min="9" max="9" width="10.28515625" style="11" customWidth="1"/>
  </cols>
  <sheetData>
    <row r="1" spans="1:16">
      <c r="A1" s="58" t="s">
        <v>58</v>
      </c>
      <c r="B1" s="58"/>
      <c r="C1" s="58"/>
      <c r="D1" s="58"/>
      <c r="E1" s="58"/>
      <c r="F1" s="58"/>
      <c r="G1" s="58"/>
      <c r="H1" s="58"/>
      <c r="I1" s="58"/>
      <c r="J1" s="45"/>
      <c r="K1" s="45"/>
    </row>
    <row r="2" spans="1:16" s="6" customFormat="1" ht="24.95" customHeight="1">
      <c r="A2" s="3" t="s">
        <v>53</v>
      </c>
      <c r="B2" s="2" t="s">
        <v>72</v>
      </c>
      <c r="C2" s="12"/>
      <c r="D2" s="4"/>
      <c r="E2" s="4"/>
      <c r="F2" s="60" t="s">
        <v>54</v>
      </c>
      <c r="G2" s="60"/>
      <c r="H2" s="60"/>
      <c r="I2" s="60"/>
      <c r="J2" s="31"/>
      <c r="K2" s="31"/>
      <c r="L2" s="32"/>
      <c r="M2" s="31"/>
      <c r="N2" s="31"/>
      <c r="O2" s="33"/>
      <c r="P2" s="31"/>
    </row>
    <row r="3" spans="1:16" s="9" customFormat="1" ht="24.95" customHeight="1">
      <c r="A3" s="7"/>
      <c r="B3" s="5"/>
      <c r="C3" s="12"/>
      <c r="D3" s="5"/>
      <c r="E3" s="5"/>
      <c r="F3" s="61" t="s">
        <v>75</v>
      </c>
      <c r="G3" s="61"/>
      <c r="H3" s="61"/>
      <c r="I3" s="61"/>
      <c r="J3" s="33"/>
      <c r="K3" s="33"/>
      <c r="L3" s="34"/>
      <c r="M3" s="33"/>
      <c r="N3" s="33"/>
      <c r="O3" s="31"/>
      <c r="P3" s="33"/>
    </row>
    <row r="4" spans="1:16" ht="60">
      <c r="A4" s="52" t="s">
        <v>55</v>
      </c>
      <c r="B4" s="52" t="s">
        <v>0</v>
      </c>
      <c r="C4" s="53" t="s">
        <v>1</v>
      </c>
      <c r="D4" s="52" t="s">
        <v>2</v>
      </c>
      <c r="E4" s="52" t="s">
        <v>3</v>
      </c>
      <c r="F4" s="52" t="s">
        <v>4</v>
      </c>
      <c r="G4" s="52" t="s">
        <v>5</v>
      </c>
      <c r="H4" s="54" t="s">
        <v>56</v>
      </c>
      <c r="I4" s="51" t="s">
        <v>57</v>
      </c>
    </row>
    <row r="5" spans="1:16" ht="15.75" customHeight="1">
      <c r="A5" s="55">
        <v>1</v>
      </c>
      <c r="B5" s="40" t="s">
        <v>76</v>
      </c>
      <c r="C5" s="40" t="s">
        <v>44</v>
      </c>
      <c r="D5" s="40" t="s">
        <v>18</v>
      </c>
      <c r="E5" s="40" t="s">
        <v>46</v>
      </c>
      <c r="F5" s="40" t="s">
        <v>77</v>
      </c>
      <c r="G5" s="40" t="s">
        <v>10</v>
      </c>
      <c r="H5" s="35">
        <v>1</v>
      </c>
      <c r="I5" s="35">
        <v>1</v>
      </c>
    </row>
    <row r="6" spans="1:16" ht="15.75" customHeight="1">
      <c r="A6" s="55"/>
      <c r="B6" s="40" t="s">
        <v>76</v>
      </c>
      <c r="C6" s="40" t="s">
        <v>44</v>
      </c>
      <c r="D6" s="40" t="s">
        <v>18</v>
      </c>
      <c r="E6" s="40" t="s">
        <v>46</v>
      </c>
      <c r="F6" s="40" t="s">
        <v>78</v>
      </c>
      <c r="G6" s="40" t="s">
        <v>79</v>
      </c>
      <c r="H6" s="35">
        <v>2</v>
      </c>
      <c r="I6" s="42">
        <v>2</v>
      </c>
    </row>
    <row r="7" spans="1:16" ht="15.75" customHeight="1">
      <c r="A7" s="55"/>
      <c r="B7" s="40" t="s">
        <v>76</v>
      </c>
      <c r="C7" s="40" t="s">
        <v>44</v>
      </c>
      <c r="D7" s="40" t="s">
        <v>18</v>
      </c>
      <c r="E7" s="40" t="s">
        <v>46</v>
      </c>
      <c r="F7" s="40" t="s">
        <v>80</v>
      </c>
      <c r="G7" s="40" t="s">
        <v>81</v>
      </c>
      <c r="H7" s="35">
        <v>3</v>
      </c>
      <c r="I7" s="38">
        <v>3</v>
      </c>
    </row>
    <row r="8" spans="1:16" ht="15.75" customHeight="1">
      <c r="A8" s="55"/>
      <c r="B8" s="40" t="s">
        <v>76</v>
      </c>
      <c r="C8" s="40" t="s">
        <v>44</v>
      </c>
      <c r="D8" s="40" t="s">
        <v>18</v>
      </c>
      <c r="E8" s="40" t="s">
        <v>46</v>
      </c>
      <c r="F8" s="40" t="s">
        <v>82</v>
      </c>
      <c r="G8" s="40" t="s">
        <v>83</v>
      </c>
      <c r="H8" s="35">
        <v>4</v>
      </c>
      <c r="I8" s="39">
        <v>4</v>
      </c>
    </row>
    <row r="9" spans="1:16" ht="15.75" customHeight="1">
      <c r="A9" s="55"/>
      <c r="B9" s="40" t="s">
        <v>76</v>
      </c>
      <c r="C9" s="40" t="s">
        <v>44</v>
      </c>
      <c r="D9" s="40" t="s">
        <v>34</v>
      </c>
      <c r="E9" s="40" t="s">
        <v>45</v>
      </c>
      <c r="F9" s="40" t="s">
        <v>84</v>
      </c>
      <c r="G9" s="40" t="s">
        <v>85</v>
      </c>
      <c r="H9" s="35">
        <v>1</v>
      </c>
      <c r="I9" s="41">
        <v>5</v>
      </c>
    </row>
    <row r="10" spans="1:16" ht="15.75" customHeight="1">
      <c r="A10" s="55"/>
      <c r="B10" s="40" t="s">
        <v>76</v>
      </c>
      <c r="C10" s="40" t="s">
        <v>44</v>
      </c>
      <c r="D10" s="40" t="s">
        <v>34</v>
      </c>
      <c r="E10" s="40" t="s">
        <v>45</v>
      </c>
      <c r="F10" s="40" t="s">
        <v>45</v>
      </c>
      <c r="G10" s="40" t="s">
        <v>28</v>
      </c>
      <c r="H10" s="35">
        <v>2</v>
      </c>
      <c r="I10" s="39">
        <v>6</v>
      </c>
    </row>
    <row r="11" spans="1:16" ht="15.75" customHeight="1">
      <c r="A11" s="55"/>
      <c r="B11" s="40" t="s">
        <v>76</v>
      </c>
      <c r="C11" s="40" t="s">
        <v>44</v>
      </c>
      <c r="D11" s="40" t="s">
        <v>34</v>
      </c>
      <c r="E11" s="40" t="s">
        <v>45</v>
      </c>
      <c r="F11" s="40" t="s">
        <v>86</v>
      </c>
      <c r="G11" s="40" t="s">
        <v>14</v>
      </c>
      <c r="H11" s="35">
        <v>3</v>
      </c>
      <c r="I11" s="41">
        <v>7</v>
      </c>
    </row>
    <row r="12" spans="1:16" ht="15.75" customHeight="1">
      <c r="A12" s="55"/>
      <c r="B12" s="40" t="s">
        <v>76</v>
      </c>
      <c r="C12" s="40" t="s">
        <v>44</v>
      </c>
      <c r="D12" s="40" t="s">
        <v>34</v>
      </c>
      <c r="E12" s="40" t="s">
        <v>45</v>
      </c>
      <c r="F12" s="40" t="s">
        <v>87</v>
      </c>
      <c r="G12" s="40" t="s">
        <v>21</v>
      </c>
      <c r="H12" s="35">
        <v>4</v>
      </c>
      <c r="I12" s="42">
        <v>8</v>
      </c>
    </row>
    <row r="13" spans="1:16" ht="15.75" customHeight="1">
      <c r="A13" s="55"/>
      <c r="B13" s="40" t="s">
        <v>76</v>
      </c>
      <c r="C13" s="40" t="s">
        <v>44</v>
      </c>
      <c r="D13" s="40" t="s">
        <v>88</v>
      </c>
      <c r="E13" s="40" t="s">
        <v>44</v>
      </c>
      <c r="F13" s="40" t="s">
        <v>89</v>
      </c>
      <c r="G13" s="40" t="s">
        <v>9</v>
      </c>
      <c r="H13" s="35">
        <v>1</v>
      </c>
      <c r="I13" s="38">
        <v>9</v>
      </c>
    </row>
    <row r="14" spans="1:16" ht="15.75" customHeight="1">
      <c r="A14" s="55"/>
      <c r="B14" s="40" t="s">
        <v>76</v>
      </c>
      <c r="C14" s="40" t="s">
        <v>44</v>
      </c>
      <c r="D14" s="40" t="s">
        <v>88</v>
      </c>
      <c r="E14" s="40" t="s">
        <v>44</v>
      </c>
      <c r="F14" s="40" t="s">
        <v>90</v>
      </c>
      <c r="G14" s="40" t="s">
        <v>91</v>
      </c>
      <c r="H14" s="35">
        <v>2</v>
      </c>
      <c r="I14" s="39">
        <v>10</v>
      </c>
    </row>
    <row r="15" spans="1:16" ht="15.75" customHeight="1">
      <c r="A15" s="55"/>
      <c r="B15" s="40" t="s">
        <v>76</v>
      </c>
      <c r="C15" s="40" t="s">
        <v>44</v>
      </c>
      <c r="D15" s="40" t="s">
        <v>88</v>
      </c>
      <c r="E15" s="40" t="s">
        <v>44</v>
      </c>
      <c r="F15" s="40" t="s">
        <v>92</v>
      </c>
      <c r="G15" s="40" t="s">
        <v>30</v>
      </c>
      <c r="H15" s="35">
        <v>3</v>
      </c>
      <c r="I15" s="42">
        <v>11</v>
      </c>
    </row>
    <row r="16" spans="1:16" ht="15.75" customHeight="1">
      <c r="A16" s="55"/>
      <c r="B16" s="40" t="s">
        <v>76</v>
      </c>
      <c r="C16" s="40" t="s">
        <v>44</v>
      </c>
      <c r="D16" s="40" t="s">
        <v>88</v>
      </c>
      <c r="E16" s="40" t="s">
        <v>44</v>
      </c>
      <c r="F16" s="40" t="s">
        <v>93</v>
      </c>
      <c r="G16" s="40" t="s">
        <v>18</v>
      </c>
      <c r="H16" s="35">
        <v>4</v>
      </c>
      <c r="I16" s="39">
        <v>12</v>
      </c>
    </row>
    <row r="17" spans="1:9" ht="15.75" customHeight="1">
      <c r="A17" s="55"/>
      <c r="B17" s="40" t="s">
        <v>76</v>
      </c>
      <c r="C17" s="40" t="s">
        <v>44</v>
      </c>
      <c r="D17" s="40" t="s">
        <v>88</v>
      </c>
      <c r="E17" s="40" t="s">
        <v>44</v>
      </c>
      <c r="F17" s="40" t="s">
        <v>94</v>
      </c>
      <c r="G17" s="40" t="s">
        <v>12</v>
      </c>
      <c r="H17" s="35">
        <v>5</v>
      </c>
      <c r="I17" s="38">
        <v>13</v>
      </c>
    </row>
    <row r="18" spans="1:9" ht="15.75" customHeight="1">
      <c r="A18" s="55"/>
      <c r="B18" s="40" t="s">
        <v>76</v>
      </c>
      <c r="C18" s="40" t="s">
        <v>44</v>
      </c>
      <c r="D18" s="40" t="s">
        <v>88</v>
      </c>
      <c r="E18" s="40" t="s">
        <v>44</v>
      </c>
      <c r="F18" s="40" t="s">
        <v>95</v>
      </c>
      <c r="G18" s="40" t="s">
        <v>8</v>
      </c>
      <c r="H18" s="35">
        <v>6</v>
      </c>
      <c r="I18" s="39">
        <v>14</v>
      </c>
    </row>
    <row r="19" spans="1:9" ht="15.75" customHeight="1">
      <c r="A19" s="55"/>
      <c r="B19" s="40" t="s">
        <v>24</v>
      </c>
      <c r="C19" s="40" t="s">
        <v>36</v>
      </c>
      <c r="D19" s="40" t="s">
        <v>41</v>
      </c>
      <c r="E19" s="40" t="s">
        <v>36</v>
      </c>
      <c r="F19" s="40" t="s">
        <v>96</v>
      </c>
      <c r="G19" s="40" t="s">
        <v>24</v>
      </c>
      <c r="H19" s="35">
        <v>1</v>
      </c>
      <c r="I19" s="38">
        <v>15</v>
      </c>
    </row>
    <row r="20" spans="1:9" ht="15.75" customHeight="1">
      <c r="A20" s="55"/>
      <c r="B20" s="40" t="s">
        <v>24</v>
      </c>
      <c r="C20" s="40" t="s">
        <v>36</v>
      </c>
      <c r="D20" s="40" t="s">
        <v>41</v>
      </c>
      <c r="E20" s="40" t="s">
        <v>36</v>
      </c>
      <c r="F20" s="40" t="s">
        <v>97</v>
      </c>
      <c r="G20" s="40" t="s">
        <v>98</v>
      </c>
      <c r="H20" s="35">
        <v>2</v>
      </c>
      <c r="I20" s="39">
        <v>16</v>
      </c>
    </row>
    <row r="21" spans="1:9" ht="15.75" customHeight="1">
      <c r="A21" s="55"/>
      <c r="B21" s="40" t="s">
        <v>24</v>
      </c>
      <c r="C21" s="40" t="s">
        <v>36</v>
      </c>
      <c r="D21" s="40" t="s">
        <v>41</v>
      </c>
      <c r="E21" s="40" t="s">
        <v>36</v>
      </c>
      <c r="F21" s="40" t="s">
        <v>99</v>
      </c>
      <c r="G21" s="40" t="s">
        <v>30</v>
      </c>
      <c r="H21" s="38">
        <v>3</v>
      </c>
      <c r="I21" s="38">
        <v>17</v>
      </c>
    </row>
    <row r="22" spans="1:9" ht="15.75" customHeight="1">
      <c r="A22" s="55"/>
      <c r="B22" s="40" t="s">
        <v>24</v>
      </c>
      <c r="C22" s="40" t="s">
        <v>36</v>
      </c>
      <c r="D22" s="40" t="s">
        <v>41</v>
      </c>
      <c r="E22" s="40" t="s">
        <v>36</v>
      </c>
      <c r="F22" s="40" t="s">
        <v>100</v>
      </c>
      <c r="G22" s="40" t="s">
        <v>101</v>
      </c>
      <c r="H22" s="38">
        <v>4</v>
      </c>
      <c r="I22" s="39">
        <v>18</v>
      </c>
    </row>
    <row r="23" spans="1:9" ht="15.75" customHeight="1">
      <c r="A23" s="55"/>
      <c r="B23" s="40" t="s">
        <v>24</v>
      </c>
      <c r="C23" s="40" t="s">
        <v>36</v>
      </c>
      <c r="D23" s="40" t="s">
        <v>41</v>
      </c>
      <c r="E23" s="40" t="s">
        <v>36</v>
      </c>
      <c r="F23" s="40" t="s">
        <v>102</v>
      </c>
      <c r="G23" s="40" t="s">
        <v>51</v>
      </c>
      <c r="H23" s="38">
        <v>5</v>
      </c>
      <c r="I23" s="38">
        <v>19</v>
      </c>
    </row>
    <row r="24" spans="1:9" ht="15.75" customHeight="1">
      <c r="A24" s="55"/>
      <c r="B24" s="40" t="s">
        <v>24</v>
      </c>
      <c r="C24" s="40" t="s">
        <v>36</v>
      </c>
      <c r="D24" s="40" t="s">
        <v>41</v>
      </c>
      <c r="E24" s="40" t="s">
        <v>36</v>
      </c>
      <c r="F24" s="40" t="s">
        <v>103</v>
      </c>
      <c r="G24" s="40" t="s">
        <v>32</v>
      </c>
      <c r="H24" s="38">
        <v>6</v>
      </c>
      <c r="I24" s="41">
        <v>20</v>
      </c>
    </row>
    <row r="25" spans="1:9" ht="15.75" customHeight="1">
      <c r="A25" s="55"/>
      <c r="B25" s="40" t="s">
        <v>24</v>
      </c>
      <c r="C25" s="40" t="s">
        <v>36</v>
      </c>
      <c r="D25" s="40" t="s">
        <v>41</v>
      </c>
      <c r="E25" s="40" t="s">
        <v>36</v>
      </c>
      <c r="F25" s="40" t="s">
        <v>104</v>
      </c>
      <c r="G25" s="40" t="s">
        <v>17</v>
      </c>
      <c r="H25" s="38">
        <v>7</v>
      </c>
      <c r="I25" s="38">
        <v>21</v>
      </c>
    </row>
    <row r="26" spans="1:9" ht="15.75" customHeight="1">
      <c r="A26" s="55"/>
      <c r="B26" s="40" t="s">
        <v>24</v>
      </c>
      <c r="C26" s="40" t="s">
        <v>36</v>
      </c>
      <c r="D26" s="40" t="s">
        <v>42</v>
      </c>
      <c r="E26" s="40" t="s">
        <v>6</v>
      </c>
      <c r="F26" s="40" t="s">
        <v>105</v>
      </c>
      <c r="G26" s="40" t="s">
        <v>40</v>
      </c>
      <c r="H26" s="35">
        <v>1</v>
      </c>
      <c r="I26" s="39">
        <v>22</v>
      </c>
    </row>
    <row r="27" spans="1:9" ht="15.75" customHeight="1">
      <c r="A27" s="55"/>
      <c r="B27" s="40" t="s">
        <v>24</v>
      </c>
      <c r="C27" s="40" t="s">
        <v>36</v>
      </c>
      <c r="D27" s="40" t="s">
        <v>42</v>
      </c>
      <c r="E27" s="40" t="s">
        <v>6</v>
      </c>
      <c r="F27" s="40" t="s">
        <v>106</v>
      </c>
      <c r="G27" s="40" t="s">
        <v>107</v>
      </c>
      <c r="H27" s="35">
        <v>2</v>
      </c>
      <c r="I27" s="38">
        <v>23</v>
      </c>
    </row>
    <row r="28" spans="1:9" ht="15.75" customHeight="1">
      <c r="A28" s="55">
        <v>2</v>
      </c>
      <c r="B28" s="40" t="s">
        <v>88</v>
      </c>
      <c r="C28" s="40" t="s">
        <v>48</v>
      </c>
      <c r="D28" s="40" t="s">
        <v>22</v>
      </c>
      <c r="E28" s="40" t="s">
        <v>47</v>
      </c>
      <c r="F28" s="40" t="s">
        <v>108</v>
      </c>
      <c r="G28" s="40" t="s">
        <v>31</v>
      </c>
      <c r="H28" s="35">
        <v>1</v>
      </c>
      <c r="I28" s="39">
        <v>1</v>
      </c>
    </row>
    <row r="29" spans="1:9" ht="15.75" customHeight="1">
      <c r="A29" s="55"/>
      <c r="B29" s="40" t="s">
        <v>88</v>
      </c>
      <c r="C29" s="40" t="s">
        <v>48</v>
      </c>
      <c r="D29" s="40" t="s">
        <v>22</v>
      </c>
      <c r="E29" s="40" t="s">
        <v>47</v>
      </c>
      <c r="F29" s="40" t="s">
        <v>109</v>
      </c>
      <c r="G29" s="40" t="s">
        <v>32</v>
      </c>
      <c r="H29" s="35">
        <v>2</v>
      </c>
      <c r="I29" s="41">
        <v>2</v>
      </c>
    </row>
    <row r="30" spans="1:9" ht="15.75" customHeight="1">
      <c r="A30" s="55"/>
      <c r="B30" s="40" t="s">
        <v>88</v>
      </c>
      <c r="C30" s="40" t="s">
        <v>48</v>
      </c>
      <c r="D30" s="40" t="s">
        <v>22</v>
      </c>
      <c r="E30" s="40" t="s">
        <v>47</v>
      </c>
      <c r="F30" s="40" t="s">
        <v>110</v>
      </c>
      <c r="G30" s="40" t="s">
        <v>15</v>
      </c>
      <c r="H30" s="35">
        <v>3</v>
      </c>
      <c r="I30" s="39">
        <v>3</v>
      </c>
    </row>
    <row r="31" spans="1:9" ht="15.75" customHeight="1">
      <c r="A31" s="55"/>
      <c r="B31" s="40" t="s">
        <v>88</v>
      </c>
      <c r="C31" s="40" t="s">
        <v>48</v>
      </c>
      <c r="D31" s="40" t="s">
        <v>22</v>
      </c>
      <c r="E31" s="40" t="s">
        <v>47</v>
      </c>
      <c r="F31" s="40" t="s">
        <v>111</v>
      </c>
      <c r="G31" s="40" t="s">
        <v>12</v>
      </c>
      <c r="H31" s="35">
        <v>4</v>
      </c>
      <c r="I31" s="42">
        <v>4</v>
      </c>
    </row>
    <row r="32" spans="1:9" ht="15.75" customHeight="1">
      <c r="A32" s="55"/>
      <c r="B32" s="40" t="s">
        <v>88</v>
      </c>
      <c r="C32" s="40" t="s">
        <v>48</v>
      </c>
      <c r="D32" s="40" t="s">
        <v>20</v>
      </c>
      <c r="E32" s="40" t="s">
        <v>49</v>
      </c>
      <c r="F32" s="40" t="s">
        <v>112</v>
      </c>
      <c r="G32" s="40" t="s">
        <v>76</v>
      </c>
      <c r="H32" s="35">
        <v>1</v>
      </c>
      <c r="I32" s="39">
        <v>5</v>
      </c>
    </row>
    <row r="33" spans="1:9" ht="15.75" customHeight="1">
      <c r="A33" s="55"/>
      <c r="B33" s="40" t="s">
        <v>88</v>
      </c>
      <c r="C33" s="40" t="s">
        <v>48</v>
      </c>
      <c r="D33" s="40" t="s">
        <v>20</v>
      </c>
      <c r="E33" s="40" t="s">
        <v>49</v>
      </c>
      <c r="F33" s="40" t="s">
        <v>113</v>
      </c>
      <c r="G33" s="40" t="s">
        <v>34</v>
      </c>
      <c r="H33" s="35">
        <v>2</v>
      </c>
      <c r="I33" s="39">
        <v>6</v>
      </c>
    </row>
    <row r="34" spans="1:9" ht="15.75" customHeight="1">
      <c r="A34" s="55"/>
      <c r="B34" s="40" t="s">
        <v>88</v>
      </c>
      <c r="C34" s="40" t="s">
        <v>48</v>
      </c>
      <c r="D34" s="40" t="s">
        <v>20</v>
      </c>
      <c r="E34" s="40" t="s">
        <v>49</v>
      </c>
      <c r="F34" s="40" t="s">
        <v>114</v>
      </c>
      <c r="G34" s="40" t="s">
        <v>35</v>
      </c>
      <c r="H34" s="35">
        <v>3</v>
      </c>
      <c r="I34" s="39">
        <v>7</v>
      </c>
    </row>
    <row r="35" spans="1:9" ht="15.75" customHeight="1">
      <c r="A35" s="55"/>
      <c r="B35" s="40" t="s">
        <v>88</v>
      </c>
      <c r="C35" s="40" t="s">
        <v>48</v>
      </c>
      <c r="D35" s="40" t="s">
        <v>20</v>
      </c>
      <c r="E35" s="40" t="s">
        <v>49</v>
      </c>
      <c r="F35" s="40" t="s">
        <v>115</v>
      </c>
      <c r="G35" s="40" t="s">
        <v>22</v>
      </c>
      <c r="H35" s="35">
        <v>4</v>
      </c>
      <c r="I35" s="39">
        <v>8</v>
      </c>
    </row>
    <row r="36" spans="1:9" ht="15.75" customHeight="1">
      <c r="A36" s="55"/>
      <c r="B36" s="40" t="s">
        <v>35</v>
      </c>
      <c r="C36" s="40" t="s">
        <v>29</v>
      </c>
      <c r="D36" s="40" t="s">
        <v>24</v>
      </c>
      <c r="E36" s="40" t="s">
        <v>29</v>
      </c>
      <c r="F36" s="40" t="s">
        <v>116</v>
      </c>
      <c r="G36" s="40" t="s">
        <v>18</v>
      </c>
      <c r="H36" s="35">
        <v>1</v>
      </c>
      <c r="I36" s="41">
        <v>9</v>
      </c>
    </row>
    <row r="37" spans="1:9" ht="15.75" customHeight="1">
      <c r="A37" s="55"/>
      <c r="B37" s="40" t="s">
        <v>35</v>
      </c>
      <c r="C37" s="40" t="s">
        <v>29</v>
      </c>
      <c r="D37" s="40" t="s">
        <v>24</v>
      </c>
      <c r="E37" s="40" t="s">
        <v>29</v>
      </c>
      <c r="F37" s="40" t="s">
        <v>117</v>
      </c>
      <c r="G37" s="40" t="s">
        <v>118</v>
      </c>
      <c r="H37" s="35">
        <v>2</v>
      </c>
      <c r="I37" s="42">
        <v>10</v>
      </c>
    </row>
    <row r="38" spans="1:9" ht="15.75" customHeight="1">
      <c r="A38" s="55"/>
      <c r="B38" s="40" t="s">
        <v>35</v>
      </c>
      <c r="C38" s="40" t="s">
        <v>29</v>
      </c>
      <c r="D38" s="40" t="s">
        <v>24</v>
      </c>
      <c r="E38" s="40" t="s">
        <v>29</v>
      </c>
      <c r="F38" s="40" t="s">
        <v>119</v>
      </c>
      <c r="G38" s="40" t="s">
        <v>20</v>
      </c>
      <c r="H38" s="35">
        <v>3</v>
      </c>
      <c r="I38" s="39">
        <v>11</v>
      </c>
    </row>
    <row r="39" spans="1:9" ht="15.75" customHeight="1">
      <c r="A39" s="55"/>
      <c r="B39" s="40" t="s">
        <v>35</v>
      </c>
      <c r="C39" s="40" t="s">
        <v>29</v>
      </c>
      <c r="D39" s="40" t="s">
        <v>24</v>
      </c>
      <c r="E39" s="40" t="s">
        <v>29</v>
      </c>
      <c r="F39" s="40" t="s">
        <v>120</v>
      </c>
      <c r="G39" s="40" t="s">
        <v>98</v>
      </c>
      <c r="H39" s="35">
        <v>4</v>
      </c>
      <c r="I39" s="39">
        <v>12</v>
      </c>
    </row>
    <row r="40" spans="1:9" ht="15.75" customHeight="1">
      <c r="A40" s="55"/>
      <c r="B40" s="40" t="s">
        <v>35</v>
      </c>
      <c r="C40" s="40" t="s">
        <v>29</v>
      </c>
      <c r="D40" s="40" t="s">
        <v>35</v>
      </c>
      <c r="E40" s="40" t="s">
        <v>26</v>
      </c>
      <c r="F40" s="40" t="s">
        <v>26</v>
      </c>
      <c r="G40" s="40" t="s">
        <v>52</v>
      </c>
      <c r="H40" s="35">
        <v>1</v>
      </c>
      <c r="I40" s="39">
        <v>13</v>
      </c>
    </row>
    <row r="41" spans="1:9" ht="15.75" customHeight="1">
      <c r="A41" s="55"/>
      <c r="B41" s="40" t="s">
        <v>16</v>
      </c>
      <c r="C41" s="40" t="s">
        <v>19</v>
      </c>
      <c r="D41" s="40" t="s">
        <v>16</v>
      </c>
      <c r="E41" s="40" t="s">
        <v>19</v>
      </c>
      <c r="F41" s="40" t="s">
        <v>121</v>
      </c>
      <c r="G41" s="40" t="s">
        <v>42</v>
      </c>
      <c r="H41" s="35">
        <v>1</v>
      </c>
      <c r="I41" s="39">
        <v>14</v>
      </c>
    </row>
    <row r="42" spans="1:9" ht="15.75" customHeight="1">
      <c r="A42" s="55"/>
      <c r="B42" s="40" t="s">
        <v>16</v>
      </c>
      <c r="C42" s="40" t="s">
        <v>19</v>
      </c>
      <c r="D42" s="40" t="s">
        <v>16</v>
      </c>
      <c r="E42" s="40" t="s">
        <v>19</v>
      </c>
      <c r="F42" s="40" t="s">
        <v>122</v>
      </c>
      <c r="G42" s="40" t="s">
        <v>41</v>
      </c>
      <c r="H42" s="35">
        <v>2</v>
      </c>
      <c r="I42" s="39">
        <v>15</v>
      </c>
    </row>
    <row r="43" spans="1:9" ht="15.75" customHeight="1">
      <c r="A43" s="55"/>
      <c r="B43" s="40" t="s">
        <v>16</v>
      </c>
      <c r="C43" s="40" t="s">
        <v>19</v>
      </c>
      <c r="D43" s="40" t="s">
        <v>16</v>
      </c>
      <c r="E43" s="40" t="s">
        <v>19</v>
      </c>
      <c r="F43" s="40" t="s">
        <v>123</v>
      </c>
      <c r="G43" s="40" t="s">
        <v>27</v>
      </c>
      <c r="H43" s="35">
        <v>3</v>
      </c>
      <c r="I43" s="39">
        <v>16</v>
      </c>
    </row>
    <row r="44" spans="1:9" ht="15.75" customHeight="1">
      <c r="A44" s="59">
        <v>3</v>
      </c>
      <c r="B44" s="40" t="s">
        <v>41</v>
      </c>
      <c r="C44" s="40" t="s">
        <v>39</v>
      </c>
      <c r="D44" s="40" t="s">
        <v>76</v>
      </c>
      <c r="E44" s="40" t="s">
        <v>39</v>
      </c>
      <c r="F44" s="40" t="s">
        <v>124</v>
      </c>
      <c r="G44" s="40" t="s">
        <v>20</v>
      </c>
      <c r="H44" s="35">
        <v>1</v>
      </c>
      <c r="I44" s="39">
        <v>1</v>
      </c>
    </row>
    <row r="45" spans="1:9" ht="15.75" customHeight="1">
      <c r="A45" s="59"/>
      <c r="B45" s="40" t="s">
        <v>41</v>
      </c>
      <c r="C45" s="40" t="s">
        <v>39</v>
      </c>
      <c r="D45" s="40" t="s">
        <v>76</v>
      </c>
      <c r="E45" s="40" t="s">
        <v>39</v>
      </c>
      <c r="F45" s="40" t="s">
        <v>125</v>
      </c>
      <c r="G45" s="40" t="s">
        <v>24</v>
      </c>
      <c r="H45" s="35">
        <v>2</v>
      </c>
      <c r="I45" s="39">
        <v>2</v>
      </c>
    </row>
    <row r="46" spans="1:9" ht="15.75" customHeight="1">
      <c r="A46" s="59"/>
      <c r="B46" s="40" t="s">
        <v>41</v>
      </c>
      <c r="C46" s="40" t="s">
        <v>39</v>
      </c>
      <c r="D46" s="40" t="s">
        <v>76</v>
      </c>
      <c r="E46" s="40" t="s">
        <v>39</v>
      </c>
      <c r="F46" s="40" t="s">
        <v>126</v>
      </c>
      <c r="G46" s="40" t="s">
        <v>118</v>
      </c>
      <c r="H46" s="38">
        <v>3</v>
      </c>
      <c r="I46" s="42">
        <v>3</v>
      </c>
    </row>
    <row r="47" spans="1:9" ht="15.75" customHeight="1">
      <c r="A47" s="59"/>
      <c r="B47" s="40" t="s">
        <v>41</v>
      </c>
      <c r="C47" s="40" t="s">
        <v>39</v>
      </c>
      <c r="D47" s="40" t="s">
        <v>76</v>
      </c>
      <c r="E47" s="40" t="s">
        <v>39</v>
      </c>
      <c r="F47" s="40" t="s">
        <v>127</v>
      </c>
      <c r="G47" s="40" t="s">
        <v>12</v>
      </c>
      <c r="H47" s="38">
        <v>4</v>
      </c>
      <c r="I47" s="39">
        <v>4</v>
      </c>
    </row>
    <row r="48" spans="1:9" ht="15.75" customHeight="1">
      <c r="A48" s="59"/>
      <c r="B48" s="40" t="s">
        <v>41</v>
      </c>
      <c r="C48" s="40" t="s">
        <v>39</v>
      </c>
      <c r="D48" s="40" t="s">
        <v>76</v>
      </c>
      <c r="E48" s="40" t="s">
        <v>39</v>
      </c>
      <c r="F48" s="40" t="s">
        <v>128</v>
      </c>
      <c r="G48" s="40" t="s">
        <v>15</v>
      </c>
      <c r="H48" s="38">
        <v>5</v>
      </c>
      <c r="I48" s="42">
        <v>5</v>
      </c>
    </row>
    <row r="49" spans="1:9" ht="15.75" customHeight="1">
      <c r="A49" s="59"/>
      <c r="B49" s="40" t="s">
        <v>41</v>
      </c>
      <c r="C49" s="40" t="s">
        <v>39</v>
      </c>
      <c r="D49" s="40" t="s">
        <v>76</v>
      </c>
      <c r="E49" s="40" t="s">
        <v>39</v>
      </c>
      <c r="F49" s="40" t="s">
        <v>50</v>
      </c>
      <c r="G49" s="40" t="s">
        <v>21</v>
      </c>
      <c r="H49" s="38">
        <v>6</v>
      </c>
      <c r="I49" s="39">
        <v>6</v>
      </c>
    </row>
    <row r="50" spans="1:9" ht="15.75" customHeight="1">
      <c r="A50" s="59"/>
      <c r="B50" s="40" t="s">
        <v>41</v>
      </c>
      <c r="C50" s="40" t="s">
        <v>39</v>
      </c>
      <c r="D50" s="40" t="s">
        <v>76</v>
      </c>
      <c r="E50" s="40" t="s">
        <v>39</v>
      </c>
      <c r="F50" s="40" t="s">
        <v>129</v>
      </c>
      <c r="G50" s="40" t="s">
        <v>22</v>
      </c>
      <c r="H50" s="38">
        <v>7</v>
      </c>
      <c r="I50" s="39">
        <v>7</v>
      </c>
    </row>
    <row r="51" spans="1:9" ht="15.75" customHeight="1">
      <c r="A51" s="59"/>
      <c r="B51" s="40" t="s">
        <v>41</v>
      </c>
      <c r="C51" s="40" t="s">
        <v>39</v>
      </c>
      <c r="D51" s="40" t="s">
        <v>76</v>
      </c>
      <c r="E51" s="40" t="s">
        <v>39</v>
      </c>
      <c r="F51" s="40" t="s">
        <v>130</v>
      </c>
      <c r="G51" s="40" t="s">
        <v>11</v>
      </c>
      <c r="H51" s="38">
        <v>8</v>
      </c>
      <c r="I51" s="39">
        <v>8</v>
      </c>
    </row>
    <row r="52" spans="1:9" ht="15.75" customHeight="1">
      <c r="A52" s="59"/>
      <c r="B52" s="40" t="s">
        <v>41</v>
      </c>
      <c r="C52" s="40" t="s">
        <v>39</v>
      </c>
      <c r="D52" s="40" t="s">
        <v>76</v>
      </c>
      <c r="E52" s="40" t="s">
        <v>39</v>
      </c>
      <c r="F52" s="40" t="s">
        <v>131</v>
      </c>
      <c r="G52" s="40" t="s">
        <v>51</v>
      </c>
      <c r="H52" s="38">
        <v>9</v>
      </c>
      <c r="I52" s="39">
        <v>9</v>
      </c>
    </row>
    <row r="53" spans="1:9" ht="15.75" customHeight="1">
      <c r="A53" s="59"/>
      <c r="B53" s="40" t="s">
        <v>41</v>
      </c>
      <c r="C53" s="40" t="s">
        <v>39</v>
      </c>
      <c r="D53" s="40" t="s">
        <v>76</v>
      </c>
      <c r="E53" s="40" t="s">
        <v>39</v>
      </c>
      <c r="F53" s="40" t="s">
        <v>132</v>
      </c>
      <c r="G53" s="40" t="s">
        <v>34</v>
      </c>
      <c r="H53" s="38">
        <v>10</v>
      </c>
      <c r="I53" s="39">
        <v>10</v>
      </c>
    </row>
    <row r="54" spans="1:9" ht="15.75" customHeight="1">
      <c r="A54" s="59"/>
      <c r="B54" s="40" t="s">
        <v>42</v>
      </c>
      <c r="C54" s="40" t="s">
        <v>25</v>
      </c>
      <c r="D54" s="40" t="s">
        <v>35</v>
      </c>
      <c r="E54" s="40" t="s">
        <v>26</v>
      </c>
      <c r="F54" s="40" t="s">
        <v>133</v>
      </c>
      <c r="G54" s="40" t="s">
        <v>85</v>
      </c>
      <c r="H54" s="35">
        <v>1</v>
      </c>
      <c r="I54" s="39">
        <v>11</v>
      </c>
    </row>
    <row r="55" spans="1:9" ht="15.75" customHeight="1">
      <c r="A55" s="59"/>
      <c r="B55" s="40" t="s">
        <v>42</v>
      </c>
      <c r="C55" s="40" t="s">
        <v>25</v>
      </c>
      <c r="D55" s="40" t="s">
        <v>42</v>
      </c>
      <c r="E55" s="40" t="s">
        <v>6</v>
      </c>
      <c r="F55" s="40" t="s">
        <v>134</v>
      </c>
      <c r="G55" s="40" t="s">
        <v>32</v>
      </c>
      <c r="H55" s="35">
        <v>1</v>
      </c>
      <c r="I55" s="39">
        <v>12</v>
      </c>
    </row>
    <row r="56" spans="1:9" ht="15.75" customHeight="1">
      <c r="A56" s="59"/>
      <c r="B56" s="40" t="s">
        <v>42</v>
      </c>
      <c r="C56" s="40" t="s">
        <v>25</v>
      </c>
      <c r="D56" s="40" t="s">
        <v>42</v>
      </c>
      <c r="E56" s="40" t="s">
        <v>6</v>
      </c>
      <c r="F56" s="40" t="s">
        <v>135</v>
      </c>
      <c r="G56" s="40" t="s">
        <v>88</v>
      </c>
      <c r="H56" s="35">
        <v>2</v>
      </c>
      <c r="I56" s="42">
        <v>13</v>
      </c>
    </row>
    <row r="57" spans="1:9" ht="15.75" customHeight="1">
      <c r="A57" s="59"/>
      <c r="B57" s="40" t="s">
        <v>118</v>
      </c>
      <c r="C57" s="40" t="s">
        <v>23</v>
      </c>
      <c r="D57" s="40" t="s">
        <v>42</v>
      </c>
      <c r="E57" s="40" t="s">
        <v>6</v>
      </c>
      <c r="F57" s="40" t="s">
        <v>136</v>
      </c>
      <c r="G57" s="40" t="s">
        <v>38</v>
      </c>
      <c r="H57" s="35">
        <v>3</v>
      </c>
      <c r="I57" s="39">
        <v>14</v>
      </c>
    </row>
    <row r="58" spans="1:9" ht="15.75" customHeight="1">
      <c r="A58" s="59"/>
      <c r="B58" s="40" t="s">
        <v>38</v>
      </c>
      <c r="C58" s="40" t="s">
        <v>7</v>
      </c>
      <c r="D58" s="40" t="s">
        <v>118</v>
      </c>
      <c r="E58" s="40" t="s">
        <v>13</v>
      </c>
      <c r="F58" s="40" t="s">
        <v>137</v>
      </c>
      <c r="G58" s="40" t="s">
        <v>28</v>
      </c>
      <c r="H58" s="35">
        <v>1</v>
      </c>
      <c r="I58" s="39">
        <v>15</v>
      </c>
    </row>
    <row r="59" spans="1:9" ht="15.75" customHeight="1">
      <c r="A59" s="59"/>
      <c r="B59" s="40" t="s">
        <v>38</v>
      </c>
      <c r="C59" s="40" t="s">
        <v>7</v>
      </c>
      <c r="D59" s="40" t="s">
        <v>118</v>
      </c>
      <c r="E59" s="40" t="s">
        <v>13</v>
      </c>
      <c r="F59" s="40" t="s">
        <v>138</v>
      </c>
      <c r="G59" s="40" t="s">
        <v>24</v>
      </c>
      <c r="H59" s="35">
        <v>2</v>
      </c>
      <c r="I59" s="39">
        <v>16</v>
      </c>
    </row>
    <row r="60" spans="1:9" ht="15.75" customHeight="1">
      <c r="A60" s="59"/>
      <c r="B60" s="40" t="s">
        <v>38</v>
      </c>
      <c r="C60" s="40" t="s">
        <v>7</v>
      </c>
      <c r="D60" s="40" t="s">
        <v>118</v>
      </c>
      <c r="E60" s="40" t="s">
        <v>13</v>
      </c>
      <c r="F60" s="40" t="s">
        <v>139</v>
      </c>
      <c r="G60" s="40" t="s">
        <v>76</v>
      </c>
      <c r="H60" s="35">
        <v>3</v>
      </c>
      <c r="I60" s="39">
        <v>17</v>
      </c>
    </row>
    <row r="61" spans="1:9" ht="15.75" customHeight="1">
      <c r="A61" s="59"/>
      <c r="B61" s="40" t="s">
        <v>38</v>
      </c>
      <c r="C61" s="40" t="s">
        <v>7</v>
      </c>
      <c r="D61" s="40" t="s">
        <v>118</v>
      </c>
      <c r="E61" s="40" t="s">
        <v>13</v>
      </c>
      <c r="F61" s="40" t="s">
        <v>33</v>
      </c>
      <c r="G61" s="40" t="s">
        <v>21</v>
      </c>
      <c r="H61" s="35">
        <v>4</v>
      </c>
      <c r="I61" s="39">
        <v>18</v>
      </c>
    </row>
    <row r="62" spans="1:9" ht="15.75" customHeight="1">
      <c r="A62" s="59"/>
      <c r="B62" s="40" t="s">
        <v>38</v>
      </c>
      <c r="C62" s="40" t="s">
        <v>7</v>
      </c>
      <c r="D62" s="40" t="s">
        <v>118</v>
      </c>
      <c r="E62" s="40" t="s">
        <v>13</v>
      </c>
      <c r="F62" s="40" t="s">
        <v>140</v>
      </c>
      <c r="G62" s="40" t="s">
        <v>22</v>
      </c>
      <c r="H62" s="35">
        <v>5</v>
      </c>
      <c r="I62" s="41">
        <v>19</v>
      </c>
    </row>
    <row r="63" spans="1:9" ht="15.75" customHeight="1">
      <c r="A63" s="59"/>
      <c r="B63" s="40" t="s">
        <v>38</v>
      </c>
      <c r="C63" s="40" t="s">
        <v>7</v>
      </c>
      <c r="D63" s="40" t="s">
        <v>38</v>
      </c>
      <c r="E63" s="40" t="s">
        <v>7</v>
      </c>
      <c r="F63" s="40" t="s">
        <v>141</v>
      </c>
      <c r="G63" s="40" t="s">
        <v>142</v>
      </c>
      <c r="H63" s="35">
        <v>1</v>
      </c>
      <c r="I63" s="39">
        <v>20</v>
      </c>
    </row>
    <row r="64" spans="1:9" ht="15.75" customHeight="1">
      <c r="A64" s="59"/>
      <c r="B64" s="40" t="s">
        <v>38</v>
      </c>
      <c r="C64" s="40" t="s">
        <v>7</v>
      </c>
      <c r="D64" s="40" t="s">
        <v>38</v>
      </c>
      <c r="E64" s="40" t="s">
        <v>7</v>
      </c>
      <c r="F64" s="40" t="s">
        <v>143</v>
      </c>
      <c r="G64" s="40" t="s">
        <v>144</v>
      </c>
      <c r="H64" s="35">
        <v>2</v>
      </c>
      <c r="I64" s="39">
        <v>21</v>
      </c>
    </row>
    <row r="65" spans="1:9" ht="15.75" customHeight="1">
      <c r="A65" s="59"/>
      <c r="B65" s="40" t="s">
        <v>38</v>
      </c>
      <c r="C65" s="40" t="s">
        <v>7</v>
      </c>
      <c r="D65" s="40" t="s">
        <v>38</v>
      </c>
      <c r="E65" s="40" t="s">
        <v>7</v>
      </c>
      <c r="F65" s="40" t="s">
        <v>145</v>
      </c>
      <c r="G65" s="40" t="s">
        <v>43</v>
      </c>
      <c r="H65" s="35">
        <v>3</v>
      </c>
      <c r="I65" s="39">
        <v>22</v>
      </c>
    </row>
    <row r="66" spans="1:9" ht="15.75" customHeight="1">
      <c r="A66" s="59"/>
      <c r="B66" s="40" t="s">
        <v>38</v>
      </c>
      <c r="C66" s="40" t="s">
        <v>7</v>
      </c>
      <c r="D66" s="40" t="s">
        <v>38</v>
      </c>
      <c r="E66" s="40" t="s">
        <v>7</v>
      </c>
      <c r="F66" s="40" t="s">
        <v>146</v>
      </c>
      <c r="G66" s="40" t="s">
        <v>147</v>
      </c>
      <c r="H66" s="35">
        <v>4</v>
      </c>
      <c r="I66" s="39">
        <v>23</v>
      </c>
    </row>
    <row r="67" spans="1:9" ht="15.75" customHeight="1">
      <c r="A67" s="59"/>
      <c r="B67" s="40" t="s">
        <v>38</v>
      </c>
      <c r="C67" s="40" t="s">
        <v>7</v>
      </c>
      <c r="D67" s="40" t="s">
        <v>38</v>
      </c>
      <c r="E67" s="40" t="s">
        <v>7</v>
      </c>
      <c r="F67" s="40" t="s">
        <v>148</v>
      </c>
      <c r="G67" s="40" t="s">
        <v>149</v>
      </c>
      <c r="H67" s="35">
        <v>5</v>
      </c>
      <c r="I67" s="39">
        <v>24</v>
      </c>
    </row>
    <row r="68" spans="1:9" ht="15.75" customHeight="1">
      <c r="A68" s="59"/>
      <c r="B68" s="40" t="s">
        <v>38</v>
      </c>
      <c r="C68" s="40" t="s">
        <v>7</v>
      </c>
      <c r="D68" s="40" t="s">
        <v>38</v>
      </c>
      <c r="E68" s="40" t="s">
        <v>7</v>
      </c>
      <c r="F68" s="40" t="s">
        <v>150</v>
      </c>
      <c r="G68" s="40" t="s">
        <v>151</v>
      </c>
      <c r="H68" s="35">
        <v>6</v>
      </c>
      <c r="I68" s="39">
        <v>25</v>
      </c>
    </row>
    <row r="69" spans="1:9" ht="15.75" customHeight="1">
      <c r="A69" s="59"/>
      <c r="B69" s="40" t="s">
        <v>38</v>
      </c>
      <c r="C69" s="40" t="s">
        <v>7</v>
      </c>
      <c r="D69" s="40" t="s">
        <v>38</v>
      </c>
      <c r="E69" s="40" t="s">
        <v>7</v>
      </c>
      <c r="F69" s="40" t="s">
        <v>152</v>
      </c>
      <c r="G69" s="40" t="s">
        <v>153</v>
      </c>
      <c r="H69" s="35">
        <v>7</v>
      </c>
      <c r="I69" s="39">
        <v>26</v>
      </c>
    </row>
    <row r="70" spans="1:9" ht="15.75" customHeight="1">
      <c r="A70" s="59"/>
      <c r="B70" s="40" t="s">
        <v>38</v>
      </c>
      <c r="C70" s="40" t="s">
        <v>7</v>
      </c>
      <c r="D70" s="40" t="s">
        <v>38</v>
      </c>
      <c r="E70" s="40" t="s">
        <v>7</v>
      </c>
      <c r="F70" s="40" t="s">
        <v>154</v>
      </c>
      <c r="G70" s="40" t="s">
        <v>81</v>
      </c>
      <c r="H70" s="35">
        <v>8</v>
      </c>
      <c r="I70" s="41">
        <v>27</v>
      </c>
    </row>
    <row r="71" spans="1:9" ht="15.75" customHeight="1">
      <c r="A71" s="59"/>
      <c r="B71" s="40" t="s">
        <v>38</v>
      </c>
      <c r="C71" s="40" t="s">
        <v>7</v>
      </c>
      <c r="D71" s="40" t="s">
        <v>38</v>
      </c>
      <c r="E71" s="40" t="s">
        <v>7</v>
      </c>
      <c r="F71" s="40" t="s">
        <v>155</v>
      </c>
      <c r="G71" s="40" t="s">
        <v>156</v>
      </c>
      <c r="H71" s="35">
        <v>9</v>
      </c>
      <c r="I71" s="41">
        <v>28</v>
      </c>
    </row>
    <row r="72" spans="1:9" ht="15.75" customHeight="1">
      <c r="A72" s="59"/>
      <c r="B72" s="40" t="s">
        <v>38</v>
      </c>
      <c r="C72" s="40" t="s">
        <v>7</v>
      </c>
      <c r="D72" s="40" t="s">
        <v>38</v>
      </c>
      <c r="E72" s="40" t="s">
        <v>7</v>
      </c>
      <c r="F72" s="40" t="s">
        <v>157</v>
      </c>
      <c r="G72" s="40" t="s">
        <v>37</v>
      </c>
      <c r="H72" s="35">
        <v>10</v>
      </c>
      <c r="I72" s="39">
        <v>29</v>
      </c>
    </row>
  </sheetData>
  <mergeCells count="6">
    <mergeCell ref="A1:I1"/>
    <mergeCell ref="A5:A27"/>
    <mergeCell ref="A28:A43"/>
    <mergeCell ref="A44:A72"/>
    <mergeCell ref="F2:I2"/>
    <mergeCell ref="F3:I3"/>
  </mergeCells>
  <printOptions horizontalCentered="1"/>
  <pageMargins left="0.19685039370078741" right="0.19685039370078741" top="0.19685039370078741" bottom="0.15748031496062992" header="0.19685039370078741" footer="0.19685039370078741"/>
  <pageSetup paperSize="5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tabSelected="1" view="pageLayout" workbookViewId="0">
      <selection activeCell="C7" sqref="C7"/>
    </sheetView>
  </sheetViews>
  <sheetFormatPr defaultColWidth="20.7109375" defaultRowHeight="24.95" customHeight="1"/>
  <cols>
    <col min="1" max="1" width="6.7109375" style="26" customWidth="1"/>
    <col min="2" max="2" width="25.42578125" style="8" customWidth="1"/>
    <col min="3" max="3" width="20" style="8" customWidth="1"/>
    <col min="4" max="4" width="11.28515625" style="5" customWidth="1"/>
    <col min="5" max="5" width="13.42578125" style="5" customWidth="1"/>
    <col min="6" max="6" width="8.85546875" style="5" customWidth="1"/>
    <col min="7" max="7" width="6.7109375" style="5" customWidth="1"/>
    <col min="8" max="8" width="9" style="5" customWidth="1"/>
    <col min="9" max="9" width="7.140625" style="5" customWidth="1"/>
    <col min="10" max="11" width="7.28515625" style="5" customWidth="1"/>
    <col min="12" max="16384" width="20.7109375" style="9"/>
  </cols>
  <sheetData>
    <row r="1" spans="1:12" ht="24.95" customHeight="1">
      <c r="A1" s="58" t="s">
        <v>58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2" ht="24.95" customHeight="1">
      <c r="A2" s="58" t="s">
        <v>59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2" s="6" customFormat="1" ht="24.95" customHeight="1">
      <c r="A3" s="3" t="s">
        <v>53</v>
      </c>
      <c r="B3" s="2" t="s">
        <v>72</v>
      </c>
      <c r="C3" s="43"/>
      <c r="D3" s="44"/>
      <c r="E3" s="44"/>
      <c r="F3" s="43"/>
      <c r="G3" s="60" t="s">
        <v>54</v>
      </c>
      <c r="H3" s="60"/>
      <c r="I3" s="60"/>
      <c r="J3" s="60"/>
      <c r="K3" s="60"/>
    </row>
    <row r="4" spans="1:12" ht="24.95" customHeight="1">
      <c r="A4" s="7"/>
      <c r="B4" s="45"/>
      <c r="C4" s="45"/>
      <c r="D4" s="44"/>
      <c r="E4" s="44"/>
      <c r="F4" s="44"/>
      <c r="G4" s="44"/>
      <c r="H4" s="44" t="s">
        <v>75</v>
      </c>
      <c r="I4" s="44"/>
      <c r="J4" s="44"/>
      <c r="K4" s="44"/>
    </row>
    <row r="5" spans="1:12" ht="46.5" customHeight="1">
      <c r="A5" s="66" t="s">
        <v>60</v>
      </c>
      <c r="B5" s="65" t="s">
        <v>61</v>
      </c>
      <c r="C5" s="65" t="s">
        <v>62</v>
      </c>
      <c r="D5" s="65" t="s">
        <v>63</v>
      </c>
      <c r="E5" s="67" t="s">
        <v>64</v>
      </c>
      <c r="F5" s="65" t="s">
        <v>65</v>
      </c>
      <c r="G5" s="65"/>
      <c r="H5" s="65" t="s">
        <v>66</v>
      </c>
      <c r="I5" s="65"/>
      <c r="J5" s="65" t="s">
        <v>67</v>
      </c>
      <c r="K5" s="65"/>
    </row>
    <row r="6" spans="1:12" ht="35.25" customHeight="1">
      <c r="A6" s="66"/>
      <c r="B6" s="65"/>
      <c r="C6" s="65"/>
      <c r="D6" s="65"/>
      <c r="E6" s="68"/>
      <c r="F6" s="13" t="s">
        <v>68</v>
      </c>
      <c r="G6" s="13" t="s">
        <v>69</v>
      </c>
      <c r="H6" s="13" t="s">
        <v>68</v>
      </c>
      <c r="I6" s="13" t="s">
        <v>69</v>
      </c>
      <c r="J6" s="13" t="s">
        <v>68</v>
      </c>
      <c r="K6" s="13" t="s">
        <v>69</v>
      </c>
    </row>
    <row r="7" spans="1:12" ht="30" customHeight="1">
      <c r="A7" s="62">
        <v>1</v>
      </c>
      <c r="B7" s="28" t="s">
        <v>36</v>
      </c>
      <c r="C7" s="1" t="s">
        <v>36</v>
      </c>
      <c r="D7" s="16">
        <v>7</v>
      </c>
      <c r="E7" s="15">
        <f>D7</f>
        <v>7</v>
      </c>
      <c r="F7" s="16"/>
      <c r="G7" s="16"/>
      <c r="H7" s="16"/>
      <c r="I7" s="16"/>
      <c r="J7" s="16" t="s">
        <v>158</v>
      </c>
      <c r="K7" s="16" t="s">
        <v>73</v>
      </c>
      <c r="L7" s="17"/>
    </row>
    <row r="8" spans="1:12" ht="30" customHeight="1">
      <c r="A8" s="63"/>
      <c r="B8" s="28" t="s">
        <v>36</v>
      </c>
      <c r="C8" s="1" t="s">
        <v>6</v>
      </c>
      <c r="D8" s="16">
        <v>2</v>
      </c>
      <c r="E8" s="16">
        <f>D8+E7</f>
        <v>9</v>
      </c>
      <c r="F8" s="16"/>
      <c r="G8" s="16"/>
      <c r="H8" s="16"/>
      <c r="I8" s="16"/>
      <c r="J8" s="16" t="s">
        <v>159</v>
      </c>
      <c r="K8" s="16" t="s">
        <v>161</v>
      </c>
      <c r="L8" s="17"/>
    </row>
    <row r="9" spans="1:12" ht="28.5" customHeight="1">
      <c r="A9" s="63"/>
      <c r="B9" s="28" t="s">
        <v>44</v>
      </c>
      <c r="C9" s="1" t="s">
        <v>44</v>
      </c>
      <c r="D9" s="16">
        <v>6</v>
      </c>
      <c r="E9" s="16">
        <f t="shared" ref="E9:E11" si="0">D9+E8</f>
        <v>15</v>
      </c>
      <c r="F9" s="18"/>
      <c r="G9" s="18"/>
      <c r="H9" s="16"/>
      <c r="I9" s="16"/>
      <c r="J9" s="16" t="s">
        <v>160</v>
      </c>
      <c r="K9" s="16" t="s">
        <v>162</v>
      </c>
      <c r="L9" s="17"/>
    </row>
    <row r="10" spans="1:12" ht="28.5" customHeight="1">
      <c r="A10" s="63"/>
      <c r="B10" s="28" t="s">
        <v>44</v>
      </c>
      <c r="C10" s="1" t="s">
        <v>45</v>
      </c>
      <c r="D10" s="16">
        <v>4</v>
      </c>
      <c r="E10" s="16">
        <f t="shared" si="0"/>
        <v>19</v>
      </c>
      <c r="F10" s="18"/>
      <c r="G10" s="18"/>
      <c r="H10" s="16"/>
      <c r="I10" s="16"/>
      <c r="J10" s="16"/>
      <c r="K10" s="20"/>
      <c r="L10" s="17"/>
    </row>
    <row r="11" spans="1:12" ht="28.5" customHeight="1">
      <c r="A11" s="63"/>
      <c r="B11" s="28" t="s">
        <v>44</v>
      </c>
      <c r="C11" s="1" t="s">
        <v>46</v>
      </c>
      <c r="D11" s="16">
        <v>4</v>
      </c>
      <c r="E11" s="16">
        <f t="shared" si="0"/>
        <v>23</v>
      </c>
      <c r="F11" s="18"/>
      <c r="G11" s="18"/>
      <c r="H11" s="16"/>
      <c r="I11" s="16"/>
      <c r="J11" s="16"/>
      <c r="K11" s="20"/>
      <c r="L11" s="17"/>
    </row>
    <row r="12" spans="1:12" ht="28.5" customHeight="1">
      <c r="A12" s="19"/>
      <c r="B12" s="21" t="s">
        <v>70</v>
      </c>
      <c r="C12" s="14"/>
      <c r="D12" s="22">
        <f>SUM(D7:D11)</f>
        <v>23</v>
      </c>
      <c r="E12" s="22"/>
      <c r="F12" s="18">
        <v>3</v>
      </c>
      <c r="G12" s="18">
        <v>3</v>
      </c>
      <c r="H12" s="18">
        <v>70</v>
      </c>
      <c r="I12" s="18">
        <v>70</v>
      </c>
      <c r="J12" s="16"/>
      <c r="K12" s="16"/>
      <c r="L12" s="17"/>
    </row>
    <row r="13" spans="1:12" ht="24.95" customHeight="1">
      <c r="A13" s="62">
        <v>2</v>
      </c>
      <c r="B13" s="28" t="s">
        <v>48</v>
      </c>
      <c r="C13" s="30" t="s">
        <v>49</v>
      </c>
      <c r="D13" s="16">
        <v>4</v>
      </c>
      <c r="E13" s="15">
        <f>D13</f>
        <v>4</v>
      </c>
      <c r="F13" s="16"/>
      <c r="G13" s="16"/>
      <c r="H13" s="16"/>
      <c r="I13" s="16"/>
      <c r="J13" s="16" t="s">
        <v>163</v>
      </c>
      <c r="K13" s="16" t="s">
        <v>165</v>
      </c>
      <c r="L13" s="17"/>
    </row>
    <row r="14" spans="1:12" ht="24.95" customHeight="1">
      <c r="A14" s="63"/>
      <c r="B14" s="28" t="s">
        <v>48</v>
      </c>
      <c r="C14" s="30" t="s">
        <v>47</v>
      </c>
      <c r="D14" s="16">
        <v>4</v>
      </c>
      <c r="E14" s="16">
        <v>8</v>
      </c>
      <c r="F14" s="16"/>
      <c r="G14" s="16"/>
      <c r="H14" s="16"/>
      <c r="I14" s="16"/>
      <c r="J14" s="16" t="s">
        <v>164</v>
      </c>
      <c r="K14" s="16" t="s">
        <v>166</v>
      </c>
      <c r="L14" s="17"/>
    </row>
    <row r="15" spans="1:12" ht="24.95" customHeight="1">
      <c r="A15" s="63"/>
      <c r="B15" s="28" t="s">
        <v>19</v>
      </c>
      <c r="C15" s="30" t="s">
        <v>19</v>
      </c>
      <c r="D15" s="16">
        <v>3</v>
      </c>
      <c r="E15" s="16">
        <f t="shared" ref="E15:E17" si="1">D15+E14</f>
        <v>11</v>
      </c>
      <c r="F15" s="16"/>
      <c r="G15" s="16"/>
      <c r="H15" s="16"/>
      <c r="I15" s="16"/>
      <c r="J15" s="20"/>
      <c r="K15" s="20"/>
      <c r="L15" s="17"/>
    </row>
    <row r="16" spans="1:12" ht="24.95" customHeight="1">
      <c r="A16" s="63"/>
      <c r="B16" s="28" t="s">
        <v>29</v>
      </c>
      <c r="C16" s="30" t="s">
        <v>29</v>
      </c>
      <c r="D16" s="16">
        <v>4</v>
      </c>
      <c r="E16" s="16">
        <f t="shared" si="1"/>
        <v>15</v>
      </c>
      <c r="F16" s="16"/>
      <c r="G16" s="16"/>
      <c r="H16" s="16"/>
      <c r="I16" s="16"/>
      <c r="J16" s="16"/>
      <c r="K16" s="16"/>
      <c r="L16" s="17"/>
    </row>
    <row r="17" spans="1:12" ht="24.95" customHeight="1">
      <c r="A17" s="63"/>
      <c r="B17" s="28" t="s">
        <v>29</v>
      </c>
      <c r="C17" s="30" t="s">
        <v>26</v>
      </c>
      <c r="D17" s="16">
        <v>1</v>
      </c>
      <c r="E17" s="16">
        <f t="shared" si="1"/>
        <v>16</v>
      </c>
      <c r="F17" s="16"/>
      <c r="G17" s="16"/>
      <c r="H17" s="16"/>
      <c r="I17" s="16"/>
      <c r="J17" s="16"/>
      <c r="K17" s="16"/>
      <c r="L17" s="17"/>
    </row>
    <row r="18" spans="1:12" ht="24.95" customHeight="1">
      <c r="A18" s="36"/>
      <c r="B18" s="21" t="s">
        <v>70</v>
      </c>
      <c r="C18" s="14"/>
      <c r="D18" s="23">
        <f>SUM(D13:D17)</f>
        <v>16</v>
      </c>
      <c r="E18" s="16"/>
      <c r="F18" s="18">
        <v>2</v>
      </c>
      <c r="G18" s="18">
        <v>2</v>
      </c>
      <c r="H18" s="18">
        <v>71</v>
      </c>
      <c r="I18" s="18">
        <v>71</v>
      </c>
      <c r="J18" s="16"/>
      <c r="K18" s="16"/>
      <c r="L18" s="17"/>
    </row>
    <row r="19" spans="1:12" ht="24.95" customHeight="1">
      <c r="A19" s="63">
        <v>3</v>
      </c>
      <c r="B19" s="28" t="s">
        <v>23</v>
      </c>
      <c r="C19" s="30" t="s">
        <v>6</v>
      </c>
      <c r="D19" s="16">
        <v>3</v>
      </c>
      <c r="E19" s="15">
        <f>D19</f>
        <v>3</v>
      </c>
      <c r="F19" s="16"/>
      <c r="G19" s="16"/>
      <c r="H19" s="16"/>
      <c r="I19" s="16"/>
      <c r="J19" s="16" t="s">
        <v>167</v>
      </c>
      <c r="K19" s="16" t="s">
        <v>158</v>
      </c>
      <c r="L19" s="17"/>
    </row>
    <row r="20" spans="1:12" ht="24.95" customHeight="1">
      <c r="A20" s="63"/>
      <c r="B20" s="28" t="s">
        <v>25</v>
      </c>
      <c r="C20" s="30" t="s">
        <v>26</v>
      </c>
      <c r="D20" s="16">
        <v>1</v>
      </c>
      <c r="E20" s="16">
        <f>D20+E19</f>
        <v>4</v>
      </c>
      <c r="F20" s="16"/>
      <c r="G20" s="16"/>
      <c r="H20" s="16"/>
      <c r="I20" s="16"/>
      <c r="J20" s="16" t="s">
        <v>168</v>
      </c>
      <c r="K20" s="16" t="s">
        <v>74</v>
      </c>
      <c r="L20" s="17"/>
    </row>
    <row r="21" spans="1:12" ht="24.95" customHeight="1">
      <c r="A21" s="63"/>
      <c r="B21" s="28" t="s">
        <v>25</v>
      </c>
      <c r="C21" s="30" t="s">
        <v>6</v>
      </c>
      <c r="D21" s="16">
        <v>0</v>
      </c>
      <c r="E21" s="16">
        <f>D21+E20</f>
        <v>4</v>
      </c>
      <c r="F21" s="16"/>
      <c r="G21" s="16"/>
      <c r="H21" s="16"/>
      <c r="I21" s="16"/>
      <c r="J21" s="16" t="s">
        <v>169</v>
      </c>
      <c r="K21" s="16" t="s">
        <v>170</v>
      </c>
      <c r="L21" s="17"/>
    </row>
    <row r="22" spans="1:12" ht="24.95" customHeight="1">
      <c r="A22" s="63"/>
      <c r="B22" s="28" t="s">
        <v>7</v>
      </c>
      <c r="C22" s="30" t="s">
        <v>13</v>
      </c>
      <c r="D22" s="16">
        <v>5</v>
      </c>
      <c r="E22" s="16">
        <f>D22+E20</f>
        <v>9</v>
      </c>
      <c r="F22" s="16"/>
      <c r="G22" s="16"/>
      <c r="H22" s="16"/>
      <c r="I22" s="16"/>
      <c r="J22" s="20"/>
      <c r="K22" s="20"/>
      <c r="L22" s="17"/>
    </row>
    <row r="23" spans="1:12" ht="24.95" customHeight="1">
      <c r="A23" s="63"/>
      <c r="B23" s="28" t="s">
        <v>7</v>
      </c>
      <c r="C23" s="30" t="s">
        <v>7</v>
      </c>
      <c r="D23" s="16">
        <v>10</v>
      </c>
      <c r="E23" s="16">
        <f t="shared" ref="E23:E24" si="2">D23+E22</f>
        <v>19</v>
      </c>
      <c r="F23" s="16"/>
      <c r="G23" s="16"/>
      <c r="H23" s="16"/>
      <c r="I23" s="16"/>
      <c r="J23" s="37"/>
      <c r="K23" s="37"/>
      <c r="L23" s="17"/>
    </row>
    <row r="24" spans="1:12" ht="24.95" customHeight="1">
      <c r="A24" s="64"/>
      <c r="B24" s="28" t="s">
        <v>39</v>
      </c>
      <c r="C24" s="1" t="s">
        <v>39</v>
      </c>
      <c r="D24" s="16">
        <v>10</v>
      </c>
      <c r="E24" s="16">
        <f t="shared" si="2"/>
        <v>29</v>
      </c>
      <c r="F24" s="16"/>
      <c r="G24" s="16"/>
      <c r="H24" s="16"/>
      <c r="I24" s="16"/>
      <c r="J24" s="16"/>
      <c r="K24" s="16"/>
      <c r="L24" s="17"/>
    </row>
    <row r="25" spans="1:12" ht="24.95" customHeight="1">
      <c r="A25" s="19"/>
      <c r="B25" s="21" t="s">
        <v>70</v>
      </c>
      <c r="C25" s="14"/>
      <c r="D25" s="23">
        <f>SUM(D19:D24)</f>
        <v>29</v>
      </c>
      <c r="E25" s="16"/>
      <c r="F25" s="18">
        <v>3</v>
      </c>
      <c r="G25" s="18">
        <v>3</v>
      </c>
      <c r="H25" s="18">
        <v>72</v>
      </c>
      <c r="I25" s="18">
        <v>72</v>
      </c>
      <c r="J25" s="16"/>
      <c r="K25" s="16"/>
      <c r="L25" s="17"/>
    </row>
    <row r="26" spans="1:12" ht="24.95" customHeight="1">
      <c r="A26" s="24"/>
      <c r="B26" s="21" t="s">
        <v>71</v>
      </c>
      <c r="C26" s="14"/>
      <c r="D26" s="25">
        <f>D12+D25+D18</f>
        <v>68</v>
      </c>
      <c r="E26" s="16"/>
      <c r="F26" s="16"/>
      <c r="G26" s="16"/>
      <c r="H26" s="16"/>
      <c r="I26" s="16"/>
      <c r="J26" s="16"/>
      <c r="K26" s="16"/>
      <c r="L26" s="17"/>
    </row>
  </sheetData>
  <mergeCells count="14">
    <mergeCell ref="A7:A11"/>
    <mergeCell ref="A13:A17"/>
    <mergeCell ref="A19:A24"/>
    <mergeCell ref="J5:K5"/>
    <mergeCell ref="A1:K1"/>
    <mergeCell ref="A2:K2"/>
    <mergeCell ref="G3:K3"/>
    <mergeCell ref="A5:A6"/>
    <mergeCell ref="B5:B6"/>
    <mergeCell ref="C5:C6"/>
    <mergeCell ref="D5:D6"/>
    <mergeCell ref="E5:E6"/>
    <mergeCell ref="F5:G5"/>
    <mergeCell ref="H5:I5"/>
  </mergeCells>
  <printOptions horizontalCentered="1"/>
  <pageMargins left="0.19685039370078741" right="0.19685039370078741" top="0.19685039370078741" bottom="0.19685039370078741" header="0.19685039370078741" footer="0.19685039370078741"/>
  <pageSetup paperSize="5"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STRATUM WISE (CS)</vt:lpstr>
      <vt:lpstr>STRATUM WISE (SS)</vt:lpstr>
      <vt:lpstr>STRATUM WISE</vt:lpstr>
      <vt:lpstr>WORKING SHEET</vt:lpstr>
      <vt:lpstr>'STRATUM WISE'!Print_Titles</vt:lpstr>
      <vt:lpstr>'STRATUM WISE (CS)'!Print_Titles</vt:lpstr>
      <vt:lpstr>'STRATUM WISE (SS)'!Print_Titles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2025-06-30T08:35:12Z</cp:lastPrinted>
  <dcterms:created xsi:type="dcterms:W3CDTF">2025-06-18T07:55:40Z</dcterms:created>
  <dcterms:modified xsi:type="dcterms:W3CDTF">2026-06-16T12:23:18Z</dcterms:modified>
</cp:coreProperties>
</file>
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 (CS)" sheetId="8" r:id="rId1"/>
    <sheet name="STRATUM WISE (SS)" sheetId="7" r:id="rId2"/>
    <sheet name="STRATUM WISE" sheetId="5" r:id="rId3"/>
    <sheet name="WORKING SHEET" sheetId="6" r:id="rId4"/>
  </sheets>
  <definedNames>
    <definedName name="_xlnm._FilterDatabase" localSheetId="2" hidden="1">'STRATUM WISE'!$A$4:$I$122</definedName>
    <definedName name="_xlnm._FilterDatabase" localSheetId="0" hidden="1">'STRATUM WISE (CS)'!$A$4:$F$10</definedName>
    <definedName name="_xlnm._FilterDatabase" localSheetId="1" hidden="1">'STRATUM WISE (SS)'!$A$4:$F$10</definedName>
  </definedNames>
  <calcPr calcId="124519"/>
</workbook>
</file>

<file path=xl/calcChain.xml><?xml version="1.0" encoding="utf-8"?>
<calcChain xmlns="http://schemas.openxmlformats.org/spreadsheetml/2006/main">
  <c r="E23" i="6"/>
  <c r="E24" s="1"/>
  <c r="E25" s="1"/>
  <c r="E26" s="1"/>
  <c r="E27" s="1"/>
  <c r="E28" s="1"/>
  <c r="E29" s="1"/>
  <c r="E22"/>
  <c r="E21"/>
  <c r="E13"/>
  <c r="E14" s="1"/>
  <c r="E15" s="1"/>
  <c r="E16" s="1"/>
  <c r="E17" s="1"/>
  <c r="E18" s="1"/>
  <c r="E19" s="1"/>
  <c r="E12"/>
  <c r="E11"/>
  <c r="E7"/>
  <c r="E8" s="1"/>
  <c r="E9" s="1"/>
  <c r="D31"/>
  <c r="D30"/>
  <c r="D20"/>
  <c r="D10"/>
</calcChain>
</file>

<file path=xl/sharedStrings.xml><?xml version="1.0" encoding="utf-8"?>
<sst xmlns="http://schemas.openxmlformats.org/spreadsheetml/2006/main" count="877" uniqueCount="239">
  <si>
    <t>TRS_TKCODE</t>
  </si>
  <si>
    <t>TRS_TKNAME</t>
  </si>
  <si>
    <t>TRS_BKCODE</t>
  </si>
  <si>
    <t>TRS_BKNAME</t>
  </si>
  <si>
    <t>VGNAME</t>
  </si>
  <si>
    <t>RV_CODE</t>
  </si>
  <si>
    <t>VIRUDHUNAGAR</t>
  </si>
  <si>
    <t>ARUPPUKOTTAI</t>
  </si>
  <si>
    <t>46</t>
  </si>
  <si>
    <t>42</t>
  </si>
  <si>
    <t>10</t>
  </si>
  <si>
    <t>7</t>
  </si>
  <si>
    <t>52</t>
  </si>
  <si>
    <t>THIRUCHULI</t>
  </si>
  <si>
    <t>63</t>
  </si>
  <si>
    <t>24</t>
  </si>
  <si>
    <t>30</t>
  </si>
  <si>
    <t>38</t>
  </si>
  <si>
    <t>70</t>
  </si>
  <si>
    <t>19</t>
  </si>
  <si>
    <t>KARIAPATTI</t>
  </si>
  <si>
    <t>61</t>
  </si>
  <si>
    <t>83</t>
  </si>
  <si>
    <t>17</t>
  </si>
  <si>
    <t>3</t>
  </si>
  <si>
    <t>14</t>
  </si>
  <si>
    <t>36</t>
  </si>
  <si>
    <t>25</t>
  </si>
  <si>
    <t>43</t>
  </si>
  <si>
    <t>RAJAPALAYAM</t>
  </si>
  <si>
    <t>SRIVILLIPUTTUR</t>
  </si>
  <si>
    <t>32</t>
  </si>
  <si>
    <t>CHOLAPURAM</t>
  </si>
  <si>
    <t>16</t>
  </si>
  <si>
    <t>2</t>
  </si>
  <si>
    <t>5</t>
  </si>
  <si>
    <t>1</t>
  </si>
  <si>
    <t>8</t>
  </si>
  <si>
    <t>SATTUR</t>
  </si>
  <si>
    <t>NENMENI</t>
  </si>
  <si>
    <t>18</t>
  </si>
  <si>
    <t>6</t>
  </si>
  <si>
    <t>4</t>
  </si>
  <si>
    <t>SIVAKASI</t>
  </si>
  <si>
    <t>VEMBAKOTTAI</t>
  </si>
  <si>
    <t>20</t>
  </si>
  <si>
    <t>THIRUTHANGAL</t>
  </si>
  <si>
    <t>11</t>
  </si>
  <si>
    <t>29</t>
  </si>
  <si>
    <t>28</t>
  </si>
  <si>
    <t>34</t>
  </si>
  <si>
    <t>106</t>
  </si>
  <si>
    <t>87</t>
  </si>
  <si>
    <t>48</t>
  </si>
  <si>
    <t>NARIKUDI</t>
  </si>
  <si>
    <t>27</t>
  </si>
  <si>
    <t>VEERACHOLAN</t>
  </si>
  <si>
    <t>33</t>
  </si>
  <si>
    <t>9</t>
  </si>
  <si>
    <t>KADAMPANKULAM</t>
  </si>
  <si>
    <t>37</t>
  </si>
  <si>
    <t>39</t>
  </si>
  <si>
    <t>ONDIPULINAICKANUR</t>
  </si>
  <si>
    <t>22</t>
  </si>
  <si>
    <t>WATRAP</t>
  </si>
  <si>
    <t>KOTTAIYUR</t>
  </si>
  <si>
    <t>13</t>
  </si>
  <si>
    <t xml:space="preserve">District: </t>
  </si>
  <si>
    <t>Sample : Central /State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</si>
  <si>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</si>
  <si>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</si>
  <si>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</si>
  <si>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</si>
  <si>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</si>
  <si>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</si>
  <si>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</si>
  <si>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</si>
  <si>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</si>
  <si>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</si>
  <si>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</si>
  <si>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</si>
  <si>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</si>
  <si>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</si>
  <si>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</si>
  <si>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</si>
  <si>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</si>
  <si>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VIRUDHUNAGAR(26)</t>
  </si>
  <si>
    <t>KARAIPATTI</t>
  </si>
  <si>
    <t>VATHIRAYIRUPPU</t>
  </si>
  <si>
    <t>42(2)</t>
  </si>
  <si>
    <t>KOOVARKULAM</t>
  </si>
  <si>
    <t>KAMBALI</t>
  </si>
  <si>
    <t>VELANKULAM</t>
  </si>
  <si>
    <t>77</t>
  </si>
  <si>
    <t>VILAKULAM</t>
  </si>
  <si>
    <t>97</t>
  </si>
  <si>
    <t>M.ILUPPAIKULAM</t>
  </si>
  <si>
    <t>62</t>
  </si>
  <si>
    <t>THAMARAIKULAM</t>
  </si>
  <si>
    <t>92</t>
  </si>
  <si>
    <t>KUDUMPANKULAM</t>
  </si>
  <si>
    <t>KEELKANJIRANKULAM</t>
  </si>
  <si>
    <t>72</t>
  </si>
  <si>
    <t>VARALOTTI</t>
  </si>
  <si>
    <t>THULUKKANKULAM</t>
  </si>
  <si>
    <t>103</t>
  </si>
  <si>
    <t>N.NEDUNKULAM</t>
  </si>
  <si>
    <t>ACHAMPATTI</t>
  </si>
  <si>
    <t>KALUVANASERI</t>
  </si>
  <si>
    <t>SURANOOR</t>
  </si>
  <si>
    <t>88</t>
  </si>
  <si>
    <t>NORTH_PULIYAMPATTI</t>
  </si>
  <si>
    <t>A.REDDIAPATTI</t>
  </si>
  <si>
    <t>MELAPUTHUPATTI</t>
  </si>
  <si>
    <t>41</t>
  </si>
  <si>
    <t>JOKILPATTI</t>
  </si>
  <si>
    <t>KANAKKANENDAL</t>
  </si>
  <si>
    <t>PAPPANAM</t>
  </si>
  <si>
    <t>PISINDI</t>
  </si>
  <si>
    <t>MANKULAM</t>
  </si>
  <si>
    <t>VADAKKUNATHAM</t>
  </si>
  <si>
    <t>76</t>
  </si>
  <si>
    <t>K.CHETTIKULAM</t>
  </si>
  <si>
    <t>KONGANAKURUCHI</t>
  </si>
  <si>
    <t>23</t>
  </si>
  <si>
    <t>ALADIPATTI</t>
  </si>
  <si>
    <t>KALYANASUNDRAPURAM</t>
  </si>
  <si>
    <t>31</t>
  </si>
  <si>
    <t>BOOMMAKOTTAI</t>
  </si>
  <si>
    <t>SAWASUPURAM</t>
  </si>
  <si>
    <t>THAMMANAICKENPATTI</t>
  </si>
  <si>
    <t>GOPALAPURAM</t>
  </si>
  <si>
    <t>CHINNAPULIAMPATTI</t>
  </si>
  <si>
    <t>KULLURSANDAI</t>
  </si>
  <si>
    <t>PERIAPULIAMPATTI-EAST</t>
  </si>
  <si>
    <t>ATHIPATTI</t>
  </si>
  <si>
    <t>40</t>
  </si>
  <si>
    <t>CHETTIPATTI</t>
  </si>
  <si>
    <t>56</t>
  </si>
  <si>
    <t>AMANAKUNATHAM</t>
  </si>
  <si>
    <t>47</t>
  </si>
  <si>
    <t>T.KOPPUCHITHAMPATTI</t>
  </si>
  <si>
    <t>PATTAKULAM-SALLIPATTI</t>
  </si>
  <si>
    <t>P.NALINGAPERI</t>
  </si>
  <si>
    <t>AYAN_NACHIYARKOIL</t>
  </si>
  <si>
    <t>PILLIYARKULAM</t>
  </si>
  <si>
    <t>ATHIKULAM-SENGULAM</t>
  </si>
  <si>
    <t>A.MEENASHIPURAM</t>
  </si>
  <si>
    <t>POORANACHANDRAPURAM</t>
  </si>
  <si>
    <t>GOWNDAMPATTI</t>
  </si>
  <si>
    <t>KALAYARKURUCHI</t>
  </si>
  <si>
    <t>VETRILAIYOORANI</t>
  </si>
  <si>
    <t>E.KUMARALINGAPURAM</t>
  </si>
  <si>
    <t>VEPPILAIPATTI</t>
  </si>
  <si>
    <t>PERIAKOLLAPATTI</t>
  </si>
  <si>
    <t>AYYAMPATTI</t>
  </si>
  <si>
    <t>VADAMALAPURAM</t>
  </si>
  <si>
    <t>KATHALAMPATTI</t>
  </si>
  <si>
    <t>UPPATHUR</t>
  </si>
  <si>
    <t>M.CHOCKALINGAPURAM</t>
  </si>
  <si>
    <t>METTAMALAI</t>
  </si>
  <si>
    <t>MULLISEVAL</t>
  </si>
  <si>
    <t>KOVILUR</t>
  </si>
  <si>
    <t>MUTHUSAMYPURAM</t>
  </si>
  <si>
    <t>APPANERI</t>
  </si>
  <si>
    <t>SAMSIGAPURAM</t>
  </si>
  <si>
    <t>AYAN_KARISALKULAM</t>
  </si>
  <si>
    <t>SUNDRAPANDIYAM</t>
  </si>
  <si>
    <t>ILANDAIKULAM</t>
  </si>
  <si>
    <t>MUTHANDIAPURAM</t>
  </si>
  <si>
    <t>SERVAIKARANPATTI</t>
  </si>
  <si>
    <t>SEVALPATTI</t>
  </si>
  <si>
    <t>KONGANKULAM</t>
  </si>
  <si>
    <t>VIJAYAKARISALKULAM</t>
  </si>
  <si>
    <t>O.MUTHUSAMYPURAM</t>
  </si>
  <si>
    <t>35</t>
  </si>
  <si>
    <t>PERIAPERALI</t>
  </si>
  <si>
    <t>KOTTAIPATTI</t>
  </si>
  <si>
    <t>MUTHURAMANPATTI</t>
  </si>
  <si>
    <t>PUDUPATTI</t>
  </si>
  <si>
    <t>51</t>
  </si>
  <si>
    <t>VALAYAPATTI</t>
  </si>
  <si>
    <t>V.MUTHULINGAPURAM</t>
  </si>
  <si>
    <t>SIVAGNANAPURAM</t>
  </si>
  <si>
    <t>PULIYANKULAM</t>
  </si>
  <si>
    <t>CHATRAREDDIAPATTI</t>
  </si>
  <si>
    <t>PILLIYARNATHAM</t>
  </si>
  <si>
    <t>142</t>
  </si>
  <si>
    <t>SUNDARATHAN</t>
  </si>
  <si>
    <t>59</t>
  </si>
  <si>
    <t>ANAIKULAM</t>
  </si>
  <si>
    <t>140</t>
  </si>
  <si>
    <t>NORTH_ARIYANKULAM</t>
  </si>
  <si>
    <t>73</t>
  </si>
  <si>
    <t>USILANKULAM</t>
  </si>
  <si>
    <t>MELAPARUTHIYUR</t>
  </si>
  <si>
    <t>KURUTHAKULAM</t>
  </si>
  <si>
    <t>128</t>
  </si>
  <si>
    <t>KONGALAKUDI</t>
  </si>
  <si>
    <t>133</t>
  </si>
  <si>
    <t>BOOMBIDAGAI</t>
  </si>
  <si>
    <t>PANAIKUDI</t>
  </si>
  <si>
    <t>V.KARISALKULAM</t>
  </si>
  <si>
    <t>MUTHURAMALINGAPURAM</t>
  </si>
  <si>
    <t>150</t>
  </si>
  <si>
    <t>KALATHUR</t>
  </si>
  <si>
    <t>POOMALAIPATTI</t>
  </si>
  <si>
    <t>149</t>
  </si>
  <si>
    <t>SATHISERI</t>
  </si>
  <si>
    <t>KANDUKONDAN__MANICKAM</t>
  </si>
  <si>
    <t>THELI</t>
  </si>
  <si>
    <t>KOOTHANARKOTTAI</t>
  </si>
  <si>
    <t>KOKKULAM</t>
  </si>
  <si>
    <t>120</t>
  </si>
  <si>
    <t>ILUPPAIKULAM</t>
  </si>
  <si>
    <t>SEENIYENDAL</t>
  </si>
  <si>
    <t>MITHILAIKULAM</t>
  </si>
  <si>
    <t>THONDAMANGULAM</t>
  </si>
  <si>
    <t>96</t>
  </si>
  <si>
    <t>VIDATHAKULAM</t>
  </si>
  <si>
    <t>SIRUMITHILAIKULAM</t>
  </si>
  <si>
    <t>KADAYANENDAL</t>
  </si>
  <si>
    <t>75</t>
  </si>
  <si>
    <t>SENNILAIKUDI</t>
  </si>
  <si>
    <t>91</t>
  </si>
  <si>
    <t>Year:2026-27 (Fasli-1436)</t>
  </si>
  <si>
    <t>13(1)</t>
  </si>
  <si>
    <t>29(2)</t>
  </si>
  <si>
    <t>31(2)</t>
  </si>
  <si>
    <t>38(1)</t>
  </si>
  <si>
    <t>02(1)</t>
  </si>
  <si>
    <t>05(2)</t>
  </si>
  <si>
    <t>08(1)</t>
  </si>
  <si>
    <t>30(2)</t>
  </si>
  <si>
    <t>44(1)</t>
  </si>
  <si>
    <t>15(1)</t>
  </si>
  <si>
    <t>46(2)</t>
  </si>
  <si>
    <t>Oder of selection</t>
  </si>
  <si>
    <t>Sample : State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</si>
</sst>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20"/>
      <color theme="1"/>
      <name val="Arial"/>
      <family val="2"/>
    </font>
    <font>
      <b/>
      <sz val="11"/>
      <color indexed="8"/>
      <name val="Calibri"/>
      <family val="2"/>
    </font>
    <font>
      <b/>
      <sz val="12"/>
      <name val="Bookman Old Style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1" fillId="0" borderId="0"/>
  </cellStyleXfs>
  <cellXfs count="63">
    <xf numFmtId="0" fontId="0" fillId="0" borderId="0" xfId="0"/>
    <xf numFmtId="0" fontId="7" fillId="0" borderId="0" xfId="4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/>
    </xf>
    <xf numFmtId="0" fontId="6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7" fillId="0" borderId="0" xfId="4" applyFont="1"/>
    <xf numFmtId="0" fontId="8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9" fillId="0" borderId="1" xfId="4" applyFont="1" applyBorder="1" applyAlignment="1">
      <alignment horizontal="center" vertical="center" wrapText="1"/>
    </xf>
    <xf numFmtId="0" fontId="5" fillId="0" borderId="1" xfId="1" applyFont="1" applyFill="1" applyBorder="1" applyAlignment="1">
      <alignment wrapText="1"/>
    </xf>
    <xf numFmtId="0" fontId="5" fillId="0" borderId="1" xfId="1" applyFont="1" applyFill="1" applyBorder="1" applyAlignment="1">
      <alignment horizontal="center" wrapText="1"/>
    </xf>
    <xf numFmtId="0" fontId="7" fillId="0" borderId="1" xfId="4" applyFont="1" applyBorder="1" applyAlignment="1">
      <alignment horizontal="center" vertical="center"/>
    </xf>
    <xf numFmtId="0" fontId="3" fillId="0" borderId="0" xfId="4"/>
    <xf numFmtId="0" fontId="9" fillId="0" borderId="1" xfId="4" applyFont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 wrapText="1"/>
    </xf>
    <xf numFmtId="0" fontId="7" fillId="0" borderId="1" xfId="4" quotePrefix="1" applyFont="1" applyBorder="1" applyAlignment="1">
      <alignment horizontal="center" vertical="center"/>
    </xf>
    <xf numFmtId="0" fontId="11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2" fillId="0" borderId="1" xfId="1" applyFont="1" applyFill="1" applyBorder="1" applyAlignment="1">
      <alignment horizontal="center" wrapText="1"/>
    </xf>
    <xf numFmtId="0" fontId="10" fillId="0" borderId="1" xfId="1" applyFont="1" applyFill="1" applyBorder="1" applyAlignment="1">
      <alignment vertical="center" wrapText="1"/>
    </xf>
    <xf numFmtId="0" fontId="11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vertical="center"/>
    </xf>
    <xf numFmtId="0" fontId="13" fillId="0" borderId="0" xfId="2" applyFont="1" applyBorder="1" applyAlignment="1">
      <alignment vertical="center"/>
    </xf>
    <xf numFmtId="0" fontId="13" fillId="2" borderId="0" xfId="2" applyFont="1" applyFill="1" applyBorder="1" applyAlignment="1">
      <alignment vertical="center"/>
    </xf>
    <xf numFmtId="0" fontId="2" fillId="0" borderId="0" xfId="1" applyFont="1" applyBorder="1" applyAlignment="1">
      <alignment wrapText="1"/>
    </xf>
    <xf numFmtId="0" fontId="2" fillId="0" borderId="0" xfId="1" applyFont="1" applyBorder="1" applyAlignment="1">
      <alignment horizontal="center" wrapText="1"/>
    </xf>
    <xf numFmtId="0" fontId="5" fillId="0" borderId="1" xfId="1" applyFont="1" applyFill="1" applyBorder="1" applyAlignment="1">
      <alignment horizontal="left" wrapText="1"/>
    </xf>
    <xf numFmtId="0" fontId="5" fillId="0" borderId="2" xfId="1" applyFont="1" applyFill="1" applyBorder="1" applyAlignment="1">
      <alignment horizontal="left" vertical="center" wrapText="1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 vertical="center"/>
    </xf>
    <xf numFmtId="0" fontId="5" fillId="0" borderId="5" xfId="1" applyFont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9" fillId="0" borderId="0" xfId="4" applyFont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9" fillId="0" borderId="0" xfId="4" applyFont="1" applyAlignment="1">
      <alignment horizontal="center" vertical="center"/>
    </xf>
    <xf numFmtId="0" fontId="9" fillId="0" borderId="0" xfId="4" applyFont="1" applyAlignment="1">
      <alignment vertical="center"/>
    </xf>
    <xf numFmtId="0" fontId="12" fillId="0" borderId="1" xfId="5" applyFont="1" applyFill="1" applyBorder="1" applyAlignment="1">
      <alignment horizontal="center" wrapText="1"/>
    </xf>
    <xf numFmtId="0" fontId="14" fillId="0" borderId="0" xfId="0" applyFont="1"/>
    <xf numFmtId="0" fontId="9" fillId="0" borderId="0" xfId="4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4" applyFont="1" applyAlignment="1">
      <alignment horizontal="left" vertical="center"/>
    </xf>
    <xf numFmtId="0" fontId="9" fillId="0" borderId="7" xfId="4" applyFont="1" applyBorder="1" applyAlignment="1">
      <alignment horizontal="left" vertical="center"/>
    </xf>
    <xf numFmtId="0" fontId="10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 wrapText="1"/>
    </xf>
    <xf numFmtId="0" fontId="5" fillId="0" borderId="4" xfId="1" applyFont="1" applyFill="1" applyBorder="1" applyAlignment="1">
      <alignment horizontal="left" vertical="center" wrapText="1"/>
    </xf>
    <xf numFmtId="0" fontId="5" fillId="0" borderId="3" xfId="1" applyFont="1" applyFill="1" applyBorder="1" applyAlignment="1">
      <alignment horizontal="left" vertical="center" wrapText="1"/>
    </xf>
    <xf numFmtId="0" fontId="9" fillId="0" borderId="1" xfId="4" applyFont="1" applyBorder="1" applyAlignment="1">
      <alignment horizontal="center" vertical="center" wrapText="1"/>
    </xf>
    <xf numFmtId="0" fontId="6" fillId="0" borderId="1" xfId="4" applyFont="1" applyBorder="1" applyAlignment="1">
      <alignment horizontal="center" vertical="center" textRotation="90" wrapText="1"/>
    </xf>
    <xf numFmtId="0" fontId="9" fillId="0" borderId="2" xfId="4" applyFont="1" applyBorder="1" applyAlignment="1">
      <alignment horizontal="center" vertical="center" wrapText="1"/>
    </xf>
    <xf numFmtId="0" fontId="9" fillId="0" borderId="3" xfId="4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1" xfId="5" applyFont="1" applyFill="1" applyBorder="1" applyAlignment="1">
      <alignment horizontal="center" vertical="center" wrapText="1"/>
    </xf>
  </cellXfs>
  <cellStyles count="6">
    <cellStyle name="Normal" xfId="0" builtinId="0"/>
    <cellStyle name="Normal 2" xfId="4"/>
    <cellStyle name="Normal 3" xfId="2"/>
    <cellStyle name="Normal 4" xfId="3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view="pageBreakPreview" zoomScaleSheetLayoutView="100" workbookViewId="0">
      <selection activeCell="E15" sqref="E15:F15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27" customWidth="1"/>
    <col min="5" max="5" width="12.5703125" customWidth="1"/>
    <col min="6" max="6" width="10.28515625" style="8" customWidth="1"/>
  </cols>
  <sheetData>
    <row r="1" spans="1:8" s="3" customFormat="1" ht="30" customHeight="1">
      <c r="A1" s="42" t="s">
        <v>72</v>
      </c>
      <c r="B1" s="42"/>
      <c r="C1" s="42"/>
      <c r="D1" s="42"/>
      <c r="E1" s="42"/>
      <c r="F1" s="42"/>
      <c r="G1" s="39"/>
      <c r="H1" s="39"/>
    </row>
    <row r="2" spans="1:8" s="6" customFormat="1" ht="30" customHeight="1">
      <c r="A2" s="23" t="s">
        <v>67</v>
      </c>
      <c r="B2" s="24" t="s">
        <v>86</v>
      </c>
      <c r="C2" s="30"/>
      <c r="D2" s="35" t="s">
        <v>68</v>
      </c>
      <c r="E2" s="30"/>
      <c r="F2" s="30"/>
      <c r="G2" s="3"/>
      <c r="H2" s="3"/>
    </row>
    <row r="3" spans="1:8" ht="30" customHeight="1">
      <c r="A3" s="4"/>
      <c r="B3" s="29"/>
      <c r="C3" s="29"/>
      <c r="D3" s="35" t="s">
        <v>225</v>
      </c>
      <c r="E3" s="29"/>
      <c r="F3" s="29"/>
      <c r="G3" s="6"/>
      <c r="H3" s="6"/>
    </row>
    <row r="4" spans="1:8" ht="30" customHeight="1">
      <c r="A4" s="7" t="s">
        <v>69</v>
      </c>
      <c r="B4" s="7" t="s">
        <v>1</v>
      </c>
      <c r="C4" s="7" t="s">
        <v>3</v>
      </c>
      <c r="D4" s="7" t="s">
        <v>4</v>
      </c>
      <c r="E4" s="7" t="s">
        <v>5</v>
      </c>
      <c r="F4" s="40" t="s">
        <v>237</v>
      </c>
    </row>
    <row r="5" spans="1:8" ht="30" customHeight="1">
      <c r="A5" s="43">
        <v>1</v>
      </c>
      <c r="B5" s="31" t="s">
        <v>20</v>
      </c>
      <c r="C5" s="31" t="s">
        <v>20</v>
      </c>
      <c r="D5" s="31" t="s">
        <v>108</v>
      </c>
      <c r="E5" s="31" t="s">
        <v>8</v>
      </c>
      <c r="F5" s="32">
        <v>1</v>
      </c>
    </row>
    <row r="6" spans="1:8" ht="30" customHeight="1">
      <c r="A6" s="44"/>
      <c r="B6" s="31" t="s">
        <v>7</v>
      </c>
      <c r="C6" s="31" t="s">
        <v>13</v>
      </c>
      <c r="D6" s="31" t="s">
        <v>129</v>
      </c>
      <c r="E6" s="31" t="s">
        <v>61</v>
      </c>
      <c r="F6" s="32">
        <v>2</v>
      </c>
    </row>
    <row r="7" spans="1:8" ht="30" customHeight="1">
      <c r="A7" s="44">
        <v>2</v>
      </c>
      <c r="B7" s="31" t="s">
        <v>30</v>
      </c>
      <c r="C7" s="31" t="s">
        <v>30</v>
      </c>
      <c r="D7" s="31" t="s">
        <v>143</v>
      </c>
      <c r="E7" s="31" t="s">
        <v>9</v>
      </c>
      <c r="F7" s="32">
        <v>1</v>
      </c>
    </row>
    <row r="8" spans="1:8" ht="30" customHeight="1">
      <c r="A8" s="44"/>
      <c r="B8" s="31" t="s">
        <v>30</v>
      </c>
      <c r="C8" s="31" t="s">
        <v>30</v>
      </c>
      <c r="D8" s="31" t="s">
        <v>146</v>
      </c>
      <c r="E8" s="31" t="s">
        <v>136</v>
      </c>
      <c r="F8" s="32">
        <v>2</v>
      </c>
    </row>
    <row r="9" spans="1:8" ht="30" customHeight="1">
      <c r="A9" s="45">
        <v>3</v>
      </c>
      <c r="B9" s="31" t="s">
        <v>13</v>
      </c>
      <c r="C9" s="31" t="s">
        <v>13</v>
      </c>
      <c r="D9" s="31" t="s">
        <v>212</v>
      </c>
      <c r="E9" s="31" t="s">
        <v>213</v>
      </c>
      <c r="F9" s="32">
        <v>1</v>
      </c>
    </row>
    <row r="10" spans="1:8" ht="30" customHeight="1">
      <c r="A10" s="45"/>
      <c r="B10" s="31" t="s">
        <v>13</v>
      </c>
      <c r="C10" s="31" t="s">
        <v>54</v>
      </c>
      <c r="D10" s="31" t="s">
        <v>211</v>
      </c>
      <c r="E10" s="31" t="s">
        <v>12</v>
      </c>
      <c r="F10" s="32">
        <v>2</v>
      </c>
    </row>
    <row r="18" spans="3:6">
      <c r="F18" s="26"/>
    </row>
    <row r="19" spans="3:6">
      <c r="F19" s="26"/>
    </row>
    <row r="20" spans="3:6">
      <c r="F20" s="26"/>
    </row>
    <row r="21" spans="3:6">
      <c r="F21" s="26"/>
    </row>
    <row r="22" spans="3:6">
      <c r="F22" s="26"/>
    </row>
    <row r="23" spans="3:6">
      <c r="C23" s="25"/>
      <c r="D23" s="26"/>
      <c r="E23" s="25"/>
      <c r="F23" s="26"/>
    </row>
  </sheetData>
  <mergeCells count="4">
    <mergeCell ref="A1:F1"/>
    <mergeCell ref="A5:A6"/>
    <mergeCell ref="A7:A8"/>
    <mergeCell ref="A9:A10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view="pageBreakPreview" zoomScaleSheetLayoutView="100" workbookViewId="0">
      <selection activeCell="H7" sqref="H7"/>
    </sheetView>
  </sheetViews>
  <sheetFormatPr defaultRowHeight="15"/>
  <cols>
    <col min="1" max="1" width="9.85546875" bestFit="1" customWidth="1"/>
    <col min="2" max="2" width="25.7109375" customWidth="1"/>
    <col min="3" max="3" width="26.42578125" customWidth="1"/>
    <col min="4" max="4" width="27.42578125" customWidth="1"/>
    <col min="5" max="5" width="12.7109375" customWidth="1"/>
    <col min="6" max="6" width="10.28515625" style="8" customWidth="1"/>
  </cols>
  <sheetData>
    <row r="1" spans="1:8" s="3" customFormat="1" ht="30" customHeight="1">
      <c r="A1" s="42" t="s">
        <v>72</v>
      </c>
      <c r="B1" s="42"/>
      <c r="C1" s="42"/>
      <c r="D1" s="42"/>
      <c r="E1" s="42"/>
      <c r="F1" s="42"/>
      <c r="G1" s="39"/>
      <c r="H1" s="39"/>
    </row>
    <row r="2" spans="1:8" s="6" customFormat="1" ht="30" customHeight="1">
      <c r="A2" s="23" t="s">
        <v>67</v>
      </c>
      <c r="B2" s="24" t="s">
        <v>86</v>
      </c>
      <c r="C2" s="30"/>
      <c r="D2" s="47" t="s">
        <v>238</v>
      </c>
      <c r="E2" s="47"/>
      <c r="F2" s="47"/>
      <c r="G2" s="3"/>
      <c r="H2" s="3"/>
    </row>
    <row r="3" spans="1:8" ht="30" customHeight="1">
      <c r="A3" s="4"/>
      <c r="B3" s="29"/>
      <c r="C3" s="29"/>
      <c r="D3" s="48" t="s">
        <v>225</v>
      </c>
      <c r="E3" s="48"/>
      <c r="F3" s="48"/>
      <c r="G3" s="6"/>
      <c r="H3" s="6"/>
    </row>
    <row r="4" spans="1:8" ht="30" customHeight="1">
      <c r="A4" s="7" t="s">
        <v>69</v>
      </c>
      <c r="B4" s="7" t="s">
        <v>1</v>
      </c>
      <c r="C4" s="7" t="s">
        <v>3</v>
      </c>
      <c r="D4" s="7" t="s">
        <v>4</v>
      </c>
      <c r="E4" s="7" t="s">
        <v>5</v>
      </c>
      <c r="F4" s="40" t="s">
        <v>237</v>
      </c>
    </row>
    <row r="5" spans="1:8" ht="30" customHeight="1">
      <c r="A5" s="43">
        <v>1</v>
      </c>
      <c r="B5" s="31" t="s">
        <v>7</v>
      </c>
      <c r="C5" s="31" t="s">
        <v>7</v>
      </c>
      <c r="D5" s="31" t="s">
        <v>141</v>
      </c>
      <c r="E5" s="31" t="s">
        <v>21</v>
      </c>
      <c r="F5" s="32">
        <v>3</v>
      </c>
    </row>
    <row r="6" spans="1:8" ht="30" customHeight="1">
      <c r="A6" s="44"/>
      <c r="B6" s="31" t="s">
        <v>7</v>
      </c>
      <c r="C6" s="31" t="s">
        <v>7</v>
      </c>
      <c r="D6" s="31" t="s">
        <v>131</v>
      </c>
      <c r="E6" s="31" t="s">
        <v>41</v>
      </c>
      <c r="F6" s="32">
        <v>4</v>
      </c>
    </row>
    <row r="7" spans="1:8" ht="30" customHeight="1">
      <c r="A7" s="44">
        <v>2</v>
      </c>
      <c r="B7" s="31" t="s">
        <v>43</v>
      </c>
      <c r="C7" s="31" t="s">
        <v>43</v>
      </c>
      <c r="D7" s="31" t="s">
        <v>43</v>
      </c>
      <c r="E7" s="31" t="s">
        <v>55</v>
      </c>
      <c r="F7" s="32">
        <v>3</v>
      </c>
    </row>
    <row r="8" spans="1:8" ht="30" customHeight="1">
      <c r="A8" s="44"/>
      <c r="B8" s="31" t="s">
        <v>29</v>
      </c>
      <c r="C8" s="31" t="s">
        <v>29</v>
      </c>
      <c r="D8" s="31" t="s">
        <v>29</v>
      </c>
      <c r="E8" s="31" t="s">
        <v>42</v>
      </c>
      <c r="F8" s="32">
        <v>4</v>
      </c>
    </row>
    <row r="9" spans="1:8" ht="30" customHeight="1">
      <c r="A9" s="46">
        <v>3</v>
      </c>
      <c r="B9" s="31" t="s">
        <v>6</v>
      </c>
      <c r="C9" s="31" t="s">
        <v>6</v>
      </c>
      <c r="D9" s="31" t="s">
        <v>177</v>
      </c>
      <c r="E9" s="31" t="s">
        <v>23</v>
      </c>
      <c r="F9" s="32">
        <v>3</v>
      </c>
    </row>
    <row r="10" spans="1:8" ht="30" customHeight="1">
      <c r="A10" s="46"/>
      <c r="B10" s="31" t="s">
        <v>13</v>
      </c>
      <c r="C10" s="31" t="s">
        <v>13</v>
      </c>
      <c r="D10" s="31" t="s">
        <v>214</v>
      </c>
      <c r="E10" s="31" t="s">
        <v>136</v>
      </c>
      <c r="F10" s="32">
        <v>4</v>
      </c>
    </row>
    <row r="16" spans="1:8">
      <c r="D16" s="41"/>
    </row>
    <row r="18" spans="3:6">
      <c r="F18" s="26"/>
    </row>
    <row r="19" spans="3:6">
      <c r="F19" s="26"/>
    </row>
    <row r="20" spans="3:6">
      <c r="F20" s="26"/>
    </row>
    <row r="21" spans="3:6">
      <c r="F21" s="26"/>
    </row>
    <row r="22" spans="3:6">
      <c r="F22" s="26"/>
    </row>
    <row r="23" spans="3:6">
      <c r="C23" s="25"/>
      <c r="D23" s="26"/>
      <c r="E23" s="25"/>
      <c r="F23" s="26"/>
    </row>
  </sheetData>
  <mergeCells count="6">
    <mergeCell ref="A1:F1"/>
    <mergeCell ref="A9:A10"/>
    <mergeCell ref="A5:A6"/>
    <mergeCell ref="A7:A8"/>
    <mergeCell ref="D2:F2"/>
    <mergeCell ref="D3:F3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8"/>
  <sheetViews>
    <sheetView view="pageBreakPreview" zoomScaleSheetLayoutView="100" workbookViewId="0">
      <selection activeCell="D16" sqref="D16"/>
    </sheetView>
  </sheetViews>
  <sheetFormatPr defaultRowHeight="15"/>
  <cols>
    <col min="1" max="1" width="9.85546875" bestFit="1" customWidth="1"/>
    <col min="2" max="2" width="13.5703125" bestFit="1" customWidth="1"/>
    <col min="3" max="3" width="25.7109375" customWidth="1"/>
    <col min="4" max="4" width="13.5703125" bestFit="1" customWidth="1"/>
    <col min="5" max="5" width="26.42578125" customWidth="1"/>
    <col min="6" max="6" width="35.28515625" bestFit="1" customWidth="1"/>
    <col min="7" max="7" width="9.5703125" customWidth="1"/>
    <col min="8" max="8" width="10.7109375" style="8" customWidth="1"/>
    <col min="9" max="9" width="10.28515625" style="8" customWidth="1"/>
  </cols>
  <sheetData>
    <row r="1" spans="1:11" s="3" customFormat="1" ht="24.95" customHeight="1">
      <c r="A1" s="42" t="s">
        <v>72</v>
      </c>
      <c r="B1" s="42"/>
      <c r="C1" s="42"/>
      <c r="D1" s="42"/>
      <c r="E1" s="42"/>
      <c r="F1" s="42"/>
      <c r="G1" s="42"/>
      <c r="H1" s="42"/>
      <c r="I1" s="42"/>
      <c r="J1" s="39"/>
      <c r="K1" s="39"/>
    </row>
    <row r="2" spans="1:11" s="6" customFormat="1" ht="24.95" customHeight="1">
      <c r="A2" s="23" t="s">
        <v>67</v>
      </c>
      <c r="B2" s="3"/>
      <c r="C2" s="24" t="s">
        <v>86</v>
      </c>
      <c r="D2" s="1"/>
      <c r="E2" s="1"/>
      <c r="F2" s="35" t="s">
        <v>68</v>
      </c>
      <c r="G2" s="1"/>
      <c r="H2" s="1"/>
      <c r="I2" s="1"/>
      <c r="J2" s="3"/>
      <c r="K2" s="3"/>
    </row>
    <row r="3" spans="1:11" ht="15.75">
      <c r="A3" s="4"/>
      <c r="B3" s="2"/>
      <c r="C3" s="2"/>
      <c r="D3" s="2"/>
      <c r="E3" s="2"/>
      <c r="F3" s="35" t="s">
        <v>225</v>
      </c>
      <c r="G3" s="2"/>
      <c r="H3" s="2"/>
      <c r="I3" s="2"/>
      <c r="J3" s="6"/>
      <c r="K3" s="6"/>
    </row>
    <row r="4" spans="1:11" ht="60">
      <c r="A4" s="61" t="s">
        <v>69</v>
      </c>
      <c r="B4" s="61" t="s">
        <v>0</v>
      </c>
      <c r="C4" s="61" t="s">
        <v>1</v>
      </c>
      <c r="D4" s="61" t="s">
        <v>2</v>
      </c>
      <c r="E4" s="61" t="s">
        <v>3</v>
      </c>
      <c r="F4" s="61" t="s">
        <v>4</v>
      </c>
      <c r="G4" s="61" t="s">
        <v>5</v>
      </c>
      <c r="H4" s="62" t="s">
        <v>70</v>
      </c>
      <c r="I4" s="62" t="s">
        <v>71</v>
      </c>
    </row>
    <row r="5" spans="1:11">
      <c r="A5" s="36">
        <v>1</v>
      </c>
      <c r="B5" s="31" t="s">
        <v>34</v>
      </c>
      <c r="C5" s="31" t="s">
        <v>20</v>
      </c>
      <c r="D5" s="31" t="s">
        <v>58</v>
      </c>
      <c r="E5" s="31" t="s">
        <v>20</v>
      </c>
      <c r="F5" s="31" t="s">
        <v>90</v>
      </c>
      <c r="G5" s="31" t="s">
        <v>52</v>
      </c>
      <c r="H5" s="18">
        <v>1</v>
      </c>
      <c r="I5" s="32">
        <v>1</v>
      </c>
    </row>
    <row r="6" spans="1:11">
      <c r="A6" s="37"/>
      <c r="B6" s="31" t="s">
        <v>34</v>
      </c>
      <c r="C6" s="31" t="s">
        <v>20</v>
      </c>
      <c r="D6" s="31" t="s">
        <v>58</v>
      </c>
      <c r="E6" s="31" t="s">
        <v>20</v>
      </c>
      <c r="F6" s="31" t="s">
        <v>91</v>
      </c>
      <c r="G6" s="31" t="s">
        <v>51</v>
      </c>
      <c r="H6" s="18">
        <v>2</v>
      </c>
      <c r="I6" s="18">
        <v>2</v>
      </c>
    </row>
    <row r="7" spans="1:11">
      <c r="A7" s="37"/>
      <c r="B7" s="31" t="s">
        <v>34</v>
      </c>
      <c r="C7" s="31" t="s">
        <v>20</v>
      </c>
      <c r="D7" s="31" t="s">
        <v>58</v>
      </c>
      <c r="E7" s="31" t="s">
        <v>20</v>
      </c>
      <c r="F7" s="31" t="s">
        <v>92</v>
      </c>
      <c r="G7" s="31" t="s">
        <v>93</v>
      </c>
      <c r="H7" s="18">
        <v>3</v>
      </c>
      <c r="I7" s="32">
        <v>3</v>
      </c>
    </row>
    <row r="8" spans="1:11">
      <c r="A8" s="37"/>
      <c r="B8" s="31" t="s">
        <v>34</v>
      </c>
      <c r="C8" s="31" t="s">
        <v>20</v>
      </c>
      <c r="D8" s="31" t="s">
        <v>58</v>
      </c>
      <c r="E8" s="31" t="s">
        <v>20</v>
      </c>
      <c r="F8" s="31" t="s">
        <v>94</v>
      </c>
      <c r="G8" s="31" t="s">
        <v>95</v>
      </c>
      <c r="H8" s="18">
        <v>4</v>
      </c>
      <c r="I8" s="18">
        <v>4</v>
      </c>
    </row>
    <row r="9" spans="1:11">
      <c r="A9" s="37"/>
      <c r="B9" s="31" t="s">
        <v>34</v>
      </c>
      <c r="C9" s="31" t="s">
        <v>20</v>
      </c>
      <c r="D9" s="31" t="s">
        <v>58</v>
      </c>
      <c r="E9" s="31" t="s">
        <v>20</v>
      </c>
      <c r="F9" s="31" t="s">
        <v>96</v>
      </c>
      <c r="G9" s="31" t="s">
        <v>97</v>
      </c>
      <c r="H9" s="18">
        <v>5</v>
      </c>
      <c r="I9" s="32">
        <v>5</v>
      </c>
    </row>
    <row r="10" spans="1:11">
      <c r="A10" s="37"/>
      <c r="B10" s="31" t="s">
        <v>34</v>
      </c>
      <c r="C10" s="31" t="s">
        <v>20</v>
      </c>
      <c r="D10" s="31" t="s">
        <v>58</v>
      </c>
      <c r="E10" s="31" t="s">
        <v>20</v>
      </c>
      <c r="F10" s="31" t="s">
        <v>98</v>
      </c>
      <c r="G10" s="31" t="s">
        <v>99</v>
      </c>
      <c r="H10" s="18">
        <v>6</v>
      </c>
      <c r="I10" s="18">
        <v>6</v>
      </c>
    </row>
    <row r="11" spans="1:11">
      <c r="A11" s="37"/>
      <c r="B11" s="31" t="s">
        <v>34</v>
      </c>
      <c r="C11" s="31" t="s">
        <v>20</v>
      </c>
      <c r="D11" s="31" t="s">
        <v>58</v>
      </c>
      <c r="E11" s="31" t="s">
        <v>20</v>
      </c>
      <c r="F11" s="31" t="s">
        <v>100</v>
      </c>
      <c r="G11" s="31" t="s">
        <v>18</v>
      </c>
      <c r="H11" s="18">
        <v>7</v>
      </c>
      <c r="I11" s="32">
        <v>7</v>
      </c>
    </row>
    <row r="12" spans="1:11">
      <c r="A12" s="37"/>
      <c r="B12" s="31" t="s">
        <v>34</v>
      </c>
      <c r="C12" s="31" t="s">
        <v>20</v>
      </c>
      <c r="D12" s="31" t="s">
        <v>58</v>
      </c>
      <c r="E12" s="31" t="s">
        <v>20</v>
      </c>
      <c r="F12" s="31" t="s">
        <v>101</v>
      </c>
      <c r="G12" s="31" t="s">
        <v>102</v>
      </c>
      <c r="H12" s="18">
        <v>8</v>
      </c>
      <c r="I12" s="18">
        <v>8</v>
      </c>
    </row>
    <row r="13" spans="1:11">
      <c r="A13" s="37"/>
      <c r="B13" s="31" t="s">
        <v>34</v>
      </c>
      <c r="C13" s="31" t="s">
        <v>20</v>
      </c>
      <c r="D13" s="31" t="s">
        <v>58</v>
      </c>
      <c r="E13" s="31" t="s">
        <v>20</v>
      </c>
      <c r="F13" s="31" t="s">
        <v>103</v>
      </c>
      <c r="G13" s="31" t="s">
        <v>31</v>
      </c>
      <c r="H13" s="18">
        <v>9</v>
      </c>
      <c r="I13" s="32">
        <v>9</v>
      </c>
    </row>
    <row r="14" spans="1:11">
      <c r="A14" s="37"/>
      <c r="B14" s="31" t="s">
        <v>34</v>
      </c>
      <c r="C14" s="31" t="s">
        <v>20</v>
      </c>
      <c r="D14" s="31" t="s">
        <v>58</v>
      </c>
      <c r="E14" s="31" t="s">
        <v>20</v>
      </c>
      <c r="F14" s="31" t="s">
        <v>104</v>
      </c>
      <c r="G14" s="31" t="s">
        <v>105</v>
      </c>
      <c r="H14" s="18">
        <v>10</v>
      </c>
      <c r="I14" s="18">
        <v>10</v>
      </c>
    </row>
    <row r="15" spans="1:11">
      <c r="A15" s="37"/>
      <c r="B15" s="31" t="s">
        <v>34</v>
      </c>
      <c r="C15" s="31" t="s">
        <v>20</v>
      </c>
      <c r="D15" s="31" t="s">
        <v>58</v>
      </c>
      <c r="E15" s="31" t="s">
        <v>20</v>
      </c>
      <c r="F15" s="31" t="s">
        <v>106</v>
      </c>
      <c r="G15" s="31" t="s">
        <v>14</v>
      </c>
      <c r="H15" s="18">
        <v>11</v>
      </c>
      <c r="I15" s="32">
        <v>11</v>
      </c>
    </row>
    <row r="16" spans="1:11">
      <c r="A16" s="37"/>
      <c r="B16" s="31" t="s">
        <v>34</v>
      </c>
      <c r="C16" s="31" t="s">
        <v>20</v>
      </c>
      <c r="D16" s="31" t="s">
        <v>58</v>
      </c>
      <c r="E16" s="31" t="s">
        <v>20</v>
      </c>
      <c r="F16" s="31" t="s">
        <v>107</v>
      </c>
      <c r="G16" s="31" t="s">
        <v>40</v>
      </c>
      <c r="H16" s="18">
        <v>12</v>
      </c>
      <c r="I16" s="18">
        <v>12</v>
      </c>
    </row>
    <row r="17" spans="1:9">
      <c r="A17" s="37"/>
      <c r="B17" s="31" t="s">
        <v>34</v>
      </c>
      <c r="C17" s="31" t="s">
        <v>20</v>
      </c>
      <c r="D17" s="31" t="s">
        <v>58</v>
      </c>
      <c r="E17" s="31" t="s">
        <v>20</v>
      </c>
      <c r="F17" s="31" t="s">
        <v>108</v>
      </c>
      <c r="G17" s="31" t="s">
        <v>8</v>
      </c>
      <c r="H17" s="18">
        <v>13</v>
      </c>
      <c r="I17" s="33">
        <v>13</v>
      </c>
    </row>
    <row r="18" spans="1:9">
      <c r="A18" s="37"/>
      <c r="B18" s="31" t="s">
        <v>34</v>
      </c>
      <c r="C18" s="31" t="s">
        <v>20</v>
      </c>
      <c r="D18" s="31" t="s">
        <v>58</v>
      </c>
      <c r="E18" s="31" t="s">
        <v>20</v>
      </c>
      <c r="F18" s="31" t="s">
        <v>109</v>
      </c>
      <c r="G18" s="31" t="s">
        <v>110</v>
      </c>
      <c r="H18" s="18">
        <v>14</v>
      </c>
      <c r="I18" s="18">
        <v>14</v>
      </c>
    </row>
    <row r="19" spans="1:9">
      <c r="A19" s="37"/>
      <c r="B19" s="31" t="s">
        <v>34</v>
      </c>
      <c r="C19" s="31" t="s">
        <v>20</v>
      </c>
      <c r="D19" s="31" t="s">
        <v>58</v>
      </c>
      <c r="E19" s="31" t="s">
        <v>20</v>
      </c>
      <c r="F19" s="31" t="s">
        <v>111</v>
      </c>
      <c r="G19" s="31" t="s">
        <v>48</v>
      </c>
      <c r="H19" s="18">
        <v>15</v>
      </c>
      <c r="I19" s="32">
        <v>15</v>
      </c>
    </row>
    <row r="20" spans="1:9">
      <c r="A20" s="37"/>
      <c r="B20" s="31" t="s">
        <v>34</v>
      </c>
      <c r="C20" s="31" t="s">
        <v>20</v>
      </c>
      <c r="D20" s="31" t="s">
        <v>58</v>
      </c>
      <c r="E20" s="31" t="s">
        <v>20</v>
      </c>
      <c r="F20" s="31" t="s">
        <v>112</v>
      </c>
      <c r="G20" s="31" t="s">
        <v>50</v>
      </c>
      <c r="H20" s="18">
        <v>16</v>
      </c>
      <c r="I20" s="18">
        <v>16</v>
      </c>
    </row>
    <row r="21" spans="1:9">
      <c r="A21" s="37"/>
      <c r="B21" s="31" t="s">
        <v>34</v>
      </c>
      <c r="C21" s="31" t="s">
        <v>20</v>
      </c>
      <c r="D21" s="31" t="s">
        <v>58</v>
      </c>
      <c r="E21" s="31" t="s">
        <v>20</v>
      </c>
      <c r="F21" s="31" t="s">
        <v>113</v>
      </c>
      <c r="G21" s="31" t="s">
        <v>114</v>
      </c>
      <c r="H21" s="18">
        <v>17</v>
      </c>
      <c r="I21" s="32">
        <v>17</v>
      </c>
    </row>
    <row r="22" spans="1:9">
      <c r="A22" s="37"/>
      <c r="B22" s="31" t="s">
        <v>34</v>
      </c>
      <c r="C22" s="31" t="s">
        <v>20</v>
      </c>
      <c r="D22" s="31" t="s">
        <v>58</v>
      </c>
      <c r="E22" s="31" t="s">
        <v>20</v>
      </c>
      <c r="F22" s="31" t="s">
        <v>115</v>
      </c>
      <c r="G22" s="31" t="s">
        <v>60</v>
      </c>
      <c r="H22" s="18">
        <v>18</v>
      </c>
      <c r="I22" s="18">
        <v>18</v>
      </c>
    </row>
    <row r="23" spans="1:9">
      <c r="A23" s="37"/>
      <c r="B23" s="31" t="s">
        <v>34</v>
      </c>
      <c r="C23" s="31" t="s">
        <v>20</v>
      </c>
      <c r="D23" s="31" t="s">
        <v>58</v>
      </c>
      <c r="E23" s="31" t="s">
        <v>20</v>
      </c>
      <c r="F23" s="31" t="s">
        <v>116</v>
      </c>
      <c r="G23" s="31" t="s">
        <v>9</v>
      </c>
      <c r="H23" s="18">
        <v>19</v>
      </c>
      <c r="I23" s="32">
        <v>19</v>
      </c>
    </row>
    <row r="24" spans="1:9">
      <c r="A24" s="37"/>
      <c r="B24" s="31" t="s">
        <v>34</v>
      </c>
      <c r="C24" s="31" t="s">
        <v>20</v>
      </c>
      <c r="D24" s="31" t="s">
        <v>58</v>
      </c>
      <c r="E24" s="31" t="s">
        <v>20</v>
      </c>
      <c r="F24" s="31" t="s">
        <v>117</v>
      </c>
      <c r="G24" s="31" t="s">
        <v>47</v>
      </c>
      <c r="H24" s="18">
        <v>20</v>
      </c>
      <c r="I24" s="18">
        <v>20</v>
      </c>
    </row>
    <row r="25" spans="1:9">
      <c r="A25" s="37"/>
      <c r="B25" s="31" t="s">
        <v>34</v>
      </c>
      <c r="C25" s="31" t="s">
        <v>20</v>
      </c>
      <c r="D25" s="31" t="s">
        <v>58</v>
      </c>
      <c r="E25" s="31" t="s">
        <v>20</v>
      </c>
      <c r="F25" s="31" t="s">
        <v>118</v>
      </c>
      <c r="G25" s="31" t="s">
        <v>15</v>
      </c>
      <c r="H25" s="18">
        <v>21</v>
      </c>
      <c r="I25" s="32">
        <v>21</v>
      </c>
    </row>
    <row r="26" spans="1:9">
      <c r="A26" s="37"/>
      <c r="B26" s="31" t="s">
        <v>36</v>
      </c>
      <c r="C26" s="31" t="s">
        <v>7</v>
      </c>
      <c r="D26" s="31" t="s">
        <v>10</v>
      </c>
      <c r="E26" s="31" t="s">
        <v>13</v>
      </c>
      <c r="F26" s="31" t="s">
        <v>119</v>
      </c>
      <c r="G26" s="31" t="s">
        <v>45</v>
      </c>
      <c r="H26" s="18">
        <v>1</v>
      </c>
      <c r="I26" s="18">
        <v>22</v>
      </c>
    </row>
    <row r="27" spans="1:9">
      <c r="A27" s="37"/>
      <c r="B27" s="31" t="s">
        <v>36</v>
      </c>
      <c r="C27" s="31" t="s">
        <v>7</v>
      </c>
      <c r="D27" s="31" t="s">
        <v>10</v>
      </c>
      <c r="E27" s="31" t="s">
        <v>13</v>
      </c>
      <c r="F27" s="31" t="s">
        <v>120</v>
      </c>
      <c r="G27" s="31" t="s">
        <v>121</v>
      </c>
      <c r="H27" s="18">
        <v>2</v>
      </c>
      <c r="I27" s="32">
        <v>23</v>
      </c>
    </row>
    <row r="28" spans="1:9">
      <c r="A28" s="37"/>
      <c r="B28" s="31" t="s">
        <v>36</v>
      </c>
      <c r="C28" s="31" t="s">
        <v>7</v>
      </c>
      <c r="D28" s="31" t="s">
        <v>10</v>
      </c>
      <c r="E28" s="31" t="s">
        <v>13</v>
      </c>
      <c r="F28" s="31" t="s">
        <v>122</v>
      </c>
      <c r="G28" s="31" t="s">
        <v>102</v>
      </c>
      <c r="H28" s="18">
        <v>3</v>
      </c>
      <c r="I28" s="18">
        <v>24</v>
      </c>
    </row>
    <row r="29" spans="1:9">
      <c r="A29" s="37"/>
      <c r="B29" s="31" t="s">
        <v>36</v>
      </c>
      <c r="C29" s="31" t="s">
        <v>7</v>
      </c>
      <c r="D29" s="31" t="s">
        <v>10</v>
      </c>
      <c r="E29" s="31" t="s">
        <v>13</v>
      </c>
      <c r="F29" s="31" t="s">
        <v>123</v>
      </c>
      <c r="G29" s="31" t="s">
        <v>124</v>
      </c>
      <c r="H29" s="18">
        <v>4</v>
      </c>
      <c r="I29" s="32">
        <v>25</v>
      </c>
    </row>
    <row r="30" spans="1:9">
      <c r="A30" s="37"/>
      <c r="B30" s="31" t="s">
        <v>36</v>
      </c>
      <c r="C30" s="31" t="s">
        <v>7</v>
      </c>
      <c r="D30" s="31" t="s">
        <v>10</v>
      </c>
      <c r="E30" s="31" t="s">
        <v>13</v>
      </c>
      <c r="F30" s="31" t="s">
        <v>125</v>
      </c>
      <c r="G30" s="31" t="s">
        <v>27</v>
      </c>
      <c r="H30" s="18">
        <v>5</v>
      </c>
      <c r="I30" s="18">
        <v>26</v>
      </c>
    </row>
    <row r="31" spans="1:9">
      <c r="A31" s="37"/>
      <c r="B31" s="31" t="s">
        <v>36</v>
      </c>
      <c r="C31" s="31" t="s">
        <v>7</v>
      </c>
      <c r="D31" s="31" t="s">
        <v>10</v>
      </c>
      <c r="E31" s="31" t="s">
        <v>13</v>
      </c>
      <c r="F31" s="31" t="s">
        <v>126</v>
      </c>
      <c r="G31" s="31" t="s">
        <v>127</v>
      </c>
      <c r="H31" s="18">
        <v>6</v>
      </c>
      <c r="I31" s="32">
        <v>27</v>
      </c>
    </row>
    <row r="32" spans="1:9">
      <c r="A32" s="37"/>
      <c r="B32" s="31" t="s">
        <v>36</v>
      </c>
      <c r="C32" s="31" t="s">
        <v>7</v>
      </c>
      <c r="D32" s="31" t="s">
        <v>10</v>
      </c>
      <c r="E32" s="31" t="s">
        <v>13</v>
      </c>
      <c r="F32" s="31" t="s">
        <v>128</v>
      </c>
      <c r="G32" s="31" t="s">
        <v>50</v>
      </c>
      <c r="H32" s="18">
        <v>7</v>
      </c>
      <c r="I32" s="18">
        <v>28</v>
      </c>
    </row>
    <row r="33" spans="1:9">
      <c r="A33" s="37"/>
      <c r="B33" s="31" t="s">
        <v>36</v>
      </c>
      <c r="C33" s="31" t="s">
        <v>7</v>
      </c>
      <c r="D33" s="31" t="s">
        <v>10</v>
      </c>
      <c r="E33" s="31" t="s">
        <v>13</v>
      </c>
      <c r="F33" s="31" t="s">
        <v>129</v>
      </c>
      <c r="G33" s="31" t="s">
        <v>61</v>
      </c>
      <c r="H33" s="18">
        <v>8</v>
      </c>
      <c r="I33" s="33">
        <v>29</v>
      </c>
    </row>
    <row r="34" spans="1:9">
      <c r="A34" s="37"/>
      <c r="B34" s="31" t="s">
        <v>36</v>
      </c>
      <c r="C34" s="31" t="s">
        <v>7</v>
      </c>
      <c r="D34" s="31" t="s">
        <v>10</v>
      </c>
      <c r="E34" s="31" t="s">
        <v>13</v>
      </c>
      <c r="F34" s="31" t="s">
        <v>130</v>
      </c>
      <c r="G34" s="31" t="s">
        <v>49</v>
      </c>
      <c r="H34" s="18">
        <v>9</v>
      </c>
      <c r="I34" s="18">
        <v>30</v>
      </c>
    </row>
    <row r="35" spans="1:9">
      <c r="A35" s="37"/>
      <c r="B35" s="31" t="s">
        <v>36</v>
      </c>
      <c r="C35" s="31" t="s">
        <v>7</v>
      </c>
      <c r="D35" s="31" t="s">
        <v>37</v>
      </c>
      <c r="E35" s="31" t="s">
        <v>7</v>
      </c>
      <c r="F35" s="31" t="s">
        <v>131</v>
      </c>
      <c r="G35" s="31" t="s">
        <v>41</v>
      </c>
      <c r="H35" s="18">
        <v>1</v>
      </c>
      <c r="I35" s="34">
        <v>31</v>
      </c>
    </row>
    <row r="36" spans="1:9">
      <c r="A36" s="37"/>
      <c r="B36" s="31" t="s">
        <v>36</v>
      </c>
      <c r="C36" s="31" t="s">
        <v>7</v>
      </c>
      <c r="D36" s="31" t="s">
        <v>37</v>
      </c>
      <c r="E36" s="31" t="s">
        <v>7</v>
      </c>
      <c r="F36" s="31" t="s">
        <v>132</v>
      </c>
      <c r="G36" s="31" t="s">
        <v>66</v>
      </c>
      <c r="H36" s="18">
        <v>2</v>
      </c>
      <c r="I36" s="18">
        <v>32</v>
      </c>
    </row>
    <row r="37" spans="1:9">
      <c r="A37" s="37"/>
      <c r="B37" s="31" t="s">
        <v>36</v>
      </c>
      <c r="C37" s="31" t="s">
        <v>7</v>
      </c>
      <c r="D37" s="31" t="s">
        <v>37</v>
      </c>
      <c r="E37" s="31" t="s">
        <v>7</v>
      </c>
      <c r="F37" s="31" t="s">
        <v>133</v>
      </c>
      <c r="G37" s="31" t="s">
        <v>42</v>
      </c>
      <c r="H37" s="18">
        <v>3</v>
      </c>
      <c r="I37" s="32">
        <v>33</v>
      </c>
    </row>
    <row r="38" spans="1:9">
      <c r="A38" s="37"/>
      <c r="B38" s="31" t="s">
        <v>36</v>
      </c>
      <c r="C38" s="31" t="s">
        <v>7</v>
      </c>
      <c r="D38" s="31" t="s">
        <v>37</v>
      </c>
      <c r="E38" s="31" t="s">
        <v>7</v>
      </c>
      <c r="F38" s="31" t="s">
        <v>134</v>
      </c>
      <c r="G38" s="31" t="s">
        <v>25</v>
      </c>
      <c r="H38" s="18">
        <v>4</v>
      </c>
      <c r="I38" s="18">
        <v>34</v>
      </c>
    </row>
    <row r="39" spans="1:9">
      <c r="A39" s="37"/>
      <c r="B39" s="31" t="s">
        <v>36</v>
      </c>
      <c r="C39" s="31" t="s">
        <v>7</v>
      </c>
      <c r="D39" s="31" t="s">
        <v>37</v>
      </c>
      <c r="E39" s="31" t="s">
        <v>7</v>
      </c>
      <c r="F39" s="31" t="s">
        <v>135</v>
      </c>
      <c r="G39" s="31" t="s">
        <v>136</v>
      </c>
      <c r="H39" s="18">
        <v>5</v>
      </c>
      <c r="I39" s="32">
        <v>35</v>
      </c>
    </row>
    <row r="40" spans="1:9">
      <c r="A40" s="37"/>
      <c r="B40" s="31" t="s">
        <v>36</v>
      </c>
      <c r="C40" s="31" t="s">
        <v>7</v>
      </c>
      <c r="D40" s="31" t="s">
        <v>37</v>
      </c>
      <c r="E40" s="31" t="s">
        <v>7</v>
      </c>
      <c r="F40" s="31" t="s">
        <v>137</v>
      </c>
      <c r="G40" s="31" t="s">
        <v>138</v>
      </c>
      <c r="H40" s="18">
        <v>6</v>
      </c>
      <c r="I40" s="18">
        <v>36</v>
      </c>
    </row>
    <row r="41" spans="1:9">
      <c r="A41" s="37"/>
      <c r="B41" s="31" t="s">
        <v>36</v>
      </c>
      <c r="C41" s="31" t="s">
        <v>7</v>
      </c>
      <c r="D41" s="31" t="s">
        <v>37</v>
      </c>
      <c r="E41" s="31" t="s">
        <v>7</v>
      </c>
      <c r="F41" s="31" t="s">
        <v>139</v>
      </c>
      <c r="G41" s="31" t="s">
        <v>140</v>
      </c>
      <c r="H41" s="18">
        <v>7</v>
      </c>
      <c r="I41" s="32">
        <v>37</v>
      </c>
    </row>
    <row r="42" spans="1:9">
      <c r="A42" s="37"/>
      <c r="B42" s="31" t="s">
        <v>36</v>
      </c>
      <c r="C42" s="31" t="s">
        <v>7</v>
      </c>
      <c r="D42" s="31" t="s">
        <v>37</v>
      </c>
      <c r="E42" s="31" t="s">
        <v>7</v>
      </c>
      <c r="F42" s="31" t="s">
        <v>141</v>
      </c>
      <c r="G42" s="31" t="s">
        <v>21</v>
      </c>
      <c r="H42" s="18">
        <v>8</v>
      </c>
      <c r="I42" s="34">
        <v>38</v>
      </c>
    </row>
    <row r="43" spans="1:9">
      <c r="A43" s="44">
        <v>2</v>
      </c>
      <c r="B43" s="31" t="s">
        <v>41</v>
      </c>
      <c r="C43" s="31" t="s">
        <v>30</v>
      </c>
      <c r="D43" s="31" t="s">
        <v>36</v>
      </c>
      <c r="E43" s="31" t="s">
        <v>30</v>
      </c>
      <c r="F43" s="31" t="s">
        <v>142</v>
      </c>
      <c r="G43" s="31" t="s">
        <v>124</v>
      </c>
      <c r="H43" s="18">
        <v>1</v>
      </c>
      <c r="I43" s="32">
        <v>1</v>
      </c>
    </row>
    <row r="44" spans="1:9">
      <c r="A44" s="44"/>
      <c r="B44" s="31" t="s">
        <v>41</v>
      </c>
      <c r="C44" s="31" t="s">
        <v>30</v>
      </c>
      <c r="D44" s="31" t="s">
        <v>36</v>
      </c>
      <c r="E44" s="31" t="s">
        <v>30</v>
      </c>
      <c r="F44" s="31" t="s">
        <v>143</v>
      </c>
      <c r="G44" s="31" t="s">
        <v>9</v>
      </c>
      <c r="H44" s="18">
        <v>2</v>
      </c>
      <c r="I44" s="33">
        <v>2</v>
      </c>
    </row>
    <row r="45" spans="1:9">
      <c r="A45" s="44"/>
      <c r="B45" s="31" t="s">
        <v>41</v>
      </c>
      <c r="C45" s="31" t="s">
        <v>30</v>
      </c>
      <c r="D45" s="31" t="s">
        <v>36</v>
      </c>
      <c r="E45" s="31" t="s">
        <v>30</v>
      </c>
      <c r="F45" s="31" t="s">
        <v>144</v>
      </c>
      <c r="G45" s="31" t="s">
        <v>140</v>
      </c>
      <c r="H45" s="18">
        <v>3</v>
      </c>
      <c r="I45" s="32">
        <v>3</v>
      </c>
    </row>
    <row r="46" spans="1:9">
      <c r="A46" s="44"/>
      <c r="B46" s="31" t="s">
        <v>41</v>
      </c>
      <c r="C46" s="31" t="s">
        <v>30</v>
      </c>
      <c r="D46" s="31" t="s">
        <v>36</v>
      </c>
      <c r="E46" s="31" t="s">
        <v>30</v>
      </c>
      <c r="F46" s="31" t="s">
        <v>145</v>
      </c>
      <c r="G46" s="31" t="s">
        <v>53</v>
      </c>
      <c r="H46" s="18">
        <v>4</v>
      </c>
      <c r="I46" s="18">
        <v>4</v>
      </c>
    </row>
    <row r="47" spans="1:9">
      <c r="A47" s="44"/>
      <c r="B47" s="31" t="s">
        <v>41</v>
      </c>
      <c r="C47" s="31" t="s">
        <v>30</v>
      </c>
      <c r="D47" s="31" t="s">
        <v>36</v>
      </c>
      <c r="E47" s="31" t="s">
        <v>30</v>
      </c>
      <c r="F47" s="31" t="s">
        <v>146</v>
      </c>
      <c r="G47" s="31" t="s">
        <v>136</v>
      </c>
      <c r="H47" s="18">
        <v>5</v>
      </c>
      <c r="I47" s="33">
        <v>5</v>
      </c>
    </row>
    <row r="48" spans="1:9">
      <c r="A48" s="44"/>
      <c r="B48" s="31" t="s">
        <v>35</v>
      </c>
      <c r="C48" s="31" t="s">
        <v>43</v>
      </c>
      <c r="D48" s="31" t="s">
        <v>41</v>
      </c>
      <c r="E48" s="31" t="s">
        <v>43</v>
      </c>
      <c r="F48" s="31" t="s">
        <v>147</v>
      </c>
      <c r="G48" s="31" t="s">
        <v>66</v>
      </c>
      <c r="H48" s="18">
        <v>1</v>
      </c>
      <c r="I48" s="18">
        <v>6</v>
      </c>
    </row>
    <row r="49" spans="1:9">
      <c r="A49" s="44"/>
      <c r="B49" s="31" t="s">
        <v>35</v>
      </c>
      <c r="C49" s="31" t="s">
        <v>43</v>
      </c>
      <c r="D49" s="31" t="s">
        <v>41</v>
      </c>
      <c r="E49" s="31" t="s">
        <v>43</v>
      </c>
      <c r="F49" s="31" t="s">
        <v>148</v>
      </c>
      <c r="G49" s="31" t="s">
        <v>37</v>
      </c>
      <c r="H49" s="18">
        <v>2</v>
      </c>
      <c r="I49" s="32">
        <v>7</v>
      </c>
    </row>
    <row r="50" spans="1:9">
      <c r="A50" s="44"/>
      <c r="B50" s="31" t="s">
        <v>35</v>
      </c>
      <c r="C50" s="31" t="s">
        <v>43</v>
      </c>
      <c r="D50" s="31" t="s">
        <v>41</v>
      </c>
      <c r="E50" s="31" t="s">
        <v>43</v>
      </c>
      <c r="F50" s="31" t="s">
        <v>43</v>
      </c>
      <c r="G50" s="31" t="s">
        <v>55</v>
      </c>
      <c r="H50" s="18">
        <v>3</v>
      </c>
      <c r="I50" s="34">
        <v>8</v>
      </c>
    </row>
    <row r="51" spans="1:9">
      <c r="A51" s="44"/>
      <c r="B51" s="31" t="s">
        <v>35</v>
      </c>
      <c r="C51" s="31" t="s">
        <v>43</v>
      </c>
      <c r="D51" s="31" t="s">
        <v>41</v>
      </c>
      <c r="E51" s="31" t="s">
        <v>43</v>
      </c>
      <c r="F51" s="31" t="s">
        <v>149</v>
      </c>
      <c r="G51" s="31" t="s">
        <v>24</v>
      </c>
      <c r="H51" s="18">
        <v>4</v>
      </c>
      <c r="I51" s="32">
        <v>9</v>
      </c>
    </row>
    <row r="52" spans="1:9">
      <c r="A52" s="44"/>
      <c r="B52" s="31" t="s">
        <v>35</v>
      </c>
      <c r="C52" s="31" t="s">
        <v>43</v>
      </c>
      <c r="D52" s="31" t="s">
        <v>41</v>
      </c>
      <c r="E52" s="31" t="s">
        <v>43</v>
      </c>
      <c r="F52" s="31" t="s">
        <v>46</v>
      </c>
      <c r="G52" s="31" t="s">
        <v>33</v>
      </c>
      <c r="H52" s="18">
        <v>5</v>
      </c>
      <c r="I52" s="18">
        <v>10</v>
      </c>
    </row>
    <row r="53" spans="1:9">
      <c r="A53" s="44"/>
      <c r="B53" s="31" t="s">
        <v>35</v>
      </c>
      <c r="C53" s="31" t="s">
        <v>43</v>
      </c>
      <c r="D53" s="31" t="s">
        <v>41</v>
      </c>
      <c r="E53" s="31" t="s">
        <v>43</v>
      </c>
      <c r="F53" s="31" t="s">
        <v>150</v>
      </c>
      <c r="G53" s="31" t="s">
        <v>58</v>
      </c>
      <c r="H53" s="18">
        <v>6</v>
      </c>
      <c r="I53" s="32">
        <v>11</v>
      </c>
    </row>
    <row r="54" spans="1:9">
      <c r="A54" s="44"/>
      <c r="B54" s="31" t="s">
        <v>35</v>
      </c>
      <c r="C54" s="31" t="s">
        <v>43</v>
      </c>
      <c r="D54" s="31" t="s">
        <v>34</v>
      </c>
      <c r="E54" s="31" t="s">
        <v>44</v>
      </c>
      <c r="F54" s="31" t="s">
        <v>151</v>
      </c>
      <c r="G54" s="31" t="s">
        <v>57</v>
      </c>
      <c r="H54" s="18">
        <v>1</v>
      </c>
      <c r="I54" s="18">
        <v>12</v>
      </c>
    </row>
    <row r="55" spans="1:9">
      <c r="A55" s="44"/>
      <c r="B55" s="31" t="s">
        <v>42</v>
      </c>
      <c r="C55" s="31" t="s">
        <v>38</v>
      </c>
      <c r="D55" s="31" t="s">
        <v>35</v>
      </c>
      <c r="E55" s="31" t="s">
        <v>6</v>
      </c>
      <c r="F55" s="31" t="s">
        <v>152</v>
      </c>
      <c r="G55" s="31" t="s">
        <v>24</v>
      </c>
      <c r="H55" s="18">
        <v>1</v>
      </c>
      <c r="I55" s="32">
        <v>13</v>
      </c>
    </row>
    <row r="56" spans="1:9">
      <c r="A56" s="44"/>
      <c r="B56" s="31" t="s">
        <v>42</v>
      </c>
      <c r="C56" s="31" t="s">
        <v>38</v>
      </c>
      <c r="D56" s="31" t="s">
        <v>35</v>
      </c>
      <c r="E56" s="31" t="s">
        <v>6</v>
      </c>
      <c r="F56" s="31" t="s">
        <v>153</v>
      </c>
      <c r="G56" s="31" t="s">
        <v>11</v>
      </c>
      <c r="H56" s="18">
        <v>2</v>
      </c>
      <c r="I56" s="18">
        <v>14</v>
      </c>
    </row>
    <row r="57" spans="1:9">
      <c r="A57" s="44"/>
      <c r="B57" s="31" t="s">
        <v>42</v>
      </c>
      <c r="C57" s="31" t="s">
        <v>38</v>
      </c>
      <c r="D57" s="31" t="s">
        <v>42</v>
      </c>
      <c r="E57" s="31" t="s">
        <v>38</v>
      </c>
      <c r="F57" s="31" t="s">
        <v>154</v>
      </c>
      <c r="G57" s="31" t="s">
        <v>31</v>
      </c>
      <c r="H57" s="18">
        <v>1</v>
      </c>
      <c r="I57" s="32">
        <v>15</v>
      </c>
    </row>
    <row r="58" spans="1:9">
      <c r="A58" s="44"/>
      <c r="B58" s="31" t="s">
        <v>42</v>
      </c>
      <c r="C58" s="31" t="s">
        <v>38</v>
      </c>
      <c r="D58" s="31" t="s">
        <v>42</v>
      </c>
      <c r="E58" s="31" t="s">
        <v>38</v>
      </c>
      <c r="F58" s="31" t="s">
        <v>155</v>
      </c>
      <c r="G58" s="31" t="s">
        <v>26</v>
      </c>
      <c r="H58" s="18">
        <v>2</v>
      </c>
      <c r="I58" s="18">
        <v>16</v>
      </c>
    </row>
    <row r="59" spans="1:9">
      <c r="A59" s="44"/>
      <c r="B59" s="31" t="s">
        <v>42</v>
      </c>
      <c r="C59" s="31" t="s">
        <v>38</v>
      </c>
      <c r="D59" s="31" t="s">
        <v>42</v>
      </c>
      <c r="E59" s="31" t="s">
        <v>38</v>
      </c>
      <c r="F59" s="31" t="s">
        <v>156</v>
      </c>
      <c r="G59" s="31" t="s">
        <v>63</v>
      </c>
      <c r="H59" s="18">
        <v>3</v>
      </c>
      <c r="I59" s="32">
        <v>17</v>
      </c>
    </row>
    <row r="60" spans="1:9">
      <c r="A60" s="44"/>
      <c r="B60" s="31" t="s">
        <v>42</v>
      </c>
      <c r="C60" s="31" t="s">
        <v>38</v>
      </c>
      <c r="D60" s="31" t="s">
        <v>42</v>
      </c>
      <c r="E60" s="31" t="s">
        <v>38</v>
      </c>
      <c r="F60" s="31" t="s">
        <v>157</v>
      </c>
      <c r="G60" s="31" t="s">
        <v>19</v>
      </c>
      <c r="H60" s="18">
        <v>4</v>
      </c>
      <c r="I60" s="18">
        <v>18</v>
      </c>
    </row>
    <row r="61" spans="1:9">
      <c r="A61" s="44"/>
      <c r="B61" s="31" t="s">
        <v>42</v>
      </c>
      <c r="C61" s="31" t="s">
        <v>38</v>
      </c>
      <c r="D61" s="31" t="s">
        <v>42</v>
      </c>
      <c r="E61" s="31" t="s">
        <v>38</v>
      </c>
      <c r="F61" s="31" t="s">
        <v>39</v>
      </c>
      <c r="G61" s="31" t="s">
        <v>57</v>
      </c>
      <c r="H61" s="18">
        <v>5</v>
      </c>
      <c r="I61" s="32">
        <v>19</v>
      </c>
    </row>
    <row r="62" spans="1:9">
      <c r="A62" s="44"/>
      <c r="B62" s="31" t="s">
        <v>42</v>
      </c>
      <c r="C62" s="31" t="s">
        <v>38</v>
      </c>
      <c r="D62" s="31" t="s">
        <v>42</v>
      </c>
      <c r="E62" s="31" t="s">
        <v>38</v>
      </c>
      <c r="F62" s="31" t="s">
        <v>135</v>
      </c>
      <c r="G62" s="31" t="s">
        <v>25</v>
      </c>
      <c r="H62" s="18">
        <v>6</v>
      </c>
      <c r="I62" s="18">
        <v>20</v>
      </c>
    </row>
    <row r="63" spans="1:9">
      <c r="A63" s="44"/>
      <c r="B63" s="31" t="s">
        <v>42</v>
      </c>
      <c r="C63" s="31" t="s">
        <v>38</v>
      </c>
      <c r="D63" s="31" t="s">
        <v>42</v>
      </c>
      <c r="E63" s="31" t="s">
        <v>38</v>
      </c>
      <c r="F63" s="31" t="s">
        <v>158</v>
      </c>
      <c r="G63" s="31" t="s">
        <v>60</v>
      </c>
      <c r="H63" s="18">
        <v>7</v>
      </c>
      <c r="I63" s="32">
        <v>21</v>
      </c>
    </row>
    <row r="64" spans="1:9">
      <c r="A64" s="44"/>
      <c r="B64" s="31" t="s">
        <v>42</v>
      </c>
      <c r="C64" s="31" t="s">
        <v>38</v>
      </c>
      <c r="D64" s="31" t="s">
        <v>42</v>
      </c>
      <c r="E64" s="31" t="s">
        <v>38</v>
      </c>
      <c r="F64" s="31" t="s">
        <v>159</v>
      </c>
      <c r="G64" s="31" t="s">
        <v>53</v>
      </c>
      <c r="H64" s="18">
        <v>8</v>
      </c>
      <c r="I64" s="18">
        <v>22</v>
      </c>
    </row>
    <row r="65" spans="1:9">
      <c r="A65" s="44"/>
      <c r="B65" s="31" t="s">
        <v>42</v>
      </c>
      <c r="C65" s="31" t="s">
        <v>38</v>
      </c>
      <c r="D65" s="31" t="s">
        <v>42</v>
      </c>
      <c r="E65" s="31" t="s">
        <v>38</v>
      </c>
      <c r="F65" s="31" t="s">
        <v>160</v>
      </c>
      <c r="G65" s="31" t="s">
        <v>34</v>
      </c>
      <c r="H65" s="18">
        <v>9</v>
      </c>
      <c r="I65" s="32">
        <v>23</v>
      </c>
    </row>
    <row r="66" spans="1:9">
      <c r="A66" s="44"/>
      <c r="B66" s="31" t="s">
        <v>42</v>
      </c>
      <c r="C66" s="31" t="s">
        <v>38</v>
      </c>
      <c r="D66" s="31" t="s">
        <v>42</v>
      </c>
      <c r="E66" s="31" t="s">
        <v>38</v>
      </c>
      <c r="F66" s="31" t="s">
        <v>161</v>
      </c>
      <c r="G66" s="31" t="s">
        <v>8</v>
      </c>
      <c r="H66" s="18">
        <v>10</v>
      </c>
      <c r="I66" s="18">
        <v>24</v>
      </c>
    </row>
    <row r="67" spans="1:9">
      <c r="A67" s="44"/>
      <c r="B67" s="31" t="s">
        <v>24</v>
      </c>
      <c r="C67" s="31" t="s">
        <v>29</v>
      </c>
      <c r="D67" s="31" t="s">
        <v>24</v>
      </c>
      <c r="E67" s="31" t="s">
        <v>29</v>
      </c>
      <c r="F67" s="31" t="s">
        <v>162</v>
      </c>
      <c r="G67" s="31" t="s">
        <v>66</v>
      </c>
      <c r="H67" s="18">
        <v>1</v>
      </c>
      <c r="I67" s="32">
        <v>25</v>
      </c>
    </row>
    <row r="68" spans="1:9">
      <c r="A68" s="44"/>
      <c r="B68" s="31" t="s">
        <v>24</v>
      </c>
      <c r="C68" s="31" t="s">
        <v>29</v>
      </c>
      <c r="D68" s="31" t="s">
        <v>24</v>
      </c>
      <c r="E68" s="31" t="s">
        <v>29</v>
      </c>
      <c r="F68" s="31" t="s">
        <v>163</v>
      </c>
      <c r="G68" s="31" t="s">
        <v>10</v>
      </c>
      <c r="H68" s="18">
        <v>2</v>
      </c>
      <c r="I68" s="18">
        <v>26</v>
      </c>
    </row>
    <row r="69" spans="1:9">
      <c r="A69" s="44"/>
      <c r="B69" s="31" t="s">
        <v>24</v>
      </c>
      <c r="C69" s="31" t="s">
        <v>29</v>
      </c>
      <c r="D69" s="31" t="s">
        <v>24</v>
      </c>
      <c r="E69" s="31" t="s">
        <v>29</v>
      </c>
      <c r="F69" s="31" t="s">
        <v>32</v>
      </c>
      <c r="G69" s="31" t="s">
        <v>16</v>
      </c>
      <c r="H69" s="18">
        <v>3</v>
      </c>
      <c r="I69" s="32">
        <v>27</v>
      </c>
    </row>
    <row r="70" spans="1:9">
      <c r="A70" s="44"/>
      <c r="B70" s="31" t="s">
        <v>24</v>
      </c>
      <c r="C70" s="31" t="s">
        <v>29</v>
      </c>
      <c r="D70" s="31" t="s">
        <v>24</v>
      </c>
      <c r="E70" s="31" t="s">
        <v>29</v>
      </c>
      <c r="F70" s="31" t="s">
        <v>164</v>
      </c>
      <c r="G70" s="31" t="s">
        <v>45</v>
      </c>
      <c r="H70" s="18">
        <v>4</v>
      </c>
      <c r="I70" s="18">
        <v>28</v>
      </c>
    </row>
    <row r="71" spans="1:9">
      <c r="A71" s="44"/>
      <c r="B71" s="31" t="s">
        <v>24</v>
      </c>
      <c r="C71" s="31" t="s">
        <v>29</v>
      </c>
      <c r="D71" s="31" t="s">
        <v>24</v>
      </c>
      <c r="E71" s="31" t="s">
        <v>29</v>
      </c>
      <c r="F71" s="31" t="s">
        <v>165</v>
      </c>
      <c r="G71" s="31" t="s">
        <v>55</v>
      </c>
      <c r="H71" s="18">
        <v>5</v>
      </c>
      <c r="I71" s="32">
        <v>29</v>
      </c>
    </row>
    <row r="72" spans="1:9">
      <c r="A72" s="44"/>
      <c r="B72" s="31" t="s">
        <v>24</v>
      </c>
      <c r="C72" s="31" t="s">
        <v>29</v>
      </c>
      <c r="D72" s="31" t="s">
        <v>24</v>
      </c>
      <c r="E72" s="31" t="s">
        <v>29</v>
      </c>
      <c r="F72" s="31" t="s">
        <v>29</v>
      </c>
      <c r="G72" s="31" t="s">
        <v>42</v>
      </c>
      <c r="H72" s="18">
        <v>6</v>
      </c>
      <c r="I72" s="34">
        <v>30</v>
      </c>
    </row>
    <row r="73" spans="1:9">
      <c r="A73" s="46"/>
      <c r="B73" s="31" t="s">
        <v>10</v>
      </c>
      <c r="C73" s="31" t="s">
        <v>64</v>
      </c>
      <c r="D73" s="31" t="s">
        <v>11</v>
      </c>
      <c r="E73" s="31" t="s">
        <v>64</v>
      </c>
      <c r="F73" s="31" t="s">
        <v>65</v>
      </c>
      <c r="G73" s="31" t="s">
        <v>58</v>
      </c>
      <c r="H73" s="18">
        <v>1</v>
      </c>
      <c r="I73" s="18">
        <v>1</v>
      </c>
    </row>
    <row r="74" spans="1:9">
      <c r="A74" s="46"/>
      <c r="B74" s="31" t="s">
        <v>10</v>
      </c>
      <c r="C74" s="31" t="s">
        <v>64</v>
      </c>
      <c r="D74" s="31" t="s">
        <v>11</v>
      </c>
      <c r="E74" s="31" t="s">
        <v>64</v>
      </c>
      <c r="F74" s="31" t="s">
        <v>166</v>
      </c>
      <c r="G74" s="31" t="s">
        <v>25</v>
      </c>
      <c r="H74" s="18">
        <v>2</v>
      </c>
      <c r="I74" s="18">
        <v>2</v>
      </c>
    </row>
    <row r="75" spans="1:9">
      <c r="A75" s="46"/>
      <c r="B75" s="31" t="s">
        <v>10</v>
      </c>
      <c r="C75" s="31" t="s">
        <v>64</v>
      </c>
      <c r="D75" s="31" t="s">
        <v>11</v>
      </c>
      <c r="E75" s="31" t="s">
        <v>64</v>
      </c>
      <c r="F75" s="31" t="s">
        <v>64</v>
      </c>
      <c r="G75" s="31" t="s">
        <v>24</v>
      </c>
      <c r="H75" s="18">
        <v>3</v>
      </c>
      <c r="I75" s="18">
        <v>3</v>
      </c>
    </row>
    <row r="76" spans="1:9">
      <c r="A76" s="46"/>
      <c r="B76" s="31" t="s">
        <v>10</v>
      </c>
      <c r="C76" s="31" t="s">
        <v>64</v>
      </c>
      <c r="D76" s="31" t="s">
        <v>11</v>
      </c>
      <c r="E76" s="31" t="s">
        <v>64</v>
      </c>
      <c r="F76" s="31" t="s">
        <v>167</v>
      </c>
      <c r="G76" s="31" t="s">
        <v>11</v>
      </c>
      <c r="H76" s="18">
        <v>4</v>
      </c>
      <c r="I76" s="18">
        <v>4</v>
      </c>
    </row>
    <row r="77" spans="1:9">
      <c r="A77" s="46"/>
      <c r="B77" s="31" t="s">
        <v>10</v>
      </c>
      <c r="C77" s="31" t="s">
        <v>64</v>
      </c>
      <c r="D77" s="31" t="s">
        <v>11</v>
      </c>
      <c r="E77" s="31" t="s">
        <v>64</v>
      </c>
      <c r="F77" s="31" t="s">
        <v>168</v>
      </c>
      <c r="G77" s="31" t="s">
        <v>10</v>
      </c>
      <c r="H77" s="18">
        <v>5</v>
      </c>
      <c r="I77" s="18">
        <v>5</v>
      </c>
    </row>
    <row r="78" spans="1:9">
      <c r="A78" s="46"/>
      <c r="B78" s="31" t="s">
        <v>58</v>
      </c>
      <c r="C78" s="31" t="s">
        <v>44</v>
      </c>
      <c r="D78" s="31" t="s">
        <v>24</v>
      </c>
      <c r="E78" s="31" t="s">
        <v>29</v>
      </c>
      <c r="F78" s="31" t="s">
        <v>131</v>
      </c>
      <c r="G78" s="31" t="s">
        <v>10</v>
      </c>
      <c r="H78" s="18">
        <v>1</v>
      </c>
      <c r="I78" s="18">
        <v>6</v>
      </c>
    </row>
    <row r="79" spans="1:9">
      <c r="A79" s="46"/>
      <c r="B79" s="31" t="s">
        <v>58</v>
      </c>
      <c r="C79" s="31" t="s">
        <v>44</v>
      </c>
      <c r="D79" s="31" t="s">
        <v>34</v>
      </c>
      <c r="E79" s="31" t="s">
        <v>44</v>
      </c>
      <c r="F79" s="31" t="s">
        <v>169</v>
      </c>
      <c r="G79" s="31" t="s">
        <v>26</v>
      </c>
      <c r="H79" s="18">
        <v>1</v>
      </c>
      <c r="I79" s="18">
        <v>7</v>
      </c>
    </row>
    <row r="80" spans="1:9">
      <c r="A80" s="46"/>
      <c r="B80" s="31" t="s">
        <v>58</v>
      </c>
      <c r="C80" s="31" t="s">
        <v>44</v>
      </c>
      <c r="D80" s="31" t="s">
        <v>34</v>
      </c>
      <c r="E80" s="31" t="s">
        <v>44</v>
      </c>
      <c r="F80" s="31" t="s">
        <v>170</v>
      </c>
      <c r="G80" s="31" t="s">
        <v>48</v>
      </c>
      <c r="H80" s="18">
        <v>2</v>
      </c>
      <c r="I80" s="18">
        <v>8</v>
      </c>
    </row>
    <row r="81" spans="1:9">
      <c r="A81" s="46"/>
      <c r="B81" s="31" t="s">
        <v>58</v>
      </c>
      <c r="C81" s="31" t="s">
        <v>44</v>
      </c>
      <c r="D81" s="31" t="s">
        <v>34</v>
      </c>
      <c r="E81" s="31" t="s">
        <v>44</v>
      </c>
      <c r="F81" s="31" t="s">
        <v>171</v>
      </c>
      <c r="G81" s="31" t="s">
        <v>15</v>
      </c>
      <c r="H81" s="18">
        <v>3</v>
      </c>
      <c r="I81" s="18">
        <v>9</v>
      </c>
    </row>
    <row r="82" spans="1:9">
      <c r="A82" s="46"/>
      <c r="B82" s="31" t="s">
        <v>58</v>
      </c>
      <c r="C82" s="31" t="s">
        <v>44</v>
      </c>
      <c r="D82" s="31" t="s">
        <v>34</v>
      </c>
      <c r="E82" s="31" t="s">
        <v>44</v>
      </c>
      <c r="F82" s="31" t="s">
        <v>172</v>
      </c>
      <c r="G82" s="31" t="s">
        <v>24</v>
      </c>
      <c r="H82" s="18">
        <v>4</v>
      </c>
      <c r="I82" s="18">
        <v>10</v>
      </c>
    </row>
    <row r="83" spans="1:9">
      <c r="A83" s="46"/>
      <c r="B83" s="31" t="s">
        <v>58</v>
      </c>
      <c r="C83" s="31" t="s">
        <v>44</v>
      </c>
      <c r="D83" s="31" t="s">
        <v>34</v>
      </c>
      <c r="E83" s="31" t="s">
        <v>44</v>
      </c>
      <c r="F83" s="31" t="s">
        <v>173</v>
      </c>
      <c r="G83" s="31" t="s">
        <v>19</v>
      </c>
      <c r="H83" s="18">
        <v>5</v>
      </c>
      <c r="I83" s="18">
        <v>11</v>
      </c>
    </row>
    <row r="84" spans="1:9">
      <c r="A84" s="46"/>
      <c r="B84" s="31" t="s">
        <v>58</v>
      </c>
      <c r="C84" s="31" t="s">
        <v>44</v>
      </c>
      <c r="D84" s="31" t="s">
        <v>34</v>
      </c>
      <c r="E84" s="31" t="s">
        <v>44</v>
      </c>
      <c r="F84" s="31" t="s">
        <v>174</v>
      </c>
      <c r="G84" s="31" t="s">
        <v>175</v>
      </c>
      <c r="H84" s="18">
        <v>6</v>
      </c>
      <c r="I84" s="18">
        <v>12</v>
      </c>
    </row>
    <row r="85" spans="1:9">
      <c r="A85" s="46"/>
      <c r="B85" s="31" t="s">
        <v>37</v>
      </c>
      <c r="C85" s="31" t="s">
        <v>6</v>
      </c>
      <c r="D85" s="31" t="s">
        <v>35</v>
      </c>
      <c r="E85" s="31" t="s">
        <v>6</v>
      </c>
      <c r="F85" s="31" t="s">
        <v>130</v>
      </c>
      <c r="G85" s="31" t="s">
        <v>31</v>
      </c>
      <c r="H85" s="18">
        <v>1</v>
      </c>
      <c r="I85" s="18">
        <v>13</v>
      </c>
    </row>
    <row r="86" spans="1:9">
      <c r="A86" s="46"/>
      <c r="B86" s="31" t="s">
        <v>37</v>
      </c>
      <c r="C86" s="31" t="s">
        <v>6</v>
      </c>
      <c r="D86" s="31" t="s">
        <v>35</v>
      </c>
      <c r="E86" s="31" t="s">
        <v>6</v>
      </c>
      <c r="F86" s="31" t="s">
        <v>176</v>
      </c>
      <c r="G86" s="31" t="s">
        <v>25</v>
      </c>
      <c r="H86" s="18">
        <v>2</v>
      </c>
      <c r="I86" s="18">
        <v>14</v>
      </c>
    </row>
    <row r="87" spans="1:9">
      <c r="A87" s="46"/>
      <c r="B87" s="31" t="s">
        <v>37</v>
      </c>
      <c r="C87" s="31" t="s">
        <v>6</v>
      </c>
      <c r="D87" s="31" t="s">
        <v>35</v>
      </c>
      <c r="E87" s="31" t="s">
        <v>6</v>
      </c>
      <c r="F87" s="31" t="s">
        <v>177</v>
      </c>
      <c r="G87" s="31" t="s">
        <v>23</v>
      </c>
      <c r="H87" s="18">
        <v>3</v>
      </c>
      <c r="I87" s="34">
        <v>15</v>
      </c>
    </row>
    <row r="88" spans="1:9">
      <c r="A88" s="46"/>
      <c r="B88" s="31" t="s">
        <v>37</v>
      </c>
      <c r="C88" s="31" t="s">
        <v>6</v>
      </c>
      <c r="D88" s="31" t="s">
        <v>35</v>
      </c>
      <c r="E88" s="31" t="s">
        <v>6</v>
      </c>
      <c r="F88" s="31" t="s">
        <v>178</v>
      </c>
      <c r="G88" s="31" t="s">
        <v>33</v>
      </c>
      <c r="H88" s="18">
        <v>4</v>
      </c>
      <c r="I88" s="18">
        <v>16</v>
      </c>
    </row>
    <row r="89" spans="1:9">
      <c r="A89" s="46"/>
      <c r="B89" s="31" t="s">
        <v>37</v>
      </c>
      <c r="C89" s="31" t="s">
        <v>6</v>
      </c>
      <c r="D89" s="31" t="s">
        <v>35</v>
      </c>
      <c r="E89" s="31" t="s">
        <v>6</v>
      </c>
      <c r="F89" s="31" t="s">
        <v>179</v>
      </c>
      <c r="G89" s="31" t="s">
        <v>180</v>
      </c>
      <c r="H89" s="18">
        <v>5</v>
      </c>
      <c r="I89" s="18">
        <v>17</v>
      </c>
    </row>
    <row r="90" spans="1:9">
      <c r="A90" s="46"/>
      <c r="B90" s="31" t="s">
        <v>37</v>
      </c>
      <c r="C90" s="31" t="s">
        <v>6</v>
      </c>
      <c r="D90" s="31" t="s">
        <v>35</v>
      </c>
      <c r="E90" s="31" t="s">
        <v>6</v>
      </c>
      <c r="F90" s="31" t="s">
        <v>181</v>
      </c>
      <c r="G90" s="31" t="s">
        <v>53</v>
      </c>
      <c r="H90" s="18">
        <v>6</v>
      </c>
      <c r="I90" s="18">
        <v>18</v>
      </c>
    </row>
    <row r="91" spans="1:9">
      <c r="A91" s="46"/>
      <c r="B91" s="31" t="s">
        <v>37</v>
      </c>
      <c r="C91" s="31" t="s">
        <v>6</v>
      </c>
      <c r="D91" s="31" t="s">
        <v>35</v>
      </c>
      <c r="E91" s="31" t="s">
        <v>6</v>
      </c>
      <c r="F91" s="31" t="s">
        <v>62</v>
      </c>
      <c r="G91" s="31" t="s">
        <v>55</v>
      </c>
      <c r="H91" s="18">
        <v>7</v>
      </c>
      <c r="I91" s="18">
        <v>19</v>
      </c>
    </row>
    <row r="92" spans="1:9">
      <c r="A92" s="46"/>
      <c r="B92" s="31" t="s">
        <v>37</v>
      </c>
      <c r="C92" s="31" t="s">
        <v>6</v>
      </c>
      <c r="D92" s="31" t="s">
        <v>35</v>
      </c>
      <c r="E92" s="31" t="s">
        <v>6</v>
      </c>
      <c r="F92" s="31" t="s">
        <v>182</v>
      </c>
      <c r="G92" s="31" t="s">
        <v>48</v>
      </c>
      <c r="H92" s="18">
        <v>8</v>
      </c>
      <c r="I92" s="18">
        <v>20</v>
      </c>
    </row>
    <row r="93" spans="1:9">
      <c r="A93" s="46"/>
      <c r="B93" s="31" t="s">
        <v>37</v>
      </c>
      <c r="C93" s="31" t="s">
        <v>6</v>
      </c>
      <c r="D93" s="31" t="s">
        <v>35</v>
      </c>
      <c r="E93" s="31" t="s">
        <v>6</v>
      </c>
      <c r="F93" s="31" t="s">
        <v>183</v>
      </c>
      <c r="G93" s="31" t="s">
        <v>37</v>
      </c>
      <c r="H93" s="18">
        <v>9</v>
      </c>
      <c r="I93" s="18">
        <v>21</v>
      </c>
    </row>
    <row r="94" spans="1:9">
      <c r="A94" s="46"/>
      <c r="B94" s="31" t="s">
        <v>37</v>
      </c>
      <c r="C94" s="31" t="s">
        <v>6</v>
      </c>
      <c r="D94" s="31" t="s">
        <v>35</v>
      </c>
      <c r="E94" s="31" t="s">
        <v>6</v>
      </c>
      <c r="F94" s="31" t="s">
        <v>184</v>
      </c>
      <c r="G94" s="31" t="s">
        <v>27</v>
      </c>
      <c r="H94" s="18">
        <v>10</v>
      </c>
      <c r="I94" s="18">
        <v>22</v>
      </c>
    </row>
    <row r="95" spans="1:9">
      <c r="A95" s="46"/>
      <c r="B95" s="31" t="s">
        <v>37</v>
      </c>
      <c r="C95" s="31" t="s">
        <v>6</v>
      </c>
      <c r="D95" s="31" t="s">
        <v>35</v>
      </c>
      <c r="E95" s="31" t="s">
        <v>6</v>
      </c>
      <c r="F95" s="31" t="s">
        <v>185</v>
      </c>
      <c r="G95" s="31" t="s">
        <v>66</v>
      </c>
      <c r="H95" s="18">
        <v>11</v>
      </c>
      <c r="I95" s="18">
        <v>23</v>
      </c>
    </row>
    <row r="96" spans="1:9">
      <c r="A96" s="46"/>
      <c r="B96" s="31" t="s">
        <v>11</v>
      </c>
      <c r="C96" s="31" t="s">
        <v>13</v>
      </c>
      <c r="D96" s="31" t="s">
        <v>47</v>
      </c>
      <c r="E96" s="31" t="s">
        <v>54</v>
      </c>
      <c r="F96" s="31" t="s">
        <v>186</v>
      </c>
      <c r="G96" s="31" t="s">
        <v>187</v>
      </c>
      <c r="H96" s="18">
        <v>1</v>
      </c>
      <c r="I96" s="18">
        <v>24</v>
      </c>
    </row>
    <row r="97" spans="1:9">
      <c r="A97" s="46"/>
      <c r="B97" s="31" t="s">
        <v>11</v>
      </c>
      <c r="C97" s="31" t="s">
        <v>13</v>
      </c>
      <c r="D97" s="31" t="s">
        <v>47</v>
      </c>
      <c r="E97" s="31" t="s">
        <v>54</v>
      </c>
      <c r="F97" s="31" t="s">
        <v>56</v>
      </c>
      <c r="G97" s="31" t="s">
        <v>138</v>
      </c>
      <c r="H97" s="18">
        <v>2</v>
      </c>
      <c r="I97" s="18">
        <v>25</v>
      </c>
    </row>
    <row r="98" spans="1:9">
      <c r="A98" s="46"/>
      <c r="B98" s="31" t="s">
        <v>11</v>
      </c>
      <c r="C98" s="31" t="s">
        <v>13</v>
      </c>
      <c r="D98" s="31" t="s">
        <v>47</v>
      </c>
      <c r="E98" s="31" t="s">
        <v>54</v>
      </c>
      <c r="F98" s="31" t="s">
        <v>188</v>
      </c>
      <c r="G98" s="31" t="s">
        <v>189</v>
      </c>
      <c r="H98" s="18">
        <v>3</v>
      </c>
      <c r="I98" s="18">
        <v>26</v>
      </c>
    </row>
    <row r="99" spans="1:9">
      <c r="A99" s="46"/>
      <c r="B99" s="31" t="s">
        <v>11</v>
      </c>
      <c r="C99" s="31" t="s">
        <v>13</v>
      </c>
      <c r="D99" s="31" t="s">
        <v>47</v>
      </c>
      <c r="E99" s="31" t="s">
        <v>54</v>
      </c>
      <c r="F99" s="31" t="s">
        <v>190</v>
      </c>
      <c r="G99" s="31" t="s">
        <v>191</v>
      </c>
      <c r="H99" s="18">
        <v>4</v>
      </c>
      <c r="I99" s="18">
        <v>27</v>
      </c>
    </row>
    <row r="100" spans="1:9">
      <c r="A100" s="46"/>
      <c r="B100" s="31" t="s">
        <v>11</v>
      </c>
      <c r="C100" s="31" t="s">
        <v>13</v>
      </c>
      <c r="D100" s="31" t="s">
        <v>47</v>
      </c>
      <c r="E100" s="31" t="s">
        <v>54</v>
      </c>
      <c r="F100" s="31" t="s">
        <v>192</v>
      </c>
      <c r="G100" s="31" t="s">
        <v>193</v>
      </c>
      <c r="H100" s="18">
        <v>5</v>
      </c>
      <c r="I100" s="18">
        <v>28</v>
      </c>
    </row>
    <row r="101" spans="1:9">
      <c r="A101" s="46"/>
      <c r="B101" s="31" t="s">
        <v>11</v>
      </c>
      <c r="C101" s="31" t="s">
        <v>13</v>
      </c>
      <c r="D101" s="31" t="s">
        <v>47</v>
      </c>
      <c r="E101" s="31" t="s">
        <v>54</v>
      </c>
      <c r="F101" s="31" t="s">
        <v>194</v>
      </c>
      <c r="G101" s="31" t="s">
        <v>50</v>
      </c>
      <c r="H101" s="18">
        <v>6</v>
      </c>
      <c r="I101" s="18">
        <v>29</v>
      </c>
    </row>
    <row r="102" spans="1:9">
      <c r="A102" s="46"/>
      <c r="B102" s="31" t="s">
        <v>11</v>
      </c>
      <c r="C102" s="31" t="s">
        <v>13</v>
      </c>
      <c r="D102" s="31" t="s">
        <v>47</v>
      </c>
      <c r="E102" s="31" t="s">
        <v>54</v>
      </c>
      <c r="F102" s="31" t="s">
        <v>195</v>
      </c>
      <c r="G102" s="31" t="s">
        <v>175</v>
      </c>
      <c r="H102" s="18">
        <v>7</v>
      </c>
      <c r="I102" s="18">
        <v>30</v>
      </c>
    </row>
    <row r="103" spans="1:9">
      <c r="A103" s="46"/>
      <c r="B103" s="31" t="s">
        <v>11</v>
      </c>
      <c r="C103" s="31" t="s">
        <v>13</v>
      </c>
      <c r="D103" s="31" t="s">
        <v>47</v>
      </c>
      <c r="E103" s="31" t="s">
        <v>54</v>
      </c>
      <c r="F103" s="31" t="s">
        <v>196</v>
      </c>
      <c r="G103" s="31" t="s">
        <v>197</v>
      </c>
      <c r="H103" s="18">
        <v>8</v>
      </c>
      <c r="I103" s="18">
        <v>31</v>
      </c>
    </row>
    <row r="104" spans="1:9">
      <c r="A104" s="46"/>
      <c r="B104" s="31" t="s">
        <v>11</v>
      </c>
      <c r="C104" s="31" t="s">
        <v>13</v>
      </c>
      <c r="D104" s="31" t="s">
        <v>47</v>
      </c>
      <c r="E104" s="31" t="s">
        <v>54</v>
      </c>
      <c r="F104" s="31" t="s">
        <v>198</v>
      </c>
      <c r="G104" s="31" t="s">
        <v>199</v>
      </c>
      <c r="H104" s="18">
        <v>9</v>
      </c>
      <c r="I104" s="18">
        <v>32</v>
      </c>
    </row>
    <row r="105" spans="1:9">
      <c r="A105" s="46"/>
      <c r="B105" s="31" t="s">
        <v>11</v>
      </c>
      <c r="C105" s="31" t="s">
        <v>13</v>
      </c>
      <c r="D105" s="31" t="s">
        <v>47</v>
      </c>
      <c r="E105" s="31" t="s">
        <v>54</v>
      </c>
      <c r="F105" s="31" t="s">
        <v>200</v>
      </c>
      <c r="G105" s="31" t="s">
        <v>24</v>
      </c>
      <c r="H105" s="18">
        <v>10</v>
      </c>
      <c r="I105" s="18">
        <v>33</v>
      </c>
    </row>
    <row r="106" spans="1:9">
      <c r="A106" s="46"/>
      <c r="B106" s="31" t="s">
        <v>11</v>
      </c>
      <c r="C106" s="31" t="s">
        <v>13</v>
      </c>
      <c r="D106" s="31" t="s">
        <v>47</v>
      </c>
      <c r="E106" s="31" t="s">
        <v>54</v>
      </c>
      <c r="F106" s="31" t="s">
        <v>201</v>
      </c>
      <c r="G106" s="31" t="s">
        <v>63</v>
      </c>
      <c r="H106" s="18">
        <v>11</v>
      </c>
      <c r="I106" s="18">
        <v>34</v>
      </c>
    </row>
    <row r="107" spans="1:9">
      <c r="A107" s="46"/>
      <c r="B107" s="31" t="s">
        <v>11</v>
      </c>
      <c r="C107" s="31" t="s">
        <v>13</v>
      </c>
      <c r="D107" s="31" t="s">
        <v>47</v>
      </c>
      <c r="E107" s="31" t="s">
        <v>54</v>
      </c>
      <c r="F107" s="31" t="s">
        <v>202</v>
      </c>
      <c r="G107" s="31" t="s">
        <v>42</v>
      </c>
      <c r="H107" s="18">
        <v>12</v>
      </c>
      <c r="I107" s="18">
        <v>35</v>
      </c>
    </row>
    <row r="108" spans="1:9">
      <c r="A108" s="46"/>
      <c r="B108" s="31" t="s">
        <v>11</v>
      </c>
      <c r="C108" s="31" t="s">
        <v>13</v>
      </c>
      <c r="D108" s="31" t="s">
        <v>47</v>
      </c>
      <c r="E108" s="31" t="s">
        <v>54</v>
      </c>
      <c r="F108" s="31" t="s">
        <v>203</v>
      </c>
      <c r="G108" s="31" t="s">
        <v>204</v>
      </c>
      <c r="H108" s="18">
        <v>13</v>
      </c>
      <c r="I108" s="18">
        <v>36</v>
      </c>
    </row>
    <row r="109" spans="1:9">
      <c r="A109" s="46"/>
      <c r="B109" s="31" t="s">
        <v>11</v>
      </c>
      <c r="C109" s="31" t="s">
        <v>13</v>
      </c>
      <c r="D109" s="31" t="s">
        <v>47</v>
      </c>
      <c r="E109" s="31" t="s">
        <v>54</v>
      </c>
      <c r="F109" s="31" t="s">
        <v>205</v>
      </c>
      <c r="G109" s="31" t="s">
        <v>36</v>
      </c>
      <c r="H109" s="18">
        <v>14</v>
      </c>
      <c r="I109" s="18">
        <v>37</v>
      </c>
    </row>
    <row r="110" spans="1:9">
      <c r="A110" s="46"/>
      <c r="B110" s="31" t="s">
        <v>11</v>
      </c>
      <c r="C110" s="31" t="s">
        <v>13</v>
      </c>
      <c r="D110" s="31" t="s">
        <v>47</v>
      </c>
      <c r="E110" s="31" t="s">
        <v>54</v>
      </c>
      <c r="F110" s="31" t="s">
        <v>206</v>
      </c>
      <c r="G110" s="31" t="s">
        <v>207</v>
      </c>
      <c r="H110" s="18">
        <v>15</v>
      </c>
      <c r="I110" s="18">
        <v>38</v>
      </c>
    </row>
    <row r="111" spans="1:9">
      <c r="A111" s="46"/>
      <c r="B111" s="31" t="s">
        <v>11</v>
      </c>
      <c r="C111" s="31" t="s">
        <v>13</v>
      </c>
      <c r="D111" s="31" t="s">
        <v>47</v>
      </c>
      <c r="E111" s="31" t="s">
        <v>54</v>
      </c>
      <c r="F111" s="31" t="s">
        <v>208</v>
      </c>
      <c r="G111" s="31" t="s">
        <v>31</v>
      </c>
      <c r="H111" s="18">
        <v>16</v>
      </c>
      <c r="I111" s="18">
        <v>39</v>
      </c>
    </row>
    <row r="112" spans="1:9">
      <c r="A112" s="46"/>
      <c r="B112" s="31" t="s">
        <v>11</v>
      </c>
      <c r="C112" s="31" t="s">
        <v>13</v>
      </c>
      <c r="D112" s="31" t="s">
        <v>47</v>
      </c>
      <c r="E112" s="31" t="s">
        <v>54</v>
      </c>
      <c r="F112" s="31" t="s">
        <v>209</v>
      </c>
      <c r="G112" s="31" t="s">
        <v>17</v>
      </c>
      <c r="H112" s="18">
        <v>17</v>
      </c>
      <c r="I112" s="18">
        <v>40</v>
      </c>
    </row>
    <row r="113" spans="1:9">
      <c r="A113" s="46"/>
      <c r="B113" s="31" t="s">
        <v>11</v>
      </c>
      <c r="C113" s="31" t="s">
        <v>13</v>
      </c>
      <c r="D113" s="31" t="s">
        <v>47</v>
      </c>
      <c r="E113" s="31" t="s">
        <v>54</v>
      </c>
      <c r="F113" s="31" t="s">
        <v>210</v>
      </c>
      <c r="G113" s="31" t="s">
        <v>48</v>
      </c>
      <c r="H113" s="18">
        <v>18</v>
      </c>
      <c r="I113" s="18">
        <v>41</v>
      </c>
    </row>
    <row r="114" spans="1:9">
      <c r="A114" s="46"/>
      <c r="B114" s="31" t="s">
        <v>11</v>
      </c>
      <c r="C114" s="31" t="s">
        <v>13</v>
      </c>
      <c r="D114" s="31" t="s">
        <v>47</v>
      </c>
      <c r="E114" s="31" t="s">
        <v>54</v>
      </c>
      <c r="F114" s="31" t="s">
        <v>211</v>
      </c>
      <c r="G114" s="31" t="s">
        <v>12</v>
      </c>
      <c r="H114" s="18">
        <v>19</v>
      </c>
      <c r="I114" s="33">
        <v>42</v>
      </c>
    </row>
    <row r="115" spans="1:9">
      <c r="A115" s="46"/>
      <c r="B115" s="31" t="s">
        <v>11</v>
      </c>
      <c r="C115" s="31" t="s">
        <v>13</v>
      </c>
      <c r="D115" s="31" t="s">
        <v>10</v>
      </c>
      <c r="E115" s="31" t="s">
        <v>13</v>
      </c>
      <c r="F115" s="31" t="s">
        <v>184</v>
      </c>
      <c r="G115" s="31" t="s">
        <v>28</v>
      </c>
      <c r="H115" s="18">
        <v>1</v>
      </c>
      <c r="I115" s="18">
        <v>43</v>
      </c>
    </row>
    <row r="116" spans="1:9">
      <c r="A116" s="46"/>
      <c r="B116" s="31" t="s">
        <v>11</v>
      </c>
      <c r="C116" s="31" t="s">
        <v>13</v>
      </c>
      <c r="D116" s="31" t="s">
        <v>10</v>
      </c>
      <c r="E116" s="31" t="s">
        <v>13</v>
      </c>
      <c r="F116" s="31" t="s">
        <v>212</v>
      </c>
      <c r="G116" s="31" t="s">
        <v>213</v>
      </c>
      <c r="H116" s="18">
        <v>2</v>
      </c>
      <c r="I116" s="33">
        <v>44</v>
      </c>
    </row>
    <row r="117" spans="1:9">
      <c r="A117" s="46"/>
      <c r="B117" s="31" t="s">
        <v>11</v>
      </c>
      <c r="C117" s="31" t="s">
        <v>13</v>
      </c>
      <c r="D117" s="31" t="s">
        <v>10</v>
      </c>
      <c r="E117" s="31" t="s">
        <v>13</v>
      </c>
      <c r="F117" s="31" t="s">
        <v>59</v>
      </c>
      <c r="G117" s="31" t="s">
        <v>95</v>
      </c>
      <c r="H117" s="18">
        <v>3</v>
      </c>
      <c r="I117" s="18">
        <v>45</v>
      </c>
    </row>
    <row r="118" spans="1:9">
      <c r="A118" s="46"/>
      <c r="B118" s="31" t="s">
        <v>11</v>
      </c>
      <c r="C118" s="31" t="s">
        <v>13</v>
      </c>
      <c r="D118" s="31" t="s">
        <v>10</v>
      </c>
      <c r="E118" s="31" t="s">
        <v>13</v>
      </c>
      <c r="F118" s="31" t="s">
        <v>214</v>
      </c>
      <c r="G118" s="31" t="s">
        <v>136</v>
      </c>
      <c r="H118" s="18">
        <v>4</v>
      </c>
      <c r="I118" s="34">
        <v>46</v>
      </c>
    </row>
    <row r="119" spans="1:9">
      <c r="A119" s="46"/>
      <c r="B119" s="31" t="s">
        <v>11</v>
      </c>
      <c r="C119" s="31" t="s">
        <v>13</v>
      </c>
      <c r="D119" s="31" t="s">
        <v>10</v>
      </c>
      <c r="E119" s="31" t="s">
        <v>13</v>
      </c>
      <c r="F119" s="31" t="s">
        <v>215</v>
      </c>
      <c r="G119" s="31" t="s">
        <v>22</v>
      </c>
      <c r="H119" s="18">
        <v>5</v>
      </c>
      <c r="I119" s="18">
        <v>47</v>
      </c>
    </row>
    <row r="120" spans="1:9">
      <c r="A120" s="46"/>
      <c r="B120" s="31" t="s">
        <v>11</v>
      </c>
      <c r="C120" s="31" t="s">
        <v>13</v>
      </c>
      <c r="D120" s="31" t="s">
        <v>10</v>
      </c>
      <c r="E120" s="31" t="s">
        <v>13</v>
      </c>
      <c r="F120" s="31" t="s">
        <v>216</v>
      </c>
      <c r="G120" s="31" t="s">
        <v>9</v>
      </c>
      <c r="H120" s="18">
        <v>6</v>
      </c>
      <c r="I120" s="18">
        <v>48</v>
      </c>
    </row>
    <row r="121" spans="1:9">
      <c r="A121" s="46"/>
      <c r="B121" s="31" t="s">
        <v>11</v>
      </c>
      <c r="C121" s="31" t="s">
        <v>13</v>
      </c>
      <c r="D121" s="31" t="s">
        <v>10</v>
      </c>
      <c r="E121" s="31" t="s">
        <v>13</v>
      </c>
      <c r="F121" s="31" t="s">
        <v>217</v>
      </c>
      <c r="G121" s="31" t="s">
        <v>218</v>
      </c>
      <c r="H121" s="18">
        <v>7</v>
      </c>
      <c r="I121" s="18">
        <v>49</v>
      </c>
    </row>
    <row r="122" spans="1:9">
      <c r="A122" s="46"/>
      <c r="B122" s="31" t="s">
        <v>11</v>
      </c>
      <c r="C122" s="31" t="s">
        <v>13</v>
      </c>
      <c r="D122" s="31" t="s">
        <v>10</v>
      </c>
      <c r="E122" s="31" t="s">
        <v>13</v>
      </c>
      <c r="F122" s="31" t="s">
        <v>219</v>
      </c>
      <c r="G122" s="31" t="s">
        <v>140</v>
      </c>
      <c r="H122" s="18">
        <v>8</v>
      </c>
      <c r="I122" s="18">
        <v>50</v>
      </c>
    </row>
    <row r="123" spans="1:9">
      <c r="A123" s="46"/>
      <c r="B123" s="31" t="s">
        <v>11</v>
      </c>
      <c r="C123" s="31" t="s">
        <v>13</v>
      </c>
      <c r="D123" s="31" t="s">
        <v>10</v>
      </c>
      <c r="E123" s="31" t="s">
        <v>13</v>
      </c>
      <c r="F123" s="31" t="s">
        <v>220</v>
      </c>
      <c r="G123" s="31" t="s">
        <v>114</v>
      </c>
      <c r="H123" s="18">
        <v>9</v>
      </c>
      <c r="I123" s="18">
        <v>51</v>
      </c>
    </row>
    <row r="124" spans="1:9">
      <c r="A124" s="46"/>
      <c r="B124" s="31" t="s">
        <v>11</v>
      </c>
      <c r="C124" s="31" t="s">
        <v>13</v>
      </c>
      <c r="D124" s="31" t="s">
        <v>10</v>
      </c>
      <c r="E124" s="31" t="s">
        <v>13</v>
      </c>
      <c r="F124" s="31" t="s">
        <v>221</v>
      </c>
      <c r="G124" s="31" t="s">
        <v>222</v>
      </c>
      <c r="H124" s="18">
        <v>10</v>
      </c>
      <c r="I124" s="18">
        <v>52</v>
      </c>
    </row>
    <row r="125" spans="1:9">
      <c r="A125" s="46"/>
      <c r="B125" s="31" t="s">
        <v>11</v>
      </c>
      <c r="C125" s="31" t="s">
        <v>13</v>
      </c>
      <c r="D125" s="31" t="s">
        <v>10</v>
      </c>
      <c r="E125" s="31" t="s">
        <v>13</v>
      </c>
      <c r="F125" s="31" t="s">
        <v>223</v>
      </c>
      <c r="G125" s="31" t="s">
        <v>224</v>
      </c>
      <c r="H125" s="18">
        <v>11</v>
      </c>
      <c r="I125" s="18">
        <v>53</v>
      </c>
    </row>
    <row r="133" spans="5:9">
      <c r="I133" s="26"/>
    </row>
    <row r="134" spans="5:9">
      <c r="I134" s="26"/>
    </row>
    <row r="135" spans="5:9">
      <c r="I135" s="26"/>
    </row>
    <row r="136" spans="5:9">
      <c r="I136" s="26"/>
    </row>
    <row r="137" spans="5:9">
      <c r="I137" s="26"/>
    </row>
    <row r="138" spans="5:9">
      <c r="E138" s="25"/>
      <c r="F138" s="26"/>
      <c r="G138" s="25"/>
      <c r="H138" s="25"/>
      <c r="I138" s="26"/>
    </row>
  </sheetData>
  <mergeCells count="3">
    <mergeCell ref="A43:A72"/>
    <mergeCell ref="A73:A125"/>
    <mergeCell ref="A1:I1"/>
  </mergeCells>
  <pageMargins left="0.31496062992125984" right="0.31496062992125984" top="0.35433070866141736" bottom="0.35433070866141736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1"/>
  <sheetViews>
    <sheetView tabSelected="1" view="pageBreakPreview" zoomScaleSheetLayoutView="100" workbookViewId="0">
      <selection sqref="A1:K1"/>
    </sheetView>
  </sheetViews>
  <sheetFormatPr defaultColWidth="20.7109375" defaultRowHeight="24.95" customHeight="1"/>
  <cols>
    <col min="1" max="1" width="11.7109375" style="17" customWidth="1"/>
    <col min="2" max="2" width="19.42578125" style="5" customWidth="1"/>
    <col min="3" max="3" width="20.140625" style="5" customWidth="1"/>
    <col min="4" max="4" width="11.85546875" style="2" customWidth="1"/>
    <col min="5" max="5" width="9.42578125" style="2" customWidth="1"/>
    <col min="6" max="6" width="8.85546875" style="2" customWidth="1"/>
    <col min="7" max="7" width="6.7109375" style="2" customWidth="1"/>
    <col min="8" max="8" width="9" style="2" customWidth="1"/>
    <col min="9" max="9" width="7.140625" style="2" customWidth="1"/>
    <col min="10" max="10" width="8" style="2" customWidth="1"/>
    <col min="11" max="11" width="8.7109375" style="2" customWidth="1"/>
    <col min="12" max="16384" width="20.7109375" style="6"/>
  </cols>
  <sheetData>
    <row r="1" spans="1:12" ht="24.95" customHeight="1">
      <c r="A1" s="42" t="s">
        <v>72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2" ht="24.95" customHeight="1">
      <c r="A2" s="42" t="s">
        <v>73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2" s="3" customFormat="1" ht="24.95" customHeight="1">
      <c r="A3" s="23" t="s">
        <v>67</v>
      </c>
      <c r="B3" s="24" t="s">
        <v>86</v>
      </c>
      <c r="C3" s="35"/>
      <c r="D3" s="38"/>
      <c r="E3" s="38"/>
      <c r="F3" s="35"/>
      <c r="G3" s="47" t="s">
        <v>68</v>
      </c>
      <c r="H3" s="47"/>
      <c r="I3" s="47"/>
      <c r="J3" s="47"/>
      <c r="K3" s="47"/>
    </row>
    <row r="4" spans="1:12" ht="24.95" customHeight="1">
      <c r="A4" s="4"/>
      <c r="B4" s="39"/>
      <c r="C4" s="39"/>
      <c r="D4" s="38"/>
      <c r="E4" s="38"/>
      <c r="F4" s="38"/>
      <c r="G4" s="38"/>
      <c r="H4" s="38" t="s">
        <v>225</v>
      </c>
      <c r="I4" s="38"/>
      <c r="J4" s="38"/>
      <c r="K4" s="38"/>
    </row>
    <row r="5" spans="1:12" ht="46.5" customHeight="1">
      <c r="A5" s="58" t="s">
        <v>74</v>
      </c>
      <c r="B5" s="57" t="s">
        <v>75</v>
      </c>
      <c r="C5" s="57" t="s">
        <v>76</v>
      </c>
      <c r="D5" s="57" t="s">
        <v>77</v>
      </c>
      <c r="E5" s="59" t="s">
        <v>78</v>
      </c>
      <c r="F5" s="57" t="s">
        <v>79</v>
      </c>
      <c r="G5" s="57"/>
      <c r="H5" s="57" t="s">
        <v>80</v>
      </c>
      <c r="I5" s="57"/>
      <c r="J5" s="57" t="s">
        <v>81</v>
      </c>
      <c r="K5" s="57"/>
    </row>
    <row r="6" spans="1:12" ht="35.25" customHeight="1">
      <c r="A6" s="58"/>
      <c r="B6" s="57"/>
      <c r="C6" s="57"/>
      <c r="D6" s="57"/>
      <c r="E6" s="60"/>
      <c r="F6" s="9" t="s">
        <v>82</v>
      </c>
      <c r="G6" s="9" t="s">
        <v>83</v>
      </c>
      <c r="H6" s="9" t="s">
        <v>82</v>
      </c>
      <c r="I6" s="9" t="s">
        <v>83</v>
      </c>
      <c r="J6" s="9" t="s">
        <v>82</v>
      </c>
      <c r="K6" s="9" t="s">
        <v>83</v>
      </c>
    </row>
    <row r="7" spans="1:12" ht="30" customHeight="1">
      <c r="A7" s="51">
        <v>1</v>
      </c>
      <c r="B7" s="54" t="s">
        <v>7</v>
      </c>
      <c r="C7" s="10" t="s">
        <v>7</v>
      </c>
      <c r="D7" s="11">
        <v>8</v>
      </c>
      <c r="E7" s="11">
        <f>D7</f>
        <v>8</v>
      </c>
      <c r="F7" s="12"/>
      <c r="G7" s="12"/>
      <c r="H7" s="12"/>
      <c r="I7" s="12"/>
      <c r="J7" s="12" t="s">
        <v>226</v>
      </c>
      <c r="K7" s="12" t="s">
        <v>229</v>
      </c>
      <c r="L7" s="13"/>
    </row>
    <row r="8" spans="1:12" ht="30" customHeight="1">
      <c r="A8" s="52"/>
      <c r="B8" s="56"/>
      <c r="C8" s="10" t="s">
        <v>13</v>
      </c>
      <c r="D8" s="12">
        <v>9</v>
      </c>
      <c r="E8" s="12">
        <f>D8+E7</f>
        <v>17</v>
      </c>
      <c r="F8" s="12"/>
      <c r="G8" s="12"/>
      <c r="H8" s="12"/>
      <c r="I8" s="12"/>
      <c r="J8" s="12" t="s">
        <v>227</v>
      </c>
      <c r="K8" s="12" t="s">
        <v>228</v>
      </c>
      <c r="L8" s="13"/>
    </row>
    <row r="9" spans="1:12" ht="28.5" customHeight="1">
      <c r="A9" s="52"/>
      <c r="B9" s="28" t="s">
        <v>87</v>
      </c>
      <c r="C9" s="10" t="s">
        <v>20</v>
      </c>
      <c r="D9" s="12">
        <v>21</v>
      </c>
      <c r="E9" s="12">
        <f t="shared" ref="E9" si="0">D9+E8</f>
        <v>38</v>
      </c>
      <c r="F9" s="14"/>
      <c r="G9" s="14"/>
      <c r="H9" s="12"/>
      <c r="I9" s="12"/>
      <c r="J9" s="12"/>
      <c r="K9" s="12"/>
      <c r="L9" s="13"/>
    </row>
    <row r="10" spans="1:12" ht="28.5" customHeight="1">
      <c r="A10" s="15"/>
      <c r="B10" s="27"/>
      <c r="C10" s="19" t="s">
        <v>84</v>
      </c>
      <c r="D10" s="14">
        <f>SUM(D7:D9)</f>
        <v>38</v>
      </c>
      <c r="E10" s="12"/>
      <c r="F10" s="14">
        <v>2</v>
      </c>
      <c r="G10" s="14">
        <v>2</v>
      </c>
      <c r="H10" s="14">
        <v>51</v>
      </c>
      <c r="I10" s="14">
        <v>51</v>
      </c>
      <c r="J10" s="12"/>
      <c r="K10" s="16"/>
      <c r="L10" s="13"/>
    </row>
    <row r="11" spans="1:12" ht="28.5" customHeight="1">
      <c r="A11" s="49">
        <v>2</v>
      </c>
      <c r="B11" s="54" t="s">
        <v>29</v>
      </c>
      <c r="C11" s="10" t="s">
        <v>29</v>
      </c>
      <c r="D11" s="12">
        <v>6</v>
      </c>
      <c r="E11" s="12">
        <f>D11</f>
        <v>6</v>
      </c>
      <c r="F11" s="14"/>
      <c r="G11" s="14"/>
      <c r="H11" s="14"/>
      <c r="I11" s="14"/>
      <c r="J11" s="12" t="s">
        <v>230</v>
      </c>
      <c r="K11" s="12" t="s">
        <v>232</v>
      </c>
      <c r="L11" s="13"/>
    </row>
    <row r="12" spans="1:12" ht="28.5" customHeight="1">
      <c r="A12" s="49"/>
      <c r="B12" s="56"/>
      <c r="C12" s="10" t="s">
        <v>30</v>
      </c>
      <c r="D12" s="12">
        <v>0</v>
      </c>
      <c r="E12" s="12">
        <f>D12+E11</f>
        <v>6</v>
      </c>
      <c r="F12" s="14"/>
      <c r="G12" s="14"/>
      <c r="H12" s="14"/>
      <c r="I12" s="14"/>
      <c r="J12" s="12" t="s">
        <v>231</v>
      </c>
      <c r="K12" s="12" t="s">
        <v>233</v>
      </c>
      <c r="L12" s="13"/>
    </row>
    <row r="13" spans="1:12" ht="28.5" customHeight="1">
      <c r="A13" s="49"/>
      <c r="B13" s="54" t="s">
        <v>38</v>
      </c>
      <c r="C13" s="10" t="s">
        <v>38</v>
      </c>
      <c r="D13" s="12">
        <v>10</v>
      </c>
      <c r="E13" s="12">
        <f t="shared" ref="E13:E19" si="1">D13+E12</f>
        <v>16</v>
      </c>
      <c r="F13" s="14"/>
      <c r="G13" s="14"/>
      <c r="H13" s="14"/>
      <c r="I13" s="14"/>
      <c r="J13" s="12"/>
      <c r="K13" s="12"/>
      <c r="L13" s="13"/>
    </row>
    <row r="14" spans="1:12" ht="24.95" customHeight="1">
      <c r="A14" s="49"/>
      <c r="B14" s="56"/>
      <c r="C14" s="10" t="s">
        <v>6</v>
      </c>
      <c r="D14" s="12">
        <v>2</v>
      </c>
      <c r="E14" s="12">
        <f t="shared" si="1"/>
        <v>18</v>
      </c>
      <c r="F14" s="12"/>
      <c r="G14" s="12"/>
      <c r="H14" s="14"/>
      <c r="I14" s="14"/>
      <c r="J14" s="12"/>
      <c r="K14" s="12"/>
      <c r="L14" s="13"/>
    </row>
    <row r="15" spans="1:12" ht="24.95" customHeight="1">
      <c r="A15" s="49"/>
      <c r="B15" s="54" t="s">
        <v>43</v>
      </c>
      <c r="C15" s="10" t="s">
        <v>43</v>
      </c>
      <c r="D15" s="12">
        <v>6</v>
      </c>
      <c r="E15" s="12">
        <f t="shared" si="1"/>
        <v>24</v>
      </c>
      <c r="F15" s="12"/>
      <c r="G15" s="12"/>
      <c r="H15" s="14"/>
      <c r="I15" s="14"/>
      <c r="J15" s="12"/>
      <c r="K15" s="12"/>
      <c r="L15" s="13"/>
    </row>
    <row r="16" spans="1:12" ht="24.95" customHeight="1">
      <c r="A16" s="49"/>
      <c r="B16" s="55"/>
      <c r="C16" s="10" t="s">
        <v>30</v>
      </c>
      <c r="D16" s="12">
        <v>0</v>
      </c>
      <c r="E16" s="12">
        <f t="shared" si="1"/>
        <v>24</v>
      </c>
      <c r="F16" s="12"/>
      <c r="G16" s="12"/>
      <c r="H16" s="14"/>
      <c r="I16" s="14"/>
      <c r="J16" s="12"/>
      <c r="K16" s="12"/>
      <c r="L16" s="13"/>
    </row>
    <row r="17" spans="1:12" ht="24.95" customHeight="1">
      <c r="A17" s="49"/>
      <c r="B17" s="56"/>
      <c r="C17" s="10" t="s">
        <v>44</v>
      </c>
      <c r="D17" s="12">
        <v>1</v>
      </c>
      <c r="E17" s="12">
        <f t="shared" si="1"/>
        <v>25</v>
      </c>
      <c r="F17" s="12"/>
      <c r="G17" s="12"/>
      <c r="H17" s="14"/>
      <c r="I17" s="14"/>
      <c r="J17" s="12"/>
      <c r="K17" s="12"/>
      <c r="L17" s="13"/>
    </row>
    <row r="18" spans="1:12" ht="24.95" customHeight="1">
      <c r="A18" s="49"/>
      <c r="B18" s="54" t="s">
        <v>30</v>
      </c>
      <c r="C18" s="10" t="s">
        <v>30</v>
      </c>
      <c r="D18" s="12">
        <v>5</v>
      </c>
      <c r="E18" s="12">
        <f t="shared" si="1"/>
        <v>30</v>
      </c>
      <c r="F18" s="12"/>
      <c r="G18" s="12"/>
      <c r="H18" s="14"/>
      <c r="I18" s="14"/>
      <c r="J18" s="12"/>
      <c r="K18" s="12"/>
      <c r="L18" s="13"/>
    </row>
    <row r="19" spans="1:12" ht="24.95" customHeight="1">
      <c r="A19" s="49"/>
      <c r="B19" s="56"/>
      <c r="C19" s="10" t="s">
        <v>64</v>
      </c>
      <c r="D19" s="12">
        <v>0</v>
      </c>
      <c r="E19" s="12">
        <f t="shared" si="1"/>
        <v>30</v>
      </c>
      <c r="F19" s="12"/>
      <c r="G19" s="12"/>
      <c r="H19" s="14"/>
      <c r="I19" s="14"/>
      <c r="J19" s="12"/>
      <c r="K19" s="12"/>
      <c r="L19" s="13"/>
    </row>
    <row r="20" spans="1:12" ht="24.95" customHeight="1">
      <c r="A20" s="20"/>
      <c r="B20" s="27"/>
      <c r="C20" s="19" t="s">
        <v>84</v>
      </c>
      <c r="D20" s="14">
        <f>SUM(D11:D19)</f>
        <v>30</v>
      </c>
      <c r="E20" s="12"/>
      <c r="F20" s="14">
        <v>2</v>
      </c>
      <c r="G20" s="14">
        <v>2</v>
      </c>
      <c r="H20" s="14">
        <v>52</v>
      </c>
      <c r="I20" s="14">
        <v>52</v>
      </c>
      <c r="J20" s="12"/>
      <c r="K20" s="12"/>
      <c r="L20" s="13"/>
    </row>
    <row r="21" spans="1:12" ht="24.95" customHeight="1">
      <c r="A21" s="51">
        <v>3</v>
      </c>
      <c r="B21" s="50" t="s">
        <v>13</v>
      </c>
      <c r="C21" s="10" t="s">
        <v>20</v>
      </c>
      <c r="D21" s="12">
        <v>0</v>
      </c>
      <c r="E21" s="12">
        <f>D21</f>
        <v>0</v>
      </c>
      <c r="F21" s="12"/>
      <c r="G21" s="12"/>
      <c r="H21" s="14"/>
      <c r="I21" s="14"/>
      <c r="J21" s="12" t="s">
        <v>234</v>
      </c>
      <c r="K21" s="12" t="s">
        <v>235</v>
      </c>
      <c r="L21" s="13"/>
    </row>
    <row r="22" spans="1:12" ht="24.95" customHeight="1">
      <c r="A22" s="52"/>
      <c r="B22" s="50"/>
      <c r="C22" s="10" t="s">
        <v>54</v>
      </c>
      <c r="D22" s="12">
        <v>19</v>
      </c>
      <c r="E22" s="12">
        <f>D22+E21</f>
        <v>19</v>
      </c>
      <c r="F22" s="12"/>
      <c r="G22" s="12"/>
      <c r="H22" s="14"/>
      <c r="I22" s="14"/>
      <c r="J22" s="12" t="s">
        <v>89</v>
      </c>
      <c r="K22" s="12" t="s">
        <v>236</v>
      </c>
      <c r="L22" s="13"/>
    </row>
    <row r="23" spans="1:12" ht="24.95" customHeight="1">
      <c r="A23" s="52"/>
      <c r="B23" s="50"/>
      <c r="C23" s="10" t="s">
        <v>13</v>
      </c>
      <c r="D23" s="12">
        <v>11</v>
      </c>
      <c r="E23" s="12">
        <f t="shared" ref="E23:E29" si="2">D23+E22</f>
        <v>30</v>
      </c>
      <c r="F23" s="12"/>
      <c r="G23" s="12"/>
      <c r="H23" s="14"/>
      <c r="I23" s="14"/>
      <c r="J23" s="12"/>
      <c r="K23" s="12"/>
      <c r="L23" s="13"/>
    </row>
    <row r="24" spans="1:12" ht="24.95" customHeight="1">
      <c r="A24" s="52"/>
      <c r="B24" s="50" t="s">
        <v>88</v>
      </c>
      <c r="C24" s="10" t="s">
        <v>30</v>
      </c>
      <c r="D24" s="12">
        <v>0</v>
      </c>
      <c r="E24" s="12">
        <f t="shared" si="2"/>
        <v>30</v>
      </c>
      <c r="F24" s="12"/>
      <c r="G24" s="12"/>
      <c r="H24" s="14"/>
      <c r="I24" s="14"/>
      <c r="J24" s="12"/>
      <c r="K24" s="12"/>
      <c r="L24" s="13"/>
    </row>
    <row r="25" spans="1:12" ht="24.95" customHeight="1">
      <c r="A25" s="52"/>
      <c r="B25" s="50"/>
      <c r="C25" s="10" t="s">
        <v>64</v>
      </c>
      <c r="D25" s="12">
        <v>5</v>
      </c>
      <c r="E25" s="12">
        <f t="shared" si="2"/>
        <v>35</v>
      </c>
      <c r="F25" s="12"/>
      <c r="G25" s="12"/>
      <c r="H25" s="14"/>
      <c r="I25" s="14"/>
      <c r="J25" s="12"/>
      <c r="K25" s="12"/>
      <c r="L25" s="13"/>
    </row>
    <row r="26" spans="1:12" ht="24.95" customHeight="1">
      <c r="A26" s="52"/>
      <c r="B26" s="54" t="s">
        <v>44</v>
      </c>
      <c r="C26" s="10" t="s">
        <v>29</v>
      </c>
      <c r="D26" s="12">
        <v>1</v>
      </c>
      <c r="E26" s="12">
        <f t="shared" si="2"/>
        <v>36</v>
      </c>
      <c r="F26" s="12"/>
      <c r="G26" s="12"/>
      <c r="H26" s="14"/>
      <c r="I26" s="14"/>
      <c r="J26" s="12"/>
      <c r="K26" s="12"/>
      <c r="L26" s="13"/>
    </row>
    <row r="27" spans="1:12" ht="24.95" customHeight="1">
      <c r="A27" s="52"/>
      <c r="B27" s="55"/>
      <c r="C27" s="10" t="s">
        <v>30</v>
      </c>
      <c r="D27" s="12">
        <v>0</v>
      </c>
      <c r="E27" s="12">
        <f t="shared" si="2"/>
        <v>36</v>
      </c>
      <c r="F27" s="12"/>
      <c r="G27" s="12"/>
      <c r="H27" s="14"/>
      <c r="I27" s="14"/>
      <c r="J27" s="12"/>
      <c r="K27" s="12"/>
    </row>
    <row r="28" spans="1:12" ht="24.95" customHeight="1">
      <c r="A28" s="52"/>
      <c r="B28" s="56"/>
      <c r="C28" s="10" t="s">
        <v>44</v>
      </c>
      <c r="D28" s="12">
        <v>6</v>
      </c>
      <c r="E28" s="12">
        <f t="shared" si="2"/>
        <v>42</v>
      </c>
      <c r="F28" s="12"/>
      <c r="G28" s="12"/>
      <c r="H28" s="14"/>
      <c r="I28" s="14"/>
      <c r="J28" s="12"/>
      <c r="K28" s="12"/>
    </row>
    <row r="29" spans="1:12" ht="24.95" customHeight="1">
      <c r="A29" s="53"/>
      <c r="B29" s="27" t="s">
        <v>6</v>
      </c>
      <c r="C29" s="10" t="s">
        <v>6</v>
      </c>
      <c r="D29" s="12">
        <v>11</v>
      </c>
      <c r="E29" s="12">
        <f t="shared" si="2"/>
        <v>53</v>
      </c>
      <c r="F29" s="12"/>
      <c r="G29" s="12"/>
      <c r="H29" s="14"/>
      <c r="I29" s="14"/>
      <c r="J29" s="12"/>
      <c r="K29" s="12"/>
    </row>
    <row r="30" spans="1:12" ht="24.95" customHeight="1">
      <c r="A30" s="21"/>
      <c r="B30" s="22"/>
      <c r="C30" s="19" t="s">
        <v>84</v>
      </c>
      <c r="D30" s="14">
        <f>SUM(D21:D29)</f>
        <v>53</v>
      </c>
      <c r="E30" s="12"/>
      <c r="F30" s="14">
        <v>2</v>
      </c>
      <c r="G30" s="14">
        <v>2</v>
      </c>
      <c r="H30" s="14">
        <v>53</v>
      </c>
      <c r="I30" s="14">
        <v>53</v>
      </c>
      <c r="J30" s="12"/>
      <c r="K30" s="12"/>
    </row>
    <row r="31" spans="1:12" ht="24.95" customHeight="1">
      <c r="A31" s="21"/>
      <c r="B31" s="22"/>
      <c r="C31" s="14" t="s">
        <v>85</v>
      </c>
      <c r="D31" s="14">
        <f>81+D10</f>
        <v>119</v>
      </c>
      <c r="E31" s="12"/>
      <c r="F31" s="12"/>
      <c r="G31" s="12"/>
      <c r="H31" s="12"/>
      <c r="I31" s="12"/>
      <c r="J31" s="12"/>
      <c r="K31" s="12"/>
    </row>
  </sheetData>
  <mergeCells count="22">
    <mergeCell ref="B7:B8"/>
    <mergeCell ref="A7:A9"/>
    <mergeCell ref="J5:K5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A11:A19"/>
    <mergeCell ref="B21:B23"/>
    <mergeCell ref="B24:B25"/>
    <mergeCell ref="A21:A29"/>
    <mergeCell ref="B26:B28"/>
    <mergeCell ref="B11:B12"/>
    <mergeCell ref="B13:B14"/>
    <mergeCell ref="B15:B17"/>
    <mergeCell ref="B18:B19"/>
  </mergeCells>
  <pageMargins left="0.31496062992125984" right="0.31496062992125984" top="0.35433070866141736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STRATUM WISE (CS)</vt:lpstr>
      <vt:lpstr>STRATUM WISE (SS)</vt:lpstr>
      <vt:lpstr>STRATUM WISE</vt:lpstr>
      <vt:lpstr>WORKING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2025-06-27T10:55:53Z</cp:lastPrinted>
  <dcterms:created xsi:type="dcterms:W3CDTF">2025-06-18T07:49:47Z</dcterms:created>
  <dcterms:modified xsi:type="dcterms:W3CDTF">2026-06-16T12:18:57Z</dcterms:modified>
</cp:coreProperties>
</file>
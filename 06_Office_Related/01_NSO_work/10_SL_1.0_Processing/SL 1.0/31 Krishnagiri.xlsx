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(SS)" sheetId="8" r:id="rId1"/>
    <sheet name="STRATUM WISE (CS)" sheetId="7" r:id="rId2"/>
    <sheet name="STRATUM WISE" sheetId="5" r:id="rId3"/>
    <sheet name="WORKING SHEET" sheetId="6" r:id="rId4"/>
  </sheets>
  <definedNames>
    <definedName name="_xlnm._FilterDatabase" localSheetId="2" hidden="1">'STRATUM WISE'!$A$4:$I$99</definedName>
    <definedName name="_xlnm._FilterDatabase" localSheetId="1" hidden="1">'STRATUM WISE (CS)'!$A$4:$F$12</definedName>
    <definedName name="_xlnm._FilterDatabase" localSheetId="0" hidden="1">'STRATUM WISE(SS)'!$A$4:$F$12</definedName>
    <definedName name="_xlnm.Print_Titles" localSheetId="2">'STRATUM WISE'!$4:$4</definedName>
    <definedName name="_xlnm.Print_Titles" localSheetId="1">'STRATUM WISE (CS)'!$4:$4</definedName>
    <definedName name="_xlnm.Print_Titles" localSheetId="0">'STRATUM WISE(SS)'!$4:$4</definedName>
  </definedNames>
  <calcPr calcId="124519"/>
</workbook>
</file>

<file path=xl/calcChain.xml><?xml version="1.0" encoding="utf-8"?>
<calcChain xmlns="http://schemas.openxmlformats.org/spreadsheetml/2006/main">
  <c r="D26" i="6"/>
  <c r="E25" l="1"/>
  <c r="E24"/>
  <c r="E20"/>
  <c r="E21" s="1"/>
  <c r="E22" s="1"/>
  <c r="E19"/>
  <c r="E15"/>
  <c r="E16" s="1"/>
  <c r="E17" s="1"/>
  <c r="E11"/>
  <c r="E12" s="1"/>
  <c r="E13" s="1"/>
  <c r="E8"/>
  <c r="E7"/>
  <c r="D23"/>
  <c r="D18"/>
  <c r="D14"/>
  <c r="D27" l="1"/>
</calcChain>
</file>

<file path=xl/sharedStrings.xml><?xml version="1.0" encoding="utf-8"?>
<sst xmlns="http://schemas.openxmlformats.org/spreadsheetml/2006/main" count="952" uniqueCount="283">
  <si>
    <t>TRS_TKCODE</t>
  </si>
  <si>
    <t>TRS_TKNAME</t>
  </si>
  <si>
    <t>TRS_BKCODE</t>
  </si>
  <si>
    <t>TRS_BKNAME</t>
  </si>
  <si>
    <t>VGNAME</t>
  </si>
  <si>
    <t>RV_CODE</t>
  </si>
  <si>
    <t>KRISHNAGIRI</t>
  </si>
  <si>
    <t>DENKANIKOTTA</t>
  </si>
  <si>
    <t>KELAMANGALAM</t>
  </si>
  <si>
    <t>RAYAKOTTAI</t>
  </si>
  <si>
    <t>66</t>
  </si>
  <si>
    <t>47</t>
  </si>
  <si>
    <t>56</t>
  </si>
  <si>
    <t>THALLY</t>
  </si>
  <si>
    <t>28</t>
  </si>
  <si>
    <t>5</t>
  </si>
  <si>
    <t>12</t>
  </si>
  <si>
    <t>HOSUR</t>
  </si>
  <si>
    <t>99</t>
  </si>
  <si>
    <t>85</t>
  </si>
  <si>
    <t>3</t>
  </si>
  <si>
    <t>29</t>
  </si>
  <si>
    <t>37</t>
  </si>
  <si>
    <t>110</t>
  </si>
  <si>
    <t>83</t>
  </si>
  <si>
    <t>7</t>
  </si>
  <si>
    <t>96</t>
  </si>
  <si>
    <t>16</t>
  </si>
  <si>
    <t>SHOOLAGIRI</t>
  </si>
  <si>
    <t>ALAPATTI</t>
  </si>
  <si>
    <t>84</t>
  </si>
  <si>
    <t>73</t>
  </si>
  <si>
    <t>VEPPANAPALLI</t>
  </si>
  <si>
    <t>62</t>
  </si>
  <si>
    <t>2</t>
  </si>
  <si>
    <t>1</t>
  </si>
  <si>
    <t>10</t>
  </si>
  <si>
    <t>45</t>
  </si>
  <si>
    <t>KAVERIPATTINAM</t>
  </si>
  <si>
    <t>97</t>
  </si>
  <si>
    <t>POCHAMPALLI</t>
  </si>
  <si>
    <t>BARGUR</t>
  </si>
  <si>
    <t>MATHUR</t>
  </si>
  <si>
    <t>23</t>
  </si>
  <si>
    <t>UTHANGARAI</t>
  </si>
  <si>
    <t>75</t>
  </si>
  <si>
    <t>176</t>
  </si>
  <si>
    <t>108</t>
  </si>
  <si>
    <t>100</t>
  </si>
  <si>
    <t>86</t>
  </si>
  <si>
    <t>126</t>
  </si>
  <si>
    <t>6</t>
  </si>
  <si>
    <t>KITTAMPATTI</t>
  </si>
  <si>
    <t>114</t>
  </si>
  <si>
    <t>156</t>
  </si>
  <si>
    <t>39</t>
  </si>
  <si>
    <t>26</t>
  </si>
  <si>
    <t>40</t>
  </si>
  <si>
    <t>115</t>
  </si>
  <si>
    <t>133</t>
  </si>
  <si>
    <t>132</t>
  </si>
  <si>
    <t>46</t>
  </si>
  <si>
    <t>58</t>
  </si>
  <si>
    <t>149</t>
  </si>
  <si>
    <t>134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</si>
  <si>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</si>
  <si>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</si>
  <si>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</si>
  <si>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</si>
  <si>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</si>
  <si>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</si>
  <si>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</si>
  <si>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</si>
  <si>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</si>
  <si>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</si>
  <si>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</si>
  <si>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</si>
  <si>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</si>
  <si>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</si>
  <si>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</si>
  <si>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</si>
  <si>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</si>
  <si>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</si>
  <si>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KRISHNAGIRI(31)</t>
  </si>
  <si>
    <t>VEPPANPALLI</t>
  </si>
  <si>
    <t>13(1)</t>
  </si>
  <si>
    <t>11(2)</t>
  </si>
  <si>
    <t>District:</t>
  </si>
  <si>
    <t>THOGARAI AGRAHARAM</t>
  </si>
  <si>
    <t>14</t>
  </si>
  <si>
    <t>KALUKONDAPALLI</t>
  </si>
  <si>
    <t>8</t>
  </si>
  <si>
    <t>KUMALAPURAM</t>
  </si>
  <si>
    <t>ULIMARANAPALLI</t>
  </si>
  <si>
    <t>UNISENATHAM</t>
  </si>
  <si>
    <t>KOMARANAPALLI</t>
  </si>
  <si>
    <t>PERIYAMATHAKONDAPALLI</t>
  </si>
  <si>
    <t>9</t>
  </si>
  <si>
    <t>KODIYALAM</t>
  </si>
  <si>
    <t>13</t>
  </si>
  <si>
    <t>ARASAKUPPAM</t>
  </si>
  <si>
    <t>55</t>
  </si>
  <si>
    <t>KARANDAPALLI</t>
  </si>
  <si>
    <t>THOTTAUPPANUR</t>
  </si>
  <si>
    <t>27</t>
  </si>
  <si>
    <t>IRUTHUKOTTAI</t>
  </si>
  <si>
    <t>41</t>
  </si>
  <si>
    <t>BETTAMUGILALAM</t>
  </si>
  <si>
    <t>89</t>
  </si>
  <si>
    <t>ANUMANTHAPURAM</t>
  </si>
  <si>
    <t>88</t>
  </si>
  <si>
    <t>JAHIRKARUPALLI</t>
  </si>
  <si>
    <t>KUNDHUMARANAPALLI</t>
  </si>
  <si>
    <t>SULIGUNDA</t>
  </si>
  <si>
    <t>72</t>
  </si>
  <si>
    <t>PITCHUKUNDAPALLI</t>
  </si>
  <si>
    <t>30</t>
  </si>
  <si>
    <t>4</t>
  </si>
  <si>
    <t>ORAPPAM</t>
  </si>
  <si>
    <t>119</t>
  </si>
  <si>
    <t>SALINAYANAPALLI</t>
  </si>
  <si>
    <t>KONDAPPANAYANAPALLI (BK:BARGUR)</t>
  </si>
  <si>
    <t>137</t>
  </si>
  <si>
    <t>SOOLAMALAI (BK:BARGUR)</t>
  </si>
  <si>
    <t>118</t>
  </si>
  <si>
    <t>PULIGUNDA</t>
  </si>
  <si>
    <t>139</t>
  </si>
  <si>
    <t>MORANAPALLI</t>
  </si>
  <si>
    <t>105</t>
  </si>
  <si>
    <t>MUTHALLI</t>
  </si>
  <si>
    <t>ANUMEPALLI</t>
  </si>
  <si>
    <t>SEVAKANAPALLI</t>
  </si>
  <si>
    <t>KAKKANUR</t>
  </si>
  <si>
    <t>PARTHAMUTHALI</t>
  </si>
  <si>
    <t>PANCHATCHIPURAM</t>
  </si>
  <si>
    <t>95</t>
  </si>
  <si>
    <t>GOPANAPALLI</t>
  </si>
  <si>
    <t>SOKKANATHAPURAM</t>
  </si>
  <si>
    <t>DASEPALLI</t>
  </si>
  <si>
    <t>SINGASATHANAPALLI</t>
  </si>
  <si>
    <t>ADAVANAPALLI</t>
  </si>
  <si>
    <t>ELUVAPALLI (BK:HOSUR)</t>
  </si>
  <si>
    <t>82</t>
  </si>
  <si>
    <t>ZUZUVADI</t>
  </si>
  <si>
    <t>87</t>
  </si>
  <si>
    <t>KATHIRKANATHINNA</t>
  </si>
  <si>
    <t>19</t>
  </si>
  <si>
    <t>OTTAPALLITHINNA</t>
  </si>
  <si>
    <t>22</t>
  </si>
  <si>
    <t>MALLASANTHIRAM</t>
  </si>
  <si>
    <t>36</t>
  </si>
  <si>
    <t>CHITHANAPALLI</t>
  </si>
  <si>
    <t>112</t>
  </si>
  <si>
    <t>KURAKKUPATTI</t>
  </si>
  <si>
    <t>48</t>
  </si>
  <si>
    <t>29_PADATHASAMPATTI</t>
  </si>
  <si>
    <t>45_ONNAGARAI (BK:MATHUR)</t>
  </si>
  <si>
    <t>37_GOLAPATTI</t>
  </si>
  <si>
    <t>BOORGALAPALLI</t>
  </si>
  <si>
    <t>SHOOLAGARAI</t>
  </si>
  <si>
    <t>GANGANUR</t>
  </si>
  <si>
    <t>33</t>
  </si>
  <si>
    <t>KANJANUR</t>
  </si>
  <si>
    <t>GOORSAMPATTI</t>
  </si>
  <si>
    <t>PERUMALNAICKANPATTI</t>
  </si>
  <si>
    <t>64</t>
  </si>
  <si>
    <t>UPPARAPATTI</t>
  </si>
  <si>
    <t>125</t>
  </si>
  <si>
    <t>MAGANURPATTI</t>
  </si>
  <si>
    <t>ELAVAMPATTI</t>
  </si>
  <si>
    <t>183</t>
  </si>
  <si>
    <t>MUTHAMPATTI</t>
  </si>
  <si>
    <t>GENGABIRANPATTI</t>
  </si>
  <si>
    <t>GENGINAICKANPATTI</t>
  </si>
  <si>
    <t>124</t>
  </si>
  <si>
    <t>UMAIYAGOUNDAPATTI</t>
  </si>
  <si>
    <t>KATTUSINGIRIPATTI</t>
  </si>
  <si>
    <t>79</t>
  </si>
  <si>
    <t>THIRUVANAPATTI</t>
  </si>
  <si>
    <t>NALLAVAMPATTI</t>
  </si>
  <si>
    <t>179</t>
  </si>
  <si>
    <t>KATHIRAMPATTI</t>
  </si>
  <si>
    <t>PUDHUR PUNGANAI</t>
  </si>
  <si>
    <t>ATHIPADI</t>
  </si>
  <si>
    <t>185</t>
  </si>
  <si>
    <t>KOTTUKARANPATTI</t>
  </si>
  <si>
    <t>169</t>
  </si>
  <si>
    <t>KATTERI</t>
  </si>
  <si>
    <t>146</t>
  </si>
  <si>
    <t>TIPPAMPATTI</t>
  </si>
  <si>
    <t>SOLAKAPATTI</t>
  </si>
  <si>
    <t>ONNAGARAI (BK:UTHANGARAI)</t>
  </si>
  <si>
    <t>98</t>
  </si>
  <si>
    <t>GOVINTHAPURAM</t>
  </si>
  <si>
    <t>KANAMPATTI</t>
  </si>
  <si>
    <t>142</t>
  </si>
  <si>
    <t>ILAKKAMPATTI</t>
  </si>
  <si>
    <t>GURUBARAVALASAI</t>
  </si>
  <si>
    <t>MALLUPATTI</t>
  </si>
  <si>
    <t>166</t>
  </si>
  <si>
    <t>NAICKNUR</t>
  </si>
  <si>
    <t>172</t>
  </si>
  <si>
    <t>KONAMPATTI</t>
  </si>
  <si>
    <t>RANGAMPATTI</t>
  </si>
  <si>
    <t>MARAPPANAICKANPATTI</t>
  </si>
  <si>
    <t>ALERAHALLI</t>
  </si>
  <si>
    <t>THATHAMPATTI</t>
  </si>
  <si>
    <t>VILANGAMUDI</t>
  </si>
  <si>
    <t>VEERAMALAI</t>
  </si>
  <si>
    <t>PANNANTHUR</t>
  </si>
  <si>
    <t>PENNESVARAMADAM MADAM I &amp; II</t>
  </si>
  <si>
    <t>MITTAHALLI I &amp; II</t>
  </si>
  <si>
    <t>SAPARTHI</t>
  </si>
  <si>
    <t>KAVERIPATTINNAM</t>
  </si>
  <si>
    <t>SIGRAMAGAPALLI</t>
  </si>
  <si>
    <t>NADUVANAPALLI</t>
  </si>
  <si>
    <t>SINGIRIPALLI</t>
  </si>
  <si>
    <t>EDAYARAPALLI</t>
  </si>
  <si>
    <t>38</t>
  </si>
  <si>
    <t>PULIYANCHERI</t>
  </si>
  <si>
    <t>63</t>
  </si>
  <si>
    <t>BILANAKUPPAM</t>
  </si>
  <si>
    <t>KRISHNAPPANAICKANPODUR</t>
  </si>
  <si>
    <t>APPINAICKANKOTTAI</t>
  </si>
  <si>
    <t>PURAM</t>
  </si>
  <si>
    <t>KUPPACHIPARAI</t>
  </si>
  <si>
    <t>59</t>
  </si>
  <si>
    <t>NIMALVADAI</t>
  </si>
  <si>
    <t>ETTIPALLI</t>
  </si>
  <si>
    <t>KUNTHARAPALLI</t>
  </si>
  <si>
    <t>67</t>
  </si>
  <si>
    <t>BALANAPALLI</t>
  </si>
  <si>
    <t>GANGALERI</t>
  </si>
  <si>
    <t>AGARAM</t>
  </si>
  <si>
    <t>KOMPALLI</t>
  </si>
  <si>
    <t>NARALAPALLI</t>
  </si>
  <si>
    <t>127</t>
  </si>
  <si>
    <t>SEMBADAMMUTHUR</t>
  </si>
  <si>
    <t>SORAKAYANAPALLI</t>
  </si>
  <si>
    <t>KOTTASADANAPALLI</t>
  </si>
  <si>
    <t>GULLU</t>
  </si>
  <si>
    <t>GEDHALANDHOTTI</t>
  </si>
  <si>
    <t>PEDDHASIKARAPALLI</t>
  </si>
  <si>
    <t>MEENANDODI</t>
  </si>
  <si>
    <t>49</t>
  </si>
  <si>
    <t>MUTHURAYANPUDHUR</t>
  </si>
  <si>
    <t>VANAMANGALAM</t>
  </si>
  <si>
    <t>PANNAPALLI</t>
  </si>
  <si>
    <t>BEDEPALLI</t>
  </si>
  <si>
    <t>163</t>
  </si>
  <si>
    <t>MALLANAKUTTUR</t>
  </si>
  <si>
    <t>162</t>
  </si>
  <si>
    <t>SEEKALAPALLI</t>
  </si>
  <si>
    <t>175</t>
  </si>
  <si>
    <t>PIKKANAPALLI</t>
  </si>
  <si>
    <t>A.CHETTIPALLI</t>
  </si>
  <si>
    <t>138</t>
  </si>
  <si>
    <t>AGARAM AGRAHARAM</t>
  </si>
  <si>
    <t>CHINNAKUDIBALA</t>
  </si>
  <si>
    <t>171</t>
  </si>
  <si>
    <t>KAMANTHOTTI</t>
  </si>
  <si>
    <t>Year:2026-27 (Fasli-1436)</t>
  </si>
  <si>
    <t>01(2)</t>
  </si>
  <si>
    <t>02(1)</t>
  </si>
  <si>
    <t>14(2)</t>
  </si>
  <si>
    <t>17(1)</t>
  </si>
  <si>
    <t>22(2)</t>
  </si>
  <si>
    <t>21(1)</t>
  </si>
  <si>
    <t>01(1)</t>
  </si>
  <si>
    <t>23(1)</t>
  </si>
  <si>
    <t>12(1)</t>
  </si>
  <si>
    <t>08(2)</t>
  </si>
  <si>
    <t>13(2)</t>
  </si>
  <si>
    <t>20(1)</t>
  </si>
  <si>
    <t>29(1)</t>
  </si>
  <si>
    <t>28(2)</t>
  </si>
  <si>
    <t>07(1)</t>
  </si>
  <si>
    <t>23(2)</t>
  </si>
  <si>
    <t>14(1)</t>
  </si>
  <si>
    <t xml:space="preserve">Sample : Central </t>
  </si>
  <si>
    <t>Sample : State</t>
  </si>
  <si>
    <t>Oder of selection</t>
  </si>
  <si>
    <t>Stratum No.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</si>
</sst>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4" fillId="0" borderId="0" xfId="2" applyFont="1" applyBorder="1" applyAlignment="1">
      <alignment vertical="center"/>
    </xf>
    <xf numFmtId="0" fontId="4" fillId="2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0" fillId="0" borderId="0" xfId="0" applyAlignment="1">
      <alignment horizontal="center"/>
    </xf>
    <xf numFmtId="0" fontId="9" fillId="0" borderId="1" xfId="4" applyFont="1" applyBorder="1" applyAlignment="1">
      <alignment horizontal="center" vertical="center" wrapText="1"/>
    </xf>
    <xf numFmtId="0" fontId="5" fillId="0" borderId="1" xfId="1" applyFont="1" applyFill="1" applyBorder="1" applyAlignment="1">
      <alignment wrapText="1"/>
    </xf>
    <xf numFmtId="0" fontId="5" fillId="0" borderId="1" xfId="1" applyFont="1" applyFill="1" applyBorder="1" applyAlignment="1">
      <alignment horizontal="center" wrapText="1"/>
    </xf>
    <xf numFmtId="0" fontId="7" fillId="0" borderId="1" xfId="4" applyFont="1" applyBorder="1" applyAlignment="1">
      <alignment horizontal="center" vertical="center"/>
    </xf>
    <xf numFmtId="0" fontId="2" fillId="0" borderId="0" xfId="4"/>
    <xf numFmtId="0" fontId="9" fillId="0" borderId="1" xfId="4" applyFont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wrapText="1"/>
    </xf>
    <xf numFmtId="0" fontId="12" fillId="0" borderId="1" xfId="4" applyFont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/>
    </xf>
    <xf numFmtId="0" fontId="10" fillId="0" borderId="1" xfId="1" applyFont="1" applyFill="1" applyBorder="1" applyAlignment="1">
      <alignment horizontal="right" vertical="center" wrapText="1"/>
    </xf>
    <xf numFmtId="0" fontId="14" fillId="0" borderId="1" xfId="4" applyFont="1" applyBorder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1" xfId="1" applyFont="1" applyFill="1" applyBorder="1" applyAlignment="1">
      <alignment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0" borderId="1" xfId="1" applyFont="1" applyBorder="1" applyAlignment="1">
      <alignment wrapText="1"/>
    </xf>
    <xf numFmtId="0" fontId="5" fillId="0" borderId="1" xfId="1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0" borderId="0" xfId="4" applyFont="1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0" fontId="4" fillId="0" borderId="1" xfId="2" applyFont="1" applyBorder="1" applyAlignment="1">
      <alignment vertical="center"/>
    </xf>
    <xf numFmtId="0" fontId="4" fillId="2" borderId="1" xfId="2" applyFont="1" applyFill="1" applyBorder="1" applyAlignment="1">
      <alignment vertical="center"/>
    </xf>
    <xf numFmtId="0" fontId="7" fillId="0" borderId="1" xfId="4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0" borderId="1" xfId="5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4" applyFont="1" applyBorder="1" applyAlignment="1">
      <alignment horizontal="left" vertical="center"/>
    </xf>
    <xf numFmtId="0" fontId="9" fillId="0" borderId="1" xfId="4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5" xfId="4" applyFont="1" applyBorder="1" applyAlignment="1">
      <alignment horizontal="left" vertical="center"/>
    </xf>
    <xf numFmtId="0" fontId="9" fillId="0" borderId="6" xfId="4" applyFont="1" applyBorder="1" applyAlignment="1">
      <alignment horizontal="left" vertical="center"/>
    </xf>
    <xf numFmtId="0" fontId="9" fillId="0" borderId="7" xfId="4" applyFont="1" applyBorder="1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 wrapText="1"/>
    </xf>
    <xf numFmtId="0" fontId="9" fillId="0" borderId="0" xfId="4" applyFont="1" applyAlignment="1">
      <alignment horizontal="left" vertical="center"/>
    </xf>
    <xf numFmtId="0" fontId="6" fillId="0" borderId="1" xfId="4" applyFont="1" applyBorder="1" applyAlignment="1">
      <alignment horizontal="center" vertical="center" textRotation="90" wrapText="1"/>
    </xf>
    <xf numFmtId="0" fontId="9" fillId="0" borderId="2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showWhiteSpace="0" view="pageLayout" workbookViewId="0">
      <selection activeCell="D17" sqref="D17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26.7109375" customWidth="1"/>
    <col min="5" max="5" width="11.28515625" customWidth="1"/>
    <col min="6" max="6" width="10.28515625" style="9" customWidth="1"/>
  </cols>
  <sheetData>
    <row r="1" spans="1:8">
      <c r="A1" s="44" t="s">
        <v>69</v>
      </c>
      <c r="B1" s="44"/>
      <c r="C1" s="44"/>
      <c r="D1" s="44"/>
      <c r="E1" s="44"/>
      <c r="F1" s="44"/>
      <c r="G1" s="35"/>
      <c r="H1" s="35"/>
    </row>
    <row r="2" spans="1:8" s="5" customFormat="1" ht="24.95" customHeight="1">
      <c r="A2" s="36" t="s">
        <v>87</v>
      </c>
      <c r="B2" s="37" t="s">
        <v>83</v>
      </c>
      <c r="C2" s="38"/>
      <c r="D2" s="43" t="s">
        <v>280</v>
      </c>
      <c r="E2" s="43"/>
      <c r="F2" s="43"/>
    </row>
    <row r="3" spans="1:8" s="8" customFormat="1" ht="24.95" customHeight="1">
      <c r="A3" s="39"/>
      <c r="B3" s="13"/>
      <c r="C3" s="13"/>
      <c r="D3" s="43" t="s">
        <v>261</v>
      </c>
      <c r="E3" s="43"/>
      <c r="F3" s="43"/>
    </row>
    <row r="4" spans="1:8" ht="52.5" customHeight="1">
      <c r="A4" s="40" t="s">
        <v>282</v>
      </c>
      <c r="B4" s="40" t="s">
        <v>1</v>
      </c>
      <c r="C4" s="40" t="s">
        <v>3</v>
      </c>
      <c r="D4" s="40" t="s">
        <v>4</v>
      </c>
      <c r="E4" s="40" t="s">
        <v>5</v>
      </c>
      <c r="F4" s="41" t="s">
        <v>281</v>
      </c>
    </row>
    <row r="5" spans="1:8">
      <c r="A5" s="42">
        <v>1</v>
      </c>
      <c r="B5" s="29" t="s">
        <v>7</v>
      </c>
      <c r="C5" s="29" t="s">
        <v>13</v>
      </c>
      <c r="D5" s="29" t="s">
        <v>90</v>
      </c>
      <c r="E5" s="29" t="s">
        <v>91</v>
      </c>
      <c r="F5" s="28">
        <v>3</v>
      </c>
    </row>
    <row r="6" spans="1:8" ht="24" customHeight="1">
      <c r="A6" s="42"/>
      <c r="B6" s="29" t="s">
        <v>7</v>
      </c>
      <c r="C6" s="29" t="s">
        <v>13</v>
      </c>
      <c r="D6" s="29" t="s">
        <v>103</v>
      </c>
      <c r="E6" s="29" t="s">
        <v>27</v>
      </c>
      <c r="F6" s="28">
        <v>4</v>
      </c>
    </row>
    <row r="7" spans="1:8" ht="21" customHeight="1">
      <c r="A7" s="45">
        <v>2</v>
      </c>
      <c r="B7" s="29" t="s">
        <v>17</v>
      </c>
      <c r="C7" s="29" t="s">
        <v>17</v>
      </c>
      <c r="D7" s="29" t="s">
        <v>139</v>
      </c>
      <c r="E7" s="29" t="s">
        <v>15</v>
      </c>
      <c r="F7" s="28">
        <v>3</v>
      </c>
    </row>
    <row r="8" spans="1:8" ht="28.5" customHeight="1">
      <c r="A8" s="45"/>
      <c r="B8" s="29" t="s">
        <v>17</v>
      </c>
      <c r="C8" s="29" t="s">
        <v>17</v>
      </c>
      <c r="D8" s="29" t="s">
        <v>147</v>
      </c>
      <c r="E8" s="29" t="s">
        <v>148</v>
      </c>
      <c r="F8" s="28">
        <v>4</v>
      </c>
    </row>
    <row r="9" spans="1:8" ht="24" customHeight="1">
      <c r="A9" s="42">
        <v>3</v>
      </c>
      <c r="B9" s="29" t="s">
        <v>6</v>
      </c>
      <c r="C9" s="29" t="s">
        <v>6</v>
      </c>
      <c r="D9" s="29" t="s">
        <v>235</v>
      </c>
      <c r="E9" s="29" t="s">
        <v>236</v>
      </c>
      <c r="F9" s="28">
        <v>3</v>
      </c>
    </row>
    <row r="10" spans="1:8" ht="22.5" customHeight="1">
      <c r="A10" s="42"/>
      <c r="B10" s="29" t="s">
        <v>6</v>
      </c>
      <c r="C10" s="29" t="s">
        <v>6</v>
      </c>
      <c r="D10" s="29" t="s">
        <v>234</v>
      </c>
      <c r="E10" s="29" t="s">
        <v>45</v>
      </c>
      <c r="F10" s="28">
        <v>4</v>
      </c>
    </row>
    <row r="11" spans="1:8" ht="25.5" customHeight="1">
      <c r="A11" s="45">
        <v>4</v>
      </c>
      <c r="B11" s="29" t="s">
        <v>40</v>
      </c>
      <c r="C11" s="29" t="s">
        <v>41</v>
      </c>
      <c r="D11" s="29" t="s">
        <v>205</v>
      </c>
      <c r="E11" s="29" t="s">
        <v>14</v>
      </c>
      <c r="F11" s="28">
        <v>3</v>
      </c>
    </row>
    <row r="12" spans="1:8" ht="25.5" customHeight="1">
      <c r="A12" s="45"/>
      <c r="B12" s="29" t="s">
        <v>28</v>
      </c>
      <c r="C12" s="29" t="s">
        <v>28</v>
      </c>
      <c r="D12" s="29" t="s">
        <v>254</v>
      </c>
      <c r="E12" s="29" t="s">
        <v>46</v>
      </c>
      <c r="F12" s="28">
        <v>4</v>
      </c>
    </row>
    <row r="13" spans="1:8" ht="27.75" customHeight="1">
      <c r="A13" s="42">
        <v>5</v>
      </c>
      <c r="B13" s="29" t="s">
        <v>44</v>
      </c>
      <c r="C13" s="29" t="s">
        <v>42</v>
      </c>
      <c r="D13" s="29" t="s">
        <v>160</v>
      </c>
      <c r="E13" s="29" t="s">
        <v>161</v>
      </c>
      <c r="F13" s="28">
        <v>3</v>
      </c>
    </row>
    <row r="14" spans="1:8" ht="26.25" customHeight="1">
      <c r="A14" s="42"/>
      <c r="B14" s="29" t="s">
        <v>44</v>
      </c>
      <c r="C14" s="29" t="s">
        <v>44</v>
      </c>
      <c r="D14" s="29" t="s">
        <v>182</v>
      </c>
      <c r="E14" s="29" t="s">
        <v>110</v>
      </c>
      <c r="F14" s="28">
        <v>4</v>
      </c>
    </row>
  </sheetData>
  <mergeCells count="8">
    <mergeCell ref="A13:A14"/>
    <mergeCell ref="D2:F2"/>
    <mergeCell ref="D3:F3"/>
    <mergeCell ref="A1:F1"/>
    <mergeCell ref="A5:A6"/>
    <mergeCell ref="A7:A8"/>
    <mergeCell ref="A9:A10"/>
    <mergeCell ref="A11:A12"/>
  </mergeCells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showWhiteSpace="0" view="pageLayout" workbookViewId="0">
      <selection activeCell="E10" sqref="E10:E11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5.28515625" bestFit="1" customWidth="1"/>
    <col min="5" max="5" width="10.42578125" customWidth="1"/>
    <col min="6" max="6" width="10.28515625" style="9" customWidth="1"/>
  </cols>
  <sheetData>
    <row r="1" spans="1:8">
      <c r="A1" s="44" t="s">
        <v>69</v>
      </c>
      <c r="B1" s="44"/>
      <c r="C1" s="44"/>
      <c r="D1" s="44"/>
      <c r="E1" s="44"/>
      <c r="F1" s="44"/>
      <c r="G1" s="35"/>
      <c r="H1" s="35"/>
    </row>
    <row r="2" spans="1:8" s="5" customFormat="1" ht="24.95" customHeight="1">
      <c r="A2" s="36" t="s">
        <v>87</v>
      </c>
      <c r="B2" s="37" t="s">
        <v>83</v>
      </c>
      <c r="C2" s="38"/>
      <c r="D2" s="46" t="s">
        <v>279</v>
      </c>
      <c r="E2" s="47"/>
      <c r="F2" s="48"/>
    </row>
    <row r="3" spans="1:8" s="8" customFormat="1" ht="24.95" customHeight="1">
      <c r="A3" s="39"/>
      <c r="B3" s="13"/>
      <c r="C3" s="13"/>
      <c r="D3" s="46" t="s">
        <v>261</v>
      </c>
      <c r="E3" s="47"/>
      <c r="F3" s="48"/>
    </row>
    <row r="4" spans="1:8" ht="30">
      <c r="A4" s="40" t="s">
        <v>66</v>
      </c>
      <c r="B4" s="40" t="s">
        <v>1</v>
      </c>
      <c r="C4" s="40" t="s">
        <v>3</v>
      </c>
      <c r="D4" s="40" t="s">
        <v>4</v>
      </c>
      <c r="E4" s="40" t="s">
        <v>5</v>
      </c>
      <c r="F4" s="41" t="s">
        <v>281</v>
      </c>
    </row>
    <row r="5" spans="1:8" ht="27" customHeight="1">
      <c r="A5" s="42">
        <v>1</v>
      </c>
      <c r="B5" s="29" t="s">
        <v>7</v>
      </c>
      <c r="C5" s="29" t="s">
        <v>8</v>
      </c>
      <c r="D5" s="29" t="s">
        <v>107</v>
      </c>
      <c r="E5" s="29" t="s">
        <v>108</v>
      </c>
      <c r="F5" s="28">
        <v>1</v>
      </c>
    </row>
    <row r="6" spans="1:8" ht="24" customHeight="1">
      <c r="A6" s="42"/>
      <c r="B6" s="29" t="s">
        <v>7</v>
      </c>
      <c r="C6" s="29" t="s">
        <v>13</v>
      </c>
      <c r="D6" s="29" t="s">
        <v>88</v>
      </c>
      <c r="E6" s="29" t="s">
        <v>89</v>
      </c>
      <c r="F6" s="28">
        <v>2</v>
      </c>
    </row>
    <row r="7" spans="1:8" ht="21.75" customHeight="1">
      <c r="A7" s="45">
        <v>2</v>
      </c>
      <c r="B7" s="29" t="s">
        <v>17</v>
      </c>
      <c r="C7" s="29" t="s">
        <v>17</v>
      </c>
      <c r="D7" s="29" t="s">
        <v>134</v>
      </c>
      <c r="E7" s="29" t="s">
        <v>135</v>
      </c>
      <c r="F7" s="28">
        <v>1</v>
      </c>
    </row>
    <row r="8" spans="1:8" ht="25.5" customHeight="1">
      <c r="A8" s="45"/>
      <c r="B8" s="29" t="s">
        <v>17</v>
      </c>
      <c r="C8" s="29" t="s">
        <v>17</v>
      </c>
      <c r="D8" s="29" t="s">
        <v>136</v>
      </c>
      <c r="E8" s="29" t="s">
        <v>39</v>
      </c>
      <c r="F8" s="28">
        <v>2</v>
      </c>
    </row>
    <row r="9" spans="1:8" ht="27.75" customHeight="1">
      <c r="A9" s="42">
        <v>3</v>
      </c>
      <c r="B9" s="29" t="s">
        <v>6</v>
      </c>
      <c r="C9" s="29" t="s">
        <v>6</v>
      </c>
      <c r="D9" s="29" t="s">
        <v>233</v>
      </c>
      <c r="E9" s="29" t="s">
        <v>19</v>
      </c>
      <c r="F9" s="28">
        <v>1</v>
      </c>
    </row>
    <row r="10" spans="1:8" ht="25.5" customHeight="1">
      <c r="A10" s="42"/>
      <c r="B10" s="29" t="s">
        <v>6</v>
      </c>
      <c r="C10" s="29" t="s">
        <v>38</v>
      </c>
      <c r="D10" s="29" t="s">
        <v>210</v>
      </c>
      <c r="E10" s="29" t="s">
        <v>47</v>
      </c>
      <c r="F10" s="28">
        <v>2</v>
      </c>
    </row>
    <row r="11" spans="1:8" ht="25.5" customHeight="1">
      <c r="A11" s="45">
        <v>4</v>
      </c>
      <c r="B11" s="29" t="s">
        <v>28</v>
      </c>
      <c r="C11" s="29" t="s">
        <v>28</v>
      </c>
      <c r="D11" s="29" t="s">
        <v>252</v>
      </c>
      <c r="E11" s="29" t="s">
        <v>253</v>
      </c>
      <c r="F11" s="28">
        <v>1</v>
      </c>
    </row>
    <row r="12" spans="1:8" ht="23.25" customHeight="1">
      <c r="A12" s="45"/>
      <c r="B12" s="29" t="s">
        <v>28</v>
      </c>
      <c r="C12" s="29" t="s">
        <v>28</v>
      </c>
      <c r="D12" s="29" t="s">
        <v>246</v>
      </c>
      <c r="E12" s="29" t="s">
        <v>57</v>
      </c>
      <c r="F12" s="28">
        <v>2</v>
      </c>
    </row>
    <row r="13" spans="1:8" ht="25.5" customHeight="1">
      <c r="A13" s="42">
        <v>5</v>
      </c>
      <c r="B13" s="29" t="s">
        <v>44</v>
      </c>
      <c r="C13" s="29" t="s">
        <v>44</v>
      </c>
      <c r="D13" s="29" t="s">
        <v>190</v>
      </c>
      <c r="E13" s="29" t="s">
        <v>124</v>
      </c>
      <c r="F13" s="28">
        <v>1</v>
      </c>
    </row>
    <row r="14" spans="1:8" ht="23.25" customHeight="1">
      <c r="A14" s="42"/>
      <c r="B14" s="29" t="s">
        <v>44</v>
      </c>
      <c r="C14" s="29" t="s">
        <v>44</v>
      </c>
      <c r="D14" s="29" t="s">
        <v>189</v>
      </c>
      <c r="E14" s="29" t="s">
        <v>63</v>
      </c>
      <c r="F14" s="28">
        <v>2</v>
      </c>
    </row>
  </sheetData>
  <mergeCells count="8">
    <mergeCell ref="A13:A14"/>
    <mergeCell ref="D2:F2"/>
    <mergeCell ref="D3:F3"/>
    <mergeCell ref="A1:F1"/>
    <mergeCell ref="A5:A6"/>
    <mergeCell ref="A7:A8"/>
    <mergeCell ref="A9:A10"/>
    <mergeCell ref="A11:A12"/>
  </mergeCells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2"/>
  <sheetViews>
    <sheetView showWhiteSpace="0" view="pageLayout" workbookViewId="0">
      <selection activeCell="E17" sqref="E17"/>
    </sheetView>
  </sheetViews>
  <sheetFormatPr defaultRowHeight="15"/>
  <cols>
    <col min="1" max="1" width="9.85546875" bestFit="1" customWidth="1"/>
    <col min="2" max="2" width="13.5703125" bestFit="1" customWidth="1"/>
    <col min="3" max="3" width="25.7109375" customWidth="1"/>
    <col min="4" max="4" width="13.5703125" bestFit="1" customWidth="1"/>
    <col min="5" max="5" width="26.42578125" customWidth="1"/>
    <col min="6" max="6" width="35.28515625" bestFit="1" customWidth="1"/>
    <col min="7" max="7" width="9.5703125" customWidth="1"/>
    <col min="8" max="8" width="10.7109375" style="9" customWidth="1"/>
    <col min="9" max="9" width="10.28515625" style="9" customWidth="1"/>
  </cols>
  <sheetData>
    <row r="1" spans="1:11">
      <c r="A1" s="49" t="s">
        <v>69</v>
      </c>
      <c r="B1" s="49"/>
      <c r="C1" s="49"/>
      <c r="D1" s="49"/>
      <c r="E1" s="49"/>
      <c r="F1" s="49"/>
      <c r="G1" s="49"/>
      <c r="H1" s="49"/>
      <c r="I1" s="49"/>
      <c r="J1" s="35"/>
      <c r="K1" s="35"/>
    </row>
    <row r="2" spans="1:11" s="5" customFormat="1" ht="24.95" customHeight="1">
      <c r="A2" s="1" t="s">
        <v>87</v>
      </c>
      <c r="B2" s="2" t="s">
        <v>83</v>
      </c>
      <c r="D2" s="3"/>
      <c r="E2" s="3"/>
      <c r="F2" s="33" t="s">
        <v>65</v>
      </c>
      <c r="G2" s="3"/>
      <c r="H2" s="3"/>
      <c r="I2" s="3"/>
    </row>
    <row r="3" spans="1:11" s="8" customFormat="1" ht="24.95" customHeight="1">
      <c r="A3" s="6"/>
      <c r="B3" s="4"/>
      <c r="C3" s="4"/>
      <c r="D3" s="4"/>
      <c r="E3" s="4"/>
      <c r="F3" s="33" t="s">
        <v>261</v>
      </c>
      <c r="G3" s="4"/>
      <c r="H3" s="4"/>
      <c r="I3" s="4"/>
    </row>
    <row r="4" spans="1:11" ht="60">
      <c r="A4" s="40" t="s">
        <v>66</v>
      </c>
      <c r="B4" s="40" t="s">
        <v>0</v>
      </c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1" t="s">
        <v>67</v>
      </c>
      <c r="I4" s="41" t="s">
        <v>68</v>
      </c>
    </row>
    <row r="5" spans="1:11">
      <c r="A5" s="42">
        <v>1</v>
      </c>
      <c r="B5" s="29" t="s">
        <v>35</v>
      </c>
      <c r="C5" s="29" t="s">
        <v>7</v>
      </c>
      <c r="D5" s="29" t="s">
        <v>36</v>
      </c>
      <c r="E5" s="29" t="s">
        <v>13</v>
      </c>
      <c r="F5" s="29" t="s">
        <v>88</v>
      </c>
      <c r="G5" s="29" t="s">
        <v>89</v>
      </c>
      <c r="H5" s="24">
        <v>1</v>
      </c>
      <c r="I5" s="31">
        <v>1</v>
      </c>
    </row>
    <row r="6" spans="1:11">
      <c r="A6" s="42"/>
      <c r="B6" s="29" t="s">
        <v>35</v>
      </c>
      <c r="C6" s="29" t="s">
        <v>7</v>
      </c>
      <c r="D6" s="29" t="s">
        <v>36</v>
      </c>
      <c r="E6" s="29" t="s">
        <v>13</v>
      </c>
      <c r="F6" s="29" t="s">
        <v>90</v>
      </c>
      <c r="G6" s="29" t="s">
        <v>91</v>
      </c>
      <c r="H6" s="24">
        <v>2</v>
      </c>
      <c r="I6" s="32">
        <v>2</v>
      </c>
    </row>
    <row r="7" spans="1:11">
      <c r="A7" s="42"/>
      <c r="B7" s="29" t="s">
        <v>35</v>
      </c>
      <c r="C7" s="29" t="s">
        <v>7</v>
      </c>
      <c r="D7" s="29" t="s">
        <v>36</v>
      </c>
      <c r="E7" s="29" t="s">
        <v>13</v>
      </c>
      <c r="F7" s="29" t="s">
        <v>92</v>
      </c>
      <c r="G7" s="29" t="s">
        <v>34</v>
      </c>
      <c r="H7" s="24">
        <v>3</v>
      </c>
      <c r="I7" s="24">
        <v>3</v>
      </c>
    </row>
    <row r="8" spans="1:11">
      <c r="A8" s="42"/>
      <c r="B8" s="29" t="s">
        <v>35</v>
      </c>
      <c r="C8" s="29" t="s">
        <v>7</v>
      </c>
      <c r="D8" s="29" t="s">
        <v>36</v>
      </c>
      <c r="E8" s="29" t="s">
        <v>13</v>
      </c>
      <c r="F8" s="29" t="s">
        <v>93</v>
      </c>
      <c r="G8" s="29" t="s">
        <v>20</v>
      </c>
      <c r="H8" s="24">
        <v>4</v>
      </c>
      <c r="I8" s="24">
        <v>4</v>
      </c>
    </row>
    <row r="9" spans="1:11">
      <c r="A9" s="42"/>
      <c r="B9" s="29" t="s">
        <v>35</v>
      </c>
      <c r="C9" s="29" t="s">
        <v>7</v>
      </c>
      <c r="D9" s="29" t="s">
        <v>36</v>
      </c>
      <c r="E9" s="29" t="s">
        <v>13</v>
      </c>
      <c r="F9" s="29" t="s">
        <v>94</v>
      </c>
      <c r="G9" s="29" t="s">
        <v>35</v>
      </c>
      <c r="H9" s="24">
        <v>5</v>
      </c>
      <c r="I9" s="24">
        <v>5</v>
      </c>
    </row>
    <row r="10" spans="1:11">
      <c r="A10" s="42"/>
      <c r="B10" s="29" t="s">
        <v>35</v>
      </c>
      <c r="C10" s="29" t="s">
        <v>7</v>
      </c>
      <c r="D10" s="29" t="s">
        <v>36</v>
      </c>
      <c r="E10" s="29" t="s">
        <v>13</v>
      </c>
      <c r="F10" s="29" t="s">
        <v>95</v>
      </c>
      <c r="G10" s="29" t="s">
        <v>51</v>
      </c>
      <c r="H10" s="24">
        <v>6</v>
      </c>
      <c r="I10" s="24">
        <v>6</v>
      </c>
    </row>
    <row r="11" spans="1:11">
      <c r="A11" s="42"/>
      <c r="B11" s="29" t="s">
        <v>35</v>
      </c>
      <c r="C11" s="29" t="s">
        <v>7</v>
      </c>
      <c r="D11" s="29" t="s">
        <v>36</v>
      </c>
      <c r="E11" s="29" t="s">
        <v>13</v>
      </c>
      <c r="F11" s="29" t="s">
        <v>96</v>
      </c>
      <c r="G11" s="29" t="s">
        <v>97</v>
      </c>
      <c r="H11" s="24">
        <v>7</v>
      </c>
      <c r="I11" s="24">
        <v>7</v>
      </c>
    </row>
    <row r="12" spans="1:11">
      <c r="A12" s="42"/>
      <c r="B12" s="29" t="s">
        <v>35</v>
      </c>
      <c r="C12" s="29" t="s">
        <v>7</v>
      </c>
      <c r="D12" s="29" t="s">
        <v>36</v>
      </c>
      <c r="E12" s="29" t="s">
        <v>13</v>
      </c>
      <c r="F12" s="29" t="s">
        <v>98</v>
      </c>
      <c r="G12" s="29" t="s">
        <v>99</v>
      </c>
      <c r="H12" s="24">
        <v>8</v>
      </c>
      <c r="I12" s="24">
        <v>8</v>
      </c>
    </row>
    <row r="13" spans="1:11">
      <c r="A13" s="42"/>
      <c r="B13" s="29" t="s">
        <v>35</v>
      </c>
      <c r="C13" s="29" t="s">
        <v>7</v>
      </c>
      <c r="D13" s="29" t="s">
        <v>36</v>
      </c>
      <c r="E13" s="29" t="s">
        <v>13</v>
      </c>
      <c r="F13" s="29" t="s">
        <v>100</v>
      </c>
      <c r="G13" s="29" t="s">
        <v>101</v>
      </c>
      <c r="H13" s="24">
        <v>9</v>
      </c>
      <c r="I13" s="24">
        <v>9</v>
      </c>
    </row>
    <row r="14" spans="1:11">
      <c r="A14" s="42"/>
      <c r="B14" s="29" t="s">
        <v>35</v>
      </c>
      <c r="C14" s="29" t="s">
        <v>7</v>
      </c>
      <c r="D14" s="29" t="s">
        <v>36</v>
      </c>
      <c r="E14" s="29" t="s">
        <v>13</v>
      </c>
      <c r="F14" s="29" t="s">
        <v>102</v>
      </c>
      <c r="G14" s="29" t="s">
        <v>55</v>
      </c>
      <c r="H14" s="24">
        <v>10</v>
      </c>
      <c r="I14" s="24">
        <v>10</v>
      </c>
    </row>
    <row r="15" spans="1:11">
      <c r="A15" s="42"/>
      <c r="B15" s="29" t="s">
        <v>35</v>
      </c>
      <c r="C15" s="29" t="s">
        <v>7</v>
      </c>
      <c r="D15" s="29" t="s">
        <v>36</v>
      </c>
      <c r="E15" s="29" t="s">
        <v>13</v>
      </c>
      <c r="F15" s="29" t="s">
        <v>103</v>
      </c>
      <c r="G15" s="29" t="s">
        <v>27</v>
      </c>
      <c r="H15" s="24">
        <v>11</v>
      </c>
      <c r="I15" s="32">
        <v>11</v>
      </c>
    </row>
    <row r="16" spans="1:11">
      <c r="A16" s="42"/>
      <c r="B16" s="29" t="s">
        <v>35</v>
      </c>
      <c r="C16" s="29" t="s">
        <v>7</v>
      </c>
      <c r="D16" s="29" t="s">
        <v>36</v>
      </c>
      <c r="E16" s="29" t="s">
        <v>13</v>
      </c>
      <c r="F16" s="29" t="s">
        <v>13</v>
      </c>
      <c r="G16" s="29" t="s">
        <v>104</v>
      </c>
      <c r="H16" s="24">
        <v>12</v>
      </c>
      <c r="I16" s="24">
        <v>12</v>
      </c>
    </row>
    <row r="17" spans="1:9">
      <c r="A17" s="42"/>
      <c r="B17" s="29" t="s">
        <v>35</v>
      </c>
      <c r="C17" s="29" t="s">
        <v>7</v>
      </c>
      <c r="D17" s="29" t="s">
        <v>97</v>
      </c>
      <c r="E17" s="29" t="s">
        <v>8</v>
      </c>
      <c r="F17" s="29" t="s">
        <v>105</v>
      </c>
      <c r="G17" s="29" t="s">
        <v>106</v>
      </c>
      <c r="H17" s="24">
        <v>1</v>
      </c>
      <c r="I17" s="24">
        <v>13</v>
      </c>
    </row>
    <row r="18" spans="1:9">
      <c r="A18" s="42"/>
      <c r="B18" s="29" t="s">
        <v>35</v>
      </c>
      <c r="C18" s="29" t="s">
        <v>7</v>
      </c>
      <c r="D18" s="29" t="s">
        <v>97</v>
      </c>
      <c r="E18" s="29" t="s">
        <v>8</v>
      </c>
      <c r="F18" s="29" t="s">
        <v>107</v>
      </c>
      <c r="G18" s="29" t="s">
        <v>108</v>
      </c>
      <c r="H18" s="24">
        <v>2</v>
      </c>
      <c r="I18" s="31">
        <v>14</v>
      </c>
    </row>
    <row r="19" spans="1:9">
      <c r="A19" s="42"/>
      <c r="B19" s="29" t="s">
        <v>35</v>
      </c>
      <c r="C19" s="29" t="s">
        <v>7</v>
      </c>
      <c r="D19" s="29" t="s">
        <v>97</v>
      </c>
      <c r="E19" s="29" t="s">
        <v>8</v>
      </c>
      <c r="F19" s="29" t="s">
        <v>109</v>
      </c>
      <c r="G19" s="29" t="s">
        <v>110</v>
      </c>
      <c r="H19" s="24">
        <v>3</v>
      </c>
      <c r="I19" s="24">
        <v>15</v>
      </c>
    </row>
    <row r="20" spans="1:9">
      <c r="A20" s="42"/>
      <c r="B20" s="29" t="s">
        <v>35</v>
      </c>
      <c r="C20" s="29" t="s">
        <v>7</v>
      </c>
      <c r="D20" s="29" t="s">
        <v>97</v>
      </c>
      <c r="E20" s="29" t="s">
        <v>8</v>
      </c>
      <c r="F20" s="29" t="s">
        <v>111</v>
      </c>
      <c r="G20" s="29" t="s">
        <v>62</v>
      </c>
      <c r="H20" s="24">
        <v>4</v>
      </c>
      <c r="I20" s="24">
        <v>16</v>
      </c>
    </row>
    <row r="21" spans="1:9">
      <c r="A21" s="42"/>
      <c r="B21" s="29" t="s">
        <v>35</v>
      </c>
      <c r="C21" s="29" t="s">
        <v>7</v>
      </c>
      <c r="D21" s="29" t="s">
        <v>97</v>
      </c>
      <c r="E21" s="29" t="s">
        <v>8</v>
      </c>
      <c r="F21" s="29" t="s">
        <v>112</v>
      </c>
      <c r="G21" s="29" t="s">
        <v>33</v>
      </c>
      <c r="H21" s="24">
        <v>5</v>
      </c>
      <c r="I21" s="24">
        <v>17</v>
      </c>
    </row>
    <row r="22" spans="1:9">
      <c r="A22" s="42"/>
      <c r="B22" s="29" t="s">
        <v>35</v>
      </c>
      <c r="C22" s="29" t="s">
        <v>7</v>
      </c>
      <c r="D22" s="29" t="s">
        <v>97</v>
      </c>
      <c r="E22" s="29" t="s">
        <v>8</v>
      </c>
      <c r="F22" s="29" t="s">
        <v>9</v>
      </c>
      <c r="G22" s="29" t="s">
        <v>31</v>
      </c>
      <c r="H22" s="24">
        <v>6</v>
      </c>
      <c r="I22" s="24">
        <v>18</v>
      </c>
    </row>
    <row r="23" spans="1:9">
      <c r="A23" s="42"/>
      <c r="B23" s="29" t="s">
        <v>35</v>
      </c>
      <c r="C23" s="29" t="s">
        <v>7</v>
      </c>
      <c r="D23" s="29" t="s">
        <v>97</v>
      </c>
      <c r="E23" s="29" t="s">
        <v>8</v>
      </c>
      <c r="F23" s="29" t="s">
        <v>113</v>
      </c>
      <c r="G23" s="29" t="s">
        <v>114</v>
      </c>
      <c r="H23" s="24">
        <v>7</v>
      </c>
      <c r="I23" s="24">
        <v>19</v>
      </c>
    </row>
    <row r="24" spans="1:9">
      <c r="A24" s="45">
        <v>2</v>
      </c>
      <c r="B24" s="29" t="s">
        <v>51</v>
      </c>
      <c r="C24" s="29" t="s">
        <v>41</v>
      </c>
      <c r="D24" s="29" t="s">
        <v>51</v>
      </c>
      <c r="E24" s="29" t="s">
        <v>42</v>
      </c>
      <c r="F24" s="29" t="s">
        <v>115</v>
      </c>
      <c r="G24" s="29" t="s">
        <v>116</v>
      </c>
      <c r="H24" s="24">
        <v>1</v>
      </c>
      <c r="I24" s="28">
        <v>1</v>
      </c>
    </row>
    <row r="25" spans="1:9">
      <c r="A25" s="45"/>
      <c r="B25" s="29" t="s">
        <v>51</v>
      </c>
      <c r="C25" s="29" t="s">
        <v>41</v>
      </c>
      <c r="D25" s="29" t="s">
        <v>117</v>
      </c>
      <c r="E25" s="29" t="s">
        <v>41</v>
      </c>
      <c r="F25" s="29" t="s">
        <v>118</v>
      </c>
      <c r="G25" s="29" t="s">
        <v>119</v>
      </c>
      <c r="H25" s="24">
        <v>1</v>
      </c>
      <c r="I25" s="28">
        <v>2</v>
      </c>
    </row>
    <row r="26" spans="1:9">
      <c r="A26" s="45"/>
      <c r="B26" s="29" t="s">
        <v>51</v>
      </c>
      <c r="C26" s="29" t="s">
        <v>41</v>
      </c>
      <c r="D26" s="29" t="s">
        <v>117</v>
      </c>
      <c r="E26" s="29" t="s">
        <v>41</v>
      </c>
      <c r="F26" s="29" t="s">
        <v>120</v>
      </c>
      <c r="G26" s="29" t="s">
        <v>60</v>
      </c>
      <c r="H26" s="24">
        <v>2</v>
      </c>
      <c r="I26" s="28">
        <v>3</v>
      </c>
    </row>
    <row r="27" spans="1:9" ht="16.5" customHeight="1">
      <c r="A27" s="45"/>
      <c r="B27" s="29" t="s">
        <v>51</v>
      </c>
      <c r="C27" s="29" t="s">
        <v>41</v>
      </c>
      <c r="D27" s="29" t="s">
        <v>117</v>
      </c>
      <c r="E27" s="29" t="s">
        <v>41</v>
      </c>
      <c r="F27" s="29" t="s">
        <v>121</v>
      </c>
      <c r="G27" s="29" t="s">
        <v>122</v>
      </c>
      <c r="H27" s="24">
        <v>3</v>
      </c>
      <c r="I27" s="28">
        <v>4</v>
      </c>
    </row>
    <row r="28" spans="1:9">
      <c r="A28" s="45"/>
      <c r="B28" s="29" t="s">
        <v>51</v>
      </c>
      <c r="C28" s="29" t="s">
        <v>41</v>
      </c>
      <c r="D28" s="29" t="s">
        <v>117</v>
      </c>
      <c r="E28" s="29" t="s">
        <v>41</v>
      </c>
      <c r="F28" s="29" t="s">
        <v>123</v>
      </c>
      <c r="G28" s="29" t="s">
        <v>124</v>
      </c>
      <c r="H28" s="24">
        <v>4</v>
      </c>
      <c r="I28" s="28">
        <v>5</v>
      </c>
    </row>
    <row r="29" spans="1:9">
      <c r="A29" s="45"/>
      <c r="B29" s="29" t="s">
        <v>51</v>
      </c>
      <c r="C29" s="29" t="s">
        <v>41</v>
      </c>
      <c r="D29" s="29" t="s">
        <v>117</v>
      </c>
      <c r="E29" s="29" t="s">
        <v>41</v>
      </c>
      <c r="F29" s="29" t="s">
        <v>125</v>
      </c>
      <c r="G29" s="29" t="s">
        <v>126</v>
      </c>
      <c r="H29" s="24">
        <v>5</v>
      </c>
      <c r="I29" s="28">
        <v>6</v>
      </c>
    </row>
    <row r="30" spans="1:9">
      <c r="A30" s="45"/>
      <c r="B30" s="29" t="s">
        <v>34</v>
      </c>
      <c r="C30" s="29" t="s">
        <v>17</v>
      </c>
      <c r="D30" s="29" t="s">
        <v>91</v>
      </c>
      <c r="E30" s="29" t="s">
        <v>28</v>
      </c>
      <c r="F30" s="29" t="s">
        <v>127</v>
      </c>
      <c r="G30" s="29" t="s">
        <v>128</v>
      </c>
      <c r="H30" s="24">
        <v>1</v>
      </c>
      <c r="I30" s="28">
        <v>7</v>
      </c>
    </row>
    <row r="31" spans="1:9">
      <c r="A31" s="45"/>
      <c r="B31" s="29" t="s">
        <v>34</v>
      </c>
      <c r="C31" s="29" t="s">
        <v>17</v>
      </c>
      <c r="D31" s="29" t="s">
        <v>25</v>
      </c>
      <c r="E31" s="29" t="s">
        <v>17</v>
      </c>
      <c r="F31" s="29" t="s">
        <v>129</v>
      </c>
      <c r="G31" s="29" t="s">
        <v>58</v>
      </c>
      <c r="H31" s="24">
        <v>1</v>
      </c>
      <c r="I31" s="28">
        <v>8</v>
      </c>
    </row>
    <row r="32" spans="1:9">
      <c r="A32" s="45"/>
      <c r="B32" s="29" t="s">
        <v>34</v>
      </c>
      <c r="C32" s="29" t="s">
        <v>17</v>
      </c>
      <c r="D32" s="29" t="s">
        <v>25</v>
      </c>
      <c r="E32" s="29" t="s">
        <v>17</v>
      </c>
      <c r="F32" s="29" t="s">
        <v>130</v>
      </c>
      <c r="G32" s="29" t="s">
        <v>49</v>
      </c>
      <c r="H32" s="24">
        <v>2</v>
      </c>
      <c r="I32" s="28">
        <v>9</v>
      </c>
    </row>
    <row r="33" spans="1:9">
      <c r="A33" s="45"/>
      <c r="B33" s="29" t="s">
        <v>34</v>
      </c>
      <c r="C33" s="29" t="s">
        <v>17</v>
      </c>
      <c r="D33" s="29" t="s">
        <v>25</v>
      </c>
      <c r="E33" s="29" t="s">
        <v>17</v>
      </c>
      <c r="F33" s="29" t="s">
        <v>131</v>
      </c>
      <c r="G33" s="29" t="s">
        <v>35</v>
      </c>
      <c r="H33" s="24">
        <v>3</v>
      </c>
      <c r="I33" s="28">
        <v>10</v>
      </c>
    </row>
    <row r="34" spans="1:9">
      <c r="A34" s="45"/>
      <c r="B34" s="29" t="s">
        <v>34</v>
      </c>
      <c r="C34" s="29" t="s">
        <v>17</v>
      </c>
      <c r="D34" s="29" t="s">
        <v>25</v>
      </c>
      <c r="E34" s="29" t="s">
        <v>17</v>
      </c>
      <c r="F34" s="29" t="s">
        <v>132</v>
      </c>
      <c r="G34" s="29" t="s">
        <v>34</v>
      </c>
      <c r="H34" s="24">
        <v>4</v>
      </c>
      <c r="I34" s="28">
        <v>11</v>
      </c>
    </row>
    <row r="35" spans="1:9">
      <c r="A35" s="45"/>
      <c r="B35" s="29" t="s">
        <v>34</v>
      </c>
      <c r="C35" s="29" t="s">
        <v>17</v>
      </c>
      <c r="D35" s="29" t="s">
        <v>25</v>
      </c>
      <c r="E35" s="29" t="s">
        <v>17</v>
      </c>
      <c r="F35" s="29" t="s">
        <v>133</v>
      </c>
      <c r="G35" s="29" t="s">
        <v>53</v>
      </c>
      <c r="H35" s="24">
        <v>5</v>
      </c>
      <c r="I35" s="28">
        <v>12</v>
      </c>
    </row>
    <row r="36" spans="1:9">
      <c r="A36" s="45"/>
      <c r="B36" s="29" t="s">
        <v>34</v>
      </c>
      <c r="C36" s="29" t="s">
        <v>17</v>
      </c>
      <c r="D36" s="29" t="s">
        <v>25</v>
      </c>
      <c r="E36" s="29" t="s">
        <v>17</v>
      </c>
      <c r="F36" s="29" t="s">
        <v>134</v>
      </c>
      <c r="G36" s="29" t="s">
        <v>135</v>
      </c>
      <c r="H36" s="24">
        <v>6</v>
      </c>
      <c r="I36" s="31">
        <v>13</v>
      </c>
    </row>
    <row r="37" spans="1:9">
      <c r="A37" s="45"/>
      <c r="B37" s="29" t="s">
        <v>34</v>
      </c>
      <c r="C37" s="29" t="s">
        <v>17</v>
      </c>
      <c r="D37" s="29" t="s">
        <v>25</v>
      </c>
      <c r="E37" s="29" t="s">
        <v>17</v>
      </c>
      <c r="F37" s="29" t="s">
        <v>136</v>
      </c>
      <c r="G37" s="29" t="s">
        <v>39</v>
      </c>
      <c r="H37" s="24">
        <v>7</v>
      </c>
      <c r="I37" s="31">
        <v>14</v>
      </c>
    </row>
    <row r="38" spans="1:9">
      <c r="A38" s="45"/>
      <c r="B38" s="29" t="s">
        <v>34</v>
      </c>
      <c r="C38" s="29" t="s">
        <v>17</v>
      </c>
      <c r="D38" s="29" t="s">
        <v>25</v>
      </c>
      <c r="E38" s="29" t="s">
        <v>17</v>
      </c>
      <c r="F38" s="29" t="s">
        <v>137</v>
      </c>
      <c r="G38" s="29" t="s">
        <v>56</v>
      </c>
      <c r="H38" s="24">
        <v>8</v>
      </c>
      <c r="I38" s="28">
        <v>15</v>
      </c>
    </row>
    <row r="39" spans="1:9">
      <c r="A39" s="45"/>
      <c r="B39" s="29" t="s">
        <v>34</v>
      </c>
      <c r="C39" s="29" t="s">
        <v>17</v>
      </c>
      <c r="D39" s="29" t="s">
        <v>25</v>
      </c>
      <c r="E39" s="29" t="s">
        <v>17</v>
      </c>
      <c r="F39" s="29" t="s">
        <v>138</v>
      </c>
      <c r="G39" s="29" t="s">
        <v>124</v>
      </c>
      <c r="H39" s="24">
        <v>9</v>
      </c>
      <c r="I39" s="28">
        <v>16</v>
      </c>
    </row>
    <row r="40" spans="1:9">
      <c r="A40" s="45"/>
      <c r="B40" s="29" t="s">
        <v>34</v>
      </c>
      <c r="C40" s="29" t="s">
        <v>17</v>
      </c>
      <c r="D40" s="29" t="s">
        <v>25</v>
      </c>
      <c r="E40" s="29" t="s">
        <v>17</v>
      </c>
      <c r="F40" s="29" t="s">
        <v>139</v>
      </c>
      <c r="G40" s="29" t="s">
        <v>15</v>
      </c>
      <c r="H40" s="24">
        <v>10</v>
      </c>
      <c r="I40" s="32">
        <v>17</v>
      </c>
    </row>
    <row r="41" spans="1:9">
      <c r="A41" s="45"/>
      <c r="B41" s="29" t="s">
        <v>34</v>
      </c>
      <c r="C41" s="29" t="s">
        <v>17</v>
      </c>
      <c r="D41" s="29" t="s">
        <v>25</v>
      </c>
      <c r="E41" s="29" t="s">
        <v>17</v>
      </c>
      <c r="F41" s="29" t="s">
        <v>140</v>
      </c>
      <c r="G41" s="29" t="s">
        <v>119</v>
      </c>
      <c r="H41" s="24">
        <v>11</v>
      </c>
      <c r="I41" s="28">
        <v>18</v>
      </c>
    </row>
    <row r="42" spans="1:9">
      <c r="A42" s="45"/>
      <c r="B42" s="29" t="s">
        <v>34</v>
      </c>
      <c r="C42" s="29" t="s">
        <v>17</v>
      </c>
      <c r="D42" s="29" t="s">
        <v>25</v>
      </c>
      <c r="E42" s="29" t="s">
        <v>17</v>
      </c>
      <c r="F42" s="29" t="s">
        <v>141</v>
      </c>
      <c r="G42" s="29" t="s">
        <v>142</v>
      </c>
      <c r="H42" s="24">
        <v>12</v>
      </c>
      <c r="I42" s="28">
        <v>19</v>
      </c>
    </row>
    <row r="43" spans="1:9">
      <c r="A43" s="45"/>
      <c r="B43" s="29" t="s">
        <v>34</v>
      </c>
      <c r="C43" s="29" t="s">
        <v>17</v>
      </c>
      <c r="D43" s="29" t="s">
        <v>25</v>
      </c>
      <c r="E43" s="29" t="s">
        <v>17</v>
      </c>
      <c r="F43" s="29" t="s">
        <v>143</v>
      </c>
      <c r="G43" s="29" t="s">
        <v>144</v>
      </c>
      <c r="H43" s="24">
        <v>13</v>
      </c>
      <c r="I43" s="28">
        <v>20</v>
      </c>
    </row>
    <row r="44" spans="1:9">
      <c r="A44" s="45"/>
      <c r="B44" s="29" t="s">
        <v>34</v>
      </c>
      <c r="C44" s="29" t="s">
        <v>17</v>
      </c>
      <c r="D44" s="29" t="s">
        <v>25</v>
      </c>
      <c r="E44" s="29" t="s">
        <v>17</v>
      </c>
      <c r="F44" s="29" t="s">
        <v>145</v>
      </c>
      <c r="G44" s="29" t="s">
        <v>146</v>
      </c>
      <c r="H44" s="24">
        <v>14</v>
      </c>
      <c r="I44" s="28">
        <v>21</v>
      </c>
    </row>
    <row r="45" spans="1:9">
      <c r="A45" s="45"/>
      <c r="B45" s="29" t="s">
        <v>34</v>
      </c>
      <c r="C45" s="29" t="s">
        <v>17</v>
      </c>
      <c r="D45" s="29" t="s">
        <v>25</v>
      </c>
      <c r="E45" s="29" t="s">
        <v>17</v>
      </c>
      <c r="F45" s="29" t="s">
        <v>147</v>
      </c>
      <c r="G45" s="29" t="s">
        <v>148</v>
      </c>
      <c r="H45" s="24">
        <v>15</v>
      </c>
      <c r="I45" s="32">
        <v>22</v>
      </c>
    </row>
    <row r="46" spans="1:9">
      <c r="A46" s="45"/>
      <c r="B46" s="29" t="s">
        <v>34</v>
      </c>
      <c r="C46" s="29" t="s">
        <v>17</v>
      </c>
      <c r="D46" s="29" t="s">
        <v>25</v>
      </c>
      <c r="E46" s="29" t="s">
        <v>17</v>
      </c>
      <c r="F46" s="29" t="s">
        <v>149</v>
      </c>
      <c r="G46" s="29" t="s">
        <v>150</v>
      </c>
      <c r="H46" s="24">
        <v>16</v>
      </c>
      <c r="I46" s="28">
        <v>23</v>
      </c>
    </row>
    <row r="47" spans="1:9">
      <c r="A47" s="45"/>
      <c r="B47" s="29" t="s">
        <v>34</v>
      </c>
      <c r="C47" s="29" t="s">
        <v>17</v>
      </c>
      <c r="D47" s="29" t="s">
        <v>25</v>
      </c>
      <c r="E47" s="29" t="s">
        <v>17</v>
      </c>
      <c r="F47" s="29" t="s">
        <v>151</v>
      </c>
      <c r="G47" s="29" t="s">
        <v>152</v>
      </c>
      <c r="H47" s="24">
        <v>17</v>
      </c>
      <c r="I47" s="28">
        <v>24</v>
      </c>
    </row>
    <row r="48" spans="1:9">
      <c r="A48" s="42">
        <v>3</v>
      </c>
      <c r="B48" s="29" t="s">
        <v>20</v>
      </c>
      <c r="C48" s="29" t="s">
        <v>6</v>
      </c>
      <c r="D48" s="29" t="s">
        <v>20</v>
      </c>
      <c r="E48" s="29" t="s">
        <v>38</v>
      </c>
      <c r="F48" s="29" t="s">
        <v>210</v>
      </c>
      <c r="G48" s="29" t="s">
        <v>47</v>
      </c>
      <c r="H48" s="24">
        <v>1</v>
      </c>
      <c r="I48" s="31">
        <v>1</v>
      </c>
    </row>
    <row r="49" spans="1:9">
      <c r="A49" s="42"/>
      <c r="B49" s="29" t="s">
        <v>20</v>
      </c>
      <c r="C49" s="29" t="s">
        <v>6</v>
      </c>
      <c r="D49" s="29" t="s">
        <v>20</v>
      </c>
      <c r="E49" s="29" t="s">
        <v>38</v>
      </c>
      <c r="F49" s="29" t="s">
        <v>211</v>
      </c>
      <c r="G49" s="29" t="s">
        <v>18</v>
      </c>
      <c r="H49" s="24">
        <v>2</v>
      </c>
      <c r="I49" s="28">
        <v>2</v>
      </c>
    </row>
    <row r="50" spans="1:9">
      <c r="A50" s="42"/>
      <c r="B50" s="29" t="s">
        <v>20</v>
      </c>
      <c r="C50" s="29" t="s">
        <v>6</v>
      </c>
      <c r="D50" s="29" t="s">
        <v>20</v>
      </c>
      <c r="E50" s="29" t="s">
        <v>38</v>
      </c>
      <c r="F50" s="29" t="s">
        <v>212</v>
      </c>
      <c r="G50" s="29" t="s">
        <v>48</v>
      </c>
      <c r="H50" s="24">
        <v>3</v>
      </c>
      <c r="I50" s="28">
        <v>3</v>
      </c>
    </row>
    <row r="51" spans="1:9">
      <c r="A51" s="42"/>
      <c r="B51" s="29" t="s">
        <v>20</v>
      </c>
      <c r="C51" s="29" t="s">
        <v>6</v>
      </c>
      <c r="D51" s="29" t="s">
        <v>20</v>
      </c>
      <c r="E51" s="29" t="s">
        <v>38</v>
      </c>
      <c r="F51" s="29" t="s">
        <v>213</v>
      </c>
      <c r="G51" s="29" t="s">
        <v>23</v>
      </c>
      <c r="H51" s="24">
        <v>4</v>
      </c>
      <c r="I51" s="28">
        <v>4</v>
      </c>
    </row>
    <row r="52" spans="1:9">
      <c r="A52" s="42"/>
      <c r="B52" s="29" t="s">
        <v>20</v>
      </c>
      <c r="C52" s="29" t="s">
        <v>6</v>
      </c>
      <c r="D52" s="29" t="s">
        <v>34</v>
      </c>
      <c r="E52" s="29" t="s">
        <v>32</v>
      </c>
      <c r="F52" s="29" t="s">
        <v>214</v>
      </c>
      <c r="G52" s="29" t="s">
        <v>14</v>
      </c>
      <c r="H52" s="24">
        <v>1</v>
      </c>
      <c r="I52" s="28">
        <v>5</v>
      </c>
    </row>
    <row r="53" spans="1:9">
      <c r="A53" s="42"/>
      <c r="B53" s="29" t="s">
        <v>20</v>
      </c>
      <c r="C53" s="29" t="s">
        <v>6</v>
      </c>
      <c r="D53" s="29" t="s">
        <v>34</v>
      </c>
      <c r="E53" s="29" t="s">
        <v>32</v>
      </c>
      <c r="F53" s="29" t="s">
        <v>215</v>
      </c>
      <c r="G53" s="29" t="s">
        <v>11</v>
      </c>
      <c r="H53" s="24">
        <v>2</v>
      </c>
      <c r="I53" s="28">
        <v>6</v>
      </c>
    </row>
    <row r="54" spans="1:9">
      <c r="A54" s="42"/>
      <c r="B54" s="29" t="s">
        <v>20</v>
      </c>
      <c r="C54" s="29" t="s">
        <v>6</v>
      </c>
      <c r="D54" s="29" t="s">
        <v>34</v>
      </c>
      <c r="E54" s="29" t="s">
        <v>32</v>
      </c>
      <c r="F54" s="29" t="s">
        <v>216</v>
      </c>
      <c r="G54" s="29" t="s">
        <v>43</v>
      </c>
      <c r="H54" s="24">
        <v>3</v>
      </c>
      <c r="I54" s="28">
        <v>7</v>
      </c>
    </row>
    <row r="55" spans="1:9">
      <c r="A55" s="42"/>
      <c r="B55" s="29" t="s">
        <v>20</v>
      </c>
      <c r="C55" s="29" t="s">
        <v>6</v>
      </c>
      <c r="D55" s="29" t="s">
        <v>34</v>
      </c>
      <c r="E55" s="29" t="s">
        <v>32</v>
      </c>
      <c r="F55" s="29" t="s">
        <v>217</v>
      </c>
      <c r="G55" s="29" t="s">
        <v>218</v>
      </c>
      <c r="H55" s="24">
        <v>4</v>
      </c>
      <c r="I55" s="28">
        <v>8</v>
      </c>
    </row>
    <row r="56" spans="1:9">
      <c r="A56" s="42"/>
      <c r="B56" s="29" t="s">
        <v>20</v>
      </c>
      <c r="C56" s="29" t="s">
        <v>6</v>
      </c>
      <c r="D56" s="29" t="s">
        <v>34</v>
      </c>
      <c r="E56" s="29" t="s">
        <v>32</v>
      </c>
      <c r="F56" s="29" t="s">
        <v>219</v>
      </c>
      <c r="G56" s="29" t="s">
        <v>220</v>
      </c>
      <c r="H56" s="24">
        <v>5</v>
      </c>
      <c r="I56" s="28">
        <v>9</v>
      </c>
    </row>
    <row r="57" spans="1:9">
      <c r="A57" s="42"/>
      <c r="B57" s="29" t="s">
        <v>20</v>
      </c>
      <c r="C57" s="29" t="s">
        <v>6</v>
      </c>
      <c r="D57" s="29" t="s">
        <v>34</v>
      </c>
      <c r="E57" s="29" t="s">
        <v>32</v>
      </c>
      <c r="F57" s="29" t="s">
        <v>221</v>
      </c>
      <c r="G57" s="29" t="s">
        <v>10</v>
      </c>
      <c r="H57" s="24">
        <v>6</v>
      </c>
      <c r="I57" s="28">
        <v>10</v>
      </c>
    </row>
    <row r="58" spans="1:9">
      <c r="A58" s="42"/>
      <c r="B58" s="29" t="s">
        <v>20</v>
      </c>
      <c r="C58" s="29" t="s">
        <v>6</v>
      </c>
      <c r="D58" s="29" t="s">
        <v>34</v>
      </c>
      <c r="E58" s="29" t="s">
        <v>32</v>
      </c>
      <c r="F58" s="29" t="s">
        <v>222</v>
      </c>
      <c r="G58" s="29" t="s">
        <v>51</v>
      </c>
      <c r="H58" s="24">
        <v>7</v>
      </c>
      <c r="I58" s="28">
        <v>11</v>
      </c>
    </row>
    <row r="59" spans="1:9">
      <c r="A59" s="42"/>
      <c r="B59" s="29" t="s">
        <v>20</v>
      </c>
      <c r="C59" s="29" t="s">
        <v>6</v>
      </c>
      <c r="D59" s="29" t="s">
        <v>34</v>
      </c>
      <c r="E59" s="29" t="s">
        <v>32</v>
      </c>
      <c r="F59" s="29" t="s">
        <v>223</v>
      </c>
      <c r="G59" s="29" t="s">
        <v>57</v>
      </c>
      <c r="H59" s="24">
        <v>8</v>
      </c>
      <c r="I59" s="28">
        <v>12</v>
      </c>
    </row>
    <row r="60" spans="1:9">
      <c r="A60" s="42"/>
      <c r="B60" s="29" t="s">
        <v>20</v>
      </c>
      <c r="C60" s="29" t="s">
        <v>6</v>
      </c>
      <c r="D60" s="29" t="s">
        <v>34</v>
      </c>
      <c r="E60" s="29" t="s">
        <v>32</v>
      </c>
      <c r="F60" s="29" t="s">
        <v>224</v>
      </c>
      <c r="G60" s="29" t="s">
        <v>106</v>
      </c>
      <c r="H60" s="24">
        <v>9</v>
      </c>
      <c r="I60" s="28">
        <v>13</v>
      </c>
    </row>
    <row r="61" spans="1:9">
      <c r="A61" s="42"/>
      <c r="B61" s="29" t="s">
        <v>20</v>
      </c>
      <c r="C61" s="29" t="s">
        <v>6</v>
      </c>
      <c r="D61" s="29" t="s">
        <v>34</v>
      </c>
      <c r="E61" s="29" t="s">
        <v>32</v>
      </c>
      <c r="F61" s="29" t="s">
        <v>225</v>
      </c>
      <c r="G61" s="29" t="s">
        <v>226</v>
      </c>
      <c r="H61" s="24">
        <v>10</v>
      </c>
      <c r="I61" s="28">
        <v>14</v>
      </c>
    </row>
    <row r="62" spans="1:9">
      <c r="A62" s="42"/>
      <c r="B62" s="29" t="s">
        <v>20</v>
      </c>
      <c r="C62" s="29" t="s">
        <v>6</v>
      </c>
      <c r="D62" s="29" t="s">
        <v>34</v>
      </c>
      <c r="E62" s="29" t="s">
        <v>32</v>
      </c>
      <c r="F62" s="29" t="s">
        <v>227</v>
      </c>
      <c r="G62" s="29" t="s">
        <v>16</v>
      </c>
      <c r="H62" s="24">
        <v>11</v>
      </c>
      <c r="I62" s="28">
        <v>15</v>
      </c>
    </row>
    <row r="63" spans="1:9">
      <c r="A63" s="42"/>
      <c r="B63" s="29" t="s">
        <v>20</v>
      </c>
      <c r="C63" s="29" t="s">
        <v>6</v>
      </c>
      <c r="D63" s="29" t="s">
        <v>34</v>
      </c>
      <c r="E63" s="29" t="s">
        <v>32</v>
      </c>
      <c r="F63" s="29" t="s">
        <v>228</v>
      </c>
      <c r="G63" s="29" t="s">
        <v>27</v>
      </c>
      <c r="H63" s="24">
        <v>12</v>
      </c>
      <c r="I63" s="28">
        <v>16</v>
      </c>
    </row>
    <row r="64" spans="1:9">
      <c r="A64" s="42"/>
      <c r="B64" s="29" t="s">
        <v>20</v>
      </c>
      <c r="C64" s="29" t="s">
        <v>6</v>
      </c>
      <c r="D64" s="29" t="s">
        <v>34</v>
      </c>
      <c r="E64" s="29" t="s">
        <v>32</v>
      </c>
      <c r="F64" s="29" t="s">
        <v>229</v>
      </c>
      <c r="G64" s="29" t="s">
        <v>230</v>
      </c>
      <c r="H64" s="24">
        <v>13</v>
      </c>
      <c r="I64" s="28">
        <v>17</v>
      </c>
    </row>
    <row r="65" spans="1:9">
      <c r="A65" s="42"/>
      <c r="B65" s="29" t="s">
        <v>20</v>
      </c>
      <c r="C65" s="29" t="s">
        <v>6</v>
      </c>
      <c r="D65" s="29" t="s">
        <v>34</v>
      </c>
      <c r="E65" s="29" t="s">
        <v>32</v>
      </c>
      <c r="F65" s="29" t="s">
        <v>231</v>
      </c>
      <c r="G65" s="29" t="s">
        <v>15</v>
      </c>
      <c r="H65" s="24">
        <v>14</v>
      </c>
      <c r="I65" s="28">
        <v>18</v>
      </c>
    </row>
    <row r="66" spans="1:9">
      <c r="A66" s="42"/>
      <c r="B66" s="29" t="s">
        <v>20</v>
      </c>
      <c r="C66" s="29" t="s">
        <v>6</v>
      </c>
      <c r="D66" s="29" t="s">
        <v>35</v>
      </c>
      <c r="E66" s="29" t="s">
        <v>6</v>
      </c>
      <c r="F66" s="29" t="s">
        <v>232</v>
      </c>
      <c r="G66" s="29" t="s">
        <v>144</v>
      </c>
      <c r="H66" s="24">
        <v>1</v>
      </c>
      <c r="I66" s="28">
        <v>19</v>
      </c>
    </row>
    <row r="67" spans="1:9">
      <c r="A67" s="42"/>
      <c r="B67" s="29" t="s">
        <v>20</v>
      </c>
      <c r="C67" s="29" t="s">
        <v>6</v>
      </c>
      <c r="D67" s="29" t="s">
        <v>35</v>
      </c>
      <c r="E67" s="29" t="s">
        <v>6</v>
      </c>
      <c r="F67" s="29" t="s">
        <v>29</v>
      </c>
      <c r="G67" s="29" t="s">
        <v>24</v>
      </c>
      <c r="H67" s="24">
        <v>2</v>
      </c>
      <c r="I67" s="28">
        <v>20</v>
      </c>
    </row>
    <row r="68" spans="1:9">
      <c r="A68" s="42"/>
      <c r="B68" s="29" t="s">
        <v>20</v>
      </c>
      <c r="C68" s="29" t="s">
        <v>6</v>
      </c>
      <c r="D68" s="29" t="s">
        <v>35</v>
      </c>
      <c r="E68" s="29" t="s">
        <v>6</v>
      </c>
      <c r="F68" s="29" t="s">
        <v>233</v>
      </c>
      <c r="G68" s="29" t="s">
        <v>19</v>
      </c>
      <c r="H68" s="24">
        <v>3</v>
      </c>
      <c r="I68" s="31">
        <v>21</v>
      </c>
    </row>
    <row r="69" spans="1:9">
      <c r="A69" s="42"/>
      <c r="B69" s="29" t="s">
        <v>20</v>
      </c>
      <c r="C69" s="29" t="s">
        <v>6</v>
      </c>
      <c r="D69" s="29" t="s">
        <v>35</v>
      </c>
      <c r="E69" s="29" t="s">
        <v>6</v>
      </c>
      <c r="F69" s="29" t="s">
        <v>234</v>
      </c>
      <c r="G69" s="29" t="s">
        <v>45</v>
      </c>
      <c r="H69" s="24">
        <v>4</v>
      </c>
      <c r="I69" s="32">
        <v>22</v>
      </c>
    </row>
    <row r="70" spans="1:9">
      <c r="A70" s="42"/>
      <c r="B70" s="29" t="s">
        <v>20</v>
      </c>
      <c r="C70" s="29" t="s">
        <v>6</v>
      </c>
      <c r="D70" s="29" t="s">
        <v>35</v>
      </c>
      <c r="E70" s="29" t="s">
        <v>6</v>
      </c>
      <c r="F70" s="29" t="s">
        <v>235</v>
      </c>
      <c r="G70" s="29" t="s">
        <v>236</v>
      </c>
      <c r="H70" s="24">
        <v>5</v>
      </c>
      <c r="I70" s="32">
        <v>23</v>
      </c>
    </row>
    <row r="71" spans="1:9">
      <c r="A71" s="42"/>
      <c r="B71" s="29" t="s">
        <v>20</v>
      </c>
      <c r="C71" s="29" t="s">
        <v>6</v>
      </c>
      <c r="D71" s="29" t="s">
        <v>35</v>
      </c>
      <c r="E71" s="29" t="s">
        <v>6</v>
      </c>
      <c r="F71" s="29" t="s">
        <v>237</v>
      </c>
      <c r="G71" s="29" t="s">
        <v>177</v>
      </c>
      <c r="H71" s="24">
        <v>6</v>
      </c>
      <c r="I71" s="28">
        <v>24</v>
      </c>
    </row>
    <row r="72" spans="1:9">
      <c r="A72" s="45">
        <v>4</v>
      </c>
      <c r="B72" s="29" t="s">
        <v>25</v>
      </c>
      <c r="C72" s="29" t="s">
        <v>28</v>
      </c>
      <c r="D72" s="29" t="s">
        <v>91</v>
      </c>
      <c r="E72" s="29" t="s">
        <v>28</v>
      </c>
      <c r="F72" s="29" t="s">
        <v>238</v>
      </c>
      <c r="G72" s="29" t="s">
        <v>54</v>
      </c>
      <c r="H72" s="24">
        <v>1</v>
      </c>
      <c r="I72" s="28">
        <v>1</v>
      </c>
    </row>
    <row r="73" spans="1:9">
      <c r="A73" s="45"/>
      <c r="B73" s="29" t="s">
        <v>25</v>
      </c>
      <c r="C73" s="29" t="s">
        <v>28</v>
      </c>
      <c r="D73" s="29" t="s">
        <v>91</v>
      </c>
      <c r="E73" s="29" t="s">
        <v>28</v>
      </c>
      <c r="F73" s="29" t="s">
        <v>239</v>
      </c>
      <c r="G73" s="29" t="s">
        <v>33</v>
      </c>
      <c r="H73" s="24">
        <v>2</v>
      </c>
      <c r="I73" s="28">
        <v>2</v>
      </c>
    </row>
    <row r="74" spans="1:9">
      <c r="A74" s="45"/>
      <c r="B74" s="29" t="s">
        <v>25</v>
      </c>
      <c r="C74" s="29" t="s">
        <v>28</v>
      </c>
      <c r="D74" s="29" t="s">
        <v>91</v>
      </c>
      <c r="E74" s="29" t="s">
        <v>28</v>
      </c>
      <c r="F74" s="29" t="s">
        <v>240</v>
      </c>
      <c r="G74" s="29" t="s">
        <v>226</v>
      </c>
      <c r="H74" s="24">
        <v>3</v>
      </c>
      <c r="I74" s="28">
        <v>3</v>
      </c>
    </row>
    <row r="75" spans="1:9">
      <c r="A75" s="45"/>
      <c r="B75" s="29" t="s">
        <v>25</v>
      </c>
      <c r="C75" s="29" t="s">
        <v>28</v>
      </c>
      <c r="D75" s="29" t="s">
        <v>91</v>
      </c>
      <c r="E75" s="29" t="s">
        <v>28</v>
      </c>
      <c r="F75" s="29" t="s">
        <v>241</v>
      </c>
      <c r="G75" s="29" t="s">
        <v>12</v>
      </c>
      <c r="H75" s="24">
        <v>4</v>
      </c>
      <c r="I75" s="28">
        <v>4</v>
      </c>
    </row>
    <row r="76" spans="1:9">
      <c r="A76" s="45"/>
      <c r="B76" s="29" t="s">
        <v>25</v>
      </c>
      <c r="C76" s="29" t="s">
        <v>28</v>
      </c>
      <c r="D76" s="29" t="s">
        <v>91</v>
      </c>
      <c r="E76" s="29" t="s">
        <v>28</v>
      </c>
      <c r="F76" s="29" t="s">
        <v>242</v>
      </c>
      <c r="G76" s="29" t="s">
        <v>230</v>
      </c>
      <c r="H76" s="24">
        <v>5</v>
      </c>
      <c r="I76" s="28">
        <v>5</v>
      </c>
    </row>
    <row r="77" spans="1:9">
      <c r="A77" s="45"/>
      <c r="B77" s="29" t="s">
        <v>25</v>
      </c>
      <c r="C77" s="29" t="s">
        <v>28</v>
      </c>
      <c r="D77" s="29" t="s">
        <v>91</v>
      </c>
      <c r="E77" s="29" t="s">
        <v>28</v>
      </c>
      <c r="F77" s="29" t="s">
        <v>243</v>
      </c>
      <c r="G77" s="29" t="s">
        <v>244</v>
      </c>
      <c r="H77" s="24">
        <v>6</v>
      </c>
      <c r="I77" s="28">
        <v>6</v>
      </c>
    </row>
    <row r="78" spans="1:9">
      <c r="A78" s="45"/>
      <c r="B78" s="29" t="s">
        <v>25</v>
      </c>
      <c r="C78" s="29" t="s">
        <v>28</v>
      </c>
      <c r="D78" s="29" t="s">
        <v>91</v>
      </c>
      <c r="E78" s="29" t="s">
        <v>28</v>
      </c>
      <c r="F78" s="29" t="s">
        <v>245</v>
      </c>
      <c r="G78" s="29" t="s">
        <v>165</v>
      </c>
      <c r="H78" s="24">
        <v>7</v>
      </c>
      <c r="I78" s="28">
        <v>7</v>
      </c>
    </row>
    <row r="79" spans="1:9">
      <c r="A79" s="45"/>
      <c r="B79" s="29" t="s">
        <v>25</v>
      </c>
      <c r="C79" s="29" t="s">
        <v>28</v>
      </c>
      <c r="D79" s="29" t="s">
        <v>91</v>
      </c>
      <c r="E79" s="29" t="s">
        <v>28</v>
      </c>
      <c r="F79" s="29" t="s">
        <v>246</v>
      </c>
      <c r="G79" s="29" t="s">
        <v>57</v>
      </c>
      <c r="H79" s="24">
        <v>8</v>
      </c>
      <c r="I79" s="31">
        <v>8</v>
      </c>
    </row>
    <row r="80" spans="1:9">
      <c r="A80" s="45"/>
      <c r="B80" s="29" t="s">
        <v>25</v>
      </c>
      <c r="C80" s="29" t="s">
        <v>28</v>
      </c>
      <c r="D80" s="29" t="s">
        <v>91</v>
      </c>
      <c r="E80" s="29" t="s">
        <v>28</v>
      </c>
      <c r="F80" s="29" t="s">
        <v>247</v>
      </c>
      <c r="G80" s="29" t="s">
        <v>154</v>
      </c>
      <c r="H80" s="24">
        <v>9</v>
      </c>
      <c r="I80" s="28">
        <v>9</v>
      </c>
    </row>
    <row r="81" spans="1:9">
      <c r="A81" s="45"/>
      <c r="B81" s="29" t="s">
        <v>25</v>
      </c>
      <c r="C81" s="29" t="s">
        <v>28</v>
      </c>
      <c r="D81" s="29" t="s">
        <v>91</v>
      </c>
      <c r="E81" s="29" t="s">
        <v>28</v>
      </c>
      <c r="F81" s="29" t="s">
        <v>248</v>
      </c>
      <c r="G81" s="29" t="s">
        <v>249</v>
      </c>
      <c r="H81" s="24">
        <v>10</v>
      </c>
      <c r="I81" s="28">
        <v>10</v>
      </c>
    </row>
    <row r="82" spans="1:9">
      <c r="A82" s="45"/>
      <c r="B82" s="29" t="s">
        <v>25</v>
      </c>
      <c r="C82" s="29" t="s">
        <v>28</v>
      </c>
      <c r="D82" s="29" t="s">
        <v>91</v>
      </c>
      <c r="E82" s="29" t="s">
        <v>28</v>
      </c>
      <c r="F82" s="29" t="s">
        <v>250</v>
      </c>
      <c r="G82" s="29" t="s">
        <v>251</v>
      </c>
      <c r="H82" s="24">
        <v>11</v>
      </c>
      <c r="I82" s="28">
        <v>11</v>
      </c>
    </row>
    <row r="83" spans="1:9">
      <c r="A83" s="45"/>
      <c r="B83" s="29" t="s">
        <v>25</v>
      </c>
      <c r="C83" s="29" t="s">
        <v>28</v>
      </c>
      <c r="D83" s="29" t="s">
        <v>91</v>
      </c>
      <c r="E83" s="29" t="s">
        <v>28</v>
      </c>
      <c r="F83" s="29" t="s">
        <v>252</v>
      </c>
      <c r="G83" s="29" t="s">
        <v>253</v>
      </c>
      <c r="H83" s="24">
        <v>12</v>
      </c>
      <c r="I83" s="31">
        <v>12</v>
      </c>
    </row>
    <row r="84" spans="1:9">
      <c r="A84" s="45"/>
      <c r="B84" s="29" t="s">
        <v>25</v>
      </c>
      <c r="C84" s="29" t="s">
        <v>28</v>
      </c>
      <c r="D84" s="29" t="s">
        <v>91</v>
      </c>
      <c r="E84" s="29" t="s">
        <v>28</v>
      </c>
      <c r="F84" s="29" t="s">
        <v>254</v>
      </c>
      <c r="G84" s="29" t="s">
        <v>46</v>
      </c>
      <c r="H84" s="24">
        <v>13</v>
      </c>
      <c r="I84" s="32">
        <v>13</v>
      </c>
    </row>
    <row r="85" spans="1:9">
      <c r="A85" s="45"/>
      <c r="B85" s="29" t="s">
        <v>25</v>
      </c>
      <c r="C85" s="29" t="s">
        <v>28</v>
      </c>
      <c r="D85" s="29" t="s">
        <v>91</v>
      </c>
      <c r="E85" s="29" t="s">
        <v>28</v>
      </c>
      <c r="F85" s="29" t="s">
        <v>255</v>
      </c>
      <c r="G85" s="29" t="s">
        <v>256</v>
      </c>
      <c r="H85" s="24">
        <v>14</v>
      </c>
      <c r="I85" s="28">
        <v>14</v>
      </c>
    </row>
    <row r="86" spans="1:9">
      <c r="A86" s="45"/>
      <c r="B86" s="29" t="s">
        <v>25</v>
      </c>
      <c r="C86" s="29" t="s">
        <v>28</v>
      </c>
      <c r="D86" s="29" t="s">
        <v>91</v>
      </c>
      <c r="E86" s="29" t="s">
        <v>28</v>
      </c>
      <c r="F86" s="29" t="s">
        <v>257</v>
      </c>
      <c r="G86" s="29" t="s">
        <v>59</v>
      </c>
      <c r="H86" s="24">
        <v>15</v>
      </c>
      <c r="I86" s="28">
        <v>15</v>
      </c>
    </row>
    <row r="87" spans="1:9">
      <c r="A87" s="45"/>
      <c r="B87" s="29" t="s">
        <v>25</v>
      </c>
      <c r="C87" s="29" t="s">
        <v>28</v>
      </c>
      <c r="D87" s="29" t="s">
        <v>91</v>
      </c>
      <c r="E87" s="29" t="s">
        <v>28</v>
      </c>
      <c r="F87" s="29" t="s">
        <v>258</v>
      </c>
      <c r="G87" s="29" t="s">
        <v>259</v>
      </c>
      <c r="H87" s="24">
        <v>16</v>
      </c>
      <c r="I87" s="28">
        <v>16</v>
      </c>
    </row>
    <row r="88" spans="1:9">
      <c r="A88" s="45"/>
      <c r="B88" s="29" t="s">
        <v>25</v>
      </c>
      <c r="C88" s="29" t="s">
        <v>28</v>
      </c>
      <c r="D88" s="29" t="s">
        <v>91</v>
      </c>
      <c r="E88" s="29" t="s">
        <v>28</v>
      </c>
      <c r="F88" s="29" t="s">
        <v>260</v>
      </c>
      <c r="G88" s="29" t="s">
        <v>50</v>
      </c>
      <c r="H88" s="24">
        <v>17</v>
      </c>
      <c r="I88" s="28">
        <v>17</v>
      </c>
    </row>
    <row r="89" spans="1:9">
      <c r="A89" s="45"/>
      <c r="B89" s="29" t="s">
        <v>117</v>
      </c>
      <c r="C89" s="29" t="s">
        <v>40</v>
      </c>
      <c r="D89" s="29" t="s">
        <v>51</v>
      </c>
      <c r="E89" s="29" t="s">
        <v>42</v>
      </c>
      <c r="F89" s="29" t="s">
        <v>203</v>
      </c>
      <c r="G89" s="29" t="s">
        <v>55</v>
      </c>
      <c r="H89" s="24">
        <v>1</v>
      </c>
      <c r="I89" s="28">
        <v>18</v>
      </c>
    </row>
    <row r="90" spans="1:9">
      <c r="A90" s="45"/>
      <c r="B90" s="29" t="s">
        <v>117</v>
      </c>
      <c r="C90" s="29" t="s">
        <v>40</v>
      </c>
      <c r="D90" s="29" t="s">
        <v>51</v>
      </c>
      <c r="E90" s="29" t="s">
        <v>42</v>
      </c>
      <c r="F90" s="29" t="s">
        <v>204</v>
      </c>
      <c r="G90" s="29" t="s">
        <v>22</v>
      </c>
      <c r="H90" s="24">
        <v>2</v>
      </c>
      <c r="I90" s="28">
        <v>19</v>
      </c>
    </row>
    <row r="91" spans="1:9">
      <c r="A91" s="45"/>
      <c r="B91" s="29" t="s">
        <v>117</v>
      </c>
      <c r="C91" s="29" t="s">
        <v>40</v>
      </c>
      <c r="D91" s="29" t="s">
        <v>117</v>
      </c>
      <c r="E91" s="29" t="s">
        <v>41</v>
      </c>
      <c r="F91" s="29" t="s">
        <v>205</v>
      </c>
      <c r="G91" s="29" t="s">
        <v>14</v>
      </c>
      <c r="H91" s="24">
        <v>1</v>
      </c>
      <c r="I91" s="32">
        <v>20</v>
      </c>
    </row>
    <row r="92" spans="1:9">
      <c r="A92" s="45"/>
      <c r="B92" s="29" t="s">
        <v>117</v>
      </c>
      <c r="C92" s="29" t="s">
        <v>40</v>
      </c>
      <c r="D92" s="29" t="s">
        <v>117</v>
      </c>
      <c r="E92" s="29" t="s">
        <v>41</v>
      </c>
      <c r="F92" s="29" t="s">
        <v>206</v>
      </c>
      <c r="G92" s="29" t="s">
        <v>146</v>
      </c>
      <c r="H92" s="24">
        <v>2</v>
      </c>
      <c r="I92" s="28">
        <v>21</v>
      </c>
    </row>
    <row r="93" spans="1:9">
      <c r="A93" s="45"/>
      <c r="B93" s="29" t="s">
        <v>117</v>
      </c>
      <c r="C93" s="29" t="s">
        <v>40</v>
      </c>
      <c r="D93" s="29" t="s">
        <v>20</v>
      </c>
      <c r="E93" s="29" t="s">
        <v>38</v>
      </c>
      <c r="F93" s="29" t="s">
        <v>207</v>
      </c>
      <c r="G93" s="29" t="s">
        <v>51</v>
      </c>
      <c r="H93" s="24">
        <v>1</v>
      </c>
      <c r="I93" s="28">
        <v>22</v>
      </c>
    </row>
    <row r="94" spans="1:9">
      <c r="A94" s="45"/>
      <c r="B94" s="29" t="s">
        <v>117</v>
      </c>
      <c r="C94" s="29" t="s">
        <v>40</v>
      </c>
      <c r="D94" s="29" t="s">
        <v>20</v>
      </c>
      <c r="E94" s="29" t="s">
        <v>38</v>
      </c>
      <c r="F94" s="29" t="s">
        <v>208</v>
      </c>
      <c r="G94" s="29" t="s">
        <v>25</v>
      </c>
      <c r="H94" s="24">
        <v>2</v>
      </c>
      <c r="I94" s="28">
        <v>23</v>
      </c>
    </row>
    <row r="95" spans="1:9">
      <c r="A95" s="45"/>
      <c r="B95" s="29" t="s">
        <v>117</v>
      </c>
      <c r="C95" s="29" t="s">
        <v>40</v>
      </c>
      <c r="D95" s="29" t="s">
        <v>20</v>
      </c>
      <c r="E95" s="29" t="s">
        <v>38</v>
      </c>
      <c r="F95" s="29" t="s">
        <v>209</v>
      </c>
      <c r="G95" s="29" t="s">
        <v>99</v>
      </c>
      <c r="H95" s="24">
        <v>3</v>
      </c>
      <c r="I95" s="28">
        <v>24</v>
      </c>
    </row>
    <row r="96" spans="1:9">
      <c r="A96" s="42">
        <v>5</v>
      </c>
      <c r="B96" s="29" t="s">
        <v>15</v>
      </c>
      <c r="C96" s="29" t="s">
        <v>44</v>
      </c>
      <c r="D96" s="29" t="s">
        <v>51</v>
      </c>
      <c r="E96" s="29" t="s">
        <v>42</v>
      </c>
      <c r="F96" s="29" t="s">
        <v>153</v>
      </c>
      <c r="G96" s="29" t="s">
        <v>154</v>
      </c>
      <c r="H96" s="24">
        <v>1</v>
      </c>
      <c r="I96" s="28">
        <v>1</v>
      </c>
    </row>
    <row r="97" spans="1:9">
      <c r="A97" s="42"/>
      <c r="B97" s="29" t="s">
        <v>15</v>
      </c>
      <c r="C97" s="29" t="s">
        <v>44</v>
      </c>
      <c r="D97" s="29" t="s">
        <v>51</v>
      </c>
      <c r="E97" s="29" t="s">
        <v>42</v>
      </c>
      <c r="F97" s="29" t="s">
        <v>155</v>
      </c>
      <c r="G97" s="29" t="s">
        <v>21</v>
      </c>
      <c r="H97" s="24">
        <v>2</v>
      </c>
      <c r="I97" s="28">
        <v>2</v>
      </c>
    </row>
    <row r="98" spans="1:9">
      <c r="A98" s="42"/>
      <c r="B98" s="29" t="s">
        <v>15</v>
      </c>
      <c r="C98" s="29" t="s">
        <v>44</v>
      </c>
      <c r="D98" s="29" t="s">
        <v>51</v>
      </c>
      <c r="E98" s="29" t="s">
        <v>42</v>
      </c>
      <c r="F98" s="29" t="s">
        <v>156</v>
      </c>
      <c r="G98" s="29" t="s">
        <v>37</v>
      </c>
      <c r="H98" s="24">
        <v>3</v>
      </c>
      <c r="I98" s="28">
        <v>3</v>
      </c>
    </row>
    <row r="99" spans="1:9">
      <c r="A99" s="42"/>
      <c r="B99" s="29" t="s">
        <v>15</v>
      </c>
      <c r="C99" s="29" t="s">
        <v>44</v>
      </c>
      <c r="D99" s="29" t="s">
        <v>51</v>
      </c>
      <c r="E99" s="29" t="s">
        <v>42</v>
      </c>
      <c r="F99" s="29" t="s">
        <v>157</v>
      </c>
      <c r="G99" s="29" t="s">
        <v>22</v>
      </c>
      <c r="H99" s="24">
        <v>4</v>
      </c>
      <c r="I99" s="28">
        <v>4</v>
      </c>
    </row>
    <row r="100" spans="1:9">
      <c r="A100" s="42"/>
      <c r="B100" s="29" t="s">
        <v>15</v>
      </c>
      <c r="C100" s="29" t="s">
        <v>44</v>
      </c>
      <c r="D100" s="29" t="s">
        <v>51</v>
      </c>
      <c r="E100" s="29" t="s">
        <v>42</v>
      </c>
      <c r="F100" s="29" t="s">
        <v>158</v>
      </c>
      <c r="G100" s="29" t="s">
        <v>61</v>
      </c>
      <c r="H100" s="24">
        <v>5</v>
      </c>
      <c r="I100" s="28">
        <v>5</v>
      </c>
    </row>
    <row r="101" spans="1:9">
      <c r="A101" s="42"/>
      <c r="B101" s="30" t="s">
        <v>15</v>
      </c>
      <c r="C101" s="29" t="s">
        <v>44</v>
      </c>
      <c r="D101" s="29" t="s">
        <v>51</v>
      </c>
      <c r="E101" s="29" t="s">
        <v>42</v>
      </c>
      <c r="F101" s="29" t="s">
        <v>159</v>
      </c>
      <c r="G101" s="29" t="s">
        <v>101</v>
      </c>
      <c r="H101" s="24">
        <v>6</v>
      </c>
      <c r="I101" s="28">
        <v>6</v>
      </c>
    </row>
    <row r="102" spans="1:9">
      <c r="A102" s="42"/>
      <c r="B102" s="29" t="s">
        <v>15</v>
      </c>
      <c r="C102" s="29" t="s">
        <v>44</v>
      </c>
      <c r="D102" s="29" t="s">
        <v>51</v>
      </c>
      <c r="E102" s="29" t="s">
        <v>42</v>
      </c>
      <c r="F102" s="29" t="s">
        <v>160</v>
      </c>
      <c r="G102" s="29" t="s">
        <v>161</v>
      </c>
      <c r="H102" s="24">
        <v>7</v>
      </c>
      <c r="I102" s="32">
        <v>7</v>
      </c>
    </row>
    <row r="103" spans="1:9">
      <c r="A103" s="42"/>
      <c r="B103" s="29" t="s">
        <v>15</v>
      </c>
      <c r="C103" s="29" t="s">
        <v>44</v>
      </c>
      <c r="D103" s="29" t="s">
        <v>51</v>
      </c>
      <c r="E103" s="29" t="s">
        <v>42</v>
      </c>
      <c r="F103" s="29" t="s">
        <v>162</v>
      </c>
      <c r="G103" s="29" t="s">
        <v>11</v>
      </c>
      <c r="H103" s="24">
        <v>8</v>
      </c>
      <c r="I103" s="28">
        <v>8</v>
      </c>
    </row>
    <row r="104" spans="1:9">
      <c r="A104" s="42"/>
      <c r="B104" s="29" t="s">
        <v>15</v>
      </c>
      <c r="C104" s="29" t="s">
        <v>44</v>
      </c>
      <c r="D104" s="29" t="s">
        <v>51</v>
      </c>
      <c r="E104" s="29" t="s">
        <v>42</v>
      </c>
      <c r="F104" s="29" t="s">
        <v>163</v>
      </c>
      <c r="G104" s="29" t="s">
        <v>116</v>
      </c>
      <c r="H104" s="24">
        <v>9</v>
      </c>
      <c r="I104" s="28">
        <v>9</v>
      </c>
    </row>
    <row r="105" spans="1:9">
      <c r="A105" s="42"/>
      <c r="B105" s="29" t="s">
        <v>15</v>
      </c>
      <c r="C105" s="29" t="s">
        <v>44</v>
      </c>
      <c r="D105" s="29" t="s">
        <v>15</v>
      </c>
      <c r="E105" s="29" t="s">
        <v>44</v>
      </c>
      <c r="F105" s="29" t="s">
        <v>164</v>
      </c>
      <c r="G105" s="29" t="s">
        <v>165</v>
      </c>
      <c r="H105" s="24">
        <v>1</v>
      </c>
      <c r="I105" s="28">
        <v>10</v>
      </c>
    </row>
    <row r="106" spans="1:9">
      <c r="A106" s="42"/>
      <c r="B106" s="29" t="s">
        <v>15</v>
      </c>
      <c r="C106" s="29" t="s">
        <v>44</v>
      </c>
      <c r="D106" s="29" t="s">
        <v>15</v>
      </c>
      <c r="E106" s="29" t="s">
        <v>44</v>
      </c>
      <c r="F106" s="29" t="s">
        <v>166</v>
      </c>
      <c r="G106" s="29" t="s">
        <v>167</v>
      </c>
      <c r="H106" s="24">
        <v>2</v>
      </c>
      <c r="I106" s="28">
        <v>11</v>
      </c>
    </row>
    <row r="107" spans="1:9">
      <c r="A107" s="42"/>
      <c r="B107" s="29" t="s">
        <v>15</v>
      </c>
      <c r="C107" s="29" t="s">
        <v>44</v>
      </c>
      <c r="D107" s="29" t="s">
        <v>15</v>
      </c>
      <c r="E107" s="29" t="s">
        <v>44</v>
      </c>
      <c r="F107" s="29" t="s">
        <v>168</v>
      </c>
      <c r="G107" s="29" t="s">
        <v>60</v>
      </c>
      <c r="H107" s="24">
        <v>3</v>
      </c>
      <c r="I107" s="28">
        <v>12</v>
      </c>
    </row>
    <row r="108" spans="1:9">
      <c r="A108" s="42"/>
      <c r="B108" s="29" t="s">
        <v>15</v>
      </c>
      <c r="C108" s="29" t="s">
        <v>44</v>
      </c>
      <c r="D108" s="29" t="s">
        <v>15</v>
      </c>
      <c r="E108" s="29" t="s">
        <v>44</v>
      </c>
      <c r="F108" s="29" t="s">
        <v>169</v>
      </c>
      <c r="G108" s="29" t="s">
        <v>170</v>
      </c>
      <c r="H108" s="24">
        <v>4</v>
      </c>
      <c r="I108" s="28">
        <v>13</v>
      </c>
    </row>
    <row r="109" spans="1:9">
      <c r="A109" s="42"/>
      <c r="B109" s="29" t="s">
        <v>15</v>
      </c>
      <c r="C109" s="29" t="s">
        <v>44</v>
      </c>
      <c r="D109" s="29" t="s">
        <v>15</v>
      </c>
      <c r="E109" s="29" t="s">
        <v>44</v>
      </c>
      <c r="F109" s="29" t="s">
        <v>171</v>
      </c>
      <c r="G109" s="29" t="s">
        <v>15</v>
      </c>
      <c r="H109" s="24">
        <v>5</v>
      </c>
      <c r="I109" s="28">
        <v>14</v>
      </c>
    </row>
    <row r="110" spans="1:9">
      <c r="A110" s="42"/>
      <c r="B110" s="29" t="s">
        <v>15</v>
      </c>
      <c r="C110" s="29" t="s">
        <v>44</v>
      </c>
      <c r="D110" s="29" t="s">
        <v>15</v>
      </c>
      <c r="E110" s="29" t="s">
        <v>44</v>
      </c>
      <c r="F110" s="29" t="s">
        <v>172</v>
      </c>
      <c r="G110" s="29" t="s">
        <v>64</v>
      </c>
      <c r="H110" s="24">
        <v>6</v>
      </c>
      <c r="I110" s="28">
        <v>15</v>
      </c>
    </row>
    <row r="111" spans="1:9">
      <c r="A111" s="42"/>
      <c r="B111" s="29" t="s">
        <v>15</v>
      </c>
      <c r="C111" s="29" t="s">
        <v>44</v>
      </c>
      <c r="D111" s="29" t="s">
        <v>15</v>
      </c>
      <c r="E111" s="29" t="s">
        <v>44</v>
      </c>
      <c r="F111" s="29" t="s">
        <v>173</v>
      </c>
      <c r="G111" s="29" t="s">
        <v>174</v>
      </c>
      <c r="H111" s="24">
        <v>7</v>
      </c>
      <c r="I111" s="28">
        <v>16</v>
      </c>
    </row>
    <row r="112" spans="1:9">
      <c r="A112" s="42"/>
      <c r="B112" s="29" t="s">
        <v>15</v>
      </c>
      <c r="C112" s="29" t="s">
        <v>44</v>
      </c>
      <c r="D112" s="29" t="s">
        <v>15</v>
      </c>
      <c r="E112" s="29" t="s">
        <v>44</v>
      </c>
      <c r="F112" s="29" t="s">
        <v>175</v>
      </c>
      <c r="G112" s="29" t="s">
        <v>142</v>
      </c>
      <c r="H112" s="24">
        <v>8</v>
      </c>
      <c r="I112" s="28">
        <v>17</v>
      </c>
    </row>
    <row r="113" spans="1:9">
      <c r="A113" s="42"/>
      <c r="B113" s="29" t="s">
        <v>15</v>
      </c>
      <c r="C113" s="29" t="s">
        <v>44</v>
      </c>
      <c r="D113" s="29" t="s">
        <v>15</v>
      </c>
      <c r="E113" s="29" t="s">
        <v>44</v>
      </c>
      <c r="F113" s="29" t="s">
        <v>176</v>
      </c>
      <c r="G113" s="29" t="s">
        <v>177</v>
      </c>
      <c r="H113" s="24">
        <v>9</v>
      </c>
      <c r="I113" s="28">
        <v>18</v>
      </c>
    </row>
    <row r="114" spans="1:9">
      <c r="A114" s="42"/>
      <c r="B114" s="29" t="s">
        <v>15</v>
      </c>
      <c r="C114" s="29" t="s">
        <v>44</v>
      </c>
      <c r="D114" s="29" t="s">
        <v>15</v>
      </c>
      <c r="E114" s="29" t="s">
        <v>44</v>
      </c>
      <c r="F114" s="29" t="s">
        <v>52</v>
      </c>
      <c r="G114" s="29" t="s">
        <v>24</v>
      </c>
      <c r="H114" s="24">
        <v>10</v>
      </c>
      <c r="I114" s="28">
        <v>19</v>
      </c>
    </row>
    <row r="115" spans="1:9">
      <c r="A115" s="42"/>
      <c r="B115" s="29" t="s">
        <v>15</v>
      </c>
      <c r="C115" s="29" t="s">
        <v>44</v>
      </c>
      <c r="D115" s="29" t="s">
        <v>15</v>
      </c>
      <c r="E115" s="29" t="s">
        <v>44</v>
      </c>
      <c r="F115" s="29" t="s">
        <v>178</v>
      </c>
      <c r="G115" s="29" t="s">
        <v>62</v>
      </c>
      <c r="H115" s="24">
        <v>11</v>
      </c>
      <c r="I115" s="28">
        <v>20</v>
      </c>
    </row>
    <row r="116" spans="1:9">
      <c r="A116" s="42"/>
      <c r="B116" s="29" t="s">
        <v>15</v>
      </c>
      <c r="C116" s="29" t="s">
        <v>44</v>
      </c>
      <c r="D116" s="29" t="s">
        <v>15</v>
      </c>
      <c r="E116" s="29" t="s">
        <v>44</v>
      </c>
      <c r="F116" s="29" t="s">
        <v>179</v>
      </c>
      <c r="G116" s="29" t="s">
        <v>180</v>
      </c>
      <c r="H116" s="24">
        <v>12</v>
      </c>
      <c r="I116" s="28">
        <v>21</v>
      </c>
    </row>
    <row r="117" spans="1:9">
      <c r="A117" s="42"/>
      <c r="B117" s="29" t="s">
        <v>15</v>
      </c>
      <c r="C117" s="29" t="s">
        <v>44</v>
      </c>
      <c r="D117" s="29" t="s">
        <v>15</v>
      </c>
      <c r="E117" s="29" t="s">
        <v>44</v>
      </c>
      <c r="F117" s="29" t="s">
        <v>181</v>
      </c>
      <c r="G117" s="29" t="s">
        <v>31</v>
      </c>
      <c r="H117" s="24">
        <v>13</v>
      </c>
      <c r="I117" s="28">
        <v>22</v>
      </c>
    </row>
    <row r="118" spans="1:9">
      <c r="A118" s="42"/>
      <c r="B118" s="29" t="s">
        <v>15</v>
      </c>
      <c r="C118" s="29" t="s">
        <v>44</v>
      </c>
      <c r="D118" s="29" t="s">
        <v>15</v>
      </c>
      <c r="E118" s="29" t="s">
        <v>44</v>
      </c>
      <c r="F118" s="29" t="s">
        <v>182</v>
      </c>
      <c r="G118" s="29" t="s">
        <v>110</v>
      </c>
      <c r="H118" s="24">
        <v>14</v>
      </c>
      <c r="I118" s="32">
        <v>23</v>
      </c>
    </row>
    <row r="119" spans="1:9">
      <c r="A119" s="42"/>
      <c r="B119" s="29" t="s">
        <v>15</v>
      </c>
      <c r="C119" s="29" t="s">
        <v>44</v>
      </c>
      <c r="D119" s="29" t="s">
        <v>15</v>
      </c>
      <c r="E119" s="29" t="s">
        <v>44</v>
      </c>
      <c r="F119" s="29" t="s">
        <v>183</v>
      </c>
      <c r="G119" s="29" t="s">
        <v>184</v>
      </c>
      <c r="H119" s="24">
        <v>15</v>
      </c>
      <c r="I119" s="28">
        <v>24</v>
      </c>
    </row>
    <row r="120" spans="1:9">
      <c r="A120" s="42"/>
      <c r="B120" s="29" t="s">
        <v>15</v>
      </c>
      <c r="C120" s="29" t="s">
        <v>44</v>
      </c>
      <c r="D120" s="29" t="s">
        <v>15</v>
      </c>
      <c r="E120" s="29" t="s">
        <v>44</v>
      </c>
      <c r="F120" s="29" t="s">
        <v>185</v>
      </c>
      <c r="G120" s="29" t="s">
        <v>186</v>
      </c>
      <c r="H120" s="24">
        <v>16</v>
      </c>
      <c r="I120" s="28">
        <v>25</v>
      </c>
    </row>
    <row r="121" spans="1:9">
      <c r="A121" s="42"/>
      <c r="B121" s="29" t="s">
        <v>15</v>
      </c>
      <c r="C121" s="29" t="s">
        <v>44</v>
      </c>
      <c r="D121" s="29" t="s">
        <v>15</v>
      </c>
      <c r="E121" s="29" t="s">
        <v>44</v>
      </c>
      <c r="F121" s="29" t="s">
        <v>187</v>
      </c>
      <c r="G121" s="29" t="s">
        <v>18</v>
      </c>
      <c r="H121" s="24">
        <v>17</v>
      </c>
      <c r="I121" s="28">
        <v>26</v>
      </c>
    </row>
    <row r="122" spans="1:9">
      <c r="A122" s="42"/>
      <c r="B122" s="29" t="s">
        <v>15</v>
      </c>
      <c r="C122" s="29" t="s">
        <v>44</v>
      </c>
      <c r="D122" s="29" t="s">
        <v>15</v>
      </c>
      <c r="E122" s="29" t="s">
        <v>44</v>
      </c>
      <c r="F122" s="29" t="s">
        <v>44</v>
      </c>
      <c r="G122" s="29" t="s">
        <v>188</v>
      </c>
      <c r="H122" s="24">
        <v>18</v>
      </c>
      <c r="I122" s="28">
        <v>27</v>
      </c>
    </row>
    <row r="123" spans="1:9">
      <c r="A123" s="42"/>
      <c r="B123" s="29" t="s">
        <v>15</v>
      </c>
      <c r="C123" s="29" t="s">
        <v>44</v>
      </c>
      <c r="D123" s="29" t="s">
        <v>15</v>
      </c>
      <c r="E123" s="29" t="s">
        <v>44</v>
      </c>
      <c r="F123" s="29" t="s">
        <v>189</v>
      </c>
      <c r="G123" s="29" t="s">
        <v>63</v>
      </c>
      <c r="H123" s="24">
        <v>19</v>
      </c>
      <c r="I123" s="31">
        <v>28</v>
      </c>
    </row>
    <row r="124" spans="1:9">
      <c r="A124" s="42"/>
      <c r="B124" s="29" t="s">
        <v>15</v>
      </c>
      <c r="C124" s="29" t="s">
        <v>44</v>
      </c>
      <c r="D124" s="29" t="s">
        <v>15</v>
      </c>
      <c r="E124" s="29" t="s">
        <v>44</v>
      </c>
      <c r="F124" s="29" t="s">
        <v>190</v>
      </c>
      <c r="G124" s="29" t="s">
        <v>124</v>
      </c>
      <c r="H124" s="24">
        <v>20</v>
      </c>
      <c r="I124" s="31">
        <v>29</v>
      </c>
    </row>
    <row r="125" spans="1:9">
      <c r="A125" s="42"/>
      <c r="B125" s="29" t="s">
        <v>15</v>
      </c>
      <c r="C125" s="29" t="s">
        <v>44</v>
      </c>
      <c r="D125" s="29" t="s">
        <v>15</v>
      </c>
      <c r="E125" s="29" t="s">
        <v>44</v>
      </c>
      <c r="F125" s="29" t="s">
        <v>191</v>
      </c>
      <c r="G125" s="29" t="s">
        <v>192</v>
      </c>
      <c r="H125" s="24">
        <v>21</v>
      </c>
      <c r="I125" s="28">
        <v>30</v>
      </c>
    </row>
    <row r="126" spans="1:9">
      <c r="A126" s="42"/>
      <c r="B126" s="29" t="s">
        <v>15</v>
      </c>
      <c r="C126" s="29" t="s">
        <v>44</v>
      </c>
      <c r="D126" s="29" t="s">
        <v>15</v>
      </c>
      <c r="E126" s="29" t="s">
        <v>44</v>
      </c>
      <c r="F126" s="29" t="s">
        <v>193</v>
      </c>
      <c r="G126" s="29" t="s">
        <v>122</v>
      </c>
      <c r="H126" s="24">
        <v>22</v>
      </c>
      <c r="I126" s="28">
        <v>31</v>
      </c>
    </row>
    <row r="127" spans="1:9">
      <c r="A127" s="42"/>
      <c r="B127" s="29" t="s">
        <v>15</v>
      </c>
      <c r="C127" s="29" t="s">
        <v>44</v>
      </c>
      <c r="D127" s="29" t="s">
        <v>15</v>
      </c>
      <c r="E127" s="29" t="s">
        <v>44</v>
      </c>
      <c r="F127" s="29" t="s">
        <v>194</v>
      </c>
      <c r="G127" s="29" t="s">
        <v>195</v>
      </c>
      <c r="H127" s="24">
        <v>23</v>
      </c>
      <c r="I127" s="28">
        <v>32</v>
      </c>
    </row>
    <row r="128" spans="1:9">
      <c r="A128" s="42"/>
      <c r="B128" s="29" t="s">
        <v>15</v>
      </c>
      <c r="C128" s="29" t="s">
        <v>44</v>
      </c>
      <c r="D128" s="29" t="s">
        <v>15</v>
      </c>
      <c r="E128" s="29" t="s">
        <v>44</v>
      </c>
      <c r="F128" s="29" t="s">
        <v>196</v>
      </c>
      <c r="G128" s="29" t="s">
        <v>26</v>
      </c>
      <c r="H128" s="24">
        <v>24</v>
      </c>
      <c r="I128" s="28">
        <v>33</v>
      </c>
    </row>
    <row r="129" spans="1:9">
      <c r="A129" s="42"/>
      <c r="B129" s="29" t="s">
        <v>15</v>
      </c>
      <c r="C129" s="29" t="s">
        <v>44</v>
      </c>
      <c r="D129" s="29" t="s">
        <v>15</v>
      </c>
      <c r="E129" s="29" t="s">
        <v>44</v>
      </c>
      <c r="F129" s="29" t="s">
        <v>197</v>
      </c>
      <c r="G129" s="29" t="s">
        <v>59</v>
      </c>
      <c r="H129" s="24">
        <v>25</v>
      </c>
      <c r="I129" s="28">
        <v>34</v>
      </c>
    </row>
    <row r="130" spans="1:9">
      <c r="A130" s="42"/>
      <c r="B130" s="29" t="s">
        <v>15</v>
      </c>
      <c r="C130" s="29" t="s">
        <v>44</v>
      </c>
      <c r="D130" s="29" t="s">
        <v>15</v>
      </c>
      <c r="E130" s="29" t="s">
        <v>44</v>
      </c>
      <c r="F130" s="29" t="s">
        <v>198</v>
      </c>
      <c r="G130" s="29" t="s">
        <v>199</v>
      </c>
      <c r="H130" s="24">
        <v>26</v>
      </c>
      <c r="I130" s="28">
        <v>35</v>
      </c>
    </row>
    <row r="131" spans="1:9">
      <c r="A131" s="42"/>
      <c r="B131" s="29" t="s">
        <v>15</v>
      </c>
      <c r="C131" s="29" t="s">
        <v>44</v>
      </c>
      <c r="D131" s="29" t="s">
        <v>15</v>
      </c>
      <c r="E131" s="29" t="s">
        <v>44</v>
      </c>
      <c r="F131" s="29" t="s">
        <v>200</v>
      </c>
      <c r="G131" s="29" t="s">
        <v>201</v>
      </c>
      <c r="H131" s="24">
        <v>27</v>
      </c>
      <c r="I131" s="28">
        <v>36</v>
      </c>
    </row>
    <row r="132" spans="1:9">
      <c r="A132" s="42"/>
      <c r="B132" s="29" t="s">
        <v>15</v>
      </c>
      <c r="C132" s="29" t="s">
        <v>44</v>
      </c>
      <c r="D132" s="29" t="s">
        <v>15</v>
      </c>
      <c r="E132" s="29" t="s">
        <v>44</v>
      </c>
      <c r="F132" s="29" t="s">
        <v>202</v>
      </c>
      <c r="G132" s="29" t="s">
        <v>30</v>
      </c>
      <c r="H132" s="24">
        <v>28</v>
      </c>
      <c r="I132" s="28">
        <v>37</v>
      </c>
    </row>
  </sheetData>
  <mergeCells count="6">
    <mergeCell ref="A96:A132"/>
    <mergeCell ref="A1:I1"/>
    <mergeCell ref="A5:A23"/>
    <mergeCell ref="A24:A47"/>
    <mergeCell ref="A48:A71"/>
    <mergeCell ref="A72:A95"/>
  </mergeCells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>
      <selection sqref="A1:K1"/>
    </sheetView>
  </sheetViews>
  <sheetFormatPr defaultColWidth="20.7109375" defaultRowHeight="24.95" customHeight="1"/>
  <cols>
    <col min="1" max="1" width="6.7109375" style="23" customWidth="1"/>
    <col min="2" max="2" width="19.42578125" style="7" customWidth="1"/>
    <col min="3" max="3" width="20.140625" style="7" customWidth="1"/>
    <col min="4" max="4" width="12.42578125" style="4" customWidth="1"/>
    <col min="5" max="5" width="14" style="4" customWidth="1"/>
    <col min="6" max="6" width="8.85546875" style="4" customWidth="1"/>
    <col min="7" max="7" width="6.7109375" style="4" customWidth="1"/>
    <col min="8" max="8" width="9" style="4" customWidth="1"/>
    <col min="9" max="9" width="7.140625" style="4" customWidth="1"/>
    <col min="10" max="10" width="8" style="4" customWidth="1"/>
    <col min="11" max="11" width="8.7109375" style="4" customWidth="1"/>
    <col min="12" max="16384" width="20.7109375" style="8"/>
  </cols>
  <sheetData>
    <row r="1" spans="1:12" ht="24.95" customHeight="1">
      <c r="A1" s="49" t="s">
        <v>69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2" ht="24.95" customHeight="1">
      <c r="A2" s="49" t="s">
        <v>70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2" s="5" customFormat="1" ht="24.95" customHeight="1">
      <c r="A3" s="1" t="s">
        <v>87</v>
      </c>
      <c r="B3" s="2" t="s">
        <v>83</v>
      </c>
      <c r="C3" s="33"/>
      <c r="D3" s="34"/>
      <c r="E3" s="34"/>
      <c r="F3" s="33"/>
      <c r="G3" s="57" t="s">
        <v>65</v>
      </c>
      <c r="H3" s="57"/>
      <c r="I3" s="57"/>
      <c r="J3" s="57"/>
      <c r="K3" s="57"/>
    </row>
    <row r="4" spans="1:12" ht="24.95" customHeight="1">
      <c r="A4" s="6"/>
      <c r="B4" s="35"/>
      <c r="C4" s="35"/>
      <c r="D4" s="34"/>
      <c r="E4" s="34"/>
      <c r="F4" s="34"/>
      <c r="G4" s="34"/>
      <c r="H4" s="34" t="s">
        <v>261</v>
      </c>
      <c r="I4" s="34"/>
      <c r="J4" s="34"/>
      <c r="K4" s="34"/>
    </row>
    <row r="5" spans="1:12" ht="46.5" customHeight="1">
      <c r="A5" s="58" t="s">
        <v>71</v>
      </c>
      <c r="B5" s="56" t="s">
        <v>72</v>
      </c>
      <c r="C5" s="56" t="s">
        <v>73</v>
      </c>
      <c r="D5" s="56" t="s">
        <v>74</v>
      </c>
      <c r="E5" s="59" t="s">
        <v>75</v>
      </c>
      <c r="F5" s="56" t="s">
        <v>76</v>
      </c>
      <c r="G5" s="56"/>
      <c r="H5" s="56" t="s">
        <v>77</v>
      </c>
      <c r="I5" s="56"/>
      <c r="J5" s="56" t="s">
        <v>78</v>
      </c>
      <c r="K5" s="56"/>
    </row>
    <row r="6" spans="1:12" ht="35.25" customHeight="1">
      <c r="A6" s="58"/>
      <c r="B6" s="56"/>
      <c r="C6" s="56"/>
      <c r="D6" s="56"/>
      <c r="E6" s="60"/>
      <c r="F6" s="10" t="s">
        <v>79</v>
      </c>
      <c r="G6" s="10" t="s">
        <v>80</v>
      </c>
      <c r="H6" s="10" t="s">
        <v>79</v>
      </c>
      <c r="I6" s="10" t="s">
        <v>80</v>
      </c>
      <c r="J6" s="10" t="s">
        <v>79</v>
      </c>
      <c r="K6" s="10" t="s">
        <v>80</v>
      </c>
    </row>
    <row r="7" spans="1:12" ht="30" customHeight="1">
      <c r="A7" s="52">
        <v>1</v>
      </c>
      <c r="B7" s="50" t="s">
        <v>7</v>
      </c>
      <c r="C7" s="11" t="s">
        <v>8</v>
      </c>
      <c r="D7" s="12">
        <v>7</v>
      </c>
      <c r="E7" s="12">
        <f>D7</f>
        <v>7</v>
      </c>
      <c r="F7" s="13"/>
      <c r="G7" s="13"/>
      <c r="H7" s="13"/>
      <c r="I7" s="13"/>
      <c r="J7" s="13" t="s">
        <v>278</v>
      </c>
      <c r="K7" s="13" t="s">
        <v>263</v>
      </c>
      <c r="L7" s="14"/>
    </row>
    <row r="8" spans="1:12" ht="30" customHeight="1">
      <c r="A8" s="53"/>
      <c r="B8" s="51"/>
      <c r="C8" s="11" t="s">
        <v>13</v>
      </c>
      <c r="D8" s="13">
        <v>12</v>
      </c>
      <c r="E8" s="13">
        <f>D8+E7</f>
        <v>19</v>
      </c>
      <c r="F8" s="13"/>
      <c r="G8" s="13"/>
      <c r="H8" s="13"/>
      <c r="I8" s="13"/>
      <c r="J8" s="13" t="s">
        <v>262</v>
      </c>
      <c r="K8" s="13" t="s">
        <v>86</v>
      </c>
      <c r="L8" s="14"/>
    </row>
    <row r="9" spans="1:12" ht="30" customHeight="1">
      <c r="A9" s="19"/>
      <c r="B9" s="26"/>
      <c r="C9" s="27" t="s">
        <v>81</v>
      </c>
      <c r="D9" s="15">
        <v>19</v>
      </c>
      <c r="E9" s="13"/>
      <c r="F9" s="15">
        <v>2</v>
      </c>
      <c r="G9" s="15">
        <v>2</v>
      </c>
      <c r="H9" s="15">
        <v>65</v>
      </c>
      <c r="I9" s="15">
        <v>65</v>
      </c>
      <c r="J9" s="13"/>
      <c r="K9" s="13"/>
      <c r="L9" s="14"/>
    </row>
    <row r="10" spans="1:12" ht="28.5" customHeight="1">
      <c r="A10" s="54"/>
      <c r="B10" s="50" t="s">
        <v>41</v>
      </c>
      <c r="C10" s="11" t="s">
        <v>41</v>
      </c>
      <c r="D10" s="13">
        <v>5</v>
      </c>
      <c r="E10" s="13">
        <v>5</v>
      </c>
      <c r="F10" s="15"/>
      <c r="G10" s="15"/>
      <c r="H10" s="15"/>
      <c r="I10" s="15"/>
      <c r="J10" s="13" t="s">
        <v>85</v>
      </c>
      <c r="K10" s="13" t="s">
        <v>265</v>
      </c>
      <c r="L10" s="14"/>
    </row>
    <row r="11" spans="1:12" ht="28.5" customHeight="1">
      <c r="A11" s="54"/>
      <c r="B11" s="51"/>
      <c r="C11" s="11" t="s">
        <v>42</v>
      </c>
      <c r="D11" s="13">
        <v>1</v>
      </c>
      <c r="E11" s="13">
        <f t="shared" ref="E11:E13" si="0">D11+E10</f>
        <v>6</v>
      </c>
      <c r="F11" s="15"/>
      <c r="G11" s="15"/>
      <c r="H11" s="15"/>
      <c r="I11" s="15"/>
      <c r="J11" s="13" t="s">
        <v>264</v>
      </c>
      <c r="K11" s="13" t="s">
        <v>266</v>
      </c>
      <c r="L11" s="14"/>
    </row>
    <row r="12" spans="1:12" ht="28.5" customHeight="1">
      <c r="A12" s="54"/>
      <c r="B12" s="50" t="s">
        <v>17</v>
      </c>
      <c r="C12" s="11" t="s">
        <v>17</v>
      </c>
      <c r="D12" s="13">
        <v>17</v>
      </c>
      <c r="E12" s="13">
        <f t="shared" si="0"/>
        <v>23</v>
      </c>
      <c r="F12" s="15"/>
      <c r="G12" s="15"/>
      <c r="H12" s="15"/>
      <c r="I12" s="15"/>
      <c r="J12" s="13"/>
      <c r="K12" s="13"/>
      <c r="L12" s="14"/>
    </row>
    <row r="13" spans="1:12" ht="28.5" customHeight="1">
      <c r="A13" s="53"/>
      <c r="B13" s="51"/>
      <c r="C13" s="11" t="s">
        <v>28</v>
      </c>
      <c r="D13" s="13">
        <v>1</v>
      </c>
      <c r="E13" s="13">
        <f t="shared" si="0"/>
        <v>24</v>
      </c>
      <c r="F13" s="15"/>
      <c r="G13" s="15"/>
      <c r="H13" s="15"/>
      <c r="I13" s="15"/>
      <c r="J13" s="13"/>
      <c r="K13" s="13"/>
      <c r="L13" s="14"/>
    </row>
    <row r="14" spans="1:12" ht="28.5" customHeight="1">
      <c r="A14" s="16"/>
      <c r="B14" s="17"/>
      <c r="C14" s="27" t="s">
        <v>81</v>
      </c>
      <c r="D14" s="15">
        <f>SUM(D10:D13)</f>
        <v>24</v>
      </c>
      <c r="E14" s="18"/>
      <c r="F14" s="15">
        <v>2</v>
      </c>
      <c r="G14" s="15">
        <v>2</v>
      </c>
      <c r="H14" s="15">
        <v>66</v>
      </c>
      <c r="I14" s="15">
        <v>66</v>
      </c>
      <c r="J14" s="13"/>
      <c r="K14" s="13"/>
      <c r="L14" s="14"/>
    </row>
    <row r="15" spans="1:12" ht="24.95" customHeight="1">
      <c r="A15" s="52">
        <v>3</v>
      </c>
      <c r="B15" s="50" t="s">
        <v>6</v>
      </c>
      <c r="C15" s="11" t="s">
        <v>38</v>
      </c>
      <c r="D15" s="13">
        <v>4</v>
      </c>
      <c r="E15" s="13">
        <f>D15</f>
        <v>4</v>
      </c>
      <c r="F15" s="13"/>
      <c r="G15" s="13"/>
      <c r="H15" s="15"/>
      <c r="I15" s="15"/>
      <c r="J15" s="13" t="s">
        <v>267</v>
      </c>
      <c r="K15" s="13" t="s">
        <v>269</v>
      </c>
      <c r="L15" s="14"/>
    </row>
    <row r="16" spans="1:12" ht="24.95" customHeight="1">
      <c r="A16" s="54"/>
      <c r="B16" s="55"/>
      <c r="C16" s="11" t="s">
        <v>6</v>
      </c>
      <c r="D16" s="13">
        <v>6</v>
      </c>
      <c r="E16" s="13">
        <f>D16+E15</f>
        <v>10</v>
      </c>
      <c r="F16" s="13"/>
      <c r="G16" s="13"/>
      <c r="H16" s="15"/>
      <c r="I16" s="15"/>
      <c r="J16" s="13" t="s">
        <v>268</v>
      </c>
      <c r="K16" s="13" t="s">
        <v>266</v>
      </c>
      <c r="L16" s="14"/>
    </row>
    <row r="17" spans="1:12" ht="24.95" customHeight="1">
      <c r="A17" s="53"/>
      <c r="B17" s="51"/>
      <c r="C17" s="11" t="s">
        <v>84</v>
      </c>
      <c r="D17" s="13">
        <v>14</v>
      </c>
      <c r="E17" s="13">
        <f>D17+E16</f>
        <v>24</v>
      </c>
      <c r="F17" s="13"/>
      <c r="G17" s="13"/>
      <c r="H17" s="15"/>
      <c r="I17" s="15"/>
      <c r="J17" s="13"/>
      <c r="K17" s="13"/>
      <c r="L17" s="14"/>
    </row>
    <row r="18" spans="1:12" ht="24.95" customHeight="1">
      <c r="A18" s="25"/>
      <c r="B18" s="11"/>
      <c r="C18" s="27" t="s">
        <v>81</v>
      </c>
      <c r="D18" s="15">
        <f>SUM(D15:D17)</f>
        <v>24</v>
      </c>
      <c r="E18" s="13"/>
      <c r="F18" s="15">
        <v>2</v>
      </c>
      <c r="G18" s="15">
        <v>2</v>
      </c>
      <c r="H18" s="15">
        <v>67</v>
      </c>
      <c r="I18" s="15">
        <v>67</v>
      </c>
      <c r="J18" s="13"/>
      <c r="K18" s="13"/>
      <c r="L18" s="14"/>
    </row>
    <row r="19" spans="1:12" ht="24.95" customHeight="1">
      <c r="A19" s="52">
        <v>4</v>
      </c>
      <c r="B19" s="50" t="s">
        <v>40</v>
      </c>
      <c r="C19" s="11" t="s">
        <v>41</v>
      </c>
      <c r="D19" s="13">
        <v>2</v>
      </c>
      <c r="E19" s="13">
        <f>D19</f>
        <v>2</v>
      </c>
      <c r="F19" s="13"/>
      <c r="G19" s="13"/>
      <c r="H19" s="15"/>
      <c r="I19" s="15"/>
      <c r="J19" s="13" t="s">
        <v>270</v>
      </c>
      <c r="K19" s="13" t="s">
        <v>273</v>
      </c>
      <c r="L19" s="14"/>
    </row>
    <row r="20" spans="1:12" ht="24.95" customHeight="1">
      <c r="A20" s="54"/>
      <c r="B20" s="55"/>
      <c r="C20" s="11" t="s">
        <v>38</v>
      </c>
      <c r="D20" s="13">
        <v>3</v>
      </c>
      <c r="E20" s="13">
        <f>D20+E19</f>
        <v>5</v>
      </c>
      <c r="F20" s="13"/>
      <c r="G20" s="13"/>
      <c r="H20" s="15"/>
      <c r="I20" s="15"/>
      <c r="J20" s="13" t="s">
        <v>271</v>
      </c>
      <c r="K20" s="13" t="s">
        <v>272</v>
      </c>
      <c r="L20" s="14"/>
    </row>
    <row r="21" spans="1:12" ht="24.95" customHeight="1">
      <c r="A21" s="54"/>
      <c r="B21" s="51"/>
      <c r="C21" s="11" t="s">
        <v>42</v>
      </c>
      <c r="D21" s="13">
        <v>2</v>
      </c>
      <c r="E21" s="13">
        <f t="shared" ref="E21:E22" si="1">D21+E20</f>
        <v>7</v>
      </c>
      <c r="F21" s="13"/>
      <c r="G21" s="13"/>
      <c r="H21" s="15"/>
      <c r="I21" s="15"/>
      <c r="J21" s="13"/>
      <c r="K21" s="13"/>
      <c r="L21" s="14"/>
    </row>
    <row r="22" spans="1:12" ht="24.95" customHeight="1">
      <c r="A22" s="53"/>
      <c r="B22" s="12" t="s">
        <v>28</v>
      </c>
      <c r="C22" s="11" t="s">
        <v>28</v>
      </c>
      <c r="D22" s="13">
        <v>17</v>
      </c>
      <c r="E22" s="13">
        <f t="shared" si="1"/>
        <v>24</v>
      </c>
      <c r="F22" s="13"/>
      <c r="G22" s="13"/>
      <c r="H22" s="15"/>
      <c r="I22" s="15"/>
      <c r="J22" s="13"/>
      <c r="K22" s="13"/>
      <c r="L22" s="14"/>
    </row>
    <row r="23" spans="1:12" ht="24.95" customHeight="1">
      <c r="A23" s="25"/>
      <c r="B23" s="11"/>
      <c r="C23" s="27" t="s">
        <v>81</v>
      </c>
      <c r="D23" s="15">
        <f>SUM(D19:D22)</f>
        <v>24</v>
      </c>
      <c r="E23" s="13"/>
      <c r="F23" s="15">
        <v>2</v>
      </c>
      <c r="G23" s="15">
        <v>2</v>
      </c>
      <c r="H23" s="15">
        <v>68</v>
      </c>
      <c r="I23" s="15">
        <v>68</v>
      </c>
      <c r="J23" s="13"/>
      <c r="K23" s="13"/>
      <c r="L23" s="14"/>
    </row>
    <row r="24" spans="1:12" ht="24.95" customHeight="1">
      <c r="A24" s="52">
        <v>5</v>
      </c>
      <c r="B24" s="50" t="s">
        <v>44</v>
      </c>
      <c r="C24" s="11" t="s">
        <v>42</v>
      </c>
      <c r="D24" s="13">
        <v>9</v>
      </c>
      <c r="E24" s="13">
        <f>D24</f>
        <v>9</v>
      </c>
      <c r="F24" s="13"/>
      <c r="G24" s="13"/>
      <c r="H24" s="15"/>
      <c r="I24" s="15"/>
      <c r="J24" s="13" t="s">
        <v>274</v>
      </c>
      <c r="K24" s="13" t="s">
        <v>276</v>
      </c>
      <c r="L24" s="14"/>
    </row>
    <row r="25" spans="1:12" ht="24.95" customHeight="1">
      <c r="A25" s="53"/>
      <c r="B25" s="51"/>
      <c r="C25" s="11" t="s">
        <v>44</v>
      </c>
      <c r="D25" s="13">
        <v>28</v>
      </c>
      <c r="E25" s="13">
        <f>D25+E24</f>
        <v>37</v>
      </c>
      <c r="F25" s="13"/>
      <c r="G25" s="13"/>
      <c r="H25" s="15"/>
      <c r="I25" s="15"/>
      <c r="J25" s="13" t="s">
        <v>275</v>
      </c>
      <c r="K25" s="13" t="s">
        <v>277</v>
      </c>
      <c r="L25" s="14"/>
    </row>
    <row r="26" spans="1:12" ht="24.95" customHeight="1">
      <c r="A26" s="16"/>
      <c r="B26" s="17"/>
      <c r="C26" s="27" t="s">
        <v>81</v>
      </c>
      <c r="D26" s="15">
        <f>SUM(D24:D25)</f>
        <v>37</v>
      </c>
      <c r="E26" s="20"/>
      <c r="F26" s="15">
        <v>2</v>
      </c>
      <c r="G26" s="15">
        <v>2</v>
      </c>
      <c r="H26" s="15">
        <v>69</v>
      </c>
      <c r="I26" s="15">
        <v>69</v>
      </c>
      <c r="J26" s="13"/>
      <c r="K26" s="13"/>
      <c r="L26" s="14"/>
    </row>
    <row r="27" spans="1:12" ht="24.95" customHeight="1">
      <c r="A27" s="21"/>
      <c r="B27" s="11"/>
      <c r="C27" s="27" t="s">
        <v>82</v>
      </c>
      <c r="D27" s="15">
        <f>D9+D14+D18+D23+D26</f>
        <v>128</v>
      </c>
      <c r="E27" s="22"/>
      <c r="F27" s="13"/>
      <c r="G27" s="13"/>
      <c r="H27" s="13"/>
      <c r="I27" s="13"/>
      <c r="J27" s="13"/>
      <c r="K27" s="13"/>
      <c r="L27" s="14"/>
    </row>
  </sheetData>
  <mergeCells count="22">
    <mergeCell ref="B7:B8"/>
    <mergeCell ref="A7:A8"/>
    <mergeCell ref="B10:B11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B24:B25"/>
    <mergeCell ref="A24:A25"/>
    <mergeCell ref="B12:B13"/>
    <mergeCell ref="A10:A13"/>
    <mergeCell ref="B15:B17"/>
    <mergeCell ref="A15:A17"/>
    <mergeCell ref="B19:B21"/>
    <mergeCell ref="A19:A22"/>
  </mergeCells>
  <pageMargins left="0.31496062992125984" right="0.31496062992125984" top="0.35433070866141736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WISE(SS)</vt:lpstr>
      <vt:lpstr>STRATUM WISE (CS)</vt:lpstr>
      <vt:lpstr>STRATUM WISE</vt:lpstr>
      <vt:lpstr>WORKING SHEET</vt:lpstr>
      <vt:lpstr>'STRATUM WISE'!Print_Titles</vt:lpstr>
      <vt:lpstr>'STRATUM WISE (CS)'!Print_Titles</vt:lpstr>
      <vt:lpstr>'STRATUM WISE(SS)'!Print_Titles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2025-06-27T10:51:37Z</cp:lastPrinted>
  <dcterms:created xsi:type="dcterms:W3CDTF">2025-06-18T07:54:30Z</dcterms:created>
  <dcterms:modified xsi:type="dcterms:W3CDTF">2026-06-16T12:22:50Z</dcterms:modified>
</cp:coreProperties>
</file>
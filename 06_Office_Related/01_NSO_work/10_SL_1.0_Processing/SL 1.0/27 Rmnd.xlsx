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E15" i="6"/>
  <c r="E16" s="1"/>
  <c r="E17" s="1"/>
  <c r="E18" s="1"/>
  <c r="E19" s="1"/>
  <c r="E11"/>
  <c r="E12" s="1"/>
  <c r="E13" s="1"/>
  <c r="E10"/>
  <c r="E8"/>
  <c r="E7"/>
  <c r="D25"/>
  <c r="D20"/>
  <c r="D14"/>
  <c r="D9"/>
  <c r="D26" l="1"/>
</calcChain>
</file>

<file path=xl/sharedStrings.xml><?xml version="1.0" encoding="utf-8"?>
<sst xmlns="http://schemas.openxmlformats.org/spreadsheetml/2006/main" count="651" uniqueCount="199">
  <si>
    <t>TRS_TKCODE</t>
  </si>
  <si>
    <t>TRS_TKNAME</t>
  </si>
  <si>
    <t>TRS_BKCODE</t>
  </si>
  <si>
    <t>TRS_BKNAME</t>
  </si>
  <si>
    <t>VGNAME</t>
  </si>
  <si>
    <t>RV_CODE</t>
  </si>
  <si>
    <t>RAMANATHAPURAM</t>
  </si>
  <si>
    <t>KADALADI</t>
  </si>
  <si>
    <t>5</t>
  </si>
  <si>
    <t>35</t>
  </si>
  <si>
    <t>2</t>
  </si>
  <si>
    <t>7</t>
  </si>
  <si>
    <t>11</t>
  </si>
  <si>
    <t>32</t>
  </si>
  <si>
    <t>24</t>
  </si>
  <si>
    <t>19</t>
  </si>
  <si>
    <t>KAMUTHI</t>
  </si>
  <si>
    <t>48</t>
  </si>
  <si>
    <t>ABIRAMAM</t>
  </si>
  <si>
    <t>39</t>
  </si>
  <si>
    <t>18</t>
  </si>
  <si>
    <t>20</t>
  </si>
  <si>
    <t>MUTHUKULATHUR</t>
  </si>
  <si>
    <t>MUDUKULATHUR</t>
  </si>
  <si>
    <t>15</t>
  </si>
  <si>
    <t>6</t>
  </si>
  <si>
    <t>4</t>
  </si>
  <si>
    <t>34</t>
  </si>
  <si>
    <t>26</t>
  </si>
  <si>
    <t>23</t>
  </si>
  <si>
    <t>33</t>
  </si>
  <si>
    <t>16</t>
  </si>
  <si>
    <t>37</t>
  </si>
  <si>
    <t>38</t>
  </si>
  <si>
    <t>PARAMAKUDI</t>
  </si>
  <si>
    <t>12</t>
  </si>
  <si>
    <t>BOGALUR</t>
  </si>
  <si>
    <t>NAINARKOIL</t>
  </si>
  <si>
    <t>DEVIPATTINAM</t>
  </si>
  <si>
    <t>13</t>
  </si>
  <si>
    <t>43</t>
  </si>
  <si>
    <t>MANDAPAM</t>
  </si>
  <si>
    <t>30</t>
  </si>
  <si>
    <t>THIRUVADANAI</t>
  </si>
  <si>
    <t>KEELAKARAI</t>
  </si>
  <si>
    <t>THIRUPULLANI</t>
  </si>
  <si>
    <t>1</t>
  </si>
  <si>
    <t>R.S.MANGALAM</t>
  </si>
  <si>
    <t>31</t>
  </si>
  <si>
    <t>17</t>
  </si>
  <si>
    <t>8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</si>
  <si>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</si>
  <si>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</si>
  <si>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</si>
  <si>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</si>
  <si>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</si>
  <si>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</si>
  <si>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</si>
  <si>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</si>
  <si>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</si>
  <si>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</si>
  <si>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</si>
  <si>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</si>
  <si>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</si>
  <si>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</si>
  <si>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</si>
  <si>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</si>
  <si>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</si>
  <si>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</si>
  <si>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</si>
  <si>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RAMANATHAPURAM(27)</t>
  </si>
  <si>
    <t>Kadaladi</t>
  </si>
  <si>
    <t>Kamudhi</t>
  </si>
  <si>
    <t>Keelakarai</t>
  </si>
  <si>
    <t>Thirupulani</t>
  </si>
  <si>
    <t>Muthukulathur</t>
  </si>
  <si>
    <t>Total</t>
  </si>
  <si>
    <t>Paramakudi</t>
  </si>
  <si>
    <t>Bogalur</t>
  </si>
  <si>
    <t>Nainarkoil</t>
  </si>
  <si>
    <t>R.S.Mangalam</t>
  </si>
  <si>
    <t>Mandapam</t>
  </si>
  <si>
    <t>Ramanathapuram</t>
  </si>
  <si>
    <t>Rameswaram</t>
  </si>
  <si>
    <t>Thiruvadanai</t>
  </si>
  <si>
    <t>09(2)</t>
  </si>
  <si>
    <t>18(1)</t>
  </si>
  <si>
    <t>13(2)</t>
  </si>
  <si>
    <t>KAADAMANGALAM</t>
  </si>
  <si>
    <t>P.MUTHURAMALINGAPURAM</t>
  </si>
  <si>
    <t>41</t>
  </si>
  <si>
    <t>U.KARISALKULAM</t>
  </si>
  <si>
    <t>KEELARAAMANATHI</t>
  </si>
  <si>
    <t>MUDIMANNARKOTTAI</t>
  </si>
  <si>
    <t>PERAIYUR</t>
  </si>
  <si>
    <t>KAKKUDI</t>
  </si>
  <si>
    <t>28</t>
  </si>
  <si>
    <t>PONDHAMPULI</t>
  </si>
  <si>
    <t>44</t>
  </si>
  <si>
    <t>N.KARISALKULAM</t>
  </si>
  <si>
    <t>3</t>
  </si>
  <si>
    <t>10</t>
  </si>
  <si>
    <t>S.TAHRAIKUDI</t>
  </si>
  <si>
    <t>THANICHIYAM</t>
  </si>
  <si>
    <t>KADUGUSANDHAI</t>
  </si>
  <si>
    <t>PIRAMANANKULAM</t>
  </si>
  <si>
    <t>KOKKARASANKOTTAI</t>
  </si>
  <si>
    <t>A.USILANKULAM</t>
  </si>
  <si>
    <t>PANIVASAL</t>
  </si>
  <si>
    <t>42</t>
  </si>
  <si>
    <t>SIKKAL</t>
  </si>
  <si>
    <t>MAARIYUR</t>
  </si>
  <si>
    <t>IDHAMPADAL</t>
  </si>
  <si>
    <t>MALANGUDI</t>
  </si>
  <si>
    <t>KALARI 1&amp;2</t>
  </si>
  <si>
    <t>KALIMANKUNDU</t>
  </si>
  <si>
    <t>KANJERANKUDI</t>
  </si>
  <si>
    <t>KILASIRUPOTHU</t>
  </si>
  <si>
    <t>MELASIRUPOTHU</t>
  </si>
  <si>
    <t>9</t>
  </si>
  <si>
    <t>MELAKKULAM</t>
  </si>
  <si>
    <t>ELANKAKKUR</t>
  </si>
  <si>
    <t>ULAIYUR</t>
  </si>
  <si>
    <t>ATHANKOTHANKUDI</t>
  </si>
  <si>
    <t>KOOTHADIYENDAL</t>
  </si>
  <si>
    <t>MELATHUVAL</t>
  </si>
  <si>
    <t>POSUKKUDI</t>
  </si>
  <si>
    <t>ATTANKUDI</t>
  </si>
  <si>
    <t>SATHANUR</t>
  </si>
  <si>
    <t>ODAKARAI</t>
  </si>
  <si>
    <t>THIRUTHERVALAI</t>
  </si>
  <si>
    <t>THIRUPPALAIKUDI</t>
  </si>
  <si>
    <t>KULAMANIKKAM</t>
  </si>
  <si>
    <t>PULLAMADAI</t>
  </si>
  <si>
    <t>AANANDUR</t>
  </si>
  <si>
    <t>GANGAIKONDAN</t>
  </si>
  <si>
    <t>SIRUVAYAL</t>
  </si>
  <si>
    <t>70</t>
  </si>
  <si>
    <t>NAGARAM</t>
  </si>
  <si>
    <t>53</t>
  </si>
  <si>
    <t>CHITHANENDAL</t>
  </si>
  <si>
    <t>61</t>
  </si>
  <si>
    <t>RADHAPULI</t>
  </si>
  <si>
    <t>PERIYA_NENDAL</t>
  </si>
  <si>
    <t>60</t>
  </si>
  <si>
    <t>S.V.MANGALAM</t>
  </si>
  <si>
    <t>62</t>
  </si>
  <si>
    <t>80</t>
  </si>
  <si>
    <t>S.KODIKKULAM</t>
  </si>
  <si>
    <t>88</t>
  </si>
  <si>
    <t>THEYANOOR</t>
  </si>
  <si>
    <t>84</t>
  </si>
  <si>
    <t>KELAKKOTTAI</t>
  </si>
  <si>
    <t>MANJAKKOLLAI</t>
  </si>
  <si>
    <t>PAMBOOR</t>
  </si>
  <si>
    <t>VENDHONI</t>
  </si>
  <si>
    <t>VILATHUR</t>
  </si>
  <si>
    <t>KALLIKKUDI</t>
  </si>
  <si>
    <t>PERUNGARAI</t>
  </si>
  <si>
    <t>VENGALUR</t>
  </si>
  <si>
    <t>MELAPARTHIPANOOR</t>
  </si>
  <si>
    <t>A.MANAKUDI</t>
  </si>
  <si>
    <t>THUTHAKUDI</t>
  </si>
  <si>
    <t>PUDUPATTINAM</t>
  </si>
  <si>
    <t>59</t>
  </si>
  <si>
    <t>PATTAMANGALAM</t>
  </si>
  <si>
    <t>52</t>
  </si>
  <si>
    <t>SEKKANTHIDAL</t>
  </si>
  <si>
    <t>KANATTANKUDI</t>
  </si>
  <si>
    <t>58</t>
  </si>
  <si>
    <t>AATTOOR</t>
  </si>
  <si>
    <t>ANJUKOTTAI</t>
  </si>
  <si>
    <t>M.R.PATTINAM</t>
  </si>
  <si>
    <t>SIRUMALAIKOTTAI</t>
  </si>
  <si>
    <t>NEIVAYAL</t>
  </si>
  <si>
    <t>NEERKUNDRAM</t>
  </si>
  <si>
    <t>RAMESWARAM</t>
  </si>
  <si>
    <t>PATTINAMKATHAN</t>
  </si>
  <si>
    <t>ALAGANKULAM</t>
  </si>
  <si>
    <t>THERPOGI</t>
  </si>
  <si>
    <t>SURANKOTAI_(1&amp;2)</t>
  </si>
  <si>
    <t>LADANENDAL</t>
  </si>
  <si>
    <t>KOORIYUR 1&amp;2</t>
  </si>
  <si>
    <t>CITHARKOTTAI</t>
  </si>
  <si>
    <t>Year:2026-27 (Fasli-1436)</t>
  </si>
  <si>
    <t>13(1)</t>
  </si>
  <si>
    <t>02(2)</t>
  </si>
  <si>
    <t>09(1)</t>
  </si>
  <si>
    <t>06(2)</t>
  </si>
  <si>
    <t>02(1)</t>
  </si>
  <si>
    <t>24(2)</t>
  </si>
  <si>
    <t>20(1)</t>
  </si>
  <si>
    <t>05(2)</t>
  </si>
  <si>
    <t>03(1)</t>
  </si>
  <si>
    <t>10(1)</t>
  </si>
  <si>
    <t>07(2)</t>
  </si>
  <si>
    <t>Oder of selection</t>
  </si>
  <si>
    <t xml:space="preserve">Sample : Central </t>
  </si>
  <si>
    <t>Sample : State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</si>
</sst>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14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57">
    <xf numFmtId="0" fontId="0" fillId="0" borderId="0" xfId="0"/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wrapText="1"/>
    </xf>
    <xf numFmtId="0" fontId="5" fillId="2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1" xfId="4" applyFont="1" applyBorder="1" applyAlignment="1">
      <alignment horizontal="center" vertical="center" wrapText="1"/>
    </xf>
    <xf numFmtId="0" fontId="6" fillId="0" borderId="1" xfId="1" applyFont="1" applyFill="1" applyBorder="1" applyAlignment="1">
      <alignment wrapText="1"/>
    </xf>
    <xf numFmtId="0" fontId="6" fillId="0" borderId="1" xfId="1" applyFont="1" applyFill="1" applyBorder="1" applyAlignment="1">
      <alignment horizontal="center" wrapText="1"/>
    </xf>
    <xf numFmtId="0" fontId="8" fillId="0" borderId="1" xfId="4" applyFont="1" applyBorder="1" applyAlignment="1">
      <alignment horizontal="center" vertical="center"/>
    </xf>
    <xf numFmtId="0" fontId="3" fillId="0" borderId="0" xfId="4"/>
    <xf numFmtId="0" fontId="10" fillId="0" borderId="1" xfId="4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0" fontId="8" fillId="0" borderId="1" xfId="4" quotePrefix="1" applyFont="1" applyBorder="1" applyAlignment="1">
      <alignment horizontal="center" vertical="center"/>
    </xf>
    <xf numFmtId="0" fontId="11" fillId="0" borderId="4" xfId="1" applyFont="1" applyFill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/>
    </xf>
    <xf numFmtId="0" fontId="11" fillId="0" borderId="1" xfId="1" applyFont="1" applyFill="1" applyBorder="1" applyAlignment="1">
      <alignment horizontal="right" vertical="center" wrapText="1"/>
    </xf>
    <xf numFmtId="0" fontId="13" fillId="0" borderId="1" xfId="4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4" xfId="1" applyFont="1" applyFill="1" applyBorder="1" applyAlignment="1">
      <alignment vertical="center" wrapText="1"/>
    </xf>
    <xf numFmtId="0" fontId="15" fillId="0" borderId="1" xfId="1" applyFont="1" applyFill="1" applyBorder="1" applyAlignment="1">
      <alignment wrapText="1"/>
    </xf>
    <xf numFmtId="0" fontId="16" fillId="0" borderId="1" xfId="1" applyFont="1" applyFill="1" applyBorder="1" applyAlignment="1">
      <alignment wrapText="1"/>
    </xf>
    <xf numFmtId="0" fontId="17" fillId="0" borderId="1" xfId="4" applyFont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6" fillId="0" borderId="5" xfId="1" applyFont="1" applyBorder="1" applyAlignment="1">
      <alignment wrapText="1"/>
    </xf>
    <xf numFmtId="0" fontId="0" fillId="0" borderId="3" xfId="0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vertical="center"/>
    </xf>
    <xf numFmtId="0" fontId="18" fillId="0" borderId="1" xfId="5" applyFont="1" applyFill="1" applyBorder="1" applyAlignment="1">
      <alignment horizontal="center" wrapText="1"/>
    </xf>
    <xf numFmtId="0" fontId="10" fillId="0" borderId="0" xfId="4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6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 textRotation="90" wrapText="1"/>
    </xf>
    <xf numFmtId="0" fontId="10" fillId="0" borderId="1" xfId="4" applyFont="1" applyBorder="1" applyAlignment="1">
      <alignment horizontal="center" vertical="center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8" fillId="0" borderId="1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view="pageBreakPreview" zoomScaleSheetLayoutView="100" workbookViewId="0">
      <selection activeCell="F5" sqref="F5:F12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5.28515625" bestFit="1" customWidth="1"/>
    <col min="5" max="5" width="11" customWidth="1"/>
    <col min="6" max="6" width="10.28515625" style="12" customWidth="1"/>
  </cols>
  <sheetData>
    <row r="1" spans="1:8" ht="30" customHeight="1">
      <c r="A1" s="42" t="s">
        <v>56</v>
      </c>
      <c r="B1" s="42"/>
      <c r="C1" s="42"/>
      <c r="D1" s="42"/>
      <c r="E1" s="42"/>
      <c r="F1" s="42"/>
      <c r="G1" s="40"/>
      <c r="H1" s="40"/>
    </row>
    <row r="2" spans="1:8" s="7" customFormat="1" ht="30" customHeight="1">
      <c r="A2" s="4" t="s">
        <v>51</v>
      </c>
      <c r="B2" s="3" t="s">
        <v>70</v>
      </c>
      <c r="C2" s="32"/>
      <c r="D2" s="38" t="s">
        <v>197</v>
      </c>
      <c r="E2" s="32"/>
      <c r="F2" s="32"/>
    </row>
    <row r="3" spans="1:8" s="10" customFormat="1" ht="30" customHeight="1">
      <c r="A3" s="8"/>
      <c r="B3" s="31"/>
      <c r="C3" s="31"/>
      <c r="D3" s="38" t="s">
        <v>184</v>
      </c>
      <c r="E3" s="31"/>
      <c r="F3" s="31"/>
    </row>
    <row r="4" spans="1:8" ht="30" customHeight="1">
      <c r="A4" s="11" t="s">
        <v>53</v>
      </c>
      <c r="B4" s="11" t="s">
        <v>1</v>
      </c>
      <c r="C4" s="11" t="s">
        <v>3</v>
      </c>
      <c r="D4" s="11" t="s">
        <v>4</v>
      </c>
      <c r="E4" s="11" t="s">
        <v>5</v>
      </c>
      <c r="F4" s="41" t="s">
        <v>196</v>
      </c>
    </row>
    <row r="5" spans="1:8" ht="30" customHeight="1">
      <c r="A5" s="43">
        <v>1</v>
      </c>
      <c r="B5" s="33" t="s">
        <v>7</v>
      </c>
      <c r="C5" s="33" t="s">
        <v>7</v>
      </c>
      <c r="D5" s="33" t="s">
        <v>104</v>
      </c>
      <c r="E5" s="33" t="s">
        <v>28</v>
      </c>
      <c r="F5" s="35">
        <v>1</v>
      </c>
    </row>
    <row r="6" spans="1:8" ht="30" customHeight="1">
      <c r="A6" s="44"/>
      <c r="B6" s="33" t="s">
        <v>16</v>
      </c>
      <c r="C6" s="33" t="s">
        <v>16</v>
      </c>
      <c r="D6" s="33" t="s">
        <v>89</v>
      </c>
      <c r="E6" s="33" t="s">
        <v>90</v>
      </c>
      <c r="F6" s="35">
        <v>2</v>
      </c>
    </row>
    <row r="7" spans="1:8" ht="30" customHeight="1">
      <c r="A7" s="44">
        <v>2</v>
      </c>
      <c r="B7" s="33" t="s">
        <v>22</v>
      </c>
      <c r="C7" s="33" t="s">
        <v>23</v>
      </c>
      <c r="D7" s="33" t="s">
        <v>122</v>
      </c>
      <c r="E7" s="33" t="s">
        <v>42</v>
      </c>
      <c r="F7" s="35">
        <v>1</v>
      </c>
    </row>
    <row r="8" spans="1:8" ht="30" customHeight="1">
      <c r="A8" s="45"/>
      <c r="B8" s="33" t="s">
        <v>22</v>
      </c>
      <c r="C8" s="33" t="s">
        <v>7</v>
      </c>
      <c r="D8" s="33" t="s">
        <v>118</v>
      </c>
      <c r="E8" s="33" t="s">
        <v>90</v>
      </c>
      <c r="F8" s="35">
        <v>2</v>
      </c>
    </row>
    <row r="9" spans="1:8" ht="30" customHeight="1">
      <c r="A9" s="43">
        <v>3</v>
      </c>
      <c r="B9" s="33" t="s">
        <v>47</v>
      </c>
      <c r="C9" s="33" t="s">
        <v>47</v>
      </c>
      <c r="D9" s="33" t="s">
        <v>128</v>
      </c>
      <c r="E9" s="33" t="s">
        <v>100</v>
      </c>
      <c r="F9" s="35">
        <v>1</v>
      </c>
    </row>
    <row r="10" spans="1:8" ht="30" customHeight="1">
      <c r="A10" s="44"/>
      <c r="B10" s="33" t="s">
        <v>34</v>
      </c>
      <c r="C10" s="33" t="s">
        <v>34</v>
      </c>
      <c r="D10" s="33" t="s">
        <v>157</v>
      </c>
      <c r="E10" s="33" t="s">
        <v>46</v>
      </c>
      <c r="F10" s="35">
        <v>2</v>
      </c>
    </row>
    <row r="11" spans="1:8" ht="30" customHeight="1">
      <c r="A11" s="44">
        <v>4</v>
      </c>
      <c r="B11" s="33" t="s">
        <v>6</v>
      </c>
      <c r="C11" s="33" t="s">
        <v>6</v>
      </c>
      <c r="D11" s="33" t="s">
        <v>183</v>
      </c>
      <c r="E11" s="33" t="s">
        <v>119</v>
      </c>
      <c r="F11" s="35">
        <v>1</v>
      </c>
    </row>
    <row r="12" spans="1:8" ht="30" customHeight="1">
      <c r="A12" s="44"/>
      <c r="B12" s="33" t="s">
        <v>43</v>
      </c>
      <c r="C12" s="33" t="s">
        <v>43</v>
      </c>
      <c r="D12" s="33" t="s">
        <v>167</v>
      </c>
      <c r="E12" s="33" t="s">
        <v>17</v>
      </c>
      <c r="F12" s="35">
        <v>2</v>
      </c>
    </row>
  </sheetData>
  <mergeCells count="5">
    <mergeCell ref="A1:F1"/>
    <mergeCell ref="A5:A6"/>
    <mergeCell ref="A7:A8"/>
    <mergeCell ref="A9:A10"/>
    <mergeCell ref="A11:A12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view="pageBreakPreview" zoomScaleSheetLayoutView="100" workbookViewId="0">
      <selection activeCell="H7" sqref="H7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5.28515625" bestFit="1" customWidth="1"/>
    <col min="5" max="5" width="10.42578125" customWidth="1"/>
    <col min="6" max="6" width="10.28515625" style="12" customWidth="1"/>
  </cols>
  <sheetData>
    <row r="1" spans="1:6" ht="30" customHeight="1">
      <c r="A1" s="42" t="s">
        <v>56</v>
      </c>
      <c r="B1" s="42"/>
      <c r="C1" s="42"/>
      <c r="D1" s="42"/>
      <c r="E1" s="42"/>
      <c r="F1" s="42"/>
    </row>
    <row r="2" spans="1:6" s="7" customFormat="1" ht="30" customHeight="1">
      <c r="A2" s="4" t="s">
        <v>51</v>
      </c>
      <c r="B2" s="3" t="s">
        <v>70</v>
      </c>
      <c r="C2" s="32"/>
      <c r="D2" s="46" t="s">
        <v>198</v>
      </c>
      <c r="E2" s="46"/>
      <c r="F2" s="46"/>
    </row>
    <row r="3" spans="1:6" s="10" customFormat="1" ht="30" customHeight="1">
      <c r="A3" s="8"/>
      <c r="B3" s="31"/>
      <c r="C3" s="31"/>
      <c r="D3" s="47" t="s">
        <v>184</v>
      </c>
      <c r="E3" s="47"/>
      <c r="F3" s="47"/>
    </row>
    <row r="4" spans="1:6" ht="30" customHeight="1">
      <c r="A4" s="11" t="s">
        <v>53</v>
      </c>
      <c r="B4" s="11" t="s">
        <v>1</v>
      </c>
      <c r="C4" s="11" t="s">
        <v>3</v>
      </c>
      <c r="D4" s="11" t="s">
        <v>4</v>
      </c>
      <c r="E4" s="11" t="s">
        <v>5</v>
      </c>
      <c r="F4" s="41" t="s">
        <v>196</v>
      </c>
    </row>
    <row r="5" spans="1:6" ht="30" customHeight="1">
      <c r="A5" s="43">
        <v>1</v>
      </c>
      <c r="B5" s="33" t="s">
        <v>16</v>
      </c>
      <c r="C5" s="33" t="s">
        <v>16</v>
      </c>
      <c r="D5" s="33" t="s">
        <v>97</v>
      </c>
      <c r="E5" s="33" t="s">
        <v>98</v>
      </c>
      <c r="F5" s="35">
        <v>3</v>
      </c>
    </row>
    <row r="6" spans="1:6" ht="30" customHeight="1">
      <c r="A6" s="44"/>
      <c r="B6" s="33" t="s">
        <v>16</v>
      </c>
      <c r="C6" s="33" t="s">
        <v>16</v>
      </c>
      <c r="D6" s="33" t="s">
        <v>94</v>
      </c>
      <c r="E6" s="33" t="s">
        <v>13</v>
      </c>
      <c r="F6" s="35">
        <v>4</v>
      </c>
    </row>
    <row r="7" spans="1:6" ht="30" customHeight="1">
      <c r="A7" s="44">
        <v>2</v>
      </c>
      <c r="B7" s="33" t="s">
        <v>22</v>
      </c>
      <c r="C7" s="33" t="s">
        <v>23</v>
      </c>
      <c r="D7" s="33" t="s">
        <v>125</v>
      </c>
      <c r="E7" s="33" t="s">
        <v>20</v>
      </c>
      <c r="F7" s="35">
        <v>3</v>
      </c>
    </row>
    <row r="8" spans="1:6" ht="30" customHeight="1">
      <c r="A8" s="45"/>
      <c r="B8" s="33" t="s">
        <v>44</v>
      </c>
      <c r="C8" s="33" t="s">
        <v>45</v>
      </c>
      <c r="D8" s="33" t="s">
        <v>116</v>
      </c>
      <c r="E8" s="33" t="s">
        <v>20</v>
      </c>
      <c r="F8" s="35">
        <v>4</v>
      </c>
    </row>
    <row r="9" spans="1:6" ht="30" customHeight="1">
      <c r="A9" s="43">
        <v>3</v>
      </c>
      <c r="B9" s="33" t="s">
        <v>34</v>
      </c>
      <c r="C9" s="33" t="s">
        <v>36</v>
      </c>
      <c r="D9" s="33" t="s">
        <v>150</v>
      </c>
      <c r="E9" s="33" t="s">
        <v>151</v>
      </c>
      <c r="F9" s="35">
        <v>3</v>
      </c>
    </row>
    <row r="10" spans="1:6" ht="30" customHeight="1">
      <c r="A10" s="44"/>
      <c r="B10" s="33" t="s">
        <v>34</v>
      </c>
      <c r="C10" s="33" t="s">
        <v>37</v>
      </c>
      <c r="D10" s="33" t="s">
        <v>135</v>
      </c>
      <c r="E10" s="33" t="s">
        <v>109</v>
      </c>
      <c r="F10" s="35">
        <v>4</v>
      </c>
    </row>
    <row r="11" spans="1:6" ht="30" customHeight="1">
      <c r="A11" s="44">
        <v>4</v>
      </c>
      <c r="B11" s="33" t="s">
        <v>43</v>
      </c>
      <c r="C11" s="33" t="s">
        <v>43</v>
      </c>
      <c r="D11" s="33" t="s">
        <v>163</v>
      </c>
      <c r="E11" s="33" t="s">
        <v>164</v>
      </c>
      <c r="F11" s="35">
        <v>3</v>
      </c>
    </row>
    <row r="12" spans="1:6" ht="30" customHeight="1">
      <c r="A12" s="44"/>
      <c r="B12" s="33" t="s">
        <v>176</v>
      </c>
      <c r="C12" s="33" t="s">
        <v>41</v>
      </c>
      <c r="D12" s="33" t="s">
        <v>177</v>
      </c>
      <c r="E12" s="33" t="s">
        <v>15</v>
      </c>
      <c r="F12" s="35">
        <v>4</v>
      </c>
    </row>
  </sheetData>
  <mergeCells count="7">
    <mergeCell ref="A11:A12"/>
    <mergeCell ref="A1:F1"/>
    <mergeCell ref="D2:F2"/>
    <mergeCell ref="D3:F3"/>
    <mergeCell ref="A5:A6"/>
    <mergeCell ref="A7:A8"/>
    <mergeCell ref="A9:A10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5"/>
  <sheetViews>
    <sheetView view="pageBreakPreview" zoomScaleSheetLayoutView="100" workbookViewId="0">
      <selection activeCell="G12" sqref="G12"/>
    </sheetView>
  </sheetViews>
  <sheetFormatPr defaultRowHeight="15"/>
  <cols>
    <col min="1" max="1" width="9.85546875" bestFit="1" customWidth="1"/>
    <col min="2" max="2" width="13.5703125" bestFit="1" customWidth="1"/>
    <col min="3" max="3" width="25.7109375" customWidth="1"/>
    <col min="4" max="4" width="13.5703125" bestFit="1" customWidth="1"/>
    <col min="5" max="5" width="26.42578125" customWidth="1"/>
    <col min="6" max="6" width="28.5703125" customWidth="1"/>
    <col min="7" max="7" width="11.42578125" customWidth="1"/>
    <col min="8" max="8" width="10.7109375" style="12" customWidth="1"/>
    <col min="9" max="9" width="10.28515625" style="12" customWidth="1"/>
  </cols>
  <sheetData>
    <row r="1" spans="1:11">
      <c r="A1" s="42" t="s">
        <v>56</v>
      </c>
      <c r="B1" s="42"/>
      <c r="C1" s="42"/>
      <c r="D1" s="42"/>
      <c r="E1" s="42"/>
      <c r="F1" s="42"/>
      <c r="G1" s="42"/>
      <c r="H1" s="42"/>
      <c r="I1" s="42"/>
      <c r="J1" s="40"/>
      <c r="K1" s="40"/>
    </row>
    <row r="2" spans="1:11" s="7" customFormat="1" ht="24.95" customHeight="1">
      <c r="A2" s="4" t="s">
        <v>51</v>
      </c>
      <c r="B2" s="3" t="s">
        <v>70</v>
      </c>
      <c r="C2" s="6"/>
      <c r="D2" s="5"/>
      <c r="E2" s="5"/>
      <c r="F2" s="38" t="s">
        <v>52</v>
      </c>
      <c r="G2" s="5"/>
      <c r="H2" s="5"/>
      <c r="I2" s="5"/>
    </row>
    <row r="3" spans="1:11" s="10" customFormat="1" ht="24.95" customHeight="1">
      <c r="A3" s="8"/>
      <c r="B3" s="6"/>
      <c r="C3" s="6"/>
      <c r="D3" s="6"/>
      <c r="E3" s="6"/>
      <c r="F3" s="38" t="s">
        <v>184</v>
      </c>
      <c r="G3" s="6"/>
      <c r="H3" s="6"/>
      <c r="I3" s="6"/>
    </row>
    <row r="4" spans="1:11" ht="60">
      <c r="A4" s="55" t="s">
        <v>53</v>
      </c>
      <c r="B4" s="55" t="s">
        <v>0</v>
      </c>
      <c r="C4" s="55" t="s">
        <v>1</v>
      </c>
      <c r="D4" s="55" t="s">
        <v>2</v>
      </c>
      <c r="E4" s="55" t="s">
        <v>3</v>
      </c>
      <c r="F4" s="55" t="s">
        <v>4</v>
      </c>
      <c r="G4" s="55" t="s">
        <v>5</v>
      </c>
      <c r="H4" s="56" t="s">
        <v>54</v>
      </c>
      <c r="I4" s="56" t="s">
        <v>55</v>
      </c>
    </row>
    <row r="5" spans="1:11">
      <c r="A5" s="43">
        <v>1</v>
      </c>
      <c r="B5" s="33" t="s">
        <v>10</v>
      </c>
      <c r="C5" s="33" t="s">
        <v>16</v>
      </c>
      <c r="D5" s="33" t="s">
        <v>12</v>
      </c>
      <c r="E5" s="33" t="s">
        <v>16</v>
      </c>
      <c r="F5" s="33" t="s">
        <v>88</v>
      </c>
      <c r="G5" s="33" t="s">
        <v>40</v>
      </c>
      <c r="H5" s="26">
        <v>1</v>
      </c>
      <c r="I5" s="26">
        <v>1</v>
      </c>
    </row>
    <row r="6" spans="1:11">
      <c r="A6" s="44"/>
      <c r="B6" s="33" t="s">
        <v>10</v>
      </c>
      <c r="C6" s="33" t="s">
        <v>16</v>
      </c>
      <c r="D6" s="33" t="s">
        <v>12</v>
      </c>
      <c r="E6" s="33" t="s">
        <v>16</v>
      </c>
      <c r="F6" s="33" t="s">
        <v>89</v>
      </c>
      <c r="G6" s="33" t="s">
        <v>90</v>
      </c>
      <c r="H6" s="26">
        <v>2</v>
      </c>
      <c r="I6" s="36">
        <v>2</v>
      </c>
    </row>
    <row r="7" spans="1:11">
      <c r="A7" s="44"/>
      <c r="B7" s="33" t="s">
        <v>10</v>
      </c>
      <c r="C7" s="33" t="s">
        <v>16</v>
      </c>
      <c r="D7" s="33" t="s">
        <v>12</v>
      </c>
      <c r="E7" s="33" t="s">
        <v>16</v>
      </c>
      <c r="F7" s="33" t="s">
        <v>91</v>
      </c>
      <c r="G7" s="33" t="s">
        <v>9</v>
      </c>
      <c r="H7" s="26">
        <v>3</v>
      </c>
      <c r="I7" s="26">
        <v>3</v>
      </c>
    </row>
    <row r="8" spans="1:11">
      <c r="A8" s="44"/>
      <c r="B8" s="33" t="s">
        <v>10</v>
      </c>
      <c r="C8" s="33" t="s">
        <v>16</v>
      </c>
      <c r="D8" s="33" t="s">
        <v>12</v>
      </c>
      <c r="E8" s="33" t="s">
        <v>16</v>
      </c>
      <c r="F8" s="33" t="s">
        <v>92</v>
      </c>
      <c r="G8" s="33" t="s">
        <v>8</v>
      </c>
      <c r="H8" s="26">
        <v>4</v>
      </c>
      <c r="I8" s="26">
        <v>4</v>
      </c>
    </row>
    <row r="9" spans="1:11">
      <c r="A9" s="44"/>
      <c r="B9" s="33" t="s">
        <v>10</v>
      </c>
      <c r="C9" s="33" t="s">
        <v>16</v>
      </c>
      <c r="D9" s="33" t="s">
        <v>12</v>
      </c>
      <c r="E9" s="33" t="s">
        <v>16</v>
      </c>
      <c r="F9" s="33" t="s">
        <v>93</v>
      </c>
      <c r="G9" s="33" t="s">
        <v>46</v>
      </c>
      <c r="H9" s="26">
        <v>5</v>
      </c>
      <c r="I9" s="26">
        <v>5</v>
      </c>
    </row>
    <row r="10" spans="1:11">
      <c r="A10" s="44"/>
      <c r="B10" s="33" t="s">
        <v>10</v>
      </c>
      <c r="C10" s="33" t="s">
        <v>16</v>
      </c>
      <c r="D10" s="33" t="s">
        <v>12</v>
      </c>
      <c r="E10" s="33" t="s">
        <v>16</v>
      </c>
      <c r="F10" s="33" t="s">
        <v>94</v>
      </c>
      <c r="G10" s="33" t="s">
        <v>13</v>
      </c>
      <c r="H10" s="26">
        <v>6</v>
      </c>
      <c r="I10" s="37">
        <v>6</v>
      </c>
    </row>
    <row r="11" spans="1:11">
      <c r="A11" s="44"/>
      <c r="B11" s="33" t="s">
        <v>10</v>
      </c>
      <c r="C11" s="33" t="s">
        <v>16</v>
      </c>
      <c r="D11" s="33" t="s">
        <v>12</v>
      </c>
      <c r="E11" s="33" t="s">
        <v>16</v>
      </c>
      <c r="F11" s="33" t="s">
        <v>95</v>
      </c>
      <c r="G11" s="33" t="s">
        <v>15</v>
      </c>
      <c r="H11" s="26">
        <v>7</v>
      </c>
      <c r="I11" s="26">
        <v>7</v>
      </c>
    </row>
    <row r="12" spans="1:11">
      <c r="A12" s="44"/>
      <c r="B12" s="33" t="s">
        <v>10</v>
      </c>
      <c r="C12" s="33" t="s">
        <v>16</v>
      </c>
      <c r="D12" s="33" t="s">
        <v>12</v>
      </c>
      <c r="E12" s="33" t="s">
        <v>16</v>
      </c>
      <c r="F12" s="33" t="s">
        <v>18</v>
      </c>
      <c r="G12" s="33" t="s">
        <v>96</v>
      </c>
      <c r="H12" s="26">
        <v>8</v>
      </c>
      <c r="I12" s="26">
        <v>8</v>
      </c>
    </row>
    <row r="13" spans="1:11">
      <c r="A13" s="44"/>
      <c r="B13" s="33" t="s">
        <v>10</v>
      </c>
      <c r="C13" s="33" t="s">
        <v>16</v>
      </c>
      <c r="D13" s="33" t="s">
        <v>12</v>
      </c>
      <c r="E13" s="33" t="s">
        <v>16</v>
      </c>
      <c r="F13" s="33" t="s">
        <v>97</v>
      </c>
      <c r="G13" s="33" t="s">
        <v>98</v>
      </c>
      <c r="H13" s="26">
        <v>9</v>
      </c>
      <c r="I13" s="37">
        <v>9</v>
      </c>
    </row>
    <row r="14" spans="1:11">
      <c r="A14" s="44"/>
      <c r="B14" s="33" t="s">
        <v>10</v>
      </c>
      <c r="C14" s="33" t="s">
        <v>16</v>
      </c>
      <c r="D14" s="33" t="s">
        <v>12</v>
      </c>
      <c r="E14" s="33" t="s">
        <v>16</v>
      </c>
      <c r="F14" s="33" t="s">
        <v>99</v>
      </c>
      <c r="G14" s="33" t="s">
        <v>100</v>
      </c>
      <c r="H14" s="26">
        <v>10</v>
      </c>
      <c r="I14" s="26">
        <v>10</v>
      </c>
    </row>
    <row r="15" spans="1:11">
      <c r="A15" s="44"/>
      <c r="B15" s="33" t="s">
        <v>46</v>
      </c>
      <c r="C15" s="33" t="s">
        <v>7</v>
      </c>
      <c r="D15" s="33" t="s">
        <v>101</v>
      </c>
      <c r="E15" s="33" t="s">
        <v>7</v>
      </c>
      <c r="F15" s="33" t="s">
        <v>102</v>
      </c>
      <c r="G15" s="33" t="s">
        <v>50</v>
      </c>
      <c r="H15" s="26">
        <v>1</v>
      </c>
      <c r="I15" s="26">
        <v>11</v>
      </c>
    </row>
    <row r="16" spans="1:11">
      <c r="A16" s="44"/>
      <c r="B16" s="33" t="s">
        <v>46</v>
      </c>
      <c r="C16" s="33" t="s">
        <v>7</v>
      </c>
      <c r="D16" s="33" t="s">
        <v>101</v>
      </c>
      <c r="E16" s="33" t="s">
        <v>7</v>
      </c>
      <c r="F16" s="33" t="s">
        <v>103</v>
      </c>
      <c r="G16" s="33" t="s">
        <v>33</v>
      </c>
      <c r="H16" s="26">
        <v>2</v>
      </c>
      <c r="I16" s="26">
        <v>12</v>
      </c>
    </row>
    <row r="17" spans="1:9">
      <c r="A17" s="44"/>
      <c r="B17" s="33" t="s">
        <v>46</v>
      </c>
      <c r="C17" s="33" t="s">
        <v>7</v>
      </c>
      <c r="D17" s="33" t="s">
        <v>101</v>
      </c>
      <c r="E17" s="33" t="s">
        <v>7</v>
      </c>
      <c r="F17" s="33" t="s">
        <v>104</v>
      </c>
      <c r="G17" s="33" t="s">
        <v>28</v>
      </c>
      <c r="H17" s="26">
        <v>3</v>
      </c>
      <c r="I17" s="36">
        <v>13</v>
      </c>
    </row>
    <row r="18" spans="1:9">
      <c r="A18" s="44"/>
      <c r="B18" s="33" t="s">
        <v>46</v>
      </c>
      <c r="C18" s="33" t="s">
        <v>7</v>
      </c>
      <c r="D18" s="33" t="s">
        <v>101</v>
      </c>
      <c r="E18" s="33" t="s">
        <v>7</v>
      </c>
      <c r="F18" s="33" t="s">
        <v>105</v>
      </c>
      <c r="G18" s="33" t="s">
        <v>30</v>
      </c>
      <c r="H18" s="26">
        <v>4</v>
      </c>
      <c r="I18" s="26">
        <v>14</v>
      </c>
    </row>
    <row r="19" spans="1:9">
      <c r="A19" s="44"/>
      <c r="B19" s="33" t="s">
        <v>46</v>
      </c>
      <c r="C19" s="33" t="s">
        <v>7</v>
      </c>
      <c r="D19" s="33" t="s">
        <v>101</v>
      </c>
      <c r="E19" s="33" t="s">
        <v>7</v>
      </c>
      <c r="F19" s="33" t="s">
        <v>106</v>
      </c>
      <c r="G19" s="33" t="s">
        <v>25</v>
      </c>
      <c r="H19" s="26">
        <v>5</v>
      </c>
      <c r="I19" s="26">
        <v>15</v>
      </c>
    </row>
    <row r="20" spans="1:9">
      <c r="A20" s="44"/>
      <c r="B20" s="33" t="s">
        <v>46</v>
      </c>
      <c r="C20" s="33" t="s">
        <v>7</v>
      </c>
      <c r="D20" s="33" t="s">
        <v>101</v>
      </c>
      <c r="E20" s="33" t="s">
        <v>7</v>
      </c>
      <c r="F20" s="33" t="s">
        <v>107</v>
      </c>
      <c r="G20" s="33" t="s">
        <v>31</v>
      </c>
      <c r="H20" s="26">
        <v>6</v>
      </c>
      <c r="I20" s="26">
        <v>16</v>
      </c>
    </row>
    <row r="21" spans="1:9">
      <c r="A21" s="44"/>
      <c r="B21" s="33" t="s">
        <v>46</v>
      </c>
      <c r="C21" s="33" t="s">
        <v>7</v>
      </c>
      <c r="D21" s="33" t="s">
        <v>101</v>
      </c>
      <c r="E21" s="33" t="s">
        <v>7</v>
      </c>
      <c r="F21" s="33" t="s">
        <v>108</v>
      </c>
      <c r="G21" s="33" t="s">
        <v>109</v>
      </c>
      <c r="H21" s="26">
        <v>7</v>
      </c>
      <c r="I21" s="26">
        <v>17</v>
      </c>
    </row>
    <row r="22" spans="1:9">
      <c r="A22" s="44"/>
      <c r="B22" s="33" t="s">
        <v>46</v>
      </c>
      <c r="C22" s="33" t="s">
        <v>7</v>
      </c>
      <c r="D22" s="33" t="s">
        <v>101</v>
      </c>
      <c r="E22" s="33" t="s">
        <v>7</v>
      </c>
      <c r="F22" s="33" t="s">
        <v>110</v>
      </c>
      <c r="G22" s="33" t="s">
        <v>40</v>
      </c>
      <c r="H22" s="26">
        <v>8</v>
      </c>
      <c r="I22" s="26">
        <v>18</v>
      </c>
    </row>
    <row r="23" spans="1:9">
      <c r="A23" s="44"/>
      <c r="B23" s="33" t="s">
        <v>46</v>
      </c>
      <c r="C23" s="33" t="s">
        <v>7</v>
      </c>
      <c r="D23" s="33" t="s">
        <v>101</v>
      </c>
      <c r="E23" s="33" t="s">
        <v>7</v>
      </c>
      <c r="F23" s="33" t="s">
        <v>111</v>
      </c>
      <c r="G23" s="33" t="s">
        <v>96</v>
      </c>
      <c r="H23" s="26">
        <v>9</v>
      </c>
      <c r="I23" s="26">
        <v>19</v>
      </c>
    </row>
    <row r="24" spans="1:9">
      <c r="A24" s="44">
        <v>2</v>
      </c>
      <c r="B24" s="33" t="s">
        <v>50</v>
      </c>
      <c r="C24" s="33" t="s">
        <v>44</v>
      </c>
      <c r="D24" s="33" t="s">
        <v>101</v>
      </c>
      <c r="E24" s="33" t="s">
        <v>7</v>
      </c>
      <c r="F24" s="33" t="s">
        <v>112</v>
      </c>
      <c r="G24" s="33" t="s">
        <v>39</v>
      </c>
      <c r="H24" s="26">
        <v>1</v>
      </c>
      <c r="I24" s="35">
        <v>1</v>
      </c>
    </row>
    <row r="25" spans="1:9">
      <c r="A25" s="44"/>
      <c r="B25" s="33" t="s">
        <v>50</v>
      </c>
      <c r="C25" s="33" t="s">
        <v>44</v>
      </c>
      <c r="D25" s="33" t="s">
        <v>10</v>
      </c>
      <c r="E25" s="33" t="s">
        <v>45</v>
      </c>
      <c r="F25" s="33" t="s">
        <v>113</v>
      </c>
      <c r="G25" s="33" t="s">
        <v>10</v>
      </c>
      <c r="H25" s="26">
        <v>1</v>
      </c>
      <c r="I25" s="35">
        <v>2</v>
      </c>
    </row>
    <row r="26" spans="1:9">
      <c r="A26" s="44"/>
      <c r="B26" s="33" t="s">
        <v>50</v>
      </c>
      <c r="C26" s="33" t="s">
        <v>44</v>
      </c>
      <c r="D26" s="33" t="s">
        <v>10</v>
      </c>
      <c r="E26" s="33" t="s">
        <v>45</v>
      </c>
      <c r="F26" s="33" t="s">
        <v>114</v>
      </c>
      <c r="G26" s="33" t="s">
        <v>21</v>
      </c>
      <c r="H26" s="26">
        <v>2</v>
      </c>
      <c r="I26" s="35">
        <v>3</v>
      </c>
    </row>
    <row r="27" spans="1:9">
      <c r="A27" s="44"/>
      <c r="B27" s="33" t="s">
        <v>50</v>
      </c>
      <c r="C27" s="33" t="s">
        <v>44</v>
      </c>
      <c r="D27" s="33" t="s">
        <v>10</v>
      </c>
      <c r="E27" s="33" t="s">
        <v>45</v>
      </c>
      <c r="F27" s="33" t="s">
        <v>115</v>
      </c>
      <c r="G27" s="33" t="s">
        <v>29</v>
      </c>
      <c r="H27" s="26">
        <v>3</v>
      </c>
      <c r="I27" s="35">
        <v>4</v>
      </c>
    </row>
    <row r="28" spans="1:9">
      <c r="A28" s="44"/>
      <c r="B28" s="33" t="s">
        <v>50</v>
      </c>
      <c r="C28" s="33" t="s">
        <v>44</v>
      </c>
      <c r="D28" s="33" t="s">
        <v>10</v>
      </c>
      <c r="E28" s="33" t="s">
        <v>45</v>
      </c>
      <c r="F28" s="33" t="s">
        <v>116</v>
      </c>
      <c r="G28" s="33" t="s">
        <v>20</v>
      </c>
      <c r="H28" s="26">
        <v>4</v>
      </c>
      <c r="I28" s="37">
        <v>5</v>
      </c>
    </row>
    <row r="29" spans="1:9">
      <c r="A29" s="44"/>
      <c r="B29" s="33" t="s">
        <v>100</v>
      </c>
      <c r="C29" s="33" t="s">
        <v>22</v>
      </c>
      <c r="D29" s="33" t="s">
        <v>101</v>
      </c>
      <c r="E29" s="33" t="s">
        <v>7</v>
      </c>
      <c r="F29" s="33" t="s">
        <v>117</v>
      </c>
      <c r="G29" s="33" t="s">
        <v>109</v>
      </c>
      <c r="H29" s="26">
        <v>1</v>
      </c>
      <c r="I29" s="35">
        <v>6</v>
      </c>
    </row>
    <row r="30" spans="1:9">
      <c r="A30" s="44"/>
      <c r="B30" s="33" t="s">
        <v>100</v>
      </c>
      <c r="C30" s="33" t="s">
        <v>22</v>
      </c>
      <c r="D30" s="33" t="s">
        <v>101</v>
      </c>
      <c r="E30" s="33" t="s">
        <v>7</v>
      </c>
      <c r="F30" s="33" t="s">
        <v>118</v>
      </c>
      <c r="G30" s="33" t="s">
        <v>90</v>
      </c>
      <c r="H30" s="26">
        <v>2</v>
      </c>
      <c r="I30" s="36">
        <v>7</v>
      </c>
    </row>
    <row r="31" spans="1:9">
      <c r="A31" s="44"/>
      <c r="B31" s="33" t="s">
        <v>100</v>
      </c>
      <c r="C31" s="33" t="s">
        <v>22</v>
      </c>
      <c r="D31" s="33" t="s">
        <v>119</v>
      </c>
      <c r="E31" s="33" t="s">
        <v>23</v>
      </c>
      <c r="F31" s="33" t="s">
        <v>120</v>
      </c>
      <c r="G31" s="33" t="s">
        <v>100</v>
      </c>
      <c r="H31" s="26">
        <v>1</v>
      </c>
      <c r="I31" s="35">
        <v>8</v>
      </c>
    </row>
    <row r="32" spans="1:9">
      <c r="A32" s="44"/>
      <c r="B32" s="33" t="s">
        <v>100</v>
      </c>
      <c r="C32" s="33" t="s">
        <v>22</v>
      </c>
      <c r="D32" s="33" t="s">
        <v>119</v>
      </c>
      <c r="E32" s="33" t="s">
        <v>23</v>
      </c>
      <c r="F32" s="33" t="s">
        <v>121</v>
      </c>
      <c r="G32" s="33" t="s">
        <v>13</v>
      </c>
      <c r="H32" s="26">
        <v>2</v>
      </c>
      <c r="I32" s="35">
        <v>9</v>
      </c>
    </row>
    <row r="33" spans="1:9">
      <c r="A33" s="44"/>
      <c r="B33" s="33" t="s">
        <v>100</v>
      </c>
      <c r="C33" s="33" t="s">
        <v>22</v>
      </c>
      <c r="D33" s="33" t="s">
        <v>119</v>
      </c>
      <c r="E33" s="33" t="s">
        <v>23</v>
      </c>
      <c r="F33" s="33" t="s">
        <v>122</v>
      </c>
      <c r="G33" s="33" t="s">
        <v>42</v>
      </c>
      <c r="H33" s="26">
        <v>3</v>
      </c>
      <c r="I33" s="36">
        <v>10</v>
      </c>
    </row>
    <row r="34" spans="1:9">
      <c r="A34" s="44"/>
      <c r="B34" s="33" t="s">
        <v>100</v>
      </c>
      <c r="C34" s="33" t="s">
        <v>22</v>
      </c>
      <c r="D34" s="33" t="s">
        <v>119</v>
      </c>
      <c r="E34" s="33" t="s">
        <v>23</v>
      </c>
      <c r="F34" s="33" t="s">
        <v>123</v>
      </c>
      <c r="G34" s="33" t="s">
        <v>40</v>
      </c>
      <c r="H34" s="26">
        <v>4</v>
      </c>
      <c r="I34" s="35">
        <v>11</v>
      </c>
    </row>
    <row r="35" spans="1:9">
      <c r="A35" s="44"/>
      <c r="B35" s="33" t="s">
        <v>100</v>
      </c>
      <c r="C35" s="33" t="s">
        <v>22</v>
      </c>
      <c r="D35" s="33" t="s">
        <v>119</v>
      </c>
      <c r="E35" s="33" t="s">
        <v>23</v>
      </c>
      <c r="F35" s="33" t="s">
        <v>124</v>
      </c>
      <c r="G35" s="33" t="s">
        <v>50</v>
      </c>
      <c r="H35" s="26">
        <v>5</v>
      </c>
      <c r="I35" s="35">
        <v>12</v>
      </c>
    </row>
    <row r="36" spans="1:9">
      <c r="A36" s="44"/>
      <c r="B36" s="33" t="s">
        <v>100</v>
      </c>
      <c r="C36" s="33" t="s">
        <v>22</v>
      </c>
      <c r="D36" s="33" t="s">
        <v>119</v>
      </c>
      <c r="E36" s="33" t="s">
        <v>23</v>
      </c>
      <c r="F36" s="33" t="s">
        <v>125</v>
      </c>
      <c r="G36" s="33" t="s">
        <v>20</v>
      </c>
      <c r="H36" s="26">
        <v>6</v>
      </c>
      <c r="I36" s="37">
        <v>13</v>
      </c>
    </row>
    <row r="37" spans="1:9">
      <c r="A37" s="45"/>
      <c r="B37" s="33" t="s">
        <v>100</v>
      </c>
      <c r="C37" s="33" t="s">
        <v>22</v>
      </c>
      <c r="D37" s="33" t="s">
        <v>119</v>
      </c>
      <c r="E37" s="33" t="s">
        <v>23</v>
      </c>
      <c r="F37" s="33" t="s">
        <v>126</v>
      </c>
      <c r="G37" s="33" t="s">
        <v>96</v>
      </c>
      <c r="H37" s="26">
        <v>7</v>
      </c>
      <c r="I37" s="35">
        <v>14</v>
      </c>
    </row>
    <row r="38" spans="1:9">
      <c r="A38" s="43">
        <v>3</v>
      </c>
      <c r="B38" s="33" t="s">
        <v>119</v>
      </c>
      <c r="C38" s="33" t="s">
        <v>47</v>
      </c>
      <c r="D38" s="33" t="s">
        <v>50</v>
      </c>
      <c r="E38" s="33" t="s">
        <v>37</v>
      </c>
      <c r="F38" s="33" t="s">
        <v>127</v>
      </c>
      <c r="G38" s="33" t="s">
        <v>30</v>
      </c>
      <c r="H38" s="26">
        <v>1</v>
      </c>
      <c r="I38" s="35">
        <v>1</v>
      </c>
    </row>
    <row r="39" spans="1:9">
      <c r="A39" s="44"/>
      <c r="B39" s="33" t="s">
        <v>119</v>
      </c>
      <c r="C39" s="33" t="s">
        <v>47</v>
      </c>
      <c r="D39" s="33" t="s">
        <v>8</v>
      </c>
      <c r="E39" s="33" t="s">
        <v>47</v>
      </c>
      <c r="F39" s="33" t="s">
        <v>128</v>
      </c>
      <c r="G39" s="33" t="s">
        <v>100</v>
      </c>
      <c r="H39" s="26">
        <v>1</v>
      </c>
      <c r="I39" s="36">
        <v>2</v>
      </c>
    </row>
    <row r="40" spans="1:9">
      <c r="A40" s="44"/>
      <c r="B40" s="33" t="s">
        <v>119</v>
      </c>
      <c r="C40" s="33" t="s">
        <v>47</v>
      </c>
      <c r="D40" s="33" t="s">
        <v>8</v>
      </c>
      <c r="E40" s="33" t="s">
        <v>47</v>
      </c>
      <c r="F40" s="33" t="s">
        <v>129</v>
      </c>
      <c r="G40" s="33" t="s">
        <v>8</v>
      </c>
      <c r="H40" s="26">
        <v>2</v>
      </c>
      <c r="I40" s="35">
        <v>3</v>
      </c>
    </row>
    <row r="41" spans="1:9">
      <c r="A41" s="44"/>
      <c r="B41" s="33" t="s">
        <v>119</v>
      </c>
      <c r="C41" s="33" t="s">
        <v>47</v>
      </c>
      <c r="D41" s="33" t="s">
        <v>8</v>
      </c>
      <c r="E41" s="33" t="s">
        <v>47</v>
      </c>
      <c r="F41" s="33" t="s">
        <v>130</v>
      </c>
      <c r="G41" s="33" t="s">
        <v>11</v>
      </c>
      <c r="H41" s="26">
        <v>3</v>
      </c>
      <c r="I41" s="35">
        <v>4</v>
      </c>
    </row>
    <row r="42" spans="1:9">
      <c r="A42" s="44"/>
      <c r="B42" s="33" t="s">
        <v>119</v>
      </c>
      <c r="C42" s="33" t="s">
        <v>47</v>
      </c>
      <c r="D42" s="33" t="s">
        <v>8</v>
      </c>
      <c r="E42" s="33" t="s">
        <v>47</v>
      </c>
      <c r="F42" s="33" t="s">
        <v>131</v>
      </c>
      <c r="G42" s="33" t="s">
        <v>19</v>
      </c>
      <c r="H42" s="26">
        <v>4</v>
      </c>
      <c r="I42" s="35">
        <v>5</v>
      </c>
    </row>
    <row r="43" spans="1:9">
      <c r="A43" s="44"/>
      <c r="B43" s="33" t="s">
        <v>119</v>
      </c>
      <c r="C43" s="33" t="s">
        <v>47</v>
      </c>
      <c r="D43" s="33" t="s">
        <v>8</v>
      </c>
      <c r="E43" s="33" t="s">
        <v>47</v>
      </c>
      <c r="F43" s="33" t="s">
        <v>132</v>
      </c>
      <c r="G43" s="33" t="s">
        <v>21</v>
      </c>
      <c r="H43" s="26">
        <v>5</v>
      </c>
      <c r="I43" s="35">
        <v>6</v>
      </c>
    </row>
    <row r="44" spans="1:9">
      <c r="A44" s="44"/>
      <c r="B44" s="33" t="s">
        <v>119</v>
      </c>
      <c r="C44" s="33" t="s">
        <v>47</v>
      </c>
      <c r="D44" s="33" t="s">
        <v>8</v>
      </c>
      <c r="E44" s="33" t="s">
        <v>47</v>
      </c>
      <c r="F44" s="33" t="s">
        <v>133</v>
      </c>
      <c r="G44" s="33" t="s">
        <v>39</v>
      </c>
      <c r="H44" s="26">
        <v>6</v>
      </c>
      <c r="I44" s="35">
        <v>7</v>
      </c>
    </row>
    <row r="45" spans="1:9">
      <c r="A45" s="44"/>
      <c r="B45" s="33" t="s">
        <v>119</v>
      </c>
      <c r="C45" s="33" t="s">
        <v>47</v>
      </c>
      <c r="D45" s="33" t="s">
        <v>8</v>
      </c>
      <c r="E45" s="33" t="s">
        <v>47</v>
      </c>
      <c r="F45" s="33" t="s">
        <v>134</v>
      </c>
      <c r="G45" s="33" t="s">
        <v>26</v>
      </c>
      <c r="H45" s="26">
        <v>7</v>
      </c>
      <c r="I45" s="35">
        <v>8</v>
      </c>
    </row>
    <row r="46" spans="1:9">
      <c r="A46" s="44"/>
      <c r="B46" s="33" t="s">
        <v>26</v>
      </c>
      <c r="C46" s="33" t="s">
        <v>34</v>
      </c>
      <c r="D46" s="33" t="s">
        <v>50</v>
      </c>
      <c r="E46" s="33" t="s">
        <v>37</v>
      </c>
      <c r="F46" s="33" t="s">
        <v>135</v>
      </c>
      <c r="G46" s="33" t="s">
        <v>109</v>
      </c>
      <c r="H46" s="26">
        <v>1</v>
      </c>
      <c r="I46" s="37">
        <v>9</v>
      </c>
    </row>
    <row r="47" spans="1:9">
      <c r="A47" s="44"/>
      <c r="B47" s="33" t="s">
        <v>26</v>
      </c>
      <c r="C47" s="33" t="s">
        <v>34</v>
      </c>
      <c r="D47" s="33" t="s">
        <v>50</v>
      </c>
      <c r="E47" s="33" t="s">
        <v>37</v>
      </c>
      <c r="F47" s="33" t="s">
        <v>136</v>
      </c>
      <c r="G47" s="33" t="s">
        <v>137</v>
      </c>
      <c r="H47" s="26">
        <v>2</v>
      </c>
      <c r="I47" s="35">
        <v>10</v>
      </c>
    </row>
    <row r="48" spans="1:9">
      <c r="A48" s="44"/>
      <c r="B48" s="33" t="s">
        <v>26</v>
      </c>
      <c r="C48" s="33" t="s">
        <v>34</v>
      </c>
      <c r="D48" s="33" t="s">
        <v>50</v>
      </c>
      <c r="E48" s="33" t="s">
        <v>37</v>
      </c>
      <c r="F48" s="33" t="s">
        <v>138</v>
      </c>
      <c r="G48" s="33" t="s">
        <v>139</v>
      </c>
      <c r="H48" s="26">
        <v>3</v>
      </c>
      <c r="I48" s="35">
        <v>11</v>
      </c>
    </row>
    <row r="49" spans="1:9">
      <c r="A49" s="44"/>
      <c r="B49" s="33" t="s">
        <v>26</v>
      </c>
      <c r="C49" s="33" t="s">
        <v>34</v>
      </c>
      <c r="D49" s="33" t="s">
        <v>50</v>
      </c>
      <c r="E49" s="33" t="s">
        <v>37</v>
      </c>
      <c r="F49" s="33" t="s">
        <v>140</v>
      </c>
      <c r="G49" s="33" t="s">
        <v>141</v>
      </c>
      <c r="H49" s="26">
        <v>4</v>
      </c>
      <c r="I49" s="35">
        <v>12</v>
      </c>
    </row>
    <row r="50" spans="1:9">
      <c r="A50" s="44"/>
      <c r="B50" s="33" t="s">
        <v>26</v>
      </c>
      <c r="C50" s="33" t="s">
        <v>34</v>
      </c>
      <c r="D50" s="33" t="s">
        <v>50</v>
      </c>
      <c r="E50" s="33" t="s">
        <v>37</v>
      </c>
      <c r="F50" s="33" t="s">
        <v>142</v>
      </c>
      <c r="G50" s="33" t="s">
        <v>17</v>
      </c>
      <c r="H50" s="26">
        <v>5</v>
      </c>
      <c r="I50" s="35">
        <v>13</v>
      </c>
    </row>
    <row r="51" spans="1:9">
      <c r="A51" s="44"/>
      <c r="B51" s="33" t="s">
        <v>26</v>
      </c>
      <c r="C51" s="33" t="s">
        <v>34</v>
      </c>
      <c r="D51" s="33" t="s">
        <v>50</v>
      </c>
      <c r="E51" s="33" t="s">
        <v>37</v>
      </c>
      <c r="F51" s="33" t="s">
        <v>143</v>
      </c>
      <c r="G51" s="33" t="s">
        <v>144</v>
      </c>
      <c r="H51" s="26">
        <v>6</v>
      </c>
      <c r="I51" s="35">
        <v>14</v>
      </c>
    </row>
    <row r="52" spans="1:9">
      <c r="A52" s="44"/>
      <c r="B52" s="33" t="s">
        <v>26</v>
      </c>
      <c r="C52" s="33" t="s">
        <v>34</v>
      </c>
      <c r="D52" s="33" t="s">
        <v>50</v>
      </c>
      <c r="E52" s="33" t="s">
        <v>37</v>
      </c>
      <c r="F52" s="33" t="s">
        <v>145</v>
      </c>
      <c r="G52" s="33" t="s">
        <v>146</v>
      </c>
      <c r="H52" s="26">
        <v>7</v>
      </c>
      <c r="I52" s="35">
        <v>15</v>
      </c>
    </row>
    <row r="53" spans="1:9">
      <c r="A53" s="44"/>
      <c r="B53" s="33" t="s">
        <v>26</v>
      </c>
      <c r="C53" s="33" t="s">
        <v>34</v>
      </c>
      <c r="D53" s="33" t="s">
        <v>11</v>
      </c>
      <c r="E53" s="33" t="s">
        <v>36</v>
      </c>
      <c r="F53" s="33" t="s">
        <v>36</v>
      </c>
      <c r="G53" s="33" t="s">
        <v>147</v>
      </c>
      <c r="H53" s="26">
        <v>1</v>
      </c>
      <c r="I53" s="35">
        <v>16</v>
      </c>
    </row>
    <row r="54" spans="1:9">
      <c r="A54" s="44"/>
      <c r="B54" s="33" t="s">
        <v>26</v>
      </c>
      <c r="C54" s="33" t="s">
        <v>34</v>
      </c>
      <c r="D54" s="33" t="s">
        <v>11</v>
      </c>
      <c r="E54" s="33" t="s">
        <v>36</v>
      </c>
      <c r="F54" s="33" t="s">
        <v>148</v>
      </c>
      <c r="G54" s="33" t="s">
        <v>149</v>
      </c>
      <c r="H54" s="26">
        <v>2</v>
      </c>
      <c r="I54" s="35">
        <v>17</v>
      </c>
    </row>
    <row r="55" spans="1:9">
      <c r="A55" s="44"/>
      <c r="B55" s="33" t="s">
        <v>26</v>
      </c>
      <c r="C55" s="33" t="s">
        <v>34</v>
      </c>
      <c r="D55" s="33" t="s">
        <v>11</v>
      </c>
      <c r="E55" s="33" t="s">
        <v>36</v>
      </c>
      <c r="F55" s="33" t="s">
        <v>150</v>
      </c>
      <c r="G55" s="33" t="s">
        <v>151</v>
      </c>
      <c r="H55" s="26">
        <v>3</v>
      </c>
      <c r="I55" s="37">
        <v>18</v>
      </c>
    </row>
    <row r="56" spans="1:9" ht="15.75" customHeight="1">
      <c r="A56" s="44"/>
      <c r="B56" s="33" t="s">
        <v>26</v>
      </c>
      <c r="C56" s="33" t="s">
        <v>34</v>
      </c>
      <c r="D56" s="33" t="s">
        <v>11</v>
      </c>
      <c r="E56" s="33" t="s">
        <v>36</v>
      </c>
      <c r="F56" s="33" t="s">
        <v>152</v>
      </c>
      <c r="G56" s="33" t="s">
        <v>32</v>
      </c>
      <c r="H56" s="26">
        <v>4</v>
      </c>
      <c r="I56" s="35">
        <v>19</v>
      </c>
    </row>
    <row r="57" spans="1:9">
      <c r="A57" s="44"/>
      <c r="B57" s="33" t="s">
        <v>26</v>
      </c>
      <c r="C57" s="33" t="s">
        <v>34</v>
      </c>
      <c r="D57" s="33" t="s">
        <v>11</v>
      </c>
      <c r="E57" s="33" t="s">
        <v>36</v>
      </c>
      <c r="F57" s="33" t="s">
        <v>153</v>
      </c>
      <c r="G57" s="33" t="s">
        <v>90</v>
      </c>
      <c r="H57" s="26">
        <v>5</v>
      </c>
      <c r="I57" s="35">
        <v>20</v>
      </c>
    </row>
    <row r="58" spans="1:9">
      <c r="A58" s="44"/>
      <c r="B58" s="33" t="s">
        <v>26</v>
      </c>
      <c r="C58" s="33" t="s">
        <v>34</v>
      </c>
      <c r="D58" s="33" t="s">
        <v>25</v>
      </c>
      <c r="E58" s="33" t="s">
        <v>34</v>
      </c>
      <c r="F58" s="33" t="s">
        <v>154</v>
      </c>
      <c r="G58" s="33" t="s">
        <v>42</v>
      </c>
      <c r="H58" s="26">
        <v>1</v>
      </c>
      <c r="I58" s="35">
        <v>21</v>
      </c>
    </row>
    <row r="59" spans="1:9">
      <c r="A59" s="44"/>
      <c r="B59" s="33" t="s">
        <v>26</v>
      </c>
      <c r="C59" s="33" t="s">
        <v>34</v>
      </c>
      <c r="D59" s="33" t="s">
        <v>25</v>
      </c>
      <c r="E59" s="33" t="s">
        <v>34</v>
      </c>
      <c r="F59" s="33" t="s">
        <v>155</v>
      </c>
      <c r="G59" s="33" t="s">
        <v>21</v>
      </c>
      <c r="H59" s="26">
        <v>2</v>
      </c>
      <c r="I59" s="35">
        <v>22</v>
      </c>
    </row>
    <row r="60" spans="1:9">
      <c r="A60" s="44"/>
      <c r="B60" s="33" t="s">
        <v>26</v>
      </c>
      <c r="C60" s="33" t="s">
        <v>34</v>
      </c>
      <c r="D60" s="33" t="s">
        <v>25</v>
      </c>
      <c r="E60" s="33" t="s">
        <v>34</v>
      </c>
      <c r="F60" s="33" t="s">
        <v>156</v>
      </c>
      <c r="G60" s="33" t="s">
        <v>28</v>
      </c>
      <c r="H60" s="26">
        <v>3</v>
      </c>
      <c r="I60" s="35">
        <v>23</v>
      </c>
    </row>
    <row r="61" spans="1:9">
      <c r="A61" s="44"/>
      <c r="B61" s="33" t="s">
        <v>26</v>
      </c>
      <c r="C61" s="33" t="s">
        <v>34</v>
      </c>
      <c r="D61" s="33" t="s">
        <v>25</v>
      </c>
      <c r="E61" s="33" t="s">
        <v>34</v>
      </c>
      <c r="F61" s="33" t="s">
        <v>157</v>
      </c>
      <c r="G61" s="33" t="s">
        <v>46</v>
      </c>
      <c r="H61" s="26">
        <v>4</v>
      </c>
      <c r="I61" s="36">
        <v>24</v>
      </c>
    </row>
    <row r="62" spans="1:9">
      <c r="A62" s="44"/>
      <c r="B62" s="33" t="s">
        <v>26</v>
      </c>
      <c r="C62" s="33" t="s">
        <v>34</v>
      </c>
      <c r="D62" s="33" t="s">
        <v>25</v>
      </c>
      <c r="E62" s="33" t="s">
        <v>34</v>
      </c>
      <c r="F62" s="33" t="s">
        <v>158</v>
      </c>
      <c r="G62" s="33" t="s">
        <v>31</v>
      </c>
      <c r="H62" s="26">
        <v>5</v>
      </c>
      <c r="I62" s="35">
        <v>25</v>
      </c>
    </row>
    <row r="63" spans="1:9">
      <c r="A63" s="44"/>
      <c r="B63" s="33" t="s">
        <v>26</v>
      </c>
      <c r="C63" s="33" t="s">
        <v>34</v>
      </c>
      <c r="D63" s="33" t="s">
        <v>25</v>
      </c>
      <c r="E63" s="33" t="s">
        <v>34</v>
      </c>
      <c r="F63" s="33" t="s">
        <v>159</v>
      </c>
      <c r="G63" s="33" t="s">
        <v>24</v>
      </c>
      <c r="H63" s="26">
        <v>6</v>
      </c>
      <c r="I63" s="35">
        <v>26</v>
      </c>
    </row>
    <row r="64" spans="1:9">
      <c r="A64" s="44"/>
      <c r="B64" s="33" t="s">
        <v>26</v>
      </c>
      <c r="C64" s="33" t="s">
        <v>34</v>
      </c>
      <c r="D64" s="33" t="s">
        <v>25</v>
      </c>
      <c r="E64" s="33" t="s">
        <v>34</v>
      </c>
      <c r="F64" s="33" t="s">
        <v>160</v>
      </c>
      <c r="G64" s="33" t="s">
        <v>10</v>
      </c>
      <c r="H64" s="26">
        <v>7</v>
      </c>
      <c r="I64" s="35">
        <v>27</v>
      </c>
    </row>
    <row r="65" spans="1:9">
      <c r="A65" s="44">
        <v>4</v>
      </c>
      <c r="B65" s="33" t="s">
        <v>11</v>
      </c>
      <c r="C65" s="33" t="s">
        <v>43</v>
      </c>
      <c r="D65" s="33" t="s">
        <v>8</v>
      </c>
      <c r="E65" s="33" t="s">
        <v>47</v>
      </c>
      <c r="F65" s="33" t="s">
        <v>161</v>
      </c>
      <c r="G65" s="33" t="s">
        <v>144</v>
      </c>
      <c r="H65" s="26">
        <v>1</v>
      </c>
      <c r="I65" s="35">
        <v>1</v>
      </c>
    </row>
    <row r="66" spans="1:9">
      <c r="A66" s="44"/>
      <c r="B66" s="33" t="s">
        <v>11</v>
      </c>
      <c r="C66" s="33" t="s">
        <v>43</v>
      </c>
      <c r="D66" s="33" t="s">
        <v>26</v>
      </c>
      <c r="E66" s="33" t="s">
        <v>43</v>
      </c>
      <c r="F66" s="33" t="s">
        <v>162</v>
      </c>
      <c r="G66" s="33" t="s">
        <v>119</v>
      </c>
      <c r="H66" s="26">
        <v>1</v>
      </c>
      <c r="I66" s="35">
        <v>2</v>
      </c>
    </row>
    <row r="67" spans="1:9">
      <c r="A67" s="44"/>
      <c r="B67" s="33" t="s">
        <v>11</v>
      </c>
      <c r="C67" s="33" t="s">
        <v>43</v>
      </c>
      <c r="D67" s="33" t="s">
        <v>26</v>
      </c>
      <c r="E67" s="33" t="s">
        <v>43</v>
      </c>
      <c r="F67" s="33" t="s">
        <v>163</v>
      </c>
      <c r="G67" s="33" t="s">
        <v>164</v>
      </c>
      <c r="H67" s="26">
        <v>2</v>
      </c>
      <c r="I67" s="37">
        <v>3</v>
      </c>
    </row>
    <row r="68" spans="1:9">
      <c r="A68" s="44"/>
      <c r="B68" s="33" t="s">
        <v>11</v>
      </c>
      <c r="C68" s="33" t="s">
        <v>43</v>
      </c>
      <c r="D68" s="33" t="s">
        <v>26</v>
      </c>
      <c r="E68" s="33" t="s">
        <v>43</v>
      </c>
      <c r="F68" s="33" t="s">
        <v>165</v>
      </c>
      <c r="G68" s="33" t="s">
        <v>166</v>
      </c>
      <c r="H68" s="26">
        <v>3</v>
      </c>
      <c r="I68" s="35">
        <v>4</v>
      </c>
    </row>
    <row r="69" spans="1:9">
      <c r="A69" s="44"/>
      <c r="B69" s="33" t="s">
        <v>11</v>
      </c>
      <c r="C69" s="33" t="s">
        <v>43</v>
      </c>
      <c r="D69" s="33" t="s">
        <v>26</v>
      </c>
      <c r="E69" s="33" t="s">
        <v>43</v>
      </c>
      <c r="F69" s="33" t="s">
        <v>167</v>
      </c>
      <c r="G69" s="33" t="s">
        <v>17</v>
      </c>
      <c r="H69" s="26">
        <v>4</v>
      </c>
      <c r="I69" s="36">
        <v>5</v>
      </c>
    </row>
    <row r="70" spans="1:9">
      <c r="A70" s="44"/>
      <c r="B70" s="33" t="s">
        <v>11</v>
      </c>
      <c r="C70" s="33" t="s">
        <v>43</v>
      </c>
      <c r="D70" s="33" t="s">
        <v>26</v>
      </c>
      <c r="E70" s="33" t="s">
        <v>43</v>
      </c>
      <c r="F70" s="33" t="s">
        <v>168</v>
      </c>
      <c r="G70" s="33" t="s">
        <v>169</v>
      </c>
      <c r="H70" s="26">
        <v>5</v>
      </c>
      <c r="I70" s="35">
        <v>6</v>
      </c>
    </row>
    <row r="71" spans="1:9">
      <c r="A71" s="44"/>
      <c r="B71" s="33" t="s">
        <v>11</v>
      </c>
      <c r="C71" s="33" t="s">
        <v>43</v>
      </c>
      <c r="D71" s="33" t="s">
        <v>26</v>
      </c>
      <c r="E71" s="33" t="s">
        <v>43</v>
      </c>
      <c r="F71" s="33" t="s">
        <v>170</v>
      </c>
      <c r="G71" s="33" t="s">
        <v>26</v>
      </c>
      <c r="H71" s="26">
        <v>6</v>
      </c>
      <c r="I71" s="35">
        <v>7</v>
      </c>
    </row>
    <row r="72" spans="1:9">
      <c r="A72" s="44"/>
      <c r="B72" s="33" t="s">
        <v>11</v>
      </c>
      <c r="C72" s="33" t="s">
        <v>43</v>
      </c>
      <c r="D72" s="33" t="s">
        <v>26</v>
      </c>
      <c r="E72" s="33" t="s">
        <v>43</v>
      </c>
      <c r="F72" s="33" t="s">
        <v>171</v>
      </c>
      <c r="G72" s="33" t="s">
        <v>48</v>
      </c>
      <c r="H72" s="26">
        <v>7</v>
      </c>
      <c r="I72" s="35">
        <v>8</v>
      </c>
    </row>
    <row r="73" spans="1:9">
      <c r="A73" s="44"/>
      <c r="B73" s="33" t="s">
        <v>11</v>
      </c>
      <c r="C73" s="33" t="s">
        <v>43</v>
      </c>
      <c r="D73" s="33" t="s">
        <v>26</v>
      </c>
      <c r="E73" s="33" t="s">
        <v>43</v>
      </c>
      <c r="F73" s="33" t="s">
        <v>172</v>
      </c>
      <c r="G73" s="33" t="s">
        <v>90</v>
      </c>
      <c r="H73" s="26">
        <v>8</v>
      </c>
      <c r="I73" s="35">
        <v>9</v>
      </c>
    </row>
    <row r="74" spans="1:9">
      <c r="A74" s="44"/>
      <c r="B74" s="33" t="s">
        <v>11</v>
      </c>
      <c r="C74" s="33" t="s">
        <v>43</v>
      </c>
      <c r="D74" s="33" t="s">
        <v>26</v>
      </c>
      <c r="E74" s="33" t="s">
        <v>43</v>
      </c>
      <c r="F74" s="33" t="s">
        <v>173</v>
      </c>
      <c r="G74" s="33" t="s">
        <v>49</v>
      </c>
      <c r="H74" s="26">
        <v>9</v>
      </c>
      <c r="I74" s="35">
        <v>10</v>
      </c>
    </row>
    <row r="75" spans="1:9">
      <c r="A75" s="44"/>
      <c r="B75" s="33" t="s">
        <v>11</v>
      </c>
      <c r="C75" s="33" t="s">
        <v>43</v>
      </c>
      <c r="D75" s="33" t="s">
        <v>26</v>
      </c>
      <c r="E75" s="33" t="s">
        <v>43</v>
      </c>
      <c r="F75" s="33" t="s">
        <v>174</v>
      </c>
      <c r="G75" s="33" t="s">
        <v>50</v>
      </c>
      <c r="H75" s="26">
        <v>10</v>
      </c>
      <c r="I75" s="35">
        <v>11</v>
      </c>
    </row>
    <row r="76" spans="1:9">
      <c r="A76" s="44"/>
      <c r="B76" s="33" t="s">
        <v>11</v>
      </c>
      <c r="C76" s="33" t="s">
        <v>43</v>
      </c>
      <c r="D76" s="33" t="s">
        <v>26</v>
      </c>
      <c r="E76" s="33" t="s">
        <v>43</v>
      </c>
      <c r="F76" s="33" t="s">
        <v>175</v>
      </c>
      <c r="G76" s="33" t="s">
        <v>35</v>
      </c>
      <c r="H76" s="26">
        <v>11</v>
      </c>
      <c r="I76" s="35">
        <v>12</v>
      </c>
    </row>
    <row r="77" spans="1:9">
      <c r="A77" s="44"/>
      <c r="B77" s="33" t="s">
        <v>8</v>
      </c>
      <c r="C77" s="33" t="s">
        <v>176</v>
      </c>
      <c r="D77" s="33" t="s">
        <v>100</v>
      </c>
      <c r="E77" s="33" t="s">
        <v>41</v>
      </c>
      <c r="F77" s="33" t="s">
        <v>177</v>
      </c>
      <c r="G77" s="33" t="s">
        <v>15</v>
      </c>
      <c r="H77" s="26">
        <v>1</v>
      </c>
      <c r="I77" s="37">
        <v>13</v>
      </c>
    </row>
    <row r="78" spans="1:9">
      <c r="A78" s="44"/>
      <c r="B78" s="33" t="s">
        <v>8</v>
      </c>
      <c r="C78" s="33" t="s">
        <v>176</v>
      </c>
      <c r="D78" s="33" t="s">
        <v>100</v>
      </c>
      <c r="E78" s="33" t="s">
        <v>41</v>
      </c>
      <c r="F78" s="33" t="s">
        <v>178</v>
      </c>
      <c r="G78" s="33" t="s">
        <v>27</v>
      </c>
      <c r="H78" s="26">
        <v>2</v>
      </c>
      <c r="I78" s="35">
        <v>14</v>
      </c>
    </row>
    <row r="79" spans="1:9">
      <c r="A79" s="44"/>
      <c r="B79" s="33" t="s">
        <v>8</v>
      </c>
      <c r="C79" s="33" t="s">
        <v>176</v>
      </c>
      <c r="D79" s="33" t="s">
        <v>100</v>
      </c>
      <c r="E79" s="33" t="s">
        <v>41</v>
      </c>
      <c r="F79" s="33" t="s">
        <v>179</v>
      </c>
      <c r="G79" s="33" t="s">
        <v>49</v>
      </c>
      <c r="H79" s="26">
        <v>3</v>
      </c>
      <c r="I79" s="35">
        <v>15</v>
      </c>
    </row>
    <row r="80" spans="1:9">
      <c r="A80" s="44"/>
      <c r="B80" s="33" t="s">
        <v>8</v>
      </c>
      <c r="C80" s="33" t="s">
        <v>6</v>
      </c>
      <c r="D80" s="33" t="s">
        <v>46</v>
      </c>
      <c r="E80" s="33" t="s">
        <v>6</v>
      </c>
      <c r="F80" s="33" t="s">
        <v>180</v>
      </c>
      <c r="G80" s="33" t="s">
        <v>21</v>
      </c>
      <c r="H80" s="26">
        <v>1</v>
      </c>
      <c r="I80" s="35">
        <v>16</v>
      </c>
    </row>
    <row r="81" spans="1:9">
      <c r="A81" s="44"/>
      <c r="B81" s="33" t="s">
        <v>8</v>
      </c>
      <c r="C81" s="33" t="s">
        <v>6</v>
      </c>
      <c r="D81" s="33" t="s">
        <v>46</v>
      </c>
      <c r="E81" s="33" t="s">
        <v>6</v>
      </c>
      <c r="F81" s="33" t="s">
        <v>181</v>
      </c>
      <c r="G81" s="33" t="s">
        <v>10</v>
      </c>
      <c r="H81" s="26">
        <v>2</v>
      </c>
      <c r="I81" s="35">
        <v>17</v>
      </c>
    </row>
    <row r="82" spans="1:9">
      <c r="A82" s="44"/>
      <c r="B82" s="33" t="s">
        <v>8</v>
      </c>
      <c r="C82" s="33" t="s">
        <v>6</v>
      </c>
      <c r="D82" s="33" t="s">
        <v>46</v>
      </c>
      <c r="E82" s="33" t="s">
        <v>6</v>
      </c>
      <c r="F82" s="33" t="s">
        <v>38</v>
      </c>
      <c r="G82" s="33" t="s">
        <v>50</v>
      </c>
      <c r="H82" s="26">
        <v>3</v>
      </c>
      <c r="I82" s="35">
        <v>18</v>
      </c>
    </row>
    <row r="83" spans="1:9">
      <c r="A83" s="44"/>
      <c r="B83" s="33" t="s">
        <v>8</v>
      </c>
      <c r="C83" s="33" t="s">
        <v>6</v>
      </c>
      <c r="D83" s="33" t="s">
        <v>46</v>
      </c>
      <c r="E83" s="33" t="s">
        <v>6</v>
      </c>
      <c r="F83" s="33" t="s">
        <v>182</v>
      </c>
      <c r="G83" s="33" t="s">
        <v>14</v>
      </c>
      <c r="H83" s="26">
        <v>4</v>
      </c>
      <c r="I83" s="35">
        <v>19</v>
      </c>
    </row>
    <row r="84" spans="1:9">
      <c r="A84" s="44"/>
      <c r="B84" s="33" t="s">
        <v>8</v>
      </c>
      <c r="C84" s="33" t="s">
        <v>6</v>
      </c>
      <c r="D84" s="33" t="s">
        <v>46</v>
      </c>
      <c r="E84" s="33" t="s">
        <v>6</v>
      </c>
      <c r="F84" s="33" t="s">
        <v>183</v>
      </c>
      <c r="G84" s="33" t="s">
        <v>119</v>
      </c>
      <c r="H84" s="26">
        <v>5</v>
      </c>
      <c r="I84" s="36">
        <v>20</v>
      </c>
    </row>
    <row r="85" spans="1:9">
      <c r="A85" s="34"/>
      <c r="B85" s="1"/>
      <c r="C85" s="2"/>
      <c r="D85" s="1"/>
      <c r="E85" s="2"/>
      <c r="F85" s="2"/>
      <c r="G85" s="1"/>
      <c r="H85" s="26"/>
      <c r="I85" s="26"/>
    </row>
  </sheetData>
  <mergeCells count="5">
    <mergeCell ref="A5:A23"/>
    <mergeCell ref="A24:A37"/>
    <mergeCell ref="A38:A64"/>
    <mergeCell ref="A65:A84"/>
    <mergeCell ref="A1:I1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tabSelected="1" view="pageBreakPreview" topLeftCell="A4" zoomScaleSheetLayoutView="100" workbookViewId="0">
      <selection activeCell="I12" sqref="I12"/>
    </sheetView>
  </sheetViews>
  <sheetFormatPr defaultColWidth="20.7109375" defaultRowHeight="24.95" customHeight="1"/>
  <cols>
    <col min="1" max="1" width="6.7109375" style="25" customWidth="1"/>
    <col min="2" max="2" width="19.42578125" style="9" customWidth="1"/>
    <col min="3" max="3" width="20.140625" style="9" customWidth="1"/>
    <col min="4" max="4" width="15" style="6" customWidth="1"/>
    <col min="5" max="5" width="10" style="6" customWidth="1"/>
    <col min="6" max="6" width="8.85546875" style="6" customWidth="1"/>
    <col min="7" max="7" width="6.7109375" style="6" customWidth="1"/>
    <col min="8" max="8" width="9" style="6" customWidth="1"/>
    <col min="9" max="9" width="7.140625" style="6" customWidth="1"/>
    <col min="10" max="10" width="8" style="6" customWidth="1"/>
    <col min="11" max="11" width="8.7109375" style="6" customWidth="1"/>
    <col min="12" max="16384" width="20.7109375" style="10"/>
  </cols>
  <sheetData>
    <row r="1" spans="1:12" ht="24.95" customHeight="1">
      <c r="A1" s="42" t="s">
        <v>56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2" ht="24.95" customHeight="1">
      <c r="A2" s="42" t="s">
        <v>57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2" s="7" customFormat="1" ht="24.95" customHeight="1">
      <c r="A3" s="4" t="s">
        <v>51</v>
      </c>
      <c r="B3" s="3" t="s">
        <v>70</v>
      </c>
      <c r="C3" s="38"/>
      <c r="D3" s="39"/>
      <c r="E3" s="39"/>
      <c r="F3" s="38"/>
      <c r="G3" s="46" t="s">
        <v>52</v>
      </c>
      <c r="H3" s="46"/>
      <c r="I3" s="46"/>
      <c r="J3" s="46"/>
      <c r="K3" s="46"/>
    </row>
    <row r="4" spans="1:12" ht="24.95" customHeight="1">
      <c r="A4" s="8"/>
      <c r="B4" s="40"/>
      <c r="C4" s="40"/>
      <c r="D4" s="39"/>
      <c r="E4" s="39"/>
      <c r="F4" s="39"/>
      <c r="G4" s="39"/>
      <c r="H4" s="39" t="s">
        <v>184</v>
      </c>
      <c r="I4" s="39"/>
      <c r="J4" s="39"/>
      <c r="K4" s="39"/>
    </row>
    <row r="5" spans="1:12" ht="46.5" customHeight="1">
      <c r="A5" s="48" t="s">
        <v>58</v>
      </c>
      <c r="B5" s="49" t="s">
        <v>59</v>
      </c>
      <c r="C5" s="49" t="s">
        <v>60</v>
      </c>
      <c r="D5" s="49" t="s">
        <v>61</v>
      </c>
      <c r="E5" s="50" t="s">
        <v>62</v>
      </c>
      <c r="F5" s="49" t="s">
        <v>63</v>
      </c>
      <c r="G5" s="49"/>
      <c r="H5" s="49" t="s">
        <v>64</v>
      </c>
      <c r="I5" s="49"/>
      <c r="J5" s="49" t="s">
        <v>65</v>
      </c>
      <c r="K5" s="49"/>
    </row>
    <row r="6" spans="1:12" ht="35.25" customHeight="1">
      <c r="A6" s="48"/>
      <c r="B6" s="49"/>
      <c r="C6" s="49"/>
      <c r="D6" s="49"/>
      <c r="E6" s="51"/>
      <c r="F6" s="13" t="s">
        <v>66</v>
      </c>
      <c r="G6" s="13" t="s">
        <v>67</v>
      </c>
      <c r="H6" s="13" t="s">
        <v>66</v>
      </c>
      <c r="I6" s="13" t="s">
        <v>67</v>
      </c>
      <c r="J6" s="13" t="s">
        <v>66</v>
      </c>
      <c r="K6" s="13" t="s">
        <v>67</v>
      </c>
    </row>
    <row r="7" spans="1:12" ht="30" customHeight="1">
      <c r="A7" s="54">
        <v>1</v>
      </c>
      <c r="B7" s="14" t="s">
        <v>71</v>
      </c>
      <c r="C7" s="14" t="s">
        <v>71</v>
      </c>
      <c r="D7" s="15">
        <v>9</v>
      </c>
      <c r="E7" s="15">
        <f>D7</f>
        <v>9</v>
      </c>
      <c r="F7" s="16"/>
      <c r="G7" s="16"/>
      <c r="H7" s="16"/>
      <c r="I7" s="16"/>
      <c r="J7" s="16" t="s">
        <v>185</v>
      </c>
      <c r="K7" s="16" t="s">
        <v>187</v>
      </c>
      <c r="L7" s="17"/>
    </row>
    <row r="8" spans="1:12" ht="30" customHeight="1">
      <c r="A8" s="52"/>
      <c r="B8" s="14" t="s">
        <v>72</v>
      </c>
      <c r="C8" s="14" t="s">
        <v>72</v>
      </c>
      <c r="D8" s="16">
        <v>10</v>
      </c>
      <c r="E8" s="16">
        <f>D8+E7</f>
        <v>19</v>
      </c>
      <c r="F8" s="16"/>
      <c r="G8" s="16"/>
      <c r="H8" s="16"/>
      <c r="I8" s="16"/>
      <c r="J8" s="16" t="s">
        <v>186</v>
      </c>
      <c r="K8" s="16" t="s">
        <v>188</v>
      </c>
      <c r="L8" s="17"/>
    </row>
    <row r="9" spans="1:12" ht="30" customHeight="1">
      <c r="A9" s="21"/>
      <c r="B9" s="28" t="s">
        <v>76</v>
      </c>
      <c r="C9" s="28"/>
      <c r="D9" s="22">
        <f>SUM(D7:D8)</f>
        <v>19</v>
      </c>
      <c r="E9" s="30"/>
      <c r="F9" s="30">
        <v>2</v>
      </c>
      <c r="G9" s="30">
        <v>2</v>
      </c>
      <c r="H9" s="30">
        <v>54</v>
      </c>
      <c r="I9" s="30">
        <v>54</v>
      </c>
      <c r="J9" s="30"/>
      <c r="K9" s="30"/>
      <c r="L9" s="17"/>
    </row>
    <row r="10" spans="1:12" ht="28.5" customHeight="1">
      <c r="A10" s="52">
        <v>2</v>
      </c>
      <c r="B10" s="14" t="s">
        <v>73</v>
      </c>
      <c r="C10" s="14" t="s">
        <v>71</v>
      </c>
      <c r="D10" s="16">
        <v>1</v>
      </c>
      <c r="E10" s="16">
        <f>D10</f>
        <v>1</v>
      </c>
      <c r="F10" s="18"/>
      <c r="G10" s="18"/>
      <c r="H10" s="16"/>
      <c r="I10" s="16"/>
      <c r="J10" s="16" t="s">
        <v>194</v>
      </c>
      <c r="K10" s="16" t="s">
        <v>185</v>
      </c>
      <c r="L10" s="17"/>
    </row>
    <row r="11" spans="1:12" ht="28.5" customHeight="1">
      <c r="A11" s="52"/>
      <c r="B11" s="14" t="s">
        <v>73</v>
      </c>
      <c r="C11" s="14" t="s">
        <v>74</v>
      </c>
      <c r="D11" s="16">
        <v>4</v>
      </c>
      <c r="E11" s="16">
        <f>D11+E10</f>
        <v>5</v>
      </c>
      <c r="F11" s="18"/>
      <c r="G11" s="18"/>
      <c r="H11" s="16"/>
      <c r="I11" s="16"/>
      <c r="J11" s="16" t="s">
        <v>195</v>
      </c>
      <c r="K11" s="16" t="s">
        <v>192</v>
      </c>
      <c r="L11" s="17"/>
    </row>
    <row r="12" spans="1:12" ht="28.5" customHeight="1">
      <c r="A12" s="52"/>
      <c r="B12" s="14" t="s">
        <v>75</v>
      </c>
      <c r="C12" s="14" t="s">
        <v>71</v>
      </c>
      <c r="D12" s="16">
        <v>2</v>
      </c>
      <c r="E12" s="16">
        <f t="shared" ref="E12:E13" si="0">D12+E11</f>
        <v>7</v>
      </c>
      <c r="F12" s="18"/>
      <c r="G12" s="18"/>
      <c r="H12" s="16"/>
      <c r="I12" s="16"/>
      <c r="J12" s="16"/>
      <c r="K12" s="20"/>
      <c r="L12" s="17"/>
    </row>
    <row r="13" spans="1:12" ht="28.5" customHeight="1">
      <c r="A13" s="53"/>
      <c r="B13" s="14" t="s">
        <v>75</v>
      </c>
      <c r="C13" s="14" t="s">
        <v>75</v>
      </c>
      <c r="D13" s="16">
        <v>7</v>
      </c>
      <c r="E13" s="16">
        <f t="shared" si="0"/>
        <v>14</v>
      </c>
      <c r="F13" s="18"/>
      <c r="G13" s="18"/>
      <c r="H13" s="16"/>
      <c r="I13" s="16"/>
      <c r="J13" s="16"/>
      <c r="K13" s="16"/>
      <c r="L13" s="17"/>
    </row>
    <row r="14" spans="1:12" ht="28.5" customHeight="1">
      <c r="A14" s="19"/>
      <c r="B14" s="28" t="s">
        <v>68</v>
      </c>
      <c r="C14" s="29"/>
      <c r="D14" s="22">
        <f>SUM(D10:D13)</f>
        <v>14</v>
      </c>
      <c r="E14" s="22"/>
      <c r="F14" s="22">
        <v>2</v>
      </c>
      <c r="G14" s="22">
        <v>2</v>
      </c>
      <c r="H14" s="30">
        <v>55</v>
      </c>
      <c r="I14" s="30">
        <v>55</v>
      </c>
      <c r="J14" s="30"/>
      <c r="K14" s="30"/>
      <c r="L14" s="17"/>
    </row>
    <row r="15" spans="1:12" ht="24.95" customHeight="1">
      <c r="A15" s="54">
        <v>3</v>
      </c>
      <c r="B15" s="14" t="s">
        <v>77</v>
      </c>
      <c r="C15" s="14" t="s">
        <v>78</v>
      </c>
      <c r="D15" s="16">
        <v>5</v>
      </c>
      <c r="E15" s="16">
        <f>D15</f>
        <v>5</v>
      </c>
      <c r="F15" s="16"/>
      <c r="G15" s="16"/>
      <c r="H15" s="16"/>
      <c r="I15" s="16"/>
      <c r="J15" s="16" t="s">
        <v>189</v>
      </c>
      <c r="K15" s="16" t="s">
        <v>86</v>
      </c>
      <c r="L15" s="17"/>
    </row>
    <row r="16" spans="1:12" ht="24.95" customHeight="1">
      <c r="A16" s="52"/>
      <c r="B16" s="14" t="s">
        <v>77</v>
      </c>
      <c r="C16" s="14" t="s">
        <v>79</v>
      </c>
      <c r="D16" s="16">
        <v>7</v>
      </c>
      <c r="E16" s="16">
        <f>D16+E15</f>
        <v>12</v>
      </c>
      <c r="F16" s="16"/>
      <c r="G16" s="16"/>
      <c r="H16" s="16"/>
      <c r="I16" s="16"/>
      <c r="J16" s="16" t="s">
        <v>190</v>
      </c>
      <c r="K16" s="16" t="s">
        <v>85</v>
      </c>
      <c r="L16" s="17"/>
    </row>
    <row r="17" spans="1:12" ht="24.95" customHeight="1">
      <c r="A17" s="52"/>
      <c r="B17" s="14" t="s">
        <v>77</v>
      </c>
      <c r="C17" s="14" t="s">
        <v>77</v>
      </c>
      <c r="D17" s="16">
        <v>7</v>
      </c>
      <c r="E17" s="16">
        <f t="shared" ref="E17:E19" si="1">D17+E16</f>
        <v>19</v>
      </c>
      <c r="F17" s="16"/>
      <c r="G17" s="16"/>
      <c r="H17" s="16"/>
      <c r="I17" s="16"/>
      <c r="J17" s="16"/>
      <c r="K17" s="20"/>
      <c r="L17" s="17"/>
    </row>
    <row r="18" spans="1:12" ht="24.95" customHeight="1">
      <c r="A18" s="52"/>
      <c r="B18" s="14" t="s">
        <v>80</v>
      </c>
      <c r="C18" s="14" t="s">
        <v>79</v>
      </c>
      <c r="D18" s="16">
        <v>1</v>
      </c>
      <c r="E18" s="16">
        <f t="shared" si="1"/>
        <v>20</v>
      </c>
      <c r="F18" s="16"/>
      <c r="G18" s="16"/>
      <c r="H18" s="16"/>
      <c r="I18" s="16"/>
      <c r="J18" s="16"/>
      <c r="K18" s="16"/>
      <c r="L18" s="17"/>
    </row>
    <row r="19" spans="1:12" ht="24.95" customHeight="1">
      <c r="A19" s="52"/>
      <c r="B19" s="14" t="s">
        <v>80</v>
      </c>
      <c r="C19" s="14" t="s">
        <v>80</v>
      </c>
      <c r="D19" s="16">
        <v>7</v>
      </c>
      <c r="E19" s="16">
        <f t="shared" si="1"/>
        <v>27</v>
      </c>
      <c r="F19" s="16"/>
      <c r="G19" s="16"/>
      <c r="H19" s="16"/>
      <c r="I19" s="16"/>
      <c r="J19" s="16"/>
      <c r="K19" s="16"/>
      <c r="L19" s="17"/>
    </row>
    <row r="20" spans="1:12" ht="24.95" customHeight="1">
      <c r="A20" s="27"/>
      <c r="B20" s="28" t="s">
        <v>76</v>
      </c>
      <c r="C20" s="28"/>
      <c r="D20" s="22">
        <f>SUM(D15:D19)</f>
        <v>27</v>
      </c>
      <c r="E20" s="22"/>
      <c r="F20" s="22">
        <v>2</v>
      </c>
      <c r="G20" s="22">
        <v>2</v>
      </c>
      <c r="H20" s="22">
        <v>56</v>
      </c>
      <c r="I20" s="22">
        <v>56</v>
      </c>
      <c r="J20" s="22"/>
      <c r="K20" s="22"/>
      <c r="L20" s="17"/>
    </row>
    <row r="21" spans="1:12" ht="24.95" customHeight="1">
      <c r="A21" s="52">
        <v>4</v>
      </c>
      <c r="B21" s="14" t="s">
        <v>82</v>
      </c>
      <c r="C21" s="14" t="s">
        <v>82</v>
      </c>
      <c r="D21" s="16">
        <v>5</v>
      </c>
      <c r="E21" s="16">
        <v>5</v>
      </c>
      <c r="F21" s="16"/>
      <c r="G21" s="16"/>
      <c r="H21" s="16"/>
      <c r="I21" s="16"/>
      <c r="J21" s="16" t="s">
        <v>191</v>
      </c>
      <c r="K21" s="16" t="s">
        <v>193</v>
      </c>
      <c r="L21" s="17"/>
    </row>
    <row r="22" spans="1:12" ht="24.95" customHeight="1">
      <c r="A22" s="52"/>
      <c r="B22" s="14" t="s">
        <v>83</v>
      </c>
      <c r="C22" s="14" t="s">
        <v>81</v>
      </c>
      <c r="D22" s="16">
        <v>3</v>
      </c>
      <c r="E22" s="16">
        <v>8</v>
      </c>
      <c r="F22" s="16"/>
      <c r="G22" s="16"/>
      <c r="H22" s="16"/>
      <c r="I22" s="16"/>
      <c r="J22" s="16" t="s">
        <v>192</v>
      </c>
      <c r="K22" s="16" t="s">
        <v>87</v>
      </c>
      <c r="L22" s="17"/>
    </row>
    <row r="23" spans="1:12" ht="24.95" customHeight="1">
      <c r="A23" s="52"/>
      <c r="B23" s="14" t="s">
        <v>84</v>
      </c>
      <c r="C23" s="14" t="s">
        <v>80</v>
      </c>
      <c r="D23" s="16">
        <v>1</v>
      </c>
      <c r="E23" s="16">
        <v>9</v>
      </c>
      <c r="F23" s="16"/>
      <c r="G23" s="16"/>
      <c r="H23" s="16"/>
      <c r="I23" s="16"/>
      <c r="J23" s="16"/>
      <c r="K23" s="16"/>
      <c r="L23" s="17"/>
    </row>
    <row r="24" spans="1:12" ht="24.95" customHeight="1">
      <c r="A24" s="53"/>
      <c r="B24" s="14" t="s">
        <v>84</v>
      </c>
      <c r="C24" s="14" t="s">
        <v>84</v>
      </c>
      <c r="D24" s="16">
        <v>11</v>
      </c>
      <c r="E24" s="16">
        <v>20</v>
      </c>
      <c r="F24" s="16"/>
      <c r="G24" s="16"/>
      <c r="H24" s="16"/>
      <c r="I24" s="16"/>
      <c r="J24" s="16"/>
      <c r="K24" s="16"/>
      <c r="L24" s="17"/>
    </row>
    <row r="25" spans="1:12" ht="24.95" customHeight="1">
      <c r="A25" s="19"/>
      <c r="B25" s="29" t="s">
        <v>68</v>
      </c>
      <c r="C25" s="29"/>
      <c r="D25" s="30">
        <f>SUM(D21:D24)</f>
        <v>20</v>
      </c>
      <c r="E25" s="30"/>
      <c r="F25" s="30">
        <v>2</v>
      </c>
      <c r="G25" s="30">
        <v>2</v>
      </c>
      <c r="H25" s="30">
        <v>57</v>
      </c>
      <c r="I25" s="30">
        <v>57</v>
      </c>
      <c r="J25" s="30"/>
      <c r="K25" s="30"/>
      <c r="L25" s="17"/>
    </row>
    <row r="26" spans="1:12" ht="24.95" customHeight="1">
      <c r="A26" s="23"/>
      <c r="B26" s="14" t="s">
        <v>69</v>
      </c>
      <c r="C26" s="14"/>
      <c r="D26" s="24">
        <f>D9+D14+D20+D25</f>
        <v>80</v>
      </c>
      <c r="E26" s="24"/>
      <c r="F26" s="16"/>
      <c r="G26" s="16"/>
      <c r="H26" s="16"/>
      <c r="I26" s="16"/>
      <c r="J26" s="16"/>
      <c r="K26" s="16"/>
      <c r="L26" s="17"/>
    </row>
  </sheetData>
  <mergeCells count="15">
    <mergeCell ref="A21:A24"/>
    <mergeCell ref="A7:A8"/>
    <mergeCell ref="A10:A13"/>
    <mergeCell ref="A15:A19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2025-06-25T11:00:01Z</cp:lastPrinted>
  <dcterms:created xsi:type="dcterms:W3CDTF">2025-06-18T07:49:10Z</dcterms:created>
  <dcterms:modified xsi:type="dcterms:W3CDTF">2026-06-16T12:19:35Z</dcterms:modified>
</cp:coreProperties>
</file>
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WISE'!$A$4:$L$43</definedName>
    <definedName name="_xlnm._FilterDatabase" localSheetId="0" hidden="1">'STRATUM WISE (CS)'!$A$4:$I$7</definedName>
    <definedName name="_xlnm._FilterDatabase" localSheetId="1" hidden="1">'STRATUM WISE (SS)'!$A$4:$I$7</definedName>
  </definedNames>
  <calcPr calcId="124519"/>
</workbook>
</file>

<file path=xl/calcChain.xml><?xml version="1.0" encoding="utf-8"?>
<calcChain xmlns="http://schemas.openxmlformats.org/spreadsheetml/2006/main">
  <c r="E9" i="6"/>
  <c r="E10" s="1"/>
  <c r="E11" s="1"/>
  <c r="E12" s="1"/>
  <c r="E13" s="1"/>
  <c r="E14" s="1"/>
  <c r="E8"/>
  <c r="E7"/>
  <c r="D16"/>
</calcChain>
</file>

<file path=xl/sharedStrings.xml><?xml version="1.0" encoding="utf-8"?>
<sst xmlns="http://schemas.openxmlformats.org/spreadsheetml/2006/main" count="334" uniqueCount="116">
  <si>
    <t>TRS_TKCODE</t>
  </si>
  <si>
    <t>TRS_TKNAME</t>
  </si>
  <si>
    <t>TRS_BKCODE</t>
  </si>
  <si>
    <t>TRS_BKNAME</t>
  </si>
  <si>
    <t>VGNAME</t>
  </si>
  <si>
    <t>RV_CODE</t>
  </si>
  <si>
    <t>TIRUPATHUR</t>
  </si>
  <si>
    <t>VANIYAMBADI</t>
  </si>
  <si>
    <t>ALANGAYAM</t>
  </si>
  <si>
    <t>41</t>
  </si>
  <si>
    <t>33</t>
  </si>
  <si>
    <t>6</t>
  </si>
  <si>
    <t>NATRAMPALLI</t>
  </si>
  <si>
    <t>16</t>
  </si>
  <si>
    <t>21</t>
  </si>
  <si>
    <t>9</t>
  </si>
  <si>
    <t>11</t>
  </si>
  <si>
    <t>JOLARPETTAI</t>
  </si>
  <si>
    <t>18</t>
  </si>
  <si>
    <t>KANDHILI</t>
  </si>
  <si>
    <t>KANDILI</t>
  </si>
  <si>
    <t>1</t>
  </si>
  <si>
    <t>ANDIYAPPANUR</t>
  </si>
  <si>
    <t>24</t>
  </si>
  <si>
    <t>AMBUR</t>
  </si>
  <si>
    <t>MADHANUR</t>
  </si>
  <si>
    <t>7</t>
  </si>
  <si>
    <t>3</t>
  </si>
  <si>
    <t>13</t>
  </si>
  <si>
    <t>10</t>
  </si>
  <si>
    <t>15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</si>
  <si>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</si>
  <si>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</si>
  <si>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</si>
  <si>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</si>
  <si>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</si>
  <si>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</si>
  <si>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</si>
  <si>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</si>
  <si>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</si>
  <si>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</si>
  <si>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</si>
  <si>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</si>
  <si>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</si>
  <si>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</si>
  <si>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</si>
  <si>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</si>
  <si>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</si>
  <si>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THIRUPATHUR(36)</t>
  </si>
  <si>
    <t>THIRUPATHUR</t>
  </si>
  <si>
    <t>District::</t>
  </si>
  <si>
    <t>Year:2026-27 (Fasli-1436)</t>
  </si>
  <si>
    <t>20</t>
  </si>
  <si>
    <t>KOTHUR</t>
  </si>
  <si>
    <t>GURUBHAVANIGUNDA</t>
  </si>
  <si>
    <t>THOPPLAGUNDA</t>
  </si>
  <si>
    <t>4</t>
  </si>
  <si>
    <t>17</t>
  </si>
  <si>
    <t>VELAKKALNATHAM</t>
  </si>
  <si>
    <t>MOOKKANUR</t>
  </si>
  <si>
    <t>29</t>
  </si>
  <si>
    <t>KUDIYANAKUPPAM</t>
  </si>
  <si>
    <t>VENKATASAMUTHIRAM</t>
  </si>
  <si>
    <t>PERIYANGKUPPAM</t>
  </si>
  <si>
    <t>39</t>
  </si>
  <si>
    <t>PARSANAPALLI</t>
  </si>
  <si>
    <t>KAMMAKRISHNAPALLI</t>
  </si>
  <si>
    <t>19</t>
  </si>
  <si>
    <t>THENNAMPATTU</t>
  </si>
  <si>
    <t>VADAKARAI</t>
  </si>
  <si>
    <t>27</t>
  </si>
  <si>
    <t xml:space="preserve">PERIYA KOMMESHWARAM </t>
  </si>
  <si>
    <t>5</t>
  </si>
  <si>
    <t>MINNUR</t>
  </si>
  <si>
    <t>34</t>
  </si>
  <si>
    <t>SENGILIKUPPAM</t>
  </si>
  <si>
    <t>NATCHARKUPPAM</t>
  </si>
  <si>
    <t>38</t>
  </si>
  <si>
    <t>MITTALAM</t>
  </si>
  <si>
    <t>12</t>
  </si>
  <si>
    <t>POONGULAM</t>
  </si>
  <si>
    <t>25</t>
  </si>
  <si>
    <t>KUNICHI</t>
  </si>
  <si>
    <t>50</t>
  </si>
  <si>
    <t>GENGINAICKENPATTI</t>
  </si>
  <si>
    <t>46</t>
  </si>
  <si>
    <t>KRISHNAPURAM</t>
  </si>
  <si>
    <t>SUNDARAMPALLI</t>
  </si>
  <si>
    <t>40</t>
  </si>
  <si>
    <t>VENGALAPURAM</t>
  </si>
  <si>
    <t>54</t>
  </si>
  <si>
    <t>PUDUPATTI</t>
  </si>
  <si>
    <t>ELAGIRI VILLAGE</t>
  </si>
  <si>
    <t>PACHAL</t>
  </si>
  <si>
    <t>KONERIKUPPAM</t>
  </si>
  <si>
    <t>55</t>
  </si>
  <si>
    <t>THATHAVALLI</t>
  </si>
  <si>
    <t>NELLIVASALNADU</t>
  </si>
  <si>
    <t>69</t>
  </si>
  <si>
    <t>SIMUKAMPATTU</t>
  </si>
  <si>
    <t>PULLUR</t>
  </si>
  <si>
    <t>RAMANAICKANPETTAI</t>
  </si>
  <si>
    <t>SINTHAGAMANIPENDA</t>
  </si>
  <si>
    <t>DEVASTHANAM</t>
  </si>
  <si>
    <t>KALENDIRA</t>
  </si>
  <si>
    <t>AMBURPETTAI</t>
  </si>
  <si>
    <t>VELLAKUTTAI</t>
  </si>
  <si>
    <t>36</t>
  </si>
  <si>
    <t>29(1)</t>
  </si>
  <si>
    <t>26(2)</t>
  </si>
  <si>
    <t>10(3)</t>
  </si>
  <si>
    <t>35(1)</t>
  </si>
  <si>
    <t>08(2)</t>
  </si>
  <si>
    <t>14(3)</t>
  </si>
  <si>
    <t>Sample : Central</t>
  </si>
  <si>
    <t>Oder of selection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</si>
</sst>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  <font>
      <b/>
      <sz val="9"/>
      <name val="Bookman Old Style"/>
      <family val="1"/>
    </font>
    <font>
      <b/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4" fillId="0" borderId="0" xfId="2" applyFont="1" applyBorder="1" applyAlignment="1">
      <alignment vertical="center"/>
    </xf>
    <xf numFmtId="0" fontId="4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7" fillId="0" borderId="1" xfId="4" quotePrefix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1" applyFont="1" applyFill="1" applyBorder="1" applyAlignment="1">
      <alignment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wrapText="1"/>
    </xf>
    <xf numFmtId="0" fontId="5" fillId="0" borderId="1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2" borderId="1" xfId="2" applyFont="1" applyFill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2" fillId="0" borderId="1" xfId="5" applyFont="1" applyFill="1" applyBorder="1" applyAlignment="1">
      <alignment horizontal="center" wrapText="1"/>
    </xf>
    <xf numFmtId="0" fontId="9" fillId="0" borderId="1" xfId="4" applyFont="1" applyBorder="1" applyAlignment="1">
      <alignment horizontal="center" vertical="center"/>
    </xf>
    <xf numFmtId="0" fontId="9" fillId="0" borderId="5" xfId="4" applyFont="1" applyBorder="1" applyAlignment="1">
      <alignment horizontal="left" vertical="center"/>
    </xf>
    <xf numFmtId="0" fontId="9" fillId="0" borderId="6" xfId="4" applyFont="1" applyBorder="1" applyAlignment="1">
      <alignment horizontal="left" vertical="center"/>
    </xf>
    <xf numFmtId="0" fontId="9" fillId="0" borderId="7" xfId="4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2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view="pageLayout" workbookViewId="0">
      <selection activeCell="D15" sqref="D1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0.140625" customWidth="1"/>
    <col min="5" max="5" width="11.140625" customWidth="1"/>
    <col min="6" max="6" width="10.28515625" style="10" customWidth="1"/>
  </cols>
  <sheetData>
    <row r="1" spans="1:8">
      <c r="A1" s="38" t="s">
        <v>35</v>
      </c>
      <c r="B1" s="38"/>
      <c r="C1" s="38"/>
      <c r="D1" s="38"/>
      <c r="E1" s="38"/>
      <c r="F1" s="38"/>
      <c r="G1" s="28"/>
      <c r="H1" s="28"/>
    </row>
    <row r="2" spans="1:8" s="5" customFormat="1" ht="24.95" customHeight="1">
      <c r="A2" s="32" t="s">
        <v>50</v>
      </c>
      <c r="B2" s="33" t="s">
        <v>48</v>
      </c>
      <c r="C2" s="34"/>
      <c r="D2" s="39" t="s">
        <v>114</v>
      </c>
      <c r="E2" s="40"/>
      <c r="F2" s="41"/>
    </row>
    <row r="3" spans="1:8" s="8" customFormat="1" ht="24.95" customHeight="1">
      <c r="A3" s="35"/>
      <c r="B3" s="14"/>
      <c r="C3" s="14"/>
      <c r="D3" s="39" t="s">
        <v>51</v>
      </c>
      <c r="E3" s="40"/>
      <c r="F3" s="41"/>
    </row>
    <row r="4" spans="1:8" ht="48" customHeight="1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7" t="s">
        <v>115</v>
      </c>
    </row>
    <row r="5" spans="1:8" ht="30.75" customHeight="1">
      <c r="A5" s="42">
        <v>1</v>
      </c>
      <c r="B5" s="23" t="s">
        <v>6</v>
      </c>
      <c r="C5" s="23" t="s">
        <v>6</v>
      </c>
      <c r="D5" s="23" t="s">
        <v>96</v>
      </c>
      <c r="E5" s="23" t="s">
        <v>14</v>
      </c>
      <c r="F5" s="36">
        <v>1</v>
      </c>
    </row>
    <row r="6" spans="1:8" ht="27.75" customHeight="1">
      <c r="A6" s="43"/>
      <c r="B6" s="23" t="s">
        <v>6</v>
      </c>
      <c r="C6" s="23" t="s">
        <v>17</v>
      </c>
      <c r="D6" s="23" t="s">
        <v>92</v>
      </c>
      <c r="E6" s="23" t="s">
        <v>67</v>
      </c>
      <c r="F6" s="36">
        <v>2</v>
      </c>
    </row>
    <row r="7" spans="1:8" ht="30" customHeight="1">
      <c r="A7" s="44"/>
      <c r="B7" s="23" t="s">
        <v>24</v>
      </c>
      <c r="C7" s="23" t="s">
        <v>25</v>
      </c>
      <c r="D7" s="23" t="s">
        <v>66</v>
      </c>
      <c r="E7" s="23" t="s">
        <v>67</v>
      </c>
      <c r="F7" s="36">
        <v>3</v>
      </c>
    </row>
  </sheetData>
  <mergeCells count="4">
    <mergeCell ref="A1:F1"/>
    <mergeCell ref="D2:F2"/>
    <mergeCell ref="D3:F3"/>
    <mergeCell ref="A5:A7"/>
  </mergeCells>
  <pageMargins left="2.5000000000000001E-2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view="pageLayout" workbookViewId="0">
      <selection activeCell="D15" sqref="D1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1.28515625" customWidth="1"/>
    <col min="5" max="5" width="11.85546875" customWidth="1"/>
    <col min="6" max="6" width="10.28515625" style="10" customWidth="1"/>
  </cols>
  <sheetData>
    <row r="1" spans="1:8">
      <c r="A1" s="38" t="s">
        <v>35</v>
      </c>
      <c r="B1" s="38"/>
      <c r="C1" s="38"/>
      <c r="D1" s="38"/>
      <c r="E1" s="38"/>
      <c r="F1" s="38"/>
      <c r="G1" s="28"/>
      <c r="H1" s="28"/>
    </row>
    <row r="2" spans="1:8" s="5" customFormat="1" ht="24.95" customHeight="1">
      <c r="A2" s="32" t="s">
        <v>50</v>
      </c>
      <c r="B2" s="33" t="s">
        <v>48</v>
      </c>
      <c r="C2" s="34"/>
      <c r="D2" s="39" t="s">
        <v>31</v>
      </c>
      <c r="E2" s="40"/>
      <c r="F2" s="41"/>
    </row>
    <row r="3" spans="1:8" s="8" customFormat="1" ht="24.95" customHeight="1">
      <c r="A3" s="35"/>
      <c r="B3" s="14"/>
      <c r="C3" s="14"/>
      <c r="D3" s="39" t="s">
        <v>51</v>
      </c>
      <c r="E3" s="40"/>
      <c r="F3" s="41"/>
    </row>
    <row r="4" spans="1:8" ht="30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7" t="s">
        <v>115</v>
      </c>
    </row>
    <row r="5" spans="1:8" ht="24.75" customHeight="1">
      <c r="A5" s="42">
        <v>1</v>
      </c>
      <c r="B5" s="23" t="s">
        <v>7</v>
      </c>
      <c r="C5" s="23" t="s">
        <v>8</v>
      </c>
      <c r="D5" s="23" t="s">
        <v>102</v>
      </c>
      <c r="E5" s="23" t="s">
        <v>21</v>
      </c>
      <c r="F5" s="36">
        <v>4</v>
      </c>
    </row>
    <row r="6" spans="1:8" ht="36.75" customHeight="1">
      <c r="A6" s="43"/>
      <c r="B6" s="23" t="s">
        <v>24</v>
      </c>
      <c r="C6" s="23" t="s">
        <v>25</v>
      </c>
      <c r="D6" s="23" t="s">
        <v>63</v>
      </c>
      <c r="E6" s="23" t="s">
        <v>64</v>
      </c>
      <c r="F6" s="36">
        <v>5</v>
      </c>
    </row>
    <row r="7" spans="1:8" ht="45" customHeight="1">
      <c r="A7" s="44"/>
      <c r="B7" s="23" t="s">
        <v>24</v>
      </c>
      <c r="C7" s="23" t="s">
        <v>25</v>
      </c>
      <c r="D7" s="23" t="s">
        <v>73</v>
      </c>
      <c r="E7" s="23" t="s">
        <v>74</v>
      </c>
      <c r="F7" s="36">
        <v>6</v>
      </c>
    </row>
  </sheetData>
  <mergeCells count="4">
    <mergeCell ref="A1:F1"/>
    <mergeCell ref="A5:A7"/>
    <mergeCell ref="D2:F2"/>
    <mergeCell ref="D3:F3"/>
  </mergeCells>
  <pageMargins left="2.5000000000000001E-2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showWhiteSpace="0" view="pageLayout" workbookViewId="0">
      <selection activeCell="E13" sqref="E13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10" customWidth="1"/>
    <col min="9" max="9" width="10.28515625" style="10" customWidth="1"/>
  </cols>
  <sheetData>
    <row r="1" spans="1:11">
      <c r="A1" s="45" t="s">
        <v>35</v>
      </c>
      <c r="B1" s="45"/>
      <c r="C1" s="45"/>
      <c r="D1" s="45"/>
      <c r="E1" s="45"/>
      <c r="F1" s="45"/>
      <c r="G1" s="45"/>
      <c r="H1" s="45"/>
      <c r="I1" s="45"/>
      <c r="J1" s="28"/>
      <c r="K1" s="28"/>
    </row>
    <row r="2" spans="1:11" s="5" customFormat="1" ht="24.95" customHeight="1">
      <c r="A2" s="1" t="s">
        <v>50</v>
      </c>
      <c r="B2" s="2" t="s">
        <v>48</v>
      </c>
      <c r="C2" s="4"/>
      <c r="D2" s="3"/>
      <c r="E2" s="3"/>
      <c r="F2" s="26" t="s">
        <v>31</v>
      </c>
      <c r="G2" s="3"/>
      <c r="H2" s="3"/>
      <c r="I2" s="3"/>
    </row>
    <row r="3" spans="1:11" s="8" customFormat="1" ht="24.95" customHeight="1">
      <c r="A3" s="6"/>
      <c r="B3" s="4"/>
      <c r="C3" s="4"/>
      <c r="D3" s="4"/>
      <c r="E3" s="4"/>
      <c r="F3" s="26" t="s">
        <v>51</v>
      </c>
      <c r="G3" s="4"/>
      <c r="H3" s="4"/>
      <c r="I3" s="4"/>
    </row>
    <row r="4" spans="1:11" ht="48" customHeight="1">
      <c r="A4" s="57" t="s">
        <v>32</v>
      </c>
      <c r="B4" s="57" t="s">
        <v>0</v>
      </c>
      <c r="C4" s="57" t="s">
        <v>1</v>
      </c>
      <c r="D4" s="57" t="s">
        <v>2</v>
      </c>
      <c r="E4" s="57" t="s">
        <v>3</v>
      </c>
      <c r="F4" s="57" t="s">
        <v>4</v>
      </c>
      <c r="G4" s="57" t="s">
        <v>5</v>
      </c>
      <c r="H4" s="58" t="s">
        <v>33</v>
      </c>
      <c r="I4" s="58" t="s">
        <v>34</v>
      </c>
    </row>
    <row r="5" spans="1:11">
      <c r="A5" s="29">
        <v>1</v>
      </c>
      <c r="B5" s="23" t="s">
        <v>16</v>
      </c>
      <c r="C5" s="23" t="s">
        <v>12</v>
      </c>
      <c r="D5" s="23" t="s">
        <v>52</v>
      </c>
      <c r="E5" s="23" t="s">
        <v>12</v>
      </c>
      <c r="F5" s="23" t="s">
        <v>53</v>
      </c>
      <c r="G5" s="23" t="s">
        <v>21</v>
      </c>
      <c r="H5" s="19">
        <v>1</v>
      </c>
      <c r="I5" s="19">
        <v>1</v>
      </c>
    </row>
    <row r="6" spans="1:11">
      <c r="A6" s="30"/>
      <c r="B6" s="23" t="s">
        <v>16</v>
      </c>
      <c r="C6" s="23" t="s">
        <v>12</v>
      </c>
      <c r="D6" s="23" t="s">
        <v>52</v>
      </c>
      <c r="E6" s="23" t="s">
        <v>12</v>
      </c>
      <c r="F6" s="23" t="s">
        <v>54</v>
      </c>
      <c r="G6" s="23" t="s">
        <v>26</v>
      </c>
      <c r="H6" s="19">
        <v>2</v>
      </c>
      <c r="I6" s="19">
        <v>2</v>
      </c>
    </row>
    <row r="7" spans="1:11">
      <c r="A7" s="30"/>
      <c r="B7" s="23" t="s">
        <v>16</v>
      </c>
      <c r="C7" s="23" t="s">
        <v>12</v>
      </c>
      <c r="D7" s="23" t="s">
        <v>52</v>
      </c>
      <c r="E7" s="23" t="s">
        <v>12</v>
      </c>
      <c r="F7" s="23" t="s">
        <v>55</v>
      </c>
      <c r="G7" s="23" t="s">
        <v>56</v>
      </c>
      <c r="H7" s="19">
        <v>3</v>
      </c>
      <c r="I7" s="19">
        <v>3</v>
      </c>
    </row>
    <row r="8" spans="1:11">
      <c r="A8" s="30"/>
      <c r="B8" s="23" t="s">
        <v>16</v>
      </c>
      <c r="C8" s="23" t="s">
        <v>12</v>
      </c>
      <c r="D8" s="23" t="s">
        <v>57</v>
      </c>
      <c r="E8" s="23" t="s">
        <v>17</v>
      </c>
      <c r="F8" s="23" t="s">
        <v>58</v>
      </c>
      <c r="G8" s="23" t="s">
        <v>14</v>
      </c>
      <c r="H8" s="19">
        <v>1</v>
      </c>
      <c r="I8" s="19">
        <v>4</v>
      </c>
    </row>
    <row r="9" spans="1:11">
      <c r="A9" s="30"/>
      <c r="B9" s="23" t="s">
        <v>16</v>
      </c>
      <c r="C9" s="23" t="s">
        <v>12</v>
      </c>
      <c r="D9" s="23" t="s">
        <v>57</v>
      </c>
      <c r="E9" s="23" t="s">
        <v>17</v>
      </c>
      <c r="F9" s="23" t="s">
        <v>59</v>
      </c>
      <c r="G9" s="23" t="s">
        <v>60</v>
      </c>
      <c r="H9" s="19">
        <v>2</v>
      </c>
      <c r="I9" s="19">
        <v>5</v>
      </c>
    </row>
    <row r="10" spans="1:11">
      <c r="A10" s="30"/>
      <c r="B10" s="23" t="s">
        <v>16</v>
      </c>
      <c r="C10" s="23" t="s">
        <v>12</v>
      </c>
      <c r="D10" s="23" t="s">
        <v>57</v>
      </c>
      <c r="E10" s="23" t="s">
        <v>17</v>
      </c>
      <c r="F10" s="23" t="s">
        <v>61</v>
      </c>
      <c r="G10" s="23" t="s">
        <v>28</v>
      </c>
      <c r="H10" s="19">
        <v>3</v>
      </c>
      <c r="I10" s="19">
        <v>6</v>
      </c>
    </row>
    <row r="11" spans="1:11">
      <c r="A11" s="30"/>
      <c r="B11" s="23" t="s">
        <v>15</v>
      </c>
      <c r="C11" s="23" t="s">
        <v>24</v>
      </c>
      <c r="D11" s="23" t="s">
        <v>56</v>
      </c>
      <c r="E11" s="23" t="s">
        <v>25</v>
      </c>
      <c r="F11" s="23" t="s">
        <v>62</v>
      </c>
      <c r="G11" s="23" t="s">
        <v>30</v>
      </c>
      <c r="H11" s="19">
        <v>1</v>
      </c>
      <c r="I11" s="19">
        <v>7</v>
      </c>
    </row>
    <row r="12" spans="1:11">
      <c r="A12" s="30"/>
      <c r="B12" s="23" t="s">
        <v>15</v>
      </c>
      <c r="C12" s="23" t="s">
        <v>24</v>
      </c>
      <c r="D12" s="23" t="s">
        <v>56</v>
      </c>
      <c r="E12" s="23" t="s">
        <v>25</v>
      </c>
      <c r="F12" s="23" t="s">
        <v>63</v>
      </c>
      <c r="G12" s="23" t="s">
        <v>64</v>
      </c>
      <c r="H12" s="19">
        <v>2</v>
      </c>
      <c r="I12" s="25">
        <v>8</v>
      </c>
    </row>
    <row r="13" spans="1:11">
      <c r="A13" s="30"/>
      <c r="B13" s="23" t="s">
        <v>15</v>
      </c>
      <c r="C13" s="23" t="s">
        <v>24</v>
      </c>
      <c r="D13" s="23" t="s">
        <v>56</v>
      </c>
      <c r="E13" s="23" t="s">
        <v>25</v>
      </c>
      <c r="F13" s="23" t="s">
        <v>65</v>
      </c>
      <c r="G13" s="23" t="s">
        <v>13</v>
      </c>
      <c r="H13" s="19">
        <v>3</v>
      </c>
      <c r="I13" s="19">
        <v>9</v>
      </c>
    </row>
    <row r="14" spans="1:11">
      <c r="A14" s="30"/>
      <c r="B14" s="23" t="s">
        <v>15</v>
      </c>
      <c r="C14" s="23" t="s">
        <v>24</v>
      </c>
      <c r="D14" s="23" t="s">
        <v>56</v>
      </c>
      <c r="E14" s="23" t="s">
        <v>25</v>
      </c>
      <c r="F14" s="23" t="s">
        <v>66</v>
      </c>
      <c r="G14" s="23" t="s">
        <v>67</v>
      </c>
      <c r="H14" s="19">
        <v>4</v>
      </c>
      <c r="I14" s="24">
        <v>10</v>
      </c>
    </row>
    <row r="15" spans="1:11">
      <c r="A15" s="30"/>
      <c r="B15" s="23" t="s">
        <v>15</v>
      </c>
      <c r="C15" s="23" t="s">
        <v>24</v>
      </c>
      <c r="D15" s="23" t="s">
        <v>56</v>
      </c>
      <c r="E15" s="23" t="s">
        <v>25</v>
      </c>
      <c r="F15" s="23" t="s">
        <v>68</v>
      </c>
      <c r="G15" s="23" t="s">
        <v>23</v>
      </c>
      <c r="H15" s="19">
        <v>5</v>
      </c>
      <c r="I15" s="19">
        <v>11</v>
      </c>
    </row>
    <row r="16" spans="1:11">
      <c r="A16" s="30"/>
      <c r="B16" s="23" t="s">
        <v>15</v>
      </c>
      <c r="C16" s="23" t="s">
        <v>24</v>
      </c>
      <c r="D16" s="23" t="s">
        <v>56</v>
      </c>
      <c r="E16" s="23" t="s">
        <v>25</v>
      </c>
      <c r="F16" s="23" t="s">
        <v>69</v>
      </c>
      <c r="G16" s="23" t="s">
        <v>70</v>
      </c>
      <c r="H16" s="19">
        <v>6</v>
      </c>
      <c r="I16" s="19">
        <v>12</v>
      </c>
    </row>
    <row r="17" spans="1:9">
      <c r="A17" s="30"/>
      <c r="B17" s="23" t="s">
        <v>15</v>
      </c>
      <c r="C17" s="23" t="s">
        <v>24</v>
      </c>
      <c r="D17" s="23" t="s">
        <v>56</v>
      </c>
      <c r="E17" s="23" t="s">
        <v>25</v>
      </c>
      <c r="F17" s="23" t="s">
        <v>71</v>
      </c>
      <c r="G17" s="23" t="s">
        <v>72</v>
      </c>
      <c r="H17" s="19">
        <v>7</v>
      </c>
      <c r="I17" s="19">
        <v>13</v>
      </c>
    </row>
    <row r="18" spans="1:9">
      <c r="A18" s="30"/>
      <c r="B18" s="23" t="s">
        <v>15</v>
      </c>
      <c r="C18" s="23" t="s">
        <v>24</v>
      </c>
      <c r="D18" s="23" t="s">
        <v>56</v>
      </c>
      <c r="E18" s="23" t="s">
        <v>25</v>
      </c>
      <c r="F18" s="23" t="s">
        <v>73</v>
      </c>
      <c r="G18" s="23" t="s">
        <v>74</v>
      </c>
      <c r="H18" s="19">
        <v>8</v>
      </c>
      <c r="I18" s="25">
        <v>14</v>
      </c>
    </row>
    <row r="19" spans="1:9">
      <c r="A19" s="30"/>
      <c r="B19" s="23" t="s">
        <v>15</v>
      </c>
      <c r="C19" s="23" t="s">
        <v>24</v>
      </c>
      <c r="D19" s="23" t="s">
        <v>56</v>
      </c>
      <c r="E19" s="23" t="s">
        <v>25</v>
      </c>
      <c r="F19" s="23" t="s">
        <v>75</v>
      </c>
      <c r="G19" s="23" t="s">
        <v>10</v>
      </c>
      <c r="H19" s="19">
        <v>9</v>
      </c>
      <c r="I19" s="19">
        <v>15</v>
      </c>
    </row>
    <row r="20" spans="1:9">
      <c r="A20" s="30"/>
      <c r="B20" s="23" t="s">
        <v>15</v>
      </c>
      <c r="C20" s="23" t="s">
        <v>24</v>
      </c>
      <c r="D20" s="23" t="s">
        <v>56</v>
      </c>
      <c r="E20" s="23" t="s">
        <v>25</v>
      </c>
      <c r="F20" s="23" t="s">
        <v>76</v>
      </c>
      <c r="G20" s="23" t="s">
        <v>77</v>
      </c>
      <c r="H20" s="19">
        <v>10</v>
      </c>
      <c r="I20" s="19">
        <v>16</v>
      </c>
    </row>
    <row r="21" spans="1:9">
      <c r="A21" s="30"/>
      <c r="B21" s="23" t="s">
        <v>15</v>
      </c>
      <c r="C21" s="23" t="s">
        <v>24</v>
      </c>
      <c r="D21" s="23" t="s">
        <v>56</v>
      </c>
      <c r="E21" s="23" t="s">
        <v>25</v>
      </c>
      <c r="F21" s="23" t="s">
        <v>78</v>
      </c>
      <c r="G21" s="23" t="s">
        <v>79</v>
      </c>
      <c r="H21" s="19">
        <v>11</v>
      </c>
      <c r="I21" s="19">
        <v>17</v>
      </c>
    </row>
    <row r="22" spans="1:9">
      <c r="A22" s="30"/>
      <c r="B22" s="23" t="s">
        <v>26</v>
      </c>
      <c r="C22" s="23" t="s">
        <v>6</v>
      </c>
      <c r="D22" s="23" t="s">
        <v>67</v>
      </c>
      <c r="E22" s="23" t="s">
        <v>8</v>
      </c>
      <c r="F22" s="23" t="s">
        <v>80</v>
      </c>
      <c r="G22" s="23" t="s">
        <v>81</v>
      </c>
      <c r="H22" s="19">
        <v>1</v>
      </c>
      <c r="I22" s="19">
        <v>18</v>
      </c>
    </row>
    <row r="23" spans="1:9">
      <c r="A23" s="30"/>
      <c r="B23" s="23" t="s">
        <v>26</v>
      </c>
      <c r="C23" s="23" t="s">
        <v>6</v>
      </c>
      <c r="D23" s="23" t="s">
        <v>18</v>
      </c>
      <c r="E23" s="23" t="s">
        <v>19</v>
      </c>
      <c r="F23" s="23" t="s">
        <v>82</v>
      </c>
      <c r="G23" s="23" t="s">
        <v>83</v>
      </c>
      <c r="H23" s="19">
        <v>1</v>
      </c>
      <c r="I23" s="19">
        <v>19</v>
      </c>
    </row>
    <row r="24" spans="1:9">
      <c r="A24" s="30"/>
      <c r="B24" s="23" t="s">
        <v>26</v>
      </c>
      <c r="C24" s="23" t="s">
        <v>6</v>
      </c>
      <c r="D24" s="23" t="s">
        <v>18</v>
      </c>
      <c r="E24" s="23" t="s">
        <v>19</v>
      </c>
      <c r="F24" s="23" t="s">
        <v>20</v>
      </c>
      <c r="G24" s="23" t="s">
        <v>27</v>
      </c>
      <c r="H24" s="19">
        <v>2</v>
      </c>
      <c r="I24" s="19">
        <v>20</v>
      </c>
    </row>
    <row r="25" spans="1:9">
      <c r="A25" s="30"/>
      <c r="B25" s="23" t="s">
        <v>26</v>
      </c>
      <c r="C25" s="23" t="s">
        <v>6</v>
      </c>
      <c r="D25" s="23" t="s">
        <v>18</v>
      </c>
      <c r="E25" s="23" t="s">
        <v>19</v>
      </c>
      <c r="F25" s="23" t="s">
        <v>84</v>
      </c>
      <c r="G25" s="23" t="s">
        <v>85</v>
      </c>
      <c r="H25" s="19">
        <v>3</v>
      </c>
      <c r="I25" s="19">
        <v>21</v>
      </c>
    </row>
    <row r="26" spans="1:9">
      <c r="A26" s="30"/>
      <c r="B26" s="23" t="s">
        <v>26</v>
      </c>
      <c r="C26" s="23" t="s">
        <v>6</v>
      </c>
      <c r="D26" s="23" t="s">
        <v>18</v>
      </c>
      <c r="E26" s="23" t="s">
        <v>19</v>
      </c>
      <c r="F26" s="23" t="s">
        <v>86</v>
      </c>
      <c r="G26" s="23" t="s">
        <v>64</v>
      </c>
      <c r="H26" s="19">
        <v>4</v>
      </c>
      <c r="I26" s="19">
        <v>22</v>
      </c>
    </row>
    <row r="27" spans="1:9">
      <c r="A27" s="30"/>
      <c r="B27" s="23" t="s">
        <v>26</v>
      </c>
      <c r="C27" s="23" t="s">
        <v>6</v>
      </c>
      <c r="D27" s="23" t="s">
        <v>18</v>
      </c>
      <c r="E27" s="23" t="s">
        <v>19</v>
      </c>
      <c r="F27" s="23" t="s">
        <v>87</v>
      </c>
      <c r="G27" s="23" t="s">
        <v>88</v>
      </c>
      <c r="H27" s="19">
        <v>5</v>
      </c>
      <c r="I27" s="19">
        <v>23</v>
      </c>
    </row>
    <row r="28" spans="1:9">
      <c r="A28" s="30"/>
      <c r="B28" s="23" t="s">
        <v>26</v>
      </c>
      <c r="C28" s="23" t="s">
        <v>6</v>
      </c>
      <c r="D28" s="23" t="s">
        <v>18</v>
      </c>
      <c r="E28" s="23" t="s">
        <v>19</v>
      </c>
      <c r="F28" s="23" t="s">
        <v>89</v>
      </c>
      <c r="G28" s="23" t="s">
        <v>90</v>
      </c>
      <c r="H28" s="19">
        <v>6</v>
      </c>
      <c r="I28" s="19">
        <v>24</v>
      </c>
    </row>
    <row r="29" spans="1:9">
      <c r="A29" s="30"/>
      <c r="B29" s="23" t="s">
        <v>26</v>
      </c>
      <c r="C29" s="23" t="s">
        <v>6</v>
      </c>
      <c r="D29" s="23" t="s">
        <v>18</v>
      </c>
      <c r="E29" s="23" t="s">
        <v>19</v>
      </c>
      <c r="F29" s="23" t="s">
        <v>91</v>
      </c>
      <c r="G29" s="23" t="s">
        <v>9</v>
      </c>
      <c r="H29" s="19">
        <v>7</v>
      </c>
      <c r="I29" s="19">
        <v>25</v>
      </c>
    </row>
    <row r="30" spans="1:9">
      <c r="A30" s="30"/>
      <c r="B30" s="23" t="s">
        <v>26</v>
      </c>
      <c r="C30" s="23" t="s">
        <v>6</v>
      </c>
      <c r="D30" s="23" t="s">
        <v>57</v>
      </c>
      <c r="E30" s="23" t="s">
        <v>17</v>
      </c>
      <c r="F30" s="23" t="s">
        <v>92</v>
      </c>
      <c r="G30" s="23" t="s">
        <v>67</v>
      </c>
      <c r="H30" s="19">
        <v>1</v>
      </c>
      <c r="I30" s="24">
        <v>26</v>
      </c>
    </row>
    <row r="31" spans="1:9">
      <c r="A31" s="30"/>
      <c r="B31" s="23" t="s">
        <v>26</v>
      </c>
      <c r="C31" s="23" t="s">
        <v>6</v>
      </c>
      <c r="D31" s="23" t="s">
        <v>57</v>
      </c>
      <c r="E31" s="23" t="s">
        <v>17</v>
      </c>
      <c r="F31" s="23" t="s">
        <v>93</v>
      </c>
      <c r="G31" s="23" t="s">
        <v>29</v>
      </c>
      <c r="H31" s="19">
        <v>2</v>
      </c>
      <c r="I31" s="19">
        <v>27</v>
      </c>
    </row>
    <row r="32" spans="1:9">
      <c r="A32" s="30"/>
      <c r="B32" s="23" t="s">
        <v>26</v>
      </c>
      <c r="C32" s="23" t="s">
        <v>6</v>
      </c>
      <c r="D32" s="23" t="s">
        <v>13</v>
      </c>
      <c r="E32" s="23" t="s">
        <v>6</v>
      </c>
      <c r="F32" s="23" t="s">
        <v>94</v>
      </c>
      <c r="G32" s="23" t="s">
        <v>95</v>
      </c>
      <c r="H32" s="19">
        <v>1</v>
      </c>
      <c r="I32" s="19">
        <v>28</v>
      </c>
    </row>
    <row r="33" spans="1:9">
      <c r="A33" s="30"/>
      <c r="B33" s="23" t="s">
        <v>26</v>
      </c>
      <c r="C33" s="23" t="s">
        <v>6</v>
      </c>
      <c r="D33" s="23" t="s">
        <v>13</v>
      </c>
      <c r="E33" s="23" t="s">
        <v>6</v>
      </c>
      <c r="F33" s="23" t="s">
        <v>96</v>
      </c>
      <c r="G33" s="23" t="s">
        <v>14</v>
      </c>
      <c r="H33" s="19">
        <v>2</v>
      </c>
      <c r="I33" s="24">
        <v>29</v>
      </c>
    </row>
    <row r="34" spans="1:9">
      <c r="A34" s="30"/>
      <c r="B34" s="23" t="s">
        <v>26</v>
      </c>
      <c r="C34" s="23" t="s">
        <v>6</v>
      </c>
      <c r="D34" s="23" t="s">
        <v>13</v>
      </c>
      <c r="E34" s="23" t="s">
        <v>6</v>
      </c>
      <c r="F34" s="23" t="s">
        <v>22</v>
      </c>
      <c r="G34" s="23" t="s">
        <v>70</v>
      </c>
      <c r="H34" s="19">
        <v>3</v>
      </c>
      <c r="I34" s="19">
        <v>30</v>
      </c>
    </row>
    <row r="35" spans="1:9">
      <c r="A35" s="30"/>
      <c r="B35" s="23" t="s">
        <v>26</v>
      </c>
      <c r="C35" s="23" t="s">
        <v>6</v>
      </c>
      <c r="D35" s="23" t="s">
        <v>13</v>
      </c>
      <c r="E35" s="23" t="s">
        <v>6</v>
      </c>
      <c r="F35" s="23" t="s">
        <v>97</v>
      </c>
      <c r="G35" s="23" t="s">
        <v>98</v>
      </c>
      <c r="H35" s="19">
        <v>4</v>
      </c>
      <c r="I35" s="19">
        <v>31</v>
      </c>
    </row>
    <row r="36" spans="1:9">
      <c r="A36" s="30"/>
      <c r="B36" s="23" t="s">
        <v>11</v>
      </c>
      <c r="C36" s="23" t="s">
        <v>7</v>
      </c>
      <c r="D36" s="23" t="s">
        <v>52</v>
      </c>
      <c r="E36" s="23" t="s">
        <v>12</v>
      </c>
      <c r="F36" s="23" t="s">
        <v>99</v>
      </c>
      <c r="G36" s="23" t="s">
        <v>18</v>
      </c>
      <c r="H36" s="19">
        <v>1</v>
      </c>
      <c r="I36" s="19">
        <v>32</v>
      </c>
    </row>
    <row r="37" spans="1:9">
      <c r="A37" s="30"/>
      <c r="B37" s="23" t="s">
        <v>11</v>
      </c>
      <c r="C37" s="23" t="s">
        <v>7</v>
      </c>
      <c r="D37" s="23" t="s">
        <v>52</v>
      </c>
      <c r="E37" s="23" t="s">
        <v>12</v>
      </c>
      <c r="F37" s="23" t="s">
        <v>100</v>
      </c>
      <c r="G37" s="23" t="s">
        <v>67</v>
      </c>
      <c r="H37" s="19">
        <v>2</v>
      </c>
      <c r="I37" s="19">
        <v>33</v>
      </c>
    </row>
    <row r="38" spans="1:9">
      <c r="A38" s="30"/>
      <c r="B38" s="23" t="s">
        <v>11</v>
      </c>
      <c r="C38" s="23" t="s">
        <v>7</v>
      </c>
      <c r="D38" s="23" t="s">
        <v>52</v>
      </c>
      <c r="E38" s="23" t="s">
        <v>12</v>
      </c>
      <c r="F38" s="23" t="s">
        <v>101</v>
      </c>
      <c r="G38" s="23" t="s">
        <v>52</v>
      </c>
      <c r="H38" s="19">
        <v>3</v>
      </c>
      <c r="I38" s="19">
        <v>34</v>
      </c>
    </row>
    <row r="39" spans="1:9">
      <c r="A39" s="30"/>
      <c r="B39" s="23" t="s">
        <v>11</v>
      </c>
      <c r="C39" s="23" t="s">
        <v>7</v>
      </c>
      <c r="D39" s="23" t="s">
        <v>67</v>
      </c>
      <c r="E39" s="23" t="s">
        <v>8</v>
      </c>
      <c r="F39" s="23" t="s">
        <v>102</v>
      </c>
      <c r="G39" s="23" t="s">
        <v>21</v>
      </c>
      <c r="H39" s="19">
        <v>1</v>
      </c>
      <c r="I39" s="25">
        <v>35</v>
      </c>
    </row>
    <row r="40" spans="1:9">
      <c r="A40" s="30"/>
      <c r="B40" s="23" t="s">
        <v>11</v>
      </c>
      <c r="C40" s="23" t="s">
        <v>7</v>
      </c>
      <c r="D40" s="23" t="s">
        <v>67</v>
      </c>
      <c r="E40" s="23" t="s">
        <v>8</v>
      </c>
      <c r="F40" s="23" t="s">
        <v>103</v>
      </c>
      <c r="G40" s="23" t="s">
        <v>26</v>
      </c>
      <c r="H40" s="19">
        <v>2</v>
      </c>
      <c r="I40" s="19">
        <v>36</v>
      </c>
    </row>
    <row r="41" spans="1:9">
      <c r="A41" s="30"/>
      <c r="B41" s="23" t="s">
        <v>11</v>
      </c>
      <c r="C41" s="23" t="s">
        <v>7</v>
      </c>
      <c r="D41" s="23" t="s">
        <v>67</v>
      </c>
      <c r="E41" s="23" t="s">
        <v>8</v>
      </c>
      <c r="F41" s="23" t="s">
        <v>104</v>
      </c>
      <c r="G41" s="23" t="s">
        <v>81</v>
      </c>
      <c r="H41" s="19">
        <v>3</v>
      </c>
      <c r="I41" s="19">
        <v>37</v>
      </c>
    </row>
    <row r="42" spans="1:9">
      <c r="A42" s="30"/>
      <c r="B42" s="23" t="s">
        <v>11</v>
      </c>
      <c r="C42" s="23" t="s">
        <v>7</v>
      </c>
      <c r="D42" s="23" t="s">
        <v>67</v>
      </c>
      <c r="E42" s="23" t="s">
        <v>8</v>
      </c>
      <c r="F42" s="23" t="s">
        <v>105</v>
      </c>
      <c r="G42" s="23" t="s">
        <v>70</v>
      </c>
      <c r="H42" s="19">
        <v>4</v>
      </c>
      <c r="I42" s="19">
        <v>38</v>
      </c>
    </row>
    <row r="43" spans="1:9">
      <c r="A43" s="31"/>
      <c r="B43" s="23" t="s">
        <v>11</v>
      </c>
      <c r="C43" s="23" t="s">
        <v>7</v>
      </c>
      <c r="D43" s="23" t="s">
        <v>67</v>
      </c>
      <c r="E43" s="23" t="s">
        <v>8</v>
      </c>
      <c r="F43" s="23" t="s">
        <v>106</v>
      </c>
      <c r="G43" s="23" t="s">
        <v>107</v>
      </c>
      <c r="H43" s="19">
        <v>5</v>
      </c>
      <c r="I43" s="19">
        <v>39</v>
      </c>
    </row>
  </sheetData>
  <mergeCells count="1">
    <mergeCell ref="A1:I1"/>
  </mergeCells>
  <pageMargins left="2.5000000000000001E-2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tabSelected="1" view="pageLayout" workbookViewId="0">
      <selection sqref="A1:K1"/>
    </sheetView>
  </sheetViews>
  <sheetFormatPr defaultColWidth="20.7109375" defaultRowHeight="24.95" customHeight="1"/>
  <cols>
    <col min="1" max="1" width="10.140625" style="18" customWidth="1"/>
    <col min="2" max="2" width="19.42578125" style="7" customWidth="1"/>
    <col min="3" max="3" width="17" style="7" customWidth="1"/>
    <col min="4" max="4" width="13.28515625" style="4" customWidth="1"/>
    <col min="5" max="5" width="12.1406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45" t="s">
        <v>35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2" ht="24.95" customHeight="1">
      <c r="A2" s="45" t="s">
        <v>36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2" s="5" customFormat="1" ht="24.95" customHeight="1">
      <c r="A3" s="1" t="s">
        <v>50</v>
      </c>
      <c r="B3" s="2" t="s">
        <v>48</v>
      </c>
      <c r="C3" s="26"/>
      <c r="D3" s="27"/>
      <c r="E3" s="27"/>
      <c r="F3" s="26"/>
      <c r="G3" s="52" t="s">
        <v>31</v>
      </c>
      <c r="H3" s="52"/>
      <c r="I3" s="52"/>
      <c r="J3" s="52"/>
      <c r="K3" s="52"/>
    </row>
    <row r="4" spans="1:12" ht="24.95" customHeight="1">
      <c r="A4" s="6"/>
      <c r="B4" s="28"/>
      <c r="C4" s="28"/>
      <c r="D4" s="27"/>
      <c r="E4" s="27"/>
      <c r="F4" s="27"/>
      <c r="G4" s="27"/>
      <c r="H4" s="27" t="s">
        <v>51</v>
      </c>
      <c r="I4" s="27"/>
      <c r="J4" s="27"/>
      <c r="K4" s="27"/>
    </row>
    <row r="5" spans="1:12" ht="46.5" customHeight="1">
      <c r="A5" s="53" t="s">
        <v>37</v>
      </c>
      <c r="B5" s="51" t="s">
        <v>38</v>
      </c>
      <c r="C5" s="51" t="s">
        <v>39</v>
      </c>
      <c r="D5" s="51" t="s">
        <v>40</v>
      </c>
      <c r="E5" s="54" t="s">
        <v>41</v>
      </c>
      <c r="F5" s="51" t="s">
        <v>42</v>
      </c>
      <c r="G5" s="51"/>
      <c r="H5" s="51" t="s">
        <v>43</v>
      </c>
      <c r="I5" s="51"/>
      <c r="J5" s="51" t="s">
        <v>44</v>
      </c>
      <c r="K5" s="51"/>
    </row>
    <row r="6" spans="1:12" ht="35.25" customHeight="1">
      <c r="A6" s="53"/>
      <c r="B6" s="51"/>
      <c r="C6" s="51"/>
      <c r="D6" s="51"/>
      <c r="E6" s="55"/>
      <c r="F6" s="11" t="s">
        <v>45</v>
      </c>
      <c r="G6" s="11" t="s">
        <v>46</v>
      </c>
      <c r="H6" s="11" t="s">
        <v>45</v>
      </c>
      <c r="I6" s="11" t="s">
        <v>46</v>
      </c>
      <c r="J6" s="11" t="s">
        <v>45</v>
      </c>
      <c r="K6" s="11" t="s">
        <v>46</v>
      </c>
    </row>
    <row r="7" spans="1:12" ht="30" customHeight="1">
      <c r="A7" s="48">
        <v>1</v>
      </c>
      <c r="B7" s="22" t="s">
        <v>24</v>
      </c>
      <c r="C7" s="12" t="s">
        <v>25</v>
      </c>
      <c r="D7" s="13">
        <v>11</v>
      </c>
      <c r="E7" s="13">
        <f>D7</f>
        <v>11</v>
      </c>
      <c r="F7" s="14"/>
      <c r="G7" s="14"/>
      <c r="H7" s="14"/>
      <c r="I7" s="14"/>
      <c r="J7" s="14" t="s">
        <v>108</v>
      </c>
      <c r="K7" s="14" t="s">
        <v>111</v>
      </c>
      <c r="L7" s="15"/>
    </row>
    <row r="8" spans="1:12" ht="30" customHeight="1">
      <c r="A8" s="49"/>
      <c r="B8" s="46" t="s">
        <v>12</v>
      </c>
      <c r="C8" s="12" t="s">
        <v>17</v>
      </c>
      <c r="D8" s="14">
        <v>3</v>
      </c>
      <c r="E8" s="14">
        <f>D8+E7</f>
        <v>14</v>
      </c>
      <c r="F8" s="14"/>
      <c r="G8" s="14"/>
      <c r="H8" s="14"/>
      <c r="I8" s="14"/>
      <c r="J8" s="14" t="s">
        <v>109</v>
      </c>
      <c r="K8" s="14" t="s">
        <v>112</v>
      </c>
      <c r="L8" s="15"/>
    </row>
    <row r="9" spans="1:12" ht="28.5" customHeight="1">
      <c r="A9" s="49"/>
      <c r="B9" s="47"/>
      <c r="C9" s="12" t="s">
        <v>12</v>
      </c>
      <c r="D9" s="14">
        <v>3</v>
      </c>
      <c r="E9" s="14">
        <f t="shared" ref="E9:E14" si="0">D9+E8</f>
        <v>17</v>
      </c>
      <c r="F9" s="16"/>
      <c r="G9" s="16"/>
      <c r="H9" s="14"/>
      <c r="I9" s="14"/>
      <c r="J9" s="14" t="s">
        <v>110</v>
      </c>
      <c r="K9" s="14" t="s">
        <v>113</v>
      </c>
      <c r="L9" s="15"/>
    </row>
    <row r="10" spans="1:12" ht="28.5" customHeight="1">
      <c r="A10" s="49"/>
      <c r="B10" s="46" t="s">
        <v>49</v>
      </c>
      <c r="C10" s="12" t="s">
        <v>8</v>
      </c>
      <c r="D10" s="14">
        <v>1</v>
      </c>
      <c r="E10" s="14">
        <f t="shared" si="0"/>
        <v>18</v>
      </c>
      <c r="F10" s="16"/>
      <c r="G10" s="16"/>
      <c r="H10" s="14"/>
      <c r="I10" s="14"/>
      <c r="J10" s="14"/>
      <c r="K10" s="14"/>
      <c r="L10" s="15"/>
    </row>
    <row r="11" spans="1:12" ht="28.5" customHeight="1">
      <c r="A11" s="49"/>
      <c r="B11" s="56"/>
      <c r="C11" s="12" t="s">
        <v>17</v>
      </c>
      <c r="D11" s="14">
        <v>2</v>
      </c>
      <c r="E11" s="14">
        <f t="shared" si="0"/>
        <v>20</v>
      </c>
      <c r="F11" s="16"/>
      <c r="G11" s="16"/>
      <c r="H11" s="14"/>
      <c r="I11" s="14"/>
      <c r="J11" s="14"/>
      <c r="K11" s="17"/>
      <c r="L11" s="15"/>
    </row>
    <row r="12" spans="1:12" ht="28.5" customHeight="1">
      <c r="A12" s="49"/>
      <c r="B12" s="56"/>
      <c r="C12" s="12" t="s">
        <v>19</v>
      </c>
      <c r="D12" s="14">
        <v>7</v>
      </c>
      <c r="E12" s="14">
        <f t="shared" si="0"/>
        <v>27</v>
      </c>
      <c r="F12" s="16"/>
      <c r="G12" s="16"/>
      <c r="H12" s="14"/>
      <c r="I12" s="14"/>
      <c r="J12" s="14"/>
      <c r="K12" s="14"/>
      <c r="L12" s="15"/>
    </row>
    <row r="13" spans="1:12" ht="28.5" customHeight="1">
      <c r="A13" s="49"/>
      <c r="B13" s="47"/>
      <c r="C13" s="12" t="s">
        <v>49</v>
      </c>
      <c r="D13" s="14">
        <v>4</v>
      </c>
      <c r="E13" s="14">
        <f t="shared" si="0"/>
        <v>31</v>
      </c>
      <c r="F13" s="16"/>
      <c r="G13" s="16"/>
      <c r="H13" s="14"/>
      <c r="I13" s="14"/>
      <c r="J13" s="14"/>
      <c r="K13" s="14"/>
      <c r="L13" s="15"/>
    </row>
    <row r="14" spans="1:12" ht="28.5" customHeight="1">
      <c r="A14" s="49"/>
      <c r="B14" s="46" t="s">
        <v>7</v>
      </c>
      <c r="C14" s="12" t="s">
        <v>8</v>
      </c>
      <c r="D14" s="14">
        <v>5</v>
      </c>
      <c r="E14" s="14">
        <f t="shared" si="0"/>
        <v>36</v>
      </c>
      <c r="F14" s="16"/>
      <c r="G14" s="16"/>
      <c r="H14" s="14"/>
      <c r="I14" s="14"/>
      <c r="J14" s="14"/>
      <c r="K14" s="14"/>
      <c r="L14" s="15"/>
    </row>
    <row r="15" spans="1:12" ht="24.95" customHeight="1">
      <c r="A15" s="50"/>
      <c r="B15" s="47"/>
      <c r="C15" s="12" t="s">
        <v>12</v>
      </c>
      <c r="D15" s="14">
        <v>3</v>
      </c>
      <c r="E15" s="14">
        <v>39</v>
      </c>
      <c r="F15" s="14"/>
      <c r="G15" s="14"/>
      <c r="H15" s="14"/>
      <c r="I15" s="14"/>
      <c r="J15" s="14"/>
      <c r="K15" s="14"/>
      <c r="L15" s="15"/>
    </row>
    <row r="16" spans="1:12" ht="24.95" customHeight="1">
      <c r="A16" s="20"/>
      <c r="B16" s="12"/>
      <c r="C16" s="21" t="s">
        <v>47</v>
      </c>
      <c r="D16" s="16">
        <f>SUM(D7:D15)</f>
        <v>39</v>
      </c>
      <c r="E16" s="14"/>
      <c r="F16" s="16">
        <v>3</v>
      </c>
      <c r="G16" s="16">
        <v>3</v>
      </c>
      <c r="H16" s="16">
        <v>80</v>
      </c>
      <c r="I16" s="16">
        <v>80</v>
      </c>
      <c r="J16" s="14"/>
      <c r="K16" s="14"/>
      <c r="L16" s="15"/>
    </row>
  </sheetData>
  <mergeCells count="15">
    <mergeCell ref="B14:B15"/>
    <mergeCell ref="A7:A15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8:B9"/>
    <mergeCell ref="B10:B13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2025-06-30T08:45:30Z</cp:lastPrinted>
  <dcterms:created xsi:type="dcterms:W3CDTF">2025-06-18T07:57:44Z</dcterms:created>
  <dcterms:modified xsi:type="dcterms:W3CDTF">2026-06-16T12:26:10Z</dcterms:modified>
</cp:coreProperties>
</file>
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1840" windowHeight="13740" activeTab="3"/>
  </bookViews>
  <sheets>
    <sheet name="STRATUM WISE (CS)" sheetId="8" r:id="rId1"/>
    <sheet name="STRATUM WISE (SS)" sheetId="7" r:id="rId2"/>
    <sheet name="STRATUM WISE" sheetId="5" r:id="rId3"/>
    <sheet name="WORKING SHEET" sheetId="6" r:id="rId4"/>
  </sheets>
  <definedNames>
    <definedName name="_xlnm._FilterDatabase" localSheetId="2" hidden="1">'STRATUM WISE'!$A$4:$J$61</definedName>
    <definedName name="_xlnm._FilterDatabase" localSheetId="0" hidden="1">'STRATUM WISE (CS)'!$A$4:$G$11</definedName>
    <definedName name="_xlnm._FilterDatabase" localSheetId="1" hidden="1">'STRATUM WISE (SS)'!$A$4:$G$10</definedName>
    <definedName name="_xlnm.Print_Titles" localSheetId="2">'STRATUM WISE'!$3:$3</definedName>
    <definedName name="_xlnm.Print_Titles" localSheetId="0">'STRATUM WISE (CS)'!$3:$3</definedName>
    <definedName name="_xlnm.Print_Titles" localSheetId="1">'STRATUM WISE (SS)'!$3:$3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6"/>
  <c r="D16"/>
  <c r="D13"/>
  <c r="E10"/>
  <c r="E11" s="1"/>
  <c r="E8"/>
  <c r="E7"/>
  <c r="D9"/>
  <c r="D17" s="1"/>
  <c r="E12" l="1"/>
  <c r="E15" s="1"/>
</calcChain>
</file>

<file path=xl/sharedStrings.xml><?xml version="1.0" encoding="utf-8"?>
<sst xmlns="http://schemas.openxmlformats.org/spreadsheetml/2006/main" count="492" uniqueCount="158">
  <si>
    <t>TRS_TKCODE</t>
  </si>
  <si>
    <t>TRS_TKNAME</t>
  </si>
  <si>
    <t>TRS_BKCODE</t>
  </si>
  <si>
    <t>TRS_BKNAME</t>
  </si>
  <si>
    <t>VGNAME</t>
  </si>
  <si>
    <t>RV_CODE</t>
  </si>
  <si>
    <t>MAYILADUTHURAI</t>
  </si>
  <si>
    <t>PATTAVARTHI</t>
  </si>
  <si>
    <t>25</t>
  </si>
  <si>
    <t>41</t>
  </si>
  <si>
    <t>45</t>
  </si>
  <si>
    <t>21</t>
  </si>
  <si>
    <t>1</t>
  </si>
  <si>
    <t>58</t>
  </si>
  <si>
    <t>53</t>
  </si>
  <si>
    <t>60</t>
  </si>
  <si>
    <t>SIRKALI</t>
  </si>
  <si>
    <t>SEMBANARKOIL</t>
  </si>
  <si>
    <t>KOLLIDAM</t>
  </si>
  <si>
    <t>44</t>
  </si>
  <si>
    <t>11</t>
  </si>
  <si>
    <t>8</t>
  </si>
  <si>
    <t>18</t>
  </si>
  <si>
    <t>40</t>
  </si>
  <si>
    <t>15</t>
  </si>
  <si>
    <t>29</t>
  </si>
  <si>
    <t>THARANGAMPADI</t>
  </si>
  <si>
    <t>KUTTALAM</t>
  </si>
  <si>
    <t>50</t>
  </si>
  <si>
    <t>23</t>
  </si>
  <si>
    <t>33</t>
  </si>
  <si>
    <t>4</t>
  </si>
  <si>
    <t>10</t>
  </si>
  <si>
    <t>9</t>
  </si>
  <si>
    <t>12</t>
  </si>
  <si>
    <t>14</t>
  </si>
  <si>
    <t>7</t>
  </si>
  <si>
    <t xml:space="preserve">District: 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</si>
  <si>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</si>
  <si>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</si>
  <si>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</si>
  <si>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</si>
  <si>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</si>
  <si>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</si>
  <si>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</si>
  <si>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</si>
  <si>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</si>
  <si>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</si>
  <si>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</si>
  <si>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</si>
  <si>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</si>
  <si>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</si>
  <si>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</si>
  <si>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</si>
  <si>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MYLADUDURAI(38)</t>
  </si>
  <si>
    <t>03(1)</t>
  </si>
  <si>
    <t>09(2)</t>
  </si>
  <si>
    <t>Total</t>
  </si>
  <si>
    <t>Grand Total</t>
  </si>
  <si>
    <t>District:</t>
  </si>
  <si>
    <t>INAM THIRUVALANGADU</t>
  </si>
  <si>
    <t>12/1</t>
  </si>
  <si>
    <t>MELA PARUTHIKUDI</t>
  </si>
  <si>
    <t>47</t>
  </si>
  <si>
    <t>MELA AGALANGAN</t>
  </si>
  <si>
    <t>KOTHANGUDI</t>
  </si>
  <si>
    <t>ASIKADU</t>
  </si>
  <si>
    <t>ANANDHANALLUR</t>
  </si>
  <si>
    <t>THIRUMANANCHERI</t>
  </si>
  <si>
    <t>2</t>
  </si>
  <si>
    <t>PERUMALKOVIL</t>
  </si>
  <si>
    <t>THULASENTHIRAPURAM</t>
  </si>
  <si>
    <t>8/1</t>
  </si>
  <si>
    <t>MELAIYUR THULASENTHIRAPURAM</t>
  </si>
  <si>
    <t>9/1</t>
  </si>
  <si>
    <t>ALANGUDI</t>
  </si>
  <si>
    <t>INAM KUTTALAM</t>
  </si>
  <si>
    <t>6/1</t>
  </si>
  <si>
    <t>PATTAMANGALA ABISEGAKATTALAI</t>
  </si>
  <si>
    <t>51/1</t>
  </si>
  <si>
    <t>VELLALAGARAM</t>
  </si>
  <si>
    <t>PONNUR</t>
  </si>
  <si>
    <t>34</t>
  </si>
  <si>
    <t>KADUVANGUDI</t>
  </si>
  <si>
    <t>DHARMATHANAPURAM</t>
  </si>
  <si>
    <t>ABISEGAKATTALAI</t>
  </si>
  <si>
    <t>52/2</t>
  </si>
  <si>
    <t>MURAGAMANGALAM</t>
  </si>
  <si>
    <t>IVANALLUR</t>
  </si>
  <si>
    <t>22</t>
  </si>
  <si>
    <t xml:space="preserve">PANDARAVADAI MAPPADUGAI       </t>
  </si>
  <si>
    <t>46</t>
  </si>
  <si>
    <t>NAMACHIVAYAPURAM</t>
  </si>
  <si>
    <t>19</t>
  </si>
  <si>
    <t>KADAKKAM</t>
  </si>
  <si>
    <t>6</t>
  </si>
  <si>
    <t>VILLIYANALLUR</t>
  </si>
  <si>
    <t>24</t>
  </si>
  <si>
    <t>MAHARAGAPURAM</t>
  </si>
  <si>
    <t>AGARAVATTARAM</t>
  </si>
  <si>
    <t>ACHALPURAM</t>
  </si>
  <si>
    <t>30</t>
  </si>
  <si>
    <t>NALLANAYAGAPURAM</t>
  </si>
  <si>
    <t>KEEZHAMATHUR</t>
  </si>
  <si>
    <t>ARASUR</t>
  </si>
  <si>
    <t>ALANGADU</t>
  </si>
  <si>
    <t>ARPAKKAM</t>
  </si>
  <si>
    <t>THIRUMULLAIVASAL</t>
  </si>
  <si>
    <t>MARUVATHUR</t>
  </si>
  <si>
    <t>SEMMANGUDI</t>
  </si>
  <si>
    <t>KEELA SATTANATHAPURAM</t>
  </si>
  <si>
    <t>82</t>
  </si>
  <si>
    <t>KEELAIYUR</t>
  </si>
  <si>
    <t>92</t>
  </si>
  <si>
    <t>KAIVILANCHERI</t>
  </si>
  <si>
    <t>49</t>
  </si>
  <si>
    <t>THILLAIVIDANGAN</t>
  </si>
  <si>
    <t>KONDAL</t>
  </si>
  <si>
    <t>NANGUR</t>
  </si>
  <si>
    <t>81</t>
  </si>
  <si>
    <t>KONDATHUR</t>
  </si>
  <si>
    <t>75</t>
  </si>
  <si>
    <t>67</t>
  </si>
  <si>
    <t>KALAKASHINATHAPURAM</t>
  </si>
  <si>
    <t>ARUPATHI</t>
  </si>
  <si>
    <t>MATHUR</t>
  </si>
  <si>
    <t>31</t>
  </si>
  <si>
    <t>MEMATHUR</t>
  </si>
  <si>
    <t>28</t>
  </si>
  <si>
    <t>THIRUVIDAIKALI</t>
  </si>
  <si>
    <t>66</t>
  </si>
  <si>
    <t>NEDUVASAL</t>
  </si>
  <si>
    <t>ECHANGUDI</t>
  </si>
  <si>
    <t>42</t>
  </si>
  <si>
    <t>KALAMANALLUR</t>
  </si>
  <si>
    <t>THIRUCHAMPALLI</t>
  </si>
  <si>
    <t>THIRUVILAYATTAM</t>
  </si>
  <si>
    <t>52</t>
  </si>
  <si>
    <t>NALLADAI</t>
  </si>
  <si>
    <t>59</t>
  </si>
  <si>
    <t>MUKKARUMBUR</t>
  </si>
  <si>
    <t>AGARATHANUR</t>
  </si>
  <si>
    <t>KODAVILAGAM</t>
  </si>
  <si>
    <t>51</t>
  </si>
  <si>
    <t>14(1)</t>
  </si>
  <si>
    <t>23(2)</t>
  </si>
  <si>
    <t>02(3)</t>
  </si>
  <si>
    <t>11(2)</t>
  </si>
  <si>
    <t>20(3)</t>
  </si>
  <si>
    <t>04(1)</t>
  </si>
  <si>
    <t>12(2)</t>
  </si>
  <si>
    <t>10(1)</t>
  </si>
  <si>
    <t>06(1)</t>
  </si>
  <si>
    <t>03(2)</t>
  </si>
  <si>
    <t>07(1)</t>
  </si>
  <si>
    <t>14(2)</t>
  </si>
  <si>
    <t>Year:2026-27 (Fasli-1436)</t>
  </si>
  <si>
    <t>Oder of selection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</si>
</sst>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Bookman Old Style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name val="Bookman Old Style"/>
      <family val="1"/>
    </font>
    <font>
      <b/>
      <sz val="11"/>
      <color theme="1"/>
      <name val="Arial"/>
      <family val="2"/>
    </font>
    <font>
      <b/>
      <sz val="12"/>
      <color indexed="8"/>
      <name val="Calibri"/>
      <family val="2"/>
    </font>
    <font>
      <b/>
      <sz val="16"/>
      <color indexed="8"/>
      <name val="Calibri"/>
      <family val="2"/>
    </font>
    <font>
      <b/>
      <sz val="16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Bookman Old Style"/>
      <family val="1"/>
    </font>
    <font>
      <b/>
      <sz val="14"/>
      <color indexed="8"/>
      <name val="Calibri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</cellStyleXfs>
  <cellXfs count="56">
    <xf numFmtId="0" fontId="0" fillId="0" borderId="0" xfId="0"/>
    <xf numFmtId="0" fontId="5" fillId="0" borderId="0" xfId="2" applyFont="1" applyAlignment="1">
      <alignment vertical="center"/>
    </xf>
    <xf numFmtId="0" fontId="5" fillId="3" borderId="0" xfId="2" applyFont="1" applyFill="1" applyAlignment="1">
      <alignment vertical="center"/>
    </xf>
    <xf numFmtId="0" fontId="7" fillId="0" borderId="0" xfId="4" applyFont="1" applyAlignment="1">
      <alignment horizontal="left" vertical="center"/>
    </xf>
    <xf numFmtId="0" fontId="8" fillId="0" borderId="0" xfId="4" applyFont="1" applyAlignment="1">
      <alignment horizontal="left" vertical="center"/>
    </xf>
    <xf numFmtId="0" fontId="8" fillId="0" borderId="0" xfId="4" applyFont="1" applyAlignment="1">
      <alignment horizontal="center" vertical="center"/>
    </xf>
    <xf numFmtId="0" fontId="8" fillId="0" borderId="0" xfId="4" applyFont="1" applyAlignment="1">
      <alignment horizontal="left"/>
    </xf>
    <xf numFmtId="0" fontId="7" fillId="0" borderId="0" xfId="4" applyFont="1" applyAlignment="1">
      <alignment horizontal="center" vertical="center"/>
    </xf>
    <xf numFmtId="0" fontId="8" fillId="0" borderId="0" xfId="4" applyFont="1" applyAlignment="1">
      <alignment vertical="center"/>
    </xf>
    <xf numFmtId="0" fontId="8" fillId="0" borderId="0" xfId="4" applyFont="1"/>
    <xf numFmtId="0" fontId="9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0" fillId="0" borderId="1" xfId="4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wrapText="1"/>
    </xf>
    <xf numFmtId="0" fontId="6" fillId="0" borderId="1" xfId="1" applyFont="1" applyBorder="1" applyAlignment="1">
      <alignment horizontal="center" wrapText="1"/>
    </xf>
    <xf numFmtId="0" fontId="8" fillId="0" borderId="1" xfId="4" applyFont="1" applyBorder="1" applyAlignment="1">
      <alignment horizontal="center" vertical="center"/>
    </xf>
    <xf numFmtId="0" fontId="3" fillId="0" borderId="0" xfId="4"/>
    <xf numFmtId="0" fontId="10" fillId="0" borderId="1" xfId="4" applyFont="1" applyBorder="1" applyAlignment="1">
      <alignment horizontal="center" vertical="center"/>
    </xf>
    <xf numFmtId="0" fontId="12" fillId="0" borderId="1" xfId="1" applyFont="1" applyBorder="1" applyAlignment="1">
      <alignment wrapText="1"/>
    </xf>
    <xf numFmtId="0" fontId="13" fillId="0" borderId="1" xfId="4" applyFont="1" applyBorder="1" applyAlignment="1">
      <alignment horizontal="center" vertical="center"/>
    </xf>
    <xf numFmtId="0" fontId="14" fillId="0" borderId="0" xfId="4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1" fillId="0" borderId="1" xfId="1" applyFont="1" applyBorder="1" applyAlignment="1">
      <alignment horizontal="center" vertical="center" wrapText="1"/>
    </xf>
    <xf numFmtId="0" fontId="8" fillId="0" borderId="1" xfId="4" applyFont="1" applyBorder="1" applyAlignment="1">
      <alignment horizontal="center"/>
    </xf>
    <xf numFmtId="0" fontId="2" fillId="0" borderId="1" xfId="1" applyFont="1" applyBorder="1" applyAlignment="1">
      <alignment horizontal="left" wrapText="1"/>
    </xf>
    <xf numFmtId="0" fontId="15" fillId="0" borderId="1" xfId="4" applyFont="1" applyBorder="1" applyAlignment="1">
      <alignment horizontal="center" vertical="center"/>
    </xf>
    <xf numFmtId="0" fontId="16" fillId="0" borderId="1" xfId="1" applyFont="1" applyBorder="1" applyAlignment="1">
      <alignment horizontal="left" vertical="center" wrapText="1"/>
    </xf>
    <xf numFmtId="0" fontId="17" fillId="0" borderId="1" xfId="1" applyFont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0" fillId="0" borderId="0" xfId="4" applyFont="1" applyAlignment="1">
      <alignment horizontal="left" vertical="center"/>
    </xf>
    <xf numFmtId="0" fontId="10" fillId="0" borderId="0" xfId="4" applyFont="1" applyAlignment="1">
      <alignment horizontal="center" vertical="center"/>
    </xf>
    <xf numFmtId="0" fontId="10" fillId="0" borderId="0" xfId="4" applyFont="1" applyAlignment="1">
      <alignment vertical="center"/>
    </xf>
    <xf numFmtId="0" fontId="5" fillId="0" borderId="1" xfId="2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8" fillId="0" borderId="1" xfId="4" applyFont="1" applyBorder="1" applyAlignment="1">
      <alignment horizontal="left" vertical="center"/>
    </xf>
    <xf numFmtId="0" fontId="7" fillId="0" borderId="1" xfId="4" applyFont="1" applyBorder="1" applyAlignment="1">
      <alignment horizontal="center" vertical="center"/>
    </xf>
    <xf numFmtId="0" fontId="18" fillId="0" borderId="1" xfId="5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0" fontId="10" fillId="0" borderId="1" xfId="4" applyFont="1" applyBorder="1" applyAlignment="1">
      <alignment horizontal="left" vertical="center"/>
    </xf>
    <xf numFmtId="0" fontId="10" fillId="0" borderId="0" xfId="4" applyFont="1" applyAlignment="1">
      <alignment horizontal="center" vertical="center"/>
    </xf>
    <xf numFmtId="0" fontId="10" fillId="0" borderId="0" xfId="4" applyFont="1" applyAlignment="1">
      <alignment horizontal="left" vertical="center"/>
    </xf>
    <xf numFmtId="0" fontId="10" fillId="0" borderId="5" xfId="4" applyFont="1" applyBorder="1" applyAlignment="1">
      <alignment horizontal="left" vertical="center"/>
    </xf>
    <xf numFmtId="0" fontId="11" fillId="0" borderId="1" xfId="1" applyFont="1" applyBorder="1" applyAlignment="1">
      <alignment horizontal="center" vertical="center" wrapText="1"/>
    </xf>
    <xf numFmtId="0" fontId="10" fillId="0" borderId="1" xfId="4" applyFont="1" applyBorder="1" applyAlignment="1">
      <alignment horizontal="center" vertical="center" wrapText="1"/>
    </xf>
    <xf numFmtId="0" fontId="7" fillId="0" borderId="1" xfId="4" applyFont="1" applyBorder="1" applyAlignment="1">
      <alignment horizontal="center" vertical="center" textRotation="90" wrapText="1"/>
    </xf>
    <xf numFmtId="0" fontId="10" fillId="0" borderId="2" xfId="4" applyFont="1" applyBorder="1" applyAlignment="1">
      <alignment horizontal="center" vertical="center" wrapText="1"/>
    </xf>
    <xf numFmtId="0" fontId="10" fillId="0" borderId="3" xfId="4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8" fillId="0" borderId="1" xfId="5" applyFont="1" applyBorder="1" applyAlignment="1">
      <alignment horizontal="center" vertical="center" wrapText="1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view="pageBreakPreview" zoomScaleSheetLayoutView="100" workbookViewId="0">
      <selection activeCell="D15" sqref="D15"/>
    </sheetView>
  </sheetViews>
  <sheetFormatPr defaultRowHeight="15"/>
  <cols>
    <col min="1" max="1" width="9.85546875" bestFit="1" customWidth="1"/>
    <col min="2" max="2" width="25.7109375" customWidth="1"/>
    <col min="3" max="3" width="26.42578125" customWidth="1"/>
    <col min="4" max="4" width="34" customWidth="1"/>
    <col min="5" max="5" width="11.85546875" customWidth="1"/>
    <col min="6" max="6" width="10.28515625" style="11" customWidth="1"/>
  </cols>
  <sheetData>
    <row r="1" spans="1:8" s="6" customFormat="1" ht="30" customHeight="1">
      <c r="A1" s="41" t="s">
        <v>42</v>
      </c>
      <c r="B1" s="41"/>
      <c r="C1" s="41"/>
      <c r="D1" s="41"/>
      <c r="E1" s="41"/>
      <c r="F1" s="41"/>
      <c r="G1" s="34"/>
      <c r="H1" s="34"/>
    </row>
    <row r="2" spans="1:8" s="9" customFormat="1" ht="30" customHeight="1">
      <c r="A2" s="35" t="s">
        <v>59</v>
      </c>
      <c r="B2" s="36" t="s">
        <v>54</v>
      </c>
      <c r="C2" s="37"/>
      <c r="D2" s="42" t="s">
        <v>38</v>
      </c>
      <c r="E2" s="42"/>
      <c r="F2" s="42"/>
      <c r="G2" s="6"/>
      <c r="H2" s="6"/>
    </row>
    <row r="3" spans="1:8" ht="30" customHeight="1">
      <c r="A3" s="38"/>
      <c r="B3" s="16"/>
      <c r="C3" s="16"/>
      <c r="D3" s="42" t="s">
        <v>156</v>
      </c>
      <c r="E3" s="42"/>
      <c r="F3" s="42"/>
      <c r="G3" s="9"/>
      <c r="H3" s="9"/>
    </row>
    <row r="4" spans="1:8" ht="30" customHeight="1">
      <c r="A4" s="10" t="s">
        <v>39</v>
      </c>
      <c r="B4" s="10" t="s">
        <v>1</v>
      </c>
      <c r="C4" s="10" t="s">
        <v>3</v>
      </c>
      <c r="D4" s="10" t="s">
        <v>4</v>
      </c>
      <c r="E4" s="10" t="s">
        <v>5</v>
      </c>
      <c r="F4" s="39" t="s">
        <v>157</v>
      </c>
    </row>
    <row r="5" spans="1:8" ht="30" customHeight="1">
      <c r="A5" s="40">
        <v>1</v>
      </c>
      <c r="B5" s="14" t="s">
        <v>6</v>
      </c>
      <c r="C5" s="14" t="s">
        <v>6</v>
      </c>
      <c r="D5" s="14" t="s">
        <v>7</v>
      </c>
      <c r="E5" s="14" t="s">
        <v>32</v>
      </c>
      <c r="F5" s="29">
        <v>1</v>
      </c>
    </row>
    <row r="6" spans="1:8" ht="30" customHeight="1">
      <c r="A6" s="40"/>
      <c r="B6" s="14" t="s">
        <v>6</v>
      </c>
      <c r="C6" s="14" t="s">
        <v>6</v>
      </c>
      <c r="D6" s="14" t="s">
        <v>92</v>
      </c>
      <c r="E6" s="14" t="s">
        <v>93</v>
      </c>
      <c r="F6" s="29">
        <v>2</v>
      </c>
    </row>
    <row r="7" spans="1:8" ht="30" customHeight="1">
      <c r="A7" s="40"/>
      <c r="B7" s="14" t="s">
        <v>27</v>
      </c>
      <c r="C7" s="14" t="s">
        <v>27</v>
      </c>
      <c r="D7" s="14" t="s">
        <v>62</v>
      </c>
      <c r="E7" s="14" t="s">
        <v>63</v>
      </c>
      <c r="F7" s="29">
        <v>3</v>
      </c>
    </row>
    <row r="8" spans="1:8" ht="30" customHeight="1">
      <c r="A8" s="40">
        <v>2</v>
      </c>
      <c r="B8" s="14" t="s">
        <v>16</v>
      </c>
      <c r="C8" s="14" t="s">
        <v>18</v>
      </c>
      <c r="D8" s="14" t="s">
        <v>102</v>
      </c>
      <c r="E8" s="14" t="s">
        <v>35</v>
      </c>
      <c r="F8" s="29">
        <v>1</v>
      </c>
    </row>
    <row r="9" spans="1:8" ht="30" customHeight="1">
      <c r="A9" s="40"/>
      <c r="B9" s="14" t="s">
        <v>16</v>
      </c>
      <c r="C9" s="14" t="s">
        <v>16</v>
      </c>
      <c r="D9" s="14" t="s">
        <v>110</v>
      </c>
      <c r="E9" s="14" t="s">
        <v>111</v>
      </c>
      <c r="F9" s="29">
        <v>2</v>
      </c>
    </row>
    <row r="10" spans="1:8" ht="30" customHeight="1">
      <c r="A10" s="40">
        <v>3</v>
      </c>
      <c r="B10" s="14" t="s">
        <v>26</v>
      </c>
      <c r="C10" s="14" t="s">
        <v>17</v>
      </c>
      <c r="D10" s="14" t="s">
        <v>131</v>
      </c>
      <c r="E10" s="14" t="s">
        <v>14</v>
      </c>
      <c r="F10" s="29">
        <v>1</v>
      </c>
    </row>
    <row r="11" spans="1:8" ht="30" customHeight="1">
      <c r="A11" s="40"/>
      <c r="B11" s="14" t="s">
        <v>26</v>
      </c>
      <c r="C11" s="14" t="s">
        <v>17</v>
      </c>
      <c r="D11" s="14" t="s">
        <v>125</v>
      </c>
      <c r="E11" s="14" t="s">
        <v>126</v>
      </c>
      <c r="F11" s="29">
        <v>2</v>
      </c>
    </row>
  </sheetData>
  <mergeCells count="6">
    <mergeCell ref="A10:A11"/>
    <mergeCell ref="A1:F1"/>
    <mergeCell ref="D2:F2"/>
    <mergeCell ref="D3:F3"/>
    <mergeCell ref="A5:A7"/>
    <mergeCell ref="A8:A9"/>
  </mergeCells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view="pageBreakPreview" zoomScaleSheetLayoutView="100" workbookViewId="0">
      <selection activeCell="A4" sqref="A4"/>
    </sheetView>
  </sheetViews>
  <sheetFormatPr defaultRowHeight="15"/>
  <cols>
    <col min="1" max="1" width="9.85546875" bestFit="1" customWidth="1"/>
    <col min="2" max="2" width="25.7109375" customWidth="1"/>
    <col min="3" max="3" width="26.42578125" customWidth="1"/>
    <col min="4" max="4" width="30.5703125" customWidth="1"/>
    <col min="5" max="5" width="11.42578125" customWidth="1"/>
    <col min="6" max="6" width="10.28515625" style="11" customWidth="1"/>
  </cols>
  <sheetData>
    <row r="1" spans="1:8" s="6" customFormat="1" ht="30" customHeight="1">
      <c r="A1" s="41" t="s">
        <v>42</v>
      </c>
      <c r="B1" s="41"/>
      <c r="C1" s="41"/>
      <c r="D1" s="41"/>
      <c r="E1" s="41"/>
      <c r="F1" s="41"/>
      <c r="G1" s="34"/>
      <c r="H1" s="34"/>
    </row>
    <row r="2" spans="1:8" s="9" customFormat="1" ht="30" customHeight="1">
      <c r="A2" s="35" t="s">
        <v>59</v>
      </c>
      <c r="B2" s="36" t="s">
        <v>54</v>
      </c>
      <c r="C2" s="37"/>
      <c r="D2" s="42" t="s">
        <v>38</v>
      </c>
      <c r="E2" s="42"/>
      <c r="F2" s="42"/>
      <c r="G2" s="6"/>
      <c r="H2" s="6"/>
    </row>
    <row r="3" spans="1:8" ht="30" customHeight="1">
      <c r="A3" s="38"/>
      <c r="B3" s="16"/>
      <c r="C3" s="16"/>
      <c r="D3" s="42" t="s">
        <v>156</v>
      </c>
      <c r="E3" s="42"/>
      <c r="F3" s="42"/>
      <c r="G3" s="9"/>
      <c r="H3" s="9"/>
    </row>
    <row r="4" spans="1:8" ht="30" customHeight="1">
      <c r="A4" s="10" t="s">
        <v>39</v>
      </c>
      <c r="B4" s="10" t="s">
        <v>1</v>
      </c>
      <c r="C4" s="10" t="s">
        <v>3</v>
      </c>
      <c r="D4" s="10" t="s">
        <v>4</v>
      </c>
      <c r="E4" s="10" t="s">
        <v>5</v>
      </c>
      <c r="F4" s="39" t="s">
        <v>157</v>
      </c>
    </row>
    <row r="5" spans="1:8" ht="30" customHeight="1">
      <c r="A5" s="40">
        <v>1</v>
      </c>
      <c r="B5" s="14" t="s">
        <v>27</v>
      </c>
      <c r="C5" s="14" t="s">
        <v>27</v>
      </c>
      <c r="D5" s="14" t="s">
        <v>64</v>
      </c>
      <c r="E5" s="14" t="s">
        <v>19</v>
      </c>
      <c r="F5" s="29">
        <v>4</v>
      </c>
    </row>
    <row r="6" spans="1:8" ht="30" customHeight="1">
      <c r="A6" s="40"/>
      <c r="B6" s="14" t="s">
        <v>27</v>
      </c>
      <c r="C6" s="14" t="s">
        <v>27</v>
      </c>
      <c r="D6" s="14" t="s">
        <v>75</v>
      </c>
      <c r="E6" s="14" t="s">
        <v>12</v>
      </c>
      <c r="F6" s="29">
        <v>5</v>
      </c>
    </row>
    <row r="7" spans="1:8" ht="30" customHeight="1">
      <c r="A7" s="40"/>
      <c r="B7" s="14" t="s">
        <v>6</v>
      </c>
      <c r="C7" s="14" t="s">
        <v>6</v>
      </c>
      <c r="D7" s="14" t="s">
        <v>87</v>
      </c>
      <c r="E7" s="14" t="s">
        <v>30</v>
      </c>
      <c r="F7" s="29">
        <v>6</v>
      </c>
    </row>
    <row r="8" spans="1:8" ht="30" customHeight="1">
      <c r="A8" s="40">
        <v>2</v>
      </c>
      <c r="B8" s="14" t="s">
        <v>16</v>
      </c>
      <c r="C8" s="14" t="s">
        <v>16</v>
      </c>
      <c r="D8" s="14" t="s">
        <v>108</v>
      </c>
      <c r="E8" s="14" t="s">
        <v>15</v>
      </c>
      <c r="F8" s="29">
        <v>3</v>
      </c>
    </row>
    <row r="9" spans="1:8" ht="30" customHeight="1">
      <c r="A9" s="40"/>
      <c r="B9" s="14" t="s">
        <v>16</v>
      </c>
      <c r="C9" s="14" t="s">
        <v>18</v>
      </c>
      <c r="D9" s="14" t="s">
        <v>107</v>
      </c>
      <c r="E9" s="14" t="s">
        <v>9</v>
      </c>
      <c r="F9" s="29">
        <v>4</v>
      </c>
    </row>
    <row r="10" spans="1:8" ht="30" customHeight="1">
      <c r="A10" s="40">
        <v>3</v>
      </c>
      <c r="B10" s="14" t="s">
        <v>26</v>
      </c>
      <c r="C10" s="14" t="s">
        <v>17</v>
      </c>
      <c r="D10" s="14" t="s">
        <v>132</v>
      </c>
      <c r="E10" s="14" t="s">
        <v>133</v>
      </c>
      <c r="F10" s="29">
        <v>3</v>
      </c>
    </row>
    <row r="11" spans="1:8" ht="30" customHeight="1">
      <c r="A11" s="40"/>
      <c r="B11" s="14" t="s">
        <v>26</v>
      </c>
      <c r="C11" s="14" t="s">
        <v>27</v>
      </c>
      <c r="D11" s="14" t="s">
        <v>142</v>
      </c>
      <c r="E11" s="14" t="s">
        <v>143</v>
      </c>
      <c r="F11" s="29">
        <v>4</v>
      </c>
    </row>
  </sheetData>
  <mergeCells count="6">
    <mergeCell ref="A10:A11"/>
    <mergeCell ref="A1:F1"/>
    <mergeCell ref="D2:F2"/>
    <mergeCell ref="D3:F3"/>
    <mergeCell ref="A5:A7"/>
    <mergeCell ref="A8:A9"/>
  </mergeCells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2"/>
  <sheetViews>
    <sheetView view="pageBreakPreview" zoomScaleSheetLayoutView="100" workbookViewId="0">
      <selection activeCell="E9" sqref="E9"/>
    </sheetView>
  </sheetViews>
  <sheetFormatPr defaultRowHeight="15"/>
  <cols>
    <col min="1" max="1" width="9.85546875" bestFit="1" customWidth="1"/>
    <col min="2" max="2" width="13.5703125" bestFit="1" customWidth="1"/>
    <col min="3" max="3" width="25.7109375" customWidth="1"/>
    <col min="4" max="4" width="13.5703125" bestFit="1" customWidth="1"/>
    <col min="5" max="5" width="26.42578125" customWidth="1"/>
    <col min="6" max="6" width="35.28515625" bestFit="1" customWidth="1"/>
    <col min="7" max="7" width="9.5703125" customWidth="1"/>
    <col min="8" max="8" width="10.7109375" style="11" customWidth="1"/>
    <col min="9" max="9" width="10.28515625" style="11" customWidth="1"/>
  </cols>
  <sheetData>
    <row r="1" spans="1:11" s="6" customFormat="1" ht="24.95" customHeight="1">
      <c r="A1" s="43" t="s">
        <v>42</v>
      </c>
      <c r="B1" s="43"/>
      <c r="C1" s="43"/>
      <c r="D1" s="43"/>
      <c r="E1" s="43"/>
      <c r="F1" s="43"/>
      <c r="G1" s="43"/>
      <c r="H1" s="43"/>
      <c r="I1" s="43"/>
      <c r="J1" s="34"/>
      <c r="K1" s="34"/>
    </row>
    <row r="2" spans="1:11" s="9" customFormat="1" ht="24.95" customHeight="1">
      <c r="A2" s="1" t="s">
        <v>59</v>
      </c>
      <c r="C2" s="2" t="s">
        <v>54</v>
      </c>
      <c r="D2" s="4"/>
      <c r="E2" s="4"/>
      <c r="F2" s="44" t="s">
        <v>38</v>
      </c>
      <c r="G2" s="44"/>
      <c r="H2" s="44"/>
      <c r="I2" s="44"/>
      <c r="J2" s="6"/>
      <c r="K2" s="6"/>
    </row>
    <row r="3" spans="1:11" ht="15.75">
      <c r="A3" s="7"/>
      <c r="B3" s="5"/>
      <c r="C3" s="5"/>
      <c r="D3" s="5"/>
      <c r="E3" s="5"/>
      <c r="F3" s="45" t="s">
        <v>156</v>
      </c>
      <c r="G3" s="45"/>
      <c r="H3" s="45"/>
      <c r="I3" s="45"/>
      <c r="J3" s="9"/>
      <c r="K3" s="9"/>
    </row>
    <row r="4" spans="1:11" ht="60">
      <c r="A4" s="54" t="s">
        <v>39</v>
      </c>
      <c r="B4" s="54" t="s">
        <v>0</v>
      </c>
      <c r="C4" s="54" t="s">
        <v>1</v>
      </c>
      <c r="D4" s="54" t="s">
        <v>2</v>
      </c>
      <c r="E4" s="54" t="s">
        <v>3</v>
      </c>
      <c r="F4" s="54" t="s">
        <v>4</v>
      </c>
      <c r="G4" s="54" t="s">
        <v>5</v>
      </c>
      <c r="H4" s="55" t="s">
        <v>40</v>
      </c>
      <c r="I4" s="55" t="s">
        <v>41</v>
      </c>
    </row>
    <row r="5" spans="1:11">
      <c r="A5" s="40">
        <v>1</v>
      </c>
      <c r="B5" s="14" t="s">
        <v>21</v>
      </c>
      <c r="C5" s="14" t="s">
        <v>27</v>
      </c>
      <c r="D5" s="14" t="s">
        <v>21</v>
      </c>
      <c r="E5" s="14" t="s">
        <v>27</v>
      </c>
      <c r="F5" s="14" t="s">
        <v>60</v>
      </c>
      <c r="G5" s="14" t="s">
        <v>61</v>
      </c>
      <c r="H5" s="22">
        <v>1</v>
      </c>
      <c r="I5" s="29">
        <v>1</v>
      </c>
    </row>
    <row r="6" spans="1:11">
      <c r="A6" s="40"/>
      <c r="B6" s="14" t="s">
        <v>21</v>
      </c>
      <c r="C6" s="14" t="s">
        <v>27</v>
      </c>
      <c r="D6" s="14" t="s">
        <v>21</v>
      </c>
      <c r="E6" s="14" t="s">
        <v>27</v>
      </c>
      <c r="F6" s="14" t="s">
        <v>62</v>
      </c>
      <c r="G6" s="14" t="s">
        <v>63</v>
      </c>
      <c r="H6" s="22">
        <v>2</v>
      </c>
      <c r="I6" s="30">
        <v>2</v>
      </c>
    </row>
    <row r="7" spans="1:11">
      <c r="A7" s="40"/>
      <c r="B7" s="14" t="s">
        <v>21</v>
      </c>
      <c r="C7" s="14" t="s">
        <v>27</v>
      </c>
      <c r="D7" s="14" t="s">
        <v>21</v>
      </c>
      <c r="E7" s="14" t="s">
        <v>27</v>
      </c>
      <c r="F7" s="14" t="s">
        <v>64</v>
      </c>
      <c r="G7" s="14" t="s">
        <v>19</v>
      </c>
      <c r="H7" s="22">
        <v>3</v>
      </c>
      <c r="I7" s="31">
        <v>3</v>
      </c>
    </row>
    <row r="8" spans="1:11">
      <c r="A8" s="40"/>
      <c r="B8" s="14" t="s">
        <v>21</v>
      </c>
      <c r="C8" s="14" t="s">
        <v>27</v>
      </c>
      <c r="D8" s="14" t="s">
        <v>21</v>
      </c>
      <c r="E8" s="14" t="s">
        <v>27</v>
      </c>
      <c r="F8" s="14" t="s">
        <v>65</v>
      </c>
      <c r="G8" s="14" t="s">
        <v>28</v>
      </c>
      <c r="H8" s="22">
        <v>4</v>
      </c>
      <c r="I8" s="29">
        <v>4</v>
      </c>
    </row>
    <row r="9" spans="1:11">
      <c r="A9" s="40"/>
      <c r="B9" s="14" t="s">
        <v>21</v>
      </c>
      <c r="C9" s="14" t="s">
        <v>27</v>
      </c>
      <c r="D9" s="14" t="s">
        <v>21</v>
      </c>
      <c r="E9" s="14" t="s">
        <v>27</v>
      </c>
      <c r="F9" s="14" t="s">
        <v>66</v>
      </c>
      <c r="G9" s="14" t="s">
        <v>22</v>
      </c>
      <c r="H9" s="22">
        <v>5</v>
      </c>
      <c r="I9" s="29">
        <v>5</v>
      </c>
    </row>
    <row r="10" spans="1:11">
      <c r="A10" s="40"/>
      <c r="B10" s="14" t="s">
        <v>21</v>
      </c>
      <c r="C10" s="14" t="s">
        <v>27</v>
      </c>
      <c r="D10" s="14" t="s">
        <v>21</v>
      </c>
      <c r="E10" s="14" t="s">
        <v>27</v>
      </c>
      <c r="F10" s="14" t="s">
        <v>67</v>
      </c>
      <c r="G10" s="14" t="s">
        <v>25</v>
      </c>
      <c r="H10" s="22">
        <v>6</v>
      </c>
      <c r="I10" s="29">
        <v>6</v>
      </c>
    </row>
    <row r="11" spans="1:11">
      <c r="A11" s="40"/>
      <c r="B11" s="14" t="s">
        <v>21</v>
      </c>
      <c r="C11" s="14" t="s">
        <v>27</v>
      </c>
      <c r="D11" s="14" t="s">
        <v>21</v>
      </c>
      <c r="E11" s="14" t="s">
        <v>27</v>
      </c>
      <c r="F11" s="14" t="s">
        <v>68</v>
      </c>
      <c r="G11" s="14" t="s">
        <v>69</v>
      </c>
      <c r="H11" s="22">
        <v>7</v>
      </c>
      <c r="I11" s="29">
        <v>7</v>
      </c>
    </row>
    <row r="12" spans="1:11">
      <c r="A12" s="40"/>
      <c r="B12" s="14" t="s">
        <v>21</v>
      </c>
      <c r="C12" s="14" t="s">
        <v>27</v>
      </c>
      <c r="D12" s="14" t="s">
        <v>21</v>
      </c>
      <c r="E12" s="14" t="s">
        <v>27</v>
      </c>
      <c r="F12" s="14" t="s">
        <v>70</v>
      </c>
      <c r="G12" s="14" t="s">
        <v>24</v>
      </c>
      <c r="H12" s="22">
        <v>8</v>
      </c>
      <c r="I12" s="29">
        <v>8</v>
      </c>
    </row>
    <row r="13" spans="1:11">
      <c r="A13" s="40"/>
      <c r="B13" s="14" t="s">
        <v>21</v>
      </c>
      <c r="C13" s="14" t="s">
        <v>27</v>
      </c>
      <c r="D13" s="14" t="s">
        <v>21</v>
      </c>
      <c r="E13" s="14" t="s">
        <v>27</v>
      </c>
      <c r="F13" s="14" t="s">
        <v>71</v>
      </c>
      <c r="G13" s="14" t="s">
        <v>72</v>
      </c>
      <c r="H13" s="22">
        <v>9</v>
      </c>
      <c r="I13" s="29">
        <v>9</v>
      </c>
    </row>
    <row r="14" spans="1:11">
      <c r="A14" s="40"/>
      <c r="B14" s="14" t="s">
        <v>21</v>
      </c>
      <c r="C14" s="14" t="s">
        <v>27</v>
      </c>
      <c r="D14" s="14" t="s">
        <v>21</v>
      </c>
      <c r="E14" s="14" t="s">
        <v>27</v>
      </c>
      <c r="F14" s="14" t="s">
        <v>73</v>
      </c>
      <c r="G14" s="14" t="s">
        <v>74</v>
      </c>
      <c r="H14" s="22">
        <v>10</v>
      </c>
      <c r="I14" s="29">
        <v>10</v>
      </c>
    </row>
    <row r="15" spans="1:11">
      <c r="A15" s="40"/>
      <c r="B15" s="14" t="s">
        <v>21</v>
      </c>
      <c r="C15" s="14" t="s">
        <v>27</v>
      </c>
      <c r="D15" s="14" t="s">
        <v>21</v>
      </c>
      <c r="E15" s="14" t="s">
        <v>27</v>
      </c>
      <c r="F15" s="14" t="s">
        <v>75</v>
      </c>
      <c r="G15" s="14" t="s">
        <v>12</v>
      </c>
      <c r="H15" s="22">
        <v>11</v>
      </c>
      <c r="I15" s="31">
        <v>11</v>
      </c>
    </row>
    <row r="16" spans="1:11">
      <c r="A16" s="40"/>
      <c r="B16" s="14" t="s">
        <v>21</v>
      </c>
      <c r="C16" s="14" t="s">
        <v>27</v>
      </c>
      <c r="D16" s="14" t="s">
        <v>21</v>
      </c>
      <c r="E16" s="14" t="s">
        <v>27</v>
      </c>
      <c r="F16" s="14" t="s">
        <v>76</v>
      </c>
      <c r="G16" s="14" t="s">
        <v>77</v>
      </c>
      <c r="H16" s="22">
        <v>12</v>
      </c>
      <c r="I16" s="29">
        <v>12</v>
      </c>
    </row>
    <row r="17" spans="1:9">
      <c r="A17" s="40"/>
      <c r="B17" s="14" t="s">
        <v>69</v>
      </c>
      <c r="C17" s="14" t="s">
        <v>6</v>
      </c>
      <c r="D17" s="14" t="s">
        <v>36</v>
      </c>
      <c r="E17" s="14" t="s">
        <v>6</v>
      </c>
      <c r="F17" s="14" t="s">
        <v>78</v>
      </c>
      <c r="G17" s="14" t="s">
        <v>79</v>
      </c>
      <c r="H17" s="22">
        <v>1</v>
      </c>
      <c r="I17" s="29">
        <v>13</v>
      </c>
    </row>
    <row r="18" spans="1:9">
      <c r="A18" s="40"/>
      <c r="B18" s="14" t="s">
        <v>69</v>
      </c>
      <c r="C18" s="14" t="s">
        <v>6</v>
      </c>
      <c r="D18" s="14" t="s">
        <v>36</v>
      </c>
      <c r="E18" s="14" t="s">
        <v>6</v>
      </c>
      <c r="F18" s="14" t="s">
        <v>7</v>
      </c>
      <c r="G18" s="14" t="s">
        <v>32</v>
      </c>
      <c r="H18" s="22">
        <v>2</v>
      </c>
      <c r="I18" s="30">
        <v>14</v>
      </c>
    </row>
    <row r="19" spans="1:9">
      <c r="A19" s="40"/>
      <c r="B19" s="14" t="s">
        <v>69</v>
      </c>
      <c r="C19" s="14" t="s">
        <v>6</v>
      </c>
      <c r="D19" s="14" t="s">
        <v>36</v>
      </c>
      <c r="E19" s="14" t="s">
        <v>6</v>
      </c>
      <c r="F19" s="14" t="s">
        <v>80</v>
      </c>
      <c r="G19" s="14" t="s">
        <v>19</v>
      </c>
      <c r="H19" s="22">
        <v>3</v>
      </c>
      <c r="I19" s="29">
        <v>15</v>
      </c>
    </row>
    <row r="20" spans="1:9">
      <c r="A20" s="40"/>
      <c r="B20" s="14" t="s">
        <v>69</v>
      </c>
      <c r="C20" s="14" t="s">
        <v>6</v>
      </c>
      <c r="D20" s="14" t="s">
        <v>36</v>
      </c>
      <c r="E20" s="14" t="s">
        <v>6</v>
      </c>
      <c r="F20" s="14" t="s">
        <v>81</v>
      </c>
      <c r="G20" s="14" t="s">
        <v>82</v>
      </c>
      <c r="H20" s="22">
        <v>4</v>
      </c>
      <c r="I20" s="29">
        <v>16</v>
      </c>
    </row>
    <row r="21" spans="1:9">
      <c r="A21" s="40"/>
      <c r="B21" s="14" t="s">
        <v>69</v>
      </c>
      <c r="C21" s="14" t="s">
        <v>6</v>
      </c>
      <c r="D21" s="14" t="s">
        <v>36</v>
      </c>
      <c r="E21" s="14" t="s">
        <v>6</v>
      </c>
      <c r="F21" s="14" t="s">
        <v>83</v>
      </c>
      <c r="G21" s="14" t="s">
        <v>33</v>
      </c>
      <c r="H21" s="22">
        <v>5</v>
      </c>
      <c r="I21" s="29">
        <v>17</v>
      </c>
    </row>
    <row r="22" spans="1:9">
      <c r="A22" s="40"/>
      <c r="B22" s="14" t="s">
        <v>69</v>
      </c>
      <c r="C22" s="14" t="s">
        <v>6</v>
      </c>
      <c r="D22" s="14" t="s">
        <v>36</v>
      </c>
      <c r="E22" s="14" t="s">
        <v>6</v>
      </c>
      <c r="F22" s="14" t="s">
        <v>84</v>
      </c>
      <c r="G22" s="14" t="s">
        <v>23</v>
      </c>
      <c r="H22" s="22">
        <v>6</v>
      </c>
      <c r="I22" s="29">
        <v>18</v>
      </c>
    </row>
    <row r="23" spans="1:9">
      <c r="A23" s="40"/>
      <c r="B23" s="14" t="s">
        <v>69</v>
      </c>
      <c r="C23" s="14" t="s">
        <v>6</v>
      </c>
      <c r="D23" s="14" t="s">
        <v>36</v>
      </c>
      <c r="E23" s="14" t="s">
        <v>6</v>
      </c>
      <c r="F23" s="14" t="s">
        <v>85</v>
      </c>
      <c r="G23" s="14" t="s">
        <v>86</v>
      </c>
      <c r="H23" s="22">
        <v>7</v>
      </c>
      <c r="I23" s="29">
        <v>19</v>
      </c>
    </row>
    <row r="24" spans="1:9">
      <c r="A24" s="40"/>
      <c r="B24" s="14" t="s">
        <v>69</v>
      </c>
      <c r="C24" s="14" t="s">
        <v>6</v>
      </c>
      <c r="D24" s="14" t="s">
        <v>36</v>
      </c>
      <c r="E24" s="14" t="s">
        <v>6</v>
      </c>
      <c r="F24" s="14" t="s">
        <v>87</v>
      </c>
      <c r="G24" s="14" t="s">
        <v>30</v>
      </c>
      <c r="H24" s="22">
        <v>8</v>
      </c>
      <c r="I24" s="31">
        <v>20</v>
      </c>
    </row>
    <row r="25" spans="1:9">
      <c r="A25" s="40"/>
      <c r="B25" s="14" t="s">
        <v>69</v>
      </c>
      <c r="C25" s="14" t="s">
        <v>6</v>
      </c>
      <c r="D25" s="14" t="s">
        <v>36</v>
      </c>
      <c r="E25" s="14" t="s">
        <v>6</v>
      </c>
      <c r="F25" s="14" t="s">
        <v>88</v>
      </c>
      <c r="G25" s="14" t="s">
        <v>89</v>
      </c>
      <c r="H25" s="22">
        <v>9</v>
      </c>
      <c r="I25" s="29">
        <v>21</v>
      </c>
    </row>
    <row r="26" spans="1:9">
      <c r="A26" s="40"/>
      <c r="B26" s="14" t="s">
        <v>69</v>
      </c>
      <c r="C26" s="14" t="s">
        <v>6</v>
      </c>
      <c r="D26" s="14" t="s">
        <v>36</v>
      </c>
      <c r="E26" s="14" t="s">
        <v>6</v>
      </c>
      <c r="F26" s="14" t="s">
        <v>90</v>
      </c>
      <c r="G26" s="14" t="s">
        <v>91</v>
      </c>
      <c r="H26" s="22">
        <v>10</v>
      </c>
      <c r="I26" s="29">
        <v>22</v>
      </c>
    </row>
    <row r="27" spans="1:9">
      <c r="A27" s="40"/>
      <c r="B27" s="14" t="s">
        <v>69</v>
      </c>
      <c r="C27" s="14" t="s">
        <v>6</v>
      </c>
      <c r="D27" s="14" t="s">
        <v>36</v>
      </c>
      <c r="E27" s="14" t="s">
        <v>6</v>
      </c>
      <c r="F27" s="14" t="s">
        <v>92</v>
      </c>
      <c r="G27" s="14" t="s">
        <v>93</v>
      </c>
      <c r="H27" s="22">
        <v>11</v>
      </c>
      <c r="I27" s="30">
        <v>23</v>
      </c>
    </row>
    <row r="28" spans="1:9">
      <c r="A28" s="40"/>
      <c r="B28" s="14" t="s">
        <v>69</v>
      </c>
      <c r="C28" s="14" t="s">
        <v>6</v>
      </c>
      <c r="D28" s="14" t="s">
        <v>36</v>
      </c>
      <c r="E28" s="14" t="s">
        <v>6</v>
      </c>
      <c r="F28" s="14" t="s">
        <v>94</v>
      </c>
      <c r="G28" s="14" t="s">
        <v>95</v>
      </c>
      <c r="H28" s="22">
        <v>12</v>
      </c>
      <c r="I28" s="29">
        <v>24</v>
      </c>
    </row>
    <row r="29" spans="1:9">
      <c r="A29" s="40"/>
      <c r="B29" s="14" t="s">
        <v>69</v>
      </c>
      <c r="C29" s="14" t="s">
        <v>6</v>
      </c>
      <c r="D29" s="14" t="s">
        <v>36</v>
      </c>
      <c r="E29" s="14" t="s">
        <v>6</v>
      </c>
      <c r="F29" s="14" t="s">
        <v>96</v>
      </c>
      <c r="G29" s="14" t="s">
        <v>97</v>
      </c>
      <c r="H29" s="22">
        <v>13</v>
      </c>
      <c r="I29" s="29">
        <v>25</v>
      </c>
    </row>
    <row r="30" spans="1:9">
      <c r="A30" s="40">
        <v>2</v>
      </c>
      <c r="B30" s="14" t="s">
        <v>95</v>
      </c>
      <c r="C30" s="14" t="s">
        <v>16</v>
      </c>
      <c r="D30" s="14" t="s">
        <v>20</v>
      </c>
      <c r="E30" s="14" t="s">
        <v>18</v>
      </c>
      <c r="F30" s="14" t="s">
        <v>98</v>
      </c>
      <c r="G30" s="14" t="s">
        <v>97</v>
      </c>
      <c r="H30" s="22">
        <v>1</v>
      </c>
      <c r="I30" s="29">
        <v>1</v>
      </c>
    </row>
    <row r="31" spans="1:9">
      <c r="A31" s="40"/>
      <c r="B31" s="14" t="s">
        <v>95</v>
      </c>
      <c r="C31" s="14" t="s">
        <v>16</v>
      </c>
      <c r="D31" s="14" t="s">
        <v>20</v>
      </c>
      <c r="E31" s="14" t="s">
        <v>18</v>
      </c>
      <c r="F31" s="14" t="s">
        <v>99</v>
      </c>
      <c r="G31" s="14" t="s">
        <v>8</v>
      </c>
      <c r="H31" s="22">
        <v>2</v>
      </c>
      <c r="I31" s="29">
        <v>2</v>
      </c>
    </row>
    <row r="32" spans="1:9">
      <c r="A32" s="40"/>
      <c r="B32" s="14" t="s">
        <v>95</v>
      </c>
      <c r="C32" s="14" t="s">
        <v>16</v>
      </c>
      <c r="D32" s="14" t="s">
        <v>20</v>
      </c>
      <c r="E32" s="14" t="s">
        <v>18</v>
      </c>
      <c r="F32" s="14" t="s">
        <v>100</v>
      </c>
      <c r="G32" s="14" t="s">
        <v>101</v>
      </c>
      <c r="H32" s="22">
        <v>3</v>
      </c>
      <c r="I32" s="29">
        <v>3</v>
      </c>
    </row>
    <row r="33" spans="1:9">
      <c r="A33" s="40"/>
      <c r="B33" s="14" t="s">
        <v>95</v>
      </c>
      <c r="C33" s="14" t="s">
        <v>16</v>
      </c>
      <c r="D33" s="14" t="s">
        <v>20</v>
      </c>
      <c r="E33" s="14" t="s">
        <v>18</v>
      </c>
      <c r="F33" s="14" t="s">
        <v>102</v>
      </c>
      <c r="G33" s="14" t="s">
        <v>35</v>
      </c>
      <c r="H33" s="22">
        <v>4</v>
      </c>
      <c r="I33" s="30">
        <v>4</v>
      </c>
    </row>
    <row r="34" spans="1:9">
      <c r="A34" s="40"/>
      <c r="B34" s="14" t="s">
        <v>95</v>
      </c>
      <c r="C34" s="14" t="s">
        <v>16</v>
      </c>
      <c r="D34" s="14" t="s">
        <v>20</v>
      </c>
      <c r="E34" s="14" t="s">
        <v>18</v>
      </c>
      <c r="F34" s="14" t="s">
        <v>103</v>
      </c>
      <c r="G34" s="14" t="s">
        <v>31</v>
      </c>
      <c r="H34" s="22">
        <v>5</v>
      </c>
      <c r="I34" s="29">
        <v>5</v>
      </c>
    </row>
    <row r="35" spans="1:9">
      <c r="A35" s="40"/>
      <c r="B35" s="14" t="s">
        <v>95</v>
      </c>
      <c r="C35" s="14" t="s">
        <v>16</v>
      </c>
      <c r="D35" s="14" t="s">
        <v>20</v>
      </c>
      <c r="E35" s="14" t="s">
        <v>18</v>
      </c>
      <c r="F35" s="14" t="s">
        <v>104</v>
      </c>
      <c r="G35" s="14" t="s">
        <v>34</v>
      </c>
      <c r="H35" s="22">
        <v>6</v>
      </c>
      <c r="I35" s="29">
        <v>6</v>
      </c>
    </row>
    <row r="36" spans="1:9">
      <c r="A36" s="40"/>
      <c r="B36" s="14" t="s">
        <v>95</v>
      </c>
      <c r="C36" s="14" t="s">
        <v>16</v>
      </c>
      <c r="D36" s="14" t="s">
        <v>20</v>
      </c>
      <c r="E36" s="14" t="s">
        <v>18</v>
      </c>
      <c r="F36" s="14" t="s">
        <v>105</v>
      </c>
      <c r="G36" s="14" t="s">
        <v>29</v>
      </c>
      <c r="H36" s="22">
        <v>7</v>
      </c>
      <c r="I36" s="29">
        <v>7</v>
      </c>
    </row>
    <row r="37" spans="1:9">
      <c r="A37" s="40"/>
      <c r="B37" s="14" t="s">
        <v>95</v>
      </c>
      <c r="C37" s="14" t="s">
        <v>16</v>
      </c>
      <c r="D37" s="14" t="s">
        <v>20</v>
      </c>
      <c r="E37" s="14" t="s">
        <v>18</v>
      </c>
      <c r="F37" s="14" t="s">
        <v>106</v>
      </c>
      <c r="G37" s="14" t="s">
        <v>93</v>
      </c>
      <c r="H37" s="22">
        <v>8</v>
      </c>
      <c r="I37" s="29">
        <v>8</v>
      </c>
    </row>
    <row r="38" spans="1:9">
      <c r="A38" s="40"/>
      <c r="B38" s="14" t="s">
        <v>95</v>
      </c>
      <c r="C38" s="14" t="s">
        <v>16</v>
      </c>
      <c r="D38" s="14" t="s">
        <v>20</v>
      </c>
      <c r="E38" s="14" t="s">
        <v>18</v>
      </c>
      <c r="F38" s="14" t="s">
        <v>107</v>
      </c>
      <c r="G38" s="14" t="s">
        <v>9</v>
      </c>
      <c r="H38" s="22">
        <v>9</v>
      </c>
      <c r="I38" s="31">
        <v>9</v>
      </c>
    </row>
    <row r="39" spans="1:9">
      <c r="A39" s="40"/>
      <c r="B39" s="14" t="s">
        <v>95</v>
      </c>
      <c r="C39" s="14" t="s">
        <v>16</v>
      </c>
      <c r="D39" s="14" t="s">
        <v>32</v>
      </c>
      <c r="E39" s="14" t="s">
        <v>16</v>
      </c>
      <c r="F39" s="14" t="s">
        <v>108</v>
      </c>
      <c r="G39" s="14" t="s">
        <v>15</v>
      </c>
      <c r="H39" s="22">
        <v>1</v>
      </c>
      <c r="I39" s="31">
        <v>10</v>
      </c>
    </row>
    <row r="40" spans="1:9">
      <c r="A40" s="40"/>
      <c r="B40" s="14" t="s">
        <v>95</v>
      </c>
      <c r="C40" s="14" t="s">
        <v>16</v>
      </c>
      <c r="D40" s="14" t="s">
        <v>32</v>
      </c>
      <c r="E40" s="14" t="s">
        <v>16</v>
      </c>
      <c r="F40" s="14" t="s">
        <v>109</v>
      </c>
      <c r="G40" s="14" t="s">
        <v>10</v>
      </c>
      <c r="H40" s="22">
        <v>2</v>
      </c>
      <c r="I40" s="29">
        <v>11</v>
      </c>
    </row>
    <row r="41" spans="1:9">
      <c r="A41" s="40"/>
      <c r="B41" s="14" t="s">
        <v>95</v>
      </c>
      <c r="C41" s="14" t="s">
        <v>16</v>
      </c>
      <c r="D41" s="14" t="s">
        <v>32</v>
      </c>
      <c r="E41" s="14" t="s">
        <v>16</v>
      </c>
      <c r="F41" s="14" t="s">
        <v>110</v>
      </c>
      <c r="G41" s="14" t="s">
        <v>111</v>
      </c>
      <c r="H41" s="22">
        <v>3</v>
      </c>
      <c r="I41" s="30">
        <v>12</v>
      </c>
    </row>
    <row r="42" spans="1:9">
      <c r="A42" s="40"/>
      <c r="B42" s="14" t="s">
        <v>95</v>
      </c>
      <c r="C42" s="14" t="s">
        <v>16</v>
      </c>
      <c r="D42" s="14" t="s">
        <v>32</v>
      </c>
      <c r="E42" s="14" t="s">
        <v>16</v>
      </c>
      <c r="F42" s="14" t="s">
        <v>112</v>
      </c>
      <c r="G42" s="14" t="s">
        <v>113</v>
      </c>
      <c r="H42" s="22">
        <v>4</v>
      </c>
      <c r="I42" s="29">
        <v>13</v>
      </c>
    </row>
    <row r="43" spans="1:9">
      <c r="A43" s="40"/>
      <c r="B43" s="14" t="s">
        <v>95</v>
      </c>
      <c r="C43" s="14" t="s">
        <v>16</v>
      </c>
      <c r="D43" s="14" t="s">
        <v>32</v>
      </c>
      <c r="E43" s="14" t="s">
        <v>16</v>
      </c>
      <c r="F43" s="14" t="s">
        <v>114</v>
      </c>
      <c r="G43" s="14" t="s">
        <v>115</v>
      </c>
      <c r="H43" s="22">
        <v>5</v>
      </c>
      <c r="I43" s="29">
        <v>14</v>
      </c>
    </row>
    <row r="44" spans="1:9">
      <c r="A44" s="40"/>
      <c r="B44" s="14" t="s">
        <v>95</v>
      </c>
      <c r="C44" s="14" t="s">
        <v>16</v>
      </c>
      <c r="D44" s="14" t="s">
        <v>32</v>
      </c>
      <c r="E44" s="14" t="s">
        <v>16</v>
      </c>
      <c r="F44" s="14" t="s">
        <v>116</v>
      </c>
      <c r="G44" s="14" t="s">
        <v>91</v>
      </c>
      <c r="H44" s="22">
        <v>6</v>
      </c>
      <c r="I44" s="29">
        <v>15</v>
      </c>
    </row>
    <row r="45" spans="1:9">
      <c r="A45" s="40"/>
      <c r="B45" s="14" t="s">
        <v>95</v>
      </c>
      <c r="C45" s="14" t="s">
        <v>16</v>
      </c>
      <c r="D45" s="14" t="s">
        <v>32</v>
      </c>
      <c r="E45" s="14" t="s">
        <v>16</v>
      </c>
      <c r="F45" s="14" t="s">
        <v>117</v>
      </c>
      <c r="G45" s="14" t="s">
        <v>13</v>
      </c>
      <c r="H45" s="22">
        <v>7</v>
      </c>
      <c r="I45" s="29">
        <v>16</v>
      </c>
    </row>
    <row r="46" spans="1:9">
      <c r="A46" s="40"/>
      <c r="B46" s="14" t="s">
        <v>95</v>
      </c>
      <c r="C46" s="14" t="s">
        <v>16</v>
      </c>
      <c r="D46" s="14" t="s">
        <v>32</v>
      </c>
      <c r="E46" s="14" t="s">
        <v>16</v>
      </c>
      <c r="F46" s="14" t="s">
        <v>118</v>
      </c>
      <c r="G46" s="14" t="s">
        <v>119</v>
      </c>
      <c r="H46" s="22">
        <v>8</v>
      </c>
      <c r="I46" s="29">
        <v>17</v>
      </c>
    </row>
    <row r="47" spans="1:9">
      <c r="A47" s="40"/>
      <c r="B47" s="14" t="s">
        <v>95</v>
      </c>
      <c r="C47" s="14" t="s">
        <v>16</v>
      </c>
      <c r="D47" s="14" t="s">
        <v>32</v>
      </c>
      <c r="E47" s="14" t="s">
        <v>16</v>
      </c>
      <c r="F47" s="14" t="s">
        <v>120</v>
      </c>
      <c r="G47" s="14" t="s">
        <v>122</v>
      </c>
      <c r="H47" s="22">
        <v>9</v>
      </c>
      <c r="I47" s="29">
        <v>18</v>
      </c>
    </row>
    <row r="48" spans="1:9">
      <c r="A48" s="40"/>
      <c r="B48" s="14" t="s">
        <v>95</v>
      </c>
      <c r="C48" s="14" t="s">
        <v>16</v>
      </c>
      <c r="D48" s="14" t="s">
        <v>33</v>
      </c>
      <c r="E48" s="14" t="s">
        <v>17</v>
      </c>
      <c r="F48" s="14" t="s">
        <v>120</v>
      </c>
      <c r="G48" s="14" t="s">
        <v>121</v>
      </c>
      <c r="H48" s="22">
        <v>1</v>
      </c>
      <c r="I48" s="29">
        <v>19</v>
      </c>
    </row>
    <row r="49" spans="1:9">
      <c r="A49" s="40">
        <v>3</v>
      </c>
      <c r="B49" s="14" t="s">
        <v>36</v>
      </c>
      <c r="C49" s="14" t="s">
        <v>26</v>
      </c>
      <c r="D49" s="14" t="s">
        <v>33</v>
      </c>
      <c r="E49" s="14" t="s">
        <v>17</v>
      </c>
      <c r="F49" s="14" t="s">
        <v>123</v>
      </c>
      <c r="G49" s="14" t="s">
        <v>11</v>
      </c>
      <c r="H49" s="22">
        <v>1</v>
      </c>
      <c r="I49" s="29">
        <v>1</v>
      </c>
    </row>
    <row r="50" spans="1:9">
      <c r="A50" s="40"/>
      <c r="B50" s="14" t="s">
        <v>36</v>
      </c>
      <c r="C50" s="14" t="s">
        <v>26</v>
      </c>
      <c r="D50" s="14" t="s">
        <v>33</v>
      </c>
      <c r="E50" s="14" t="s">
        <v>17</v>
      </c>
      <c r="F50" s="14" t="s">
        <v>124</v>
      </c>
      <c r="G50" s="14" t="s">
        <v>8</v>
      </c>
      <c r="H50" s="22">
        <v>2</v>
      </c>
      <c r="I50" s="29">
        <v>2</v>
      </c>
    </row>
    <row r="51" spans="1:9">
      <c r="A51" s="40"/>
      <c r="B51" s="14" t="s">
        <v>36</v>
      </c>
      <c r="C51" s="14" t="s">
        <v>26</v>
      </c>
      <c r="D51" s="14" t="s">
        <v>33</v>
      </c>
      <c r="E51" s="14" t="s">
        <v>17</v>
      </c>
      <c r="F51" s="14" t="s">
        <v>125</v>
      </c>
      <c r="G51" s="14" t="s">
        <v>126</v>
      </c>
      <c r="H51" s="22">
        <v>3</v>
      </c>
      <c r="I51" s="30">
        <v>3</v>
      </c>
    </row>
    <row r="52" spans="1:9">
      <c r="A52" s="40"/>
      <c r="B52" s="14" t="s">
        <v>36</v>
      </c>
      <c r="C52" s="14" t="s">
        <v>26</v>
      </c>
      <c r="D52" s="14" t="s">
        <v>33</v>
      </c>
      <c r="E52" s="14" t="s">
        <v>17</v>
      </c>
      <c r="F52" s="14" t="s">
        <v>127</v>
      </c>
      <c r="G52" s="14" t="s">
        <v>128</v>
      </c>
      <c r="H52" s="22">
        <v>4</v>
      </c>
      <c r="I52" s="29">
        <v>4</v>
      </c>
    </row>
    <row r="53" spans="1:9">
      <c r="A53" s="40"/>
      <c r="B53" s="14" t="s">
        <v>36</v>
      </c>
      <c r="C53" s="14" t="s">
        <v>26</v>
      </c>
      <c r="D53" s="14" t="s">
        <v>33</v>
      </c>
      <c r="E53" s="14" t="s">
        <v>17</v>
      </c>
      <c r="F53" s="14" t="s">
        <v>129</v>
      </c>
      <c r="G53" s="14" t="s">
        <v>130</v>
      </c>
      <c r="H53" s="22">
        <v>5</v>
      </c>
      <c r="I53" s="29">
        <v>5</v>
      </c>
    </row>
    <row r="54" spans="1:9">
      <c r="A54" s="40"/>
      <c r="B54" s="14" t="s">
        <v>36</v>
      </c>
      <c r="C54" s="14" t="s">
        <v>26</v>
      </c>
      <c r="D54" s="14" t="s">
        <v>33</v>
      </c>
      <c r="E54" s="14" t="s">
        <v>17</v>
      </c>
      <c r="F54" s="14" t="s">
        <v>131</v>
      </c>
      <c r="G54" s="14" t="s">
        <v>14</v>
      </c>
      <c r="H54" s="22">
        <v>6</v>
      </c>
      <c r="I54" s="30">
        <v>6</v>
      </c>
    </row>
    <row r="55" spans="1:9">
      <c r="A55" s="40"/>
      <c r="B55" s="14" t="s">
        <v>36</v>
      </c>
      <c r="C55" s="14" t="s">
        <v>26</v>
      </c>
      <c r="D55" s="14" t="s">
        <v>33</v>
      </c>
      <c r="E55" s="14" t="s">
        <v>17</v>
      </c>
      <c r="F55" s="14" t="s">
        <v>132</v>
      </c>
      <c r="G55" s="14" t="s">
        <v>133</v>
      </c>
      <c r="H55" s="22">
        <v>7</v>
      </c>
      <c r="I55" s="31">
        <v>7</v>
      </c>
    </row>
    <row r="56" spans="1:9">
      <c r="A56" s="40"/>
      <c r="B56" s="14" t="s">
        <v>36</v>
      </c>
      <c r="C56" s="14" t="s">
        <v>26</v>
      </c>
      <c r="D56" s="14" t="s">
        <v>33</v>
      </c>
      <c r="E56" s="14" t="s">
        <v>17</v>
      </c>
      <c r="F56" s="14" t="s">
        <v>134</v>
      </c>
      <c r="G56" s="14" t="s">
        <v>35</v>
      </c>
      <c r="H56" s="22">
        <v>8</v>
      </c>
      <c r="I56" s="29">
        <v>8</v>
      </c>
    </row>
    <row r="57" spans="1:9">
      <c r="A57" s="40"/>
      <c r="B57" s="14" t="s">
        <v>36</v>
      </c>
      <c r="C57" s="14" t="s">
        <v>26</v>
      </c>
      <c r="D57" s="14" t="s">
        <v>33</v>
      </c>
      <c r="E57" s="14" t="s">
        <v>17</v>
      </c>
      <c r="F57" s="14" t="s">
        <v>135</v>
      </c>
      <c r="G57" s="14" t="s">
        <v>25</v>
      </c>
      <c r="H57" s="22">
        <v>9</v>
      </c>
      <c r="I57" s="29">
        <v>9</v>
      </c>
    </row>
    <row r="58" spans="1:9">
      <c r="A58" s="40"/>
      <c r="B58" s="14" t="s">
        <v>36</v>
      </c>
      <c r="C58" s="14" t="s">
        <v>26</v>
      </c>
      <c r="D58" s="14" t="s">
        <v>33</v>
      </c>
      <c r="E58" s="14" t="s">
        <v>17</v>
      </c>
      <c r="F58" s="14" t="s">
        <v>136</v>
      </c>
      <c r="G58" s="14" t="s">
        <v>137</v>
      </c>
      <c r="H58" s="22">
        <v>10</v>
      </c>
      <c r="I58" s="29">
        <v>10</v>
      </c>
    </row>
    <row r="59" spans="1:9">
      <c r="A59" s="40"/>
      <c r="B59" s="14" t="s">
        <v>36</v>
      </c>
      <c r="C59" s="14" t="s">
        <v>26</v>
      </c>
      <c r="D59" s="14" t="s">
        <v>33</v>
      </c>
      <c r="E59" s="14" t="s">
        <v>17</v>
      </c>
      <c r="F59" s="14" t="s">
        <v>138</v>
      </c>
      <c r="G59" s="14" t="s">
        <v>139</v>
      </c>
      <c r="H59" s="22">
        <v>11</v>
      </c>
      <c r="I59" s="29">
        <v>11</v>
      </c>
    </row>
    <row r="60" spans="1:9">
      <c r="A60" s="40"/>
      <c r="B60" s="14" t="s">
        <v>36</v>
      </c>
      <c r="C60" s="14" t="s">
        <v>26</v>
      </c>
      <c r="D60" s="14" t="s">
        <v>33</v>
      </c>
      <c r="E60" s="14" t="s">
        <v>17</v>
      </c>
      <c r="F60" s="14" t="s">
        <v>140</v>
      </c>
      <c r="G60" s="14" t="s">
        <v>101</v>
      </c>
      <c r="H60" s="22">
        <v>12</v>
      </c>
      <c r="I60" s="29">
        <v>12</v>
      </c>
    </row>
    <row r="61" spans="1:9">
      <c r="A61" s="40"/>
      <c r="B61" s="14" t="s">
        <v>36</v>
      </c>
      <c r="C61" s="14" t="s">
        <v>26</v>
      </c>
      <c r="D61" s="14" t="s">
        <v>21</v>
      </c>
      <c r="E61" s="14" t="s">
        <v>27</v>
      </c>
      <c r="F61" s="14" t="s">
        <v>141</v>
      </c>
      <c r="G61" s="14" t="s">
        <v>10</v>
      </c>
      <c r="H61" s="22">
        <v>1</v>
      </c>
      <c r="I61" s="29">
        <v>13</v>
      </c>
    </row>
    <row r="62" spans="1:9">
      <c r="A62" s="40"/>
      <c r="B62" s="14" t="s">
        <v>36</v>
      </c>
      <c r="C62" s="14" t="s">
        <v>26</v>
      </c>
      <c r="D62" s="14" t="s">
        <v>21</v>
      </c>
      <c r="E62" s="14" t="s">
        <v>27</v>
      </c>
      <c r="F62" s="14" t="s">
        <v>142</v>
      </c>
      <c r="G62" s="14" t="s">
        <v>143</v>
      </c>
      <c r="H62" s="22">
        <v>2</v>
      </c>
      <c r="I62" s="31">
        <v>14</v>
      </c>
    </row>
  </sheetData>
  <mergeCells count="6">
    <mergeCell ref="A5:A29"/>
    <mergeCell ref="A30:A48"/>
    <mergeCell ref="A49:A62"/>
    <mergeCell ref="A1:I1"/>
    <mergeCell ref="F2:I2"/>
    <mergeCell ref="F3:I3"/>
  </mergeCells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7"/>
  <sheetViews>
    <sheetView tabSelected="1" view="pageLayout" topLeftCell="A10" workbookViewId="0">
      <selection sqref="A1:K1"/>
    </sheetView>
  </sheetViews>
  <sheetFormatPr defaultColWidth="20.7109375" defaultRowHeight="24.95" customHeight="1"/>
  <cols>
    <col min="1" max="1" width="6.7109375" style="21" customWidth="1"/>
    <col min="2" max="2" width="22.28515625" style="8" customWidth="1"/>
    <col min="3" max="3" width="21.42578125" style="8" customWidth="1"/>
    <col min="4" max="4" width="10.140625" style="5" customWidth="1"/>
    <col min="5" max="5" width="9.28515625" style="5" customWidth="1"/>
    <col min="6" max="6" width="6.85546875" style="5" customWidth="1"/>
    <col min="7" max="7" width="6.7109375" style="5" customWidth="1"/>
    <col min="8" max="8" width="7.42578125" style="5" customWidth="1"/>
    <col min="9" max="9" width="7.140625" style="5" customWidth="1"/>
    <col min="10" max="10" width="8.140625" style="5" customWidth="1"/>
    <col min="11" max="11" width="8.5703125" style="5" customWidth="1"/>
    <col min="12" max="16384" width="20.7109375" style="9"/>
  </cols>
  <sheetData>
    <row r="1" spans="1:12" ht="24.95" customHeight="1">
      <c r="A1" s="43" t="s">
        <v>42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2" ht="24.95" customHeight="1">
      <c r="A2" s="43" t="s">
        <v>43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2" s="6" customFormat="1" ht="24.95" customHeight="1">
      <c r="A3" s="3" t="s">
        <v>37</v>
      </c>
      <c r="B3" s="2" t="s">
        <v>54</v>
      </c>
      <c r="C3" s="32"/>
      <c r="D3" s="33"/>
      <c r="E3" s="33"/>
      <c r="F3" s="32"/>
      <c r="G3" s="44" t="s">
        <v>38</v>
      </c>
      <c r="H3" s="44"/>
      <c r="I3" s="44"/>
      <c r="J3" s="44"/>
      <c r="K3" s="44"/>
    </row>
    <row r="4" spans="1:12" ht="23.25" customHeight="1">
      <c r="A4" s="7"/>
      <c r="B4" s="34"/>
      <c r="C4" s="34"/>
      <c r="D4" s="33"/>
      <c r="E4" s="33"/>
      <c r="F4" s="33"/>
      <c r="G4" s="33"/>
      <c r="H4" s="33" t="s">
        <v>156</v>
      </c>
      <c r="I4" s="33"/>
      <c r="J4" s="33"/>
      <c r="K4" s="33"/>
    </row>
    <row r="5" spans="1:12" ht="65.25" customHeight="1">
      <c r="A5" s="48" t="s">
        <v>44</v>
      </c>
      <c r="B5" s="47" t="s">
        <v>45</v>
      </c>
      <c r="C5" s="47" t="s">
        <v>46</v>
      </c>
      <c r="D5" s="47" t="s">
        <v>47</v>
      </c>
      <c r="E5" s="49" t="s">
        <v>48</v>
      </c>
      <c r="F5" s="47" t="s">
        <v>49</v>
      </c>
      <c r="G5" s="47"/>
      <c r="H5" s="47" t="s">
        <v>50</v>
      </c>
      <c r="I5" s="47"/>
      <c r="J5" s="47" t="s">
        <v>51</v>
      </c>
      <c r="K5" s="47"/>
    </row>
    <row r="6" spans="1:12" ht="35.25" customHeight="1">
      <c r="A6" s="48"/>
      <c r="B6" s="47"/>
      <c r="C6" s="47"/>
      <c r="D6" s="47"/>
      <c r="E6" s="50"/>
      <c r="F6" s="12" t="s">
        <v>52</v>
      </c>
      <c r="G6" s="12" t="s">
        <v>53</v>
      </c>
      <c r="H6" s="12" t="s">
        <v>52</v>
      </c>
      <c r="I6" s="12" t="s">
        <v>53</v>
      </c>
      <c r="J6" s="12" t="s">
        <v>52</v>
      </c>
      <c r="K6" s="12" t="s">
        <v>53</v>
      </c>
    </row>
    <row r="7" spans="1:12" ht="30" customHeight="1">
      <c r="A7" s="46">
        <v>1</v>
      </c>
      <c r="B7" s="25" t="s">
        <v>27</v>
      </c>
      <c r="C7" s="25" t="s">
        <v>27</v>
      </c>
      <c r="D7" s="15">
        <v>12</v>
      </c>
      <c r="E7" s="15">
        <f>D7</f>
        <v>12</v>
      </c>
      <c r="F7" s="16"/>
      <c r="G7" s="16"/>
      <c r="H7" s="16"/>
      <c r="I7" s="16"/>
      <c r="J7" s="16" t="s">
        <v>144</v>
      </c>
      <c r="K7" s="16" t="s">
        <v>55</v>
      </c>
      <c r="L7" s="17"/>
    </row>
    <row r="8" spans="1:12" ht="30" customHeight="1">
      <c r="A8" s="46"/>
      <c r="B8" s="25" t="s">
        <v>6</v>
      </c>
      <c r="C8" s="25" t="s">
        <v>6</v>
      </c>
      <c r="D8" s="16">
        <v>13</v>
      </c>
      <c r="E8" s="16">
        <f>D8+E7</f>
        <v>25</v>
      </c>
      <c r="F8" s="16"/>
      <c r="G8" s="16"/>
      <c r="H8" s="16"/>
      <c r="I8" s="16"/>
      <c r="J8" s="16" t="s">
        <v>145</v>
      </c>
      <c r="K8" s="16" t="s">
        <v>147</v>
      </c>
      <c r="L8" s="17"/>
    </row>
    <row r="9" spans="1:12" ht="30" customHeight="1">
      <c r="A9" s="13"/>
      <c r="B9" s="25"/>
      <c r="C9" s="27" t="s">
        <v>57</v>
      </c>
      <c r="D9" s="26">
        <f>SUM(D7:D8)</f>
        <v>25</v>
      </c>
      <c r="E9" s="16"/>
      <c r="F9" s="18">
        <v>3</v>
      </c>
      <c r="G9" s="18">
        <v>3</v>
      </c>
      <c r="H9" s="18">
        <v>83</v>
      </c>
      <c r="I9" s="18">
        <v>83</v>
      </c>
      <c r="J9" s="16" t="s">
        <v>146</v>
      </c>
      <c r="K9" s="16" t="s">
        <v>148</v>
      </c>
      <c r="L9" s="17"/>
    </row>
    <row r="10" spans="1:12" ht="28.5" customHeight="1">
      <c r="A10" s="51">
        <v>2</v>
      </c>
      <c r="B10" s="25" t="s">
        <v>16</v>
      </c>
      <c r="C10" s="25" t="s">
        <v>18</v>
      </c>
      <c r="D10" s="16">
        <v>9</v>
      </c>
      <c r="E10" s="16">
        <f>D10</f>
        <v>9</v>
      </c>
      <c r="F10" s="18"/>
      <c r="G10" s="18"/>
      <c r="H10" s="16"/>
      <c r="I10" s="16"/>
      <c r="J10" s="16"/>
      <c r="K10" s="16"/>
      <c r="L10" s="17"/>
    </row>
    <row r="11" spans="1:12" ht="28.5" customHeight="1">
      <c r="A11" s="52"/>
      <c r="B11" s="25" t="s">
        <v>16</v>
      </c>
      <c r="C11" s="25" t="s">
        <v>17</v>
      </c>
      <c r="D11" s="16">
        <v>1</v>
      </c>
      <c r="E11" s="16">
        <f>D11+E10</f>
        <v>10</v>
      </c>
      <c r="F11" s="18"/>
      <c r="G11" s="18"/>
      <c r="H11" s="16"/>
      <c r="I11" s="16"/>
      <c r="J11" s="16" t="s">
        <v>149</v>
      </c>
      <c r="K11" s="16" t="s">
        <v>151</v>
      </c>
      <c r="L11" s="17"/>
    </row>
    <row r="12" spans="1:12" ht="28.5" customHeight="1">
      <c r="A12" s="53"/>
      <c r="B12" s="25" t="s">
        <v>16</v>
      </c>
      <c r="C12" s="25" t="s">
        <v>16</v>
      </c>
      <c r="D12" s="16">
        <v>9</v>
      </c>
      <c r="E12" s="16">
        <f>E11+D12</f>
        <v>19</v>
      </c>
      <c r="F12" s="18"/>
      <c r="G12" s="18"/>
      <c r="H12" s="16"/>
      <c r="I12" s="16"/>
      <c r="J12" s="16" t="s">
        <v>150</v>
      </c>
      <c r="K12" s="16" t="s">
        <v>56</v>
      </c>
      <c r="L12" s="17"/>
    </row>
    <row r="13" spans="1:12" ht="28.5" customHeight="1">
      <c r="A13" s="13"/>
      <c r="B13" s="25"/>
      <c r="C13" s="27" t="s">
        <v>57</v>
      </c>
      <c r="D13" s="26">
        <f>SUM(D10:D12)</f>
        <v>19</v>
      </c>
      <c r="E13" s="16"/>
      <c r="F13" s="18">
        <v>2</v>
      </c>
      <c r="G13" s="18">
        <v>2</v>
      </c>
      <c r="H13" s="18">
        <v>84</v>
      </c>
      <c r="I13" s="18">
        <v>84</v>
      </c>
      <c r="J13" s="16"/>
      <c r="K13" s="16"/>
      <c r="L13" s="17"/>
    </row>
    <row r="14" spans="1:12" ht="28.5" customHeight="1">
      <c r="A14" s="46">
        <v>3</v>
      </c>
      <c r="B14" s="25" t="s">
        <v>26</v>
      </c>
      <c r="C14" s="25" t="s">
        <v>27</v>
      </c>
      <c r="D14" s="16">
        <v>2</v>
      </c>
      <c r="E14" s="16">
        <f>D14</f>
        <v>2</v>
      </c>
      <c r="F14" s="24"/>
      <c r="G14" s="24"/>
      <c r="H14" s="24"/>
      <c r="I14" s="24"/>
      <c r="J14" s="16" t="s">
        <v>152</v>
      </c>
      <c r="K14" s="16" t="s">
        <v>154</v>
      </c>
      <c r="L14" s="17"/>
    </row>
    <row r="15" spans="1:12" ht="28.5" customHeight="1">
      <c r="A15" s="46"/>
      <c r="B15" s="25" t="s">
        <v>26</v>
      </c>
      <c r="C15" s="25" t="s">
        <v>17</v>
      </c>
      <c r="D15" s="16">
        <v>12</v>
      </c>
      <c r="E15" s="16">
        <f>E14+D15</f>
        <v>14</v>
      </c>
      <c r="F15" s="16"/>
      <c r="G15" s="16"/>
      <c r="H15" s="16"/>
      <c r="I15" s="16"/>
      <c r="J15" s="16" t="s">
        <v>153</v>
      </c>
      <c r="K15" s="16" t="s">
        <v>155</v>
      </c>
      <c r="L15" s="17"/>
    </row>
    <row r="16" spans="1:12" ht="28.5" customHeight="1">
      <c r="A16" s="23"/>
      <c r="B16" s="19"/>
      <c r="C16" s="28" t="s">
        <v>57</v>
      </c>
      <c r="D16" s="26">
        <f>SUM(D14:D15)</f>
        <v>14</v>
      </c>
      <c r="E16" s="20"/>
      <c r="F16" s="18">
        <v>2</v>
      </c>
      <c r="G16" s="18">
        <v>2</v>
      </c>
      <c r="H16" s="18">
        <v>85</v>
      </c>
      <c r="I16" s="18">
        <v>85</v>
      </c>
      <c r="J16" s="16"/>
      <c r="K16" s="16"/>
      <c r="L16" s="17"/>
    </row>
    <row r="17" spans="1:12" ht="24.95" customHeight="1">
      <c r="A17" s="23"/>
      <c r="B17" s="14"/>
      <c r="C17" s="28" t="s">
        <v>58</v>
      </c>
      <c r="D17" s="26">
        <f>D9+D13+D16</f>
        <v>58</v>
      </c>
      <c r="E17" s="16"/>
      <c r="F17" s="16"/>
      <c r="G17" s="16"/>
      <c r="H17" s="16"/>
      <c r="I17" s="16"/>
      <c r="J17" s="16"/>
      <c r="K17" s="16"/>
      <c r="L17" s="17"/>
    </row>
  </sheetData>
  <mergeCells count="14">
    <mergeCell ref="A14:A15"/>
    <mergeCell ref="J5:K5"/>
    <mergeCell ref="A1:K1"/>
    <mergeCell ref="A2:K2"/>
    <mergeCell ref="G3:K3"/>
    <mergeCell ref="A5:A6"/>
    <mergeCell ref="B5:B6"/>
    <mergeCell ref="C5:C6"/>
    <mergeCell ref="D5:D6"/>
    <mergeCell ref="E5:E6"/>
    <mergeCell ref="F5:G5"/>
    <mergeCell ref="H5:I5"/>
    <mergeCell ref="A7:A8"/>
    <mergeCell ref="A10:A12"/>
  </mergeCells>
  <pageMargins left="0.31496062992125984" right="0.31496062992125984" top="0.35433070866141736" bottom="0.19685039370078741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STRATUM WISE (CS)</vt:lpstr>
      <vt:lpstr>STRATUM WISE (SS)</vt:lpstr>
      <vt:lpstr>STRATUM WISE</vt:lpstr>
      <vt:lpstr>WORKING SHEET</vt:lpstr>
      <vt:lpstr>'STRATUM WISE'!Print_Titles</vt:lpstr>
      <vt:lpstr>'STRATUM WISE (CS)'!Print_Titles</vt:lpstr>
      <vt:lpstr>'STRATUM WISE (SS)'!Print_Titles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2025-06-30T08:52:48Z</cp:lastPrinted>
  <dcterms:created xsi:type="dcterms:W3CDTF">2025-06-18T07:58:42Z</dcterms:created>
  <dcterms:modified xsi:type="dcterms:W3CDTF">2026-06-16T12:27:33Z</dcterms:modified>
</cp:coreProperties>
</file>
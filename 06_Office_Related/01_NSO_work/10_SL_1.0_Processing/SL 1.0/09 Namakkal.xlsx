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9" r:id="rId1"/>
    <sheet name="STRATUM WISE (SS)" sheetId="8" r:id="rId2"/>
    <sheet name="STRATUM WISE" sheetId="5" r:id="rId3"/>
    <sheet name="WORKING SHEET" sheetId="6" r:id="rId4"/>
  </sheets>
  <definedNames>
    <definedName name="_xlnm._FilterDatabase" localSheetId="2" hidden="1">'STRATUM WISE'!$A$4:$I$95</definedName>
    <definedName name="_xlnm._FilterDatabase" localSheetId="0" hidden="1">'STRATUM WISE (CS)'!$A$4:$F$13</definedName>
    <definedName name="_xlnm._FilterDatabase" localSheetId="1" hidden="1">'STRATUM WISE (SS)'!$A$4:$F$13</definedName>
    <definedName name="_xlnm.Print_Titles" localSheetId="2">'STRATUM WISE'!$3:$3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E22" i="6"/>
  <c r="E21"/>
  <c r="E19"/>
  <c r="E18"/>
  <c r="E17"/>
  <c r="E12"/>
  <c r="E13" s="1"/>
  <c r="E14" s="1"/>
  <c r="E15" s="1"/>
  <c r="E7"/>
  <c r="E8" s="1"/>
  <c r="E9" s="1"/>
  <c r="E10" s="1"/>
  <c r="D26"/>
  <c r="D20"/>
  <c r="D16"/>
  <c r="D11"/>
  <c r="E23" l="1"/>
  <c r="E24" s="1"/>
  <c r="E25" s="1"/>
  <c r="D27"/>
</calcChain>
</file>

<file path=xl/sharedStrings.xml><?xml version="1.0" encoding="utf-8"?>
<sst xmlns="http://schemas.openxmlformats.org/spreadsheetml/2006/main" count="729" uniqueCount="235">
  <si>
    <t>TRS_TKCODE</t>
  </si>
  <si>
    <t>TRS_TKNAME</t>
  </si>
  <si>
    <t>TRS_BKCODE</t>
  </si>
  <si>
    <t>TRS_BKNAME</t>
  </si>
  <si>
    <t>VGNAME</t>
  </si>
  <si>
    <t>RV_CODE</t>
  </si>
  <si>
    <t>NAMAKKAL</t>
  </si>
  <si>
    <t>MOHANUR</t>
  </si>
  <si>
    <t>LATHUVADI</t>
  </si>
  <si>
    <t>37</t>
  </si>
  <si>
    <t>30</t>
  </si>
  <si>
    <t>53</t>
  </si>
  <si>
    <t>35</t>
  </si>
  <si>
    <t>PUDUCHATRAM</t>
  </si>
  <si>
    <t>7</t>
  </si>
  <si>
    <t>9</t>
  </si>
  <si>
    <t>12</t>
  </si>
  <si>
    <t>11</t>
  </si>
  <si>
    <t>24</t>
  </si>
  <si>
    <t>SENTHAMANGALAM</t>
  </si>
  <si>
    <t>ERUMAPATTI</t>
  </si>
  <si>
    <t>27</t>
  </si>
  <si>
    <t>25</t>
  </si>
  <si>
    <t>32</t>
  </si>
  <si>
    <t>31</t>
  </si>
  <si>
    <t>40</t>
  </si>
  <si>
    <t>SENTHAMAGALAM</t>
  </si>
  <si>
    <t>5</t>
  </si>
  <si>
    <t>18</t>
  </si>
  <si>
    <t>14</t>
  </si>
  <si>
    <t>15</t>
  </si>
  <si>
    <t>PARAMATHI-VELUR</t>
  </si>
  <si>
    <t>KABILARMALAI</t>
  </si>
  <si>
    <t>13</t>
  </si>
  <si>
    <t>PANDAMANGALAM</t>
  </si>
  <si>
    <t>41</t>
  </si>
  <si>
    <t>58</t>
  </si>
  <si>
    <t>NALLUR</t>
  </si>
  <si>
    <t>8</t>
  </si>
  <si>
    <t>19</t>
  </si>
  <si>
    <t>34</t>
  </si>
  <si>
    <t>RASIPURAM</t>
  </si>
  <si>
    <t>NAMAGIRIPETTAI</t>
  </si>
  <si>
    <t>87</t>
  </si>
  <si>
    <t>78</t>
  </si>
  <si>
    <t>45</t>
  </si>
  <si>
    <t>54</t>
  </si>
  <si>
    <t>VENNANDUR</t>
  </si>
  <si>
    <t>21</t>
  </si>
  <si>
    <t>22</t>
  </si>
  <si>
    <t>KUMARAPALAYAM</t>
  </si>
  <si>
    <t>PALLIPALAYAM</t>
  </si>
  <si>
    <t>10</t>
  </si>
  <si>
    <t>TIRUCHENGODE</t>
  </si>
  <si>
    <t>16</t>
  </si>
  <si>
    <t>17</t>
  </si>
  <si>
    <t>ELACHIPALAYAM</t>
  </si>
  <si>
    <t>70</t>
  </si>
  <si>
    <t>77</t>
  </si>
  <si>
    <t>MALLASAMUDRAM</t>
  </si>
  <si>
    <t>51</t>
  </si>
  <si>
    <t>66</t>
  </si>
  <si>
    <t>KOLLIMALAI</t>
  </si>
  <si>
    <t>3</t>
  </si>
  <si>
    <t>1</t>
  </si>
  <si>
    <t xml:space="preserve">District: </t>
  </si>
  <si>
    <t>Sample : Central /State</t>
  </si>
  <si>
    <t>.Stratum No.</t>
  </si>
  <si>
    <t>Village s.no within Block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</si>
  <si>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</si>
  <si>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</si>
  <si>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</si>
  <si>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</si>
  <si>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</si>
  <si>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</si>
  <si>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</si>
  <si>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</si>
  <si>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</si>
  <si>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</si>
  <si>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</si>
  <si>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</si>
  <si>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</si>
  <si>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</si>
  <si>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NAMAKKAL(09)</t>
  </si>
  <si>
    <t>Kollimalai</t>
  </si>
  <si>
    <t>Kumarapalayam</t>
  </si>
  <si>
    <t>Pallipalayam</t>
  </si>
  <si>
    <t>Thiruchengode</t>
  </si>
  <si>
    <t>Mohanur</t>
  </si>
  <si>
    <t>Namakkal</t>
  </si>
  <si>
    <t>Puduchathiram</t>
  </si>
  <si>
    <t>Paramathivelur</t>
  </si>
  <si>
    <t>Kabilarmalai</t>
  </si>
  <si>
    <t>Rasipuram</t>
  </si>
  <si>
    <t>Namagiripettai</t>
  </si>
  <si>
    <t>Vennandur</t>
  </si>
  <si>
    <t>Senthamangalam</t>
  </si>
  <si>
    <t>Erumaipatti</t>
  </si>
  <si>
    <t>Tiruchengode</t>
  </si>
  <si>
    <t>Elachipalayam</t>
  </si>
  <si>
    <t>Mallasamudram</t>
  </si>
  <si>
    <t>Year:2026-27 (Fasli-1436)</t>
  </si>
  <si>
    <t>ANANGOOR</t>
  </si>
  <si>
    <t>SELUR NADU</t>
  </si>
  <si>
    <t>DEVANUR_NADU</t>
  </si>
  <si>
    <t>VALAPPUR NADU</t>
  </si>
  <si>
    <t>ARASANATHAM</t>
  </si>
  <si>
    <t>VALAIYAPPATTI</t>
  </si>
  <si>
    <t>57</t>
  </si>
  <si>
    <t>THLOUR</t>
  </si>
  <si>
    <t>KADACHANALLOOR</t>
  </si>
  <si>
    <t>ODAPALLIAGRAHARAM</t>
  </si>
  <si>
    <t>KUMARAPALAYAM AAMANI</t>
  </si>
  <si>
    <t>KOKKARAYANPATTI</t>
  </si>
  <si>
    <t>20</t>
  </si>
  <si>
    <t>PERIYASOLIPALAYAM</t>
  </si>
  <si>
    <t>36</t>
  </si>
  <si>
    <t>KABILAKURICHI</t>
  </si>
  <si>
    <t>M.KUNNATHUR</t>
  </si>
  <si>
    <t>39</t>
  </si>
  <si>
    <t>KOTTAMANKALAM</t>
  </si>
  <si>
    <t>VADAGARARI ATTUR</t>
  </si>
  <si>
    <t>RAMADEVAM</t>
  </si>
  <si>
    <t>PUNJAI EDAIYAR MELMUGAM</t>
  </si>
  <si>
    <t>48</t>
  </si>
  <si>
    <t>SIDDHAMPOONDI</t>
  </si>
  <si>
    <t>PILLAIKALATHUR</t>
  </si>
  <si>
    <t>NANJAI EDAIYAR</t>
  </si>
  <si>
    <t>50</t>
  </si>
  <si>
    <t>SENGALPALLI</t>
  </si>
  <si>
    <t>LAKKAPURAM</t>
  </si>
  <si>
    <t>PACHAL</t>
  </si>
  <si>
    <t>ELUR</t>
  </si>
  <si>
    <t>4</t>
  </si>
  <si>
    <t>R.PULYAMPATTI</t>
  </si>
  <si>
    <t>PAPPINAYAKKANPATTI</t>
  </si>
  <si>
    <t>KANNURPATTI</t>
  </si>
  <si>
    <t>DADHADRIPURAM</t>
  </si>
  <si>
    <t>NARAVALUR THOTIPALAYAM</t>
  </si>
  <si>
    <t>42</t>
  </si>
  <si>
    <t>MITTAANIAR</t>
  </si>
  <si>
    <t>SINGILIPATTI</t>
  </si>
  <si>
    <t>VEESANAM</t>
  </si>
  <si>
    <t>THOTTIPATTI</t>
  </si>
  <si>
    <t>NALLA GOUNDAMPALAYAM.</t>
  </si>
  <si>
    <t>AAVALNAYAKANPATTI</t>
  </si>
  <si>
    <t>NO.3.KOMARAPALYAM</t>
  </si>
  <si>
    <t>ALAMPATTI</t>
  </si>
  <si>
    <t>ANNAMALAIPATTI</t>
  </si>
  <si>
    <t>MELUR</t>
  </si>
  <si>
    <t>SOWDAPURAM</t>
  </si>
  <si>
    <t>MADIAMPATTI</t>
  </si>
  <si>
    <t>T.JEDARPALAYAM</t>
  </si>
  <si>
    <t>43</t>
  </si>
  <si>
    <t>MATHURUTTU</t>
  </si>
  <si>
    <t>76</t>
  </si>
  <si>
    <t>NARAIKINAR</t>
  </si>
  <si>
    <t>KARKOODAL PATTY-I</t>
  </si>
  <si>
    <t>MOOLAPALLIPATTI</t>
  </si>
  <si>
    <t>O.JEDARPALAYAM</t>
  </si>
  <si>
    <t>46</t>
  </si>
  <si>
    <t>CHINNAKKAPALAYAM</t>
  </si>
  <si>
    <t>VADUGAMMUNINAPALYAM</t>
  </si>
  <si>
    <t>61</t>
  </si>
  <si>
    <t>6</t>
  </si>
  <si>
    <t>SINGALADAPURAM</t>
  </si>
  <si>
    <t>MOLAPALAYM</t>
  </si>
  <si>
    <t>KAKKAVERI</t>
  </si>
  <si>
    <t>ANAIPALAYAM</t>
  </si>
  <si>
    <t>ELLAMPATTI</t>
  </si>
  <si>
    <t>29</t>
  </si>
  <si>
    <t>83</t>
  </si>
  <si>
    <t>MAUVRETTYPATTI</t>
  </si>
  <si>
    <t>89</t>
  </si>
  <si>
    <t>MOLIPALLI</t>
  </si>
  <si>
    <t>KOTHAMPOODI</t>
  </si>
  <si>
    <t>85</t>
  </si>
  <si>
    <t>ELUPULI</t>
  </si>
  <si>
    <t>86</t>
  </si>
  <si>
    <t>KOKKALAI</t>
  </si>
  <si>
    <t>MINNAMPALLI</t>
  </si>
  <si>
    <t>68</t>
  </si>
  <si>
    <t>MARAPPARAI</t>
  </si>
  <si>
    <t>71</t>
  </si>
  <si>
    <t>PILLANATHAM</t>
  </si>
  <si>
    <t>49</t>
  </si>
  <si>
    <t>PARUTHIPALLI</t>
  </si>
  <si>
    <t>73</t>
  </si>
  <si>
    <t>METTUPALAYAM</t>
  </si>
  <si>
    <t>69</t>
  </si>
  <si>
    <t>SEMBAMPALAYAM</t>
  </si>
  <si>
    <t>A.ERAYAMMANGALAM</t>
  </si>
  <si>
    <t>T.PUDUPALAYAM</t>
  </si>
  <si>
    <t>33</t>
  </si>
  <si>
    <t>KARUVEPPAMPATTI</t>
  </si>
  <si>
    <t>THIRUMANGALAM</t>
  </si>
  <si>
    <t>ATHIPALAYAM</t>
  </si>
  <si>
    <t>SIDHALANTHUR</t>
  </si>
  <si>
    <t>SENGODAMPALAYAM</t>
  </si>
  <si>
    <t>EAMAPALLI</t>
  </si>
  <si>
    <t>2</t>
  </si>
  <si>
    <t>A.METTUPATTI]</t>
  </si>
  <si>
    <t>PERUMAPATTI</t>
  </si>
  <si>
    <t>SIVALNAICKENPATTI</t>
  </si>
  <si>
    <t>PERUMAPATTI AGRAHARAM</t>
  </si>
  <si>
    <t>BOMMASUMUDRAM AGRAHARAM</t>
  </si>
  <si>
    <t>PAVITRAM</t>
  </si>
  <si>
    <t>PUDUGOMBAI</t>
  </si>
  <si>
    <t>MUTHUKAPATTI</t>
  </si>
  <si>
    <t>POMMASUMUDRAM</t>
  </si>
  <si>
    <t>AKKIYAMPATTI</t>
  </si>
  <si>
    <t>PONNARKULAM-IV</t>
  </si>
  <si>
    <t>UTHIRAKIDIKAVAL</t>
  </si>
  <si>
    <t>Village s.no within Stratum</t>
  </si>
  <si>
    <t>03(1)</t>
  </si>
  <si>
    <t>04(2)</t>
  </si>
  <si>
    <t>09(1)</t>
  </si>
  <si>
    <t>01(2)</t>
  </si>
  <si>
    <t>17(1)</t>
  </si>
  <si>
    <t>02(20</t>
  </si>
  <si>
    <t>18(1)</t>
  </si>
  <si>
    <t>06(2)</t>
  </si>
  <si>
    <t>06(1)</t>
  </si>
  <si>
    <t>12(2)</t>
  </si>
  <si>
    <t>11(2)</t>
  </si>
  <si>
    <t>29(1)</t>
  </si>
  <si>
    <t>21(2)</t>
  </si>
  <si>
    <t>08(3)</t>
  </si>
  <si>
    <t>31(2)</t>
  </si>
  <si>
    <t>16(3)</t>
  </si>
  <si>
    <t xml:space="preserve">Sample : Central </t>
  </si>
  <si>
    <t>Order of selection</t>
  </si>
  <si>
    <t>Sample : State</t>
  </si>
  <si>
    <t>Oder of selection</t>
  </si>
  <si>
    <t>Stratum No.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</si>
</sst>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67">
    <xf numFmtId="0" fontId="0" fillId="0" borderId="0" xfId="0"/>
    <xf numFmtId="0" fontId="4" fillId="2" borderId="0" xfId="2" applyFont="1" applyFill="1" applyBorder="1" applyAlignment="1">
      <alignment vertical="center"/>
    </xf>
    <xf numFmtId="0" fontId="6" fillId="0" borderId="0" xfId="4" applyFont="1" applyAlignment="1">
      <alignment horizontal="left" vertical="center"/>
    </xf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8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1" xfId="4" applyFont="1" applyBorder="1" applyAlignment="1">
      <alignment horizontal="center" vertical="center" wrapText="1"/>
    </xf>
    <xf numFmtId="0" fontId="5" fillId="0" borderId="1" xfId="1" applyFont="1" applyFill="1" applyBorder="1" applyAlignment="1">
      <alignment wrapText="1"/>
    </xf>
    <xf numFmtId="0" fontId="5" fillId="0" borderId="1" xfId="1" applyFont="1" applyFill="1" applyBorder="1" applyAlignment="1">
      <alignment horizontal="center" wrapText="1"/>
    </xf>
    <xf numFmtId="0" fontId="7" fillId="0" borderId="1" xfId="4" applyFont="1" applyBorder="1" applyAlignment="1">
      <alignment horizontal="center" vertical="center"/>
    </xf>
    <xf numFmtId="0" fontId="2" fillId="0" borderId="0" xfId="4"/>
    <xf numFmtId="0" fontId="9" fillId="0" borderId="1" xfId="4" applyFont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0" fontId="7" fillId="0" borderId="1" xfId="4" quotePrefix="1" applyFont="1" applyBorder="1" applyAlignment="1">
      <alignment horizontal="center" vertical="center"/>
    </xf>
    <xf numFmtId="0" fontId="11" fillId="0" borderId="1" xfId="1" applyFont="1" applyFill="1" applyBorder="1" applyAlignment="1">
      <alignment wrapText="1"/>
    </xf>
    <xf numFmtId="0" fontId="12" fillId="0" borderId="1" xfId="4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0" fillId="0" borderId="1" xfId="1" applyFont="1" applyFill="1" applyBorder="1" applyAlignment="1">
      <alignment horizontal="right" vertical="center" wrapText="1"/>
    </xf>
    <xf numFmtId="0" fontId="14" fillId="0" borderId="1" xfId="4" applyFont="1" applyBorder="1" applyAlignment="1">
      <alignment horizontal="center" vertical="center"/>
    </xf>
    <xf numFmtId="0" fontId="15" fillId="0" borderId="0" xfId="4" applyFont="1" applyAlignment="1">
      <alignment horizontal="center" vertical="center"/>
    </xf>
    <xf numFmtId="0" fontId="16" fillId="0" borderId="2" xfId="1" applyFont="1" applyFill="1" applyBorder="1" applyAlignment="1">
      <alignment vertical="center" wrapText="1"/>
    </xf>
    <xf numFmtId="0" fontId="16" fillId="0" borderId="4" xfId="1" applyFont="1" applyFill="1" applyBorder="1" applyAlignment="1">
      <alignment vertical="center" wrapText="1"/>
    </xf>
    <xf numFmtId="0" fontId="17" fillId="0" borderId="1" xfId="1" applyFont="1" applyFill="1" applyBorder="1" applyAlignment="1">
      <alignment horizontal="center" wrapText="1"/>
    </xf>
    <xf numFmtId="0" fontId="16" fillId="0" borderId="3" xfId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5" fillId="0" borderId="8" xfId="1" applyFont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6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0" fontId="5" fillId="0" borderId="1" xfId="1" applyFont="1" applyBorder="1" applyAlignment="1">
      <alignment wrapText="1"/>
    </xf>
    <xf numFmtId="0" fontId="18" fillId="0" borderId="1" xfId="5" applyFont="1" applyFill="1" applyBorder="1" applyAlignment="1">
      <alignment horizontal="center" wrapText="1"/>
    </xf>
    <xf numFmtId="0" fontId="6" fillId="0" borderId="1" xfId="4" applyFont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9" fillId="0" borderId="0" xfId="4" applyFont="1" applyAlignment="1">
      <alignment horizontal="left" vertical="center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0" borderId="9" xfId="4" applyFont="1" applyBorder="1" applyAlignment="1">
      <alignment horizontal="center" vertical="center"/>
    </xf>
    <xf numFmtId="0" fontId="9" fillId="0" borderId="10" xfId="4" applyFont="1" applyBorder="1" applyAlignment="1">
      <alignment horizontal="center" vertical="center"/>
    </xf>
    <xf numFmtId="0" fontId="9" fillId="0" borderId="11" xfId="4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7" fillId="0" borderId="6" xfId="4" applyFont="1" applyBorder="1" applyAlignment="1">
      <alignment horizontal="center"/>
    </xf>
    <xf numFmtId="0" fontId="7" fillId="0" borderId="7" xfId="4" applyFont="1" applyBorder="1" applyAlignment="1">
      <alignment horizontal="center"/>
    </xf>
    <xf numFmtId="0" fontId="9" fillId="0" borderId="1" xfId="4" applyFont="1" applyBorder="1" applyAlignment="1">
      <alignment horizontal="center" vertical="center" wrapText="1"/>
    </xf>
    <xf numFmtId="0" fontId="9" fillId="0" borderId="0" xfId="4" applyFont="1" applyAlignment="1">
      <alignment horizontal="left" vertical="center"/>
    </xf>
    <xf numFmtId="0" fontId="6" fillId="0" borderId="1" xfId="4" applyFont="1" applyBorder="1" applyAlignment="1">
      <alignment horizontal="center" vertical="center" textRotation="90" wrapText="1"/>
    </xf>
    <xf numFmtId="0" fontId="9" fillId="0" borderId="2" xfId="4" applyFont="1" applyBorder="1" applyAlignment="1">
      <alignment horizontal="center" vertical="center" wrapText="1"/>
    </xf>
    <xf numFmtId="0" fontId="9" fillId="0" borderId="3" xfId="4" applyFont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7" fillId="0" borderId="5" xfId="4" applyFont="1" applyBorder="1" applyAlignment="1">
      <alignment horizontal="center" vertical="center"/>
    </xf>
    <xf numFmtId="0" fontId="7" fillId="0" borderId="6" xfId="4" applyFont="1" applyBorder="1" applyAlignment="1">
      <alignment horizontal="center" vertical="center"/>
    </xf>
    <xf numFmtId="0" fontId="9" fillId="0" borderId="9" xfId="4" applyFont="1" applyBorder="1" applyAlignment="1">
      <alignment horizontal="left" vertical="center"/>
    </xf>
    <xf numFmtId="0" fontId="9" fillId="0" borderId="10" xfId="4" applyFont="1" applyBorder="1" applyAlignment="1">
      <alignment horizontal="left" vertical="center"/>
    </xf>
    <xf numFmtId="0" fontId="9" fillId="0" borderId="11" xfId="4" applyFont="1" applyBorder="1" applyAlignment="1">
      <alignment horizontal="left" vertical="center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selection activeCell="D11" sqref="D11"/>
    </sheetView>
  </sheetViews>
  <sheetFormatPr defaultRowHeight="15"/>
  <cols>
    <col min="1" max="1" width="9.85546875" bestFit="1" customWidth="1"/>
    <col min="2" max="2" width="24.5703125" customWidth="1"/>
    <col min="3" max="3" width="24.28515625" customWidth="1"/>
    <col min="4" max="4" width="35.28515625" bestFit="1" customWidth="1"/>
    <col min="5" max="5" width="10.7109375" customWidth="1"/>
  </cols>
  <sheetData>
    <row r="1" spans="1:8">
      <c r="A1" s="45" t="s">
        <v>69</v>
      </c>
      <c r="B1" s="45"/>
      <c r="C1" s="45"/>
      <c r="D1" s="45"/>
      <c r="E1" s="45"/>
      <c r="F1" s="45"/>
      <c r="G1" s="7"/>
      <c r="H1" s="7"/>
    </row>
    <row r="2" spans="1:8" s="5" customFormat="1" ht="15.75">
      <c r="A2" s="34" t="s">
        <v>65</v>
      </c>
      <c r="B2" s="16" t="s">
        <v>6</v>
      </c>
      <c r="C2" s="35"/>
      <c r="D2" s="46" t="s">
        <v>230</v>
      </c>
      <c r="E2" s="47"/>
      <c r="F2" s="48"/>
    </row>
    <row r="3" spans="1:8" s="8" customFormat="1" ht="15.75">
      <c r="A3" s="36"/>
      <c r="B3" s="14"/>
      <c r="C3" s="14"/>
      <c r="D3" s="46" t="s">
        <v>101</v>
      </c>
      <c r="E3" s="47"/>
      <c r="F3" s="48"/>
    </row>
    <row r="4" spans="1:8" ht="30" customHeight="1">
      <c r="A4" s="9" t="s">
        <v>67</v>
      </c>
      <c r="B4" s="9" t="s">
        <v>1</v>
      </c>
      <c r="C4" s="9" t="s">
        <v>3</v>
      </c>
      <c r="D4" s="9" t="s">
        <v>4</v>
      </c>
      <c r="E4" s="9" t="s">
        <v>5</v>
      </c>
      <c r="F4" s="38" t="s">
        <v>231</v>
      </c>
    </row>
    <row r="5" spans="1:8" ht="30" customHeight="1">
      <c r="A5" s="44">
        <v>1</v>
      </c>
      <c r="B5" s="37" t="s">
        <v>50</v>
      </c>
      <c r="C5" s="37" t="s">
        <v>51</v>
      </c>
      <c r="D5" s="37" t="s">
        <v>111</v>
      </c>
      <c r="E5" s="37" t="s">
        <v>28</v>
      </c>
      <c r="F5" s="40">
        <v>1</v>
      </c>
    </row>
    <row r="6" spans="1:8" ht="30" customHeight="1">
      <c r="A6" s="44"/>
      <c r="B6" s="37" t="s">
        <v>50</v>
      </c>
      <c r="C6" s="37" t="s">
        <v>51</v>
      </c>
      <c r="D6" s="37" t="s">
        <v>112</v>
      </c>
      <c r="E6" s="37" t="s">
        <v>63</v>
      </c>
      <c r="F6" s="40">
        <v>2</v>
      </c>
    </row>
    <row r="7" spans="1:8" ht="30" customHeight="1">
      <c r="A7" s="44">
        <v>2</v>
      </c>
      <c r="B7" s="37" t="s">
        <v>6</v>
      </c>
      <c r="C7" s="37" t="s">
        <v>13</v>
      </c>
      <c r="D7" s="37" t="s">
        <v>136</v>
      </c>
      <c r="E7" s="37" t="s">
        <v>55</v>
      </c>
      <c r="F7" s="40">
        <v>1</v>
      </c>
    </row>
    <row r="8" spans="1:8" ht="30" customHeight="1">
      <c r="A8" s="44"/>
      <c r="B8" s="37" t="s">
        <v>31</v>
      </c>
      <c r="C8" s="37" t="s">
        <v>32</v>
      </c>
      <c r="D8" s="37" t="s">
        <v>117</v>
      </c>
      <c r="E8" s="37" t="s">
        <v>10</v>
      </c>
      <c r="F8" s="40">
        <v>2</v>
      </c>
    </row>
    <row r="9" spans="1:8" ht="30" customHeight="1">
      <c r="A9" s="44">
        <v>3</v>
      </c>
      <c r="B9" s="37" t="s">
        <v>41</v>
      </c>
      <c r="C9" s="37" t="s">
        <v>47</v>
      </c>
      <c r="D9" s="37" t="s">
        <v>151</v>
      </c>
      <c r="E9" s="37" t="s">
        <v>15</v>
      </c>
      <c r="F9" s="40">
        <v>1</v>
      </c>
    </row>
    <row r="10" spans="1:8" ht="30" customHeight="1">
      <c r="A10" s="44"/>
      <c r="B10" s="37" t="s">
        <v>41</v>
      </c>
      <c r="C10" s="37" t="s">
        <v>42</v>
      </c>
      <c r="D10" s="37" t="s">
        <v>159</v>
      </c>
      <c r="E10" s="37" t="s">
        <v>160</v>
      </c>
      <c r="F10" s="40">
        <v>2</v>
      </c>
    </row>
    <row r="11" spans="1:8" ht="30" customHeight="1">
      <c r="A11" s="44">
        <v>4</v>
      </c>
      <c r="B11" s="37" t="s">
        <v>19</v>
      </c>
      <c r="C11" s="37" t="s">
        <v>26</v>
      </c>
      <c r="D11" s="37" t="s">
        <v>209</v>
      </c>
      <c r="E11" s="37" t="s">
        <v>55</v>
      </c>
      <c r="F11" s="40">
        <v>1</v>
      </c>
    </row>
    <row r="12" spans="1:8" ht="30" customHeight="1">
      <c r="A12" s="44"/>
      <c r="B12" s="37" t="s">
        <v>19</v>
      </c>
      <c r="C12" s="37" t="s">
        <v>20</v>
      </c>
      <c r="D12" s="37" t="s">
        <v>201</v>
      </c>
      <c r="E12" s="37" t="s">
        <v>119</v>
      </c>
      <c r="F12" s="40">
        <v>2</v>
      </c>
    </row>
    <row r="13" spans="1:8" ht="30" customHeight="1">
      <c r="A13" s="44"/>
      <c r="B13" s="37" t="s">
        <v>53</v>
      </c>
      <c r="C13" s="37" t="s">
        <v>59</v>
      </c>
      <c r="D13" s="37" t="s">
        <v>182</v>
      </c>
      <c r="E13" s="37" t="s">
        <v>183</v>
      </c>
      <c r="F13" s="40">
        <v>3</v>
      </c>
    </row>
  </sheetData>
  <mergeCells count="7">
    <mergeCell ref="A9:A10"/>
    <mergeCell ref="A11:A13"/>
    <mergeCell ref="A1:F1"/>
    <mergeCell ref="D2:F2"/>
    <mergeCell ref="D3:F3"/>
    <mergeCell ref="A5:A6"/>
    <mergeCell ref="A7:A8"/>
  </mergeCells>
  <pageMargins left="0.11811023622047245" right="0.11811023622047245" top="0.15748031496062992" bottom="0.15748031496062992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D11" sqref="D11"/>
    </sheetView>
  </sheetViews>
  <sheetFormatPr defaultRowHeight="15"/>
  <cols>
    <col min="1" max="1" width="9.85546875" bestFit="1" customWidth="1"/>
    <col min="2" max="2" width="24.5703125" customWidth="1"/>
    <col min="3" max="3" width="24.28515625" customWidth="1"/>
    <col min="4" max="4" width="35.28515625" bestFit="1" customWidth="1"/>
    <col min="5" max="5" width="9.5703125" customWidth="1"/>
  </cols>
  <sheetData>
    <row r="1" spans="1:6">
      <c r="A1" s="45" t="s">
        <v>69</v>
      </c>
      <c r="B1" s="45"/>
      <c r="C1" s="45"/>
      <c r="D1" s="45"/>
      <c r="E1" s="45"/>
      <c r="F1" s="45"/>
    </row>
    <row r="2" spans="1:6" s="5" customFormat="1" ht="15.75">
      <c r="A2" s="39" t="s">
        <v>65</v>
      </c>
      <c r="B2" s="39" t="s">
        <v>6</v>
      </c>
      <c r="C2" s="39"/>
      <c r="D2" s="64" t="s">
        <v>232</v>
      </c>
      <c r="E2" s="65"/>
      <c r="F2" s="66"/>
    </row>
    <row r="3" spans="1:6" s="8" customFormat="1" ht="15.75">
      <c r="A3" s="39"/>
      <c r="B3" s="39"/>
      <c r="C3" s="39"/>
      <c r="D3" s="64" t="s">
        <v>101</v>
      </c>
      <c r="E3" s="65"/>
      <c r="F3" s="66"/>
    </row>
    <row r="4" spans="1:6" ht="54.75" customHeight="1">
      <c r="A4" s="9" t="s">
        <v>234</v>
      </c>
      <c r="B4" s="9" t="s">
        <v>1</v>
      </c>
      <c r="C4" s="9" t="s">
        <v>3</v>
      </c>
      <c r="D4" s="9" t="s">
        <v>4</v>
      </c>
      <c r="E4" s="9" t="s">
        <v>5</v>
      </c>
      <c r="F4" s="38" t="s">
        <v>233</v>
      </c>
    </row>
    <row r="5" spans="1:6" ht="24" customHeight="1">
      <c r="A5" s="44">
        <v>1</v>
      </c>
      <c r="B5" s="37" t="s">
        <v>7</v>
      </c>
      <c r="C5" s="37" t="s">
        <v>7</v>
      </c>
      <c r="D5" s="37" t="s">
        <v>106</v>
      </c>
      <c r="E5" s="37" t="s">
        <v>61</v>
      </c>
      <c r="F5" s="40">
        <v>3</v>
      </c>
    </row>
    <row r="6" spans="1:6" ht="24.95" customHeight="1">
      <c r="A6" s="44"/>
      <c r="B6" s="37" t="s">
        <v>50</v>
      </c>
      <c r="C6" s="37" t="s">
        <v>53</v>
      </c>
      <c r="D6" s="37" t="s">
        <v>102</v>
      </c>
      <c r="E6" s="37" t="s">
        <v>29</v>
      </c>
      <c r="F6" s="40">
        <v>4</v>
      </c>
    </row>
    <row r="7" spans="1:6" ht="24.95" customHeight="1">
      <c r="A7" s="44">
        <v>2</v>
      </c>
      <c r="B7" s="37" t="s">
        <v>6</v>
      </c>
      <c r="C7" s="37" t="s">
        <v>13</v>
      </c>
      <c r="D7" s="37" t="s">
        <v>137</v>
      </c>
      <c r="E7" s="37" t="s">
        <v>27</v>
      </c>
      <c r="F7" s="40">
        <v>3</v>
      </c>
    </row>
    <row r="8" spans="1:6" ht="24.95" customHeight="1">
      <c r="A8" s="44"/>
      <c r="B8" s="37" t="s">
        <v>31</v>
      </c>
      <c r="C8" s="37" t="s">
        <v>32</v>
      </c>
      <c r="D8" s="37" t="s">
        <v>121</v>
      </c>
      <c r="E8" s="37" t="s">
        <v>9</v>
      </c>
      <c r="F8" s="40">
        <v>4</v>
      </c>
    </row>
    <row r="9" spans="1:6" ht="24.95" customHeight="1">
      <c r="A9" s="44">
        <v>3</v>
      </c>
      <c r="B9" s="37" t="s">
        <v>41</v>
      </c>
      <c r="C9" s="37" t="s">
        <v>42</v>
      </c>
      <c r="D9" s="37" t="s">
        <v>156</v>
      </c>
      <c r="E9" s="37" t="s">
        <v>58</v>
      </c>
      <c r="F9" s="40">
        <v>3</v>
      </c>
    </row>
    <row r="10" spans="1:6" ht="24.95" customHeight="1">
      <c r="A10" s="44"/>
      <c r="B10" s="37" t="s">
        <v>41</v>
      </c>
      <c r="C10" s="37" t="s">
        <v>42</v>
      </c>
      <c r="D10" s="37" t="s">
        <v>158</v>
      </c>
      <c r="E10" s="37" t="s">
        <v>57</v>
      </c>
      <c r="F10" s="40">
        <v>4</v>
      </c>
    </row>
    <row r="11" spans="1:6" ht="24.95" customHeight="1">
      <c r="A11" s="44">
        <v>4</v>
      </c>
      <c r="B11" s="37" t="s">
        <v>53</v>
      </c>
      <c r="C11" s="37" t="s">
        <v>56</v>
      </c>
      <c r="D11" s="37" t="s">
        <v>174</v>
      </c>
      <c r="E11" s="37" t="s">
        <v>160</v>
      </c>
      <c r="F11" s="40">
        <v>4</v>
      </c>
    </row>
    <row r="12" spans="1:6" ht="24.95" customHeight="1">
      <c r="A12" s="44"/>
      <c r="B12" s="37" t="s">
        <v>19</v>
      </c>
      <c r="C12" s="37" t="s">
        <v>26</v>
      </c>
      <c r="D12" s="37" t="s">
        <v>211</v>
      </c>
      <c r="E12" s="37" t="s">
        <v>55</v>
      </c>
      <c r="F12" s="40">
        <v>5</v>
      </c>
    </row>
    <row r="13" spans="1:6" ht="24.95" customHeight="1">
      <c r="A13" s="44"/>
      <c r="B13" s="37" t="s">
        <v>53</v>
      </c>
      <c r="C13" s="37" t="s">
        <v>53</v>
      </c>
      <c r="D13" s="37" t="s">
        <v>195</v>
      </c>
      <c r="E13" s="37" t="s">
        <v>24</v>
      </c>
      <c r="F13" s="40">
        <v>6</v>
      </c>
    </row>
  </sheetData>
  <mergeCells count="7">
    <mergeCell ref="A1:F1"/>
    <mergeCell ref="A11:A13"/>
    <mergeCell ref="A5:A6"/>
    <mergeCell ref="A7:A8"/>
    <mergeCell ref="A9:A10"/>
    <mergeCell ref="D2:F2"/>
    <mergeCell ref="D3:F3"/>
  </mergeCells>
  <pageMargins left="0.11811023622047245" right="0.11811023622047245" top="0.15748031496062992" bottom="0.15748031496062992" header="0.31496062992125984" footer="0.31496062992125984"/>
  <pageSetup paperSize="9" scale="85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5"/>
  <sheetViews>
    <sheetView topLeftCell="A43" workbookViewId="0">
      <selection activeCell="C9" sqref="C9"/>
    </sheetView>
  </sheetViews>
  <sheetFormatPr defaultRowHeight="15"/>
  <cols>
    <col min="1" max="1" width="9.85546875" bestFit="1" customWidth="1"/>
    <col min="2" max="2" width="8.7109375" customWidth="1"/>
    <col min="3" max="3" width="24.5703125" customWidth="1"/>
    <col min="4" max="4" width="13.5703125" bestFit="1" customWidth="1"/>
    <col min="5" max="5" width="24.28515625" customWidth="1"/>
    <col min="6" max="6" width="26.42578125" customWidth="1"/>
    <col min="7" max="7" width="9.5703125" customWidth="1"/>
    <col min="8" max="8" width="10.7109375" style="10" customWidth="1"/>
    <col min="9" max="9" width="11.140625" customWidth="1"/>
  </cols>
  <sheetData>
    <row r="1" spans="1:11" s="5" customFormat="1">
      <c r="A1" s="52" t="s">
        <v>69</v>
      </c>
      <c r="B1" s="52"/>
      <c r="C1" s="52"/>
      <c r="D1" s="52"/>
      <c r="E1" s="52"/>
      <c r="F1" s="52"/>
      <c r="G1" s="52"/>
      <c r="H1" s="52"/>
      <c r="I1" s="52"/>
      <c r="J1" s="43"/>
      <c r="K1" s="43"/>
    </row>
    <row r="2" spans="1:11" s="8" customFormat="1" ht="15.75">
      <c r="A2" s="2" t="s">
        <v>65</v>
      </c>
      <c r="B2" s="1" t="s">
        <v>83</v>
      </c>
      <c r="C2" s="4"/>
      <c r="D2" s="3"/>
      <c r="E2" s="3"/>
      <c r="F2" s="41" t="s">
        <v>66</v>
      </c>
      <c r="G2" s="3"/>
      <c r="H2" s="3"/>
      <c r="I2" s="5"/>
      <c r="J2" s="5"/>
      <c r="K2" s="5"/>
    </row>
    <row r="3" spans="1:11" ht="19.5" customHeight="1">
      <c r="A3" s="6"/>
      <c r="B3" s="4"/>
      <c r="C3" s="4"/>
      <c r="D3" s="4"/>
      <c r="E3" s="4"/>
      <c r="F3" s="41" t="s">
        <v>101</v>
      </c>
      <c r="G3" s="4"/>
      <c r="H3" s="4"/>
      <c r="I3" s="8"/>
      <c r="J3" s="8"/>
      <c r="K3" s="8"/>
    </row>
    <row r="4" spans="1:11" ht="44.25" customHeight="1">
      <c r="A4" s="9" t="s">
        <v>67</v>
      </c>
      <c r="B4" s="9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38" t="s">
        <v>68</v>
      </c>
      <c r="I4" s="38" t="s">
        <v>213</v>
      </c>
    </row>
    <row r="5" spans="1:11" ht="24.95" customHeight="1">
      <c r="A5" s="51">
        <v>1</v>
      </c>
      <c r="B5" s="30" t="s">
        <v>38</v>
      </c>
      <c r="C5" s="30" t="s">
        <v>50</v>
      </c>
      <c r="D5" s="30" t="s">
        <v>52</v>
      </c>
      <c r="E5" s="30" t="s">
        <v>53</v>
      </c>
      <c r="F5" s="30" t="s">
        <v>102</v>
      </c>
      <c r="G5" s="30" t="s">
        <v>29</v>
      </c>
      <c r="H5" s="29">
        <v>1</v>
      </c>
      <c r="I5" s="33">
        <v>1</v>
      </c>
    </row>
    <row r="6" spans="1:11" ht="24.95" customHeight="1">
      <c r="A6" s="49"/>
      <c r="B6" s="30" t="s">
        <v>27</v>
      </c>
      <c r="C6" s="30" t="s">
        <v>50</v>
      </c>
      <c r="D6" s="30" t="s">
        <v>33</v>
      </c>
      <c r="E6" s="30" t="s">
        <v>51</v>
      </c>
      <c r="F6" s="30" t="s">
        <v>110</v>
      </c>
      <c r="G6" s="30" t="s">
        <v>30</v>
      </c>
      <c r="H6" s="29">
        <v>1</v>
      </c>
      <c r="I6" s="31">
        <v>2</v>
      </c>
    </row>
    <row r="7" spans="1:11" ht="24.95" customHeight="1">
      <c r="A7" s="49"/>
      <c r="B7" s="30" t="s">
        <v>27</v>
      </c>
      <c r="C7" s="30" t="s">
        <v>50</v>
      </c>
      <c r="D7" s="30" t="s">
        <v>33</v>
      </c>
      <c r="E7" s="30" t="s">
        <v>51</v>
      </c>
      <c r="F7" s="30" t="s">
        <v>111</v>
      </c>
      <c r="G7" s="30" t="s">
        <v>28</v>
      </c>
      <c r="H7" s="29">
        <v>2</v>
      </c>
      <c r="I7" s="32">
        <v>3</v>
      </c>
    </row>
    <row r="8" spans="1:11" ht="24.95" customHeight="1">
      <c r="A8" s="49"/>
      <c r="B8" s="30" t="s">
        <v>27</v>
      </c>
      <c r="C8" s="30" t="s">
        <v>50</v>
      </c>
      <c r="D8" s="30" t="s">
        <v>33</v>
      </c>
      <c r="E8" s="30" t="s">
        <v>51</v>
      </c>
      <c r="F8" s="30" t="s">
        <v>112</v>
      </c>
      <c r="G8" s="30" t="s">
        <v>63</v>
      </c>
      <c r="H8" s="29">
        <v>3</v>
      </c>
      <c r="I8" s="32">
        <v>4</v>
      </c>
    </row>
    <row r="9" spans="1:11" ht="24.95" customHeight="1">
      <c r="A9" s="49"/>
      <c r="B9" s="30" t="s">
        <v>27</v>
      </c>
      <c r="C9" s="30" t="s">
        <v>50</v>
      </c>
      <c r="D9" s="30" t="s">
        <v>33</v>
      </c>
      <c r="E9" s="30" t="s">
        <v>51</v>
      </c>
      <c r="F9" s="30" t="s">
        <v>113</v>
      </c>
      <c r="G9" s="30" t="s">
        <v>114</v>
      </c>
      <c r="H9" s="29">
        <v>4</v>
      </c>
      <c r="I9" s="31">
        <v>5</v>
      </c>
    </row>
    <row r="10" spans="1:11" ht="24.95" customHeight="1">
      <c r="A10" s="49"/>
      <c r="B10" s="30" t="s">
        <v>14</v>
      </c>
      <c r="C10" s="30" t="s">
        <v>62</v>
      </c>
      <c r="D10" s="30" t="s">
        <v>15</v>
      </c>
      <c r="E10" s="30" t="s">
        <v>62</v>
      </c>
      <c r="F10" s="30" t="s">
        <v>103</v>
      </c>
      <c r="G10" s="30" t="s">
        <v>30</v>
      </c>
      <c r="H10" s="29">
        <v>1</v>
      </c>
      <c r="I10" s="31">
        <v>6</v>
      </c>
    </row>
    <row r="11" spans="1:11" ht="24.95" customHeight="1">
      <c r="A11" s="49"/>
      <c r="B11" s="30" t="s">
        <v>14</v>
      </c>
      <c r="C11" s="30" t="s">
        <v>62</v>
      </c>
      <c r="D11" s="30" t="s">
        <v>15</v>
      </c>
      <c r="E11" s="30" t="s">
        <v>62</v>
      </c>
      <c r="F11" s="30" t="s">
        <v>104</v>
      </c>
      <c r="G11" s="30" t="s">
        <v>54</v>
      </c>
      <c r="H11" s="29">
        <v>2</v>
      </c>
      <c r="I11" s="31">
        <v>7</v>
      </c>
    </row>
    <row r="12" spans="1:11" ht="24.95" customHeight="1">
      <c r="A12" s="49"/>
      <c r="B12" s="30" t="s">
        <v>14</v>
      </c>
      <c r="C12" s="30" t="s">
        <v>62</v>
      </c>
      <c r="D12" s="30" t="s">
        <v>15</v>
      </c>
      <c r="E12" s="30" t="s">
        <v>62</v>
      </c>
      <c r="F12" s="30" t="s">
        <v>105</v>
      </c>
      <c r="G12" s="30" t="s">
        <v>17</v>
      </c>
      <c r="H12" s="29">
        <v>3</v>
      </c>
      <c r="I12" s="31">
        <v>8</v>
      </c>
    </row>
    <row r="13" spans="1:11" ht="24.95" customHeight="1">
      <c r="A13" s="49"/>
      <c r="B13" s="30" t="s">
        <v>64</v>
      </c>
      <c r="C13" s="30" t="s">
        <v>7</v>
      </c>
      <c r="D13" s="30" t="s">
        <v>27</v>
      </c>
      <c r="E13" s="30" t="s">
        <v>7</v>
      </c>
      <c r="F13" s="30" t="s">
        <v>106</v>
      </c>
      <c r="G13" s="30" t="s">
        <v>61</v>
      </c>
      <c r="H13" s="29">
        <v>1</v>
      </c>
      <c r="I13" s="33">
        <v>9</v>
      </c>
    </row>
    <row r="14" spans="1:11" ht="24.95" customHeight="1">
      <c r="A14" s="49"/>
      <c r="B14" s="30" t="s">
        <v>64</v>
      </c>
      <c r="C14" s="30" t="s">
        <v>7</v>
      </c>
      <c r="D14" s="30" t="s">
        <v>27</v>
      </c>
      <c r="E14" s="30" t="s">
        <v>7</v>
      </c>
      <c r="F14" s="30" t="s">
        <v>107</v>
      </c>
      <c r="G14" s="30" t="s">
        <v>108</v>
      </c>
      <c r="H14" s="29">
        <v>2</v>
      </c>
      <c r="I14" s="31">
        <v>10</v>
      </c>
    </row>
    <row r="15" spans="1:11" ht="24.95" customHeight="1">
      <c r="A15" s="49"/>
      <c r="B15" s="30" t="s">
        <v>64</v>
      </c>
      <c r="C15" s="30" t="s">
        <v>7</v>
      </c>
      <c r="D15" s="30" t="s">
        <v>27</v>
      </c>
      <c r="E15" s="30" t="s">
        <v>7</v>
      </c>
      <c r="F15" s="30" t="s">
        <v>109</v>
      </c>
      <c r="G15" s="30" t="s">
        <v>60</v>
      </c>
      <c r="H15" s="29">
        <v>3</v>
      </c>
      <c r="I15" s="31">
        <v>11</v>
      </c>
    </row>
    <row r="16" spans="1:11" ht="24.95" customHeight="1">
      <c r="A16" s="49"/>
      <c r="B16" s="30" t="s">
        <v>63</v>
      </c>
      <c r="C16" s="30" t="s">
        <v>7</v>
      </c>
      <c r="D16" s="30" t="s">
        <v>27</v>
      </c>
      <c r="E16" s="30" t="s">
        <v>7</v>
      </c>
      <c r="F16" s="30" t="s">
        <v>127</v>
      </c>
      <c r="G16" s="30" t="s">
        <v>128</v>
      </c>
      <c r="H16" s="29">
        <v>4</v>
      </c>
      <c r="I16" s="31">
        <v>12</v>
      </c>
    </row>
    <row r="17" spans="1:9" ht="24.95" customHeight="1">
      <c r="A17" s="50"/>
      <c r="B17" s="30" t="s">
        <v>63</v>
      </c>
      <c r="C17" s="30" t="s">
        <v>7</v>
      </c>
      <c r="D17" s="30" t="s">
        <v>27</v>
      </c>
      <c r="E17" s="30" t="s">
        <v>7</v>
      </c>
      <c r="F17" s="30" t="s">
        <v>129</v>
      </c>
      <c r="G17" s="30" t="s">
        <v>46</v>
      </c>
      <c r="H17" s="29">
        <v>5</v>
      </c>
      <c r="I17" s="31">
        <v>13</v>
      </c>
    </row>
    <row r="18" spans="1:9" ht="24.95" customHeight="1">
      <c r="A18" s="44"/>
      <c r="B18" s="30" t="s">
        <v>63</v>
      </c>
      <c r="C18" s="30" t="s">
        <v>31</v>
      </c>
      <c r="D18" s="30" t="s">
        <v>30</v>
      </c>
      <c r="E18" s="30" t="s">
        <v>32</v>
      </c>
      <c r="F18" s="30" t="s">
        <v>115</v>
      </c>
      <c r="G18" s="30" t="s">
        <v>116</v>
      </c>
      <c r="H18" s="29">
        <v>1</v>
      </c>
      <c r="I18" s="31">
        <v>1</v>
      </c>
    </row>
    <row r="19" spans="1:9" ht="24.95" customHeight="1">
      <c r="A19" s="44"/>
      <c r="B19" s="30" t="s">
        <v>63</v>
      </c>
      <c r="C19" s="30" t="s">
        <v>31</v>
      </c>
      <c r="D19" s="30" t="s">
        <v>30</v>
      </c>
      <c r="E19" s="30" t="s">
        <v>32</v>
      </c>
      <c r="F19" s="30" t="s">
        <v>117</v>
      </c>
      <c r="G19" s="30" t="s">
        <v>10</v>
      </c>
      <c r="H19" s="29">
        <v>2</v>
      </c>
      <c r="I19" s="32">
        <v>2</v>
      </c>
    </row>
    <row r="20" spans="1:9" ht="24.95" customHeight="1">
      <c r="A20" s="44"/>
      <c r="B20" s="30" t="s">
        <v>63</v>
      </c>
      <c r="C20" s="30" t="s">
        <v>31</v>
      </c>
      <c r="D20" s="30" t="s">
        <v>30</v>
      </c>
      <c r="E20" s="30" t="s">
        <v>32</v>
      </c>
      <c r="F20" s="30" t="s">
        <v>118</v>
      </c>
      <c r="G20" s="30" t="s">
        <v>119</v>
      </c>
      <c r="H20" s="29">
        <v>3</v>
      </c>
      <c r="I20" s="31">
        <v>3</v>
      </c>
    </row>
    <row r="21" spans="1:9" ht="24.95" customHeight="1">
      <c r="A21" s="44"/>
      <c r="B21" s="30" t="s">
        <v>63</v>
      </c>
      <c r="C21" s="30" t="s">
        <v>31</v>
      </c>
      <c r="D21" s="30" t="s">
        <v>30</v>
      </c>
      <c r="E21" s="30" t="s">
        <v>32</v>
      </c>
      <c r="F21" s="30" t="s">
        <v>120</v>
      </c>
      <c r="G21" s="30" t="s">
        <v>21</v>
      </c>
      <c r="H21" s="29">
        <v>4</v>
      </c>
      <c r="I21" s="31">
        <v>4</v>
      </c>
    </row>
    <row r="22" spans="1:9" ht="24.95" customHeight="1">
      <c r="A22" s="44"/>
      <c r="B22" s="30" t="s">
        <v>63</v>
      </c>
      <c r="C22" s="30" t="s">
        <v>31</v>
      </c>
      <c r="D22" s="30" t="s">
        <v>30</v>
      </c>
      <c r="E22" s="30" t="s">
        <v>32</v>
      </c>
      <c r="F22" s="30" t="s">
        <v>34</v>
      </c>
      <c r="G22" s="30" t="s">
        <v>45</v>
      </c>
      <c r="H22" s="29">
        <v>5</v>
      </c>
      <c r="I22" s="31">
        <v>5</v>
      </c>
    </row>
    <row r="23" spans="1:9" ht="24.95" customHeight="1">
      <c r="A23" s="44"/>
      <c r="B23" s="30" t="s">
        <v>63</v>
      </c>
      <c r="C23" s="30" t="s">
        <v>31</v>
      </c>
      <c r="D23" s="30" t="s">
        <v>30</v>
      </c>
      <c r="E23" s="30" t="s">
        <v>32</v>
      </c>
      <c r="F23" s="30" t="s">
        <v>121</v>
      </c>
      <c r="G23" s="30" t="s">
        <v>9</v>
      </c>
      <c r="H23" s="29">
        <v>6</v>
      </c>
      <c r="I23" s="33">
        <v>6</v>
      </c>
    </row>
    <row r="24" spans="1:9" ht="24.95" customHeight="1">
      <c r="A24" s="44"/>
      <c r="B24" s="30" t="s">
        <v>63</v>
      </c>
      <c r="C24" s="30" t="s">
        <v>31</v>
      </c>
      <c r="D24" s="30" t="s">
        <v>29</v>
      </c>
      <c r="E24" s="30" t="s">
        <v>31</v>
      </c>
      <c r="F24" s="30" t="s">
        <v>122</v>
      </c>
      <c r="G24" s="30" t="s">
        <v>52</v>
      </c>
      <c r="H24" s="29">
        <v>1</v>
      </c>
      <c r="I24" s="31">
        <v>7</v>
      </c>
    </row>
    <row r="25" spans="1:9" ht="24.95" customHeight="1">
      <c r="A25" s="44"/>
      <c r="B25" s="30" t="s">
        <v>63</v>
      </c>
      <c r="C25" s="30" t="s">
        <v>31</v>
      </c>
      <c r="D25" s="30" t="s">
        <v>29</v>
      </c>
      <c r="E25" s="30" t="s">
        <v>31</v>
      </c>
      <c r="F25" s="30" t="s">
        <v>123</v>
      </c>
      <c r="G25" s="30" t="s">
        <v>124</v>
      </c>
      <c r="H25" s="29">
        <v>2</v>
      </c>
      <c r="I25" s="31">
        <v>8</v>
      </c>
    </row>
    <row r="26" spans="1:9" ht="24.95" customHeight="1">
      <c r="A26" s="44"/>
      <c r="B26" s="30" t="s">
        <v>63</v>
      </c>
      <c r="C26" s="30" t="s">
        <v>31</v>
      </c>
      <c r="D26" s="30" t="s">
        <v>29</v>
      </c>
      <c r="E26" s="30" t="s">
        <v>31</v>
      </c>
      <c r="F26" s="30" t="s">
        <v>125</v>
      </c>
      <c r="G26" s="30" t="s">
        <v>30</v>
      </c>
      <c r="H26" s="29">
        <v>3</v>
      </c>
      <c r="I26" s="31">
        <v>9</v>
      </c>
    </row>
    <row r="27" spans="1:9" ht="24.95" customHeight="1">
      <c r="A27" s="44"/>
      <c r="B27" s="30" t="s">
        <v>63</v>
      </c>
      <c r="C27" s="30" t="s">
        <v>31</v>
      </c>
      <c r="D27" s="30" t="s">
        <v>29</v>
      </c>
      <c r="E27" s="30" t="s">
        <v>31</v>
      </c>
      <c r="F27" s="30" t="s">
        <v>37</v>
      </c>
      <c r="G27" s="30" t="s">
        <v>17</v>
      </c>
      <c r="H27" s="29">
        <v>4</v>
      </c>
      <c r="I27" s="31">
        <v>10</v>
      </c>
    </row>
    <row r="28" spans="1:9" ht="24.95" customHeight="1">
      <c r="A28" s="44"/>
      <c r="B28" s="30" t="s">
        <v>63</v>
      </c>
      <c r="C28" s="30" t="s">
        <v>31</v>
      </c>
      <c r="D28" s="30" t="s">
        <v>29</v>
      </c>
      <c r="E28" s="30" t="s">
        <v>31</v>
      </c>
      <c r="F28" s="30" t="s">
        <v>126</v>
      </c>
      <c r="G28" s="30" t="s">
        <v>49</v>
      </c>
      <c r="H28" s="29">
        <v>5</v>
      </c>
      <c r="I28" s="31">
        <v>11</v>
      </c>
    </row>
    <row r="29" spans="1:9" ht="24.95" customHeight="1">
      <c r="A29" s="44"/>
      <c r="B29" s="30" t="s">
        <v>64</v>
      </c>
      <c r="C29" s="30" t="s">
        <v>6</v>
      </c>
      <c r="D29" s="30" t="s">
        <v>63</v>
      </c>
      <c r="E29" s="30" t="s">
        <v>13</v>
      </c>
      <c r="F29" s="30" t="s">
        <v>130</v>
      </c>
      <c r="G29" s="30" t="s">
        <v>124</v>
      </c>
      <c r="H29" s="29">
        <v>1</v>
      </c>
      <c r="I29" s="31">
        <v>12</v>
      </c>
    </row>
    <row r="30" spans="1:9" ht="24.95" customHeight="1">
      <c r="A30" s="44"/>
      <c r="B30" s="30" t="s">
        <v>64</v>
      </c>
      <c r="C30" s="30" t="s">
        <v>6</v>
      </c>
      <c r="D30" s="30" t="s">
        <v>63</v>
      </c>
      <c r="E30" s="30" t="s">
        <v>13</v>
      </c>
      <c r="F30" s="30" t="s">
        <v>131</v>
      </c>
      <c r="G30" s="30" t="s">
        <v>52</v>
      </c>
      <c r="H30" s="29">
        <v>2</v>
      </c>
      <c r="I30" s="31">
        <v>13</v>
      </c>
    </row>
    <row r="31" spans="1:9" ht="24.95" customHeight="1">
      <c r="A31" s="44"/>
      <c r="B31" s="30" t="s">
        <v>64</v>
      </c>
      <c r="C31" s="30" t="s">
        <v>6</v>
      </c>
      <c r="D31" s="30" t="s">
        <v>63</v>
      </c>
      <c r="E31" s="30" t="s">
        <v>13</v>
      </c>
      <c r="F31" s="30" t="s">
        <v>132</v>
      </c>
      <c r="G31" s="30" t="s">
        <v>133</v>
      </c>
      <c r="H31" s="29">
        <v>3</v>
      </c>
      <c r="I31" s="31">
        <v>14</v>
      </c>
    </row>
    <row r="32" spans="1:9" ht="24.95" customHeight="1">
      <c r="A32" s="44"/>
      <c r="B32" s="30" t="s">
        <v>64</v>
      </c>
      <c r="C32" s="30" t="s">
        <v>6</v>
      </c>
      <c r="D32" s="30" t="s">
        <v>63</v>
      </c>
      <c r="E32" s="30" t="s">
        <v>13</v>
      </c>
      <c r="F32" s="30" t="s">
        <v>134</v>
      </c>
      <c r="G32" s="30" t="s">
        <v>14</v>
      </c>
      <c r="H32" s="29">
        <v>4</v>
      </c>
      <c r="I32" s="31">
        <v>15</v>
      </c>
    </row>
    <row r="33" spans="1:9" ht="24.95" customHeight="1">
      <c r="A33" s="44"/>
      <c r="B33" s="30" t="s">
        <v>64</v>
      </c>
      <c r="C33" s="30" t="s">
        <v>6</v>
      </c>
      <c r="D33" s="30" t="s">
        <v>63</v>
      </c>
      <c r="E33" s="30" t="s">
        <v>13</v>
      </c>
      <c r="F33" s="30" t="s">
        <v>135</v>
      </c>
      <c r="G33" s="30" t="s">
        <v>119</v>
      </c>
      <c r="H33" s="29">
        <v>5</v>
      </c>
      <c r="I33" s="31">
        <v>16</v>
      </c>
    </row>
    <row r="34" spans="1:9" ht="24.95" customHeight="1">
      <c r="A34" s="44"/>
      <c r="B34" s="30" t="s">
        <v>64</v>
      </c>
      <c r="C34" s="30" t="s">
        <v>6</v>
      </c>
      <c r="D34" s="30" t="s">
        <v>63</v>
      </c>
      <c r="E34" s="30" t="s">
        <v>13</v>
      </c>
      <c r="F34" s="30" t="s">
        <v>136</v>
      </c>
      <c r="G34" s="30" t="s">
        <v>55</v>
      </c>
      <c r="H34" s="29">
        <v>6</v>
      </c>
      <c r="I34" s="32">
        <v>17</v>
      </c>
    </row>
    <row r="35" spans="1:9" ht="24.95" customHeight="1">
      <c r="A35" s="44"/>
      <c r="B35" s="30" t="s">
        <v>64</v>
      </c>
      <c r="C35" s="30" t="s">
        <v>6</v>
      </c>
      <c r="D35" s="30" t="s">
        <v>63</v>
      </c>
      <c r="E35" s="30" t="s">
        <v>13</v>
      </c>
      <c r="F35" s="30" t="s">
        <v>137</v>
      </c>
      <c r="G35" s="30" t="s">
        <v>27</v>
      </c>
      <c r="H35" s="29">
        <v>7</v>
      </c>
      <c r="I35" s="33">
        <v>18</v>
      </c>
    </row>
    <row r="36" spans="1:9" ht="24.95" customHeight="1">
      <c r="A36" s="44"/>
      <c r="B36" s="30" t="s">
        <v>64</v>
      </c>
      <c r="C36" s="30" t="s">
        <v>6</v>
      </c>
      <c r="D36" s="30" t="s">
        <v>64</v>
      </c>
      <c r="E36" s="30" t="s">
        <v>6</v>
      </c>
      <c r="F36" s="30" t="s">
        <v>138</v>
      </c>
      <c r="G36" s="30" t="s">
        <v>40</v>
      </c>
      <c r="H36" s="29">
        <v>1</v>
      </c>
      <c r="I36" s="31">
        <v>19</v>
      </c>
    </row>
    <row r="37" spans="1:9" ht="24.95" customHeight="1">
      <c r="A37" s="44"/>
      <c r="B37" s="30" t="s">
        <v>64</v>
      </c>
      <c r="C37" s="30" t="s">
        <v>6</v>
      </c>
      <c r="D37" s="30" t="s">
        <v>64</v>
      </c>
      <c r="E37" s="30" t="s">
        <v>6</v>
      </c>
      <c r="F37" s="30" t="s">
        <v>6</v>
      </c>
      <c r="G37" s="30" t="s">
        <v>139</v>
      </c>
      <c r="H37" s="29">
        <v>2</v>
      </c>
      <c r="I37" s="31">
        <v>20</v>
      </c>
    </row>
    <row r="38" spans="1:9" ht="24.95" customHeight="1">
      <c r="A38" s="44"/>
      <c r="B38" s="30" t="s">
        <v>64</v>
      </c>
      <c r="C38" s="30" t="s">
        <v>6</v>
      </c>
      <c r="D38" s="30" t="s">
        <v>64</v>
      </c>
      <c r="E38" s="30" t="s">
        <v>6</v>
      </c>
      <c r="F38" s="30" t="s">
        <v>140</v>
      </c>
      <c r="G38" s="30" t="s">
        <v>23</v>
      </c>
      <c r="H38" s="29">
        <v>3</v>
      </c>
      <c r="I38" s="31">
        <v>21</v>
      </c>
    </row>
    <row r="39" spans="1:9" ht="24.95" customHeight="1">
      <c r="A39" s="44"/>
      <c r="B39" s="30" t="s">
        <v>64</v>
      </c>
      <c r="C39" s="30" t="s">
        <v>6</v>
      </c>
      <c r="D39" s="30" t="s">
        <v>64</v>
      </c>
      <c r="E39" s="30" t="s">
        <v>6</v>
      </c>
      <c r="F39" s="30" t="s">
        <v>141</v>
      </c>
      <c r="G39" s="30" t="s">
        <v>24</v>
      </c>
      <c r="H39" s="29">
        <v>4</v>
      </c>
      <c r="I39" s="31">
        <v>22</v>
      </c>
    </row>
    <row r="40" spans="1:9" ht="24.95" customHeight="1">
      <c r="A40" s="44"/>
      <c r="B40" s="30" t="s">
        <v>64</v>
      </c>
      <c r="C40" s="30" t="s">
        <v>6</v>
      </c>
      <c r="D40" s="30" t="s">
        <v>64</v>
      </c>
      <c r="E40" s="30" t="s">
        <v>6</v>
      </c>
      <c r="F40" s="30" t="s">
        <v>142</v>
      </c>
      <c r="G40" s="30" t="s">
        <v>35</v>
      </c>
      <c r="H40" s="29">
        <v>5</v>
      </c>
      <c r="I40" s="31">
        <v>23</v>
      </c>
    </row>
    <row r="41" spans="1:9" ht="24.95" customHeight="1">
      <c r="A41" s="44"/>
      <c r="B41" s="30" t="s">
        <v>64</v>
      </c>
      <c r="C41" s="30" t="s">
        <v>6</v>
      </c>
      <c r="D41" s="30" t="s">
        <v>64</v>
      </c>
      <c r="E41" s="30" t="s">
        <v>6</v>
      </c>
      <c r="F41" s="30" t="s">
        <v>143</v>
      </c>
      <c r="G41" s="30" t="s">
        <v>128</v>
      </c>
      <c r="H41" s="29">
        <v>6</v>
      </c>
      <c r="I41" s="31">
        <v>24</v>
      </c>
    </row>
    <row r="42" spans="1:9" ht="24.95" customHeight="1">
      <c r="A42" s="44"/>
      <c r="B42" s="30" t="s">
        <v>64</v>
      </c>
      <c r="C42" s="30" t="s">
        <v>6</v>
      </c>
      <c r="D42" s="30" t="s">
        <v>64</v>
      </c>
      <c r="E42" s="30" t="s">
        <v>6</v>
      </c>
      <c r="F42" s="30" t="s">
        <v>144</v>
      </c>
      <c r="G42" s="30" t="s">
        <v>12</v>
      </c>
      <c r="H42" s="29">
        <v>7</v>
      </c>
      <c r="I42" s="31">
        <v>25</v>
      </c>
    </row>
    <row r="43" spans="1:9" ht="24.95" customHeight="1">
      <c r="A43" s="44"/>
      <c r="B43" s="30" t="s">
        <v>64</v>
      </c>
      <c r="C43" s="30" t="s">
        <v>6</v>
      </c>
      <c r="D43" s="30" t="s">
        <v>64</v>
      </c>
      <c r="E43" s="30" t="s">
        <v>6</v>
      </c>
      <c r="F43" s="30" t="s">
        <v>145</v>
      </c>
      <c r="G43" s="30" t="s">
        <v>25</v>
      </c>
      <c r="H43" s="29">
        <v>8</v>
      </c>
      <c r="I43" s="31">
        <v>26</v>
      </c>
    </row>
    <row r="44" spans="1:9" ht="24.95" customHeight="1">
      <c r="A44" s="49">
        <v>3</v>
      </c>
      <c r="B44" s="30" t="s">
        <v>133</v>
      </c>
      <c r="C44" s="30" t="s">
        <v>41</v>
      </c>
      <c r="D44" s="30" t="s">
        <v>38</v>
      </c>
      <c r="E44" s="30" t="s">
        <v>47</v>
      </c>
      <c r="F44" s="30" t="s">
        <v>146</v>
      </c>
      <c r="G44" s="30" t="s">
        <v>63</v>
      </c>
      <c r="H44" s="29">
        <v>1</v>
      </c>
      <c r="I44" s="31">
        <v>1</v>
      </c>
    </row>
    <row r="45" spans="1:9" ht="24.95" customHeight="1">
      <c r="A45" s="49"/>
      <c r="B45" s="30" t="s">
        <v>133</v>
      </c>
      <c r="C45" s="30" t="s">
        <v>41</v>
      </c>
      <c r="D45" s="30" t="s">
        <v>38</v>
      </c>
      <c r="E45" s="30" t="s">
        <v>47</v>
      </c>
      <c r="F45" s="30" t="s">
        <v>147</v>
      </c>
      <c r="G45" s="30" t="s">
        <v>55</v>
      </c>
      <c r="H45" s="29">
        <v>2</v>
      </c>
      <c r="I45" s="31">
        <v>2</v>
      </c>
    </row>
    <row r="46" spans="1:9" ht="24.95" customHeight="1">
      <c r="A46" s="49"/>
      <c r="B46" s="30" t="s">
        <v>133</v>
      </c>
      <c r="C46" s="30" t="s">
        <v>41</v>
      </c>
      <c r="D46" s="30" t="s">
        <v>38</v>
      </c>
      <c r="E46" s="30" t="s">
        <v>47</v>
      </c>
      <c r="F46" s="30" t="s">
        <v>148</v>
      </c>
      <c r="G46" s="30" t="s">
        <v>133</v>
      </c>
      <c r="H46" s="29">
        <v>3</v>
      </c>
      <c r="I46" s="31">
        <v>3</v>
      </c>
    </row>
    <row r="47" spans="1:9" ht="24.95" customHeight="1">
      <c r="A47" s="49"/>
      <c r="B47" s="30" t="s">
        <v>133</v>
      </c>
      <c r="C47" s="30" t="s">
        <v>41</v>
      </c>
      <c r="D47" s="30" t="s">
        <v>38</v>
      </c>
      <c r="E47" s="30" t="s">
        <v>47</v>
      </c>
      <c r="F47" s="30" t="s">
        <v>149</v>
      </c>
      <c r="G47" s="30" t="s">
        <v>61</v>
      </c>
      <c r="H47" s="29">
        <v>4</v>
      </c>
      <c r="I47" s="31">
        <v>4</v>
      </c>
    </row>
    <row r="48" spans="1:9" ht="24.95" customHeight="1">
      <c r="A48" s="49"/>
      <c r="B48" s="30" t="s">
        <v>133</v>
      </c>
      <c r="C48" s="30" t="s">
        <v>41</v>
      </c>
      <c r="D48" s="30" t="s">
        <v>38</v>
      </c>
      <c r="E48" s="30" t="s">
        <v>47</v>
      </c>
      <c r="F48" s="30" t="s">
        <v>150</v>
      </c>
      <c r="G48" s="30" t="s">
        <v>16</v>
      </c>
      <c r="H48" s="29">
        <v>5</v>
      </c>
      <c r="I48" s="31">
        <v>5</v>
      </c>
    </row>
    <row r="49" spans="1:9" ht="24.95" customHeight="1">
      <c r="A49" s="49"/>
      <c r="B49" s="30" t="s">
        <v>133</v>
      </c>
      <c r="C49" s="30" t="s">
        <v>41</v>
      </c>
      <c r="D49" s="30" t="s">
        <v>38</v>
      </c>
      <c r="E49" s="30" t="s">
        <v>47</v>
      </c>
      <c r="F49" s="30" t="s">
        <v>151</v>
      </c>
      <c r="G49" s="30" t="s">
        <v>15</v>
      </c>
      <c r="H49" s="29">
        <v>6</v>
      </c>
      <c r="I49" s="32">
        <v>6</v>
      </c>
    </row>
    <row r="50" spans="1:9" ht="24.95" customHeight="1">
      <c r="A50" s="49"/>
      <c r="B50" s="30" t="s">
        <v>133</v>
      </c>
      <c r="C50" s="30" t="s">
        <v>41</v>
      </c>
      <c r="D50" s="30" t="s">
        <v>14</v>
      </c>
      <c r="E50" s="30" t="s">
        <v>42</v>
      </c>
      <c r="F50" s="30" t="s">
        <v>152</v>
      </c>
      <c r="G50" s="30" t="s">
        <v>153</v>
      </c>
      <c r="H50" s="29">
        <v>1</v>
      </c>
      <c r="I50" s="31">
        <v>7</v>
      </c>
    </row>
    <row r="51" spans="1:9" ht="24.95" customHeight="1">
      <c r="A51" s="49"/>
      <c r="B51" s="30" t="s">
        <v>133</v>
      </c>
      <c r="C51" s="30" t="s">
        <v>41</v>
      </c>
      <c r="D51" s="30" t="s">
        <v>14</v>
      </c>
      <c r="E51" s="30" t="s">
        <v>42</v>
      </c>
      <c r="F51" s="30" t="s">
        <v>154</v>
      </c>
      <c r="G51" s="30" t="s">
        <v>155</v>
      </c>
      <c r="H51" s="29">
        <v>2</v>
      </c>
      <c r="I51" s="31">
        <v>8</v>
      </c>
    </row>
    <row r="52" spans="1:9" ht="24.95" customHeight="1">
      <c r="A52" s="49"/>
      <c r="B52" s="30" t="s">
        <v>133</v>
      </c>
      <c r="C52" s="30" t="s">
        <v>41</v>
      </c>
      <c r="D52" s="30" t="s">
        <v>14</v>
      </c>
      <c r="E52" s="30" t="s">
        <v>42</v>
      </c>
      <c r="F52" s="30" t="s">
        <v>156</v>
      </c>
      <c r="G52" s="30" t="s">
        <v>58</v>
      </c>
      <c r="H52" s="29">
        <v>3</v>
      </c>
      <c r="I52" s="33">
        <v>9</v>
      </c>
    </row>
    <row r="53" spans="1:9" ht="24.95" customHeight="1">
      <c r="A53" s="49"/>
      <c r="B53" s="30" t="s">
        <v>133</v>
      </c>
      <c r="C53" s="30" t="s">
        <v>41</v>
      </c>
      <c r="D53" s="30" t="s">
        <v>14</v>
      </c>
      <c r="E53" s="30" t="s">
        <v>42</v>
      </c>
      <c r="F53" s="30" t="s">
        <v>157</v>
      </c>
      <c r="G53" s="30" t="s">
        <v>44</v>
      </c>
      <c r="H53" s="29">
        <v>4</v>
      </c>
      <c r="I53" s="31">
        <v>10</v>
      </c>
    </row>
    <row r="54" spans="1:9" ht="24.95" customHeight="1">
      <c r="A54" s="49"/>
      <c r="B54" s="30" t="s">
        <v>133</v>
      </c>
      <c r="C54" s="30" t="s">
        <v>41</v>
      </c>
      <c r="D54" s="30" t="s">
        <v>14</v>
      </c>
      <c r="E54" s="30" t="s">
        <v>42</v>
      </c>
      <c r="F54" s="30" t="s">
        <v>158</v>
      </c>
      <c r="G54" s="30" t="s">
        <v>57</v>
      </c>
      <c r="H54" s="29">
        <v>5</v>
      </c>
      <c r="I54" s="33">
        <v>11</v>
      </c>
    </row>
    <row r="55" spans="1:9" ht="24.95" customHeight="1">
      <c r="A55" s="49"/>
      <c r="B55" s="30" t="s">
        <v>133</v>
      </c>
      <c r="C55" s="30" t="s">
        <v>41</v>
      </c>
      <c r="D55" s="30" t="s">
        <v>14</v>
      </c>
      <c r="E55" s="30" t="s">
        <v>42</v>
      </c>
      <c r="F55" s="30" t="s">
        <v>159</v>
      </c>
      <c r="G55" s="30" t="s">
        <v>160</v>
      </c>
      <c r="H55" s="29">
        <v>6</v>
      </c>
      <c r="I55" s="32">
        <v>12</v>
      </c>
    </row>
    <row r="56" spans="1:9" ht="24.95" customHeight="1">
      <c r="A56" s="49"/>
      <c r="B56" s="30" t="s">
        <v>133</v>
      </c>
      <c r="C56" s="30" t="s">
        <v>41</v>
      </c>
      <c r="D56" s="30" t="s">
        <v>14</v>
      </c>
      <c r="E56" s="30" t="s">
        <v>42</v>
      </c>
      <c r="F56" s="30" t="s">
        <v>161</v>
      </c>
      <c r="G56" s="30" t="s">
        <v>35</v>
      </c>
      <c r="H56" s="29">
        <v>7</v>
      </c>
      <c r="I56" s="31">
        <v>13</v>
      </c>
    </row>
    <row r="57" spans="1:9" ht="24.95" customHeight="1">
      <c r="A57" s="49"/>
      <c r="B57" s="30" t="s">
        <v>133</v>
      </c>
      <c r="C57" s="30" t="s">
        <v>41</v>
      </c>
      <c r="D57" s="30" t="s">
        <v>14</v>
      </c>
      <c r="E57" s="30" t="s">
        <v>42</v>
      </c>
      <c r="F57" s="30" t="s">
        <v>162</v>
      </c>
      <c r="G57" s="30" t="s">
        <v>163</v>
      </c>
      <c r="H57" s="29">
        <v>8</v>
      </c>
      <c r="I57" s="31">
        <v>14</v>
      </c>
    </row>
    <row r="58" spans="1:9" ht="24.95" customHeight="1">
      <c r="A58" s="49"/>
      <c r="B58" s="30" t="s">
        <v>133</v>
      </c>
      <c r="C58" s="30" t="s">
        <v>41</v>
      </c>
      <c r="D58" s="30" t="s">
        <v>164</v>
      </c>
      <c r="E58" s="30" t="s">
        <v>41</v>
      </c>
      <c r="F58" s="30" t="s">
        <v>165</v>
      </c>
      <c r="G58" s="30" t="s">
        <v>119</v>
      </c>
      <c r="H58" s="29">
        <v>1</v>
      </c>
      <c r="I58" s="31">
        <v>15</v>
      </c>
    </row>
    <row r="59" spans="1:9" ht="24.95" customHeight="1">
      <c r="A59" s="49"/>
      <c r="B59" s="30" t="s">
        <v>133</v>
      </c>
      <c r="C59" s="30" t="s">
        <v>41</v>
      </c>
      <c r="D59" s="30" t="s">
        <v>164</v>
      </c>
      <c r="E59" s="30" t="s">
        <v>41</v>
      </c>
      <c r="F59" s="30" t="s">
        <v>166</v>
      </c>
      <c r="G59" s="30" t="s">
        <v>25</v>
      </c>
      <c r="H59" s="29">
        <v>2</v>
      </c>
      <c r="I59" s="31">
        <v>16</v>
      </c>
    </row>
    <row r="60" spans="1:9" ht="24.95" customHeight="1">
      <c r="A60" s="49"/>
      <c r="B60" s="30" t="s">
        <v>133</v>
      </c>
      <c r="C60" s="30" t="s">
        <v>41</v>
      </c>
      <c r="D60" s="30" t="s">
        <v>164</v>
      </c>
      <c r="E60" s="30" t="s">
        <v>41</v>
      </c>
      <c r="F60" s="30" t="s">
        <v>167</v>
      </c>
      <c r="G60" s="30" t="s">
        <v>11</v>
      </c>
      <c r="H60" s="29">
        <v>3</v>
      </c>
      <c r="I60" s="31">
        <v>17</v>
      </c>
    </row>
    <row r="61" spans="1:9" ht="24.95" customHeight="1">
      <c r="A61" s="49"/>
      <c r="B61" s="30" t="s">
        <v>133</v>
      </c>
      <c r="C61" s="30" t="s">
        <v>41</v>
      </c>
      <c r="D61" s="30" t="s">
        <v>164</v>
      </c>
      <c r="E61" s="30" t="s">
        <v>41</v>
      </c>
      <c r="F61" s="30" t="s">
        <v>168</v>
      </c>
      <c r="G61" s="30" t="s">
        <v>9</v>
      </c>
      <c r="H61" s="29">
        <v>4</v>
      </c>
      <c r="I61" s="31">
        <v>18</v>
      </c>
    </row>
    <row r="62" spans="1:9" ht="24.95" customHeight="1">
      <c r="A62" s="49"/>
      <c r="B62" s="30" t="s">
        <v>133</v>
      </c>
      <c r="C62" s="30" t="s">
        <v>41</v>
      </c>
      <c r="D62" s="30" t="s">
        <v>164</v>
      </c>
      <c r="E62" s="30" t="s">
        <v>41</v>
      </c>
      <c r="F62" s="30" t="s">
        <v>169</v>
      </c>
      <c r="G62" s="30" t="s">
        <v>170</v>
      </c>
      <c r="H62" s="29">
        <v>5</v>
      </c>
      <c r="I62" s="31">
        <v>19</v>
      </c>
    </row>
    <row r="63" spans="1:9" ht="24.95" customHeight="1">
      <c r="A63" s="49">
        <v>4</v>
      </c>
      <c r="B63" s="30" t="s">
        <v>164</v>
      </c>
      <c r="C63" s="30" t="s">
        <v>53</v>
      </c>
      <c r="D63" s="30" t="s">
        <v>16</v>
      </c>
      <c r="E63" s="30" t="s">
        <v>56</v>
      </c>
      <c r="F63" s="30" t="s">
        <v>8</v>
      </c>
      <c r="G63" s="30" t="s">
        <v>171</v>
      </c>
      <c r="H63" s="29">
        <v>1</v>
      </c>
      <c r="I63" s="31">
        <v>1</v>
      </c>
    </row>
    <row r="64" spans="1:9" ht="24.95" customHeight="1">
      <c r="A64" s="49"/>
      <c r="B64" s="30" t="s">
        <v>164</v>
      </c>
      <c r="C64" s="30" t="s">
        <v>53</v>
      </c>
      <c r="D64" s="30" t="s">
        <v>16</v>
      </c>
      <c r="E64" s="30" t="s">
        <v>56</v>
      </c>
      <c r="F64" s="30" t="s">
        <v>172</v>
      </c>
      <c r="G64" s="30" t="s">
        <v>173</v>
      </c>
      <c r="H64" s="29">
        <v>2</v>
      </c>
      <c r="I64" s="31">
        <v>2</v>
      </c>
    </row>
    <row r="65" spans="1:9" ht="24.95" customHeight="1">
      <c r="A65" s="49"/>
      <c r="B65" s="30" t="s">
        <v>164</v>
      </c>
      <c r="C65" s="30" t="s">
        <v>53</v>
      </c>
      <c r="D65" s="30" t="s">
        <v>16</v>
      </c>
      <c r="E65" s="30" t="s">
        <v>56</v>
      </c>
      <c r="F65" s="30" t="s">
        <v>174</v>
      </c>
      <c r="G65" s="30" t="s">
        <v>160</v>
      </c>
      <c r="H65" s="29">
        <v>3</v>
      </c>
      <c r="I65" s="33">
        <v>3</v>
      </c>
    </row>
    <row r="66" spans="1:9" ht="24.95" customHeight="1">
      <c r="A66" s="49"/>
      <c r="B66" s="30" t="s">
        <v>164</v>
      </c>
      <c r="C66" s="30" t="s">
        <v>53</v>
      </c>
      <c r="D66" s="30" t="s">
        <v>16</v>
      </c>
      <c r="E66" s="30" t="s">
        <v>56</v>
      </c>
      <c r="F66" s="30" t="s">
        <v>175</v>
      </c>
      <c r="G66" s="30" t="s">
        <v>176</v>
      </c>
      <c r="H66" s="29">
        <v>4</v>
      </c>
      <c r="I66" s="31">
        <v>4</v>
      </c>
    </row>
    <row r="67" spans="1:9" ht="24.95" customHeight="1">
      <c r="A67" s="49"/>
      <c r="B67" s="30" t="s">
        <v>164</v>
      </c>
      <c r="C67" s="30" t="s">
        <v>53</v>
      </c>
      <c r="D67" s="30" t="s">
        <v>16</v>
      </c>
      <c r="E67" s="30" t="s">
        <v>56</v>
      </c>
      <c r="F67" s="30" t="s">
        <v>177</v>
      </c>
      <c r="G67" s="30" t="s">
        <v>178</v>
      </c>
      <c r="H67" s="29">
        <v>5</v>
      </c>
      <c r="I67" s="31">
        <v>5</v>
      </c>
    </row>
    <row r="68" spans="1:9" ht="24.95" customHeight="1">
      <c r="A68" s="49"/>
      <c r="B68" s="30" t="s">
        <v>164</v>
      </c>
      <c r="C68" s="30" t="s">
        <v>53</v>
      </c>
      <c r="D68" s="30" t="s">
        <v>16</v>
      </c>
      <c r="E68" s="30" t="s">
        <v>56</v>
      </c>
      <c r="F68" s="30" t="s">
        <v>179</v>
      </c>
      <c r="G68" s="30" t="s">
        <v>43</v>
      </c>
      <c r="H68" s="29">
        <v>6</v>
      </c>
      <c r="I68" s="31">
        <v>6</v>
      </c>
    </row>
    <row r="69" spans="1:9" ht="24.95" customHeight="1">
      <c r="A69" s="49"/>
      <c r="B69" s="30" t="s">
        <v>164</v>
      </c>
      <c r="C69" s="30" t="s">
        <v>53</v>
      </c>
      <c r="D69" s="30" t="s">
        <v>17</v>
      </c>
      <c r="E69" s="30" t="s">
        <v>59</v>
      </c>
      <c r="F69" s="30" t="s">
        <v>180</v>
      </c>
      <c r="G69" s="30" t="s">
        <v>181</v>
      </c>
      <c r="H69" s="29">
        <v>1</v>
      </c>
      <c r="I69" s="31">
        <v>7</v>
      </c>
    </row>
    <row r="70" spans="1:9" ht="24.95" customHeight="1">
      <c r="A70" s="49"/>
      <c r="B70" s="30" t="s">
        <v>164</v>
      </c>
      <c r="C70" s="30" t="s">
        <v>53</v>
      </c>
      <c r="D70" s="30" t="s">
        <v>17</v>
      </c>
      <c r="E70" s="30" t="s">
        <v>59</v>
      </c>
      <c r="F70" s="30" t="s">
        <v>182</v>
      </c>
      <c r="G70" s="30" t="s">
        <v>183</v>
      </c>
      <c r="H70" s="29">
        <v>2</v>
      </c>
      <c r="I70" s="32">
        <v>8</v>
      </c>
    </row>
    <row r="71" spans="1:9" ht="24.95" customHeight="1">
      <c r="A71" s="49"/>
      <c r="B71" s="30" t="s">
        <v>164</v>
      </c>
      <c r="C71" s="30" t="s">
        <v>53</v>
      </c>
      <c r="D71" s="30" t="s">
        <v>17</v>
      </c>
      <c r="E71" s="30" t="s">
        <v>59</v>
      </c>
      <c r="F71" s="30" t="s">
        <v>184</v>
      </c>
      <c r="G71" s="30" t="s">
        <v>185</v>
      </c>
      <c r="H71" s="29">
        <v>3</v>
      </c>
      <c r="I71" s="31">
        <v>9</v>
      </c>
    </row>
    <row r="72" spans="1:9" ht="24.95" customHeight="1">
      <c r="A72" s="49"/>
      <c r="B72" s="30" t="s">
        <v>164</v>
      </c>
      <c r="C72" s="30" t="s">
        <v>53</v>
      </c>
      <c r="D72" s="30" t="s">
        <v>17</v>
      </c>
      <c r="E72" s="30" t="s">
        <v>59</v>
      </c>
      <c r="F72" s="30" t="s">
        <v>186</v>
      </c>
      <c r="G72" s="30" t="s">
        <v>187</v>
      </c>
      <c r="H72" s="29">
        <v>4</v>
      </c>
      <c r="I72" s="31">
        <v>10</v>
      </c>
    </row>
    <row r="73" spans="1:9" ht="24.95" customHeight="1">
      <c r="A73" s="49"/>
      <c r="B73" s="30" t="s">
        <v>164</v>
      </c>
      <c r="C73" s="30" t="s">
        <v>53</v>
      </c>
      <c r="D73" s="30" t="s">
        <v>17</v>
      </c>
      <c r="E73" s="30" t="s">
        <v>59</v>
      </c>
      <c r="F73" s="30" t="s">
        <v>188</v>
      </c>
      <c r="G73" s="30" t="s">
        <v>189</v>
      </c>
      <c r="H73" s="29">
        <v>5</v>
      </c>
      <c r="I73" s="31">
        <v>11</v>
      </c>
    </row>
    <row r="74" spans="1:9" ht="24.95" customHeight="1">
      <c r="A74" s="49"/>
      <c r="B74" s="30" t="s">
        <v>164</v>
      </c>
      <c r="C74" s="30" t="s">
        <v>53</v>
      </c>
      <c r="D74" s="30" t="s">
        <v>17</v>
      </c>
      <c r="E74" s="30" t="s">
        <v>59</v>
      </c>
      <c r="F74" s="30" t="s">
        <v>190</v>
      </c>
      <c r="G74" s="30" t="s">
        <v>36</v>
      </c>
      <c r="H74" s="29">
        <v>6</v>
      </c>
      <c r="I74" s="31">
        <v>12</v>
      </c>
    </row>
    <row r="75" spans="1:9" ht="24.95" customHeight="1">
      <c r="A75" s="49"/>
      <c r="B75" s="30" t="s">
        <v>164</v>
      </c>
      <c r="C75" s="30" t="s">
        <v>53</v>
      </c>
      <c r="D75" s="30" t="s">
        <v>52</v>
      </c>
      <c r="E75" s="30" t="s">
        <v>53</v>
      </c>
      <c r="F75" s="30" t="s">
        <v>191</v>
      </c>
      <c r="G75" s="30" t="s">
        <v>52</v>
      </c>
      <c r="H75" s="29">
        <v>1</v>
      </c>
      <c r="I75" s="31">
        <v>13</v>
      </c>
    </row>
    <row r="76" spans="1:9" ht="24.95" customHeight="1">
      <c r="A76" s="49"/>
      <c r="B76" s="30" t="s">
        <v>164</v>
      </c>
      <c r="C76" s="30" t="s">
        <v>53</v>
      </c>
      <c r="D76" s="30" t="s">
        <v>52</v>
      </c>
      <c r="E76" s="30" t="s">
        <v>53</v>
      </c>
      <c r="F76" s="30" t="s">
        <v>192</v>
      </c>
      <c r="G76" s="30" t="s">
        <v>193</v>
      </c>
      <c r="H76" s="29">
        <v>2</v>
      </c>
      <c r="I76" s="31">
        <v>14</v>
      </c>
    </row>
    <row r="77" spans="1:9" ht="24.95" customHeight="1">
      <c r="A77" s="49"/>
      <c r="B77" s="30" t="s">
        <v>164</v>
      </c>
      <c r="C77" s="30" t="s">
        <v>53</v>
      </c>
      <c r="D77" s="30" t="s">
        <v>52</v>
      </c>
      <c r="E77" s="30" t="s">
        <v>53</v>
      </c>
      <c r="F77" s="30" t="s">
        <v>194</v>
      </c>
      <c r="G77" s="30" t="s">
        <v>64</v>
      </c>
      <c r="H77" s="29">
        <v>3</v>
      </c>
      <c r="I77" s="31">
        <v>15</v>
      </c>
    </row>
    <row r="78" spans="1:9" ht="24.95" customHeight="1">
      <c r="A78" s="49"/>
      <c r="B78" s="30" t="s">
        <v>164</v>
      </c>
      <c r="C78" s="30" t="s">
        <v>53</v>
      </c>
      <c r="D78" s="30" t="s">
        <v>52</v>
      </c>
      <c r="E78" s="30" t="s">
        <v>53</v>
      </c>
      <c r="F78" s="30" t="s">
        <v>195</v>
      </c>
      <c r="G78" s="30" t="s">
        <v>24</v>
      </c>
      <c r="H78" s="29">
        <v>4</v>
      </c>
      <c r="I78" s="33">
        <v>16</v>
      </c>
    </row>
    <row r="79" spans="1:9" ht="24.95" customHeight="1">
      <c r="A79" s="49"/>
      <c r="B79" s="30" t="s">
        <v>164</v>
      </c>
      <c r="C79" s="30" t="s">
        <v>53</v>
      </c>
      <c r="D79" s="30" t="s">
        <v>52</v>
      </c>
      <c r="E79" s="30" t="s">
        <v>53</v>
      </c>
      <c r="F79" s="30" t="s">
        <v>196</v>
      </c>
      <c r="G79" s="30" t="s">
        <v>18</v>
      </c>
      <c r="H79" s="29">
        <v>5</v>
      </c>
      <c r="I79" s="31">
        <v>17</v>
      </c>
    </row>
    <row r="80" spans="1:9" ht="24.95" customHeight="1">
      <c r="A80" s="49"/>
      <c r="B80" s="30" t="s">
        <v>164</v>
      </c>
      <c r="C80" s="30" t="s">
        <v>53</v>
      </c>
      <c r="D80" s="30" t="s">
        <v>52</v>
      </c>
      <c r="E80" s="30" t="s">
        <v>53</v>
      </c>
      <c r="F80" s="30" t="s">
        <v>197</v>
      </c>
      <c r="G80" s="30" t="s">
        <v>48</v>
      </c>
      <c r="H80" s="29">
        <v>6</v>
      </c>
      <c r="I80" s="31">
        <v>18</v>
      </c>
    </row>
    <row r="81" spans="1:9" ht="29.25" customHeight="1">
      <c r="A81" s="49"/>
      <c r="B81" s="30" t="s">
        <v>164</v>
      </c>
      <c r="C81" s="30" t="s">
        <v>53</v>
      </c>
      <c r="D81" s="30" t="s">
        <v>52</v>
      </c>
      <c r="E81" s="30" t="s">
        <v>53</v>
      </c>
      <c r="F81" s="30" t="s">
        <v>198</v>
      </c>
      <c r="G81" s="30" t="s">
        <v>16</v>
      </c>
      <c r="H81" s="29">
        <v>7</v>
      </c>
      <c r="I81" s="31">
        <v>19</v>
      </c>
    </row>
    <row r="82" spans="1:9" ht="24.95" customHeight="1">
      <c r="A82" s="49"/>
      <c r="B82" s="30" t="s">
        <v>164</v>
      </c>
      <c r="C82" s="30" t="s">
        <v>53</v>
      </c>
      <c r="D82" s="30" t="s">
        <v>52</v>
      </c>
      <c r="E82" s="30" t="s">
        <v>53</v>
      </c>
      <c r="F82" s="30" t="s">
        <v>199</v>
      </c>
      <c r="G82" s="30" t="s">
        <v>38</v>
      </c>
      <c r="H82" s="29">
        <v>8</v>
      </c>
      <c r="I82" s="31">
        <v>20</v>
      </c>
    </row>
    <row r="83" spans="1:9" ht="24.95" customHeight="1">
      <c r="A83" s="49"/>
      <c r="B83" s="30" t="s">
        <v>200</v>
      </c>
      <c r="C83" s="30" t="s">
        <v>19</v>
      </c>
      <c r="D83" s="30" t="s">
        <v>133</v>
      </c>
      <c r="E83" s="30" t="s">
        <v>20</v>
      </c>
      <c r="F83" s="30" t="s">
        <v>201</v>
      </c>
      <c r="G83" s="30" t="s">
        <v>119</v>
      </c>
      <c r="H83" s="29">
        <v>1</v>
      </c>
      <c r="I83" s="32">
        <v>21</v>
      </c>
    </row>
    <row r="84" spans="1:9" ht="24.95" customHeight="1">
      <c r="A84" s="49"/>
      <c r="B84" s="30" t="s">
        <v>200</v>
      </c>
      <c r="C84" s="30" t="s">
        <v>19</v>
      </c>
      <c r="D84" s="30" t="s">
        <v>133</v>
      </c>
      <c r="E84" s="30" t="s">
        <v>20</v>
      </c>
      <c r="F84" s="30" t="s">
        <v>202</v>
      </c>
      <c r="G84" s="30" t="s">
        <v>58</v>
      </c>
      <c r="H84" s="29">
        <v>2</v>
      </c>
      <c r="I84" s="31">
        <v>22</v>
      </c>
    </row>
    <row r="85" spans="1:9" ht="24.95" customHeight="1">
      <c r="A85" s="49"/>
      <c r="B85" s="30" t="s">
        <v>200</v>
      </c>
      <c r="C85" s="30" t="s">
        <v>19</v>
      </c>
      <c r="D85" s="30" t="s">
        <v>133</v>
      </c>
      <c r="E85" s="30" t="s">
        <v>20</v>
      </c>
      <c r="F85" s="30" t="s">
        <v>203</v>
      </c>
      <c r="G85" s="30" t="s">
        <v>48</v>
      </c>
      <c r="H85" s="29">
        <v>3</v>
      </c>
      <c r="I85" s="31">
        <v>23</v>
      </c>
    </row>
    <row r="86" spans="1:9" ht="24.95" customHeight="1">
      <c r="A86" s="49"/>
      <c r="B86" s="30" t="s">
        <v>200</v>
      </c>
      <c r="C86" s="30" t="s">
        <v>19</v>
      </c>
      <c r="D86" s="30" t="s">
        <v>133</v>
      </c>
      <c r="E86" s="30" t="s">
        <v>20</v>
      </c>
      <c r="F86" s="30" t="s">
        <v>204</v>
      </c>
      <c r="G86" s="30" t="s">
        <v>22</v>
      </c>
      <c r="H86" s="29">
        <v>4</v>
      </c>
      <c r="I86" s="31">
        <v>24</v>
      </c>
    </row>
    <row r="87" spans="1:9" ht="24.95" customHeight="1">
      <c r="A87" s="49"/>
      <c r="B87" s="30" t="s">
        <v>200</v>
      </c>
      <c r="C87" s="30" t="s">
        <v>19</v>
      </c>
      <c r="D87" s="30" t="s">
        <v>133</v>
      </c>
      <c r="E87" s="30" t="s">
        <v>20</v>
      </c>
      <c r="F87" s="30" t="s">
        <v>205</v>
      </c>
      <c r="G87" s="30" t="s">
        <v>55</v>
      </c>
      <c r="H87" s="29">
        <v>5</v>
      </c>
      <c r="I87" s="31">
        <v>25</v>
      </c>
    </row>
    <row r="88" spans="1:9" ht="24.95" customHeight="1">
      <c r="A88" s="49"/>
      <c r="B88" s="30" t="s">
        <v>200</v>
      </c>
      <c r="C88" s="30" t="s">
        <v>19</v>
      </c>
      <c r="D88" s="30" t="s">
        <v>133</v>
      </c>
      <c r="E88" s="30" t="s">
        <v>20</v>
      </c>
      <c r="F88" s="30" t="s">
        <v>206</v>
      </c>
      <c r="G88" s="30" t="s">
        <v>24</v>
      </c>
      <c r="H88" s="29">
        <v>6</v>
      </c>
      <c r="I88" s="31">
        <v>26</v>
      </c>
    </row>
    <row r="89" spans="1:9" ht="36.75" customHeight="1">
      <c r="A89" s="49"/>
      <c r="B89" s="30" t="s">
        <v>200</v>
      </c>
      <c r="C89" s="30" t="s">
        <v>19</v>
      </c>
      <c r="D89" s="30" t="s">
        <v>133</v>
      </c>
      <c r="E89" s="30" t="s">
        <v>20</v>
      </c>
      <c r="F89" s="30" t="s">
        <v>207</v>
      </c>
      <c r="G89" s="30" t="s">
        <v>114</v>
      </c>
      <c r="H89" s="29">
        <v>7</v>
      </c>
      <c r="I89" s="31">
        <v>27</v>
      </c>
    </row>
    <row r="90" spans="1:9" ht="24.95" customHeight="1">
      <c r="A90" s="49"/>
      <c r="B90" s="30" t="s">
        <v>200</v>
      </c>
      <c r="C90" s="30" t="s">
        <v>19</v>
      </c>
      <c r="D90" s="30" t="s">
        <v>133</v>
      </c>
      <c r="E90" s="30" t="s">
        <v>20</v>
      </c>
      <c r="F90" s="30" t="s">
        <v>208</v>
      </c>
      <c r="G90" s="30" t="s">
        <v>39</v>
      </c>
      <c r="H90" s="29">
        <v>8</v>
      </c>
      <c r="I90" s="31">
        <v>28</v>
      </c>
    </row>
    <row r="91" spans="1:9" ht="24.95" customHeight="1">
      <c r="A91" s="49"/>
      <c r="B91" s="30" t="s">
        <v>200</v>
      </c>
      <c r="C91" s="30" t="s">
        <v>19</v>
      </c>
      <c r="D91" s="30" t="s">
        <v>200</v>
      </c>
      <c r="E91" s="30" t="s">
        <v>26</v>
      </c>
      <c r="F91" s="30" t="s">
        <v>209</v>
      </c>
      <c r="G91" s="30" t="s">
        <v>55</v>
      </c>
      <c r="H91" s="29">
        <v>1</v>
      </c>
      <c r="I91" s="32">
        <v>29</v>
      </c>
    </row>
    <row r="92" spans="1:9" ht="24.95" customHeight="1">
      <c r="A92" s="49"/>
      <c r="B92" s="30" t="s">
        <v>200</v>
      </c>
      <c r="C92" s="30" t="s">
        <v>19</v>
      </c>
      <c r="D92" s="30" t="s">
        <v>200</v>
      </c>
      <c r="E92" s="30" t="s">
        <v>26</v>
      </c>
      <c r="F92" s="30" t="s">
        <v>210</v>
      </c>
      <c r="G92" s="30" t="s">
        <v>55</v>
      </c>
      <c r="H92" s="29">
        <v>2</v>
      </c>
      <c r="I92" s="31">
        <v>30</v>
      </c>
    </row>
    <row r="93" spans="1:9" ht="24.95" customHeight="1">
      <c r="A93" s="49"/>
      <c r="B93" s="30" t="s">
        <v>200</v>
      </c>
      <c r="C93" s="30" t="s">
        <v>19</v>
      </c>
      <c r="D93" s="30" t="s">
        <v>200</v>
      </c>
      <c r="E93" s="30" t="s">
        <v>26</v>
      </c>
      <c r="F93" s="30" t="s">
        <v>211</v>
      </c>
      <c r="G93" s="30" t="s">
        <v>55</v>
      </c>
      <c r="H93" s="29">
        <v>3</v>
      </c>
      <c r="I93" s="33">
        <v>31</v>
      </c>
    </row>
    <row r="94" spans="1:9" ht="24.95" customHeight="1">
      <c r="A94" s="49"/>
      <c r="B94" s="30" t="s">
        <v>200</v>
      </c>
      <c r="C94" s="30" t="s">
        <v>19</v>
      </c>
      <c r="D94" s="30" t="s">
        <v>200</v>
      </c>
      <c r="E94" s="30" t="s">
        <v>26</v>
      </c>
      <c r="F94" s="30" t="s">
        <v>26</v>
      </c>
      <c r="G94" s="30" t="s">
        <v>54</v>
      </c>
      <c r="H94" s="29">
        <v>4</v>
      </c>
      <c r="I94" s="31">
        <v>32</v>
      </c>
    </row>
    <row r="95" spans="1:9">
      <c r="A95" s="50"/>
      <c r="B95" s="30" t="s">
        <v>200</v>
      </c>
      <c r="C95" s="30" t="s">
        <v>19</v>
      </c>
      <c r="D95" s="30" t="s">
        <v>200</v>
      </c>
      <c r="E95" s="30" t="s">
        <v>26</v>
      </c>
      <c r="F95" s="30" t="s">
        <v>212</v>
      </c>
      <c r="G95" s="30" t="s">
        <v>14</v>
      </c>
      <c r="H95" s="29">
        <v>5</v>
      </c>
      <c r="I95" s="31">
        <v>33</v>
      </c>
    </row>
  </sheetData>
  <mergeCells count="5">
    <mergeCell ref="A18:A43"/>
    <mergeCell ref="A44:A62"/>
    <mergeCell ref="A63:A95"/>
    <mergeCell ref="A5:A17"/>
    <mergeCell ref="A1:I1"/>
  </mergeCells>
  <pageMargins left="0.11811023622047245" right="0.11811023622047245" top="0.15748031496062992" bottom="0.15748031496062992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>
      <selection activeCell="M7" sqref="M7"/>
    </sheetView>
  </sheetViews>
  <sheetFormatPr defaultColWidth="20.7109375" defaultRowHeight="24.95" customHeight="1"/>
  <cols>
    <col min="1" max="1" width="6.7109375" style="24" customWidth="1"/>
    <col min="2" max="2" width="19.42578125" style="7" customWidth="1"/>
    <col min="3" max="3" width="18.42578125" style="7" customWidth="1"/>
    <col min="4" max="4" width="13.5703125" style="4" customWidth="1"/>
    <col min="5" max="5" width="11.42578125" style="4" customWidth="1"/>
    <col min="6" max="6" width="8.85546875" style="4" customWidth="1"/>
    <col min="7" max="7" width="6.7109375" style="4" customWidth="1"/>
    <col min="8" max="8" width="9" style="4" customWidth="1"/>
    <col min="9" max="9" width="7.140625" style="4" customWidth="1"/>
    <col min="10" max="10" width="8" style="4" customWidth="1"/>
    <col min="11" max="11" width="8.7109375" style="4" customWidth="1"/>
    <col min="12" max="16384" width="20.7109375" style="8"/>
  </cols>
  <sheetData>
    <row r="1" spans="1:12" ht="24.95" customHeight="1">
      <c r="A1" s="52" t="s">
        <v>69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2" ht="24.95" customHeight="1">
      <c r="A2" s="52" t="s">
        <v>70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2" s="5" customFormat="1" ht="24.95" customHeight="1">
      <c r="A3" s="2" t="s">
        <v>65</v>
      </c>
      <c r="B3" s="1" t="s">
        <v>83</v>
      </c>
      <c r="C3" s="41"/>
      <c r="D3" s="42"/>
      <c r="E3" s="42"/>
      <c r="F3" s="41"/>
      <c r="G3" s="56" t="s">
        <v>66</v>
      </c>
      <c r="H3" s="56"/>
      <c r="I3" s="56"/>
      <c r="J3" s="56"/>
      <c r="K3" s="56"/>
    </row>
    <row r="4" spans="1:12" ht="24.95" customHeight="1">
      <c r="A4" s="6"/>
      <c r="B4" s="43"/>
      <c r="C4" s="43"/>
      <c r="D4" s="42"/>
      <c r="E4" s="42"/>
      <c r="F4" s="42"/>
      <c r="G4" s="42"/>
      <c r="H4" s="42" t="s">
        <v>101</v>
      </c>
      <c r="I4" s="42"/>
      <c r="J4" s="42"/>
      <c r="K4" s="42"/>
    </row>
    <row r="5" spans="1:12" ht="46.5" customHeight="1">
      <c r="A5" s="57" t="s">
        <v>71</v>
      </c>
      <c r="B5" s="55" t="s">
        <v>72</v>
      </c>
      <c r="C5" s="55" t="s">
        <v>73</v>
      </c>
      <c r="D5" s="55" t="s">
        <v>74</v>
      </c>
      <c r="E5" s="58" t="s">
        <v>75</v>
      </c>
      <c r="F5" s="55" t="s">
        <v>76</v>
      </c>
      <c r="G5" s="55"/>
      <c r="H5" s="55" t="s">
        <v>77</v>
      </c>
      <c r="I5" s="55"/>
      <c r="J5" s="55" t="s">
        <v>78</v>
      </c>
      <c r="K5" s="55"/>
    </row>
    <row r="6" spans="1:12" ht="35.25" customHeight="1">
      <c r="A6" s="57"/>
      <c r="B6" s="55"/>
      <c r="C6" s="55"/>
      <c r="D6" s="55"/>
      <c r="E6" s="59"/>
      <c r="F6" s="11" t="s">
        <v>79</v>
      </c>
      <c r="G6" s="11" t="s">
        <v>80</v>
      </c>
      <c r="H6" s="11" t="s">
        <v>79</v>
      </c>
      <c r="I6" s="11" t="s">
        <v>80</v>
      </c>
      <c r="J6" s="11" t="s">
        <v>79</v>
      </c>
      <c r="K6" s="11" t="s">
        <v>80</v>
      </c>
    </row>
    <row r="7" spans="1:12" ht="30" customHeight="1">
      <c r="A7" s="60">
        <v>1</v>
      </c>
      <c r="B7" s="12" t="s">
        <v>84</v>
      </c>
      <c r="C7" s="12" t="s">
        <v>84</v>
      </c>
      <c r="D7" s="13">
        <v>3</v>
      </c>
      <c r="E7" s="13">
        <f>D7</f>
        <v>3</v>
      </c>
      <c r="F7" s="14"/>
      <c r="G7" s="14"/>
      <c r="H7" s="14"/>
      <c r="I7" s="14"/>
      <c r="J7" s="14" t="s">
        <v>214</v>
      </c>
      <c r="K7" s="14" t="s">
        <v>216</v>
      </c>
    </row>
    <row r="8" spans="1:12" ht="30" customHeight="1">
      <c r="A8" s="61"/>
      <c r="B8" s="12" t="s">
        <v>85</v>
      </c>
      <c r="C8" s="12" t="s">
        <v>86</v>
      </c>
      <c r="D8" s="14">
        <v>4</v>
      </c>
      <c r="E8" s="14">
        <f>D8+E7</f>
        <v>7</v>
      </c>
      <c r="F8" s="14"/>
      <c r="G8" s="14"/>
      <c r="H8" s="14"/>
      <c r="I8" s="14"/>
      <c r="J8" s="14" t="s">
        <v>215</v>
      </c>
      <c r="K8" s="14" t="s">
        <v>217</v>
      </c>
    </row>
    <row r="9" spans="1:12" ht="28.5" customHeight="1">
      <c r="A9" s="61"/>
      <c r="B9" s="12" t="s">
        <v>85</v>
      </c>
      <c r="C9" s="12" t="s">
        <v>87</v>
      </c>
      <c r="D9" s="14">
        <v>1</v>
      </c>
      <c r="E9" s="14">
        <f t="shared" ref="E9:E10" si="0">D9+E8</f>
        <v>8</v>
      </c>
      <c r="F9" s="16"/>
      <c r="G9" s="16"/>
      <c r="H9" s="14"/>
      <c r="I9" s="14"/>
      <c r="J9" s="18"/>
      <c r="K9" s="18"/>
    </row>
    <row r="10" spans="1:12" ht="28.5" customHeight="1">
      <c r="A10" s="61"/>
      <c r="B10" s="12" t="s">
        <v>88</v>
      </c>
      <c r="C10" s="12" t="s">
        <v>88</v>
      </c>
      <c r="D10" s="14">
        <v>5</v>
      </c>
      <c r="E10" s="14">
        <f t="shared" si="0"/>
        <v>13</v>
      </c>
      <c r="F10" s="16"/>
      <c r="G10" s="16"/>
      <c r="H10" s="14"/>
      <c r="I10" s="14"/>
      <c r="J10" s="14"/>
      <c r="K10" s="14"/>
    </row>
    <row r="11" spans="1:12" ht="28.5" customHeight="1">
      <c r="A11" s="17"/>
      <c r="B11" s="19" t="s">
        <v>81</v>
      </c>
      <c r="C11" s="12"/>
      <c r="D11" s="20">
        <f>SUM(D7:D10)</f>
        <v>13</v>
      </c>
      <c r="E11" s="20"/>
      <c r="F11" s="16">
        <v>2</v>
      </c>
      <c r="G11" s="16">
        <v>2</v>
      </c>
      <c r="H11" s="14">
        <v>102</v>
      </c>
      <c r="I11" s="14">
        <v>102</v>
      </c>
      <c r="J11" s="14"/>
      <c r="K11" s="14"/>
    </row>
    <row r="12" spans="1:12" ht="24.95" customHeight="1">
      <c r="A12" s="62">
        <v>2</v>
      </c>
      <c r="B12" s="25" t="s">
        <v>89</v>
      </c>
      <c r="C12" s="12" t="s">
        <v>89</v>
      </c>
      <c r="D12" s="13">
        <v>8</v>
      </c>
      <c r="E12" s="14">
        <f>D12</f>
        <v>8</v>
      </c>
      <c r="F12" s="14"/>
      <c r="G12" s="14"/>
      <c r="H12" s="14"/>
      <c r="I12" s="14"/>
      <c r="J12" s="14" t="s">
        <v>218</v>
      </c>
      <c r="K12" s="14" t="s">
        <v>220</v>
      </c>
      <c r="L12" s="15"/>
    </row>
    <row r="13" spans="1:12" ht="24.95" customHeight="1">
      <c r="A13" s="63"/>
      <c r="B13" s="26" t="s">
        <v>89</v>
      </c>
      <c r="C13" s="12" t="s">
        <v>90</v>
      </c>
      <c r="D13" s="13">
        <v>7</v>
      </c>
      <c r="E13" s="14">
        <f>D13+E12</f>
        <v>15</v>
      </c>
      <c r="F13" s="14"/>
      <c r="G13" s="14"/>
      <c r="H13" s="14"/>
      <c r="I13" s="14"/>
      <c r="J13" s="14" t="s">
        <v>219</v>
      </c>
      <c r="K13" s="14" t="s">
        <v>221</v>
      </c>
      <c r="L13" s="15"/>
    </row>
    <row r="14" spans="1:12" ht="24.95" customHeight="1">
      <c r="A14" s="63"/>
      <c r="B14" s="26" t="s">
        <v>91</v>
      </c>
      <c r="C14" s="12" t="s">
        <v>92</v>
      </c>
      <c r="D14" s="13">
        <v>6</v>
      </c>
      <c r="E14" s="14">
        <f t="shared" ref="E14:E15" si="1">D14+E13</f>
        <v>21</v>
      </c>
      <c r="F14" s="14"/>
      <c r="G14" s="14"/>
      <c r="H14" s="14"/>
      <c r="I14" s="14"/>
      <c r="J14" s="18"/>
      <c r="K14" s="18"/>
      <c r="L14" s="15"/>
    </row>
    <row r="15" spans="1:12" ht="24.95" customHeight="1">
      <c r="A15" s="63"/>
      <c r="B15" s="26" t="s">
        <v>91</v>
      </c>
      <c r="C15" s="12" t="s">
        <v>91</v>
      </c>
      <c r="D15" s="13">
        <v>5</v>
      </c>
      <c r="E15" s="14">
        <f t="shared" si="1"/>
        <v>26</v>
      </c>
      <c r="F15" s="14"/>
      <c r="G15" s="14"/>
      <c r="H15" s="14"/>
      <c r="I15" s="14"/>
      <c r="J15" s="14"/>
      <c r="K15" s="14"/>
      <c r="L15" s="15"/>
    </row>
    <row r="16" spans="1:12" ht="24.95" customHeight="1">
      <c r="A16" s="8"/>
      <c r="B16" s="19" t="s">
        <v>81</v>
      </c>
      <c r="C16" s="12"/>
      <c r="D16" s="27">
        <f>SUM(D12:D15)</f>
        <v>26</v>
      </c>
      <c r="E16" s="14"/>
      <c r="F16" s="14">
        <v>2</v>
      </c>
      <c r="G16" s="14">
        <v>2</v>
      </c>
      <c r="H16" s="14">
        <v>103</v>
      </c>
      <c r="I16" s="14">
        <v>103</v>
      </c>
      <c r="J16" s="14"/>
      <c r="K16" s="14"/>
      <c r="L16" s="15"/>
    </row>
    <row r="17" spans="1:12" ht="24.95" customHeight="1">
      <c r="A17" s="63">
        <v>3</v>
      </c>
      <c r="B17" s="26" t="s">
        <v>93</v>
      </c>
      <c r="C17" s="12" t="s">
        <v>94</v>
      </c>
      <c r="D17" s="13">
        <v>8</v>
      </c>
      <c r="E17" s="14">
        <f>D17</f>
        <v>8</v>
      </c>
      <c r="F17" s="14"/>
      <c r="G17" s="14"/>
      <c r="H17" s="14"/>
      <c r="I17" s="14"/>
      <c r="J17" s="14" t="s">
        <v>222</v>
      </c>
      <c r="K17" s="14" t="s">
        <v>216</v>
      </c>
      <c r="L17" s="15"/>
    </row>
    <row r="18" spans="1:12" ht="24.95" customHeight="1">
      <c r="A18" s="63"/>
      <c r="B18" s="26" t="s">
        <v>93</v>
      </c>
      <c r="C18" s="12" t="s">
        <v>93</v>
      </c>
      <c r="D18" s="13">
        <v>5</v>
      </c>
      <c r="E18" s="14">
        <f>D18+E17</f>
        <v>13</v>
      </c>
      <c r="F18" s="14"/>
      <c r="G18" s="14"/>
      <c r="H18" s="14"/>
      <c r="I18" s="14"/>
      <c r="J18" s="14" t="s">
        <v>223</v>
      </c>
      <c r="K18" s="14" t="s">
        <v>224</v>
      </c>
      <c r="L18" s="15"/>
    </row>
    <row r="19" spans="1:12" ht="24.95" customHeight="1">
      <c r="A19" s="63"/>
      <c r="B19" s="26" t="s">
        <v>93</v>
      </c>
      <c r="C19" s="12" t="s">
        <v>95</v>
      </c>
      <c r="D19" s="13">
        <v>6</v>
      </c>
      <c r="E19" s="14">
        <f>D19+E18</f>
        <v>19</v>
      </c>
      <c r="F19" s="14"/>
      <c r="G19" s="14"/>
      <c r="H19" s="14"/>
      <c r="I19" s="14"/>
      <c r="J19" s="18"/>
      <c r="K19" s="14"/>
      <c r="L19" s="15"/>
    </row>
    <row r="20" spans="1:12" ht="24.95" customHeight="1">
      <c r="A20" s="8"/>
      <c r="B20" s="19" t="s">
        <v>81</v>
      </c>
      <c r="C20" s="12"/>
      <c r="D20" s="27">
        <f>SUM(D17:D19)</f>
        <v>19</v>
      </c>
      <c r="E20" s="14"/>
      <c r="F20" s="14">
        <v>2</v>
      </c>
      <c r="G20" s="14">
        <v>2</v>
      </c>
      <c r="H20" s="14">
        <v>104</v>
      </c>
      <c r="I20" s="14">
        <v>104</v>
      </c>
      <c r="J20" s="14"/>
      <c r="K20" s="14"/>
      <c r="L20" s="15"/>
    </row>
    <row r="21" spans="1:12" ht="24.95" customHeight="1">
      <c r="A21" s="53">
        <v>4</v>
      </c>
      <c r="B21" s="26" t="s">
        <v>96</v>
      </c>
      <c r="C21" s="12" t="s">
        <v>97</v>
      </c>
      <c r="D21" s="13">
        <v>8</v>
      </c>
      <c r="E21" s="14">
        <f>D21</f>
        <v>8</v>
      </c>
      <c r="F21" s="14"/>
      <c r="G21" s="14"/>
      <c r="H21" s="14"/>
      <c r="I21" s="14"/>
      <c r="J21" s="14" t="s">
        <v>225</v>
      </c>
      <c r="K21" s="14" t="s">
        <v>214</v>
      </c>
      <c r="L21" s="15"/>
    </row>
    <row r="22" spans="1:12" ht="24.95" customHeight="1">
      <c r="A22" s="53"/>
      <c r="B22" s="28" t="s">
        <v>96</v>
      </c>
      <c r="C22" s="12" t="s">
        <v>96</v>
      </c>
      <c r="D22" s="13">
        <v>5</v>
      </c>
      <c r="E22" s="14">
        <f>D21+D22</f>
        <v>13</v>
      </c>
      <c r="F22" s="14"/>
      <c r="G22" s="14"/>
      <c r="H22" s="14"/>
      <c r="I22" s="14"/>
      <c r="J22" s="14" t="s">
        <v>226</v>
      </c>
      <c r="K22" s="14" t="s">
        <v>228</v>
      </c>
      <c r="L22" s="15"/>
    </row>
    <row r="23" spans="1:12" ht="24.95" customHeight="1">
      <c r="A23" s="53"/>
      <c r="B23" s="28" t="s">
        <v>98</v>
      </c>
      <c r="C23" s="12" t="s">
        <v>99</v>
      </c>
      <c r="D23" s="13">
        <v>6</v>
      </c>
      <c r="E23" s="14">
        <f t="shared" ref="E23:E25" si="2">D23+E22</f>
        <v>19</v>
      </c>
      <c r="F23" s="14"/>
      <c r="G23" s="14"/>
      <c r="H23" s="14"/>
      <c r="I23" s="14"/>
      <c r="J23" s="14" t="s">
        <v>227</v>
      </c>
      <c r="K23" s="14" t="s">
        <v>229</v>
      </c>
      <c r="L23" s="15"/>
    </row>
    <row r="24" spans="1:12" ht="24.95" customHeight="1">
      <c r="A24" s="53"/>
      <c r="B24" s="28" t="s">
        <v>98</v>
      </c>
      <c r="C24" s="12" t="s">
        <v>100</v>
      </c>
      <c r="D24" s="13">
        <v>6</v>
      </c>
      <c r="E24" s="14">
        <f t="shared" si="2"/>
        <v>25</v>
      </c>
      <c r="F24" s="14"/>
      <c r="G24" s="14"/>
      <c r="H24" s="14"/>
      <c r="I24" s="14"/>
      <c r="J24" s="14"/>
      <c r="K24" s="14"/>
      <c r="L24" s="15"/>
    </row>
    <row r="25" spans="1:12" ht="24.95" customHeight="1">
      <c r="A25" s="54"/>
      <c r="B25" s="28" t="s">
        <v>98</v>
      </c>
      <c r="C25" s="12" t="s">
        <v>98</v>
      </c>
      <c r="D25" s="13">
        <v>8</v>
      </c>
      <c r="E25" s="14">
        <f t="shared" si="2"/>
        <v>33</v>
      </c>
      <c r="F25" s="14"/>
      <c r="G25" s="14"/>
      <c r="H25" s="14"/>
      <c r="I25" s="14"/>
      <c r="J25" s="14"/>
      <c r="K25" s="14"/>
      <c r="L25" s="15"/>
    </row>
    <row r="26" spans="1:12" ht="24.95" customHeight="1">
      <c r="A26" s="17"/>
      <c r="B26" s="19" t="s">
        <v>81</v>
      </c>
      <c r="C26" s="12"/>
      <c r="D26" s="21">
        <f>SUM(D21:D25)</f>
        <v>33</v>
      </c>
      <c r="E26" s="21"/>
      <c r="F26" s="14">
        <v>3</v>
      </c>
      <c r="G26" s="14">
        <v>3</v>
      </c>
      <c r="H26" s="14">
        <v>1</v>
      </c>
      <c r="I26" s="14">
        <v>1</v>
      </c>
      <c r="J26" s="14"/>
      <c r="K26" s="14"/>
    </row>
    <row r="27" spans="1:12" ht="24.95" customHeight="1">
      <c r="A27" s="22"/>
      <c r="B27" s="12" t="s">
        <v>82</v>
      </c>
      <c r="C27" s="12"/>
      <c r="D27" s="23">
        <f>D11+D16+D20+D26</f>
        <v>91</v>
      </c>
      <c r="E27" s="23"/>
      <c r="F27" s="14"/>
      <c r="G27" s="14"/>
      <c r="H27" s="14"/>
      <c r="I27" s="14"/>
      <c r="J27" s="14"/>
      <c r="K27" s="14"/>
    </row>
  </sheetData>
  <mergeCells count="15">
    <mergeCell ref="A21:A25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A7:A10"/>
    <mergeCell ref="A12:A15"/>
    <mergeCell ref="A17:A19"/>
  </mergeCells>
  <pageMargins left="0.31496062992125984" right="0.31496062992125984" top="0.35433070866141736" bottom="0.35433070866141736" header="0.31496062992125984" footer="0.31496062992125984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2025-06-24T08:49:08Z</cp:lastPrinted>
  <dcterms:created xsi:type="dcterms:W3CDTF">2025-06-18T07:40:30Z</dcterms:created>
  <dcterms:modified xsi:type="dcterms:W3CDTF">2026-06-16T11:53:44Z</dcterms:modified>
</cp:coreProperties>
</file>
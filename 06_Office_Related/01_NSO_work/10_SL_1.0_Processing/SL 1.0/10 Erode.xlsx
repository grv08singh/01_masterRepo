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SL 1.0\"/>
    </mc:Choice>
  </mc:AlternateContent>
  <xr:revisionPtr revIDLastSave="0" documentId="13_ncr:1_{72781A75-E22F-43BD-8B54-0BC6402E7E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ATUM WISE  (CS)" sheetId="11" r:id="rId1"/>
    <sheet name="STRATUM WISE  (SS)" sheetId="10" r:id="rId2"/>
    <sheet name="STRATUM WISE " sheetId="9" r:id="rId3"/>
    <sheet name="WORKING SHEET" sheetId="6" r:id="rId4"/>
  </sheets>
  <definedNames>
    <definedName name="_xlnm._FilterDatabase" localSheetId="2" hidden="1">'STRATUM WISE '!$A$4:$K$80</definedName>
    <definedName name="_xlnm._FilterDatabase" localSheetId="0" hidden="1">'STRATUM WISE  (CS)'!$A$4:$F$12</definedName>
    <definedName name="_xlnm._FilterDatabase" localSheetId="1" hidden="1">'STRATUM WISE  (SS)'!$A$4:$F$12</definedName>
    <definedName name="_xlnm._FilterDatabase" localSheetId="3" hidden="1">'WORKING SHEET'!$A$6:$K$28</definedName>
    <definedName name="_xlnm.Print_Area" localSheetId="2">'STRATUM WISE '!$A$2:$K$81</definedName>
    <definedName name="_xlnm.Print_Area" localSheetId="0">'STRATUM WISE  (CS)'!$A$2:$F$12</definedName>
    <definedName name="_xlnm.Print_Area" localSheetId="1">'STRATUM WISE  (SS)'!$A$2:$F$12</definedName>
    <definedName name="_xlnm.Print_Area" localSheetId="3">'WORKING SHEET'!$A$1:$K$28</definedName>
    <definedName name="_xlnm.Print_Titles" localSheetId="2">'STRATUM WISE '!$3:$3</definedName>
    <definedName name="_xlnm.Print_Titles" localSheetId="0">'STRATUM WISE  (CS)'!$4:$4</definedName>
    <definedName name="_xlnm.Print_Titles" localSheetId="1">'STRATUM WISE  (SS)'!$4:$4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6" l="1"/>
  <c r="E23" i="6"/>
  <c r="E24" i="6" s="1"/>
  <c r="E25" i="6" s="1"/>
  <c r="E26" i="6" s="1"/>
  <c r="E17" i="6"/>
  <c r="E18" i="6" s="1"/>
  <c r="E19" i="6" s="1"/>
  <c r="E20" i="6" s="1"/>
  <c r="E21" i="6" s="1"/>
  <c r="E13" i="6"/>
  <c r="E14" i="6" s="1"/>
  <c r="E15" i="6" s="1"/>
  <c r="D27" i="6"/>
  <c r="D16" i="6"/>
  <c r="E7" i="6"/>
  <c r="E8" i="6" s="1"/>
  <c r="E9" i="6" s="1"/>
  <c r="E10" i="6" s="1"/>
  <c r="D12" i="6"/>
  <c r="D28" i="6" l="1"/>
</calcChain>
</file>

<file path=xl/sharedStrings.xml><?xml version="1.0" encoding="utf-8"?>
<sst xmlns="http://schemas.openxmlformats.org/spreadsheetml/2006/main" count="656" uniqueCount="174">
  <si>
    <t>TRS_DTNAME</t>
  </si>
  <si>
    <t>TRS_TKCODE</t>
  </si>
  <si>
    <t>TRS_TKNAME</t>
  </si>
  <si>
    <t>TRS_BKCODE</t>
  </si>
  <si>
    <t>TRS_BKNAME</t>
  </si>
  <si>
    <t>VGNAME</t>
  </si>
  <si>
    <t>RV_CODE</t>
  </si>
  <si>
    <t>ERODE</t>
  </si>
  <si>
    <t>20</t>
  </si>
  <si>
    <t>5</t>
  </si>
  <si>
    <t>8</t>
  </si>
  <si>
    <t>16</t>
  </si>
  <si>
    <t>9</t>
  </si>
  <si>
    <t>27</t>
  </si>
  <si>
    <t>13</t>
  </si>
  <si>
    <t>15</t>
  </si>
  <si>
    <t>PERUNDURAI</t>
  </si>
  <si>
    <t>KANJIKOIL</t>
  </si>
  <si>
    <t>18</t>
  </si>
  <si>
    <t>19</t>
  </si>
  <si>
    <t>31</t>
  </si>
  <si>
    <t>49</t>
  </si>
  <si>
    <t>28</t>
  </si>
  <si>
    <t>24</t>
  </si>
  <si>
    <t>CHENNIMALAI</t>
  </si>
  <si>
    <t>GOBICHETTIPALAYAM</t>
  </si>
  <si>
    <t>SIRUVALUR</t>
  </si>
  <si>
    <t>NAMBIYUR</t>
  </si>
  <si>
    <t>22</t>
  </si>
  <si>
    <t>21</t>
  </si>
  <si>
    <t>THUKKANAICKENPALAYAM</t>
  </si>
  <si>
    <t>VANIPUTHUR</t>
  </si>
  <si>
    <t>7</t>
  </si>
  <si>
    <t>14</t>
  </si>
  <si>
    <t>SATHYAMANGALAM</t>
  </si>
  <si>
    <t>BHAVANISAGAR</t>
  </si>
  <si>
    <t>VEMANDAMPALAYAM</t>
  </si>
  <si>
    <t>4</t>
  </si>
  <si>
    <t>BHAVANI</t>
  </si>
  <si>
    <t>11</t>
  </si>
  <si>
    <t>AMMAPETTAI</t>
  </si>
  <si>
    <t>ANTHIYUR</t>
  </si>
  <si>
    <t>29</t>
  </si>
  <si>
    <t>3</t>
  </si>
  <si>
    <t>MODAKURICHI</t>
  </si>
  <si>
    <t>26</t>
  </si>
  <si>
    <t>2</t>
  </si>
  <si>
    <t>KODUMUDI</t>
  </si>
  <si>
    <t>THALAVADI</t>
  </si>
  <si>
    <t>1</t>
  </si>
  <si>
    <t>6</t>
  </si>
  <si>
    <t>10</t>
  </si>
  <si>
    <t xml:space="preserve">District: </t>
  </si>
  <si>
    <t>Sample : Central /State</t>
  </si>
  <si>
    <t>.Stratum No.</t>
  </si>
  <si>
    <t>TRS_DT CODE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</si>
  <si>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</si>
  <si>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</si>
  <si>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</si>
  <si>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</si>
  <si>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</si>
  <si>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</si>
  <si>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</si>
  <si>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</si>
  <si>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</si>
  <si>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</si>
  <si>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</si>
  <si>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</si>
  <si>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</si>
  <si>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</si>
  <si>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</si>
  <si>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</si>
  <si>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ERODE(10)</t>
  </si>
  <si>
    <t>08(1)</t>
  </si>
  <si>
    <t>VEMBATHI</t>
  </si>
  <si>
    <t>BRAMMADESAM</t>
  </si>
  <si>
    <t>ENNAMANGALAM</t>
  </si>
  <si>
    <t>VELLITHIRUPPUR</t>
  </si>
  <si>
    <t>ILLIPPILI</t>
  </si>
  <si>
    <t>MATHUR</t>
  </si>
  <si>
    <t>KALPAVI</t>
  </si>
  <si>
    <t>12</t>
  </si>
  <si>
    <t>APPAKOODAL</t>
  </si>
  <si>
    <t>17</t>
  </si>
  <si>
    <t>ANDIKULAM</t>
  </si>
  <si>
    <t>VARADANALLUR</t>
  </si>
  <si>
    <t>PERIYA PULIYUR</t>
  </si>
  <si>
    <t>PUTHUR PUTHUPALAYAM</t>
  </si>
  <si>
    <t>BRAHMANA PERIYA AGRAHARAM</t>
  </si>
  <si>
    <t>MUTHAMPALAYAM</t>
  </si>
  <si>
    <t>36</t>
  </si>
  <si>
    <t>KUMILAMPARAPPU</t>
  </si>
  <si>
    <t>NASIYSNUR</t>
  </si>
  <si>
    <t>VETTAI PERIYAPALAYAM</t>
  </si>
  <si>
    <t>MOOLAKARAI</t>
  </si>
  <si>
    <t>VEPPAMPALAYAM</t>
  </si>
  <si>
    <t>30</t>
  </si>
  <si>
    <t>CHENNASAMUDRAM</t>
  </si>
  <si>
    <t>MURUNGIYAMPALAYAM</t>
  </si>
  <si>
    <t>ICHIPALAYAM</t>
  </si>
  <si>
    <t>EZHUUNOOTHIMANGALAM</t>
  </si>
  <si>
    <t>KONGUDAIYAMPALAYAM</t>
  </si>
  <si>
    <t>PULLAPPA NAICKENPALAYAM</t>
  </si>
  <si>
    <t>CHINNA KODIVERI</t>
  </si>
  <si>
    <t>ARRAKKANKOTTAI KARAI</t>
  </si>
  <si>
    <t>AKKARAIKODIVERI</t>
  </si>
  <si>
    <t>AMMAPALAYAM</t>
  </si>
  <si>
    <t>41</t>
  </si>
  <si>
    <t>POLAVAKALIPALAYAM</t>
  </si>
  <si>
    <t>45</t>
  </si>
  <si>
    <t>KULLAMPALAYAM</t>
  </si>
  <si>
    <t>51</t>
  </si>
  <si>
    <t>CHANDRAPURAM</t>
  </si>
  <si>
    <t>44</t>
  </si>
  <si>
    <t>CHEYAMPALAYAM</t>
  </si>
  <si>
    <t>KARAPADI</t>
  </si>
  <si>
    <t>POLAVAPALAYAM</t>
  </si>
  <si>
    <t>KURUMANTHUR</t>
  </si>
  <si>
    <t>ANDIPALAYAM</t>
  </si>
  <si>
    <t>CHINNARIPALAYAM</t>
  </si>
  <si>
    <t>NANJAI UTHUKULI</t>
  </si>
  <si>
    <t>EZHUMATHUR</t>
  </si>
  <si>
    <t>25</t>
  </si>
  <si>
    <t>KULAVILAKKU</t>
  </si>
  <si>
    <t>ECHAMPALLI</t>
  </si>
  <si>
    <t>THENMUGAM VELLODE</t>
  </si>
  <si>
    <t>56</t>
  </si>
  <si>
    <t>ELLAIGRAMAM</t>
  </si>
  <si>
    <t>68</t>
  </si>
  <si>
    <t>MURUGA THOLUVU</t>
  </si>
  <si>
    <t>71</t>
  </si>
  <si>
    <t>ORATHUPALAYAM</t>
  </si>
  <si>
    <t>66</t>
  </si>
  <si>
    <t>59</t>
  </si>
  <si>
    <t>PALAKARAI</t>
  </si>
  <si>
    <t>MULLAMPATTI</t>
  </si>
  <si>
    <t>OLAPALAYAM</t>
  </si>
  <si>
    <t>CHINNA MALLANPALAYAM</t>
  </si>
  <si>
    <t>SEENAPURAM</t>
  </si>
  <si>
    <t>34</t>
  </si>
  <si>
    <t>PAPPAMPALAYAM</t>
  </si>
  <si>
    <t>VIJAYAPURI</t>
  </si>
  <si>
    <t>THOTTAHASSANUR</t>
  </si>
  <si>
    <t>PANAGAHALLI</t>
  </si>
  <si>
    <t>CHIKKAHASSANUR</t>
  </si>
  <si>
    <t>IKKARAI THATHAPALLI</t>
  </si>
  <si>
    <t>PUNJAI PULIAMPATTI</t>
  </si>
  <si>
    <t>38</t>
  </si>
  <si>
    <t>PAGUTHAMPALAYAM</t>
  </si>
  <si>
    <t>KURUMBAPALAYAM</t>
  </si>
  <si>
    <t>43</t>
  </si>
  <si>
    <t>DASARIPALAYAM</t>
  </si>
  <si>
    <t>KONAMOOLAI</t>
  </si>
  <si>
    <t>ALATHUKOMBAI</t>
  </si>
  <si>
    <t>SADHUMUGAI</t>
  </si>
  <si>
    <t>KEMPANAYAKKANPALAYAM</t>
  </si>
  <si>
    <t>INDIYAMPALAYAM</t>
  </si>
  <si>
    <t>Year:2026-27 (Fasli-1436)</t>
  </si>
  <si>
    <t>13(1)</t>
  </si>
  <si>
    <t>05(2)</t>
  </si>
  <si>
    <t>16(1)</t>
  </si>
  <si>
    <t>02(2)</t>
  </si>
  <si>
    <t>03(2)</t>
  </si>
  <si>
    <t>09(1)</t>
  </si>
  <si>
    <t>12(2)</t>
  </si>
  <si>
    <t>25(1)</t>
  </si>
  <si>
    <t>11(2)</t>
  </si>
  <si>
    <t>24(1)</t>
  </si>
  <si>
    <t>06(2)</t>
  </si>
  <si>
    <t xml:space="preserve">Sample : Central </t>
  </si>
  <si>
    <t>Oder of selection</t>
  </si>
  <si>
    <t>Erode</t>
  </si>
  <si>
    <t>Sample : State</t>
  </si>
  <si>
    <t xml:space="preserve">      ERODE(10)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</si>
</sst>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Bookman Old Style"/>
      <family val="1"/>
    </font>
    <font>
      <sz val="11"/>
      <name val="Bookman Old Style"/>
      <family val="1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5">
    <xf numFmtId="0" fontId="0" fillId="0" borderId="0" xfId="0"/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wrapText="1"/>
    </xf>
    <xf numFmtId="0" fontId="5" fillId="2" borderId="0" xfId="2" applyFont="1" applyFill="1" applyAlignment="1">
      <alignment vertical="center"/>
    </xf>
    <xf numFmtId="0" fontId="7" fillId="0" borderId="0" xfId="4" applyFont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center" vertical="center"/>
    </xf>
    <xf numFmtId="0" fontId="8" fillId="0" borderId="0" xfId="4" applyFont="1" applyAlignment="1">
      <alignment vertical="center"/>
    </xf>
    <xf numFmtId="0" fontId="8" fillId="0" borderId="0" xfId="4" applyFont="1"/>
    <xf numFmtId="0" fontId="0" fillId="0" borderId="0" xfId="0" applyAlignment="1">
      <alignment horizontal="center"/>
    </xf>
    <xf numFmtId="0" fontId="10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8" fillId="0" borderId="1" xfId="4" quotePrefix="1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8" fillId="0" borderId="0" xfId="4" applyFont="1" applyAlignment="1">
      <alignment horizontal="left" vertical="center"/>
    </xf>
    <xf numFmtId="0" fontId="11" fillId="0" borderId="1" xfId="1" applyFont="1" applyBorder="1" applyAlignment="1">
      <alignment vertical="center" wrapText="1"/>
    </xf>
    <xf numFmtId="0" fontId="8" fillId="0" borderId="1" xfId="4" applyFont="1" applyBorder="1"/>
    <xf numFmtId="0" fontId="2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vertical="center" wrapText="1"/>
    </xf>
    <xf numFmtId="0" fontId="13" fillId="0" borderId="0" xfId="4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6" fillId="0" borderId="1" xfId="1" applyFont="1" applyBorder="1" applyAlignment="1">
      <alignment horizontal="center" wrapText="1"/>
    </xf>
    <xf numFmtId="0" fontId="16" fillId="0" borderId="1" xfId="1" applyFont="1" applyBorder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6" fillId="0" borderId="7" xfId="1" applyFont="1" applyBorder="1" applyAlignment="1">
      <alignment wrapText="1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17" fillId="0" borderId="1" xfId="5" applyFont="1" applyBorder="1" applyAlignment="1">
      <alignment horizontal="center" vertical="center" wrapText="1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vertical="center"/>
    </xf>
    <xf numFmtId="0" fontId="7" fillId="0" borderId="1" xfId="4" applyFont="1" applyBorder="1" applyAlignment="1">
      <alignment horizontal="left" vertical="center"/>
    </xf>
    <xf numFmtId="0" fontId="8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/>
    </xf>
    <xf numFmtId="0" fontId="10" fillId="0" borderId="0" xfId="4" applyFont="1" applyAlignment="1">
      <alignment horizontal="center" vertical="center"/>
    </xf>
    <xf numFmtId="0" fontId="10" fillId="0" borderId="0" xfId="4" applyFont="1" applyAlignment="1">
      <alignment horizontal="left" vertical="center"/>
    </xf>
    <xf numFmtId="0" fontId="7" fillId="0" borderId="1" xfId="4" applyFont="1" applyBorder="1" applyAlignment="1">
      <alignment horizontal="center" vertical="center" textRotation="90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9" xfId="4" applyFont="1" applyBorder="1" applyAlignment="1">
      <alignment horizontal="left" vertical="center"/>
    </xf>
    <xf numFmtId="0" fontId="10" fillId="0" borderId="10" xfId="4" applyFont="1" applyBorder="1" applyAlignment="1">
      <alignment horizontal="left" vertical="center"/>
    </xf>
    <xf numFmtId="0" fontId="10" fillId="0" borderId="11" xfId="4" applyFont="1" applyBorder="1" applyAlignment="1">
      <alignment horizontal="left" vertical="center"/>
    </xf>
    <xf numFmtId="0" fontId="10" fillId="0" borderId="9" xfId="4" applyFont="1" applyBorder="1" applyAlignment="1">
      <alignment horizontal="center" vertical="center"/>
    </xf>
    <xf numFmtId="0" fontId="10" fillId="0" borderId="10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6">
    <cellStyle name="Normal" xfId="0" builtinId="0"/>
    <cellStyle name="Normal 2" xfId="4" xr:uid="{00000000-0005-0000-0000-000001000000}"/>
    <cellStyle name="Normal 3" xfId="2" xr:uid="{00000000-0005-0000-0000-000002000000}"/>
    <cellStyle name="Normal 4" xfId="3" xr:uid="{00000000-0005-0000-0000-000003000000}"/>
    <cellStyle name="Normal_Sheet1" xfId="1" xr:uid="{00000000-0005-0000-0000-000004000000}"/>
    <cellStyle name="Normal_Sheet2_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C19" sqref="C19"/>
    </sheetView>
  </sheetViews>
  <sheetFormatPr defaultRowHeight="14.4" x14ac:dyDescent="0.3"/>
  <cols>
    <col min="1" max="1" width="9.88671875" bestFit="1" customWidth="1"/>
    <col min="2" max="2" width="27.44140625" customWidth="1"/>
    <col min="3" max="3" width="31.88671875" customWidth="1"/>
    <col min="4" max="4" width="31.6640625" customWidth="1"/>
    <col min="5" max="5" width="11" customWidth="1"/>
    <col min="6" max="6" width="10.33203125" style="10" customWidth="1"/>
  </cols>
  <sheetData>
    <row r="1" spans="1:8" x14ac:dyDescent="0.3">
      <c r="A1" s="55" t="s">
        <v>58</v>
      </c>
      <c r="B1" s="55"/>
      <c r="C1" s="55"/>
      <c r="D1" s="55"/>
      <c r="E1" s="55"/>
      <c r="F1" s="55"/>
      <c r="G1" s="39"/>
      <c r="H1" s="39"/>
    </row>
    <row r="2" spans="1:8" s="6" customFormat="1" ht="15.6" x14ac:dyDescent="0.25">
      <c r="A2" s="40" t="s">
        <v>52</v>
      </c>
      <c r="B2" s="13" t="s">
        <v>171</v>
      </c>
      <c r="C2" s="41"/>
      <c r="D2" s="57" t="s">
        <v>169</v>
      </c>
      <c r="E2" s="58"/>
      <c r="F2" s="59"/>
    </row>
    <row r="3" spans="1:8" s="9" customFormat="1" ht="15.6" x14ac:dyDescent="0.25">
      <c r="A3" s="42"/>
      <c r="B3" s="12"/>
      <c r="C3" s="12"/>
      <c r="D3" s="57" t="s">
        <v>157</v>
      </c>
      <c r="E3" s="58"/>
      <c r="F3" s="59"/>
    </row>
    <row r="4" spans="1:8" ht="28.8" x14ac:dyDescent="0.3">
      <c r="A4" s="29" t="s">
        <v>54</v>
      </c>
      <c r="B4" s="29" t="s">
        <v>2</v>
      </c>
      <c r="C4" s="29" t="s">
        <v>4</v>
      </c>
      <c r="D4" s="29" t="s">
        <v>5</v>
      </c>
      <c r="E4" s="29" t="s">
        <v>6</v>
      </c>
      <c r="F4" s="36" t="s">
        <v>170</v>
      </c>
    </row>
    <row r="5" spans="1:8" x14ac:dyDescent="0.3">
      <c r="A5" s="56">
        <v>1</v>
      </c>
      <c r="B5" s="43" t="s">
        <v>7</v>
      </c>
      <c r="C5" s="43" t="s">
        <v>7</v>
      </c>
      <c r="D5" s="43" t="s">
        <v>88</v>
      </c>
      <c r="E5" s="43" t="s">
        <v>19</v>
      </c>
      <c r="F5" s="45">
        <v>1</v>
      </c>
    </row>
    <row r="6" spans="1:8" x14ac:dyDescent="0.3">
      <c r="A6" s="56"/>
      <c r="B6" s="43" t="s">
        <v>41</v>
      </c>
      <c r="C6" s="43" t="s">
        <v>40</v>
      </c>
      <c r="D6" s="43" t="s">
        <v>78</v>
      </c>
      <c r="E6" s="43" t="s">
        <v>9</v>
      </c>
      <c r="F6" s="45">
        <v>2</v>
      </c>
    </row>
    <row r="7" spans="1:8" x14ac:dyDescent="0.3">
      <c r="A7" s="56">
        <v>2</v>
      </c>
      <c r="B7" s="43" t="s">
        <v>25</v>
      </c>
      <c r="C7" s="43" t="s">
        <v>25</v>
      </c>
      <c r="D7" s="43" t="s">
        <v>114</v>
      </c>
      <c r="E7" s="43" t="s">
        <v>96</v>
      </c>
      <c r="F7" s="45">
        <v>1</v>
      </c>
    </row>
    <row r="8" spans="1:8" x14ac:dyDescent="0.3">
      <c r="A8" s="56"/>
      <c r="B8" s="43" t="s">
        <v>47</v>
      </c>
      <c r="C8" s="43" t="s">
        <v>47</v>
      </c>
      <c r="D8" s="43" t="s">
        <v>99</v>
      </c>
      <c r="E8" s="43" t="s">
        <v>11</v>
      </c>
      <c r="F8" s="45">
        <v>2</v>
      </c>
    </row>
    <row r="9" spans="1:8" x14ac:dyDescent="0.3">
      <c r="A9" s="56">
        <v>3</v>
      </c>
      <c r="B9" s="43" t="s">
        <v>16</v>
      </c>
      <c r="C9" s="43" t="s">
        <v>16</v>
      </c>
      <c r="D9" s="43" t="s">
        <v>141</v>
      </c>
      <c r="E9" s="43" t="s">
        <v>113</v>
      </c>
      <c r="F9" s="45">
        <v>1</v>
      </c>
    </row>
    <row r="10" spans="1:8" x14ac:dyDescent="0.3">
      <c r="A10" s="56"/>
      <c r="B10" s="43" t="s">
        <v>44</v>
      </c>
      <c r="C10" s="43" t="s">
        <v>44</v>
      </c>
      <c r="D10" s="43" t="s">
        <v>44</v>
      </c>
      <c r="E10" s="43" t="s">
        <v>15</v>
      </c>
      <c r="F10" s="45">
        <v>2</v>
      </c>
    </row>
    <row r="11" spans="1:8" x14ac:dyDescent="0.3">
      <c r="A11" s="44"/>
      <c r="B11" s="43" t="s">
        <v>34</v>
      </c>
      <c r="C11" s="43" t="s">
        <v>34</v>
      </c>
      <c r="D11" s="43" t="s">
        <v>155</v>
      </c>
      <c r="E11" s="43" t="s">
        <v>37</v>
      </c>
      <c r="F11" s="45">
        <v>1</v>
      </c>
    </row>
    <row r="12" spans="1:8" x14ac:dyDescent="0.3">
      <c r="A12" s="44"/>
      <c r="B12" s="43" t="s">
        <v>34</v>
      </c>
      <c r="C12" s="43" t="s">
        <v>35</v>
      </c>
      <c r="D12" s="43" t="s">
        <v>146</v>
      </c>
      <c r="E12" s="43" t="s">
        <v>147</v>
      </c>
      <c r="F12" s="45">
        <v>2</v>
      </c>
    </row>
  </sheetData>
  <mergeCells count="6">
    <mergeCell ref="A1:F1"/>
    <mergeCell ref="A5:A6"/>
    <mergeCell ref="A7:A8"/>
    <mergeCell ref="A9:A10"/>
    <mergeCell ref="D2:F2"/>
    <mergeCell ref="D3:F3"/>
  </mergeCells>
  <pageMargins left="0.11811023622047245" right="0.11811023622047245" top="0.15748031496062992" bottom="0.15748031496062992" header="0.31496062992125984" footer="0.31496062992125984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15" sqref="D15"/>
    </sheetView>
  </sheetViews>
  <sheetFormatPr defaultRowHeight="14.4" x14ac:dyDescent="0.3"/>
  <cols>
    <col min="1" max="1" width="9.88671875" bestFit="1" customWidth="1"/>
    <col min="2" max="2" width="34.33203125" customWidth="1"/>
    <col min="3" max="3" width="31.88671875" customWidth="1"/>
    <col min="4" max="4" width="32.88671875" customWidth="1"/>
    <col min="5" max="5" width="11.33203125" customWidth="1"/>
    <col min="6" max="6" width="10.33203125" style="10" customWidth="1"/>
  </cols>
  <sheetData>
    <row r="1" spans="1:6" x14ac:dyDescent="0.3">
      <c r="A1" s="60" t="s">
        <v>58</v>
      </c>
      <c r="B1" s="61"/>
      <c r="C1" s="61"/>
      <c r="D1" s="61"/>
      <c r="E1" s="61"/>
      <c r="F1" s="62"/>
    </row>
    <row r="2" spans="1:6" s="6" customFormat="1" ht="15.6" x14ac:dyDescent="0.25">
      <c r="A2" s="40" t="s">
        <v>52</v>
      </c>
      <c r="B2" s="13" t="s">
        <v>171</v>
      </c>
      <c r="C2" s="41"/>
      <c r="D2" s="57" t="s">
        <v>172</v>
      </c>
      <c r="E2" s="58"/>
      <c r="F2" s="59"/>
    </row>
    <row r="3" spans="1:6" s="9" customFormat="1" ht="15.6" x14ac:dyDescent="0.25">
      <c r="A3" s="42"/>
      <c r="B3" s="12"/>
      <c r="C3" s="12"/>
      <c r="D3" s="57" t="s">
        <v>157</v>
      </c>
      <c r="E3" s="58"/>
      <c r="F3" s="59"/>
    </row>
    <row r="4" spans="1:6" ht="28.8" x14ac:dyDescent="0.3">
      <c r="A4" s="29" t="s">
        <v>54</v>
      </c>
      <c r="B4" s="29" t="s">
        <v>2</v>
      </c>
      <c r="C4" s="29" t="s">
        <v>4</v>
      </c>
      <c r="D4" s="29" t="s">
        <v>5</v>
      </c>
      <c r="E4" s="29" t="s">
        <v>6</v>
      </c>
      <c r="F4" s="36" t="s">
        <v>170</v>
      </c>
    </row>
    <row r="5" spans="1:6" x14ac:dyDescent="0.3">
      <c r="A5" s="56">
        <v>1</v>
      </c>
      <c r="B5" s="43" t="s">
        <v>7</v>
      </c>
      <c r="C5" s="43" t="s">
        <v>7</v>
      </c>
      <c r="D5" s="43" t="s">
        <v>92</v>
      </c>
      <c r="E5" s="43" t="s">
        <v>23</v>
      </c>
      <c r="F5" s="45">
        <v>3</v>
      </c>
    </row>
    <row r="6" spans="1:6" x14ac:dyDescent="0.3">
      <c r="A6" s="56"/>
      <c r="B6" s="43" t="s">
        <v>41</v>
      </c>
      <c r="C6" s="43" t="s">
        <v>41</v>
      </c>
      <c r="D6" s="43" t="s">
        <v>75</v>
      </c>
      <c r="E6" s="43" t="s">
        <v>19</v>
      </c>
      <c r="F6" s="45">
        <v>4</v>
      </c>
    </row>
    <row r="7" spans="1:6" x14ac:dyDescent="0.3">
      <c r="A7" s="56">
        <v>2</v>
      </c>
      <c r="B7" s="43" t="s">
        <v>25</v>
      </c>
      <c r="C7" s="43" t="s">
        <v>30</v>
      </c>
      <c r="D7" s="43" t="s">
        <v>104</v>
      </c>
      <c r="E7" s="43" t="s">
        <v>9</v>
      </c>
      <c r="F7" s="45">
        <v>3</v>
      </c>
    </row>
    <row r="8" spans="1:6" x14ac:dyDescent="0.3">
      <c r="A8" s="56"/>
      <c r="B8" s="43" t="s">
        <v>25</v>
      </c>
      <c r="C8" s="43" t="s">
        <v>25</v>
      </c>
      <c r="D8" s="43" t="s">
        <v>108</v>
      </c>
      <c r="E8" s="43" t="s">
        <v>109</v>
      </c>
      <c r="F8" s="45">
        <v>4</v>
      </c>
    </row>
    <row r="9" spans="1:6" x14ac:dyDescent="0.3">
      <c r="A9" s="56">
        <v>3</v>
      </c>
      <c r="B9" s="43" t="s">
        <v>16</v>
      </c>
      <c r="C9" s="43" t="s">
        <v>16</v>
      </c>
      <c r="D9" s="43" t="s">
        <v>140</v>
      </c>
      <c r="E9" s="43" t="s">
        <v>42</v>
      </c>
      <c r="F9" s="45">
        <v>3</v>
      </c>
    </row>
    <row r="10" spans="1:6" x14ac:dyDescent="0.3">
      <c r="A10" s="56"/>
      <c r="B10" s="43" t="s">
        <v>27</v>
      </c>
      <c r="C10" s="43" t="s">
        <v>27</v>
      </c>
      <c r="D10" s="43" t="s">
        <v>119</v>
      </c>
      <c r="E10" s="43" t="s">
        <v>83</v>
      </c>
      <c r="F10" s="45">
        <v>4</v>
      </c>
    </row>
    <row r="11" spans="1:6" x14ac:dyDescent="0.3">
      <c r="A11" s="56">
        <v>4</v>
      </c>
      <c r="B11" s="43" t="s">
        <v>34</v>
      </c>
      <c r="C11" s="43" t="s">
        <v>35</v>
      </c>
      <c r="D11" s="43" t="s">
        <v>149</v>
      </c>
      <c r="E11" s="43" t="s">
        <v>150</v>
      </c>
      <c r="F11" s="45">
        <v>3</v>
      </c>
    </row>
    <row r="12" spans="1:6" x14ac:dyDescent="0.3">
      <c r="A12" s="56"/>
      <c r="B12" s="43" t="s">
        <v>34</v>
      </c>
      <c r="C12" s="43" t="s">
        <v>34</v>
      </c>
      <c r="D12" s="43" t="s">
        <v>154</v>
      </c>
      <c r="E12" s="43" t="s">
        <v>51</v>
      </c>
      <c r="F12" s="45">
        <v>4</v>
      </c>
    </row>
  </sheetData>
  <mergeCells count="7">
    <mergeCell ref="A9:A10"/>
    <mergeCell ref="A11:A12"/>
    <mergeCell ref="A1:F1"/>
    <mergeCell ref="D2:F2"/>
    <mergeCell ref="D3:F3"/>
    <mergeCell ref="A5:A6"/>
    <mergeCell ref="A7:A8"/>
  </mergeCells>
  <pageMargins left="0.11811023622047245" right="0.11811023622047245" top="0.15748031496062992" bottom="0.15748031496062992" header="0.31496062992125984" footer="0.31496062992125984"/>
  <pageSetup paperSize="9" scale="7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workbookViewId="0">
      <selection activeCell="H19" sqref="H19"/>
    </sheetView>
  </sheetViews>
  <sheetFormatPr defaultRowHeight="14.4" x14ac:dyDescent="0.3"/>
  <cols>
    <col min="1" max="1" width="9.88671875" bestFit="1" customWidth="1"/>
    <col min="2" max="2" width="13.5546875" hidden="1" customWidth="1"/>
    <col min="3" max="3" width="14.88671875" hidden="1" customWidth="1"/>
    <col min="4" max="4" width="13.5546875" bestFit="1" customWidth="1"/>
    <col min="5" max="5" width="34.33203125" customWidth="1"/>
    <col min="6" max="6" width="13.5546875" bestFit="1" customWidth="1"/>
    <col min="7" max="7" width="31.88671875" customWidth="1"/>
    <col min="8" max="8" width="40.33203125" customWidth="1"/>
    <col min="9" max="9" width="9.5546875" customWidth="1"/>
    <col min="10" max="10" width="10.6640625" style="10" customWidth="1"/>
    <col min="11" max="11" width="10.33203125" style="10" customWidth="1"/>
  </cols>
  <sheetData>
    <row r="1" spans="1:11" s="6" customFormat="1" ht="13.8" x14ac:dyDescent="0.25">
      <c r="A1" s="46" t="s">
        <v>58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s="9" customFormat="1" ht="15.6" x14ac:dyDescent="0.25">
      <c r="A2" s="4" t="s">
        <v>52</v>
      </c>
      <c r="B2" s="3" t="s">
        <v>72</v>
      </c>
      <c r="C2" s="17"/>
      <c r="D2" s="35" t="s">
        <v>72</v>
      </c>
      <c r="E2" s="5"/>
      <c r="F2" s="17"/>
      <c r="G2" s="17"/>
      <c r="H2" s="37" t="s">
        <v>53</v>
      </c>
      <c r="I2" s="17"/>
      <c r="J2" s="17"/>
      <c r="K2" s="17"/>
    </row>
    <row r="3" spans="1:11" ht="24" customHeight="1" x14ac:dyDescent="0.3">
      <c r="A3" s="7"/>
      <c r="B3" s="8"/>
      <c r="C3" s="8"/>
      <c r="D3" s="12"/>
      <c r="E3" s="5"/>
      <c r="F3" s="5"/>
      <c r="G3" s="5"/>
      <c r="H3" s="37" t="s">
        <v>157</v>
      </c>
      <c r="I3" s="5"/>
      <c r="J3" s="5"/>
      <c r="K3" s="5"/>
    </row>
    <row r="4" spans="1:11" ht="57" customHeight="1" x14ac:dyDescent="0.3">
      <c r="A4" s="29" t="s">
        <v>54</v>
      </c>
      <c r="B4" s="29" t="s">
        <v>55</v>
      </c>
      <c r="C4" s="29" t="s">
        <v>0</v>
      </c>
      <c r="D4" s="29" t="s">
        <v>1</v>
      </c>
      <c r="E4" s="29" t="s">
        <v>2</v>
      </c>
      <c r="F4" s="29" t="s">
        <v>3</v>
      </c>
      <c r="G4" s="29" t="s">
        <v>4</v>
      </c>
      <c r="H4" s="29" t="s">
        <v>5</v>
      </c>
      <c r="I4" s="29" t="s">
        <v>6</v>
      </c>
      <c r="J4" s="36" t="s">
        <v>56</v>
      </c>
      <c r="K4" s="36" t="s">
        <v>57</v>
      </c>
    </row>
    <row r="5" spans="1:11" x14ac:dyDescent="0.3">
      <c r="A5" s="56">
        <v>1</v>
      </c>
      <c r="B5" s="1">
        <v>12</v>
      </c>
      <c r="C5" s="2" t="s">
        <v>7</v>
      </c>
      <c r="D5" s="30" t="s">
        <v>50</v>
      </c>
      <c r="E5" s="30" t="s">
        <v>41</v>
      </c>
      <c r="F5" s="30" t="s">
        <v>33</v>
      </c>
      <c r="G5" s="30" t="s">
        <v>41</v>
      </c>
      <c r="H5" s="30" t="s">
        <v>74</v>
      </c>
      <c r="I5" s="30" t="s">
        <v>18</v>
      </c>
      <c r="J5" s="24">
        <v>1</v>
      </c>
      <c r="K5" s="24">
        <v>1</v>
      </c>
    </row>
    <row r="6" spans="1:11" x14ac:dyDescent="0.3">
      <c r="A6" s="56"/>
      <c r="B6" s="1">
        <v>12</v>
      </c>
      <c r="C6" s="2" t="s">
        <v>7</v>
      </c>
      <c r="D6" s="30" t="s">
        <v>50</v>
      </c>
      <c r="E6" s="30" t="s">
        <v>41</v>
      </c>
      <c r="F6" s="30" t="s">
        <v>33</v>
      </c>
      <c r="G6" s="30" t="s">
        <v>41</v>
      </c>
      <c r="H6" s="30" t="s">
        <v>75</v>
      </c>
      <c r="I6" s="30" t="s">
        <v>19</v>
      </c>
      <c r="J6" s="24">
        <v>2</v>
      </c>
      <c r="K6" s="34">
        <v>2</v>
      </c>
    </row>
    <row r="7" spans="1:11" x14ac:dyDescent="0.3">
      <c r="A7" s="56"/>
      <c r="B7" s="1">
        <v>12</v>
      </c>
      <c r="C7" s="2" t="s">
        <v>7</v>
      </c>
      <c r="D7" s="30" t="s">
        <v>50</v>
      </c>
      <c r="E7" s="30" t="s">
        <v>41</v>
      </c>
      <c r="F7" s="30" t="s">
        <v>33</v>
      </c>
      <c r="G7" s="30" t="s">
        <v>41</v>
      </c>
      <c r="H7" s="30" t="s">
        <v>76</v>
      </c>
      <c r="I7" s="30" t="s">
        <v>10</v>
      </c>
      <c r="J7" s="24">
        <v>3</v>
      </c>
      <c r="K7" s="24">
        <v>3</v>
      </c>
    </row>
    <row r="8" spans="1:11" x14ac:dyDescent="0.3">
      <c r="A8" s="56"/>
      <c r="B8" s="1">
        <v>12</v>
      </c>
      <c r="C8" s="2" t="s">
        <v>7</v>
      </c>
      <c r="D8" s="30" t="s">
        <v>50</v>
      </c>
      <c r="E8" s="30" t="s">
        <v>41</v>
      </c>
      <c r="F8" s="30" t="s">
        <v>14</v>
      </c>
      <c r="G8" s="30" t="s">
        <v>40</v>
      </c>
      <c r="H8" s="30" t="s">
        <v>77</v>
      </c>
      <c r="I8" s="30" t="s">
        <v>50</v>
      </c>
      <c r="J8" s="24">
        <v>1</v>
      </c>
      <c r="K8" s="24">
        <v>4</v>
      </c>
    </row>
    <row r="9" spans="1:11" x14ac:dyDescent="0.3">
      <c r="A9" s="56"/>
      <c r="B9" s="1">
        <v>12</v>
      </c>
      <c r="C9" s="2" t="s">
        <v>7</v>
      </c>
      <c r="D9" s="30" t="s">
        <v>50</v>
      </c>
      <c r="E9" s="30" t="s">
        <v>41</v>
      </c>
      <c r="F9" s="30" t="s">
        <v>14</v>
      </c>
      <c r="G9" s="30" t="s">
        <v>40</v>
      </c>
      <c r="H9" s="30" t="s">
        <v>78</v>
      </c>
      <c r="I9" s="30" t="s">
        <v>9</v>
      </c>
      <c r="J9" s="24">
        <v>2</v>
      </c>
      <c r="K9" s="33">
        <v>5</v>
      </c>
    </row>
    <row r="10" spans="1:11" x14ac:dyDescent="0.3">
      <c r="A10" s="56"/>
      <c r="B10" s="1">
        <v>12</v>
      </c>
      <c r="C10" s="2" t="s">
        <v>7</v>
      </c>
      <c r="D10" s="30" t="s">
        <v>50</v>
      </c>
      <c r="E10" s="30" t="s">
        <v>41</v>
      </c>
      <c r="F10" s="30" t="s">
        <v>14</v>
      </c>
      <c r="G10" s="30" t="s">
        <v>40</v>
      </c>
      <c r="H10" s="30" t="s">
        <v>79</v>
      </c>
      <c r="I10" s="30" t="s">
        <v>32</v>
      </c>
      <c r="J10" s="24">
        <v>3</v>
      </c>
      <c r="K10" s="24">
        <v>6</v>
      </c>
    </row>
    <row r="11" spans="1:11" x14ac:dyDescent="0.3">
      <c r="A11" s="56"/>
      <c r="B11" s="1">
        <v>12</v>
      </c>
      <c r="C11" s="2" t="s">
        <v>7</v>
      </c>
      <c r="D11" s="30" t="s">
        <v>9</v>
      </c>
      <c r="E11" s="30" t="s">
        <v>38</v>
      </c>
      <c r="F11" s="30" t="s">
        <v>14</v>
      </c>
      <c r="G11" s="30" t="s">
        <v>40</v>
      </c>
      <c r="H11" s="30" t="s">
        <v>80</v>
      </c>
      <c r="I11" s="30" t="s">
        <v>46</v>
      </c>
      <c r="J11" s="24">
        <v>4</v>
      </c>
      <c r="K11" s="24">
        <v>7</v>
      </c>
    </row>
    <row r="12" spans="1:11" x14ac:dyDescent="0.3">
      <c r="A12" s="56"/>
      <c r="B12" s="1">
        <v>12</v>
      </c>
      <c r="C12" s="2" t="s">
        <v>7</v>
      </c>
      <c r="D12" s="30" t="s">
        <v>9</v>
      </c>
      <c r="E12" s="30" t="s">
        <v>38</v>
      </c>
      <c r="F12" s="30" t="s">
        <v>81</v>
      </c>
      <c r="G12" s="30" t="s">
        <v>38</v>
      </c>
      <c r="H12" s="30" t="s">
        <v>82</v>
      </c>
      <c r="I12" s="30" t="s">
        <v>83</v>
      </c>
      <c r="J12" s="24">
        <v>1</v>
      </c>
      <c r="K12" s="24">
        <v>8</v>
      </c>
    </row>
    <row r="13" spans="1:11" x14ac:dyDescent="0.3">
      <c r="A13" s="56"/>
      <c r="B13" s="1">
        <v>12</v>
      </c>
      <c r="C13" s="2" t="s">
        <v>7</v>
      </c>
      <c r="D13" s="30" t="s">
        <v>9</v>
      </c>
      <c r="E13" s="30" t="s">
        <v>38</v>
      </c>
      <c r="F13" s="30" t="s">
        <v>81</v>
      </c>
      <c r="G13" s="30" t="s">
        <v>38</v>
      </c>
      <c r="H13" s="30" t="s">
        <v>84</v>
      </c>
      <c r="I13" s="30" t="s">
        <v>81</v>
      </c>
      <c r="J13" s="24">
        <v>2</v>
      </c>
      <c r="K13" s="24">
        <v>9</v>
      </c>
    </row>
    <row r="14" spans="1:11" x14ac:dyDescent="0.3">
      <c r="A14" s="56"/>
      <c r="B14" s="1">
        <v>12</v>
      </c>
      <c r="C14" s="2" t="s">
        <v>7</v>
      </c>
      <c r="D14" s="30" t="s">
        <v>9</v>
      </c>
      <c r="E14" s="30" t="s">
        <v>38</v>
      </c>
      <c r="F14" s="30" t="s">
        <v>81</v>
      </c>
      <c r="G14" s="30" t="s">
        <v>38</v>
      </c>
      <c r="H14" s="30" t="s">
        <v>85</v>
      </c>
      <c r="I14" s="30" t="s">
        <v>12</v>
      </c>
      <c r="J14" s="24">
        <v>3</v>
      </c>
      <c r="K14" s="24">
        <v>10</v>
      </c>
    </row>
    <row r="15" spans="1:11" x14ac:dyDescent="0.3">
      <c r="A15" s="56"/>
      <c r="B15" s="1">
        <v>12</v>
      </c>
      <c r="C15" s="2" t="s">
        <v>7</v>
      </c>
      <c r="D15" s="30" t="s">
        <v>9</v>
      </c>
      <c r="E15" s="30" t="s">
        <v>38</v>
      </c>
      <c r="F15" s="30" t="s">
        <v>81</v>
      </c>
      <c r="G15" s="30" t="s">
        <v>38</v>
      </c>
      <c r="H15" s="30" t="s">
        <v>86</v>
      </c>
      <c r="I15" s="30" t="s">
        <v>42</v>
      </c>
      <c r="J15" s="24">
        <v>4</v>
      </c>
      <c r="K15" s="24">
        <v>11</v>
      </c>
    </row>
    <row r="16" spans="1:11" x14ac:dyDescent="0.3">
      <c r="A16" s="56"/>
      <c r="B16" s="1">
        <v>12</v>
      </c>
      <c r="C16" s="2" t="s">
        <v>7</v>
      </c>
      <c r="D16" s="30" t="s">
        <v>49</v>
      </c>
      <c r="E16" s="30" t="s">
        <v>7</v>
      </c>
      <c r="F16" s="30" t="s">
        <v>49</v>
      </c>
      <c r="G16" s="30" t="s">
        <v>7</v>
      </c>
      <c r="H16" s="30" t="s">
        <v>87</v>
      </c>
      <c r="I16" s="30" t="s">
        <v>20</v>
      </c>
      <c r="J16" s="24">
        <v>1</v>
      </c>
      <c r="K16" s="24">
        <v>12</v>
      </c>
    </row>
    <row r="17" spans="1:11" x14ac:dyDescent="0.3">
      <c r="A17" s="56"/>
      <c r="B17" s="1">
        <v>12</v>
      </c>
      <c r="C17" s="2" t="s">
        <v>7</v>
      </c>
      <c r="D17" s="30" t="s">
        <v>49</v>
      </c>
      <c r="E17" s="30" t="s">
        <v>7</v>
      </c>
      <c r="F17" s="30" t="s">
        <v>49</v>
      </c>
      <c r="G17" s="30" t="s">
        <v>7</v>
      </c>
      <c r="H17" s="30" t="s">
        <v>88</v>
      </c>
      <c r="I17" s="30" t="s">
        <v>19</v>
      </c>
      <c r="J17" s="24">
        <v>2</v>
      </c>
      <c r="K17" s="33">
        <v>13</v>
      </c>
    </row>
    <row r="18" spans="1:11" x14ac:dyDescent="0.3">
      <c r="A18" s="56"/>
      <c r="B18" s="1">
        <v>12</v>
      </c>
      <c r="C18" s="2" t="s">
        <v>7</v>
      </c>
      <c r="D18" s="30" t="s">
        <v>49</v>
      </c>
      <c r="E18" s="30" t="s">
        <v>7</v>
      </c>
      <c r="F18" s="30" t="s">
        <v>49</v>
      </c>
      <c r="G18" s="30" t="s">
        <v>7</v>
      </c>
      <c r="H18" s="30" t="s">
        <v>89</v>
      </c>
      <c r="I18" s="30" t="s">
        <v>90</v>
      </c>
      <c r="J18" s="24">
        <v>3</v>
      </c>
      <c r="K18" s="24">
        <v>14</v>
      </c>
    </row>
    <row r="19" spans="1:11" x14ac:dyDescent="0.3">
      <c r="A19" s="56"/>
      <c r="B19" s="1">
        <v>12</v>
      </c>
      <c r="C19" s="2" t="s">
        <v>7</v>
      </c>
      <c r="D19" s="30" t="s">
        <v>49</v>
      </c>
      <c r="E19" s="30" t="s">
        <v>7</v>
      </c>
      <c r="F19" s="30" t="s">
        <v>49</v>
      </c>
      <c r="G19" s="30" t="s">
        <v>7</v>
      </c>
      <c r="H19" s="30" t="s">
        <v>91</v>
      </c>
      <c r="I19" s="30" t="s">
        <v>50</v>
      </c>
      <c r="J19" s="24">
        <v>4</v>
      </c>
      <c r="K19" s="24">
        <v>15</v>
      </c>
    </row>
    <row r="20" spans="1:11" x14ac:dyDescent="0.3">
      <c r="A20" s="56"/>
      <c r="B20" s="1">
        <v>12</v>
      </c>
      <c r="C20" s="2" t="s">
        <v>7</v>
      </c>
      <c r="D20" s="30" t="s">
        <v>49</v>
      </c>
      <c r="E20" s="30" t="s">
        <v>7</v>
      </c>
      <c r="F20" s="30" t="s">
        <v>49</v>
      </c>
      <c r="G20" s="30" t="s">
        <v>7</v>
      </c>
      <c r="H20" s="30" t="s">
        <v>92</v>
      </c>
      <c r="I20" s="30" t="s">
        <v>23</v>
      </c>
      <c r="J20" s="24">
        <v>5</v>
      </c>
      <c r="K20" s="34">
        <v>16</v>
      </c>
    </row>
    <row r="21" spans="1:11" x14ac:dyDescent="0.3">
      <c r="A21" s="56"/>
      <c r="B21" s="1">
        <v>12</v>
      </c>
      <c r="C21" s="2" t="s">
        <v>7</v>
      </c>
      <c r="D21" s="30" t="s">
        <v>49</v>
      </c>
      <c r="E21" s="30" t="s">
        <v>7</v>
      </c>
      <c r="F21" s="30" t="s">
        <v>49</v>
      </c>
      <c r="G21" s="30" t="s">
        <v>7</v>
      </c>
      <c r="H21" s="30" t="s">
        <v>93</v>
      </c>
      <c r="I21" s="30" t="s">
        <v>81</v>
      </c>
      <c r="J21" s="24">
        <v>6</v>
      </c>
      <c r="K21" s="24">
        <v>17</v>
      </c>
    </row>
    <row r="22" spans="1:11" x14ac:dyDescent="0.3">
      <c r="A22" s="56"/>
      <c r="B22" s="1">
        <v>12</v>
      </c>
      <c r="C22" s="2" t="s">
        <v>7</v>
      </c>
      <c r="D22" s="30" t="s">
        <v>49</v>
      </c>
      <c r="E22" s="30" t="s">
        <v>7</v>
      </c>
      <c r="F22" s="30" t="s">
        <v>49</v>
      </c>
      <c r="G22" s="30" t="s">
        <v>7</v>
      </c>
      <c r="H22" s="30" t="s">
        <v>94</v>
      </c>
      <c r="I22" s="30" t="s">
        <v>45</v>
      </c>
      <c r="J22" s="24">
        <v>7</v>
      </c>
      <c r="K22" s="24">
        <v>18</v>
      </c>
    </row>
    <row r="23" spans="1:11" ht="21" customHeight="1" x14ac:dyDescent="0.3">
      <c r="A23" s="56"/>
      <c r="B23" s="1">
        <v>12</v>
      </c>
      <c r="C23" s="2" t="s">
        <v>7</v>
      </c>
      <c r="D23" s="30" t="s">
        <v>49</v>
      </c>
      <c r="E23" s="30" t="s">
        <v>7</v>
      </c>
      <c r="F23" s="30" t="s">
        <v>49</v>
      </c>
      <c r="G23" s="30" t="s">
        <v>7</v>
      </c>
      <c r="H23" s="30" t="s">
        <v>95</v>
      </c>
      <c r="I23" s="30" t="s">
        <v>96</v>
      </c>
      <c r="J23" s="24">
        <v>8</v>
      </c>
      <c r="K23" s="24">
        <v>19</v>
      </c>
    </row>
    <row r="24" spans="1:11" ht="21" customHeight="1" x14ac:dyDescent="0.3">
      <c r="A24" s="63">
        <v>2</v>
      </c>
      <c r="B24" s="1">
        <v>12</v>
      </c>
      <c r="C24" s="2" t="s">
        <v>7</v>
      </c>
      <c r="D24" s="30" t="s">
        <v>10</v>
      </c>
      <c r="E24" s="30" t="s">
        <v>47</v>
      </c>
      <c r="F24" s="30" t="s">
        <v>43</v>
      </c>
      <c r="G24" s="30" t="s">
        <v>47</v>
      </c>
      <c r="H24" s="30" t="s">
        <v>97</v>
      </c>
      <c r="I24" s="30" t="s">
        <v>28</v>
      </c>
      <c r="J24" s="24">
        <v>1</v>
      </c>
      <c r="K24" s="24">
        <v>1</v>
      </c>
    </row>
    <row r="25" spans="1:11" ht="21" customHeight="1" x14ac:dyDescent="0.3">
      <c r="A25" s="64"/>
      <c r="B25" s="1">
        <v>12</v>
      </c>
      <c r="C25" s="2" t="s">
        <v>7</v>
      </c>
      <c r="D25" s="30" t="s">
        <v>10</v>
      </c>
      <c r="E25" s="30" t="s">
        <v>47</v>
      </c>
      <c r="F25" s="30" t="s">
        <v>43</v>
      </c>
      <c r="G25" s="30" t="s">
        <v>47</v>
      </c>
      <c r="H25" s="30" t="s">
        <v>98</v>
      </c>
      <c r="I25" s="30" t="s">
        <v>43</v>
      </c>
      <c r="J25" s="24">
        <v>2</v>
      </c>
      <c r="K25" s="24">
        <v>2</v>
      </c>
    </row>
    <row r="26" spans="1:11" ht="21" customHeight="1" x14ac:dyDescent="0.3">
      <c r="A26" s="64"/>
      <c r="B26" s="1">
        <v>12</v>
      </c>
      <c r="C26" s="2" t="s">
        <v>7</v>
      </c>
      <c r="D26" s="30" t="s">
        <v>10</v>
      </c>
      <c r="E26" s="30" t="s">
        <v>47</v>
      </c>
      <c r="F26" s="30" t="s">
        <v>43</v>
      </c>
      <c r="G26" s="30" t="s">
        <v>47</v>
      </c>
      <c r="H26" s="30" t="s">
        <v>99</v>
      </c>
      <c r="I26" s="30" t="s">
        <v>11</v>
      </c>
      <c r="J26" s="24">
        <v>3</v>
      </c>
      <c r="K26" s="33">
        <v>3</v>
      </c>
    </row>
    <row r="27" spans="1:11" ht="21" customHeight="1" x14ac:dyDescent="0.3">
      <c r="A27" s="64"/>
      <c r="B27" s="1">
        <v>12</v>
      </c>
      <c r="C27" s="2" t="s">
        <v>7</v>
      </c>
      <c r="D27" s="30" t="s">
        <v>10</v>
      </c>
      <c r="E27" s="30" t="s">
        <v>47</v>
      </c>
      <c r="F27" s="30" t="s">
        <v>43</v>
      </c>
      <c r="G27" s="30" t="s">
        <v>47</v>
      </c>
      <c r="H27" s="30" t="s">
        <v>100</v>
      </c>
      <c r="I27" s="30" t="s">
        <v>8</v>
      </c>
      <c r="J27" s="24">
        <v>4</v>
      </c>
      <c r="K27" s="24">
        <v>4</v>
      </c>
    </row>
    <row r="28" spans="1:11" ht="21" customHeight="1" x14ac:dyDescent="0.3">
      <c r="A28" s="64"/>
      <c r="B28" s="1">
        <v>12</v>
      </c>
      <c r="C28" s="2" t="s">
        <v>7</v>
      </c>
      <c r="D28" s="30" t="s">
        <v>10</v>
      </c>
      <c r="E28" s="30" t="s">
        <v>47</v>
      </c>
      <c r="F28" s="30" t="s">
        <v>43</v>
      </c>
      <c r="G28" s="30" t="s">
        <v>47</v>
      </c>
      <c r="H28" s="30" t="s">
        <v>101</v>
      </c>
      <c r="I28" s="30" t="s">
        <v>49</v>
      </c>
      <c r="J28" s="24">
        <v>5</v>
      </c>
      <c r="K28" s="24">
        <v>5</v>
      </c>
    </row>
    <row r="29" spans="1:11" ht="21" customHeight="1" x14ac:dyDescent="0.3">
      <c r="A29" s="64"/>
      <c r="B29" s="1">
        <v>12</v>
      </c>
      <c r="C29" s="2" t="s">
        <v>7</v>
      </c>
      <c r="D29" s="30" t="s">
        <v>43</v>
      </c>
      <c r="E29" s="30" t="s">
        <v>25</v>
      </c>
      <c r="F29" s="30" t="s">
        <v>10</v>
      </c>
      <c r="G29" s="30" t="s">
        <v>30</v>
      </c>
      <c r="H29" s="30" t="s">
        <v>102</v>
      </c>
      <c r="I29" s="30" t="s">
        <v>37</v>
      </c>
      <c r="J29" s="24">
        <v>1</v>
      </c>
      <c r="K29" s="24">
        <v>6</v>
      </c>
    </row>
    <row r="30" spans="1:11" ht="21" customHeight="1" x14ac:dyDescent="0.3">
      <c r="A30" s="64"/>
      <c r="B30" s="1">
        <v>12</v>
      </c>
      <c r="C30" s="2" t="s">
        <v>7</v>
      </c>
      <c r="D30" s="30" t="s">
        <v>43</v>
      </c>
      <c r="E30" s="30" t="s">
        <v>25</v>
      </c>
      <c r="F30" s="30" t="s">
        <v>10</v>
      </c>
      <c r="G30" s="30" t="s">
        <v>30</v>
      </c>
      <c r="H30" s="30" t="s">
        <v>31</v>
      </c>
      <c r="I30" s="30" t="s">
        <v>11</v>
      </c>
      <c r="J30" s="24">
        <v>2</v>
      </c>
      <c r="K30" s="24">
        <v>7</v>
      </c>
    </row>
    <row r="31" spans="1:11" ht="21" customHeight="1" x14ac:dyDescent="0.3">
      <c r="A31" s="64"/>
      <c r="B31" s="1">
        <v>12</v>
      </c>
      <c r="C31" s="2" t="s">
        <v>7</v>
      </c>
      <c r="D31" s="30" t="s">
        <v>43</v>
      </c>
      <c r="E31" s="30" t="s">
        <v>25</v>
      </c>
      <c r="F31" s="30" t="s">
        <v>10</v>
      </c>
      <c r="G31" s="30" t="s">
        <v>30</v>
      </c>
      <c r="H31" s="30" t="s">
        <v>103</v>
      </c>
      <c r="I31" s="30" t="s">
        <v>46</v>
      </c>
      <c r="J31" s="24">
        <v>3</v>
      </c>
      <c r="K31" s="24">
        <v>8</v>
      </c>
    </row>
    <row r="32" spans="1:11" ht="21" customHeight="1" x14ac:dyDescent="0.3">
      <c r="A32" s="64"/>
      <c r="B32" s="1">
        <v>12</v>
      </c>
      <c r="C32" s="2" t="s">
        <v>7</v>
      </c>
      <c r="D32" s="30" t="s">
        <v>43</v>
      </c>
      <c r="E32" s="30" t="s">
        <v>25</v>
      </c>
      <c r="F32" s="30" t="s">
        <v>10</v>
      </c>
      <c r="G32" s="30" t="s">
        <v>30</v>
      </c>
      <c r="H32" s="30" t="s">
        <v>104</v>
      </c>
      <c r="I32" s="30" t="s">
        <v>9</v>
      </c>
      <c r="J32" s="24">
        <v>4</v>
      </c>
      <c r="K32" s="34">
        <v>9</v>
      </c>
    </row>
    <row r="33" spans="1:11" ht="21" customHeight="1" x14ac:dyDescent="0.3">
      <c r="A33" s="64"/>
      <c r="B33" s="1">
        <v>12</v>
      </c>
      <c r="C33" s="2" t="s">
        <v>7</v>
      </c>
      <c r="D33" s="30" t="s">
        <v>43</v>
      </c>
      <c r="E33" s="30" t="s">
        <v>25</v>
      </c>
      <c r="F33" s="30" t="s">
        <v>10</v>
      </c>
      <c r="G33" s="30" t="s">
        <v>30</v>
      </c>
      <c r="H33" s="30" t="s">
        <v>105</v>
      </c>
      <c r="I33" s="30" t="s">
        <v>29</v>
      </c>
      <c r="J33" s="24">
        <v>5</v>
      </c>
      <c r="K33" s="24">
        <v>10</v>
      </c>
    </row>
    <row r="34" spans="1:11" ht="21" customHeight="1" x14ac:dyDescent="0.3">
      <c r="A34" s="64"/>
      <c r="B34" s="1">
        <v>12</v>
      </c>
      <c r="C34" s="2" t="s">
        <v>7</v>
      </c>
      <c r="D34" s="30" t="s">
        <v>43</v>
      </c>
      <c r="E34" s="30" t="s">
        <v>25</v>
      </c>
      <c r="F34" s="30" t="s">
        <v>50</v>
      </c>
      <c r="G34" s="30" t="s">
        <v>25</v>
      </c>
      <c r="H34" s="30" t="s">
        <v>106</v>
      </c>
      <c r="I34" s="30" t="s">
        <v>107</v>
      </c>
      <c r="J34" s="24">
        <v>1</v>
      </c>
      <c r="K34" s="24">
        <v>11</v>
      </c>
    </row>
    <row r="35" spans="1:11" ht="21" customHeight="1" x14ac:dyDescent="0.3">
      <c r="A35" s="64"/>
      <c r="B35" s="1">
        <v>12</v>
      </c>
      <c r="C35" s="2" t="s">
        <v>7</v>
      </c>
      <c r="D35" s="30" t="s">
        <v>43</v>
      </c>
      <c r="E35" s="30" t="s">
        <v>25</v>
      </c>
      <c r="F35" s="30" t="s">
        <v>50</v>
      </c>
      <c r="G35" s="30" t="s">
        <v>25</v>
      </c>
      <c r="H35" s="30" t="s">
        <v>108</v>
      </c>
      <c r="I35" s="30" t="s">
        <v>109</v>
      </c>
      <c r="J35" s="24">
        <v>2</v>
      </c>
      <c r="K35" s="34">
        <v>12</v>
      </c>
    </row>
    <row r="36" spans="1:11" ht="21" customHeight="1" x14ac:dyDescent="0.3">
      <c r="A36" s="64"/>
      <c r="B36" s="1">
        <v>12</v>
      </c>
      <c r="C36" s="2" t="s">
        <v>7</v>
      </c>
      <c r="D36" s="30" t="s">
        <v>43</v>
      </c>
      <c r="E36" s="30" t="s">
        <v>25</v>
      </c>
      <c r="F36" s="30" t="s">
        <v>50</v>
      </c>
      <c r="G36" s="30" t="s">
        <v>25</v>
      </c>
      <c r="H36" s="30" t="s">
        <v>110</v>
      </c>
      <c r="I36" s="30" t="s">
        <v>90</v>
      </c>
      <c r="J36" s="24">
        <v>3</v>
      </c>
      <c r="K36" s="24">
        <v>13</v>
      </c>
    </row>
    <row r="37" spans="1:11" ht="21" customHeight="1" x14ac:dyDescent="0.3">
      <c r="A37" s="64"/>
      <c r="B37" s="1">
        <v>12</v>
      </c>
      <c r="C37" s="2" t="s">
        <v>7</v>
      </c>
      <c r="D37" s="30" t="s">
        <v>43</v>
      </c>
      <c r="E37" s="30" t="s">
        <v>25</v>
      </c>
      <c r="F37" s="30" t="s">
        <v>50</v>
      </c>
      <c r="G37" s="30" t="s">
        <v>25</v>
      </c>
      <c r="H37" s="30" t="s">
        <v>26</v>
      </c>
      <c r="I37" s="30" t="s">
        <v>111</v>
      </c>
      <c r="J37" s="24">
        <v>4</v>
      </c>
      <c r="K37" s="24">
        <v>14</v>
      </c>
    </row>
    <row r="38" spans="1:11" x14ac:dyDescent="0.3">
      <c r="A38" s="64"/>
      <c r="B38" s="1">
        <v>12</v>
      </c>
      <c r="C38" s="2" t="s">
        <v>7</v>
      </c>
      <c r="D38" s="30" t="s">
        <v>43</v>
      </c>
      <c r="E38" s="30" t="s">
        <v>25</v>
      </c>
      <c r="F38" s="30" t="s">
        <v>50</v>
      </c>
      <c r="G38" s="30" t="s">
        <v>25</v>
      </c>
      <c r="H38" s="30" t="s">
        <v>112</v>
      </c>
      <c r="I38" s="30" t="s">
        <v>113</v>
      </c>
      <c r="J38" s="24">
        <v>5</v>
      </c>
      <c r="K38" s="24">
        <v>15</v>
      </c>
    </row>
    <row r="39" spans="1:11" x14ac:dyDescent="0.3">
      <c r="A39" s="64"/>
      <c r="B39" s="1"/>
      <c r="C39" s="2"/>
      <c r="D39" s="30" t="s">
        <v>43</v>
      </c>
      <c r="E39" s="30" t="s">
        <v>25</v>
      </c>
      <c r="F39" s="30" t="s">
        <v>50</v>
      </c>
      <c r="G39" s="30" t="s">
        <v>25</v>
      </c>
      <c r="H39" s="30" t="s">
        <v>114</v>
      </c>
      <c r="I39" s="30" t="s">
        <v>96</v>
      </c>
      <c r="J39" s="24">
        <v>6</v>
      </c>
      <c r="K39" s="33">
        <v>16</v>
      </c>
    </row>
    <row r="40" spans="1:11" x14ac:dyDescent="0.3">
      <c r="A40" s="64">
        <v>3</v>
      </c>
      <c r="B40" s="1"/>
      <c r="C40" s="2"/>
      <c r="D40" s="30" t="s">
        <v>51</v>
      </c>
      <c r="E40" s="30" t="s">
        <v>27</v>
      </c>
      <c r="F40" s="30" t="s">
        <v>51</v>
      </c>
      <c r="G40" s="30" t="s">
        <v>35</v>
      </c>
      <c r="H40" s="30" t="s">
        <v>115</v>
      </c>
      <c r="I40" s="30" t="s">
        <v>46</v>
      </c>
      <c r="J40" s="24">
        <v>1</v>
      </c>
      <c r="K40" s="24">
        <v>1</v>
      </c>
    </row>
    <row r="41" spans="1:11" x14ac:dyDescent="0.3">
      <c r="A41" s="64"/>
      <c r="B41" s="1"/>
      <c r="C41" s="2"/>
      <c r="D41" s="30" t="s">
        <v>51</v>
      </c>
      <c r="E41" s="30" t="s">
        <v>27</v>
      </c>
      <c r="F41" s="30" t="s">
        <v>32</v>
      </c>
      <c r="G41" s="30" t="s">
        <v>27</v>
      </c>
      <c r="H41" s="30" t="s">
        <v>116</v>
      </c>
      <c r="I41" s="30" t="s">
        <v>23</v>
      </c>
      <c r="J41" s="24">
        <v>1</v>
      </c>
      <c r="K41" s="24">
        <v>2</v>
      </c>
    </row>
    <row r="42" spans="1:11" x14ac:dyDescent="0.3">
      <c r="A42" s="64"/>
      <c r="B42" s="1"/>
      <c r="C42" s="2"/>
      <c r="D42" s="30" t="s">
        <v>51</v>
      </c>
      <c r="E42" s="30" t="s">
        <v>27</v>
      </c>
      <c r="F42" s="30" t="s">
        <v>32</v>
      </c>
      <c r="G42" s="30" t="s">
        <v>27</v>
      </c>
      <c r="H42" s="30" t="s">
        <v>117</v>
      </c>
      <c r="I42" s="30" t="s">
        <v>15</v>
      </c>
      <c r="J42" s="24">
        <v>2</v>
      </c>
      <c r="K42" s="24">
        <v>3</v>
      </c>
    </row>
    <row r="43" spans="1:11" x14ac:dyDescent="0.3">
      <c r="A43" s="64"/>
      <c r="B43" s="1"/>
      <c r="C43" s="2"/>
      <c r="D43" s="30" t="s">
        <v>51</v>
      </c>
      <c r="E43" s="30" t="s">
        <v>27</v>
      </c>
      <c r="F43" s="30" t="s">
        <v>32</v>
      </c>
      <c r="G43" s="30" t="s">
        <v>27</v>
      </c>
      <c r="H43" s="30" t="s">
        <v>118</v>
      </c>
      <c r="I43" s="30" t="s">
        <v>81</v>
      </c>
      <c r="J43" s="24">
        <v>3</v>
      </c>
      <c r="K43" s="24">
        <v>4</v>
      </c>
    </row>
    <row r="44" spans="1:11" x14ac:dyDescent="0.3">
      <c r="A44" s="64"/>
      <c r="B44" s="1"/>
      <c r="C44" s="2"/>
      <c r="D44" s="30" t="s">
        <v>51</v>
      </c>
      <c r="E44" s="30" t="s">
        <v>27</v>
      </c>
      <c r="F44" s="30" t="s">
        <v>32</v>
      </c>
      <c r="G44" s="30" t="s">
        <v>27</v>
      </c>
      <c r="H44" s="30" t="s">
        <v>119</v>
      </c>
      <c r="I44" s="30" t="s">
        <v>83</v>
      </c>
      <c r="J44" s="24">
        <v>4</v>
      </c>
      <c r="K44" s="34">
        <v>5</v>
      </c>
    </row>
    <row r="45" spans="1:11" x14ac:dyDescent="0.3">
      <c r="A45" s="64"/>
      <c r="B45" s="1"/>
      <c r="C45" s="2"/>
      <c r="D45" s="30" t="s">
        <v>51</v>
      </c>
      <c r="E45" s="30" t="s">
        <v>27</v>
      </c>
      <c r="F45" s="30" t="s">
        <v>32</v>
      </c>
      <c r="G45" s="30" t="s">
        <v>27</v>
      </c>
      <c r="H45" s="30" t="s">
        <v>36</v>
      </c>
      <c r="I45" s="30" t="s">
        <v>50</v>
      </c>
      <c r="J45" s="24">
        <v>5</v>
      </c>
      <c r="K45" s="24">
        <v>6</v>
      </c>
    </row>
    <row r="46" spans="1:11" x14ac:dyDescent="0.3">
      <c r="A46" s="64"/>
      <c r="B46" s="1"/>
      <c r="C46" s="2"/>
      <c r="D46" s="30" t="s">
        <v>32</v>
      </c>
      <c r="E46" s="30" t="s">
        <v>44</v>
      </c>
      <c r="F46" s="30" t="s">
        <v>46</v>
      </c>
      <c r="G46" s="30" t="s">
        <v>44</v>
      </c>
      <c r="H46" s="30" t="s">
        <v>120</v>
      </c>
      <c r="I46" s="30" t="s">
        <v>39</v>
      </c>
      <c r="J46" s="24">
        <v>1</v>
      </c>
      <c r="K46" s="24">
        <v>7</v>
      </c>
    </row>
    <row r="47" spans="1:11" x14ac:dyDescent="0.3">
      <c r="A47" s="64"/>
      <c r="B47" s="1"/>
      <c r="C47" s="2"/>
      <c r="D47" s="30" t="s">
        <v>32</v>
      </c>
      <c r="E47" s="30" t="s">
        <v>44</v>
      </c>
      <c r="F47" s="30" t="s">
        <v>46</v>
      </c>
      <c r="G47" s="30" t="s">
        <v>44</v>
      </c>
      <c r="H47" s="30" t="s">
        <v>121</v>
      </c>
      <c r="I47" s="30" t="s">
        <v>122</v>
      </c>
      <c r="J47" s="24">
        <v>2</v>
      </c>
      <c r="K47" s="24">
        <v>8</v>
      </c>
    </row>
    <row r="48" spans="1:11" x14ac:dyDescent="0.3">
      <c r="A48" s="64"/>
      <c r="B48" s="1"/>
      <c r="C48" s="2"/>
      <c r="D48" s="30" t="s">
        <v>32</v>
      </c>
      <c r="E48" s="30" t="s">
        <v>44</v>
      </c>
      <c r="F48" s="30" t="s">
        <v>46</v>
      </c>
      <c r="G48" s="30" t="s">
        <v>44</v>
      </c>
      <c r="H48" s="30" t="s">
        <v>123</v>
      </c>
      <c r="I48" s="30" t="s">
        <v>22</v>
      </c>
      <c r="J48" s="24">
        <v>3</v>
      </c>
      <c r="K48" s="24">
        <v>9</v>
      </c>
    </row>
    <row r="49" spans="1:11" x14ac:dyDescent="0.3">
      <c r="A49" s="64"/>
      <c r="B49" s="1"/>
      <c r="C49" s="2"/>
      <c r="D49" s="30" t="s">
        <v>32</v>
      </c>
      <c r="E49" s="30" t="s">
        <v>44</v>
      </c>
      <c r="F49" s="30" t="s">
        <v>46</v>
      </c>
      <c r="G49" s="30" t="s">
        <v>44</v>
      </c>
      <c r="H49" s="30" t="s">
        <v>124</v>
      </c>
      <c r="I49" s="30" t="s">
        <v>13</v>
      </c>
      <c r="J49" s="24">
        <v>4</v>
      </c>
      <c r="K49" s="24">
        <v>10</v>
      </c>
    </row>
    <row r="50" spans="1:11" x14ac:dyDescent="0.3">
      <c r="A50" s="64"/>
      <c r="B50" s="1"/>
      <c r="C50" s="2"/>
      <c r="D50" s="30" t="s">
        <v>32</v>
      </c>
      <c r="E50" s="30" t="s">
        <v>44</v>
      </c>
      <c r="F50" s="30" t="s">
        <v>46</v>
      </c>
      <c r="G50" s="30" t="s">
        <v>44</v>
      </c>
      <c r="H50" s="30" t="s">
        <v>44</v>
      </c>
      <c r="I50" s="30" t="s">
        <v>15</v>
      </c>
      <c r="J50" s="24">
        <v>5</v>
      </c>
      <c r="K50" s="33">
        <v>11</v>
      </c>
    </row>
    <row r="51" spans="1:11" x14ac:dyDescent="0.3">
      <c r="A51" s="64"/>
      <c r="B51" s="1"/>
      <c r="C51" s="2"/>
      <c r="D51" s="30" t="s">
        <v>46</v>
      </c>
      <c r="E51" s="30" t="s">
        <v>16</v>
      </c>
      <c r="F51" s="30" t="s">
        <v>9</v>
      </c>
      <c r="G51" s="30" t="s">
        <v>24</v>
      </c>
      <c r="H51" s="30" t="s">
        <v>125</v>
      </c>
      <c r="I51" s="30" t="s">
        <v>126</v>
      </c>
      <c r="J51" s="24">
        <v>1</v>
      </c>
      <c r="K51" s="24">
        <v>12</v>
      </c>
    </row>
    <row r="52" spans="1:11" x14ac:dyDescent="0.3">
      <c r="A52" s="64"/>
      <c r="B52" s="1"/>
      <c r="C52" s="2"/>
      <c r="D52" s="30" t="s">
        <v>46</v>
      </c>
      <c r="E52" s="30" t="s">
        <v>16</v>
      </c>
      <c r="F52" s="30" t="s">
        <v>9</v>
      </c>
      <c r="G52" s="30" t="s">
        <v>24</v>
      </c>
      <c r="H52" s="30" t="s">
        <v>127</v>
      </c>
      <c r="I52" s="30" t="s">
        <v>128</v>
      </c>
      <c r="J52" s="24">
        <v>2</v>
      </c>
      <c r="K52" s="24">
        <v>13</v>
      </c>
    </row>
    <row r="53" spans="1:11" x14ac:dyDescent="0.3">
      <c r="A53" s="64"/>
      <c r="B53" s="1"/>
      <c r="C53" s="2"/>
      <c r="D53" s="30" t="s">
        <v>46</v>
      </c>
      <c r="E53" s="30" t="s">
        <v>16</v>
      </c>
      <c r="F53" s="30" t="s">
        <v>9</v>
      </c>
      <c r="G53" s="30" t="s">
        <v>24</v>
      </c>
      <c r="H53" s="30" t="s">
        <v>129</v>
      </c>
      <c r="I53" s="30" t="s">
        <v>130</v>
      </c>
      <c r="J53" s="24">
        <v>3</v>
      </c>
      <c r="K53" s="24">
        <v>14</v>
      </c>
    </row>
    <row r="54" spans="1:11" x14ac:dyDescent="0.3">
      <c r="A54" s="64"/>
      <c r="B54" s="1"/>
      <c r="C54" s="2"/>
      <c r="D54" s="30" t="s">
        <v>46</v>
      </c>
      <c r="E54" s="30" t="s">
        <v>16</v>
      </c>
      <c r="F54" s="30" t="s">
        <v>9</v>
      </c>
      <c r="G54" s="30" t="s">
        <v>24</v>
      </c>
      <c r="H54" s="30" t="s">
        <v>131</v>
      </c>
      <c r="I54" s="30" t="s">
        <v>132</v>
      </c>
      <c r="J54" s="24">
        <v>4</v>
      </c>
      <c r="K54" s="24">
        <v>15</v>
      </c>
    </row>
    <row r="55" spans="1:11" x14ac:dyDescent="0.3">
      <c r="A55" s="64"/>
      <c r="B55" s="1"/>
      <c r="C55" s="2"/>
      <c r="D55" s="30" t="s">
        <v>46</v>
      </c>
      <c r="E55" s="30" t="s">
        <v>16</v>
      </c>
      <c r="F55" s="30" t="s">
        <v>9</v>
      </c>
      <c r="G55" s="30" t="s">
        <v>24</v>
      </c>
      <c r="H55" s="30" t="s">
        <v>24</v>
      </c>
      <c r="I55" s="30" t="s">
        <v>133</v>
      </c>
      <c r="J55" s="24">
        <v>5</v>
      </c>
      <c r="K55" s="24">
        <v>16</v>
      </c>
    </row>
    <row r="56" spans="1:11" x14ac:dyDescent="0.3">
      <c r="A56" s="64"/>
      <c r="B56" s="1"/>
      <c r="C56" s="2"/>
      <c r="D56" s="30" t="s">
        <v>46</v>
      </c>
      <c r="E56" s="30" t="s">
        <v>16</v>
      </c>
      <c r="F56" s="30" t="s">
        <v>37</v>
      </c>
      <c r="G56" s="30" t="s">
        <v>16</v>
      </c>
      <c r="H56" s="30" t="s">
        <v>134</v>
      </c>
      <c r="I56" s="30" t="s">
        <v>28</v>
      </c>
      <c r="J56" s="24">
        <v>1</v>
      </c>
      <c r="K56" s="24">
        <v>17</v>
      </c>
    </row>
    <row r="57" spans="1:11" x14ac:dyDescent="0.3">
      <c r="A57" s="64"/>
      <c r="B57" s="1"/>
      <c r="C57" s="2"/>
      <c r="D57" s="30" t="s">
        <v>46</v>
      </c>
      <c r="E57" s="30" t="s">
        <v>16</v>
      </c>
      <c r="F57" s="30" t="s">
        <v>37</v>
      </c>
      <c r="G57" s="30" t="s">
        <v>16</v>
      </c>
      <c r="H57" s="30" t="s">
        <v>17</v>
      </c>
      <c r="I57" s="30" t="s">
        <v>14</v>
      </c>
      <c r="J57" s="24">
        <v>2</v>
      </c>
      <c r="K57" s="24">
        <v>18</v>
      </c>
    </row>
    <row r="58" spans="1:11" x14ac:dyDescent="0.3">
      <c r="A58" s="64"/>
      <c r="B58" s="1"/>
      <c r="C58" s="2"/>
      <c r="D58" s="30" t="s">
        <v>46</v>
      </c>
      <c r="E58" s="30" t="s">
        <v>16</v>
      </c>
      <c r="F58" s="30" t="s">
        <v>37</v>
      </c>
      <c r="G58" s="30" t="s">
        <v>16</v>
      </c>
      <c r="H58" s="30" t="s">
        <v>135</v>
      </c>
      <c r="I58" s="30" t="s">
        <v>15</v>
      </c>
      <c r="J58" s="24">
        <v>3</v>
      </c>
      <c r="K58" s="24">
        <v>19</v>
      </c>
    </row>
    <row r="59" spans="1:11" x14ac:dyDescent="0.3">
      <c r="A59" s="64"/>
      <c r="B59" s="1"/>
      <c r="C59" s="2"/>
      <c r="D59" s="30" t="s">
        <v>46</v>
      </c>
      <c r="E59" s="30" t="s">
        <v>16</v>
      </c>
      <c r="F59" s="30" t="s">
        <v>37</v>
      </c>
      <c r="G59" s="30" t="s">
        <v>16</v>
      </c>
      <c r="H59" s="30" t="s">
        <v>136</v>
      </c>
      <c r="I59" s="30" t="s">
        <v>33</v>
      </c>
      <c r="J59" s="24">
        <v>4</v>
      </c>
      <c r="K59" s="24">
        <v>20</v>
      </c>
    </row>
    <row r="60" spans="1:11" x14ac:dyDescent="0.3">
      <c r="A60" s="64"/>
      <c r="B60" s="1"/>
      <c r="C60" s="2"/>
      <c r="D60" s="30" t="s">
        <v>46</v>
      </c>
      <c r="E60" s="30" t="s">
        <v>16</v>
      </c>
      <c r="F60" s="30" t="s">
        <v>37</v>
      </c>
      <c r="G60" s="30" t="s">
        <v>16</v>
      </c>
      <c r="H60" s="30" t="s">
        <v>137</v>
      </c>
      <c r="I60" s="30" t="s">
        <v>90</v>
      </c>
      <c r="J60" s="24">
        <v>5</v>
      </c>
      <c r="K60" s="24">
        <v>21</v>
      </c>
    </row>
    <row r="61" spans="1:11" x14ac:dyDescent="0.3">
      <c r="A61" s="64"/>
      <c r="B61" s="1"/>
      <c r="C61" s="2"/>
      <c r="D61" s="30" t="s">
        <v>46</v>
      </c>
      <c r="E61" s="30" t="s">
        <v>16</v>
      </c>
      <c r="F61" s="30" t="s">
        <v>37</v>
      </c>
      <c r="G61" s="30" t="s">
        <v>16</v>
      </c>
      <c r="H61" s="30" t="s">
        <v>138</v>
      </c>
      <c r="I61" s="30" t="s">
        <v>139</v>
      </c>
      <c r="J61" s="24">
        <v>6</v>
      </c>
      <c r="K61" s="24">
        <v>22</v>
      </c>
    </row>
    <row r="62" spans="1:11" x14ac:dyDescent="0.3">
      <c r="A62" s="64"/>
      <c r="B62" s="1"/>
      <c r="C62" s="2"/>
      <c r="D62" s="30" t="s">
        <v>46</v>
      </c>
      <c r="E62" s="30" t="s">
        <v>16</v>
      </c>
      <c r="F62" s="30" t="s">
        <v>37</v>
      </c>
      <c r="G62" s="30" t="s">
        <v>16</v>
      </c>
      <c r="H62" s="30" t="s">
        <v>16</v>
      </c>
      <c r="I62" s="30" t="s">
        <v>111</v>
      </c>
      <c r="J62" s="24">
        <v>7</v>
      </c>
      <c r="K62" s="24">
        <v>23</v>
      </c>
    </row>
    <row r="63" spans="1:11" x14ac:dyDescent="0.3">
      <c r="A63" s="64"/>
      <c r="B63" s="1"/>
      <c r="C63" s="2"/>
      <c r="D63" s="30" t="s">
        <v>46</v>
      </c>
      <c r="E63" s="30" t="s">
        <v>16</v>
      </c>
      <c r="F63" s="30" t="s">
        <v>37</v>
      </c>
      <c r="G63" s="30" t="s">
        <v>16</v>
      </c>
      <c r="H63" s="30" t="s">
        <v>140</v>
      </c>
      <c r="I63" s="30" t="s">
        <v>42</v>
      </c>
      <c r="J63" s="24">
        <v>8</v>
      </c>
      <c r="K63" s="34">
        <v>24</v>
      </c>
    </row>
    <row r="64" spans="1:11" x14ac:dyDescent="0.3">
      <c r="A64" s="64"/>
      <c r="B64" s="1"/>
      <c r="C64" s="2"/>
      <c r="D64" s="30" t="s">
        <v>46</v>
      </c>
      <c r="E64" s="30" t="s">
        <v>16</v>
      </c>
      <c r="F64" s="30" t="s">
        <v>37</v>
      </c>
      <c r="G64" s="30" t="s">
        <v>16</v>
      </c>
      <c r="H64" s="30" t="s">
        <v>141</v>
      </c>
      <c r="I64" s="30" t="s">
        <v>113</v>
      </c>
      <c r="J64" s="24">
        <v>9</v>
      </c>
      <c r="K64" s="33">
        <v>25</v>
      </c>
    </row>
    <row r="65" spans="1:11" x14ac:dyDescent="0.3">
      <c r="A65" s="64">
        <v>4</v>
      </c>
      <c r="B65" s="1"/>
      <c r="C65" s="2"/>
      <c r="D65" s="30" t="s">
        <v>12</v>
      </c>
      <c r="E65" s="30" t="s">
        <v>48</v>
      </c>
      <c r="F65" s="30" t="s">
        <v>39</v>
      </c>
      <c r="G65" s="30" t="s">
        <v>48</v>
      </c>
      <c r="H65" s="30" t="s">
        <v>142</v>
      </c>
      <c r="I65" s="30" t="s">
        <v>81</v>
      </c>
      <c r="J65" s="24">
        <v>1</v>
      </c>
      <c r="K65" s="24">
        <v>1</v>
      </c>
    </row>
    <row r="66" spans="1:11" x14ac:dyDescent="0.3">
      <c r="A66" s="64"/>
      <c r="B66" s="1"/>
      <c r="C66" s="2"/>
      <c r="D66" s="30" t="s">
        <v>12</v>
      </c>
      <c r="E66" s="30" t="s">
        <v>48</v>
      </c>
      <c r="F66" s="30" t="s">
        <v>39</v>
      </c>
      <c r="G66" s="30" t="s">
        <v>48</v>
      </c>
      <c r="H66" s="30" t="s">
        <v>143</v>
      </c>
      <c r="I66" s="30" t="s">
        <v>9</v>
      </c>
      <c r="J66" s="24">
        <v>2</v>
      </c>
      <c r="K66" s="25">
        <v>2</v>
      </c>
    </row>
    <row r="67" spans="1:11" x14ac:dyDescent="0.3">
      <c r="A67" s="64"/>
      <c r="B67" s="1"/>
      <c r="C67" s="2"/>
      <c r="D67" s="30" t="s">
        <v>12</v>
      </c>
      <c r="E67" s="30" t="s">
        <v>48</v>
      </c>
      <c r="F67" s="30" t="s">
        <v>39</v>
      </c>
      <c r="G67" s="30" t="s">
        <v>48</v>
      </c>
      <c r="H67" s="30" t="s">
        <v>48</v>
      </c>
      <c r="I67" s="30" t="s">
        <v>33</v>
      </c>
      <c r="J67" s="24">
        <v>3</v>
      </c>
      <c r="K67" s="24">
        <v>3</v>
      </c>
    </row>
    <row r="68" spans="1:11" x14ac:dyDescent="0.3">
      <c r="A68" s="64"/>
      <c r="B68" s="1"/>
      <c r="C68" s="2"/>
      <c r="D68" s="30" t="s">
        <v>12</v>
      </c>
      <c r="E68" s="30" t="s">
        <v>48</v>
      </c>
      <c r="F68" s="30" t="s">
        <v>39</v>
      </c>
      <c r="G68" s="30" t="s">
        <v>48</v>
      </c>
      <c r="H68" s="30" t="s">
        <v>144</v>
      </c>
      <c r="I68" s="30" t="s">
        <v>14</v>
      </c>
      <c r="J68" s="24">
        <v>4</v>
      </c>
      <c r="K68" s="25">
        <v>4</v>
      </c>
    </row>
    <row r="69" spans="1:11" x14ac:dyDescent="0.3">
      <c r="A69" s="64"/>
      <c r="B69" s="1"/>
      <c r="C69" s="2"/>
      <c r="D69" s="30" t="s">
        <v>37</v>
      </c>
      <c r="E69" s="30" t="s">
        <v>34</v>
      </c>
      <c r="F69" s="30" t="s">
        <v>51</v>
      </c>
      <c r="G69" s="30" t="s">
        <v>35</v>
      </c>
      <c r="H69" s="30" t="s">
        <v>145</v>
      </c>
      <c r="I69" s="30" t="s">
        <v>122</v>
      </c>
      <c r="J69" s="24">
        <v>1</v>
      </c>
      <c r="K69" s="24">
        <v>5</v>
      </c>
    </row>
    <row r="70" spans="1:11" x14ac:dyDescent="0.3">
      <c r="A70" s="64"/>
      <c r="B70" s="1"/>
      <c r="C70" s="2"/>
      <c r="D70" s="30" t="s">
        <v>37</v>
      </c>
      <c r="E70" s="30" t="s">
        <v>34</v>
      </c>
      <c r="F70" s="30" t="s">
        <v>51</v>
      </c>
      <c r="G70" s="30" t="s">
        <v>35</v>
      </c>
      <c r="H70" s="30" t="s">
        <v>146</v>
      </c>
      <c r="I70" s="30" t="s">
        <v>147</v>
      </c>
      <c r="J70" s="24">
        <v>2</v>
      </c>
      <c r="K70" s="33">
        <v>6</v>
      </c>
    </row>
    <row r="71" spans="1:11" x14ac:dyDescent="0.3">
      <c r="A71" s="64"/>
      <c r="B71" s="1"/>
      <c r="C71" s="2"/>
      <c r="D71" s="30" t="s">
        <v>37</v>
      </c>
      <c r="E71" s="30" t="s">
        <v>34</v>
      </c>
      <c r="F71" s="30" t="s">
        <v>51</v>
      </c>
      <c r="G71" s="30" t="s">
        <v>35</v>
      </c>
      <c r="H71" s="30" t="s">
        <v>148</v>
      </c>
      <c r="I71" s="30" t="s">
        <v>45</v>
      </c>
      <c r="J71" s="24">
        <v>3</v>
      </c>
      <c r="K71" s="24">
        <v>7</v>
      </c>
    </row>
    <row r="72" spans="1:11" x14ac:dyDescent="0.3">
      <c r="A72" s="64"/>
      <c r="B72" s="1"/>
      <c r="C72" s="2"/>
      <c r="D72" s="30" t="s">
        <v>37</v>
      </c>
      <c r="E72" s="30" t="s">
        <v>34</v>
      </c>
      <c r="F72" s="30" t="s">
        <v>51</v>
      </c>
      <c r="G72" s="30" t="s">
        <v>35</v>
      </c>
      <c r="H72" s="30" t="s">
        <v>149</v>
      </c>
      <c r="I72" s="30" t="s">
        <v>150</v>
      </c>
      <c r="J72" s="24">
        <v>4</v>
      </c>
      <c r="K72" s="34">
        <v>8</v>
      </c>
    </row>
    <row r="73" spans="1:11" x14ac:dyDescent="0.3">
      <c r="A73" s="64"/>
      <c r="B73" s="1"/>
      <c r="C73" s="2"/>
      <c r="D73" s="30" t="s">
        <v>37</v>
      </c>
      <c r="E73" s="30" t="s">
        <v>34</v>
      </c>
      <c r="F73" s="30" t="s">
        <v>12</v>
      </c>
      <c r="G73" s="30" t="s">
        <v>34</v>
      </c>
      <c r="H73" s="30" t="s">
        <v>151</v>
      </c>
      <c r="I73" s="30" t="s">
        <v>32</v>
      </c>
      <c r="J73" s="24">
        <v>1</v>
      </c>
      <c r="K73" s="24">
        <v>9</v>
      </c>
    </row>
    <row r="74" spans="1:11" x14ac:dyDescent="0.3">
      <c r="A74" s="64"/>
      <c r="B74" s="1"/>
      <c r="C74" s="2"/>
      <c r="D74" s="30" t="s">
        <v>37</v>
      </c>
      <c r="E74" s="30" t="s">
        <v>34</v>
      </c>
      <c r="F74" s="30" t="s">
        <v>12</v>
      </c>
      <c r="G74" s="30" t="s">
        <v>34</v>
      </c>
      <c r="H74" s="30" t="s">
        <v>152</v>
      </c>
      <c r="I74" s="30" t="s">
        <v>33</v>
      </c>
      <c r="J74" s="24">
        <v>2</v>
      </c>
      <c r="K74" s="25">
        <v>10</v>
      </c>
    </row>
    <row r="75" spans="1:11" x14ac:dyDescent="0.3">
      <c r="A75" s="64"/>
      <c r="B75" s="1"/>
      <c r="C75" s="2"/>
      <c r="D75" s="30" t="s">
        <v>37</v>
      </c>
      <c r="E75" s="30" t="s">
        <v>34</v>
      </c>
      <c r="F75" s="30" t="s">
        <v>12</v>
      </c>
      <c r="G75" s="30" t="s">
        <v>34</v>
      </c>
      <c r="H75" s="30" t="s">
        <v>153</v>
      </c>
      <c r="I75" s="30" t="s">
        <v>12</v>
      </c>
      <c r="J75" s="24">
        <v>3</v>
      </c>
      <c r="K75" s="24">
        <v>11</v>
      </c>
    </row>
    <row r="76" spans="1:11" x14ac:dyDescent="0.3">
      <c r="A76" s="64"/>
      <c r="B76" s="1"/>
      <c r="C76" s="2"/>
      <c r="D76" s="30" t="s">
        <v>37</v>
      </c>
      <c r="E76" s="30" t="s">
        <v>34</v>
      </c>
      <c r="F76" s="30" t="s">
        <v>12</v>
      </c>
      <c r="G76" s="30" t="s">
        <v>34</v>
      </c>
      <c r="H76" s="30" t="s">
        <v>154</v>
      </c>
      <c r="I76" s="30" t="s">
        <v>51</v>
      </c>
      <c r="J76" s="24">
        <v>4</v>
      </c>
      <c r="K76" s="34">
        <v>12</v>
      </c>
    </row>
    <row r="77" spans="1:11" x14ac:dyDescent="0.3">
      <c r="A77" s="64"/>
      <c r="B77" s="1"/>
      <c r="C77" s="2"/>
      <c r="D77" s="30" t="s">
        <v>37</v>
      </c>
      <c r="E77" s="30" t="s">
        <v>34</v>
      </c>
      <c r="F77" s="30" t="s">
        <v>12</v>
      </c>
      <c r="G77" s="30" t="s">
        <v>34</v>
      </c>
      <c r="H77" s="30" t="s">
        <v>155</v>
      </c>
      <c r="I77" s="30" t="s">
        <v>37</v>
      </c>
      <c r="J77" s="24">
        <v>5</v>
      </c>
      <c r="K77" s="33">
        <v>13</v>
      </c>
    </row>
    <row r="78" spans="1:11" x14ac:dyDescent="0.3">
      <c r="A78" s="64"/>
      <c r="B78" s="1"/>
      <c r="C78" s="2"/>
      <c r="D78" s="30" t="s">
        <v>37</v>
      </c>
      <c r="E78" s="30" t="s">
        <v>34</v>
      </c>
      <c r="F78" s="30" t="s">
        <v>12</v>
      </c>
      <c r="G78" s="30" t="s">
        <v>34</v>
      </c>
      <c r="H78" s="30" t="s">
        <v>156</v>
      </c>
      <c r="I78" s="30" t="s">
        <v>21</v>
      </c>
      <c r="J78" s="24">
        <v>6</v>
      </c>
      <c r="K78" s="25">
        <v>14</v>
      </c>
    </row>
    <row r="79" spans="1:11" x14ac:dyDescent="0.3">
      <c r="A79" s="31"/>
      <c r="B79" s="1"/>
      <c r="C79" s="2"/>
      <c r="D79" s="26"/>
      <c r="E79" s="27"/>
      <c r="F79" s="26"/>
      <c r="G79" s="27"/>
      <c r="H79" s="27"/>
      <c r="I79" s="26"/>
      <c r="J79" s="24"/>
      <c r="K79" s="25"/>
    </row>
    <row r="80" spans="1:11" x14ac:dyDescent="0.3">
      <c r="A80" s="32"/>
      <c r="B80" s="1"/>
      <c r="C80" s="2"/>
      <c r="D80" s="26"/>
      <c r="E80" s="27"/>
      <c r="F80" s="26"/>
      <c r="G80" s="27"/>
      <c r="H80" s="27"/>
      <c r="I80" s="26"/>
      <c r="J80" s="24"/>
      <c r="K80" s="24"/>
    </row>
    <row r="81" spans="1:1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4"/>
      <c r="K81" s="24"/>
    </row>
  </sheetData>
  <mergeCells count="5">
    <mergeCell ref="A5:A23"/>
    <mergeCell ref="A24:A39"/>
    <mergeCell ref="A40:A64"/>
    <mergeCell ref="A65:A78"/>
    <mergeCell ref="A1:K1"/>
  </mergeCells>
  <pageMargins left="0.11811023622047245" right="0.11811023622047245" top="0.15748031496062992" bottom="0.15748031496062992" header="0.31496062992125984" footer="0.31496062992125984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8"/>
  <sheetViews>
    <sheetView workbookViewId="0">
      <selection sqref="A1:K1"/>
    </sheetView>
  </sheetViews>
  <sheetFormatPr defaultColWidth="20.6640625" defaultRowHeight="24.9" customHeight="1" x14ac:dyDescent="0.25"/>
  <cols>
    <col min="1" max="1" width="8.33203125" style="16" customWidth="1"/>
    <col min="2" max="2" width="25.88671875" style="8" customWidth="1"/>
    <col min="3" max="3" width="30.44140625" style="8" customWidth="1"/>
    <col min="4" max="4" width="10.6640625" style="5" customWidth="1"/>
    <col min="5" max="5" width="10.33203125" style="5" customWidth="1"/>
    <col min="6" max="11" width="7.44140625" style="5" customWidth="1"/>
    <col min="12" max="16384" width="20.6640625" style="9"/>
  </cols>
  <sheetData>
    <row r="1" spans="1:11" ht="24.9" customHeight="1" x14ac:dyDescent="0.25">
      <c r="A1" s="46" t="s">
        <v>58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4.9" customHeight="1" x14ac:dyDescent="0.25">
      <c r="A2" s="46" t="s">
        <v>59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s="6" customFormat="1" ht="24.9" customHeight="1" x14ac:dyDescent="0.25">
      <c r="A3" s="4" t="s">
        <v>52</v>
      </c>
      <c r="B3" s="3" t="s">
        <v>173</v>
      </c>
      <c r="C3" s="37"/>
      <c r="D3" s="38"/>
      <c r="E3" s="38"/>
      <c r="F3" s="37"/>
      <c r="G3" s="47" t="s">
        <v>53</v>
      </c>
      <c r="H3" s="47"/>
      <c r="I3" s="47"/>
      <c r="J3" s="47"/>
      <c r="K3" s="47"/>
    </row>
    <row r="4" spans="1:11" ht="24.9" customHeight="1" x14ac:dyDescent="0.25">
      <c r="A4" s="7"/>
      <c r="B4" s="39"/>
      <c r="C4" s="39"/>
      <c r="D4" s="38"/>
      <c r="E4" s="38"/>
      <c r="F4" s="38"/>
      <c r="G4" s="38"/>
      <c r="H4" s="38" t="s">
        <v>157</v>
      </c>
      <c r="I4" s="38"/>
      <c r="J4" s="38"/>
      <c r="K4" s="38"/>
    </row>
    <row r="5" spans="1:11" ht="46.5" customHeight="1" x14ac:dyDescent="0.25">
      <c r="A5" s="48" t="s">
        <v>60</v>
      </c>
      <c r="B5" s="49" t="s">
        <v>61</v>
      </c>
      <c r="C5" s="49" t="s">
        <v>62</v>
      </c>
      <c r="D5" s="49" t="s">
        <v>63</v>
      </c>
      <c r="E5" s="50" t="s">
        <v>64</v>
      </c>
      <c r="F5" s="49" t="s">
        <v>65</v>
      </c>
      <c r="G5" s="49"/>
      <c r="H5" s="49" t="s">
        <v>66</v>
      </c>
      <c r="I5" s="49"/>
      <c r="J5" s="49" t="s">
        <v>67</v>
      </c>
      <c r="K5" s="49"/>
    </row>
    <row r="6" spans="1:11" ht="35.25" customHeight="1" x14ac:dyDescent="0.25">
      <c r="A6" s="48"/>
      <c r="B6" s="49"/>
      <c r="C6" s="49"/>
      <c r="D6" s="49"/>
      <c r="E6" s="51"/>
      <c r="F6" s="11" t="s">
        <v>68</v>
      </c>
      <c r="G6" s="11" t="s">
        <v>69</v>
      </c>
      <c r="H6" s="11" t="s">
        <v>68</v>
      </c>
      <c r="I6" s="11" t="s">
        <v>69</v>
      </c>
      <c r="J6" s="11" t="s">
        <v>68</v>
      </c>
      <c r="K6" s="11" t="s">
        <v>69</v>
      </c>
    </row>
    <row r="7" spans="1:11" ht="30" customHeight="1" x14ac:dyDescent="0.25">
      <c r="A7" s="52">
        <v>1</v>
      </c>
      <c r="B7" s="20" t="s">
        <v>41</v>
      </c>
      <c r="C7" s="20" t="s">
        <v>40</v>
      </c>
      <c r="D7" s="12">
        <v>4</v>
      </c>
      <c r="E7" s="1">
        <f>D7</f>
        <v>4</v>
      </c>
      <c r="F7" s="12"/>
      <c r="G7" s="12"/>
      <c r="H7" s="12"/>
      <c r="I7" s="12"/>
      <c r="J7" s="12" t="s">
        <v>158</v>
      </c>
      <c r="K7" s="12" t="s">
        <v>160</v>
      </c>
    </row>
    <row r="8" spans="1:11" ht="30" customHeight="1" x14ac:dyDescent="0.25">
      <c r="A8" s="53"/>
      <c r="B8" s="20" t="s">
        <v>41</v>
      </c>
      <c r="C8" s="20" t="s">
        <v>41</v>
      </c>
      <c r="D8" s="12">
        <v>3</v>
      </c>
      <c r="E8" s="1">
        <f>D8+E7</f>
        <v>7</v>
      </c>
      <c r="F8" s="12"/>
      <c r="G8" s="12"/>
      <c r="H8" s="12"/>
      <c r="I8" s="12"/>
      <c r="J8" s="12" t="s">
        <v>159</v>
      </c>
      <c r="K8" s="12" t="s">
        <v>161</v>
      </c>
    </row>
    <row r="9" spans="1:11" ht="28.5" customHeight="1" x14ac:dyDescent="0.25">
      <c r="A9" s="53"/>
      <c r="B9" s="20" t="s">
        <v>38</v>
      </c>
      <c r="C9" s="20" t="s">
        <v>40</v>
      </c>
      <c r="D9" s="12">
        <v>0</v>
      </c>
      <c r="E9" s="1">
        <f t="shared" ref="E9:E10" si="0">D9+E8</f>
        <v>7</v>
      </c>
      <c r="F9" s="12"/>
      <c r="G9" s="13"/>
      <c r="H9" s="12"/>
      <c r="I9" s="12"/>
      <c r="J9" s="14"/>
      <c r="K9" s="12"/>
    </row>
    <row r="10" spans="1:11" ht="28.5" customHeight="1" x14ac:dyDescent="0.25">
      <c r="A10" s="53"/>
      <c r="B10" s="20" t="s">
        <v>38</v>
      </c>
      <c r="C10" s="20" t="s">
        <v>38</v>
      </c>
      <c r="D10" s="12">
        <v>4</v>
      </c>
      <c r="E10" s="1">
        <f t="shared" si="0"/>
        <v>11</v>
      </c>
      <c r="F10" s="12"/>
      <c r="G10" s="13"/>
      <c r="H10" s="12"/>
      <c r="I10" s="12"/>
      <c r="J10" s="12"/>
      <c r="K10" s="14"/>
    </row>
    <row r="11" spans="1:11" ht="28.5" customHeight="1" x14ac:dyDescent="0.25">
      <c r="A11" s="54"/>
      <c r="B11" s="20" t="s">
        <v>7</v>
      </c>
      <c r="C11" s="20" t="s">
        <v>7</v>
      </c>
      <c r="D11" s="12">
        <v>8</v>
      </c>
      <c r="E11" s="1">
        <v>19</v>
      </c>
      <c r="F11" s="19"/>
      <c r="G11" s="13"/>
      <c r="H11" s="12"/>
      <c r="I11" s="12"/>
      <c r="J11" s="12"/>
      <c r="K11" s="14"/>
    </row>
    <row r="12" spans="1:11" s="23" customFormat="1" ht="28.5" customHeight="1" x14ac:dyDescent="0.4">
      <c r="A12" s="22"/>
      <c r="B12" s="21" t="s">
        <v>70</v>
      </c>
      <c r="C12" s="15"/>
      <c r="D12" s="15">
        <f>SUM(D7:D11)</f>
        <v>19</v>
      </c>
      <c r="E12" s="15"/>
      <c r="F12" s="15">
        <v>2</v>
      </c>
      <c r="G12" s="15">
        <v>2</v>
      </c>
      <c r="H12" s="15">
        <v>2</v>
      </c>
      <c r="I12" s="15">
        <v>2</v>
      </c>
      <c r="J12" s="15"/>
      <c r="K12" s="15"/>
    </row>
    <row r="13" spans="1:11" ht="28.5" customHeight="1" x14ac:dyDescent="0.25">
      <c r="A13" s="52">
        <v>2</v>
      </c>
      <c r="B13" s="20" t="s">
        <v>25</v>
      </c>
      <c r="C13" s="20" t="s">
        <v>25</v>
      </c>
      <c r="D13" s="12">
        <v>6</v>
      </c>
      <c r="E13" s="1">
        <f>D13</f>
        <v>6</v>
      </c>
      <c r="F13" s="19"/>
      <c r="G13" s="13"/>
      <c r="H13" s="12"/>
      <c r="I13" s="12"/>
      <c r="J13" s="12" t="s">
        <v>160</v>
      </c>
      <c r="K13" s="12" t="s">
        <v>163</v>
      </c>
    </row>
    <row r="14" spans="1:11" ht="28.5" customHeight="1" x14ac:dyDescent="0.25">
      <c r="A14" s="53"/>
      <c r="B14" s="20" t="s">
        <v>25</v>
      </c>
      <c r="C14" s="20" t="s">
        <v>30</v>
      </c>
      <c r="D14" s="12">
        <v>5</v>
      </c>
      <c r="E14" s="1">
        <f>D14+E13</f>
        <v>11</v>
      </c>
      <c r="F14" s="19"/>
      <c r="G14" s="13"/>
      <c r="H14" s="12"/>
      <c r="I14" s="12"/>
      <c r="J14" s="12" t="s">
        <v>162</v>
      </c>
      <c r="K14" s="12" t="s">
        <v>164</v>
      </c>
    </row>
    <row r="15" spans="1:11" ht="28.5" customHeight="1" x14ac:dyDescent="0.25">
      <c r="A15" s="54"/>
      <c r="B15" s="20" t="s">
        <v>47</v>
      </c>
      <c r="C15" s="20" t="s">
        <v>47</v>
      </c>
      <c r="D15" s="12">
        <v>5</v>
      </c>
      <c r="E15" s="1">
        <f>D15+E14</f>
        <v>16</v>
      </c>
      <c r="F15" s="19"/>
      <c r="G15" s="13"/>
      <c r="H15" s="12"/>
      <c r="I15" s="12"/>
      <c r="J15" s="14"/>
      <c r="K15" s="12"/>
    </row>
    <row r="16" spans="1:11" ht="28.5" customHeight="1" x14ac:dyDescent="0.25">
      <c r="A16" s="18"/>
      <c r="B16" s="21" t="s">
        <v>70</v>
      </c>
      <c r="C16" s="15"/>
      <c r="D16" s="15">
        <f>SUM(D13:D15)</f>
        <v>16</v>
      </c>
      <c r="E16" s="15"/>
      <c r="F16" s="15">
        <v>2</v>
      </c>
      <c r="G16" s="15">
        <v>2</v>
      </c>
      <c r="H16" s="15">
        <v>3</v>
      </c>
      <c r="I16" s="15">
        <v>3</v>
      </c>
      <c r="J16" s="15"/>
      <c r="K16" s="12"/>
    </row>
    <row r="17" spans="1:11" ht="24.9" customHeight="1" x14ac:dyDescent="0.25">
      <c r="A17" s="52">
        <v>3</v>
      </c>
      <c r="B17" s="20" t="s">
        <v>44</v>
      </c>
      <c r="C17" s="20" t="s">
        <v>44</v>
      </c>
      <c r="D17" s="12">
        <v>5</v>
      </c>
      <c r="E17" s="1">
        <f>D17</f>
        <v>5</v>
      </c>
      <c r="F17" s="12"/>
      <c r="G17" s="12"/>
      <c r="H17" s="12"/>
      <c r="I17" s="12"/>
      <c r="J17" s="12" t="s">
        <v>165</v>
      </c>
      <c r="K17" s="12" t="s">
        <v>167</v>
      </c>
    </row>
    <row r="18" spans="1:11" ht="24.9" customHeight="1" x14ac:dyDescent="0.25">
      <c r="A18" s="53"/>
      <c r="B18" s="20" t="s">
        <v>27</v>
      </c>
      <c r="C18" s="20" t="s">
        <v>35</v>
      </c>
      <c r="D18" s="12">
        <v>1</v>
      </c>
      <c r="E18" s="1">
        <f>D18+E17</f>
        <v>6</v>
      </c>
      <c r="F18" s="12"/>
      <c r="G18" s="12"/>
      <c r="H18" s="12"/>
      <c r="I18" s="12"/>
      <c r="J18" s="12" t="s">
        <v>166</v>
      </c>
      <c r="K18" s="12" t="s">
        <v>159</v>
      </c>
    </row>
    <row r="19" spans="1:11" ht="24.9" customHeight="1" x14ac:dyDescent="0.25">
      <c r="A19" s="53"/>
      <c r="B19" s="20" t="s">
        <v>27</v>
      </c>
      <c r="C19" s="20" t="s">
        <v>27</v>
      </c>
      <c r="D19" s="12">
        <v>5</v>
      </c>
      <c r="E19" s="1">
        <f t="shared" ref="E19:E21" si="1">D19+E18</f>
        <v>11</v>
      </c>
      <c r="F19" s="12"/>
      <c r="G19" s="12"/>
      <c r="H19" s="12"/>
      <c r="I19" s="12"/>
      <c r="J19" s="12"/>
      <c r="K19" s="12"/>
    </row>
    <row r="20" spans="1:11" ht="24.9" customHeight="1" x14ac:dyDescent="0.25">
      <c r="A20" s="53"/>
      <c r="B20" s="20" t="s">
        <v>16</v>
      </c>
      <c r="C20" s="20" t="s">
        <v>24</v>
      </c>
      <c r="D20" s="12">
        <v>5</v>
      </c>
      <c r="E20" s="1">
        <f t="shared" si="1"/>
        <v>16</v>
      </c>
      <c r="F20" s="12"/>
      <c r="G20" s="12"/>
      <c r="H20" s="12"/>
      <c r="I20" s="12"/>
      <c r="J20" s="12"/>
      <c r="K20" s="12"/>
    </row>
    <row r="21" spans="1:11" ht="27" customHeight="1" x14ac:dyDescent="0.25">
      <c r="A21" s="54"/>
      <c r="B21" s="20" t="s">
        <v>16</v>
      </c>
      <c r="C21" s="20" t="s">
        <v>16</v>
      </c>
      <c r="D21" s="12">
        <v>9</v>
      </c>
      <c r="E21" s="1">
        <f t="shared" si="1"/>
        <v>25</v>
      </c>
      <c r="F21" s="12"/>
      <c r="G21" s="12"/>
      <c r="H21" s="12"/>
      <c r="I21" s="12"/>
      <c r="J21" s="12"/>
      <c r="K21" s="12"/>
    </row>
    <row r="22" spans="1:11" ht="28.5" customHeight="1" x14ac:dyDescent="0.25">
      <c r="A22" s="18"/>
      <c r="B22" s="21" t="s">
        <v>70</v>
      </c>
      <c r="C22" s="15"/>
      <c r="D22" s="15">
        <f>SUM(D17:D21)</f>
        <v>25</v>
      </c>
      <c r="E22" s="15"/>
      <c r="F22" s="15">
        <v>2</v>
      </c>
      <c r="G22" s="15">
        <v>2</v>
      </c>
      <c r="H22" s="15">
        <v>4</v>
      </c>
      <c r="I22" s="15">
        <v>4</v>
      </c>
      <c r="J22" s="15"/>
      <c r="K22" s="12"/>
    </row>
    <row r="23" spans="1:11" ht="24.9" customHeight="1" x14ac:dyDescent="0.25">
      <c r="A23" s="52">
        <v>4</v>
      </c>
      <c r="B23" s="20" t="s">
        <v>34</v>
      </c>
      <c r="C23" s="20" t="s">
        <v>35</v>
      </c>
      <c r="D23" s="12">
        <v>4</v>
      </c>
      <c r="E23" s="1">
        <f>D23</f>
        <v>4</v>
      </c>
      <c r="F23" s="12"/>
      <c r="G23" s="12"/>
      <c r="H23" s="12"/>
      <c r="I23" s="12"/>
      <c r="J23" s="12" t="s">
        <v>158</v>
      </c>
      <c r="K23" s="12" t="s">
        <v>73</v>
      </c>
    </row>
    <row r="24" spans="1:11" ht="24.9" customHeight="1" x14ac:dyDescent="0.25">
      <c r="A24" s="53"/>
      <c r="B24" s="20" t="s">
        <v>34</v>
      </c>
      <c r="C24" s="20" t="s">
        <v>34</v>
      </c>
      <c r="D24" s="12">
        <v>6</v>
      </c>
      <c r="E24" s="1">
        <f>D24+E23</f>
        <v>10</v>
      </c>
      <c r="F24" s="12"/>
      <c r="G24" s="12"/>
      <c r="H24" s="12"/>
      <c r="I24" s="12"/>
      <c r="J24" s="12" t="s">
        <v>168</v>
      </c>
      <c r="K24" s="12" t="s">
        <v>164</v>
      </c>
    </row>
    <row r="25" spans="1:11" ht="24.9" customHeight="1" x14ac:dyDescent="0.25">
      <c r="A25" s="53"/>
      <c r="B25" s="20" t="s">
        <v>34</v>
      </c>
      <c r="C25" s="20" t="s">
        <v>48</v>
      </c>
      <c r="D25" s="12">
        <v>0</v>
      </c>
      <c r="E25" s="1">
        <f t="shared" ref="E25:E26" si="2">D25+E24</f>
        <v>10</v>
      </c>
      <c r="F25" s="12"/>
      <c r="G25" s="12"/>
      <c r="H25" s="12"/>
      <c r="I25" s="12"/>
      <c r="J25" s="12"/>
      <c r="K25" s="12"/>
    </row>
    <row r="26" spans="1:11" ht="24.9" customHeight="1" x14ac:dyDescent="0.25">
      <c r="A26" s="54"/>
      <c r="B26" s="20" t="s">
        <v>48</v>
      </c>
      <c r="C26" s="20" t="s">
        <v>48</v>
      </c>
      <c r="D26" s="12">
        <v>4</v>
      </c>
      <c r="E26" s="1">
        <f t="shared" si="2"/>
        <v>14</v>
      </c>
      <c r="F26" s="12"/>
      <c r="G26" s="12"/>
      <c r="H26" s="12"/>
      <c r="I26" s="12"/>
      <c r="J26" s="12"/>
      <c r="K26" s="12"/>
    </row>
    <row r="27" spans="1:11" ht="24.9" customHeight="1" x14ac:dyDescent="0.25">
      <c r="A27" s="18"/>
      <c r="B27" s="21" t="s">
        <v>70</v>
      </c>
      <c r="C27" s="15"/>
      <c r="D27" s="15">
        <f>SUM(D23:D26)</f>
        <v>14</v>
      </c>
      <c r="E27" s="15"/>
      <c r="F27" s="15">
        <v>2</v>
      </c>
      <c r="G27" s="15">
        <v>2</v>
      </c>
      <c r="H27" s="15">
        <v>5</v>
      </c>
      <c r="I27" s="15">
        <v>5</v>
      </c>
      <c r="J27" s="15"/>
      <c r="K27" s="12"/>
    </row>
    <row r="28" spans="1:11" ht="24.9" customHeight="1" x14ac:dyDescent="0.25">
      <c r="A28" s="18"/>
      <c r="B28" s="21" t="s">
        <v>71</v>
      </c>
      <c r="C28" s="15"/>
      <c r="D28" s="15">
        <f>D12+D16+D22+D27</f>
        <v>74</v>
      </c>
      <c r="E28" s="15"/>
      <c r="F28" s="15">
        <v>8</v>
      </c>
      <c r="G28" s="15">
        <v>8</v>
      </c>
      <c r="H28" s="15"/>
      <c r="I28" s="15"/>
      <c r="J28" s="15"/>
      <c r="K28" s="12"/>
    </row>
  </sheetData>
  <mergeCells count="15">
    <mergeCell ref="A7:A11"/>
    <mergeCell ref="A13:A15"/>
    <mergeCell ref="A17:A21"/>
    <mergeCell ref="A23:A26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31496062992125984" right="0.31496062992125984" top="0.35433070866141736" bottom="0.35433070866141736" header="0.31496062992125984" footer="0.31496062992125984"/>
  <pageSetup paperSize="9" scale="7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STRATUM WISE  (CS)</vt:lpstr>
      <vt:lpstr>STRATUM WISE  (SS)</vt:lpstr>
      <vt:lpstr>STRATUM WISE </vt:lpstr>
      <vt:lpstr>WORKING SHEET</vt:lpstr>
      <vt:lpstr>'STRATUM WISE '!Print_Area</vt:lpstr>
      <vt:lpstr>'STRATUM WISE  (CS)'!Print_Area</vt:lpstr>
      <vt:lpstr>'STRATUM WISE  (SS)'!Print_Area</vt:lpstr>
      <vt:lpstr>'WORKING SHEET'!Print_Area</vt:lpstr>
      <vt:lpstr>'STRATUM WISE '!Print_Titles</vt:lpstr>
      <vt:lpstr>'STRATUM WISE  (CS)'!Print_Titles</vt:lpstr>
      <vt:lpstr>'STRATUM WISE  (SS)'!Print_Titles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Tamil Nadu</cp:lastModifiedBy>
  <cp:lastPrinted>2025-06-25T11:22:10Z</cp:lastPrinted>
  <dcterms:created xsi:type="dcterms:W3CDTF">2025-06-18T07:42:26Z</dcterms:created>
  <dcterms:modified xsi:type="dcterms:W3CDTF">2026-10-05T09:53:46Z</dcterms:modified>
</cp:coreProperties>
</file>
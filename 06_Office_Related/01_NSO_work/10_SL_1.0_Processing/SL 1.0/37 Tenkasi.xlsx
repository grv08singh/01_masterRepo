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 (CS)" sheetId="8" r:id="rId1"/>
    <sheet name="STRATUM WISE (SS)" sheetId="7" r:id="rId2"/>
    <sheet name="STRATUM WISE" sheetId="5" r:id="rId3"/>
    <sheet name="WORKING SHEET" sheetId="6" r:id="rId4"/>
  </sheets>
  <definedNames>
    <definedName name="_xlnm._FilterDatabase" localSheetId="2" hidden="1">'STRATUM WISE'!$A$4:$K$49</definedName>
    <definedName name="_xlnm._FilterDatabase" localSheetId="0" hidden="1">'STRATUM WISE (CS)'!$A$4:$H$9</definedName>
    <definedName name="_xlnm._FilterDatabase" localSheetId="1" hidden="1">'STRATUM WISE (SS)'!$A$4:$H$9</definedName>
  </definedNames>
  <calcPr calcId="124519"/>
</workbook>
</file>

<file path=xl/calcChain.xml><?xml version="1.0" encoding="utf-8"?>
<calcChain xmlns="http://schemas.openxmlformats.org/spreadsheetml/2006/main">
  <c r="E17" i="6"/>
  <c r="E18" s="1"/>
  <c r="E19" s="1"/>
  <c r="E20" s="1"/>
  <c r="E22" s="1"/>
  <c r="E23" s="1"/>
  <c r="E24" s="1"/>
  <c r="E25" s="1"/>
  <c r="E7"/>
  <c r="E8" s="1"/>
  <c r="E9" s="1"/>
  <c r="E10" s="1"/>
  <c r="E11" s="1"/>
  <c r="E12" s="1"/>
  <c r="E14" s="1"/>
  <c r="E15" s="1"/>
  <c r="D27"/>
  <c r="D16"/>
</calcChain>
</file>

<file path=xl/sharedStrings.xml><?xml version="1.0" encoding="utf-8"?>
<sst xmlns="http://schemas.openxmlformats.org/spreadsheetml/2006/main" count="402" uniqueCount="127">
  <si>
    <t>TRS_TKCODE</t>
  </si>
  <si>
    <t>TRS_TKNAME</t>
  </si>
  <si>
    <t>TRS_BKCODE</t>
  </si>
  <si>
    <t>TRS_BKNAME</t>
  </si>
  <si>
    <t>VGNAME</t>
  </si>
  <si>
    <t>RV_CODE</t>
  </si>
  <si>
    <t>TENKASI</t>
  </si>
  <si>
    <t>5</t>
  </si>
  <si>
    <t>6</t>
  </si>
  <si>
    <t>KADAYAM</t>
  </si>
  <si>
    <t>21</t>
  </si>
  <si>
    <t>25</t>
  </si>
  <si>
    <t>10</t>
  </si>
  <si>
    <t>3</t>
  </si>
  <si>
    <t>15</t>
  </si>
  <si>
    <t>8</t>
  </si>
  <si>
    <t>13</t>
  </si>
  <si>
    <t>1</t>
  </si>
  <si>
    <t>MELANEELITHANALLUR</t>
  </si>
  <si>
    <t>35</t>
  </si>
  <si>
    <t>SHENCOTTAI</t>
  </si>
  <si>
    <t>9</t>
  </si>
  <si>
    <t>17</t>
  </si>
  <si>
    <t>12</t>
  </si>
  <si>
    <t>11</t>
  </si>
  <si>
    <t>SIVAGIRI</t>
  </si>
  <si>
    <t>VASUDEVANALLUR</t>
  </si>
  <si>
    <t>KEELPAVOOR</t>
  </si>
  <si>
    <t>18</t>
  </si>
  <si>
    <t>VEERAKERALAMPUDUR</t>
  </si>
  <si>
    <t>22</t>
  </si>
  <si>
    <t>THIRUVENGADAM</t>
  </si>
  <si>
    <t>KURUVI KULAM</t>
  </si>
  <si>
    <t>SUBBIAHPURAM</t>
  </si>
  <si>
    <t>14</t>
  </si>
  <si>
    <t>7</t>
  </si>
  <si>
    <t>KADAYANALLUR</t>
  </si>
  <si>
    <t>2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</si>
  <si>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</si>
  <si>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</si>
  <si>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</si>
  <si>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</si>
  <si>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</si>
  <si>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</si>
  <si>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</si>
  <si>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</si>
  <si>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</si>
  <si>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</si>
  <si>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</si>
  <si>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</si>
  <si>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</si>
  <si>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</si>
  <si>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</si>
  <si>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</si>
  <si>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</si>
  <si>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</si>
  <si>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TENKASI (37)</t>
  </si>
  <si>
    <t>ALANKULAM</t>
  </si>
  <si>
    <t>SANKARANKOIL</t>
  </si>
  <si>
    <t>SENKOTTAI</t>
  </si>
  <si>
    <t>KEELPAVALOOR</t>
  </si>
  <si>
    <t>SHENKOTTAI</t>
  </si>
  <si>
    <t>KURUVIKULAM</t>
  </si>
  <si>
    <t>District:</t>
  </si>
  <si>
    <t>Year:2026-27 (Fasli-1436)</t>
  </si>
  <si>
    <t>NAGARAM</t>
  </si>
  <si>
    <t>RAMASAMIYAPURAM</t>
  </si>
  <si>
    <t>KAMPANERIPUDUKUDI PART-2</t>
  </si>
  <si>
    <t>CHOKKAMPATTI</t>
  </si>
  <si>
    <t>KRISHNAPURAM</t>
  </si>
  <si>
    <t>SERNDAMANGALAM</t>
  </si>
  <si>
    <t>23</t>
  </si>
  <si>
    <t>PUNNAIVANAM</t>
  </si>
  <si>
    <t>VELLALANGULAM</t>
  </si>
  <si>
    <t>CHINNAKOVILANGULAM</t>
  </si>
  <si>
    <t>29</t>
  </si>
  <si>
    <t>POIGAI</t>
  </si>
  <si>
    <t>VADIKOTTAI</t>
  </si>
  <si>
    <t>VEERIRUPPU</t>
  </si>
  <si>
    <t>16</t>
  </si>
  <si>
    <t>KUVALAIKANNI</t>
  </si>
  <si>
    <t>MARUTHAMPUTHUR PART-2</t>
  </si>
  <si>
    <t>27</t>
  </si>
  <si>
    <t>THUPPAKUDI</t>
  </si>
  <si>
    <t>KAZHUNEERKULAM</t>
  </si>
  <si>
    <t>KEELAPAVOOR PART-1</t>
  </si>
  <si>
    <t>KAVALAKURICHI</t>
  </si>
  <si>
    <t>NARANAPURAM</t>
  </si>
  <si>
    <t>MARUTHANKINAR</t>
  </si>
  <si>
    <t>4</t>
  </si>
  <si>
    <t>NADUVAPATTI</t>
  </si>
  <si>
    <t>KARISATHAN</t>
  </si>
  <si>
    <t>A.KARISALGULAM</t>
  </si>
  <si>
    <t>SAYAMALAI PART-II</t>
  </si>
  <si>
    <t>36</t>
  </si>
  <si>
    <t>KURUNJAKULAM</t>
  </si>
  <si>
    <t>RAMALINGAPURAM</t>
  </si>
  <si>
    <t>NALUVASANKOTTAI</t>
  </si>
  <si>
    <t>SIVAGURUNATHAPURAM</t>
  </si>
  <si>
    <t>VEERANAM</t>
  </si>
  <si>
    <t>KEELAKALANGAL</t>
  </si>
  <si>
    <t>NAVANEETHAKRISHNAPURAM</t>
  </si>
  <si>
    <t>MELAPAVOOR</t>
  </si>
  <si>
    <t>SUNDARAPANDIAPURAM</t>
  </si>
  <si>
    <t>PULIYUR</t>
  </si>
  <si>
    <t>MELAGARAM</t>
  </si>
  <si>
    <t>SIVAKIRI PART-II</t>
  </si>
  <si>
    <t>RAYAGIRI PART-I</t>
  </si>
  <si>
    <t>RAYAGIRI PART-II</t>
  </si>
  <si>
    <t>RAMANATHAPURAM</t>
  </si>
  <si>
    <t>SENGOTTAIKEELUR</t>
  </si>
  <si>
    <t>NEDUVAYAL</t>
  </si>
  <si>
    <t>PANPOZHI</t>
  </si>
  <si>
    <t>VALLAM</t>
  </si>
  <si>
    <t>02(1)</t>
  </si>
  <si>
    <t>10(1)</t>
  </si>
  <si>
    <t>16(2)</t>
  </si>
  <si>
    <t>08(1)</t>
  </si>
  <si>
    <t>13(2)</t>
  </si>
  <si>
    <t>04(3)</t>
  </si>
  <si>
    <t>15(1)</t>
  </si>
  <si>
    <t>09(2)</t>
  </si>
  <si>
    <t>10(3)</t>
  </si>
  <si>
    <t>06(2)</t>
  </si>
  <si>
    <t>Oder of selection</t>
  </si>
  <si>
    <t xml:space="preserve">Sample : Central </t>
  </si>
  <si>
    <t>Sample : State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</si>
</sst>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20"/>
      <color theme="1"/>
      <name val="Arial"/>
      <family val="2"/>
    </font>
    <font>
      <b/>
      <sz val="12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2"/>
      <color indexed="8"/>
      <name val="Bookman Old Style"/>
      <family val="1"/>
    </font>
    <font>
      <sz val="11"/>
      <color indexed="8"/>
      <name val="Bookman Old Style"/>
      <family val="1"/>
    </font>
    <font>
      <b/>
      <sz val="11"/>
      <color indexed="8"/>
      <name val="Bookman Old Style"/>
      <family val="1"/>
    </font>
    <font>
      <b/>
      <sz val="20"/>
      <color theme="1"/>
      <name val="Bookman Old Style"/>
      <family val="1"/>
    </font>
    <font>
      <b/>
      <sz val="11"/>
      <color theme="1"/>
      <name val="Arial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68">
    <xf numFmtId="0" fontId="0" fillId="0" borderId="0" xfId="0"/>
    <xf numFmtId="0" fontId="5" fillId="0" borderId="0" xfId="2" applyFont="1" applyBorder="1" applyAlignment="1">
      <alignment vertical="center"/>
    </xf>
    <xf numFmtId="0" fontId="5" fillId="2" borderId="0" xfId="2" applyFont="1" applyFill="1" applyBorder="1" applyAlignment="1">
      <alignment vertical="center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/>
    </xf>
    <xf numFmtId="0" fontId="7" fillId="0" borderId="0" xfId="4" applyFont="1" applyAlignment="1">
      <alignment horizontal="center" vertical="center"/>
    </xf>
    <xf numFmtId="0" fontId="8" fillId="0" borderId="0" xfId="4" applyFont="1" applyAlignment="1">
      <alignment vertical="center"/>
    </xf>
    <xf numFmtId="0" fontId="8" fillId="0" borderId="0" xfId="4" applyFont="1"/>
    <xf numFmtId="0" fontId="9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4"/>
    <xf numFmtId="0" fontId="10" fillId="0" borderId="0" xfId="4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4" applyFont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12" fillId="0" borderId="1" xfId="4" applyFont="1" applyBorder="1" applyAlignment="1">
      <alignment horizontal="center" vertical="center" wrapText="1"/>
    </xf>
    <xf numFmtId="0" fontId="14" fillId="0" borderId="1" xfId="1" applyFont="1" applyFill="1" applyBorder="1" applyAlignment="1">
      <alignment wrapText="1"/>
    </xf>
    <xf numFmtId="0" fontId="14" fillId="0" borderId="1" xfId="1" applyFont="1" applyFill="1" applyBorder="1" applyAlignment="1">
      <alignment horizontal="center" wrapText="1"/>
    </xf>
    <xf numFmtId="0" fontId="2" fillId="0" borderId="1" xfId="4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0" fontId="2" fillId="0" borderId="1" xfId="4" quotePrefix="1" applyFont="1" applyBorder="1" applyAlignment="1">
      <alignment horizontal="center" vertical="center"/>
    </xf>
    <xf numFmtId="0" fontId="13" fillId="0" borderId="1" xfId="1" applyFont="1" applyFill="1" applyBorder="1" applyAlignment="1">
      <alignment vertical="center" wrapText="1"/>
    </xf>
    <xf numFmtId="0" fontId="15" fillId="0" borderId="1" xfId="1" applyFont="1" applyFill="1" applyBorder="1" applyAlignment="1">
      <alignment horizontal="center" vertical="center" wrapText="1"/>
    </xf>
    <xf numFmtId="0" fontId="16" fillId="0" borderId="1" xfId="4" applyFont="1" applyBorder="1" applyAlignment="1">
      <alignment horizontal="center" vertical="center"/>
    </xf>
    <xf numFmtId="0" fontId="14" fillId="0" borderId="1" xfId="1" applyFont="1" applyFill="1" applyBorder="1" applyAlignment="1">
      <alignment horizontal="left" wrapText="1"/>
    </xf>
    <xf numFmtId="0" fontId="2" fillId="0" borderId="1" xfId="4" applyFont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6" fillId="0" borderId="1" xfId="1" applyFont="1" applyBorder="1" applyAlignment="1">
      <alignment wrapText="1"/>
    </xf>
    <xf numFmtId="0" fontId="6" fillId="0" borderId="1" xfId="1" applyFont="1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2" fillId="0" borderId="0" xfId="4" applyFont="1" applyAlignment="1">
      <alignment horizontal="left" vertical="center"/>
    </xf>
    <xf numFmtId="0" fontId="12" fillId="0" borderId="0" xfId="4" applyFont="1" applyAlignment="1">
      <alignment horizontal="center" vertical="center"/>
    </xf>
    <xf numFmtId="0" fontId="12" fillId="0" borderId="0" xfId="4" applyFont="1" applyAlignment="1">
      <alignment vertical="center"/>
    </xf>
    <xf numFmtId="0" fontId="17" fillId="0" borderId="0" xfId="4" applyFont="1" applyAlignment="1">
      <alignment horizontal="left" vertical="center"/>
    </xf>
    <xf numFmtId="0" fontId="5" fillId="0" borderId="1" xfId="2" applyFont="1" applyBorder="1" applyAlignment="1">
      <alignment vertical="center"/>
    </xf>
    <xf numFmtId="0" fontId="5" fillId="2" borderId="1" xfId="2" applyFont="1" applyFill="1" applyBorder="1" applyAlignment="1">
      <alignment vertical="center"/>
    </xf>
    <xf numFmtId="0" fontId="8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center" vertical="center"/>
    </xf>
    <xf numFmtId="0" fontId="8" fillId="0" borderId="1" xfId="4" applyFont="1" applyBorder="1" applyAlignment="1">
      <alignment horizontal="center" vertical="center"/>
    </xf>
    <xf numFmtId="0" fontId="18" fillId="0" borderId="1" xfId="5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0" fontId="17" fillId="0" borderId="1" xfId="4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7" fillId="0" borderId="5" xfId="4" applyFont="1" applyBorder="1" applyAlignment="1">
      <alignment horizontal="left" vertical="center"/>
    </xf>
    <xf numFmtId="0" fontId="17" fillId="0" borderId="6" xfId="4" applyFont="1" applyBorder="1" applyAlignment="1">
      <alignment horizontal="left" vertical="center"/>
    </xf>
    <xf numFmtId="0" fontId="17" fillId="0" borderId="7" xfId="4" applyFont="1" applyBorder="1" applyAlignment="1">
      <alignment horizontal="left" vertical="center"/>
    </xf>
    <xf numFmtId="0" fontId="12" fillId="0" borderId="0" xfId="4" applyFont="1" applyAlignment="1">
      <alignment horizontal="center" vertical="center"/>
    </xf>
    <xf numFmtId="0" fontId="13" fillId="0" borderId="2" xfId="1" applyFont="1" applyFill="1" applyBorder="1" applyAlignment="1">
      <alignment horizontal="center" vertical="center" wrapText="1"/>
    </xf>
    <xf numFmtId="0" fontId="13" fillId="0" borderId="4" xfId="1" applyFont="1" applyFill="1" applyBorder="1" applyAlignment="1">
      <alignment horizontal="center" vertical="center" wrapText="1"/>
    </xf>
    <xf numFmtId="0" fontId="13" fillId="0" borderId="3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left" vertical="center" wrapText="1"/>
    </xf>
    <xf numFmtId="0" fontId="14" fillId="0" borderId="4" xfId="1" applyFont="1" applyFill="1" applyBorder="1" applyAlignment="1">
      <alignment horizontal="left" vertical="center" wrapText="1"/>
    </xf>
    <xf numFmtId="0" fontId="14" fillId="0" borderId="3" xfId="1" applyFont="1" applyFill="1" applyBorder="1" applyAlignment="1">
      <alignment horizontal="left" vertical="center" wrapText="1"/>
    </xf>
    <xf numFmtId="0" fontId="14" fillId="0" borderId="1" xfId="1" applyFont="1" applyFill="1" applyBorder="1" applyAlignment="1">
      <alignment horizontal="left" vertical="center" wrapText="1"/>
    </xf>
    <xf numFmtId="0" fontId="12" fillId="0" borderId="1" xfId="4" applyFont="1" applyBorder="1" applyAlignment="1">
      <alignment horizontal="center" vertical="center" wrapText="1"/>
    </xf>
    <xf numFmtId="0" fontId="12" fillId="0" borderId="0" xfId="4" applyFont="1" applyAlignment="1">
      <alignment horizontal="left" vertical="center"/>
    </xf>
    <xf numFmtId="0" fontId="11" fillId="0" borderId="1" xfId="4" applyFont="1" applyBorder="1" applyAlignment="1">
      <alignment horizontal="center" vertical="center" textRotation="90" wrapText="1"/>
    </xf>
    <xf numFmtId="0" fontId="12" fillId="0" borderId="1" xfId="4" applyFont="1" applyBorder="1" applyAlignment="1">
      <alignment horizontal="left" vertical="center" wrapText="1"/>
    </xf>
    <xf numFmtId="0" fontId="12" fillId="0" borderId="2" xfId="4" applyFont="1" applyBorder="1" applyAlignment="1">
      <alignment horizontal="center" vertical="center" wrapText="1"/>
    </xf>
    <xf numFmtId="0" fontId="12" fillId="0" borderId="3" xfId="4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8" fillId="0" borderId="1" xfId="5" applyFont="1" applyFill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selection activeCell="F14" sqref="F14"/>
    </sheetView>
  </sheetViews>
  <sheetFormatPr defaultRowHeight="15"/>
  <cols>
    <col min="1" max="1" width="9.85546875" bestFit="1" customWidth="1"/>
    <col min="2" max="2" width="28.42578125" customWidth="1"/>
    <col min="3" max="3" width="29" customWidth="1"/>
    <col min="4" max="4" width="28.7109375" customWidth="1"/>
    <col min="5" max="5" width="12.5703125" customWidth="1"/>
    <col min="6" max="6" width="10.28515625" style="10" customWidth="1"/>
  </cols>
  <sheetData>
    <row r="1" spans="1:8" ht="30" customHeight="1">
      <c r="A1" s="46" t="s">
        <v>42</v>
      </c>
      <c r="B1" s="46"/>
      <c r="C1" s="46"/>
      <c r="D1" s="46"/>
      <c r="E1" s="46"/>
      <c r="F1" s="46"/>
      <c r="G1" s="34"/>
      <c r="H1" s="34"/>
    </row>
    <row r="2" spans="1:8" s="5" customFormat="1" ht="30" customHeight="1">
      <c r="A2" s="36" t="s">
        <v>63</v>
      </c>
      <c r="B2" s="37" t="s">
        <v>56</v>
      </c>
      <c r="C2" s="38"/>
      <c r="D2" s="47" t="s">
        <v>125</v>
      </c>
      <c r="E2" s="47"/>
      <c r="F2" s="47"/>
    </row>
    <row r="3" spans="1:8" s="8" customFormat="1" ht="30" customHeight="1">
      <c r="A3" s="39"/>
      <c r="B3" s="40"/>
      <c r="C3" s="40"/>
      <c r="D3" s="47" t="s">
        <v>64</v>
      </c>
      <c r="E3" s="47"/>
      <c r="F3" s="47"/>
    </row>
    <row r="4" spans="1:8" ht="30" customHeight="1">
      <c r="A4" s="9" t="s">
        <v>39</v>
      </c>
      <c r="B4" s="9" t="s">
        <v>1</v>
      </c>
      <c r="C4" s="9" t="s">
        <v>3</v>
      </c>
      <c r="D4" s="9" t="s">
        <v>4</v>
      </c>
      <c r="E4" s="9" t="s">
        <v>5</v>
      </c>
      <c r="F4" s="41" t="s">
        <v>124</v>
      </c>
    </row>
    <row r="5" spans="1:8" ht="30" customHeight="1">
      <c r="A5" s="48">
        <v>1</v>
      </c>
      <c r="B5" s="28" t="s">
        <v>36</v>
      </c>
      <c r="C5" s="28" t="s">
        <v>26</v>
      </c>
      <c r="D5" s="28" t="s">
        <v>66</v>
      </c>
      <c r="E5" s="28" t="s">
        <v>21</v>
      </c>
      <c r="F5" s="42">
        <v>1</v>
      </c>
    </row>
    <row r="6" spans="1:8" ht="30" customHeight="1">
      <c r="A6" s="48"/>
      <c r="B6" s="28" t="s">
        <v>36</v>
      </c>
      <c r="C6" s="28" t="s">
        <v>18</v>
      </c>
      <c r="D6" s="28" t="s">
        <v>70</v>
      </c>
      <c r="E6" s="28" t="s">
        <v>71</v>
      </c>
      <c r="F6" s="42">
        <v>2</v>
      </c>
    </row>
    <row r="7" spans="1:8" ht="30" customHeight="1">
      <c r="A7" s="43">
        <v>2</v>
      </c>
      <c r="B7" s="28" t="s">
        <v>31</v>
      </c>
      <c r="C7" s="28" t="s">
        <v>32</v>
      </c>
      <c r="D7" s="28" t="s">
        <v>97</v>
      </c>
      <c r="E7" s="28" t="s">
        <v>82</v>
      </c>
      <c r="F7" s="42">
        <v>1</v>
      </c>
    </row>
    <row r="8" spans="1:8" ht="30" customHeight="1">
      <c r="A8" s="44"/>
      <c r="B8" s="28" t="s">
        <v>6</v>
      </c>
      <c r="C8" s="28" t="s">
        <v>27</v>
      </c>
      <c r="D8" s="28" t="s">
        <v>102</v>
      </c>
      <c r="E8" s="28" t="s">
        <v>79</v>
      </c>
      <c r="F8" s="42">
        <v>2</v>
      </c>
    </row>
    <row r="9" spans="1:8" ht="30" customHeight="1">
      <c r="A9" s="45"/>
      <c r="B9" s="28" t="s">
        <v>31</v>
      </c>
      <c r="C9" s="28" t="s">
        <v>32</v>
      </c>
      <c r="D9" s="28" t="s">
        <v>92</v>
      </c>
      <c r="E9" s="28" t="s">
        <v>14</v>
      </c>
      <c r="F9" s="42">
        <v>3</v>
      </c>
    </row>
    <row r="10" spans="1:8">
      <c r="F10" s="27"/>
    </row>
  </sheetData>
  <mergeCells count="5">
    <mergeCell ref="A7:A9"/>
    <mergeCell ref="A1:F1"/>
    <mergeCell ref="D2:F2"/>
    <mergeCell ref="D3:F3"/>
    <mergeCell ref="A5:A6"/>
  </mergeCells>
  <pageMargins left="0.31496062992125984" right="0.31496062992125984" top="0.35433070866141736" bottom="0.35433070866141736" header="0.31496062992125984" footer="0.31496062992125984"/>
  <pageSetup paperSize="9" scale="8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selection activeCell="E14" sqref="E14"/>
    </sheetView>
  </sheetViews>
  <sheetFormatPr defaultRowHeight="15"/>
  <cols>
    <col min="1" max="1" width="9.85546875" bestFit="1" customWidth="1"/>
    <col min="2" max="2" width="28.42578125" customWidth="1"/>
    <col min="3" max="3" width="29" customWidth="1"/>
    <col min="4" max="4" width="30.7109375" customWidth="1"/>
    <col min="5" max="5" width="12.42578125" customWidth="1"/>
    <col min="6" max="6" width="10.28515625" style="10" customWidth="1"/>
  </cols>
  <sheetData>
    <row r="1" spans="1:8" ht="30" customHeight="1">
      <c r="A1" s="46" t="s">
        <v>42</v>
      </c>
      <c r="B1" s="46"/>
      <c r="C1" s="46"/>
      <c r="D1" s="46"/>
      <c r="E1" s="46"/>
      <c r="F1" s="46"/>
      <c r="G1" s="34"/>
      <c r="H1" s="34"/>
    </row>
    <row r="2" spans="1:8" s="5" customFormat="1" ht="30" customHeight="1">
      <c r="A2" s="36" t="s">
        <v>63</v>
      </c>
      <c r="B2" s="37" t="s">
        <v>56</v>
      </c>
      <c r="C2" s="38"/>
      <c r="D2" s="49" t="s">
        <v>126</v>
      </c>
      <c r="E2" s="50"/>
      <c r="F2" s="51"/>
    </row>
    <row r="3" spans="1:8" s="8" customFormat="1" ht="30" customHeight="1">
      <c r="A3" s="39"/>
      <c r="B3" s="40"/>
      <c r="C3" s="40"/>
      <c r="D3" s="49" t="s">
        <v>64</v>
      </c>
      <c r="E3" s="50"/>
      <c r="F3" s="51"/>
    </row>
    <row r="4" spans="1:8" ht="30" customHeight="1">
      <c r="A4" s="9" t="s">
        <v>39</v>
      </c>
      <c r="B4" s="9" t="s">
        <v>1</v>
      </c>
      <c r="C4" s="9" t="s">
        <v>3</v>
      </c>
      <c r="D4" s="9" t="s">
        <v>4</v>
      </c>
      <c r="E4" s="9" t="s">
        <v>5</v>
      </c>
      <c r="F4" s="41" t="s">
        <v>124</v>
      </c>
    </row>
    <row r="5" spans="1:8" ht="30" customHeight="1">
      <c r="A5" s="48">
        <v>1</v>
      </c>
      <c r="B5" s="28" t="s">
        <v>58</v>
      </c>
      <c r="C5" s="28" t="s">
        <v>58</v>
      </c>
      <c r="D5" s="28" t="s">
        <v>76</v>
      </c>
      <c r="E5" s="28" t="s">
        <v>28</v>
      </c>
      <c r="F5" s="42">
        <v>3</v>
      </c>
    </row>
    <row r="6" spans="1:8" ht="30" customHeight="1">
      <c r="A6" s="48"/>
      <c r="B6" s="28" t="s">
        <v>57</v>
      </c>
      <c r="C6" s="28" t="s">
        <v>27</v>
      </c>
      <c r="D6" s="28" t="s">
        <v>84</v>
      </c>
      <c r="E6" s="28" t="s">
        <v>37</v>
      </c>
      <c r="F6" s="42">
        <v>4</v>
      </c>
    </row>
    <row r="7" spans="1:8" ht="30" customHeight="1">
      <c r="A7" s="48">
        <v>2</v>
      </c>
      <c r="B7" s="28" t="s">
        <v>6</v>
      </c>
      <c r="C7" s="28" t="s">
        <v>6</v>
      </c>
      <c r="D7" s="28" t="s">
        <v>104</v>
      </c>
      <c r="E7" s="28" t="s">
        <v>23</v>
      </c>
      <c r="F7" s="42">
        <v>4</v>
      </c>
    </row>
    <row r="8" spans="1:8" ht="30" customHeight="1">
      <c r="A8" s="48"/>
      <c r="B8" s="28" t="s">
        <v>29</v>
      </c>
      <c r="C8" s="28" t="s">
        <v>27</v>
      </c>
      <c r="D8" s="28" t="s">
        <v>98</v>
      </c>
      <c r="E8" s="28" t="s">
        <v>37</v>
      </c>
      <c r="F8" s="42">
        <v>5</v>
      </c>
    </row>
    <row r="9" spans="1:8" ht="30" customHeight="1">
      <c r="A9" s="48"/>
      <c r="B9" s="28" t="s">
        <v>29</v>
      </c>
      <c r="C9" s="28" t="s">
        <v>57</v>
      </c>
      <c r="D9" s="28" t="s">
        <v>99</v>
      </c>
      <c r="E9" s="28" t="s">
        <v>22</v>
      </c>
      <c r="F9" s="42">
        <v>6</v>
      </c>
    </row>
    <row r="10" spans="1:8">
      <c r="F10" s="27"/>
    </row>
  </sheetData>
  <mergeCells count="5">
    <mergeCell ref="A1:F1"/>
    <mergeCell ref="A5:A6"/>
    <mergeCell ref="A7:A9"/>
    <mergeCell ref="D2:F2"/>
    <mergeCell ref="D3:F3"/>
  </mergeCells>
  <pageMargins left="0.31496062992125984" right="0.31496062992125984" top="0.35433070866141736" bottom="0.35433070866141736" header="0.31496062992125984" footer="0.31496062992125984"/>
  <pageSetup paperSize="9" scale="8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0"/>
  <sheetViews>
    <sheetView workbookViewId="0">
      <selection activeCell="F17" sqref="F17"/>
    </sheetView>
  </sheetViews>
  <sheetFormatPr defaultRowHeight="15"/>
  <cols>
    <col min="1" max="1" width="9.85546875" bestFit="1" customWidth="1"/>
    <col min="2" max="2" width="13.5703125" bestFit="1" customWidth="1"/>
    <col min="3" max="3" width="28.42578125" customWidth="1"/>
    <col min="4" max="4" width="13.5703125" bestFit="1" customWidth="1"/>
    <col min="5" max="5" width="29" customWidth="1"/>
    <col min="6" max="6" width="35.85546875" customWidth="1"/>
    <col min="7" max="7" width="9.5703125" customWidth="1"/>
    <col min="8" max="8" width="10.7109375" style="10" customWidth="1"/>
    <col min="9" max="9" width="10.28515625" style="10" customWidth="1"/>
  </cols>
  <sheetData>
    <row r="1" spans="1:11">
      <c r="A1" s="52" t="s">
        <v>42</v>
      </c>
      <c r="B1" s="52"/>
      <c r="C1" s="52"/>
      <c r="D1" s="52"/>
      <c r="E1" s="52"/>
      <c r="F1" s="52"/>
      <c r="G1" s="52"/>
      <c r="H1" s="52"/>
      <c r="I1" s="52"/>
      <c r="J1" s="34"/>
      <c r="K1" s="34"/>
    </row>
    <row r="2" spans="1:11" s="5" customFormat="1" ht="24.95" customHeight="1">
      <c r="A2" s="1" t="s">
        <v>63</v>
      </c>
      <c r="B2" s="2" t="s">
        <v>56</v>
      </c>
      <c r="C2" s="4"/>
      <c r="D2" s="3"/>
      <c r="E2" s="3"/>
      <c r="F2" s="35" t="s">
        <v>38</v>
      </c>
      <c r="G2" s="3"/>
      <c r="H2" s="3"/>
      <c r="I2" s="3"/>
    </row>
    <row r="3" spans="1:11" s="8" customFormat="1" ht="24.95" customHeight="1">
      <c r="A3" s="6"/>
      <c r="B3" s="4"/>
      <c r="C3" s="4"/>
      <c r="D3" s="4"/>
      <c r="E3" s="4"/>
      <c r="F3" s="35" t="s">
        <v>64</v>
      </c>
      <c r="G3" s="4"/>
      <c r="H3" s="4"/>
      <c r="I3" s="4"/>
    </row>
    <row r="4" spans="1:11" ht="60">
      <c r="A4" s="66" t="s">
        <v>39</v>
      </c>
      <c r="B4" s="66" t="s">
        <v>0</v>
      </c>
      <c r="C4" s="66" t="s">
        <v>1</v>
      </c>
      <c r="D4" s="66" t="s">
        <v>2</v>
      </c>
      <c r="E4" s="66" t="s">
        <v>3</v>
      </c>
      <c r="F4" s="66" t="s">
        <v>4</v>
      </c>
      <c r="G4" s="66" t="s">
        <v>5</v>
      </c>
      <c r="H4" s="67" t="s">
        <v>40</v>
      </c>
      <c r="I4" s="67" t="s">
        <v>41</v>
      </c>
    </row>
    <row r="5" spans="1:11">
      <c r="A5" s="48">
        <v>1</v>
      </c>
      <c r="B5" s="28" t="s">
        <v>34</v>
      </c>
      <c r="C5" s="28" t="s">
        <v>36</v>
      </c>
      <c r="D5" s="28" t="s">
        <v>24</v>
      </c>
      <c r="E5" s="28" t="s">
        <v>26</v>
      </c>
      <c r="F5" s="28" t="s">
        <v>65</v>
      </c>
      <c r="G5" s="28" t="s">
        <v>35</v>
      </c>
      <c r="H5" s="13">
        <v>1</v>
      </c>
      <c r="I5" s="13">
        <v>1</v>
      </c>
    </row>
    <row r="6" spans="1:11">
      <c r="A6" s="48"/>
      <c r="B6" s="28" t="s">
        <v>34</v>
      </c>
      <c r="C6" s="28" t="s">
        <v>36</v>
      </c>
      <c r="D6" s="28" t="s">
        <v>24</v>
      </c>
      <c r="E6" s="28" t="s">
        <v>26</v>
      </c>
      <c r="F6" s="28" t="s">
        <v>66</v>
      </c>
      <c r="G6" s="28" t="s">
        <v>21</v>
      </c>
      <c r="H6" s="13">
        <v>2</v>
      </c>
      <c r="I6" s="30">
        <v>2</v>
      </c>
    </row>
    <row r="7" spans="1:11">
      <c r="A7" s="48"/>
      <c r="B7" s="28" t="s">
        <v>34</v>
      </c>
      <c r="C7" s="28" t="s">
        <v>36</v>
      </c>
      <c r="D7" s="28" t="s">
        <v>35</v>
      </c>
      <c r="E7" s="28" t="s">
        <v>36</v>
      </c>
      <c r="F7" s="28" t="s">
        <v>67</v>
      </c>
      <c r="G7" s="28" t="s">
        <v>10</v>
      </c>
      <c r="H7" s="13">
        <v>1</v>
      </c>
      <c r="I7" s="13">
        <v>3</v>
      </c>
    </row>
    <row r="8" spans="1:11">
      <c r="A8" s="48"/>
      <c r="B8" s="28" t="s">
        <v>34</v>
      </c>
      <c r="C8" s="28" t="s">
        <v>36</v>
      </c>
      <c r="D8" s="28" t="s">
        <v>35</v>
      </c>
      <c r="E8" s="28" t="s">
        <v>36</v>
      </c>
      <c r="F8" s="28" t="s">
        <v>68</v>
      </c>
      <c r="G8" s="28" t="s">
        <v>34</v>
      </c>
      <c r="H8" s="13">
        <v>2</v>
      </c>
      <c r="I8" s="13">
        <v>4</v>
      </c>
    </row>
    <row r="9" spans="1:11">
      <c r="A9" s="48"/>
      <c r="B9" s="28" t="s">
        <v>34</v>
      </c>
      <c r="C9" s="28" t="s">
        <v>36</v>
      </c>
      <c r="D9" s="28" t="s">
        <v>35</v>
      </c>
      <c r="E9" s="28" t="s">
        <v>36</v>
      </c>
      <c r="F9" s="28" t="s">
        <v>69</v>
      </c>
      <c r="G9" s="28" t="s">
        <v>14</v>
      </c>
      <c r="H9" s="13">
        <v>3</v>
      </c>
      <c r="I9" s="13">
        <v>5</v>
      </c>
    </row>
    <row r="10" spans="1:11">
      <c r="A10" s="48"/>
      <c r="B10" s="28" t="s">
        <v>34</v>
      </c>
      <c r="C10" s="28" t="s">
        <v>36</v>
      </c>
      <c r="D10" s="28" t="s">
        <v>7</v>
      </c>
      <c r="E10" s="28" t="s">
        <v>18</v>
      </c>
      <c r="F10" s="28" t="s">
        <v>70</v>
      </c>
      <c r="G10" s="28" t="s">
        <v>71</v>
      </c>
      <c r="H10" s="13">
        <v>1</v>
      </c>
      <c r="I10" s="30">
        <v>6</v>
      </c>
    </row>
    <row r="11" spans="1:11">
      <c r="A11" s="48"/>
      <c r="B11" s="28" t="s">
        <v>34</v>
      </c>
      <c r="C11" s="28" t="s">
        <v>36</v>
      </c>
      <c r="D11" s="28" t="s">
        <v>13</v>
      </c>
      <c r="E11" s="28" t="s">
        <v>58</v>
      </c>
      <c r="F11" s="28" t="s">
        <v>72</v>
      </c>
      <c r="G11" s="28" t="s">
        <v>12</v>
      </c>
      <c r="H11" s="13">
        <v>1</v>
      </c>
      <c r="I11" s="13">
        <v>7</v>
      </c>
    </row>
    <row r="12" spans="1:11">
      <c r="A12" s="48"/>
      <c r="B12" s="28" t="s">
        <v>8</v>
      </c>
      <c r="C12" s="28" t="s">
        <v>58</v>
      </c>
      <c r="D12" s="28" t="s">
        <v>7</v>
      </c>
      <c r="E12" s="28" t="s">
        <v>18</v>
      </c>
      <c r="F12" s="28" t="s">
        <v>73</v>
      </c>
      <c r="G12" s="28" t="s">
        <v>71</v>
      </c>
      <c r="H12" s="13">
        <v>1</v>
      </c>
      <c r="I12" s="13">
        <v>8</v>
      </c>
    </row>
    <row r="13" spans="1:11">
      <c r="A13" s="48"/>
      <c r="B13" s="28" t="s">
        <v>8</v>
      </c>
      <c r="C13" s="28" t="s">
        <v>58</v>
      </c>
      <c r="D13" s="28" t="s">
        <v>7</v>
      </c>
      <c r="E13" s="28" t="s">
        <v>18</v>
      </c>
      <c r="F13" s="28" t="s">
        <v>74</v>
      </c>
      <c r="G13" s="28" t="s">
        <v>75</v>
      </c>
      <c r="H13" s="13">
        <v>2</v>
      </c>
      <c r="I13" s="13">
        <v>9</v>
      </c>
    </row>
    <row r="14" spans="1:11">
      <c r="A14" s="48"/>
      <c r="B14" s="28" t="s">
        <v>8</v>
      </c>
      <c r="C14" s="28" t="s">
        <v>58</v>
      </c>
      <c r="D14" s="28" t="s">
        <v>13</v>
      </c>
      <c r="E14" s="28" t="s">
        <v>58</v>
      </c>
      <c r="F14" s="28" t="s">
        <v>76</v>
      </c>
      <c r="G14" s="28" t="s">
        <v>28</v>
      </c>
      <c r="H14" s="13">
        <v>1</v>
      </c>
      <c r="I14" s="31">
        <v>10</v>
      </c>
    </row>
    <row r="15" spans="1:11">
      <c r="A15" s="48"/>
      <c r="B15" s="28" t="s">
        <v>8</v>
      </c>
      <c r="C15" s="28" t="s">
        <v>58</v>
      </c>
      <c r="D15" s="28" t="s">
        <v>13</v>
      </c>
      <c r="E15" s="28" t="s">
        <v>58</v>
      </c>
      <c r="F15" s="28" t="s">
        <v>77</v>
      </c>
      <c r="G15" s="28" t="s">
        <v>23</v>
      </c>
      <c r="H15" s="13">
        <v>2</v>
      </c>
      <c r="I15" s="13">
        <v>11</v>
      </c>
    </row>
    <row r="16" spans="1:11">
      <c r="A16" s="48"/>
      <c r="B16" s="28" t="s">
        <v>8</v>
      </c>
      <c r="C16" s="28" t="s">
        <v>58</v>
      </c>
      <c r="D16" s="28" t="s">
        <v>13</v>
      </c>
      <c r="E16" s="28" t="s">
        <v>58</v>
      </c>
      <c r="F16" s="28" t="s">
        <v>78</v>
      </c>
      <c r="G16" s="28" t="s">
        <v>79</v>
      </c>
      <c r="H16" s="13">
        <v>3</v>
      </c>
      <c r="I16" s="13">
        <v>12</v>
      </c>
    </row>
    <row r="17" spans="1:9">
      <c r="A17" s="48"/>
      <c r="B17" s="28" t="s">
        <v>8</v>
      </c>
      <c r="C17" s="28" t="s">
        <v>58</v>
      </c>
      <c r="D17" s="28" t="s">
        <v>13</v>
      </c>
      <c r="E17" s="28" t="s">
        <v>58</v>
      </c>
      <c r="F17" s="28" t="s">
        <v>80</v>
      </c>
      <c r="G17" s="28" t="s">
        <v>21</v>
      </c>
      <c r="H17" s="13">
        <v>4</v>
      </c>
      <c r="I17" s="13">
        <v>13</v>
      </c>
    </row>
    <row r="18" spans="1:9">
      <c r="A18" s="48"/>
      <c r="B18" s="28" t="s">
        <v>17</v>
      </c>
      <c r="C18" s="28" t="s">
        <v>57</v>
      </c>
      <c r="D18" s="28" t="s">
        <v>16</v>
      </c>
      <c r="E18" s="28" t="s">
        <v>9</v>
      </c>
      <c r="F18" s="28" t="s">
        <v>83</v>
      </c>
      <c r="G18" s="28" t="s">
        <v>30</v>
      </c>
      <c r="H18" s="13">
        <v>1</v>
      </c>
      <c r="I18" s="13">
        <v>15</v>
      </c>
    </row>
    <row r="19" spans="1:9">
      <c r="A19" s="48"/>
      <c r="B19" s="28" t="s">
        <v>17</v>
      </c>
      <c r="C19" s="28" t="s">
        <v>57</v>
      </c>
      <c r="D19" s="28" t="s">
        <v>21</v>
      </c>
      <c r="E19" s="28" t="s">
        <v>27</v>
      </c>
      <c r="F19" s="28" t="s">
        <v>84</v>
      </c>
      <c r="G19" s="28" t="s">
        <v>37</v>
      </c>
      <c r="H19" s="13">
        <v>1</v>
      </c>
      <c r="I19" s="31">
        <v>16</v>
      </c>
    </row>
    <row r="20" spans="1:9">
      <c r="A20" s="48"/>
      <c r="B20" s="28" t="s">
        <v>17</v>
      </c>
      <c r="C20" s="28" t="s">
        <v>57</v>
      </c>
      <c r="D20" s="28" t="s">
        <v>21</v>
      </c>
      <c r="E20" s="28" t="s">
        <v>27</v>
      </c>
      <c r="F20" s="28" t="s">
        <v>85</v>
      </c>
      <c r="G20" s="28" t="s">
        <v>17</v>
      </c>
      <c r="H20" s="13">
        <v>2</v>
      </c>
      <c r="I20" s="13">
        <v>17</v>
      </c>
    </row>
    <row r="21" spans="1:9">
      <c r="A21" s="48"/>
      <c r="B21" s="28" t="s">
        <v>17</v>
      </c>
      <c r="C21" s="28" t="s">
        <v>57</v>
      </c>
      <c r="D21" s="28" t="s">
        <v>15</v>
      </c>
      <c r="E21" s="28" t="s">
        <v>57</v>
      </c>
      <c r="F21" s="28" t="s">
        <v>86</v>
      </c>
      <c r="G21" s="28" t="s">
        <v>35</v>
      </c>
      <c r="H21" s="13">
        <v>1</v>
      </c>
      <c r="I21" s="13">
        <v>18</v>
      </c>
    </row>
    <row r="22" spans="1:9">
      <c r="A22" s="48"/>
      <c r="B22" s="28" t="s">
        <v>17</v>
      </c>
      <c r="C22" s="28" t="s">
        <v>57</v>
      </c>
      <c r="D22" s="28" t="s">
        <v>15</v>
      </c>
      <c r="E22" s="28" t="s">
        <v>57</v>
      </c>
      <c r="F22" s="28" t="s">
        <v>33</v>
      </c>
      <c r="G22" s="28" t="s">
        <v>12</v>
      </c>
      <c r="H22" s="13">
        <v>2</v>
      </c>
      <c r="I22" s="13">
        <v>19</v>
      </c>
    </row>
    <row r="23" spans="1:9">
      <c r="A23" s="48"/>
      <c r="B23" s="29">
        <v>1</v>
      </c>
      <c r="C23" s="28" t="s">
        <v>57</v>
      </c>
      <c r="D23" s="29">
        <v>8</v>
      </c>
      <c r="E23" s="28" t="s">
        <v>57</v>
      </c>
      <c r="F23" s="28" t="s">
        <v>81</v>
      </c>
      <c r="G23" s="28" t="s">
        <v>82</v>
      </c>
      <c r="H23" s="13">
        <v>3</v>
      </c>
      <c r="I23" s="13">
        <v>20</v>
      </c>
    </row>
    <row r="24" spans="1:9">
      <c r="A24" s="48"/>
      <c r="B24" s="28" t="s">
        <v>17</v>
      </c>
      <c r="C24" s="28" t="s">
        <v>57</v>
      </c>
      <c r="D24" s="28" t="s">
        <v>15</v>
      </c>
      <c r="E24" s="28" t="s">
        <v>57</v>
      </c>
      <c r="F24" s="28" t="s">
        <v>87</v>
      </c>
      <c r="G24" s="28" t="s">
        <v>23</v>
      </c>
      <c r="H24" s="13">
        <v>4</v>
      </c>
      <c r="I24" s="13">
        <v>21</v>
      </c>
    </row>
    <row r="25" spans="1:9">
      <c r="A25" s="48">
        <v>2</v>
      </c>
      <c r="B25" s="28" t="s">
        <v>16</v>
      </c>
      <c r="C25" s="28" t="s">
        <v>31</v>
      </c>
      <c r="D25" s="28" t="s">
        <v>7</v>
      </c>
      <c r="E25" s="28" t="s">
        <v>18</v>
      </c>
      <c r="F25" s="28" t="s">
        <v>88</v>
      </c>
      <c r="G25" s="28" t="s">
        <v>19</v>
      </c>
      <c r="H25" s="13">
        <v>1</v>
      </c>
      <c r="I25" s="13">
        <v>1</v>
      </c>
    </row>
    <row r="26" spans="1:9">
      <c r="A26" s="48"/>
      <c r="B26" s="28" t="s">
        <v>16</v>
      </c>
      <c r="C26" s="28" t="s">
        <v>31</v>
      </c>
      <c r="D26" s="28" t="s">
        <v>89</v>
      </c>
      <c r="E26" s="28" t="s">
        <v>32</v>
      </c>
      <c r="F26" s="28" t="s">
        <v>90</v>
      </c>
      <c r="G26" s="28" t="s">
        <v>21</v>
      </c>
      <c r="H26" s="13">
        <v>1</v>
      </c>
      <c r="I26" s="13">
        <v>2</v>
      </c>
    </row>
    <row r="27" spans="1:9">
      <c r="A27" s="48"/>
      <c r="B27" s="28" t="s">
        <v>16</v>
      </c>
      <c r="C27" s="28" t="s">
        <v>31</v>
      </c>
      <c r="D27" s="28" t="s">
        <v>89</v>
      </c>
      <c r="E27" s="28" t="s">
        <v>32</v>
      </c>
      <c r="F27" s="28" t="s">
        <v>91</v>
      </c>
      <c r="G27" s="28" t="s">
        <v>37</v>
      </c>
      <c r="H27" s="13">
        <v>2</v>
      </c>
      <c r="I27" s="13">
        <v>3</v>
      </c>
    </row>
    <row r="28" spans="1:9">
      <c r="A28" s="48"/>
      <c r="B28" s="28" t="s">
        <v>16</v>
      </c>
      <c r="C28" s="28" t="s">
        <v>31</v>
      </c>
      <c r="D28" s="28" t="s">
        <v>89</v>
      </c>
      <c r="E28" s="28" t="s">
        <v>32</v>
      </c>
      <c r="F28" s="28" t="s">
        <v>92</v>
      </c>
      <c r="G28" s="28" t="s">
        <v>14</v>
      </c>
      <c r="H28" s="13">
        <v>3</v>
      </c>
      <c r="I28" s="30">
        <v>4</v>
      </c>
    </row>
    <row r="29" spans="1:9">
      <c r="A29" s="48"/>
      <c r="B29" s="28" t="s">
        <v>16</v>
      </c>
      <c r="C29" s="28" t="s">
        <v>31</v>
      </c>
      <c r="D29" s="28" t="s">
        <v>89</v>
      </c>
      <c r="E29" s="28" t="s">
        <v>32</v>
      </c>
      <c r="F29" s="28" t="s">
        <v>93</v>
      </c>
      <c r="G29" s="28" t="s">
        <v>94</v>
      </c>
      <c r="H29" s="13">
        <v>4</v>
      </c>
      <c r="I29" s="13">
        <v>5</v>
      </c>
    </row>
    <row r="30" spans="1:9">
      <c r="A30" s="48"/>
      <c r="B30" s="28" t="s">
        <v>16</v>
      </c>
      <c r="C30" s="28" t="s">
        <v>31</v>
      </c>
      <c r="D30" s="28" t="s">
        <v>89</v>
      </c>
      <c r="E30" s="28" t="s">
        <v>32</v>
      </c>
      <c r="F30" s="28" t="s">
        <v>95</v>
      </c>
      <c r="G30" s="28" t="s">
        <v>10</v>
      </c>
      <c r="H30" s="13">
        <v>5</v>
      </c>
      <c r="I30" s="13">
        <v>6</v>
      </c>
    </row>
    <row r="31" spans="1:9">
      <c r="A31" s="48"/>
      <c r="B31" s="28" t="s">
        <v>16</v>
      </c>
      <c r="C31" s="28" t="s">
        <v>31</v>
      </c>
      <c r="D31" s="28" t="s">
        <v>89</v>
      </c>
      <c r="E31" s="28" t="s">
        <v>32</v>
      </c>
      <c r="F31" s="28" t="s">
        <v>96</v>
      </c>
      <c r="G31" s="28" t="s">
        <v>11</v>
      </c>
      <c r="H31" s="13">
        <v>6</v>
      </c>
      <c r="I31" s="13">
        <v>7</v>
      </c>
    </row>
    <row r="32" spans="1:9">
      <c r="A32" s="48"/>
      <c r="B32" s="28" t="s">
        <v>16</v>
      </c>
      <c r="C32" s="28" t="s">
        <v>31</v>
      </c>
      <c r="D32" s="28" t="s">
        <v>89</v>
      </c>
      <c r="E32" s="28" t="s">
        <v>32</v>
      </c>
      <c r="F32" s="28" t="s">
        <v>97</v>
      </c>
      <c r="G32" s="28" t="s">
        <v>82</v>
      </c>
      <c r="H32" s="13">
        <v>7</v>
      </c>
      <c r="I32" s="30">
        <v>8</v>
      </c>
    </row>
    <row r="33" spans="1:9">
      <c r="A33" s="48"/>
      <c r="B33" s="28" t="s">
        <v>24</v>
      </c>
      <c r="C33" s="28" t="s">
        <v>29</v>
      </c>
      <c r="D33" s="28" t="s">
        <v>21</v>
      </c>
      <c r="E33" s="28" t="s">
        <v>27</v>
      </c>
      <c r="F33" s="28" t="s">
        <v>98</v>
      </c>
      <c r="G33" s="28" t="s">
        <v>37</v>
      </c>
      <c r="H33" s="13">
        <v>1</v>
      </c>
      <c r="I33" s="31">
        <v>9</v>
      </c>
    </row>
    <row r="34" spans="1:9">
      <c r="A34" s="48"/>
      <c r="B34" s="28" t="s">
        <v>24</v>
      </c>
      <c r="C34" s="28" t="s">
        <v>29</v>
      </c>
      <c r="D34" s="28" t="s">
        <v>15</v>
      </c>
      <c r="E34" s="28" t="s">
        <v>57</v>
      </c>
      <c r="F34" s="28" t="s">
        <v>99</v>
      </c>
      <c r="G34" s="28" t="s">
        <v>22</v>
      </c>
      <c r="H34" s="13">
        <v>1</v>
      </c>
      <c r="I34" s="31">
        <v>10</v>
      </c>
    </row>
    <row r="35" spans="1:9">
      <c r="A35" s="48"/>
      <c r="B35" s="28" t="s">
        <v>24</v>
      </c>
      <c r="C35" s="28" t="s">
        <v>29</v>
      </c>
      <c r="D35" s="28" t="s">
        <v>15</v>
      </c>
      <c r="E35" s="28" t="s">
        <v>57</v>
      </c>
      <c r="F35" s="28" t="s">
        <v>100</v>
      </c>
      <c r="G35" s="28" t="s">
        <v>8</v>
      </c>
      <c r="H35" s="13">
        <v>2</v>
      </c>
      <c r="I35" s="13">
        <v>11</v>
      </c>
    </row>
    <row r="36" spans="1:9">
      <c r="A36" s="48"/>
      <c r="B36" s="28" t="s">
        <v>24</v>
      </c>
      <c r="C36" s="28" t="s">
        <v>29</v>
      </c>
      <c r="D36" s="28" t="s">
        <v>15</v>
      </c>
      <c r="E36" s="28" t="s">
        <v>57</v>
      </c>
      <c r="F36" s="28" t="s">
        <v>101</v>
      </c>
      <c r="G36" s="28" t="s">
        <v>35</v>
      </c>
      <c r="H36" s="13">
        <v>3</v>
      </c>
      <c r="I36" s="13">
        <v>12</v>
      </c>
    </row>
    <row r="37" spans="1:9">
      <c r="A37" s="48"/>
      <c r="B37" s="28" t="s">
        <v>21</v>
      </c>
      <c r="C37" s="28" t="s">
        <v>6</v>
      </c>
      <c r="D37" s="28" t="s">
        <v>21</v>
      </c>
      <c r="E37" s="28" t="s">
        <v>27</v>
      </c>
      <c r="F37" s="28" t="s">
        <v>102</v>
      </c>
      <c r="G37" s="28" t="s">
        <v>79</v>
      </c>
      <c r="H37" s="13">
        <v>1</v>
      </c>
      <c r="I37" s="30">
        <v>13</v>
      </c>
    </row>
    <row r="38" spans="1:9">
      <c r="A38" s="48"/>
      <c r="B38" s="28" t="s">
        <v>21</v>
      </c>
      <c r="C38" s="28" t="s">
        <v>6</v>
      </c>
      <c r="D38" s="28" t="s">
        <v>8</v>
      </c>
      <c r="E38" s="28" t="s">
        <v>6</v>
      </c>
      <c r="F38" s="28" t="s">
        <v>103</v>
      </c>
      <c r="G38" s="28" t="s">
        <v>34</v>
      </c>
      <c r="H38" s="13">
        <v>1</v>
      </c>
      <c r="I38" s="13">
        <v>14</v>
      </c>
    </row>
    <row r="39" spans="1:9">
      <c r="A39" s="48"/>
      <c r="B39" s="28" t="s">
        <v>21</v>
      </c>
      <c r="C39" s="28" t="s">
        <v>6</v>
      </c>
      <c r="D39" s="28" t="s">
        <v>8</v>
      </c>
      <c r="E39" s="28" t="s">
        <v>6</v>
      </c>
      <c r="F39" s="28" t="s">
        <v>104</v>
      </c>
      <c r="G39" s="28" t="s">
        <v>23</v>
      </c>
      <c r="H39" s="13">
        <v>2</v>
      </c>
      <c r="I39" s="31">
        <v>15</v>
      </c>
    </row>
    <row r="40" spans="1:9">
      <c r="A40" s="48"/>
      <c r="B40" s="28" t="s">
        <v>21</v>
      </c>
      <c r="C40" s="28" t="s">
        <v>6</v>
      </c>
      <c r="D40" s="28" t="s">
        <v>8</v>
      </c>
      <c r="E40" s="28" t="s">
        <v>6</v>
      </c>
      <c r="F40" s="28" t="s">
        <v>105</v>
      </c>
      <c r="G40" s="28" t="s">
        <v>7</v>
      </c>
      <c r="H40" s="13">
        <v>3</v>
      </c>
      <c r="I40" s="13">
        <v>16</v>
      </c>
    </row>
    <row r="41" spans="1:9">
      <c r="A41" s="48"/>
      <c r="B41" s="28" t="s">
        <v>15</v>
      </c>
      <c r="C41" s="28" t="s">
        <v>25</v>
      </c>
      <c r="D41" s="28" t="s">
        <v>24</v>
      </c>
      <c r="E41" s="28" t="s">
        <v>26</v>
      </c>
      <c r="F41" s="28" t="s">
        <v>106</v>
      </c>
      <c r="G41" s="28" t="s">
        <v>37</v>
      </c>
      <c r="H41" s="13">
        <v>1</v>
      </c>
      <c r="I41" s="13">
        <v>17</v>
      </c>
    </row>
    <row r="42" spans="1:9">
      <c r="A42" s="48"/>
      <c r="B42" s="28" t="s">
        <v>15</v>
      </c>
      <c r="C42" s="28" t="s">
        <v>25</v>
      </c>
      <c r="D42" s="28" t="s">
        <v>24</v>
      </c>
      <c r="E42" s="28" t="s">
        <v>26</v>
      </c>
      <c r="F42" s="28" t="s">
        <v>107</v>
      </c>
      <c r="G42" s="28" t="s">
        <v>7</v>
      </c>
      <c r="H42" s="13">
        <v>2</v>
      </c>
      <c r="I42" s="13">
        <v>18</v>
      </c>
    </row>
    <row r="43" spans="1:9">
      <c r="A43" s="48"/>
      <c r="B43" s="28" t="s">
        <v>15</v>
      </c>
      <c r="C43" s="28" t="s">
        <v>25</v>
      </c>
      <c r="D43" s="28" t="s">
        <v>24</v>
      </c>
      <c r="E43" s="28" t="s">
        <v>26</v>
      </c>
      <c r="F43" s="28" t="s">
        <v>108</v>
      </c>
      <c r="G43" s="28" t="s">
        <v>7</v>
      </c>
      <c r="H43" s="13">
        <v>3</v>
      </c>
      <c r="I43" s="13">
        <v>19</v>
      </c>
    </row>
    <row r="44" spans="1:9">
      <c r="A44" s="48"/>
      <c r="B44" s="28" t="s">
        <v>15</v>
      </c>
      <c r="C44" s="28" t="s">
        <v>25</v>
      </c>
      <c r="D44" s="28" t="s">
        <v>24</v>
      </c>
      <c r="E44" s="28" t="s">
        <v>26</v>
      </c>
      <c r="F44" s="28" t="s">
        <v>109</v>
      </c>
      <c r="G44" s="28" t="s">
        <v>35</v>
      </c>
      <c r="H44" s="13">
        <v>4</v>
      </c>
      <c r="I44" s="13">
        <v>20</v>
      </c>
    </row>
    <row r="45" spans="1:9">
      <c r="A45" s="48"/>
      <c r="B45" s="28" t="s">
        <v>15</v>
      </c>
      <c r="C45" s="28" t="s">
        <v>25</v>
      </c>
      <c r="D45" s="28" t="s">
        <v>24</v>
      </c>
      <c r="E45" s="28" t="s">
        <v>26</v>
      </c>
      <c r="F45" s="28" t="s">
        <v>26</v>
      </c>
      <c r="G45" s="28" t="s">
        <v>24</v>
      </c>
      <c r="H45" s="13">
        <v>5</v>
      </c>
      <c r="I45" s="13">
        <v>21</v>
      </c>
    </row>
    <row r="46" spans="1:9">
      <c r="A46" s="48"/>
      <c r="B46" s="28" t="s">
        <v>35</v>
      </c>
      <c r="C46" s="28" t="s">
        <v>20</v>
      </c>
      <c r="D46" s="28" t="s">
        <v>12</v>
      </c>
      <c r="E46" s="28" t="s">
        <v>20</v>
      </c>
      <c r="F46" s="28" t="s">
        <v>110</v>
      </c>
      <c r="G46" s="28" t="s">
        <v>16</v>
      </c>
      <c r="H46" s="13">
        <v>1</v>
      </c>
      <c r="I46" s="13">
        <v>22</v>
      </c>
    </row>
    <row r="47" spans="1:9">
      <c r="A47" s="48"/>
      <c r="B47" s="28" t="s">
        <v>35</v>
      </c>
      <c r="C47" s="28" t="s">
        <v>20</v>
      </c>
      <c r="D47" s="28" t="s">
        <v>35</v>
      </c>
      <c r="E47" s="28" t="s">
        <v>36</v>
      </c>
      <c r="F47" s="28" t="s">
        <v>111</v>
      </c>
      <c r="G47" s="28" t="s">
        <v>89</v>
      </c>
      <c r="H47" s="13">
        <v>1</v>
      </c>
      <c r="I47" s="13">
        <v>23</v>
      </c>
    </row>
    <row r="48" spans="1:9">
      <c r="A48" s="48"/>
      <c r="B48" s="28" t="s">
        <v>35</v>
      </c>
      <c r="C48" s="28" t="s">
        <v>20</v>
      </c>
      <c r="D48" s="28" t="s">
        <v>8</v>
      </c>
      <c r="E48" s="28" t="s">
        <v>6</v>
      </c>
      <c r="F48" s="28" t="s">
        <v>112</v>
      </c>
      <c r="G48" s="28" t="s">
        <v>8</v>
      </c>
      <c r="H48" s="13">
        <v>1</v>
      </c>
      <c r="I48" s="13">
        <v>24</v>
      </c>
    </row>
    <row r="49" spans="1:9">
      <c r="A49" s="48"/>
      <c r="B49" s="28" t="s">
        <v>35</v>
      </c>
      <c r="C49" s="28" t="s">
        <v>20</v>
      </c>
      <c r="D49" s="28" t="s">
        <v>8</v>
      </c>
      <c r="E49" s="28" t="s">
        <v>6</v>
      </c>
      <c r="F49" s="28" t="s">
        <v>113</v>
      </c>
      <c r="G49" s="28" t="s">
        <v>79</v>
      </c>
      <c r="H49" s="13">
        <v>2</v>
      </c>
      <c r="I49" s="13">
        <v>25</v>
      </c>
    </row>
    <row r="50" spans="1:9">
      <c r="I50" s="27"/>
    </row>
  </sheetData>
  <mergeCells count="3">
    <mergeCell ref="A5:A24"/>
    <mergeCell ref="A25:A49"/>
    <mergeCell ref="A1:I1"/>
  </mergeCells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L28"/>
  <sheetViews>
    <sheetView tabSelected="1" workbookViewId="0">
      <selection sqref="A1:K1"/>
    </sheetView>
  </sheetViews>
  <sheetFormatPr defaultColWidth="20.7109375" defaultRowHeight="24.95" customHeight="1"/>
  <cols>
    <col min="1" max="1" width="6.7109375" style="12" customWidth="1"/>
    <col min="2" max="2" width="21.85546875" style="3" customWidth="1"/>
    <col min="3" max="3" width="28.85546875" style="7" customWidth="1"/>
    <col min="4" max="4" width="10.140625" style="4" customWidth="1"/>
    <col min="5" max="5" width="8.5703125" style="4" customWidth="1"/>
    <col min="6" max="6" width="8.85546875" style="4" customWidth="1"/>
    <col min="7" max="7" width="6.7109375" style="4" customWidth="1"/>
    <col min="8" max="8" width="9" style="4" customWidth="1"/>
    <col min="9" max="9" width="7.140625" style="4" customWidth="1"/>
    <col min="10" max="10" width="6.28515625" style="4" customWidth="1"/>
    <col min="11" max="11" width="6.42578125" style="4" customWidth="1"/>
    <col min="12" max="16384" width="20.7109375" style="8"/>
  </cols>
  <sheetData>
    <row r="2" spans="1:12" ht="24.95" customHeight="1">
      <c r="A2" s="52" t="s">
        <v>43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2" s="5" customFormat="1" ht="24.95" customHeight="1">
      <c r="A3" s="1" t="s">
        <v>63</v>
      </c>
      <c r="B3" s="2" t="s">
        <v>56</v>
      </c>
      <c r="C3" s="32"/>
      <c r="D3" s="33"/>
      <c r="E3" s="33"/>
      <c r="F3" s="32"/>
      <c r="G3" s="61" t="s">
        <v>38</v>
      </c>
      <c r="H3" s="61"/>
      <c r="I3" s="61"/>
      <c r="J3" s="61"/>
      <c r="K3" s="61"/>
    </row>
    <row r="4" spans="1:12" ht="24.95" customHeight="1">
      <c r="A4" s="15"/>
      <c r="B4" s="32"/>
      <c r="C4" s="34"/>
      <c r="D4" s="33"/>
      <c r="E4" s="33"/>
      <c r="F4" s="33"/>
      <c r="G4" s="33"/>
      <c r="H4" s="33" t="s">
        <v>64</v>
      </c>
      <c r="I4" s="33"/>
      <c r="J4" s="33"/>
      <c r="K4" s="33"/>
    </row>
    <row r="5" spans="1:12" ht="46.5" customHeight="1">
      <c r="A5" s="62" t="s">
        <v>44</v>
      </c>
      <c r="B5" s="63" t="s">
        <v>45</v>
      </c>
      <c r="C5" s="60" t="s">
        <v>46</v>
      </c>
      <c r="D5" s="60" t="s">
        <v>47</v>
      </c>
      <c r="E5" s="64" t="s">
        <v>48</v>
      </c>
      <c r="F5" s="60" t="s">
        <v>49</v>
      </c>
      <c r="G5" s="60"/>
      <c r="H5" s="60" t="s">
        <v>50</v>
      </c>
      <c r="I5" s="60"/>
      <c r="J5" s="60" t="s">
        <v>51</v>
      </c>
      <c r="K5" s="60"/>
    </row>
    <row r="6" spans="1:12" ht="35.25" customHeight="1">
      <c r="A6" s="62"/>
      <c r="B6" s="63"/>
      <c r="C6" s="60"/>
      <c r="D6" s="60"/>
      <c r="E6" s="65"/>
      <c r="F6" s="16" t="s">
        <v>52</v>
      </c>
      <c r="G6" s="16" t="s">
        <v>53</v>
      </c>
      <c r="H6" s="16" t="s">
        <v>52</v>
      </c>
      <c r="I6" s="16" t="s">
        <v>53</v>
      </c>
      <c r="J6" s="16" t="s">
        <v>52</v>
      </c>
      <c r="K6" s="16" t="s">
        <v>53</v>
      </c>
    </row>
    <row r="7" spans="1:12" ht="30" customHeight="1">
      <c r="A7" s="53">
        <v>1</v>
      </c>
      <c r="B7" s="56" t="s">
        <v>57</v>
      </c>
      <c r="C7" s="17" t="s">
        <v>57</v>
      </c>
      <c r="D7" s="18">
        <v>4</v>
      </c>
      <c r="E7" s="18">
        <f>D7</f>
        <v>4</v>
      </c>
      <c r="F7" s="19"/>
      <c r="G7" s="19"/>
      <c r="H7" s="19"/>
      <c r="I7" s="19"/>
      <c r="J7" s="19" t="s">
        <v>114</v>
      </c>
      <c r="K7" s="19" t="s">
        <v>115</v>
      </c>
      <c r="L7" s="11"/>
    </row>
    <row r="8" spans="1:12" ht="30" customHeight="1">
      <c r="A8" s="54"/>
      <c r="B8" s="57"/>
      <c r="C8" s="17" t="s">
        <v>9</v>
      </c>
      <c r="D8" s="19">
        <v>1</v>
      </c>
      <c r="E8" s="19">
        <f>D8+E7</f>
        <v>5</v>
      </c>
      <c r="F8" s="19"/>
      <c r="G8" s="19"/>
      <c r="H8" s="19"/>
      <c r="I8" s="19"/>
      <c r="J8" s="19" t="s">
        <v>123</v>
      </c>
      <c r="K8" s="19" t="s">
        <v>116</v>
      </c>
      <c r="L8" s="11"/>
    </row>
    <row r="9" spans="1:12" ht="28.5" customHeight="1">
      <c r="A9" s="54"/>
      <c r="B9" s="58"/>
      <c r="C9" s="17" t="s">
        <v>60</v>
      </c>
      <c r="D9" s="19">
        <v>2</v>
      </c>
      <c r="E9" s="19">
        <f>D9+E8</f>
        <v>7</v>
      </c>
      <c r="F9" s="20"/>
      <c r="G9" s="20"/>
      <c r="H9" s="19"/>
      <c r="I9" s="19"/>
      <c r="J9" s="19"/>
      <c r="K9" s="19"/>
      <c r="L9" s="11"/>
    </row>
    <row r="10" spans="1:12" ht="28.5" customHeight="1">
      <c r="A10" s="54"/>
      <c r="B10" s="56" t="s">
        <v>36</v>
      </c>
      <c r="C10" s="17" t="s">
        <v>36</v>
      </c>
      <c r="D10" s="19">
        <v>3</v>
      </c>
      <c r="E10" s="19">
        <f t="shared" ref="E10:E15" si="0">D10+E9</f>
        <v>10</v>
      </c>
      <c r="F10" s="20"/>
      <c r="G10" s="20"/>
      <c r="H10" s="19"/>
      <c r="I10" s="19"/>
      <c r="J10" s="19"/>
      <c r="K10" s="19"/>
      <c r="L10" s="11"/>
    </row>
    <row r="11" spans="1:12" ht="28.5" customHeight="1">
      <c r="A11" s="54"/>
      <c r="B11" s="57"/>
      <c r="C11" s="17" t="s">
        <v>18</v>
      </c>
      <c r="D11" s="19">
        <v>1</v>
      </c>
      <c r="E11" s="19">
        <f t="shared" si="0"/>
        <v>11</v>
      </c>
      <c r="F11" s="20"/>
      <c r="G11" s="20"/>
      <c r="H11" s="19"/>
      <c r="I11" s="19"/>
      <c r="J11" s="19"/>
      <c r="K11" s="21"/>
      <c r="L11" s="11"/>
    </row>
    <row r="12" spans="1:12" ht="28.5" customHeight="1">
      <c r="A12" s="54"/>
      <c r="B12" s="57"/>
      <c r="C12" s="17" t="s">
        <v>58</v>
      </c>
      <c r="D12" s="14">
        <v>1</v>
      </c>
      <c r="E12" s="19">
        <f t="shared" si="0"/>
        <v>12</v>
      </c>
      <c r="F12" s="20"/>
      <c r="G12" s="20"/>
      <c r="H12" s="19"/>
      <c r="I12" s="19"/>
      <c r="J12" s="19"/>
      <c r="K12" s="19"/>
      <c r="L12" s="11"/>
    </row>
    <row r="13" spans="1:12" ht="28.5" customHeight="1">
      <c r="A13" s="54"/>
      <c r="B13" s="58"/>
      <c r="C13" s="17" t="s">
        <v>26</v>
      </c>
      <c r="D13" s="19">
        <v>2</v>
      </c>
      <c r="E13" s="19">
        <v>14</v>
      </c>
      <c r="F13" s="20"/>
      <c r="G13" s="20"/>
      <c r="H13" s="19"/>
      <c r="I13" s="19"/>
      <c r="J13" s="19"/>
      <c r="K13" s="19"/>
      <c r="L13" s="11"/>
    </row>
    <row r="14" spans="1:12" ht="24.95" customHeight="1">
      <c r="A14" s="54"/>
      <c r="B14" s="56" t="s">
        <v>58</v>
      </c>
      <c r="C14" s="17" t="s">
        <v>18</v>
      </c>
      <c r="D14" s="19">
        <v>2</v>
      </c>
      <c r="E14" s="19">
        <f t="shared" si="0"/>
        <v>16</v>
      </c>
      <c r="F14" s="19"/>
      <c r="G14" s="19"/>
      <c r="H14" s="19"/>
      <c r="I14" s="19"/>
      <c r="J14" s="19"/>
      <c r="K14" s="19"/>
      <c r="L14" s="11"/>
    </row>
    <row r="15" spans="1:12" ht="24.95" customHeight="1">
      <c r="A15" s="55"/>
      <c r="B15" s="58"/>
      <c r="C15" s="17" t="s">
        <v>58</v>
      </c>
      <c r="D15" s="19">
        <v>4</v>
      </c>
      <c r="E15" s="19">
        <f t="shared" si="0"/>
        <v>20</v>
      </c>
      <c r="F15" s="19"/>
      <c r="G15" s="19"/>
      <c r="H15" s="19"/>
      <c r="I15" s="19"/>
      <c r="J15" s="19"/>
      <c r="K15" s="19"/>
      <c r="L15" s="11"/>
    </row>
    <row r="16" spans="1:12" ht="24.95" customHeight="1">
      <c r="A16" s="22"/>
      <c r="B16" s="25"/>
      <c r="C16" s="23" t="s">
        <v>54</v>
      </c>
      <c r="D16" s="20">
        <f>SUM(D7:D15)</f>
        <v>20</v>
      </c>
      <c r="E16" s="19"/>
      <c r="F16" s="20">
        <v>2</v>
      </c>
      <c r="G16" s="20">
        <v>2</v>
      </c>
      <c r="H16" s="20">
        <v>81</v>
      </c>
      <c r="I16" s="20">
        <v>81</v>
      </c>
      <c r="J16" s="19"/>
      <c r="K16" s="19"/>
      <c r="L16" s="11"/>
    </row>
    <row r="17" spans="1:12" ht="24.95" customHeight="1">
      <c r="A17" s="53">
        <v>2</v>
      </c>
      <c r="B17" s="56" t="s">
        <v>59</v>
      </c>
      <c r="C17" s="17" t="s">
        <v>36</v>
      </c>
      <c r="D17" s="19">
        <v>1</v>
      </c>
      <c r="E17" s="19">
        <f>D17</f>
        <v>1</v>
      </c>
      <c r="F17" s="19"/>
      <c r="G17" s="19"/>
      <c r="H17" s="20"/>
      <c r="I17" s="20"/>
      <c r="J17" s="19" t="s">
        <v>117</v>
      </c>
      <c r="K17" s="19" t="s">
        <v>120</v>
      </c>
      <c r="L17" s="11"/>
    </row>
    <row r="18" spans="1:12" ht="24.95" customHeight="1">
      <c r="A18" s="54"/>
      <c r="B18" s="57"/>
      <c r="C18" s="17" t="s">
        <v>61</v>
      </c>
      <c r="D18" s="19">
        <v>1</v>
      </c>
      <c r="E18" s="19">
        <f>D18+E17</f>
        <v>2</v>
      </c>
      <c r="F18" s="19"/>
      <c r="G18" s="19"/>
      <c r="H18" s="20"/>
      <c r="I18" s="20"/>
      <c r="J18" s="19" t="s">
        <v>118</v>
      </c>
      <c r="K18" s="19" t="s">
        <v>121</v>
      </c>
      <c r="L18" s="11"/>
    </row>
    <row r="19" spans="1:12" ht="24.95" customHeight="1">
      <c r="A19" s="54"/>
      <c r="B19" s="58"/>
      <c r="C19" s="17" t="s">
        <v>6</v>
      </c>
      <c r="D19" s="19">
        <v>2</v>
      </c>
      <c r="E19" s="19">
        <f t="shared" ref="E19:E25" si="1">D19+E18</f>
        <v>4</v>
      </c>
      <c r="F19" s="19"/>
      <c r="G19" s="19"/>
      <c r="H19" s="20"/>
      <c r="I19" s="20"/>
      <c r="J19" s="19" t="s">
        <v>119</v>
      </c>
      <c r="K19" s="19" t="s">
        <v>122</v>
      </c>
      <c r="L19" s="11"/>
    </row>
    <row r="20" spans="1:12" ht="24.95" customHeight="1">
      <c r="A20" s="54"/>
      <c r="B20" s="25" t="s">
        <v>25</v>
      </c>
      <c r="C20" s="17" t="s">
        <v>26</v>
      </c>
      <c r="D20" s="19">
        <v>5</v>
      </c>
      <c r="E20" s="19">
        <f t="shared" si="1"/>
        <v>9</v>
      </c>
      <c r="F20" s="19"/>
      <c r="G20" s="19"/>
      <c r="H20" s="20"/>
      <c r="I20" s="20"/>
      <c r="J20" s="19"/>
      <c r="K20" s="19"/>
      <c r="L20" s="11"/>
    </row>
    <row r="21" spans="1:12" ht="24.95" customHeight="1">
      <c r="A21" s="54"/>
      <c r="B21" s="57"/>
      <c r="C21" s="17" t="s">
        <v>60</v>
      </c>
      <c r="D21" s="19">
        <v>1</v>
      </c>
      <c r="E21" s="19">
        <v>10</v>
      </c>
      <c r="F21" s="19"/>
      <c r="G21" s="19"/>
      <c r="H21" s="20"/>
      <c r="I21" s="20"/>
      <c r="J21" s="19"/>
      <c r="K21" s="19"/>
      <c r="L21" s="11"/>
    </row>
    <row r="22" spans="1:12" ht="24.95" customHeight="1">
      <c r="A22" s="54"/>
      <c r="B22" s="58"/>
      <c r="C22" s="17" t="s">
        <v>6</v>
      </c>
      <c r="D22" s="19">
        <v>3</v>
      </c>
      <c r="E22" s="19">
        <f t="shared" si="1"/>
        <v>13</v>
      </c>
      <c r="F22" s="19"/>
      <c r="G22" s="19"/>
      <c r="H22" s="20"/>
      <c r="I22" s="20"/>
      <c r="J22" s="19"/>
      <c r="K22" s="19"/>
      <c r="L22" s="11"/>
    </row>
    <row r="23" spans="1:12" ht="24.95" customHeight="1">
      <c r="A23" s="54"/>
      <c r="B23" s="56" t="s">
        <v>31</v>
      </c>
      <c r="C23" s="17" t="s">
        <v>62</v>
      </c>
      <c r="D23" s="19">
        <v>7</v>
      </c>
      <c r="E23" s="19">
        <f t="shared" si="1"/>
        <v>20</v>
      </c>
      <c r="F23" s="19"/>
      <c r="G23" s="19"/>
      <c r="H23" s="20"/>
      <c r="I23" s="20"/>
      <c r="J23" s="19"/>
      <c r="K23" s="19"/>
      <c r="L23" s="11"/>
    </row>
    <row r="24" spans="1:12" ht="24.95" customHeight="1">
      <c r="A24" s="54"/>
      <c r="B24" s="58"/>
      <c r="C24" s="17" t="s">
        <v>18</v>
      </c>
      <c r="D24" s="19">
        <v>1</v>
      </c>
      <c r="E24" s="19">
        <f t="shared" si="1"/>
        <v>21</v>
      </c>
      <c r="F24" s="19"/>
      <c r="G24" s="19"/>
      <c r="H24" s="20"/>
      <c r="I24" s="20"/>
      <c r="J24" s="19"/>
      <c r="K24" s="19"/>
      <c r="L24" s="11"/>
    </row>
    <row r="25" spans="1:12" ht="24.95" customHeight="1">
      <c r="A25" s="54"/>
      <c r="B25" s="59" t="s">
        <v>29</v>
      </c>
      <c r="C25" s="17" t="s">
        <v>57</v>
      </c>
      <c r="D25" s="19">
        <v>3</v>
      </c>
      <c r="E25" s="19">
        <f t="shared" si="1"/>
        <v>24</v>
      </c>
      <c r="F25" s="19"/>
      <c r="G25" s="19"/>
      <c r="H25" s="20"/>
      <c r="I25" s="20"/>
      <c r="J25" s="19"/>
      <c r="K25" s="19"/>
      <c r="L25" s="11"/>
    </row>
    <row r="26" spans="1:12" ht="24.95" customHeight="1">
      <c r="A26" s="55"/>
      <c r="B26" s="59"/>
      <c r="C26" s="17" t="s">
        <v>27</v>
      </c>
      <c r="D26" s="19">
        <v>1</v>
      </c>
      <c r="E26" s="19">
        <v>25</v>
      </c>
      <c r="F26" s="19"/>
      <c r="G26" s="19"/>
      <c r="H26" s="20"/>
      <c r="I26" s="20"/>
      <c r="J26" s="19"/>
      <c r="K26" s="19"/>
    </row>
    <row r="27" spans="1:12" ht="24.95" customHeight="1">
      <c r="A27" s="24"/>
      <c r="B27" s="26"/>
      <c r="C27" s="23" t="s">
        <v>54</v>
      </c>
      <c r="D27" s="20">
        <f>SUM(D17:D26)</f>
        <v>25</v>
      </c>
      <c r="E27" s="19"/>
      <c r="F27" s="20">
        <v>3</v>
      </c>
      <c r="G27" s="20">
        <v>3</v>
      </c>
      <c r="H27" s="20">
        <v>82</v>
      </c>
      <c r="I27" s="20">
        <v>82</v>
      </c>
      <c r="J27" s="19"/>
      <c r="K27" s="19"/>
    </row>
    <row r="28" spans="1:12" ht="24.95" customHeight="1">
      <c r="A28" s="24"/>
      <c r="B28" s="26"/>
      <c r="C28" s="20" t="s">
        <v>55</v>
      </c>
      <c r="D28" s="20">
        <v>48</v>
      </c>
      <c r="E28" s="19"/>
      <c r="F28" s="19"/>
      <c r="G28" s="19"/>
      <c r="H28" s="19"/>
      <c r="I28" s="19"/>
      <c r="J28" s="19"/>
      <c r="K28" s="19"/>
    </row>
  </sheetData>
  <mergeCells count="19">
    <mergeCell ref="J5:K5"/>
    <mergeCell ref="A2:K2"/>
    <mergeCell ref="G3:K3"/>
    <mergeCell ref="A5:A6"/>
    <mergeCell ref="B5:B6"/>
    <mergeCell ref="C5:C6"/>
    <mergeCell ref="D5:D6"/>
    <mergeCell ref="E5:E6"/>
    <mergeCell ref="F5:G5"/>
    <mergeCell ref="H5:I5"/>
    <mergeCell ref="A7:A15"/>
    <mergeCell ref="B17:B19"/>
    <mergeCell ref="B21:B22"/>
    <mergeCell ref="B23:B24"/>
    <mergeCell ref="B25:B26"/>
    <mergeCell ref="A17:A26"/>
    <mergeCell ref="B7:B9"/>
    <mergeCell ref="B10:B13"/>
    <mergeCell ref="B14:B15"/>
  </mergeCells>
  <pageMargins left="0.31496062992125984" right="0.31496062992125984" top="0.35433070866141736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STRATUM WISE (CS)</vt:lpstr>
      <vt:lpstr>STRATUM WISE (SS)</vt:lpstr>
      <vt:lpstr>STRATUM WISE</vt:lpstr>
      <vt:lpstr>WORKING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dcterms:created xsi:type="dcterms:W3CDTF">2025-06-18T07:58:17Z</dcterms:created>
  <dcterms:modified xsi:type="dcterms:W3CDTF">2026-06-16T12:26:53Z</dcterms:modified>
</cp:coreProperties>
</file>
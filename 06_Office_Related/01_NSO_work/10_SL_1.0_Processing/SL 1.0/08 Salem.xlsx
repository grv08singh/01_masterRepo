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4240" windowHeight="12540" activeTab="3"/>
  </bookViews>
  <sheets>
    <sheet name="STRATUM WISE(CS)" sheetId="9" r:id="rId1"/>
    <sheet name="STRATUM WISE (SS)" sheetId="8" r:id="rId2"/>
    <sheet name="STRATUM WISE" sheetId="6" r:id="rId3"/>
    <sheet name="WORKING SHEET" sheetId="3" r:id="rId4"/>
  </sheets>
  <definedNames>
    <definedName name="_xlnm.Print_Titles" localSheetId="2">'STRATUM WISE'!$3:$3</definedName>
    <definedName name="_xlnm.Print_Titles" localSheetId="1">'STRATUM WISE (SS)'!#REF!</definedName>
    <definedName name="_xlnm.Print_Titles" localSheetId="0">'STRATUM WISE(CS)'!$4:$4</definedName>
  </definedNames>
  <calcPr calcId="124519"/>
</workbook>
</file>

<file path=xl/calcChain.xml><?xml version="1.0" encoding="utf-8"?>
<calcChain xmlns="http://schemas.openxmlformats.org/spreadsheetml/2006/main">
  <c r="D39" i="3"/>
  <c r="D38"/>
  <c r="D34"/>
  <c r="D30"/>
  <c r="D20"/>
  <c r="D14"/>
  <c r="D10"/>
</calcChain>
</file>

<file path=xl/sharedStrings.xml><?xml version="1.0" encoding="utf-8"?>
<sst xmlns="http://schemas.openxmlformats.org/spreadsheetml/2006/main" count="1013" uniqueCount="289">
  <si>
    <t>TRS_TKCODE</t>
  </si>
  <si>
    <t>TRS_TKNAME</t>
  </si>
  <si>
    <t>TRS_BKCODE</t>
  </si>
  <si>
    <t>TRS_BKNAME</t>
  </si>
  <si>
    <t>VGNAME</t>
  </si>
  <si>
    <t>RV_CODE</t>
  </si>
  <si>
    <t>SALEM</t>
  </si>
  <si>
    <t>ATTUR</t>
  </si>
  <si>
    <t>41</t>
  </si>
  <si>
    <t>43</t>
  </si>
  <si>
    <t>44</t>
  </si>
  <si>
    <t>38</t>
  </si>
  <si>
    <t>THALAIVASAL</t>
  </si>
  <si>
    <t>97</t>
  </si>
  <si>
    <t>96</t>
  </si>
  <si>
    <t>EDAPPADI</t>
  </si>
  <si>
    <t>10</t>
  </si>
  <si>
    <t>7</t>
  </si>
  <si>
    <t>8</t>
  </si>
  <si>
    <t>KONGANAPURAM</t>
  </si>
  <si>
    <t>16</t>
  </si>
  <si>
    <t>17</t>
  </si>
  <si>
    <t>GANGAVALLI</t>
  </si>
  <si>
    <t>6</t>
  </si>
  <si>
    <t>27</t>
  </si>
  <si>
    <t>23</t>
  </si>
  <si>
    <t>13</t>
  </si>
  <si>
    <t>5</t>
  </si>
  <si>
    <t>37</t>
  </si>
  <si>
    <t>29</t>
  </si>
  <si>
    <t>METTUR</t>
  </si>
  <si>
    <t>KOLATHUR</t>
  </si>
  <si>
    <t>9</t>
  </si>
  <si>
    <t>4</t>
  </si>
  <si>
    <t>MECHERI</t>
  </si>
  <si>
    <t>18</t>
  </si>
  <si>
    <t>PALLIPPATTI</t>
  </si>
  <si>
    <t>34</t>
  </si>
  <si>
    <t>NANGAVALLI</t>
  </si>
  <si>
    <t>OMALUR</t>
  </si>
  <si>
    <t>56</t>
  </si>
  <si>
    <t>48</t>
  </si>
  <si>
    <t>45</t>
  </si>
  <si>
    <t>65</t>
  </si>
  <si>
    <t>40</t>
  </si>
  <si>
    <t>77</t>
  </si>
  <si>
    <t>THARAMANGALAM</t>
  </si>
  <si>
    <t>AYOTHIYAPPATTINAM</t>
  </si>
  <si>
    <t>46</t>
  </si>
  <si>
    <t>PANAMARATHUPPATTI</t>
  </si>
  <si>
    <t>58</t>
  </si>
  <si>
    <t>33</t>
  </si>
  <si>
    <t>SANKAGIRI</t>
  </si>
  <si>
    <t>MAGUDANCHAVADI</t>
  </si>
  <si>
    <t>39</t>
  </si>
  <si>
    <t>3</t>
  </si>
  <si>
    <t>2</t>
  </si>
  <si>
    <t>VAZHAPPADI</t>
  </si>
  <si>
    <t>KARIPPATTI</t>
  </si>
  <si>
    <t>21</t>
  </si>
  <si>
    <t>19</t>
  </si>
  <si>
    <t>11</t>
  </si>
  <si>
    <t>54</t>
  </si>
  <si>
    <t>YERCAUD</t>
  </si>
  <si>
    <t>PUTHUR</t>
  </si>
  <si>
    <t>63</t>
  </si>
  <si>
    <t>31</t>
  </si>
  <si>
    <t>36</t>
  </si>
  <si>
    <t>14</t>
  </si>
  <si>
    <t>SALEM SOUTH</t>
  </si>
  <si>
    <t>VEERAPANDI</t>
  </si>
  <si>
    <t>VEMBADITHALAM</t>
  </si>
  <si>
    <t>102</t>
  </si>
  <si>
    <t>SALEM WEST</t>
  </si>
  <si>
    <t>22</t>
  </si>
  <si>
    <t>THIRUMALAIGIRI</t>
  </si>
  <si>
    <t>30</t>
  </si>
  <si>
    <t>PETHANAICKENPALAYAM</t>
  </si>
  <si>
    <t>PETHANAICKANPALAYAM</t>
  </si>
  <si>
    <t>20</t>
  </si>
  <si>
    <t>12</t>
  </si>
  <si>
    <t>KADAYAMPATTI</t>
  </si>
  <si>
    <t>15</t>
  </si>
  <si>
    <t>Improvement of Crop Statistics</t>
  </si>
  <si>
    <t>Working sheet for selection of villages under sample check on Area Enumeration</t>
  </si>
  <si>
    <t xml:space="preserve">District: </t>
  </si>
  <si>
    <t>Sample : Central /State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</si>
  <si>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</si>
  <si>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</si>
  <si>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</si>
  <si>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</si>
  <si>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</si>
  <si>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</si>
  <si>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</si>
  <si>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</si>
  <si>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</si>
  <si>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</si>
  <si>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</si>
  <si>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GRAND TOTAL</t>
  </si>
  <si>
    <t>.Stratum No.</t>
  </si>
  <si>
    <t>Village s.no within Block</t>
  </si>
  <si>
    <t>SALEM(08)</t>
  </si>
  <si>
    <t>NAGAVALLI</t>
  </si>
  <si>
    <t>01(1)</t>
  </si>
  <si>
    <t>09(2)</t>
  </si>
  <si>
    <t>10(2)</t>
  </si>
  <si>
    <t>19(2)</t>
  </si>
  <si>
    <t>12(1)</t>
  </si>
  <si>
    <t>20(2)</t>
  </si>
  <si>
    <t>05(1)</t>
  </si>
  <si>
    <t>1</t>
  </si>
  <si>
    <t>PUDHUPALAYAM</t>
  </si>
  <si>
    <t>KURUMBAPATTI</t>
  </si>
  <si>
    <t>CHINNAMANALI</t>
  </si>
  <si>
    <t>CHITHOOR_BIT_II</t>
  </si>
  <si>
    <t>AAVANIPERUR KILMUGAM</t>
  </si>
  <si>
    <t>SEELIYAMPATTI</t>
  </si>
  <si>
    <t>AZHAGAPURAM</t>
  </si>
  <si>
    <t>ATTHUR TOWN</t>
  </si>
  <si>
    <t>70</t>
  </si>
  <si>
    <t>RAMANAICKANPALAYAM SOUTH</t>
  </si>
  <si>
    <t>57</t>
  </si>
  <si>
    <t>KALPAGANOOR</t>
  </si>
  <si>
    <t>32</t>
  </si>
  <si>
    <t>RAMANAICKANPALAYAM NORTH</t>
  </si>
  <si>
    <t>PALLIPALAYAM</t>
  </si>
  <si>
    <t>KAMAKKAPALAYAM</t>
  </si>
  <si>
    <t>92</t>
  </si>
  <si>
    <t>UNATHUR</t>
  </si>
  <si>
    <t>81</t>
  </si>
  <si>
    <t>83</t>
  </si>
  <si>
    <t>NAVAKKURICHI</t>
  </si>
  <si>
    <t>84</t>
  </si>
  <si>
    <t>SHARVAI</t>
  </si>
  <si>
    <t>76</t>
  </si>
  <si>
    <t>ELATHUR</t>
  </si>
  <si>
    <t>KADAYAMPATTI SOUTH</t>
  </si>
  <si>
    <t>VEPPILAI</t>
  </si>
  <si>
    <t>DHASASAMUDRAM</t>
  </si>
  <si>
    <t>PANNAPPATTI</t>
  </si>
  <si>
    <t>THUMPIPPADI</t>
  </si>
  <si>
    <t>PINNANOOR</t>
  </si>
  <si>
    <t>VEERAGANUR SOUTH</t>
  </si>
  <si>
    <t>NATTAR AGRAHARAM</t>
  </si>
  <si>
    <t>SENGAADU</t>
  </si>
  <si>
    <t>THEDAVOOR SOUTH</t>
  </si>
  <si>
    <t>ANAIYAMPATTI</t>
  </si>
  <si>
    <t>26</t>
  </si>
  <si>
    <t>KADAMBUR</t>
  </si>
  <si>
    <t>SENTHARAPPATTI SOUTH</t>
  </si>
  <si>
    <t>NADUVALUR SOUTH</t>
  </si>
  <si>
    <t>24</t>
  </si>
  <si>
    <t>AMARAKUNTHI</t>
  </si>
  <si>
    <t>PAPPAMPADI</t>
  </si>
  <si>
    <t>87</t>
  </si>
  <si>
    <t>AZHAGUSAMUTHIRAM</t>
  </si>
  <si>
    <t>73</t>
  </si>
  <si>
    <t>SAMINAICKANPATTI</t>
  </si>
  <si>
    <t>64</t>
  </si>
  <si>
    <t>PULIYAMPATTI</t>
  </si>
  <si>
    <t>61</t>
  </si>
  <si>
    <t>MAILAPPALAYAM</t>
  </si>
  <si>
    <t>KARUPUR</t>
  </si>
  <si>
    <t>T.MARAMANGALAM</t>
  </si>
  <si>
    <t>28</t>
  </si>
  <si>
    <t>60</t>
  </si>
  <si>
    <t>THUNDUMANIYAM</t>
  </si>
  <si>
    <t>THOLASAMPATTI</t>
  </si>
  <si>
    <t>KAMINAICKANPATTI</t>
  </si>
  <si>
    <t>49</t>
  </si>
  <si>
    <t>AALAMARATHUPPATTI</t>
  </si>
  <si>
    <t>KAVERIPURAM KARUNGALOOR</t>
  </si>
  <si>
    <t>CHINNA SORAGAI</t>
  </si>
  <si>
    <t>VANAVASI</t>
  </si>
  <si>
    <t>KONOOR EAST</t>
  </si>
  <si>
    <t>KUTTAPPATTI</t>
  </si>
  <si>
    <t>M.KALIPPATTI</t>
  </si>
  <si>
    <t>OLAIPPATTI</t>
  </si>
  <si>
    <t>25</t>
  </si>
  <si>
    <t>M.N.PATTI</t>
  </si>
  <si>
    <t>OTTAPPATTI</t>
  </si>
  <si>
    <t>THENNAM PILLAIYUR</t>
  </si>
  <si>
    <t>CHINNAKALRAYANMALAI NORTH</t>
  </si>
  <si>
    <t>MANNOOR</t>
  </si>
  <si>
    <t>PERIYA KRISHNAPURAM</t>
  </si>
  <si>
    <t>CHINNA KRISHNAPURAM</t>
  </si>
  <si>
    <t>KALYANAGIRI</t>
  </si>
  <si>
    <t>MUTHAKGOUNDANUR</t>
  </si>
  <si>
    <t>KOMARAPALAYAM</t>
  </si>
  <si>
    <t>MURUNGAPPATTI</t>
  </si>
  <si>
    <t>7_ARIGOUNDAMPATTI</t>
  </si>
  <si>
    <t>PUTHUR AGRAHARAM</t>
  </si>
  <si>
    <t>BODINAICKENPATTI</t>
  </si>
  <si>
    <t>MALLAMOOPPANPATTI</t>
  </si>
  <si>
    <t>KAMINAICKENPATTY</t>
  </si>
  <si>
    <t>MALLARAVUTHAMPATTI</t>
  </si>
  <si>
    <t>PALLAPATTI_(RURAL)</t>
  </si>
  <si>
    <t>PARAPPATTI</t>
  </si>
  <si>
    <t>125</t>
  </si>
  <si>
    <t>JARI KONDALAMPATTI</t>
  </si>
  <si>
    <t>72</t>
  </si>
  <si>
    <t>PALAMPATTI</t>
  </si>
  <si>
    <t>116</t>
  </si>
  <si>
    <t>94</t>
  </si>
  <si>
    <t>BAIROJI AGRAHARAM</t>
  </si>
  <si>
    <t>109</t>
  </si>
  <si>
    <t>KADATHUR AGRAHARAM</t>
  </si>
  <si>
    <t>98</t>
  </si>
  <si>
    <t>RAKKIPATTI</t>
  </si>
  <si>
    <t>NAINAMPATTI</t>
  </si>
  <si>
    <t>100</t>
  </si>
  <si>
    <t>ETTIMANICKAMPATTI</t>
  </si>
  <si>
    <t>SEELANAICKANPATTI</t>
  </si>
  <si>
    <t>ATCHANGKUTTAPPATTI</t>
  </si>
  <si>
    <t>152</t>
  </si>
  <si>
    <t>CHINNANUR</t>
  </si>
  <si>
    <t>ATCHANGKUTTAPPATTI PUDUR</t>
  </si>
  <si>
    <t>150</t>
  </si>
  <si>
    <t>THAILANUR</t>
  </si>
  <si>
    <t>138_VEDAPPATTI (BK:PANAMARATHUPPATTI)</t>
  </si>
  <si>
    <t>138</t>
  </si>
  <si>
    <t>PALLITHERUPPATTI</t>
  </si>
  <si>
    <t>130</t>
  </si>
  <si>
    <t>SANDHIYUR ATTAYAMPATTI</t>
  </si>
  <si>
    <t>131</t>
  </si>
  <si>
    <t>134</t>
  </si>
  <si>
    <t>NAZHIKKALPATTI</t>
  </si>
  <si>
    <t>126</t>
  </si>
  <si>
    <t>KUMARASAMYPPATTI</t>
  </si>
  <si>
    <t>51</t>
  </si>
  <si>
    <t>ERUMAPALAYAM_(TOWN)</t>
  </si>
  <si>
    <t>KANAGAGIRI</t>
  </si>
  <si>
    <t>KANDARKULA MANICKAM</t>
  </si>
  <si>
    <t>AGRAHARA THAZHAIYUR</t>
  </si>
  <si>
    <t>VEPPAMPATTI</t>
  </si>
  <si>
    <t>IVELI</t>
  </si>
  <si>
    <t>VALAIYACHETTIPALAYAM</t>
  </si>
  <si>
    <t>MORUR BIT-I</t>
  </si>
  <si>
    <t>SANNIYASIPATTI AGRAHARAM</t>
  </si>
  <si>
    <t xml:space="preserve">IRUGALUR </t>
  </si>
  <si>
    <t>NALLUR</t>
  </si>
  <si>
    <t>CHINNA MADHUR</t>
  </si>
  <si>
    <t>PILLERI</t>
  </si>
  <si>
    <t>K.NORTHENCHEDU</t>
  </si>
  <si>
    <t>POTTUKKADU</t>
  </si>
  <si>
    <t>MAYILAPATTI</t>
  </si>
  <si>
    <t>S.PUTHUR</t>
  </si>
  <si>
    <t>SOLAMBADI</t>
  </si>
  <si>
    <t>47</t>
  </si>
  <si>
    <t>ILAVADI</t>
  </si>
  <si>
    <t>YERCAUD TOWN</t>
  </si>
  <si>
    <t>THEPPAKKADU</t>
  </si>
  <si>
    <t>KONDAIYANOOR</t>
  </si>
  <si>
    <t>S.NORTHENCHEDU</t>
  </si>
  <si>
    <t>SEKKAPPATTI</t>
  </si>
  <si>
    <t>KUMARAPALAYAM</t>
  </si>
  <si>
    <t>KOLATHUKOMBAI</t>
  </si>
  <si>
    <t>SANTHUMALAI</t>
  </si>
  <si>
    <t>NEERMULLIKUTTAI</t>
  </si>
  <si>
    <t>ATHANURPATTI</t>
  </si>
  <si>
    <t>MALAIYALAPPATTI</t>
  </si>
  <si>
    <t>42</t>
  </si>
  <si>
    <t>MANNAIKKANPATTI</t>
  </si>
  <si>
    <t>CHINNAMANAICKENPALAYAM</t>
  </si>
  <si>
    <t>KARUMAPURAM</t>
  </si>
  <si>
    <t>YERIPPUDUR</t>
  </si>
  <si>
    <t>AGRAHARA NATTAMANGALAM</t>
  </si>
  <si>
    <t>Village No within stratum</t>
  </si>
  <si>
    <t>04(1)</t>
  </si>
  <si>
    <t>07(2)</t>
  </si>
  <si>
    <t>03(1)</t>
  </si>
  <si>
    <t>06(2)</t>
  </si>
  <si>
    <t>10(1)</t>
  </si>
  <si>
    <t>02(1)</t>
  </si>
  <si>
    <t>08(2)</t>
  </si>
  <si>
    <t>16(1)</t>
  </si>
  <si>
    <t>21(3)</t>
  </si>
  <si>
    <t>01(2)</t>
  </si>
  <si>
    <t>09(3)</t>
  </si>
  <si>
    <t>12(2)</t>
  </si>
  <si>
    <t>15(1)</t>
  </si>
  <si>
    <t>16(20</t>
  </si>
  <si>
    <t>14(2)</t>
  </si>
  <si>
    <t>Sample : Central</t>
  </si>
  <si>
    <t>Year:2026-27 (Fasli-1436)</t>
  </si>
  <si>
    <t>Salem</t>
  </si>
  <si>
    <t>Oder of Selection</t>
  </si>
  <si>
    <t>Oder of selection</t>
  </si>
  <si>
    <t>Sample : State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</si>
</sst>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Bookman Old Style"/>
      <family val="1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Bookman Old Style"/>
      <family val="1"/>
    </font>
    <font>
      <b/>
      <sz val="10"/>
      <name val="Bookman Old Style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b/>
      <sz val="12"/>
      <color theme="1"/>
      <name val="Bookman Old Style"/>
      <family val="1"/>
    </font>
    <font>
      <b/>
      <sz val="12"/>
      <name val="Bookman Old Style"/>
      <family val="1"/>
    </font>
    <font>
      <b/>
      <sz val="14"/>
      <color theme="1"/>
      <name val="Bookman Old Style"/>
      <family val="1"/>
    </font>
    <font>
      <sz val="11"/>
      <color indexed="8"/>
      <name val="Calibri"/>
      <charset val="163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8" fillId="0" borderId="0"/>
    <xf numFmtId="0" fontId="3" fillId="0" borderId="0"/>
    <xf numFmtId="0" fontId="1" fillId="0" borderId="0"/>
  </cellStyleXfs>
  <cellXfs count="97">
    <xf numFmtId="0" fontId="0" fillId="0" borderId="0" xfId="0"/>
    <xf numFmtId="0" fontId="4" fillId="0" borderId="0" xfId="2" applyFont="1"/>
    <xf numFmtId="0" fontId="5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3" fillId="0" borderId="0" xfId="2"/>
    <xf numFmtId="0" fontId="7" fillId="0" borderId="0" xfId="2" applyFont="1" applyAlignment="1">
      <alignment horizontal="center" vertical="center"/>
    </xf>
    <xf numFmtId="0" fontId="9" fillId="2" borderId="0" xfId="3" applyFont="1" applyFill="1" applyBorder="1" applyAlignment="1">
      <alignment vertical="center"/>
    </xf>
    <xf numFmtId="0" fontId="1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6" fillId="0" borderId="1" xfId="5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5" fillId="0" borderId="1" xfId="1" applyFont="1" applyFill="1" applyBorder="1" applyAlignment="1">
      <alignment wrapText="1"/>
    </xf>
    <xf numFmtId="0" fontId="2" fillId="0" borderId="0" xfId="2" applyFont="1" applyAlignment="1">
      <alignment vertical="center"/>
    </xf>
    <xf numFmtId="0" fontId="16" fillId="0" borderId="3" xfId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15" fillId="0" borderId="4" xfId="1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left" vertical="center"/>
    </xf>
    <xf numFmtId="0" fontId="4" fillId="0" borderId="1" xfId="2" applyFont="1" applyBorder="1"/>
    <xf numFmtId="0" fontId="17" fillId="0" borderId="0" xfId="2" applyFont="1" applyAlignment="1">
      <alignment horizontal="left" vertical="center"/>
    </xf>
    <xf numFmtId="0" fontId="18" fillId="2" borderId="0" xfId="3" applyFont="1" applyFill="1" applyBorder="1" applyAlignment="1">
      <alignment vertical="center"/>
    </xf>
    <xf numFmtId="0" fontId="17" fillId="0" borderId="0" xfId="2" applyFont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6" fillId="0" borderId="4" xfId="1" applyFont="1" applyFill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4" fillId="0" borderId="0" xfId="2" applyFont="1" applyBorder="1"/>
    <xf numFmtId="0" fontId="15" fillId="0" borderId="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left" wrapText="1"/>
    </xf>
    <xf numFmtId="0" fontId="4" fillId="0" borderId="1" xfId="2" applyFont="1" applyBorder="1" applyAlignment="1">
      <alignment horizontal="left" vertical="center"/>
    </xf>
    <xf numFmtId="0" fontId="15" fillId="0" borderId="1" xfId="1" applyFont="1" applyFill="1" applyBorder="1" applyAlignment="1">
      <alignment horizontal="left" vertical="center" wrapText="1"/>
    </xf>
    <xf numFmtId="0" fontId="2" fillId="0" borderId="1" xfId="2" applyFont="1" applyBorder="1" applyAlignment="1">
      <alignment horizontal="center" vertical="center"/>
    </xf>
    <xf numFmtId="0" fontId="20" fillId="0" borderId="7" xfId="1" applyFont="1" applyBorder="1" applyAlignment="1">
      <alignment wrapText="1"/>
    </xf>
    <xf numFmtId="0" fontId="20" fillId="0" borderId="11" xfId="1" applyFont="1" applyBorder="1" applyAlignment="1">
      <alignment wrapText="1"/>
    </xf>
    <xf numFmtId="0" fontId="4" fillId="0" borderId="0" xfId="2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1" fillId="0" borderId="1" xfId="2" applyFont="1" applyBorder="1" applyAlignment="1">
      <alignment horizontal="center" vertical="center"/>
    </xf>
    <xf numFmtId="0" fontId="5" fillId="0" borderId="1" xfId="2" applyFont="1" applyBorder="1" applyAlignment="1">
      <alignment horizontal="left" vertical="center"/>
    </xf>
    <xf numFmtId="0" fontId="21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horizontal="center" vertical="center"/>
    </xf>
    <xf numFmtId="0" fontId="20" fillId="0" borderId="1" xfId="1" applyFont="1" applyBorder="1" applyAlignment="1">
      <alignment wrapText="1"/>
    </xf>
    <xf numFmtId="0" fontId="1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21" fillId="0" borderId="0" xfId="2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21" fillId="0" borderId="13" xfId="2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0" fillId="0" borderId="1" xfId="1" applyFont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0" fillId="0" borderId="8" xfId="1" applyFont="1" applyBorder="1" applyAlignment="1">
      <alignment horizontal="center" vertical="center" wrapText="1"/>
    </xf>
    <xf numFmtId="0" fontId="20" fillId="0" borderId="9" xfId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0" xfId="2" applyFont="1" applyAlignment="1">
      <alignment horizontal="left" vertical="center"/>
    </xf>
    <xf numFmtId="0" fontId="17" fillId="0" borderId="1" xfId="2" applyFont="1" applyBorder="1" applyAlignment="1">
      <alignment horizontal="center" vertical="center" textRotation="90" wrapText="1"/>
    </xf>
    <xf numFmtId="0" fontId="13" fillId="0" borderId="1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left" vertical="center" wrapText="1"/>
    </xf>
    <xf numFmtId="0" fontId="15" fillId="0" borderId="4" xfId="1" applyFont="1" applyFill="1" applyBorder="1" applyAlignment="1">
      <alignment horizontal="left" vertical="center" wrapText="1"/>
    </xf>
    <xf numFmtId="0" fontId="15" fillId="0" borderId="3" xfId="1" applyFont="1" applyFill="1" applyBorder="1" applyAlignment="1">
      <alignment horizontal="left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4" fillId="0" borderId="2" xfId="1" applyFont="1" applyFill="1" applyBorder="1" applyAlignment="1">
      <alignment horizontal="center" vertical="center" wrapText="1"/>
    </xf>
    <xf numFmtId="0" fontId="14" fillId="0" borderId="4" xfId="1" applyFont="1" applyFill="1" applyBorder="1" applyAlignment="1">
      <alignment horizontal="center" vertical="center" wrapText="1"/>
    </xf>
    <xf numFmtId="0" fontId="14" fillId="0" borderId="3" xfId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/>
    </xf>
    <xf numFmtId="0" fontId="2" fillId="0" borderId="2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5" fillId="0" borderId="5" xfId="1" applyFont="1" applyFill="1" applyBorder="1" applyAlignment="1">
      <alignment horizontal="center" vertical="center" wrapText="1"/>
    </xf>
    <xf numFmtId="0" fontId="15" fillId="0" borderId="4" xfId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center" vertical="center"/>
    </xf>
  </cellXfs>
  <cellStyles count="6">
    <cellStyle name="Normal" xfId="0" builtinId="0"/>
    <cellStyle name="Normal 2" xfId="2"/>
    <cellStyle name="Normal 3" xfId="3"/>
    <cellStyle name="Normal 4" xfId="4"/>
    <cellStyle name="Normal_Sheet1" xfId="1"/>
    <cellStyle name="Normal_Sheet2_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selection activeCell="D10" sqref="D10:D11"/>
    </sheetView>
  </sheetViews>
  <sheetFormatPr defaultRowHeight="15"/>
  <cols>
    <col min="1" max="1" width="9.85546875" bestFit="1" customWidth="1"/>
    <col min="2" max="2" width="29.7109375" customWidth="1"/>
    <col min="3" max="3" width="31" customWidth="1"/>
    <col min="4" max="4" width="35.28515625" bestFit="1" customWidth="1"/>
    <col min="5" max="5" width="9.5703125" customWidth="1"/>
    <col min="6" max="6" width="9.140625" style="15"/>
  </cols>
  <sheetData>
    <row r="1" spans="1:8" ht="30" customHeight="1">
      <c r="A1" s="65" t="s">
        <v>83</v>
      </c>
      <c r="B1" s="65"/>
      <c r="C1" s="65"/>
      <c r="D1" s="65"/>
      <c r="E1" s="65"/>
      <c r="F1" s="65"/>
      <c r="G1" s="18"/>
      <c r="H1" s="18"/>
    </row>
    <row r="2" spans="1:8" s="5" customFormat="1" ht="30" customHeight="1">
      <c r="A2" s="54" t="s">
        <v>85</v>
      </c>
      <c r="B2" s="53" t="s">
        <v>285</v>
      </c>
      <c r="C2" s="44"/>
      <c r="D2" s="66" t="s">
        <v>283</v>
      </c>
      <c r="E2" s="67"/>
      <c r="F2" s="68"/>
    </row>
    <row r="3" spans="1:8" s="1" customFormat="1" ht="30" customHeight="1">
      <c r="A3" s="56"/>
      <c r="B3" s="8"/>
      <c r="C3" s="8"/>
      <c r="D3" s="66" t="s">
        <v>284</v>
      </c>
      <c r="E3" s="67"/>
      <c r="F3" s="68"/>
    </row>
    <row r="4" spans="1:8" ht="30" customHeight="1">
      <c r="A4" s="13" t="s">
        <v>99</v>
      </c>
      <c r="B4" s="13" t="s">
        <v>1</v>
      </c>
      <c r="C4" s="13" t="s">
        <v>3</v>
      </c>
      <c r="D4" s="13" t="s">
        <v>4</v>
      </c>
      <c r="E4" s="13" t="s">
        <v>5</v>
      </c>
      <c r="F4" s="50" t="s">
        <v>287</v>
      </c>
    </row>
    <row r="5" spans="1:8" ht="30" customHeight="1">
      <c r="A5" s="69">
        <v>1</v>
      </c>
      <c r="B5" s="57" t="s">
        <v>15</v>
      </c>
      <c r="C5" s="57" t="s">
        <v>15</v>
      </c>
      <c r="D5" s="57" t="s">
        <v>114</v>
      </c>
      <c r="E5" s="57" t="s">
        <v>27</v>
      </c>
      <c r="F5" s="59">
        <v>1</v>
      </c>
    </row>
    <row r="6" spans="1:8" ht="30" customHeight="1">
      <c r="A6" s="69"/>
      <c r="B6" s="57" t="s">
        <v>7</v>
      </c>
      <c r="C6" s="57" t="s">
        <v>7</v>
      </c>
      <c r="D6" s="57" t="s">
        <v>117</v>
      </c>
      <c r="E6" s="57" t="s">
        <v>40</v>
      </c>
      <c r="F6" s="59">
        <v>2</v>
      </c>
    </row>
    <row r="7" spans="1:8" ht="30" customHeight="1">
      <c r="A7" s="64">
        <v>2</v>
      </c>
      <c r="B7" s="57" t="s">
        <v>22</v>
      </c>
      <c r="C7" s="57" t="s">
        <v>22</v>
      </c>
      <c r="D7" s="57" t="s">
        <v>144</v>
      </c>
      <c r="E7" s="57" t="s">
        <v>18</v>
      </c>
      <c r="F7" s="59">
        <v>1</v>
      </c>
    </row>
    <row r="8" spans="1:8" ht="30" customHeight="1">
      <c r="A8" s="64"/>
      <c r="B8" s="57" t="s">
        <v>81</v>
      </c>
      <c r="C8" s="57" t="s">
        <v>39</v>
      </c>
      <c r="D8" s="57" t="s">
        <v>140</v>
      </c>
      <c r="E8" s="57" t="s">
        <v>79</v>
      </c>
      <c r="F8" s="59">
        <v>2</v>
      </c>
    </row>
    <row r="9" spans="1:8" ht="30" customHeight="1">
      <c r="A9" s="64">
        <v>3</v>
      </c>
      <c r="B9" s="57" t="s">
        <v>30</v>
      </c>
      <c r="C9" s="57" t="s">
        <v>38</v>
      </c>
      <c r="D9" s="57" t="s">
        <v>173</v>
      </c>
      <c r="E9" s="57" t="s">
        <v>67</v>
      </c>
      <c r="F9" s="59">
        <v>1</v>
      </c>
    </row>
    <row r="10" spans="1:8" ht="30" customHeight="1">
      <c r="A10" s="64"/>
      <c r="B10" s="57" t="s">
        <v>30</v>
      </c>
      <c r="C10" s="57" t="s">
        <v>34</v>
      </c>
      <c r="D10" s="57" t="s">
        <v>177</v>
      </c>
      <c r="E10" s="57" t="s">
        <v>178</v>
      </c>
      <c r="F10" s="59">
        <v>2</v>
      </c>
    </row>
    <row r="11" spans="1:8" ht="30" customHeight="1">
      <c r="A11" s="64"/>
      <c r="B11" s="57" t="s">
        <v>30</v>
      </c>
      <c r="C11" s="57" t="s">
        <v>34</v>
      </c>
      <c r="D11" s="57" t="s">
        <v>179</v>
      </c>
      <c r="E11" s="57" t="s">
        <v>147</v>
      </c>
      <c r="F11" s="59">
        <v>3</v>
      </c>
    </row>
    <row r="12" spans="1:8" ht="30" customHeight="1">
      <c r="A12" s="64">
        <v>4</v>
      </c>
      <c r="B12" s="57" t="s">
        <v>77</v>
      </c>
      <c r="C12" s="57" t="s">
        <v>78</v>
      </c>
      <c r="D12" s="57" t="s">
        <v>184</v>
      </c>
      <c r="E12" s="57" t="s">
        <v>82</v>
      </c>
      <c r="F12" s="59">
        <v>1</v>
      </c>
    </row>
    <row r="13" spans="1:8" ht="30" customHeight="1">
      <c r="A13" s="64"/>
      <c r="B13" s="57" t="s">
        <v>73</v>
      </c>
      <c r="C13" s="57" t="s">
        <v>70</v>
      </c>
      <c r="D13" s="57" t="s">
        <v>189</v>
      </c>
      <c r="E13" s="57" t="s">
        <v>32</v>
      </c>
      <c r="F13" s="59">
        <v>2</v>
      </c>
    </row>
    <row r="14" spans="1:8" ht="30" customHeight="1">
      <c r="A14" s="64">
        <v>5</v>
      </c>
      <c r="B14" s="57" t="s">
        <v>12</v>
      </c>
      <c r="C14" s="57" t="s">
        <v>12</v>
      </c>
      <c r="D14" s="57" t="s">
        <v>131</v>
      </c>
      <c r="E14" s="57" t="s">
        <v>132</v>
      </c>
      <c r="F14" s="59">
        <v>1</v>
      </c>
    </row>
    <row r="15" spans="1:8" ht="30" customHeight="1">
      <c r="A15" s="64"/>
      <c r="B15" s="57" t="s">
        <v>12</v>
      </c>
      <c r="C15" s="57" t="s">
        <v>12</v>
      </c>
      <c r="D15" s="57" t="s">
        <v>133</v>
      </c>
      <c r="E15" s="57" t="s">
        <v>134</v>
      </c>
      <c r="F15" s="59">
        <v>2</v>
      </c>
    </row>
    <row r="16" spans="1:8" ht="30" customHeight="1">
      <c r="A16" s="64">
        <v>6</v>
      </c>
      <c r="B16" s="57" t="s">
        <v>63</v>
      </c>
      <c r="C16" s="57" t="s">
        <v>63</v>
      </c>
      <c r="D16" s="57" t="s">
        <v>240</v>
      </c>
      <c r="E16" s="57" t="s">
        <v>42</v>
      </c>
      <c r="F16" s="59">
        <v>1</v>
      </c>
    </row>
    <row r="17" spans="1:6" ht="30" customHeight="1">
      <c r="A17" s="64"/>
      <c r="B17" s="57" t="s">
        <v>63</v>
      </c>
      <c r="C17" s="57" t="s">
        <v>63</v>
      </c>
      <c r="D17" s="57" t="s">
        <v>254</v>
      </c>
      <c r="E17" s="57" t="s">
        <v>178</v>
      </c>
      <c r="F17" s="59">
        <v>2</v>
      </c>
    </row>
  </sheetData>
  <mergeCells count="9">
    <mergeCell ref="A14:A15"/>
    <mergeCell ref="A16:A17"/>
    <mergeCell ref="A1:F1"/>
    <mergeCell ref="D2:F2"/>
    <mergeCell ref="D3:F3"/>
    <mergeCell ref="A5:A6"/>
    <mergeCell ref="A7:A8"/>
    <mergeCell ref="A9:A11"/>
    <mergeCell ref="A12:A13"/>
  </mergeCells>
  <pageMargins left="0.31496062992125984" right="0.31496062992125984" top="0.35433070866141736" bottom="0.35433070866141736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selection activeCell="F6" sqref="F6"/>
    </sheetView>
  </sheetViews>
  <sheetFormatPr defaultRowHeight="15"/>
  <cols>
    <col min="1" max="1" width="9.85546875" bestFit="1" customWidth="1"/>
    <col min="2" max="2" width="29.7109375" customWidth="1"/>
    <col min="3" max="3" width="31" customWidth="1"/>
    <col min="4" max="4" width="27" customWidth="1"/>
    <col min="5" max="5" width="10.7109375" customWidth="1"/>
    <col min="6" max="6" width="9.140625" style="15"/>
  </cols>
  <sheetData>
    <row r="1" spans="1:6" ht="30" customHeight="1">
      <c r="A1" s="65" t="s">
        <v>83</v>
      </c>
      <c r="B1" s="65"/>
      <c r="C1" s="65"/>
      <c r="D1" s="65"/>
      <c r="E1" s="65"/>
      <c r="F1" s="65"/>
    </row>
    <row r="2" spans="1:6" s="1" customFormat="1" ht="30" customHeight="1">
      <c r="A2" s="54" t="s">
        <v>85</v>
      </c>
      <c r="B2" s="53" t="s">
        <v>285</v>
      </c>
      <c r="C2" s="55" t="s">
        <v>284</v>
      </c>
      <c r="D2" s="70" t="s">
        <v>288</v>
      </c>
      <c r="E2" s="70"/>
      <c r="F2" s="70"/>
    </row>
    <row r="3" spans="1:6" ht="45" customHeight="1">
      <c r="A3" s="13" t="s">
        <v>99</v>
      </c>
      <c r="B3" s="13" t="s">
        <v>1</v>
      </c>
      <c r="C3" s="13" t="s">
        <v>3</v>
      </c>
      <c r="D3" s="13" t="s">
        <v>4</v>
      </c>
      <c r="E3" s="13" t="s">
        <v>5</v>
      </c>
      <c r="F3" s="58" t="s">
        <v>286</v>
      </c>
    </row>
    <row r="4" spans="1:6" ht="30" customHeight="1">
      <c r="A4" s="69">
        <v>1</v>
      </c>
      <c r="B4" s="57" t="s">
        <v>15</v>
      </c>
      <c r="C4" s="57" t="s">
        <v>15</v>
      </c>
      <c r="D4" s="57" t="s">
        <v>113</v>
      </c>
      <c r="E4" s="57" t="s">
        <v>61</v>
      </c>
      <c r="F4" s="59">
        <v>3</v>
      </c>
    </row>
    <row r="5" spans="1:6" ht="30" customHeight="1">
      <c r="A5" s="69"/>
      <c r="B5" s="57" t="s">
        <v>7</v>
      </c>
      <c r="C5" s="57" t="s">
        <v>7</v>
      </c>
      <c r="D5" s="57" t="s">
        <v>116</v>
      </c>
      <c r="E5" s="57" t="s">
        <v>42</v>
      </c>
      <c r="F5" s="59">
        <v>4</v>
      </c>
    </row>
    <row r="6" spans="1:6" ht="30" customHeight="1">
      <c r="A6" s="64">
        <v>2</v>
      </c>
      <c r="B6" s="57" t="s">
        <v>81</v>
      </c>
      <c r="C6" s="57" t="s">
        <v>81</v>
      </c>
      <c r="D6" s="57" t="s">
        <v>136</v>
      </c>
      <c r="E6" s="57" t="s">
        <v>17</v>
      </c>
      <c r="F6" s="59">
        <v>3</v>
      </c>
    </row>
    <row r="7" spans="1:6" ht="30" customHeight="1">
      <c r="A7" s="64"/>
      <c r="B7" s="57" t="s">
        <v>22</v>
      </c>
      <c r="C7" s="57" t="s">
        <v>12</v>
      </c>
      <c r="D7" s="57" t="s">
        <v>142</v>
      </c>
      <c r="E7" s="57" t="s">
        <v>29</v>
      </c>
      <c r="F7" s="59">
        <v>4</v>
      </c>
    </row>
    <row r="8" spans="1:6" ht="30" customHeight="1">
      <c r="A8" s="64">
        <v>3</v>
      </c>
      <c r="B8" s="57" t="s">
        <v>39</v>
      </c>
      <c r="C8" s="57" t="s">
        <v>39</v>
      </c>
      <c r="D8" s="57" t="s">
        <v>159</v>
      </c>
      <c r="E8" s="57" t="s">
        <v>160</v>
      </c>
      <c r="F8" s="59">
        <v>4</v>
      </c>
    </row>
    <row r="9" spans="1:6" ht="30" customHeight="1">
      <c r="A9" s="64"/>
      <c r="B9" s="57" t="s">
        <v>39</v>
      </c>
      <c r="C9" s="57" t="s">
        <v>46</v>
      </c>
      <c r="D9" s="57" t="s">
        <v>152</v>
      </c>
      <c r="E9" s="57" t="s">
        <v>66</v>
      </c>
      <c r="F9" s="59">
        <v>5</v>
      </c>
    </row>
    <row r="10" spans="1:6" ht="30" customHeight="1">
      <c r="A10" s="64"/>
      <c r="B10" s="57" t="s">
        <v>39</v>
      </c>
      <c r="C10" s="57" t="s">
        <v>39</v>
      </c>
      <c r="D10" s="57" t="s">
        <v>39</v>
      </c>
      <c r="E10" s="57" t="s">
        <v>165</v>
      </c>
      <c r="F10" s="59">
        <v>6</v>
      </c>
    </row>
    <row r="11" spans="1:6" ht="30" customHeight="1">
      <c r="A11" s="64">
        <v>4</v>
      </c>
      <c r="B11" s="57" t="s">
        <v>77</v>
      </c>
      <c r="C11" s="57" t="s">
        <v>78</v>
      </c>
      <c r="D11" s="57" t="s">
        <v>185</v>
      </c>
      <c r="E11" s="57" t="s">
        <v>20</v>
      </c>
      <c r="F11" s="59">
        <v>3</v>
      </c>
    </row>
    <row r="12" spans="1:6" ht="30" customHeight="1">
      <c r="A12" s="64"/>
      <c r="B12" s="57" t="s">
        <v>73</v>
      </c>
      <c r="C12" s="57" t="s">
        <v>6</v>
      </c>
      <c r="D12" s="57" t="s">
        <v>192</v>
      </c>
      <c r="E12" s="57" t="s">
        <v>43</v>
      </c>
      <c r="F12" s="59">
        <v>4</v>
      </c>
    </row>
    <row r="13" spans="1:6" ht="30" customHeight="1">
      <c r="A13" s="64">
        <v>5</v>
      </c>
      <c r="B13" s="57" t="s">
        <v>12</v>
      </c>
      <c r="C13" s="57" t="s">
        <v>12</v>
      </c>
      <c r="D13" s="57" t="s">
        <v>126</v>
      </c>
      <c r="E13" s="57" t="s">
        <v>127</v>
      </c>
      <c r="F13" s="59">
        <v>3</v>
      </c>
    </row>
    <row r="14" spans="1:6" ht="30" customHeight="1">
      <c r="A14" s="64"/>
      <c r="B14" s="57" t="s">
        <v>52</v>
      </c>
      <c r="C14" s="57" t="s">
        <v>52</v>
      </c>
      <c r="D14" s="57" t="s">
        <v>239</v>
      </c>
      <c r="E14" s="57" t="s">
        <v>37</v>
      </c>
      <c r="F14" s="59">
        <v>4</v>
      </c>
    </row>
    <row r="15" spans="1:6" ht="30" customHeight="1">
      <c r="A15" s="64">
        <v>6</v>
      </c>
      <c r="B15" s="57" t="s">
        <v>63</v>
      </c>
      <c r="C15" s="57" t="s">
        <v>63</v>
      </c>
      <c r="D15" s="57" t="s">
        <v>243</v>
      </c>
      <c r="E15" s="57" t="s">
        <v>121</v>
      </c>
      <c r="F15" s="59">
        <v>3</v>
      </c>
    </row>
    <row r="16" spans="1:6" ht="30" customHeight="1">
      <c r="A16" s="64"/>
      <c r="B16" s="57" t="s">
        <v>57</v>
      </c>
      <c r="C16" s="57" t="s">
        <v>57</v>
      </c>
      <c r="D16" s="57" t="s">
        <v>259</v>
      </c>
      <c r="E16" s="57" t="s">
        <v>40</v>
      </c>
      <c r="F16" s="59">
        <v>4</v>
      </c>
    </row>
  </sheetData>
  <mergeCells count="8">
    <mergeCell ref="A13:A14"/>
    <mergeCell ref="A15:A16"/>
    <mergeCell ref="A1:F1"/>
    <mergeCell ref="D2:F2"/>
    <mergeCell ref="A4:A5"/>
    <mergeCell ref="A6:A7"/>
    <mergeCell ref="A8:A10"/>
    <mergeCell ref="A11:A12"/>
  </mergeCells>
  <pageMargins left="0.31496062992125984" right="0.31496062992125984" top="0.35433070866141736" bottom="0.35433070866141736" header="0.31496062992125984" footer="0.31496062992125984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4"/>
  <sheetViews>
    <sheetView workbookViewId="0">
      <selection activeCell="E22" sqref="E22"/>
    </sheetView>
  </sheetViews>
  <sheetFormatPr defaultRowHeight="15"/>
  <cols>
    <col min="1" max="1" width="9.85546875" bestFit="1" customWidth="1"/>
    <col min="2" max="2" width="13.5703125" bestFit="1" customWidth="1"/>
    <col min="3" max="3" width="29.7109375" customWidth="1"/>
    <col min="4" max="4" width="13.5703125" bestFit="1" customWidth="1"/>
    <col min="5" max="5" width="31" customWidth="1"/>
    <col min="6" max="6" width="35.28515625" bestFit="1" customWidth="1"/>
    <col min="7" max="7" width="9.5703125" customWidth="1"/>
    <col min="8" max="8" width="10.7109375" style="15" customWidth="1"/>
    <col min="9" max="9" width="9.140625" style="15"/>
  </cols>
  <sheetData>
    <row r="1" spans="1:11" s="5" customFormat="1">
      <c r="A1" s="71" t="s">
        <v>83</v>
      </c>
      <c r="B1" s="71"/>
      <c r="C1" s="71"/>
      <c r="D1" s="71"/>
      <c r="E1" s="71"/>
      <c r="F1" s="71"/>
      <c r="G1" s="71"/>
      <c r="H1" s="71"/>
      <c r="I1" s="71"/>
      <c r="J1" s="62"/>
      <c r="K1" s="62"/>
    </row>
    <row r="2" spans="1:11" s="1" customFormat="1" ht="15.75">
      <c r="A2" s="2" t="s">
        <v>85</v>
      </c>
      <c r="B2" s="11" t="s">
        <v>101</v>
      </c>
      <c r="C2" s="4"/>
      <c r="D2" s="3"/>
      <c r="E2" s="3"/>
      <c r="F2" s="63" t="s">
        <v>86</v>
      </c>
      <c r="G2" s="3"/>
      <c r="H2" s="3"/>
      <c r="I2" s="49"/>
      <c r="J2" s="5"/>
      <c r="K2" s="5"/>
    </row>
    <row r="3" spans="1:11" ht="15.75">
      <c r="A3" s="6"/>
      <c r="B3" s="4"/>
      <c r="C3" s="4"/>
      <c r="D3" s="4"/>
      <c r="E3" s="4"/>
      <c r="F3" s="63" t="s">
        <v>284</v>
      </c>
      <c r="G3" s="4"/>
      <c r="H3" s="4"/>
      <c r="I3" s="49"/>
      <c r="J3" s="1"/>
      <c r="K3" s="1"/>
    </row>
    <row r="4" spans="1:11" ht="60.75">
      <c r="A4" s="12" t="s">
        <v>99</v>
      </c>
      <c r="B4" s="13" t="s">
        <v>0</v>
      </c>
      <c r="C4" s="13" t="s">
        <v>1</v>
      </c>
      <c r="D4" s="13" t="s">
        <v>2</v>
      </c>
      <c r="E4" s="13" t="s">
        <v>3</v>
      </c>
      <c r="F4" s="13" t="s">
        <v>4</v>
      </c>
      <c r="G4" s="13" t="s">
        <v>5</v>
      </c>
      <c r="H4" s="14" t="s">
        <v>100</v>
      </c>
      <c r="I4" s="50" t="s">
        <v>267</v>
      </c>
    </row>
    <row r="5" spans="1:11">
      <c r="A5" s="73">
        <v>1</v>
      </c>
      <c r="B5" s="47" t="s">
        <v>56</v>
      </c>
      <c r="C5" s="47" t="s">
        <v>15</v>
      </c>
      <c r="D5" s="47" t="s">
        <v>79</v>
      </c>
      <c r="E5" s="47" t="s">
        <v>19</v>
      </c>
      <c r="F5" s="47" t="s">
        <v>111</v>
      </c>
      <c r="G5" s="47" t="s">
        <v>82</v>
      </c>
      <c r="H5" s="16">
        <v>1</v>
      </c>
      <c r="I5" s="16">
        <v>1</v>
      </c>
    </row>
    <row r="6" spans="1:11">
      <c r="A6" s="74"/>
      <c r="B6" s="47" t="s">
        <v>56</v>
      </c>
      <c r="C6" s="47" t="s">
        <v>15</v>
      </c>
      <c r="D6" s="47" t="s">
        <v>79</v>
      </c>
      <c r="E6" s="47" t="s">
        <v>19</v>
      </c>
      <c r="F6" s="47" t="s">
        <v>112</v>
      </c>
      <c r="G6" s="47" t="s">
        <v>25</v>
      </c>
      <c r="H6" s="16">
        <v>2</v>
      </c>
      <c r="I6" s="16">
        <v>2</v>
      </c>
    </row>
    <row r="7" spans="1:11">
      <c r="A7" s="74"/>
      <c r="B7" s="47" t="s">
        <v>56</v>
      </c>
      <c r="C7" s="47" t="s">
        <v>15</v>
      </c>
      <c r="D7" s="47" t="s">
        <v>60</v>
      </c>
      <c r="E7" s="47" t="s">
        <v>15</v>
      </c>
      <c r="F7" s="47" t="s">
        <v>113</v>
      </c>
      <c r="G7" s="47" t="s">
        <v>61</v>
      </c>
      <c r="H7" s="16">
        <v>1</v>
      </c>
      <c r="I7" s="52">
        <v>3</v>
      </c>
    </row>
    <row r="8" spans="1:11">
      <c r="A8" s="74"/>
      <c r="B8" s="47" t="s">
        <v>56</v>
      </c>
      <c r="C8" s="47" t="s">
        <v>15</v>
      </c>
      <c r="D8" s="47" t="s">
        <v>60</v>
      </c>
      <c r="E8" s="47" t="s">
        <v>15</v>
      </c>
      <c r="F8" s="47" t="s">
        <v>114</v>
      </c>
      <c r="G8" s="47" t="s">
        <v>27</v>
      </c>
      <c r="H8" s="16">
        <v>2</v>
      </c>
      <c r="I8" s="51">
        <v>4</v>
      </c>
    </row>
    <row r="9" spans="1:11">
      <c r="A9" s="74"/>
      <c r="B9" s="47" t="s">
        <v>56</v>
      </c>
      <c r="C9" s="47" t="s">
        <v>15</v>
      </c>
      <c r="D9" s="47" t="s">
        <v>60</v>
      </c>
      <c r="E9" s="47" t="s">
        <v>15</v>
      </c>
      <c r="F9" s="47" t="s">
        <v>115</v>
      </c>
      <c r="G9" s="47" t="s">
        <v>80</v>
      </c>
      <c r="H9" s="16">
        <v>3</v>
      </c>
      <c r="I9" s="16">
        <v>5</v>
      </c>
    </row>
    <row r="10" spans="1:11">
      <c r="A10" s="74"/>
      <c r="B10" s="47" t="s">
        <v>110</v>
      </c>
      <c r="C10" s="47" t="s">
        <v>7</v>
      </c>
      <c r="D10" s="47" t="s">
        <v>32</v>
      </c>
      <c r="E10" s="47" t="s">
        <v>7</v>
      </c>
      <c r="F10" s="47" t="s">
        <v>116</v>
      </c>
      <c r="G10" s="47" t="s">
        <v>42</v>
      </c>
      <c r="H10" s="16">
        <v>1</v>
      </c>
      <c r="I10" s="52">
        <v>6</v>
      </c>
    </row>
    <row r="11" spans="1:11">
      <c r="A11" s="74"/>
      <c r="B11" s="47" t="s">
        <v>110</v>
      </c>
      <c r="C11" s="47" t="s">
        <v>7</v>
      </c>
      <c r="D11" s="47" t="s">
        <v>32</v>
      </c>
      <c r="E11" s="47" t="s">
        <v>7</v>
      </c>
      <c r="F11" s="47" t="s">
        <v>117</v>
      </c>
      <c r="G11" s="47" t="s">
        <v>40</v>
      </c>
      <c r="H11" s="16">
        <v>2</v>
      </c>
      <c r="I11" s="51">
        <v>7</v>
      </c>
    </row>
    <row r="12" spans="1:11">
      <c r="A12" s="74"/>
      <c r="B12" s="47" t="s">
        <v>110</v>
      </c>
      <c r="C12" s="47" t="s">
        <v>7</v>
      </c>
      <c r="D12" s="47" t="s">
        <v>32</v>
      </c>
      <c r="E12" s="47" t="s">
        <v>7</v>
      </c>
      <c r="F12" s="47" t="s">
        <v>118</v>
      </c>
      <c r="G12" s="47" t="s">
        <v>119</v>
      </c>
      <c r="H12" s="16">
        <v>3</v>
      </c>
      <c r="I12" s="16">
        <v>8</v>
      </c>
    </row>
    <row r="13" spans="1:11">
      <c r="A13" s="74"/>
      <c r="B13" s="47" t="s">
        <v>110</v>
      </c>
      <c r="C13" s="47" t="s">
        <v>7</v>
      </c>
      <c r="D13" s="47" t="s">
        <v>32</v>
      </c>
      <c r="E13" s="47" t="s">
        <v>7</v>
      </c>
      <c r="F13" s="47" t="s">
        <v>120</v>
      </c>
      <c r="G13" s="47" t="s">
        <v>121</v>
      </c>
      <c r="H13" s="16">
        <v>4</v>
      </c>
      <c r="I13" s="16">
        <v>9</v>
      </c>
    </row>
    <row r="14" spans="1:11">
      <c r="A14" s="74"/>
      <c r="B14" s="47" t="s">
        <v>110</v>
      </c>
      <c r="C14" s="47" t="s">
        <v>7</v>
      </c>
      <c r="D14" s="47" t="s">
        <v>32</v>
      </c>
      <c r="E14" s="47" t="s">
        <v>7</v>
      </c>
      <c r="F14" s="47" t="s">
        <v>122</v>
      </c>
      <c r="G14" s="47" t="s">
        <v>123</v>
      </c>
      <c r="H14" s="16">
        <v>5</v>
      </c>
      <c r="I14" s="16">
        <v>10</v>
      </c>
    </row>
    <row r="15" spans="1:11">
      <c r="A15" s="74"/>
      <c r="B15" s="47" t="s">
        <v>110</v>
      </c>
      <c r="C15" s="47" t="s">
        <v>7</v>
      </c>
      <c r="D15" s="47" t="s">
        <v>32</v>
      </c>
      <c r="E15" s="47" t="s">
        <v>7</v>
      </c>
      <c r="F15" s="47" t="s">
        <v>124</v>
      </c>
      <c r="G15" s="47" t="s">
        <v>121</v>
      </c>
      <c r="H15" s="16">
        <v>6</v>
      </c>
      <c r="I15" s="16">
        <v>11</v>
      </c>
    </row>
    <row r="16" spans="1:11">
      <c r="A16" s="75">
        <v>2</v>
      </c>
      <c r="B16" s="47" t="s">
        <v>26</v>
      </c>
      <c r="C16" s="47" t="s">
        <v>81</v>
      </c>
      <c r="D16" s="47" t="s">
        <v>20</v>
      </c>
      <c r="E16" s="47" t="s">
        <v>81</v>
      </c>
      <c r="F16" s="47" t="s">
        <v>135</v>
      </c>
      <c r="G16" s="47" t="s">
        <v>16</v>
      </c>
      <c r="H16" s="16">
        <v>1</v>
      </c>
      <c r="I16" s="16">
        <v>1</v>
      </c>
    </row>
    <row r="17" spans="1:9">
      <c r="A17" s="76"/>
      <c r="B17" s="47" t="s">
        <v>26</v>
      </c>
      <c r="C17" s="47" t="s">
        <v>81</v>
      </c>
      <c r="D17" s="47" t="s">
        <v>20</v>
      </c>
      <c r="E17" s="47" t="s">
        <v>81</v>
      </c>
      <c r="F17" s="47" t="s">
        <v>136</v>
      </c>
      <c r="G17" s="47" t="s">
        <v>17</v>
      </c>
      <c r="H17" s="16">
        <v>2</v>
      </c>
      <c r="I17" s="52">
        <v>2</v>
      </c>
    </row>
    <row r="18" spans="1:9">
      <c r="A18" s="76"/>
      <c r="B18" s="47" t="s">
        <v>26</v>
      </c>
      <c r="C18" s="47" t="s">
        <v>81</v>
      </c>
      <c r="D18" s="47" t="s">
        <v>20</v>
      </c>
      <c r="E18" s="47" t="s">
        <v>81</v>
      </c>
      <c r="F18" s="47" t="s">
        <v>137</v>
      </c>
      <c r="G18" s="47" t="s">
        <v>56</v>
      </c>
      <c r="H18" s="16">
        <v>3</v>
      </c>
      <c r="I18" s="16">
        <v>3</v>
      </c>
    </row>
    <row r="19" spans="1:9">
      <c r="A19" s="76"/>
      <c r="B19" s="47" t="s">
        <v>26</v>
      </c>
      <c r="C19" s="47" t="s">
        <v>81</v>
      </c>
      <c r="D19" s="47" t="s">
        <v>20</v>
      </c>
      <c r="E19" s="47" t="s">
        <v>81</v>
      </c>
      <c r="F19" s="47" t="s">
        <v>138</v>
      </c>
      <c r="G19" s="47" t="s">
        <v>21</v>
      </c>
      <c r="H19" s="16">
        <v>4</v>
      </c>
      <c r="I19" s="16">
        <v>4</v>
      </c>
    </row>
    <row r="20" spans="1:9">
      <c r="A20" s="76"/>
      <c r="B20" s="47" t="s">
        <v>26</v>
      </c>
      <c r="C20" s="47" t="s">
        <v>81</v>
      </c>
      <c r="D20" s="47" t="s">
        <v>20</v>
      </c>
      <c r="E20" s="47" t="s">
        <v>81</v>
      </c>
      <c r="F20" s="47" t="s">
        <v>139</v>
      </c>
      <c r="G20" s="47" t="s">
        <v>35</v>
      </c>
      <c r="H20" s="16">
        <v>5</v>
      </c>
      <c r="I20" s="16">
        <v>5</v>
      </c>
    </row>
    <row r="21" spans="1:9">
      <c r="A21" s="76"/>
      <c r="B21" s="47" t="s">
        <v>26</v>
      </c>
      <c r="C21" s="47" t="s">
        <v>81</v>
      </c>
      <c r="D21" s="47" t="s">
        <v>68</v>
      </c>
      <c r="E21" s="47" t="s">
        <v>39</v>
      </c>
      <c r="F21" s="47" t="s">
        <v>140</v>
      </c>
      <c r="G21" s="47" t="s">
        <v>79</v>
      </c>
      <c r="H21" s="16">
        <v>1</v>
      </c>
      <c r="I21" s="51">
        <v>6</v>
      </c>
    </row>
    <row r="22" spans="1:9">
      <c r="A22" s="76"/>
      <c r="B22" s="47" t="s">
        <v>55</v>
      </c>
      <c r="C22" s="47" t="s">
        <v>22</v>
      </c>
      <c r="D22" s="47" t="s">
        <v>18</v>
      </c>
      <c r="E22" s="47" t="s">
        <v>12</v>
      </c>
      <c r="F22" s="47" t="s">
        <v>141</v>
      </c>
      <c r="G22" s="47" t="s">
        <v>54</v>
      </c>
      <c r="H22" s="16">
        <v>1</v>
      </c>
      <c r="I22" s="16">
        <v>7</v>
      </c>
    </row>
    <row r="23" spans="1:9">
      <c r="A23" s="76"/>
      <c r="B23" s="47" t="s">
        <v>55</v>
      </c>
      <c r="C23" s="47" t="s">
        <v>22</v>
      </c>
      <c r="D23" s="47" t="s">
        <v>18</v>
      </c>
      <c r="E23" s="47" t="s">
        <v>12</v>
      </c>
      <c r="F23" s="47" t="s">
        <v>142</v>
      </c>
      <c r="G23" s="47" t="s">
        <v>29</v>
      </c>
      <c r="H23" s="16">
        <v>2</v>
      </c>
      <c r="I23" s="52">
        <v>8</v>
      </c>
    </row>
    <row r="24" spans="1:9">
      <c r="A24" s="76"/>
      <c r="B24" s="47" t="s">
        <v>55</v>
      </c>
      <c r="C24" s="47" t="s">
        <v>22</v>
      </c>
      <c r="D24" s="47" t="s">
        <v>18</v>
      </c>
      <c r="E24" s="47" t="s">
        <v>12</v>
      </c>
      <c r="F24" s="47" t="s">
        <v>143</v>
      </c>
      <c r="G24" s="47" t="s">
        <v>51</v>
      </c>
      <c r="H24" s="16">
        <v>3</v>
      </c>
      <c r="I24" s="16">
        <v>9</v>
      </c>
    </row>
    <row r="25" spans="1:9">
      <c r="A25" s="76"/>
      <c r="B25" s="47" t="s">
        <v>55</v>
      </c>
      <c r="C25" s="47" t="s">
        <v>22</v>
      </c>
      <c r="D25" s="47" t="s">
        <v>17</v>
      </c>
      <c r="E25" s="47" t="s">
        <v>22</v>
      </c>
      <c r="F25" s="47" t="s">
        <v>144</v>
      </c>
      <c r="G25" s="47" t="s">
        <v>18</v>
      </c>
      <c r="H25" s="16">
        <v>1</v>
      </c>
      <c r="I25" s="51">
        <v>10</v>
      </c>
    </row>
    <row r="26" spans="1:9">
      <c r="A26" s="76"/>
      <c r="B26" s="47" t="s">
        <v>55</v>
      </c>
      <c r="C26" s="47" t="s">
        <v>22</v>
      </c>
      <c r="D26" s="47" t="s">
        <v>17</v>
      </c>
      <c r="E26" s="47" t="s">
        <v>22</v>
      </c>
      <c r="F26" s="47" t="s">
        <v>145</v>
      </c>
      <c r="G26" s="47" t="s">
        <v>24</v>
      </c>
      <c r="H26" s="16">
        <v>2</v>
      </c>
      <c r="I26" s="16">
        <v>11</v>
      </c>
    </row>
    <row r="27" spans="1:9">
      <c r="A27" s="76"/>
      <c r="B27" s="47" t="s">
        <v>55</v>
      </c>
      <c r="C27" s="47" t="s">
        <v>22</v>
      </c>
      <c r="D27" s="47" t="s">
        <v>17</v>
      </c>
      <c r="E27" s="47" t="s">
        <v>22</v>
      </c>
      <c r="F27" s="47" t="s">
        <v>146</v>
      </c>
      <c r="G27" s="47" t="s">
        <v>147</v>
      </c>
      <c r="H27" s="16">
        <v>3</v>
      </c>
      <c r="I27" s="16">
        <v>12</v>
      </c>
    </row>
    <row r="28" spans="1:9">
      <c r="A28" s="76"/>
      <c r="B28" s="47" t="s">
        <v>55</v>
      </c>
      <c r="C28" s="47" t="s">
        <v>22</v>
      </c>
      <c r="D28" s="47" t="s">
        <v>17</v>
      </c>
      <c r="E28" s="47" t="s">
        <v>22</v>
      </c>
      <c r="F28" s="47" t="s">
        <v>148</v>
      </c>
      <c r="G28" s="47" t="s">
        <v>74</v>
      </c>
      <c r="H28" s="16">
        <v>4</v>
      </c>
      <c r="I28" s="16">
        <v>13</v>
      </c>
    </row>
    <row r="29" spans="1:9">
      <c r="A29" s="76"/>
      <c r="B29" s="47" t="s">
        <v>55</v>
      </c>
      <c r="C29" s="47" t="s">
        <v>22</v>
      </c>
      <c r="D29" s="47" t="s">
        <v>17</v>
      </c>
      <c r="E29" s="47" t="s">
        <v>22</v>
      </c>
      <c r="F29" s="47" t="s">
        <v>149</v>
      </c>
      <c r="G29" s="47" t="s">
        <v>33</v>
      </c>
      <c r="H29" s="16">
        <v>5</v>
      </c>
      <c r="I29" s="16">
        <v>14</v>
      </c>
    </row>
    <row r="30" spans="1:9">
      <c r="A30" s="76"/>
      <c r="B30" s="47" t="s">
        <v>55</v>
      </c>
      <c r="C30" s="47" t="s">
        <v>22</v>
      </c>
      <c r="D30" s="47" t="s">
        <v>17</v>
      </c>
      <c r="E30" s="47" t="s">
        <v>22</v>
      </c>
      <c r="F30" s="47" t="s">
        <v>150</v>
      </c>
      <c r="G30" s="47" t="s">
        <v>151</v>
      </c>
      <c r="H30" s="16">
        <v>6</v>
      </c>
      <c r="I30" s="16">
        <v>15</v>
      </c>
    </row>
    <row r="31" spans="1:9">
      <c r="A31" s="76">
        <v>3</v>
      </c>
      <c r="B31" s="47" t="s">
        <v>27</v>
      </c>
      <c r="C31" s="47" t="s">
        <v>39</v>
      </c>
      <c r="D31" s="47" t="s">
        <v>82</v>
      </c>
      <c r="E31" s="47" t="s">
        <v>46</v>
      </c>
      <c r="F31" s="47" t="s">
        <v>152</v>
      </c>
      <c r="G31" s="47" t="s">
        <v>66</v>
      </c>
      <c r="H31" s="16">
        <v>1</v>
      </c>
      <c r="I31" s="52">
        <v>1</v>
      </c>
    </row>
    <row r="32" spans="1:9">
      <c r="A32" s="76"/>
      <c r="B32" s="47" t="s">
        <v>27</v>
      </c>
      <c r="C32" s="47" t="s">
        <v>39</v>
      </c>
      <c r="D32" s="47" t="s">
        <v>82</v>
      </c>
      <c r="E32" s="47" t="s">
        <v>46</v>
      </c>
      <c r="F32" s="47" t="s">
        <v>153</v>
      </c>
      <c r="G32" s="47" t="s">
        <v>154</v>
      </c>
      <c r="H32" s="16">
        <v>2</v>
      </c>
      <c r="I32" s="16">
        <v>2</v>
      </c>
    </row>
    <row r="33" spans="1:9">
      <c r="A33" s="76"/>
      <c r="B33" s="47" t="s">
        <v>27</v>
      </c>
      <c r="C33" s="47" t="s">
        <v>39</v>
      </c>
      <c r="D33" s="47" t="s">
        <v>82</v>
      </c>
      <c r="E33" s="47" t="s">
        <v>46</v>
      </c>
      <c r="F33" s="47" t="s">
        <v>155</v>
      </c>
      <c r="G33" s="47" t="s">
        <v>156</v>
      </c>
      <c r="H33" s="16">
        <v>3</v>
      </c>
      <c r="I33" s="16">
        <v>3</v>
      </c>
    </row>
    <row r="34" spans="1:9">
      <c r="A34" s="76"/>
      <c r="B34" s="47" t="s">
        <v>27</v>
      </c>
      <c r="C34" s="47" t="s">
        <v>39</v>
      </c>
      <c r="D34" s="47" t="s">
        <v>68</v>
      </c>
      <c r="E34" s="47" t="s">
        <v>39</v>
      </c>
      <c r="F34" s="47" t="s">
        <v>157</v>
      </c>
      <c r="G34" s="47" t="s">
        <v>158</v>
      </c>
      <c r="H34" s="16">
        <v>1</v>
      </c>
      <c r="I34" s="16">
        <v>4</v>
      </c>
    </row>
    <row r="35" spans="1:9">
      <c r="A35" s="76"/>
      <c r="B35" s="47" t="s">
        <v>27</v>
      </c>
      <c r="C35" s="47" t="s">
        <v>39</v>
      </c>
      <c r="D35" s="47" t="s">
        <v>68</v>
      </c>
      <c r="E35" s="47" t="s">
        <v>39</v>
      </c>
      <c r="F35" s="47" t="s">
        <v>159</v>
      </c>
      <c r="G35" s="47" t="s">
        <v>160</v>
      </c>
      <c r="H35" s="16">
        <v>2</v>
      </c>
      <c r="I35" s="52">
        <v>5</v>
      </c>
    </row>
    <row r="36" spans="1:9">
      <c r="A36" s="76"/>
      <c r="B36" s="47" t="s">
        <v>27</v>
      </c>
      <c r="C36" s="47" t="s">
        <v>39</v>
      </c>
      <c r="D36" s="47" t="s">
        <v>68</v>
      </c>
      <c r="E36" s="47" t="s">
        <v>39</v>
      </c>
      <c r="F36" s="47" t="s">
        <v>161</v>
      </c>
      <c r="G36" s="47" t="s">
        <v>62</v>
      </c>
      <c r="H36" s="16">
        <v>3</v>
      </c>
      <c r="I36" s="16">
        <v>6</v>
      </c>
    </row>
    <row r="37" spans="1:9">
      <c r="A37" s="76"/>
      <c r="B37" s="47" t="s">
        <v>27</v>
      </c>
      <c r="C37" s="47" t="s">
        <v>39</v>
      </c>
      <c r="D37" s="47" t="s">
        <v>68</v>
      </c>
      <c r="E37" s="47" t="s">
        <v>39</v>
      </c>
      <c r="F37" s="47" t="s">
        <v>162</v>
      </c>
      <c r="G37" s="47" t="s">
        <v>65</v>
      </c>
      <c r="H37" s="16">
        <v>4</v>
      </c>
      <c r="I37" s="16">
        <v>7</v>
      </c>
    </row>
    <row r="38" spans="1:9">
      <c r="A38" s="76"/>
      <c r="B38" s="47" t="s">
        <v>27</v>
      </c>
      <c r="C38" s="47" t="s">
        <v>39</v>
      </c>
      <c r="D38" s="47" t="s">
        <v>68</v>
      </c>
      <c r="E38" s="47" t="s">
        <v>39</v>
      </c>
      <c r="F38" s="47" t="s">
        <v>163</v>
      </c>
      <c r="G38" s="47" t="s">
        <v>164</v>
      </c>
      <c r="H38" s="16">
        <v>5</v>
      </c>
      <c r="I38" s="16">
        <v>8</v>
      </c>
    </row>
    <row r="39" spans="1:9">
      <c r="A39" s="76"/>
      <c r="B39" s="47" t="s">
        <v>27</v>
      </c>
      <c r="C39" s="47" t="s">
        <v>39</v>
      </c>
      <c r="D39" s="47" t="s">
        <v>68</v>
      </c>
      <c r="E39" s="47" t="s">
        <v>39</v>
      </c>
      <c r="F39" s="47" t="s">
        <v>39</v>
      </c>
      <c r="G39" s="47" t="s">
        <v>165</v>
      </c>
      <c r="H39" s="16">
        <v>6</v>
      </c>
      <c r="I39" s="52">
        <v>9</v>
      </c>
    </row>
    <row r="40" spans="1:9">
      <c r="A40" s="76"/>
      <c r="B40" s="47" t="s">
        <v>27</v>
      </c>
      <c r="C40" s="47" t="s">
        <v>39</v>
      </c>
      <c r="D40" s="47" t="s">
        <v>68</v>
      </c>
      <c r="E40" s="47" t="s">
        <v>39</v>
      </c>
      <c r="F40" s="47" t="s">
        <v>166</v>
      </c>
      <c r="G40" s="47" t="s">
        <v>51</v>
      </c>
      <c r="H40" s="16">
        <v>7</v>
      </c>
      <c r="I40" s="16">
        <v>10</v>
      </c>
    </row>
    <row r="41" spans="1:9">
      <c r="A41" s="76"/>
      <c r="B41" s="47" t="s">
        <v>27</v>
      </c>
      <c r="C41" s="47" t="s">
        <v>39</v>
      </c>
      <c r="D41" s="47" t="s">
        <v>68</v>
      </c>
      <c r="E41" s="47" t="s">
        <v>39</v>
      </c>
      <c r="F41" s="47" t="s">
        <v>167</v>
      </c>
      <c r="G41" s="47" t="s">
        <v>123</v>
      </c>
      <c r="H41" s="16">
        <v>8</v>
      </c>
      <c r="I41" s="16">
        <v>11</v>
      </c>
    </row>
    <row r="42" spans="1:9">
      <c r="A42" s="76"/>
      <c r="B42" s="47" t="s">
        <v>27</v>
      </c>
      <c r="C42" s="47" t="s">
        <v>39</v>
      </c>
      <c r="D42" s="47" t="s">
        <v>68</v>
      </c>
      <c r="E42" s="47" t="s">
        <v>39</v>
      </c>
      <c r="F42" s="47" t="s">
        <v>168</v>
      </c>
      <c r="G42" s="47" t="s">
        <v>169</v>
      </c>
      <c r="H42" s="16">
        <v>9</v>
      </c>
      <c r="I42" s="16">
        <v>12</v>
      </c>
    </row>
    <row r="43" spans="1:9">
      <c r="A43" s="76"/>
      <c r="B43" s="47" t="s">
        <v>33</v>
      </c>
      <c r="C43" s="47" t="s">
        <v>30</v>
      </c>
      <c r="D43" s="47" t="s">
        <v>26</v>
      </c>
      <c r="E43" s="47" t="s">
        <v>31</v>
      </c>
      <c r="F43" s="47" t="s">
        <v>170</v>
      </c>
      <c r="G43" s="47" t="s">
        <v>23</v>
      </c>
      <c r="H43" s="16">
        <v>1</v>
      </c>
      <c r="I43" s="16">
        <v>13</v>
      </c>
    </row>
    <row r="44" spans="1:9">
      <c r="A44" s="76"/>
      <c r="B44" s="47" t="s">
        <v>33</v>
      </c>
      <c r="C44" s="47" t="s">
        <v>30</v>
      </c>
      <c r="D44" s="47" t="s">
        <v>26</v>
      </c>
      <c r="E44" s="47" t="s">
        <v>31</v>
      </c>
      <c r="F44" s="47" t="s">
        <v>171</v>
      </c>
      <c r="G44" s="47" t="s">
        <v>110</v>
      </c>
      <c r="H44" s="16">
        <v>2</v>
      </c>
      <c r="I44" s="16">
        <v>14</v>
      </c>
    </row>
    <row r="45" spans="1:9">
      <c r="A45" s="76"/>
      <c r="B45" s="47" t="s">
        <v>33</v>
      </c>
      <c r="C45" s="47" t="s">
        <v>30</v>
      </c>
      <c r="D45" s="47" t="s">
        <v>80</v>
      </c>
      <c r="E45" s="47" t="s">
        <v>38</v>
      </c>
      <c r="F45" s="47" t="s">
        <v>172</v>
      </c>
      <c r="G45" s="47" t="s">
        <v>44</v>
      </c>
      <c r="H45" s="16">
        <v>1</v>
      </c>
      <c r="I45" s="16">
        <v>15</v>
      </c>
    </row>
    <row r="46" spans="1:9">
      <c r="A46" s="76"/>
      <c r="B46" s="47" t="s">
        <v>33</v>
      </c>
      <c r="C46" s="47" t="s">
        <v>30</v>
      </c>
      <c r="D46" s="47" t="s">
        <v>80</v>
      </c>
      <c r="E46" s="47" t="s">
        <v>38</v>
      </c>
      <c r="F46" s="47" t="s">
        <v>173</v>
      </c>
      <c r="G46" s="47" t="s">
        <v>67</v>
      </c>
      <c r="H46" s="16">
        <v>2</v>
      </c>
      <c r="I46" s="51">
        <v>16</v>
      </c>
    </row>
    <row r="47" spans="1:9">
      <c r="A47" s="76"/>
      <c r="B47" s="47" t="s">
        <v>33</v>
      </c>
      <c r="C47" s="47" t="s">
        <v>30</v>
      </c>
      <c r="D47" s="47" t="s">
        <v>80</v>
      </c>
      <c r="E47" s="47" t="s">
        <v>38</v>
      </c>
      <c r="F47" s="47" t="s">
        <v>174</v>
      </c>
      <c r="G47" s="47" t="s">
        <v>82</v>
      </c>
      <c r="H47" s="16">
        <v>3</v>
      </c>
      <c r="I47" s="16">
        <v>17</v>
      </c>
    </row>
    <row r="48" spans="1:9">
      <c r="A48" s="76"/>
      <c r="B48" s="47" t="s">
        <v>33</v>
      </c>
      <c r="C48" s="47" t="s">
        <v>30</v>
      </c>
      <c r="D48" s="47" t="s">
        <v>61</v>
      </c>
      <c r="E48" s="47" t="s">
        <v>34</v>
      </c>
      <c r="F48" s="47" t="s">
        <v>175</v>
      </c>
      <c r="G48" s="47" t="s">
        <v>11</v>
      </c>
      <c r="H48" s="16">
        <v>1</v>
      </c>
      <c r="I48" s="16">
        <v>18</v>
      </c>
    </row>
    <row r="49" spans="1:9">
      <c r="A49" s="76"/>
      <c r="B49" s="47" t="s">
        <v>33</v>
      </c>
      <c r="C49" s="47" t="s">
        <v>30</v>
      </c>
      <c r="D49" s="47" t="s">
        <v>61</v>
      </c>
      <c r="E49" s="47" t="s">
        <v>34</v>
      </c>
      <c r="F49" s="47" t="s">
        <v>176</v>
      </c>
      <c r="G49" s="47" t="s">
        <v>123</v>
      </c>
      <c r="H49" s="16">
        <v>2</v>
      </c>
      <c r="I49" s="16">
        <v>19</v>
      </c>
    </row>
    <row r="50" spans="1:9">
      <c r="A50" s="76"/>
      <c r="B50" s="47" t="s">
        <v>33</v>
      </c>
      <c r="C50" s="47" t="s">
        <v>30</v>
      </c>
      <c r="D50" s="47" t="s">
        <v>61</v>
      </c>
      <c r="E50" s="47" t="s">
        <v>34</v>
      </c>
      <c r="F50" s="47" t="s">
        <v>177</v>
      </c>
      <c r="G50" s="47" t="s">
        <v>178</v>
      </c>
      <c r="H50" s="16">
        <v>3</v>
      </c>
      <c r="I50" s="51">
        <v>20</v>
      </c>
    </row>
    <row r="51" spans="1:9">
      <c r="A51" s="76"/>
      <c r="B51" s="47" t="s">
        <v>33</v>
      </c>
      <c r="C51" s="47" t="s">
        <v>30</v>
      </c>
      <c r="D51" s="47" t="s">
        <v>61</v>
      </c>
      <c r="E51" s="47" t="s">
        <v>34</v>
      </c>
      <c r="F51" s="47" t="s">
        <v>179</v>
      </c>
      <c r="G51" s="47" t="s">
        <v>147</v>
      </c>
      <c r="H51" s="16">
        <v>4</v>
      </c>
      <c r="I51" s="51">
        <v>21</v>
      </c>
    </row>
    <row r="52" spans="1:9">
      <c r="A52" s="76">
        <v>4</v>
      </c>
      <c r="B52" s="47" t="s">
        <v>80</v>
      </c>
      <c r="C52" s="47" t="s">
        <v>77</v>
      </c>
      <c r="D52" s="47" t="s">
        <v>16</v>
      </c>
      <c r="E52" s="47" t="s">
        <v>78</v>
      </c>
      <c r="F52" s="47" t="s">
        <v>180</v>
      </c>
      <c r="G52" s="47" t="s">
        <v>37</v>
      </c>
      <c r="H52" s="16">
        <v>1</v>
      </c>
      <c r="I52" s="16">
        <v>22</v>
      </c>
    </row>
    <row r="53" spans="1:9">
      <c r="A53" s="76"/>
      <c r="B53" s="47" t="s">
        <v>80</v>
      </c>
      <c r="C53" s="47" t="s">
        <v>77</v>
      </c>
      <c r="D53" s="47" t="s">
        <v>16</v>
      </c>
      <c r="E53" s="47" t="s">
        <v>78</v>
      </c>
      <c r="F53" s="47" t="s">
        <v>181</v>
      </c>
      <c r="G53" s="47" t="s">
        <v>178</v>
      </c>
      <c r="H53" s="16">
        <v>2</v>
      </c>
      <c r="I53" s="16">
        <v>1</v>
      </c>
    </row>
    <row r="54" spans="1:9">
      <c r="A54" s="76"/>
      <c r="B54" s="47" t="s">
        <v>80</v>
      </c>
      <c r="C54" s="47" t="s">
        <v>77</v>
      </c>
      <c r="D54" s="47" t="s">
        <v>16</v>
      </c>
      <c r="E54" s="47" t="s">
        <v>78</v>
      </c>
      <c r="F54" s="47" t="s">
        <v>182</v>
      </c>
      <c r="G54" s="47" t="s">
        <v>165</v>
      </c>
      <c r="H54" s="16">
        <v>3</v>
      </c>
      <c r="I54" s="16">
        <v>2</v>
      </c>
    </row>
    <row r="55" spans="1:9">
      <c r="A55" s="76"/>
      <c r="B55" s="47" t="s">
        <v>80</v>
      </c>
      <c r="C55" s="47" t="s">
        <v>77</v>
      </c>
      <c r="D55" s="47" t="s">
        <v>16</v>
      </c>
      <c r="E55" s="47" t="s">
        <v>78</v>
      </c>
      <c r="F55" s="47" t="s">
        <v>183</v>
      </c>
      <c r="G55" s="47" t="s">
        <v>50</v>
      </c>
      <c r="H55" s="16">
        <v>4</v>
      </c>
      <c r="I55" s="16">
        <v>3</v>
      </c>
    </row>
    <row r="56" spans="1:9">
      <c r="A56" s="76"/>
      <c r="B56" s="47" t="s">
        <v>80</v>
      </c>
      <c r="C56" s="47" t="s">
        <v>77</v>
      </c>
      <c r="D56" s="47" t="s">
        <v>16</v>
      </c>
      <c r="E56" s="47" t="s">
        <v>78</v>
      </c>
      <c r="F56" s="47" t="s">
        <v>184</v>
      </c>
      <c r="G56" s="47" t="s">
        <v>82</v>
      </c>
      <c r="H56" s="16">
        <v>5</v>
      </c>
      <c r="I56" s="51">
        <v>4</v>
      </c>
    </row>
    <row r="57" spans="1:9">
      <c r="A57" s="76"/>
      <c r="B57" s="47" t="s">
        <v>80</v>
      </c>
      <c r="C57" s="47" t="s">
        <v>77</v>
      </c>
      <c r="D57" s="47" t="s">
        <v>16</v>
      </c>
      <c r="E57" s="47" t="s">
        <v>78</v>
      </c>
      <c r="F57" s="47" t="s">
        <v>185</v>
      </c>
      <c r="G57" s="47" t="s">
        <v>20</v>
      </c>
      <c r="H57" s="16">
        <v>6</v>
      </c>
      <c r="I57" s="52">
        <v>5</v>
      </c>
    </row>
    <row r="58" spans="1:9">
      <c r="A58" s="76"/>
      <c r="B58" s="47" t="s">
        <v>80</v>
      </c>
      <c r="C58" s="47" t="s">
        <v>77</v>
      </c>
      <c r="D58" s="47" t="s">
        <v>16</v>
      </c>
      <c r="E58" s="47" t="s">
        <v>78</v>
      </c>
      <c r="F58" s="47" t="s">
        <v>186</v>
      </c>
      <c r="G58" s="47" t="s">
        <v>16</v>
      </c>
      <c r="H58" s="16">
        <v>7</v>
      </c>
      <c r="I58" s="16">
        <v>6</v>
      </c>
    </row>
    <row r="59" spans="1:9">
      <c r="A59" s="76"/>
      <c r="B59" s="47" t="s">
        <v>80</v>
      </c>
      <c r="C59" s="47" t="s">
        <v>77</v>
      </c>
      <c r="D59" s="47" t="s">
        <v>16</v>
      </c>
      <c r="E59" s="47" t="s">
        <v>78</v>
      </c>
      <c r="F59" s="47" t="s">
        <v>187</v>
      </c>
      <c r="G59" s="47" t="s">
        <v>147</v>
      </c>
      <c r="H59" s="16">
        <v>8</v>
      </c>
      <c r="I59" s="16">
        <v>7</v>
      </c>
    </row>
    <row r="60" spans="1:9">
      <c r="A60" s="76"/>
      <c r="B60" s="47" t="s">
        <v>80</v>
      </c>
      <c r="C60" s="47" t="s">
        <v>77</v>
      </c>
      <c r="D60" s="47" t="s">
        <v>16</v>
      </c>
      <c r="E60" s="47" t="s">
        <v>78</v>
      </c>
      <c r="F60" s="47" t="s">
        <v>188</v>
      </c>
      <c r="G60" s="47" t="s">
        <v>17</v>
      </c>
      <c r="H60" s="16">
        <v>9</v>
      </c>
      <c r="I60" s="16">
        <v>8</v>
      </c>
    </row>
    <row r="61" spans="1:9">
      <c r="A61" s="76"/>
      <c r="B61" s="47" t="s">
        <v>61</v>
      </c>
      <c r="C61" s="47" t="s">
        <v>73</v>
      </c>
      <c r="D61" s="47" t="s">
        <v>56</v>
      </c>
      <c r="E61" s="47" t="s">
        <v>70</v>
      </c>
      <c r="F61" s="47" t="s">
        <v>189</v>
      </c>
      <c r="G61" s="47" t="s">
        <v>32</v>
      </c>
      <c r="H61" s="16">
        <v>1</v>
      </c>
      <c r="I61" s="51">
        <v>9</v>
      </c>
    </row>
    <row r="62" spans="1:9">
      <c r="A62" s="76"/>
      <c r="B62" s="47" t="s">
        <v>61</v>
      </c>
      <c r="C62" s="47" t="s">
        <v>73</v>
      </c>
      <c r="D62" s="47" t="s">
        <v>56</v>
      </c>
      <c r="E62" s="47" t="s">
        <v>70</v>
      </c>
      <c r="F62" s="47" t="s">
        <v>190</v>
      </c>
      <c r="G62" s="47" t="s">
        <v>17</v>
      </c>
      <c r="H62" s="16">
        <v>2</v>
      </c>
      <c r="I62" s="16">
        <v>10</v>
      </c>
    </row>
    <row r="63" spans="1:9">
      <c r="A63" s="76"/>
      <c r="B63" s="47" t="s">
        <v>61</v>
      </c>
      <c r="C63" s="47" t="s">
        <v>73</v>
      </c>
      <c r="D63" s="47" t="s">
        <v>56</v>
      </c>
      <c r="E63" s="47" t="s">
        <v>70</v>
      </c>
      <c r="F63" s="47" t="s">
        <v>191</v>
      </c>
      <c r="G63" s="47" t="s">
        <v>156</v>
      </c>
      <c r="H63" s="16">
        <v>3</v>
      </c>
      <c r="I63" s="16">
        <v>11</v>
      </c>
    </row>
    <row r="64" spans="1:9">
      <c r="A64" s="76"/>
      <c r="B64" s="47" t="s">
        <v>61</v>
      </c>
      <c r="C64" s="47" t="s">
        <v>73</v>
      </c>
      <c r="D64" s="47" t="s">
        <v>110</v>
      </c>
      <c r="E64" s="47" t="s">
        <v>6</v>
      </c>
      <c r="F64" s="47" t="s">
        <v>192</v>
      </c>
      <c r="G64" s="47" t="s">
        <v>43</v>
      </c>
      <c r="H64" s="16">
        <v>1</v>
      </c>
      <c r="I64" s="52">
        <v>12</v>
      </c>
    </row>
    <row r="65" spans="1:9">
      <c r="A65" s="76"/>
      <c r="B65" s="47" t="s">
        <v>61</v>
      </c>
      <c r="C65" s="47" t="s">
        <v>73</v>
      </c>
      <c r="D65" s="47" t="s">
        <v>110</v>
      </c>
      <c r="E65" s="47" t="s">
        <v>6</v>
      </c>
      <c r="F65" s="47" t="s">
        <v>193</v>
      </c>
      <c r="G65" s="47" t="s">
        <v>151</v>
      </c>
      <c r="H65" s="16">
        <v>2</v>
      </c>
      <c r="I65" s="16">
        <v>13</v>
      </c>
    </row>
    <row r="66" spans="1:9">
      <c r="A66" s="76"/>
      <c r="B66" s="47" t="s">
        <v>61</v>
      </c>
      <c r="C66" s="47" t="s">
        <v>73</v>
      </c>
      <c r="D66" s="47" t="s">
        <v>110</v>
      </c>
      <c r="E66" s="47" t="s">
        <v>6</v>
      </c>
      <c r="F66" s="47" t="s">
        <v>194</v>
      </c>
      <c r="G66" s="47" t="s">
        <v>178</v>
      </c>
      <c r="H66" s="16">
        <v>3</v>
      </c>
      <c r="I66" s="16">
        <v>14</v>
      </c>
    </row>
    <row r="67" spans="1:9">
      <c r="A67" s="76"/>
      <c r="B67" s="47" t="s">
        <v>61</v>
      </c>
      <c r="C67" s="47" t="s">
        <v>73</v>
      </c>
      <c r="D67" s="47" t="s">
        <v>110</v>
      </c>
      <c r="E67" s="47" t="s">
        <v>6</v>
      </c>
      <c r="F67" s="47" t="s">
        <v>195</v>
      </c>
      <c r="G67" s="47" t="s">
        <v>35</v>
      </c>
      <c r="H67" s="16">
        <v>4</v>
      </c>
      <c r="I67" s="16">
        <v>15</v>
      </c>
    </row>
    <row r="68" spans="1:9">
      <c r="A68" s="76"/>
      <c r="B68" s="47" t="s">
        <v>61</v>
      </c>
      <c r="C68" s="47" t="s">
        <v>73</v>
      </c>
      <c r="D68" s="47" t="s">
        <v>110</v>
      </c>
      <c r="E68" s="47" t="s">
        <v>6</v>
      </c>
      <c r="F68" s="47" t="s">
        <v>196</v>
      </c>
      <c r="G68" s="47" t="s">
        <v>65</v>
      </c>
      <c r="H68" s="16">
        <v>5</v>
      </c>
      <c r="I68" s="16">
        <v>16</v>
      </c>
    </row>
    <row r="69" spans="1:9">
      <c r="A69" s="76"/>
      <c r="B69" s="47" t="s">
        <v>61</v>
      </c>
      <c r="C69" s="47" t="s">
        <v>73</v>
      </c>
      <c r="D69" s="47" t="s">
        <v>110</v>
      </c>
      <c r="E69" s="47" t="s">
        <v>6</v>
      </c>
      <c r="F69" s="47" t="s">
        <v>75</v>
      </c>
      <c r="G69" s="47" t="s">
        <v>60</v>
      </c>
      <c r="H69" s="16">
        <v>6</v>
      </c>
      <c r="I69" s="16">
        <v>17</v>
      </c>
    </row>
    <row r="70" spans="1:9">
      <c r="A70" s="76"/>
      <c r="B70" s="47" t="s">
        <v>16</v>
      </c>
      <c r="C70" s="47" t="s">
        <v>69</v>
      </c>
      <c r="D70" s="47" t="s">
        <v>55</v>
      </c>
      <c r="E70" s="47" t="s">
        <v>49</v>
      </c>
      <c r="F70" s="47" t="s">
        <v>197</v>
      </c>
      <c r="G70" s="47" t="s">
        <v>198</v>
      </c>
      <c r="H70" s="16">
        <v>1</v>
      </c>
      <c r="I70" s="16">
        <v>18</v>
      </c>
    </row>
    <row r="71" spans="1:9">
      <c r="A71" s="76"/>
      <c r="B71" s="47" t="s">
        <v>16</v>
      </c>
      <c r="C71" s="47" t="s">
        <v>69</v>
      </c>
      <c r="D71" s="47" t="s">
        <v>55</v>
      </c>
      <c r="E71" s="47" t="s">
        <v>49</v>
      </c>
      <c r="F71" s="47" t="s">
        <v>199</v>
      </c>
      <c r="G71" s="47" t="s">
        <v>200</v>
      </c>
      <c r="H71" s="16">
        <v>2</v>
      </c>
      <c r="I71" s="16">
        <v>19</v>
      </c>
    </row>
    <row r="72" spans="1:9">
      <c r="A72" s="76"/>
      <c r="B72" s="47" t="s">
        <v>16</v>
      </c>
      <c r="C72" s="47" t="s">
        <v>69</v>
      </c>
      <c r="D72" s="47" t="s">
        <v>56</v>
      </c>
      <c r="E72" s="47" t="s">
        <v>70</v>
      </c>
      <c r="F72" s="47" t="s">
        <v>201</v>
      </c>
      <c r="G72" s="47" t="s">
        <v>202</v>
      </c>
      <c r="H72" s="16">
        <v>1</v>
      </c>
      <c r="I72" s="16">
        <v>20</v>
      </c>
    </row>
    <row r="73" spans="1:9">
      <c r="A73" s="76"/>
      <c r="B73" s="47" t="s">
        <v>16</v>
      </c>
      <c r="C73" s="47" t="s">
        <v>69</v>
      </c>
      <c r="D73" s="47" t="s">
        <v>56</v>
      </c>
      <c r="E73" s="47" t="s">
        <v>70</v>
      </c>
      <c r="F73" s="47" t="s">
        <v>71</v>
      </c>
      <c r="G73" s="47" t="s">
        <v>203</v>
      </c>
      <c r="H73" s="16">
        <v>2</v>
      </c>
      <c r="I73" s="16">
        <v>21</v>
      </c>
    </row>
    <row r="74" spans="1:9">
      <c r="A74" s="76"/>
      <c r="B74" s="47" t="s">
        <v>16</v>
      </c>
      <c r="C74" s="47" t="s">
        <v>69</v>
      </c>
      <c r="D74" s="47" t="s">
        <v>56</v>
      </c>
      <c r="E74" s="47" t="s">
        <v>70</v>
      </c>
      <c r="F74" s="47" t="s">
        <v>204</v>
      </c>
      <c r="G74" s="47" t="s">
        <v>205</v>
      </c>
      <c r="H74" s="16">
        <v>3</v>
      </c>
      <c r="I74" s="16">
        <v>22</v>
      </c>
    </row>
    <row r="75" spans="1:9">
      <c r="A75" s="76"/>
      <c r="B75" s="47" t="s">
        <v>16</v>
      </c>
      <c r="C75" s="47" t="s">
        <v>69</v>
      </c>
      <c r="D75" s="47" t="s">
        <v>56</v>
      </c>
      <c r="E75" s="47" t="s">
        <v>70</v>
      </c>
      <c r="F75" s="47" t="s">
        <v>206</v>
      </c>
      <c r="G75" s="47" t="s">
        <v>207</v>
      </c>
      <c r="H75" s="16">
        <v>4</v>
      </c>
      <c r="I75" s="16">
        <v>23</v>
      </c>
    </row>
    <row r="76" spans="1:9">
      <c r="A76" s="76"/>
      <c r="B76" s="47" t="s">
        <v>16</v>
      </c>
      <c r="C76" s="47" t="s">
        <v>69</v>
      </c>
      <c r="D76" s="47" t="s">
        <v>56</v>
      </c>
      <c r="E76" s="47" t="s">
        <v>70</v>
      </c>
      <c r="F76" s="47" t="s">
        <v>208</v>
      </c>
      <c r="G76" s="47" t="s">
        <v>13</v>
      </c>
      <c r="H76" s="16">
        <v>5</v>
      </c>
      <c r="I76" s="16">
        <v>24</v>
      </c>
    </row>
    <row r="77" spans="1:9">
      <c r="A77" s="76"/>
      <c r="B77" s="47" t="s">
        <v>16</v>
      </c>
      <c r="C77" s="47" t="s">
        <v>69</v>
      </c>
      <c r="D77" s="47" t="s">
        <v>56</v>
      </c>
      <c r="E77" s="47" t="s">
        <v>70</v>
      </c>
      <c r="F77" s="47" t="s">
        <v>209</v>
      </c>
      <c r="G77" s="47" t="s">
        <v>210</v>
      </c>
      <c r="H77" s="16">
        <v>6</v>
      </c>
      <c r="I77" s="16">
        <v>25</v>
      </c>
    </row>
    <row r="78" spans="1:9">
      <c r="A78" s="76"/>
      <c r="B78" s="47" t="s">
        <v>16</v>
      </c>
      <c r="C78" s="47" t="s">
        <v>69</v>
      </c>
      <c r="D78" s="47" t="s">
        <v>56</v>
      </c>
      <c r="E78" s="47" t="s">
        <v>70</v>
      </c>
      <c r="F78" s="47" t="s">
        <v>211</v>
      </c>
      <c r="G78" s="47" t="s">
        <v>14</v>
      </c>
      <c r="H78" s="16">
        <v>7</v>
      </c>
      <c r="I78" s="16">
        <v>26</v>
      </c>
    </row>
    <row r="79" spans="1:9">
      <c r="A79" s="76"/>
      <c r="B79" s="47" t="s">
        <v>16</v>
      </c>
      <c r="C79" s="47" t="s">
        <v>69</v>
      </c>
      <c r="D79" s="47" t="s">
        <v>110</v>
      </c>
      <c r="E79" s="47" t="s">
        <v>6</v>
      </c>
      <c r="F79" s="47" t="s">
        <v>212</v>
      </c>
      <c r="G79" s="47" t="s">
        <v>45</v>
      </c>
      <c r="H79" s="16">
        <v>1</v>
      </c>
      <c r="I79" s="16">
        <v>27</v>
      </c>
    </row>
    <row r="80" spans="1:9">
      <c r="A80" s="76"/>
      <c r="B80" s="47" t="s">
        <v>23</v>
      </c>
      <c r="C80" s="47" t="s">
        <v>6</v>
      </c>
      <c r="D80" s="47" t="s">
        <v>33</v>
      </c>
      <c r="E80" s="47" t="s">
        <v>47</v>
      </c>
      <c r="F80" s="47" t="s">
        <v>36</v>
      </c>
      <c r="G80" s="47" t="s">
        <v>8</v>
      </c>
      <c r="H80" s="16">
        <v>1</v>
      </c>
      <c r="I80" s="16">
        <v>28</v>
      </c>
    </row>
    <row r="81" spans="1:9">
      <c r="A81" s="76"/>
      <c r="B81" s="47" t="s">
        <v>23</v>
      </c>
      <c r="C81" s="47" t="s">
        <v>6</v>
      </c>
      <c r="D81" s="47" t="s">
        <v>33</v>
      </c>
      <c r="E81" s="47" t="s">
        <v>47</v>
      </c>
      <c r="F81" s="47" t="s">
        <v>213</v>
      </c>
      <c r="G81" s="47" t="s">
        <v>214</v>
      </c>
      <c r="H81" s="16">
        <v>2</v>
      </c>
      <c r="I81" s="16">
        <v>29</v>
      </c>
    </row>
    <row r="82" spans="1:9">
      <c r="A82" s="76"/>
      <c r="B82" s="47" t="s">
        <v>23</v>
      </c>
      <c r="C82" s="47" t="s">
        <v>6</v>
      </c>
      <c r="D82" s="47" t="s">
        <v>33</v>
      </c>
      <c r="E82" s="47" t="s">
        <v>47</v>
      </c>
      <c r="F82" s="47" t="s">
        <v>215</v>
      </c>
      <c r="G82" s="47" t="s">
        <v>10</v>
      </c>
      <c r="H82" s="16">
        <v>3</v>
      </c>
      <c r="I82" s="16">
        <v>30</v>
      </c>
    </row>
    <row r="83" spans="1:9">
      <c r="A83" s="76"/>
      <c r="B83" s="47" t="s">
        <v>23</v>
      </c>
      <c r="C83" s="47" t="s">
        <v>6</v>
      </c>
      <c r="D83" s="47" t="s">
        <v>33</v>
      </c>
      <c r="E83" s="47" t="s">
        <v>47</v>
      </c>
      <c r="F83" s="47" t="s">
        <v>216</v>
      </c>
      <c r="G83" s="47" t="s">
        <v>217</v>
      </c>
      <c r="H83" s="16">
        <v>4</v>
      </c>
      <c r="I83" s="16">
        <v>31</v>
      </c>
    </row>
    <row r="84" spans="1:9" ht="17.25" customHeight="1">
      <c r="A84" s="76"/>
      <c r="B84" s="47" t="s">
        <v>23</v>
      </c>
      <c r="C84" s="47" t="s">
        <v>6</v>
      </c>
      <c r="D84" s="47" t="s">
        <v>33</v>
      </c>
      <c r="E84" s="47" t="s">
        <v>47</v>
      </c>
      <c r="F84" s="47" t="s">
        <v>218</v>
      </c>
      <c r="G84" s="47" t="s">
        <v>9</v>
      </c>
      <c r="H84" s="16">
        <v>5</v>
      </c>
      <c r="I84" s="16">
        <v>32</v>
      </c>
    </row>
    <row r="85" spans="1:9" ht="30">
      <c r="A85" s="76"/>
      <c r="B85" s="47" t="s">
        <v>23</v>
      </c>
      <c r="C85" s="47" t="s">
        <v>6</v>
      </c>
      <c r="D85" s="47" t="s">
        <v>55</v>
      </c>
      <c r="E85" s="47" t="s">
        <v>49</v>
      </c>
      <c r="F85" s="47" t="s">
        <v>219</v>
      </c>
      <c r="G85" s="47" t="s">
        <v>220</v>
      </c>
      <c r="H85" s="16">
        <v>1</v>
      </c>
      <c r="I85" s="16">
        <v>33</v>
      </c>
    </row>
    <row r="86" spans="1:9">
      <c r="A86" s="76"/>
      <c r="B86" s="47" t="s">
        <v>23</v>
      </c>
      <c r="C86" s="47" t="s">
        <v>6</v>
      </c>
      <c r="D86" s="47" t="s">
        <v>55</v>
      </c>
      <c r="E86" s="47" t="s">
        <v>49</v>
      </c>
      <c r="F86" s="47" t="s">
        <v>221</v>
      </c>
      <c r="G86" s="47" t="s">
        <v>222</v>
      </c>
      <c r="H86" s="16">
        <v>2</v>
      </c>
      <c r="I86" s="16">
        <v>34</v>
      </c>
    </row>
    <row r="87" spans="1:9">
      <c r="A87" s="76"/>
      <c r="B87" s="47" t="s">
        <v>23</v>
      </c>
      <c r="C87" s="47" t="s">
        <v>6</v>
      </c>
      <c r="D87" s="47" t="s">
        <v>55</v>
      </c>
      <c r="E87" s="47" t="s">
        <v>49</v>
      </c>
      <c r="F87" s="47" t="s">
        <v>223</v>
      </c>
      <c r="G87" s="47" t="s">
        <v>224</v>
      </c>
      <c r="H87" s="16">
        <v>3</v>
      </c>
      <c r="I87" s="16">
        <v>35</v>
      </c>
    </row>
    <row r="88" spans="1:9">
      <c r="A88" s="76"/>
      <c r="B88" s="47" t="s">
        <v>23</v>
      </c>
      <c r="C88" s="47" t="s">
        <v>6</v>
      </c>
      <c r="D88" s="47" t="s">
        <v>55</v>
      </c>
      <c r="E88" s="47" t="s">
        <v>49</v>
      </c>
      <c r="F88" s="47" t="s">
        <v>49</v>
      </c>
      <c r="G88" s="47" t="s">
        <v>225</v>
      </c>
      <c r="H88" s="16">
        <v>4</v>
      </c>
      <c r="I88" s="16">
        <v>36</v>
      </c>
    </row>
    <row r="89" spans="1:9">
      <c r="A89" s="76"/>
      <c r="B89" s="47" t="s">
        <v>23</v>
      </c>
      <c r="C89" s="47" t="s">
        <v>6</v>
      </c>
      <c r="D89" s="47" t="s">
        <v>55</v>
      </c>
      <c r="E89" s="47" t="s">
        <v>49</v>
      </c>
      <c r="F89" s="47" t="s">
        <v>226</v>
      </c>
      <c r="G89" s="47" t="s">
        <v>227</v>
      </c>
      <c r="H89" s="16">
        <v>5</v>
      </c>
      <c r="I89" s="16">
        <v>37</v>
      </c>
    </row>
    <row r="90" spans="1:9">
      <c r="A90" s="76"/>
      <c r="B90" s="47" t="s">
        <v>23</v>
      </c>
      <c r="C90" s="47" t="s">
        <v>6</v>
      </c>
      <c r="D90" s="47" t="s">
        <v>110</v>
      </c>
      <c r="E90" s="47" t="s">
        <v>6</v>
      </c>
      <c r="F90" s="47" t="s">
        <v>228</v>
      </c>
      <c r="G90" s="47" t="s">
        <v>229</v>
      </c>
      <c r="H90" s="16">
        <v>1</v>
      </c>
      <c r="I90" s="16">
        <v>38</v>
      </c>
    </row>
    <row r="91" spans="1:9">
      <c r="A91" s="76"/>
      <c r="B91" s="47" t="s">
        <v>23</v>
      </c>
      <c r="C91" s="47" t="s">
        <v>6</v>
      </c>
      <c r="D91" s="47" t="s">
        <v>110</v>
      </c>
      <c r="E91" s="47" t="s">
        <v>6</v>
      </c>
      <c r="F91" s="47" t="s">
        <v>230</v>
      </c>
      <c r="G91" s="47" t="s">
        <v>50</v>
      </c>
      <c r="H91" s="16">
        <v>2</v>
      </c>
      <c r="I91" s="16">
        <v>39</v>
      </c>
    </row>
    <row r="92" spans="1:9">
      <c r="A92" s="76">
        <v>5</v>
      </c>
      <c r="B92" s="47" t="s">
        <v>17</v>
      </c>
      <c r="C92" s="47" t="s">
        <v>52</v>
      </c>
      <c r="D92" s="47" t="s">
        <v>35</v>
      </c>
      <c r="E92" s="47" t="s">
        <v>53</v>
      </c>
      <c r="F92" s="47" t="s">
        <v>231</v>
      </c>
      <c r="G92" s="47" t="s">
        <v>48</v>
      </c>
      <c r="H92" s="16">
        <v>1</v>
      </c>
      <c r="I92" s="16">
        <v>1</v>
      </c>
    </row>
    <row r="93" spans="1:9">
      <c r="A93" s="76"/>
      <c r="B93" s="47" t="s">
        <v>17</v>
      </c>
      <c r="C93" s="47" t="s">
        <v>52</v>
      </c>
      <c r="D93" s="47" t="s">
        <v>35</v>
      </c>
      <c r="E93" s="47" t="s">
        <v>53</v>
      </c>
      <c r="F93" s="47" t="s">
        <v>232</v>
      </c>
      <c r="G93" s="47" t="s">
        <v>41</v>
      </c>
      <c r="H93" s="16">
        <v>2</v>
      </c>
      <c r="I93" s="16">
        <v>2</v>
      </c>
    </row>
    <row r="94" spans="1:9">
      <c r="A94" s="76"/>
      <c r="B94" s="47" t="s">
        <v>17</v>
      </c>
      <c r="C94" s="47" t="s">
        <v>52</v>
      </c>
      <c r="D94" s="47" t="s">
        <v>35</v>
      </c>
      <c r="E94" s="47" t="s">
        <v>53</v>
      </c>
      <c r="F94" s="47" t="s">
        <v>233</v>
      </c>
      <c r="G94" s="47" t="s">
        <v>28</v>
      </c>
      <c r="H94" s="16">
        <v>3</v>
      </c>
      <c r="I94" s="16">
        <v>3</v>
      </c>
    </row>
    <row r="95" spans="1:9">
      <c r="A95" s="76"/>
      <c r="B95" s="47" t="s">
        <v>17</v>
      </c>
      <c r="C95" s="47" t="s">
        <v>52</v>
      </c>
      <c r="D95" s="47" t="s">
        <v>21</v>
      </c>
      <c r="E95" s="47" t="s">
        <v>52</v>
      </c>
      <c r="F95" s="47" t="s">
        <v>234</v>
      </c>
      <c r="G95" s="47" t="s">
        <v>164</v>
      </c>
      <c r="H95" s="16">
        <v>1</v>
      </c>
      <c r="I95" s="16">
        <v>4</v>
      </c>
    </row>
    <row r="96" spans="1:9">
      <c r="A96" s="76"/>
      <c r="B96" s="47" t="s">
        <v>17</v>
      </c>
      <c r="C96" s="47" t="s">
        <v>52</v>
      </c>
      <c r="D96" s="47" t="s">
        <v>21</v>
      </c>
      <c r="E96" s="47" t="s">
        <v>52</v>
      </c>
      <c r="F96" s="47" t="s">
        <v>235</v>
      </c>
      <c r="G96" s="47" t="s">
        <v>35</v>
      </c>
      <c r="H96" s="16">
        <v>2</v>
      </c>
      <c r="I96" s="16">
        <v>5</v>
      </c>
    </row>
    <row r="97" spans="1:9">
      <c r="A97" s="76"/>
      <c r="B97" s="47" t="s">
        <v>17</v>
      </c>
      <c r="C97" s="47" t="s">
        <v>52</v>
      </c>
      <c r="D97" s="47" t="s">
        <v>21</v>
      </c>
      <c r="E97" s="47" t="s">
        <v>52</v>
      </c>
      <c r="F97" s="47" t="s">
        <v>236</v>
      </c>
      <c r="G97" s="47" t="s">
        <v>151</v>
      </c>
      <c r="H97" s="16">
        <v>3</v>
      </c>
      <c r="I97" s="16">
        <v>6</v>
      </c>
    </row>
    <row r="98" spans="1:9">
      <c r="A98" s="76"/>
      <c r="B98" s="47" t="s">
        <v>17</v>
      </c>
      <c r="C98" s="47" t="s">
        <v>52</v>
      </c>
      <c r="D98" s="47" t="s">
        <v>21</v>
      </c>
      <c r="E98" s="47" t="s">
        <v>52</v>
      </c>
      <c r="F98" s="47" t="s">
        <v>237</v>
      </c>
      <c r="G98" s="47" t="s">
        <v>59</v>
      </c>
      <c r="H98" s="16">
        <v>4</v>
      </c>
      <c r="I98" s="16">
        <v>7</v>
      </c>
    </row>
    <row r="99" spans="1:9">
      <c r="A99" s="76"/>
      <c r="B99" s="47" t="s">
        <v>17</v>
      </c>
      <c r="C99" s="47" t="s">
        <v>52</v>
      </c>
      <c r="D99" s="47" t="s">
        <v>21</v>
      </c>
      <c r="E99" s="47" t="s">
        <v>52</v>
      </c>
      <c r="F99" s="47" t="s">
        <v>52</v>
      </c>
      <c r="G99" s="47" t="s">
        <v>60</v>
      </c>
      <c r="H99" s="16">
        <v>5</v>
      </c>
      <c r="I99" s="16">
        <v>8</v>
      </c>
    </row>
    <row r="100" spans="1:9">
      <c r="A100" s="76"/>
      <c r="B100" s="47" t="s">
        <v>17</v>
      </c>
      <c r="C100" s="47" t="s">
        <v>52</v>
      </c>
      <c r="D100" s="47" t="s">
        <v>21</v>
      </c>
      <c r="E100" s="47" t="s">
        <v>52</v>
      </c>
      <c r="F100" s="47" t="s">
        <v>238</v>
      </c>
      <c r="G100" s="47" t="s">
        <v>79</v>
      </c>
      <c r="H100" s="16">
        <v>6</v>
      </c>
      <c r="I100" s="16">
        <v>9</v>
      </c>
    </row>
    <row r="101" spans="1:9">
      <c r="A101" s="76"/>
      <c r="B101" s="47" t="s">
        <v>17</v>
      </c>
      <c r="C101" s="47" t="s">
        <v>52</v>
      </c>
      <c r="D101" s="47" t="s">
        <v>21</v>
      </c>
      <c r="E101" s="47" t="s">
        <v>52</v>
      </c>
      <c r="F101" s="47" t="s">
        <v>239</v>
      </c>
      <c r="G101" s="47" t="s">
        <v>37</v>
      </c>
      <c r="H101" s="16">
        <v>7</v>
      </c>
      <c r="I101" s="52">
        <v>10</v>
      </c>
    </row>
    <row r="102" spans="1:9">
      <c r="A102" s="76"/>
      <c r="B102" s="47" t="s">
        <v>110</v>
      </c>
      <c r="C102" s="47" t="s">
        <v>12</v>
      </c>
      <c r="D102" s="47" t="s">
        <v>18</v>
      </c>
      <c r="E102" s="47" t="s">
        <v>12</v>
      </c>
      <c r="F102" s="47" t="s">
        <v>125</v>
      </c>
      <c r="G102" s="47" t="s">
        <v>72</v>
      </c>
      <c r="H102" s="16">
        <v>1</v>
      </c>
      <c r="I102" s="16">
        <v>11</v>
      </c>
    </row>
    <row r="103" spans="1:9">
      <c r="A103" s="76"/>
      <c r="B103" s="47" t="s">
        <v>110</v>
      </c>
      <c r="C103" s="47" t="s">
        <v>12</v>
      </c>
      <c r="D103" s="47" t="s">
        <v>18</v>
      </c>
      <c r="E103" s="47" t="s">
        <v>12</v>
      </c>
      <c r="F103" s="47" t="s">
        <v>126</v>
      </c>
      <c r="G103" s="47" t="s">
        <v>127</v>
      </c>
      <c r="H103" s="16">
        <v>2</v>
      </c>
      <c r="I103" s="52">
        <v>12</v>
      </c>
    </row>
    <row r="104" spans="1:9">
      <c r="A104" s="76"/>
      <c r="B104" s="47" t="s">
        <v>110</v>
      </c>
      <c r="C104" s="47" t="s">
        <v>12</v>
      </c>
      <c r="D104" s="47" t="s">
        <v>18</v>
      </c>
      <c r="E104" s="47" t="s">
        <v>12</v>
      </c>
      <c r="F104" s="47" t="s">
        <v>128</v>
      </c>
      <c r="G104" s="47" t="s">
        <v>129</v>
      </c>
      <c r="H104" s="16">
        <v>3</v>
      </c>
      <c r="I104" s="16">
        <v>13</v>
      </c>
    </row>
    <row r="105" spans="1:9">
      <c r="A105" s="76"/>
      <c r="B105" s="47" t="s">
        <v>110</v>
      </c>
      <c r="C105" s="47" t="s">
        <v>12</v>
      </c>
      <c r="D105" s="47" t="s">
        <v>18</v>
      </c>
      <c r="E105" s="47" t="s">
        <v>12</v>
      </c>
      <c r="F105" s="47" t="s">
        <v>64</v>
      </c>
      <c r="G105" s="47" t="s">
        <v>130</v>
      </c>
      <c r="H105" s="16">
        <v>4</v>
      </c>
      <c r="I105" s="16">
        <v>14</v>
      </c>
    </row>
    <row r="106" spans="1:9">
      <c r="A106" s="76"/>
      <c r="B106" s="47" t="s">
        <v>110</v>
      </c>
      <c r="C106" s="47" t="s">
        <v>12</v>
      </c>
      <c r="D106" s="47" t="s">
        <v>18</v>
      </c>
      <c r="E106" s="47" t="s">
        <v>12</v>
      </c>
      <c r="F106" s="47" t="s">
        <v>131</v>
      </c>
      <c r="G106" s="47" t="s">
        <v>132</v>
      </c>
      <c r="H106" s="16">
        <v>5</v>
      </c>
      <c r="I106" s="51">
        <v>15</v>
      </c>
    </row>
    <row r="107" spans="1:9">
      <c r="A107" s="76"/>
      <c r="B107" s="47" t="s">
        <v>110</v>
      </c>
      <c r="C107" s="47" t="s">
        <v>12</v>
      </c>
      <c r="D107" s="47" t="s">
        <v>18</v>
      </c>
      <c r="E107" s="47" t="s">
        <v>12</v>
      </c>
      <c r="F107" s="47" t="s">
        <v>133</v>
      </c>
      <c r="G107" s="47" t="s">
        <v>134</v>
      </c>
      <c r="H107" s="16">
        <v>6</v>
      </c>
      <c r="I107" s="51">
        <v>16</v>
      </c>
    </row>
    <row r="108" spans="1:9">
      <c r="A108" s="72">
        <v>6</v>
      </c>
      <c r="B108" s="47" t="s">
        <v>32</v>
      </c>
      <c r="C108" s="47" t="s">
        <v>63</v>
      </c>
      <c r="D108" s="47" t="s">
        <v>23</v>
      </c>
      <c r="E108" s="47" t="s">
        <v>63</v>
      </c>
      <c r="F108" s="47" t="s">
        <v>240</v>
      </c>
      <c r="G108" s="47" t="s">
        <v>42</v>
      </c>
      <c r="H108" s="16">
        <v>1</v>
      </c>
      <c r="I108" s="51">
        <v>1</v>
      </c>
    </row>
    <row r="109" spans="1:9">
      <c r="A109" s="72"/>
      <c r="B109" s="47" t="s">
        <v>32</v>
      </c>
      <c r="C109" s="47" t="s">
        <v>63</v>
      </c>
      <c r="D109" s="47" t="s">
        <v>23</v>
      </c>
      <c r="E109" s="47" t="s">
        <v>63</v>
      </c>
      <c r="F109" s="47" t="s">
        <v>241</v>
      </c>
      <c r="G109" s="47" t="s">
        <v>43</v>
      </c>
      <c r="H109" s="16">
        <v>2</v>
      </c>
      <c r="I109" s="16">
        <v>2</v>
      </c>
    </row>
    <row r="110" spans="1:9">
      <c r="A110" s="72"/>
      <c r="B110" s="47" t="s">
        <v>32</v>
      </c>
      <c r="C110" s="47" t="s">
        <v>63</v>
      </c>
      <c r="D110" s="47" t="s">
        <v>23</v>
      </c>
      <c r="E110" s="47" t="s">
        <v>63</v>
      </c>
      <c r="F110" s="47" t="s">
        <v>242</v>
      </c>
      <c r="G110" s="47" t="s">
        <v>27</v>
      </c>
      <c r="H110" s="16">
        <v>3</v>
      </c>
      <c r="I110" s="16">
        <v>3</v>
      </c>
    </row>
    <row r="111" spans="1:9">
      <c r="A111" s="72"/>
      <c r="B111" s="47" t="s">
        <v>32</v>
      </c>
      <c r="C111" s="47" t="s">
        <v>63</v>
      </c>
      <c r="D111" s="47" t="s">
        <v>23</v>
      </c>
      <c r="E111" s="47" t="s">
        <v>63</v>
      </c>
      <c r="F111" s="47" t="s">
        <v>243</v>
      </c>
      <c r="G111" s="47" t="s">
        <v>121</v>
      </c>
      <c r="H111" s="16">
        <v>4</v>
      </c>
      <c r="I111" s="52">
        <v>4</v>
      </c>
    </row>
    <row r="112" spans="1:9">
      <c r="A112" s="72"/>
      <c r="B112" s="47" t="s">
        <v>32</v>
      </c>
      <c r="C112" s="47" t="s">
        <v>63</v>
      </c>
      <c r="D112" s="47" t="s">
        <v>23</v>
      </c>
      <c r="E112" s="47" t="s">
        <v>63</v>
      </c>
      <c r="F112" s="47" t="s">
        <v>244</v>
      </c>
      <c r="G112" s="47" t="s">
        <v>56</v>
      </c>
      <c r="H112" s="16">
        <v>5</v>
      </c>
      <c r="I112" s="16">
        <v>5</v>
      </c>
    </row>
    <row r="113" spans="1:9">
      <c r="A113" s="72"/>
      <c r="B113" s="47" t="s">
        <v>32</v>
      </c>
      <c r="C113" s="47" t="s">
        <v>63</v>
      </c>
      <c r="D113" s="47" t="s">
        <v>23</v>
      </c>
      <c r="E113" s="47" t="s">
        <v>63</v>
      </c>
      <c r="F113" s="47" t="s">
        <v>245</v>
      </c>
      <c r="G113" s="47" t="s">
        <v>80</v>
      </c>
      <c r="H113" s="16">
        <v>6</v>
      </c>
      <c r="I113" s="16">
        <v>6</v>
      </c>
    </row>
    <row r="114" spans="1:9">
      <c r="A114" s="72"/>
      <c r="B114" s="47" t="s">
        <v>32</v>
      </c>
      <c r="C114" s="47" t="s">
        <v>63</v>
      </c>
      <c r="D114" s="47" t="s">
        <v>23</v>
      </c>
      <c r="E114" s="47" t="s">
        <v>63</v>
      </c>
      <c r="F114" s="47" t="s">
        <v>246</v>
      </c>
      <c r="G114" s="47" t="s">
        <v>51</v>
      </c>
      <c r="H114" s="16">
        <v>7</v>
      </c>
      <c r="I114" s="16">
        <v>7</v>
      </c>
    </row>
    <row r="115" spans="1:9">
      <c r="A115" s="72"/>
      <c r="B115" s="47" t="s">
        <v>32</v>
      </c>
      <c r="C115" s="47" t="s">
        <v>63</v>
      </c>
      <c r="D115" s="47" t="s">
        <v>23</v>
      </c>
      <c r="E115" s="47" t="s">
        <v>63</v>
      </c>
      <c r="F115" s="47" t="s">
        <v>247</v>
      </c>
      <c r="G115" s="47" t="s">
        <v>248</v>
      </c>
      <c r="H115" s="16">
        <v>8</v>
      </c>
      <c r="I115" s="16">
        <v>8</v>
      </c>
    </row>
    <row r="116" spans="1:9">
      <c r="A116" s="72"/>
      <c r="B116" s="47" t="s">
        <v>32</v>
      </c>
      <c r="C116" s="47" t="s">
        <v>63</v>
      </c>
      <c r="D116" s="47" t="s">
        <v>23</v>
      </c>
      <c r="E116" s="47" t="s">
        <v>63</v>
      </c>
      <c r="F116" s="47" t="s">
        <v>249</v>
      </c>
      <c r="G116" s="47" t="s">
        <v>59</v>
      </c>
      <c r="H116" s="16">
        <v>9</v>
      </c>
      <c r="I116" s="16">
        <v>9</v>
      </c>
    </row>
    <row r="117" spans="1:9">
      <c r="A117" s="72"/>
      <c r="B117" s="47" t="s">
        <v>32</v>
      </c>
      <c r="C117" s="47" t="s">
        <v>63</v>
      </c>
      <c r="D117" s="47" t="s">
        <v>23</v>
      </c>
      <c r="E117" s="47" t="s">
        <v>63</v>
      </c>
      <c r="F117" s="47" t="s">
        <v>250</v>
      </c>
      <c r="G117" s="47" t="s">
        <v>82</v>
      </c>
      <c r="H117" s="16">
        <v>10</v>
      </c>
      <c r="I117" s="16">
        <v>10</v>
      </c>
    </row>
    <row r="118" spans="1:9">
      <c r="A118" s="72"/>
      <c r="B118" s="47" t="s">
        <v>32</v>
      </c>
      <c r="C118" s="47" t="s">
        <v>63</v>
      </c>
      <c r="D118" s="47" t="s">
        <v>23</v>
      </c>
      <c r="E118" s="47" t="s">
        <v>63</v>
      </c>
      <c r="F118" s="47" t="s">
        <v>251</v>
      </c>
      <c r="G118" s="47" t="s">
        <v>26</v>
      </c>
      <c r="H118" s="16">
        <v>11</v>
      </c>
      <c r="I118" s="16">
        <v>11</v>
      </c>
    </row>
    <row r="119" spans="1:9">
      <c r="A119" s="72"/>
      <c r="B119" s="47" t="s">
        <v>32</v>
      </c>
      <c r="C119" s="47" t="s">
        <v>63</v>
      </c>
      <c r="D119" s="47" t="s">
        <v>23</v>
      </c>
      <c r="E119" s="47" t="s">
        <v>63</v>
      </c>
      <c r="F119" s="47" t="s">
        <v>252</v>
      </c>
      <c r="G119" s="47" t="s">
        <v>151</v>
      </c>
      <c r="H119" s="16">
        <v>12</v>
      </c>
      <c r="I119" s="16">
        <v>12</v>
      </c>
    </row>
    <row r="120" spans="1:9">
      <c r="A120" s="72"/>
      <c r="B120" s="47" t="s">
        <v>32</v>
      </c>
      <c r="C120" s="47" t="s">
        <v>63</v>
      </c>
      <c r="D120" s="47" t="s">
        <v>23</v>
      </c>
      <c r="E120" s="47" t="s">
        <v>63</v>
      </c>
      <c r="F120" s="47" t="s">
        <v>253</v>
      </c>
      <c r="G120" s="47" t="s">
        <v>8</v>
      </c>
      <c r="H120" s="16">
        <v>13</v>
      </c>
      <c r="I120" s="16">
        <v>13</v>
      </c>
    </row>
    <row r="121" spans="1:9">
      <c r="A121" s="72"/>
      <c r="B121" s="47" t="s">
        <v>32</v>
      </c>
      <c r="C121" s="47" t="s">
        <v>63</v>
      </c>
      <c r="D121" s="47" t="s">
        <v>23</v>
      </c>
      <c r="E121" s="47" t="s">
        <v>63</v>
      </c>
      <c r="F121" s="47" t="s">
        <v>254</v>
      </c>
      <c r="G121" s="48" t="s">
        <v>178</v>
      </c>
      <c r="H121" s="16">
        <v>14</v>
      </c>
      <c r="I121" s="51">
        <v>14</v>
      </c>
    </row>
    <row r="122" spans="1:9">
      <c r="A122" s="72"/>
      <c r="B122" s="47" t="s">
        <v>18</v>
      </c>
      <c r="C122" s="47" t="s">
        <v>57</v>
      </c>
      <c r="D122" s="47" t="s">
        <v>27</v>
      </c>
      <c r="E122" s="47" t="s">
        <v>57</v>
      </c>
      <c r="F122" s="47" t="s">
        <v>255</v>
      </c>
      <c r="G122" s="48" t="s">
        <v>42</v>
      </c>
      <c r="H122" s="16">
        <v>1</v>
      </c>
      <c r="I122" s="16">
        <v>15</v>
      </c>
    </row>
    <row r="123" spans="1:9">
      <c r="A123" s="72"/>
      <c r="B123" s="47" t="s">
        <v>18</v>
      </c>
      <c r="C123" s="47" t="s">
        <v>57</v>
      </c>
      <c r="D123" s="47" t="s">
        <v>27</v>
      </c>
      <c r="E123" s="47" t="s">
        <v>57</v>
      </c>
      <c r="F123" s="47" t="s">
        <v>256</v>
      </c>
      <c r="G123" s="48" t="s">
        <v>21</v>
      </c>
      <c r="H123" s="16">
        <v>2</v>
      </c>
      <c r="I123" s="16">
        <v>16</v>
      </c>
    </row>
    <row r="124" spans="1:9">
      <c r="A124" s="72"/>
      <c r="B124" s="47" t="s">
        <v>18</v>
      </c>
      <c r="C124" s="47" t="s">
        <v>57</v>
      </c>
      <c r="D124" s="47" t="s">
        <v>27</v>
      </c>
      <c r="E124" s="47" t="s">
        <v>57</v>
      </c>
      <c r="F124" s="47" t="s">
        <v>257</v>
      </c>
      <c r="G124" s="48" t="s">
        <v>80</v>
      </c>
      <c r="H124" s="16">
        <v>3</v>
      </c>
      <c r="I124" s="16">
        <v>17</v>
      </c>
    </row>
    <row r="125" spans="1:9">
      <c r="A125" s="72"/>
      <c r="B125" s="47" t="s">
        <v>18</v>
      </c>
      <c r="C125" s="47" t="s">
        <v>57</v>
      </c>
      <c r="D125" s="47" t="s">
        <v>27</v>
      </c>
      <c r="E125" s="47" t="s">
        <v>57</v>
      </c>
      <c r="F125" s="47" t="s">
        <v>258</v>
      </c>
      <c r="G125" s="48" t="s">
        <v>35</v>
      </c>
      <c r="H125" s="16">
        <v>4</v>
      </c>
      <c r="I125" s="16">
        <v>18</v>
      </c>
    </row>
    <row r="126" spans="1:9">
      <c r="A126" s="72"/>
      <c r="B126" s="47" t="s">
        <v>18</v>
      </c>
      <c r="C126" s="47" t="s">
        <v>57</v>
      </c>
      <c r="D126" s="47" t="s">
        <v>27</v>
      </c>
      <c r="E126" s="47" t="s">
        <v>57</v>
      </c>
      <c r="F126" s="47" t="s">
        <v>259</v>
      </c>
      <c r="G126" s="48" t="s">
        <v>40</v>
      </c>
      <c r="H126" s="16">
        <v>5</v>
      </c>
      <c r="I126" s="52">
        <v>19</v>
      </c>
    </row>
    <row r="127" spans="1:9">
      <c r="A127" s="72"/>
      <c r="B127" s="47" t="s">
        <v>18</v>
      </c>
      <c r="C127" s="47" t="s">
        <v>57</v>
      </c>
      <c r="D127" s="47" t="s">
        <v>27</v>
      </c>
      <c r="E127" s="47" t="s">
        <v>57</v>
      </c>
      <c r="F127" s="47" t="s">
        <v>260</v>
      </c>
      <c r="G127" s="48" t="s">
        <v>261</v>
      </c>
      <c r="H127" s="16">
        <v>6</v>
      </c>
      <c r="I127" s="16">
        <v>20</v>
      </c>
    </row>
    <row r="128" spans="1:9">
      <c r="A128" s="72"/>
      <c r="B128" s="47" t="s">
        <v>18</v>
      </c>
      <c r="C128" s="47" t="s">
        <v>57</v>
      </c>
      <c r="D128" s="47" t="s">
        <v>27</v>
      </c>
      <c r="E128" s="47" t="s">
        <v>57</v>
      </c>
      <c r="F128" s="47" t="s">
        <v>262</v>
      </c>
      <c r="G128" s="48" t="s">
        <v>229</v>
      </c>
      <c r="H128" s="16">
        <v>7</v>
      </c>
      <c r="I128" s="16">
        <v>21</v>
      </c>
    </row>
    <row r="129" spans="1:9">
      <c r="A129" s="72"/>
      <c r="B129" s="47" t="s">
        <v>18</v>
      </c>
      <c r="C129" s="47" t="s">
        <v>57</v>
      </c>
      <c r="D129" s="47" t="s">
        <v>27</v>
      </c>
      <c r="E129" s="47" t="s">
        <v>57</v>
      </c>
      <c r="F129" s="47" t="s">
        <v>263</v>
      </c>
      <c r="G129" s="48" t="s">
        <v>20</v>
      </c>
      <c r="H129" s="16">
        <v>8</v>
      </c>
      <c r="I129" s="16">
        <v>22</v>
      </c>
    </row>
    <row r="130" spans="1:9">
      <c r="A130" s="72"/>
      <c r="B130" s="47" t="s">
        <v>18</v>
      </c>
      <c r="C130" s="47" t="s">
        <v>57</v>
      </c>
      <c r="D130" s="47" t="s">
        <v>33</v>
      </c>
      <c r="E130" s="47" t="s">
        <v>47</v>
      </c>
      <c r="F130" s="47" t="s">
        <v>58</v>
      </c>
      <c r="G130" s="48" t="s">
        <v>76</v>
      </c>
      <c r="H130" s="16">
        <v>1</v>
      </c>
      <c r="I130" s="16">
        <v>23</v>
      </c>
    </row>
    <row r="131" spans="1:9">
      <c r="A131" s="72"/>
      <c r="B131" s="47" t="s">
        <v>18</v>
      </c>
      <c r="C131" s="47" t="s">
        <v>57</v>
      </c>
      <c r="D131" s="47" t="s">
        <v>33</v>
      </c>
      <c r="E131" s="47" t="s">
        <v>47</v>
      </c>
      <c r="F131" s="47" t="s">
        <v>264</v>
      </c>
      <c r="G131" s="48" t="s">
        <v>51</v>
      </c>
      <c r="H131" s="16">
        <v>2</v>
      </c>
      <c r="I131" s="16">
        <v>24</v>
      </c>
    </row>
    <row r="132" spans="1:9">
      <c r="A132" s="72"/>
      <c r="B132" s="47" t="s">
        <v>18</v>
      </c>
      <c r="C132" s="47" t="s">
        <v>57</v>
      </c>
      <c r="D132" s="47" t="s">
        <v>33</v>
      </c>
      <c r="E132" s="47" t="s">
        <v>47</v>
      </c>
      <c r="F132" s="47" t="s">
        <v>47</v>
      </c>
      <c r="G132" s="48" t="s">
        <v>147</v>
      </c>
      <c r="H132" s="16">
        <v>3</v>
      </c>
      <c r="I132" s="16">
        <v>25</v>
      </c>
    </row>
    <row r="133" spans="1:9">
      <c r="A133" s="72"/>
      <c r="B133" s="47" t="s">
        <v>18</v>
      </c>
      <c r="C133" s="47" t="s">
        <v>57</v>
      </c>
      <c r="D133" s="47" t="s">
        <v>33</v>
      </c>
      <c r="E133" s="47" t="s">
        <v>47</v>
      </c>
      <c r="F133" s="47" t="s">
        <v>265</v>
      </c>
      <c r="G133" s="48" t="s">
        <v>25</v>
      </c>
      <c r="H133" s="16">
        <v>4</v>
      </c>
      <c r="I133" s="16">
        <v>26</v>
      </c>
    </row>
    <row r="134" spans="1:9">
      <c r="B134" s="47" t="s">
        <v>18</v>
      </c>
      <c r="C134" s="47" t="s">
        <v>57</v>
      </c>
      <c r="D134" s="47" t="s">
        <v>33</v>
      </c>
      <c r="E134" s="47" t="s">
        <v>47</v>
      </c>
      <c r="F134" s="47" t="s">
        <v>266</v>
      </c>
      <c r="G134" s="48" t="s">
        <v>66</v>
      </c>
      <c r="H134" s="16">
        <v>5</v>
      </c>
      <c r="I134" s="16">
        <v>27</v>
      </c>
    </row>
  </sheetData>
  <mergeCells count="7">
    <mergeCell ref="A1:I1"/>
    <mergeCell ref="A108:A133"/>
    <mergeCell ref="A5:A15"/>
    <mergeCell ref="A16:A30"/>
    <mergeCell ref="A31:A51"/>
    <mergeCell ref="A52:A91"/>
    <mergeCell ref="A92:A107"/>
  </mergeCells>
  <pageMargins left="0.31496062992125984" right="0.31496062992125984" top="0.35433070866141736" bottom="0.35433070866141736" header="0.31496062992125984" footer="0.31496062992125984"/>
  <pageSetup paperSize="9" scale="79" orientation="landscape" r:id="rId1"/>
  <rowBreaks count="1" manualBreakCount="1">
    <brk id="78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Q39"/>
  <sheetViews>
    <sheetView tabSelected="1" view="pageBreakPreview" zoomScaleSheetLayoutView="100" workbookViewId="0">
      <selection activeCell="L12" sqref="L12"/>
    </sheetView>
  </sheetViews>
  <sheetFormatPr defaultColWidth="20.7109375" defaultRowHeight="24.95" customHeight="1"/>
  <cols>
    <col min="1" max="1" width="6.7109375" style="10" customWidth="1"/>
    <col min="2" max="2" width="19.28515625" style="7" customWidth="1"/>
    <col min="3" max="3" width="25" style="7" customWidth="1"/>
    <col min="4" max="4" width="12" style="4" customWidth="1"/>
    <col min="5" max="5" width="11.42578125" style="4" customWidth="1"/>
    <col min="6" max="6" width="8.85546875" style="4" customWidth="1"/>
    <col min="7" max="7" width="6.7109375" style="4" customWidth="1"/>
    <col min="8" max="8" width="9" style="4" customWidth="1"/>
    <col min="9" max="9" width="7.140625" style="4" customWidth="1"/>
    <col min="10" max="10" width="8" style="4" customWidth="1"/>
    <col min="11" max="11" width="8.7109375" style="4" customWidth="1"/>
    <col min="12" max="12" width="20.5703125" style="1" customWidth="1"/>
    <col min="13" max="16384" width="20.7109375" style="1"/>
  </cols>
  <sheetData>
    <row r="1" spans="1:12" ht="24.95" customHeight="1">
      <c r="A1" s="71" t="s">
        <v>83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2" ht="24.95" customHeight="1">
      <c r="A2" s="71" t="s">
        <v>84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2" s="5" customFormat="1" ht="24.95" customHeight="1">
      <c r="A3" s="29" t="s">
        <v>85</v>
      </c>
      <c r="B3" s="30" t="s">
        <v>101</v>
      </c>
      <c r="C3" s="60"/>
      <c r="D3" s="61"/>
      <c r="E3" s="61"/>
      <c r="F3" s="60"/>
      <c r="G3" s="77" t="s">
        <v>86</v>
      </c>
      <c r="H3" s="77"/>
      <c r="I3" s="77"/>
      <c r="J3" s="77"/>
      <c r="K3" s="77"/>
    </row>
    <row r="4" spans="1:12" ht="24.95" customHeight="1">
      <c r="A4" s="31"/>
      <c r="B4" s="62"/>
      <c r="C4" s="62"/>
      <c r="D4" s="61"/>
      <c r="E4" s="61"/>
      <c r="F4" s="61"/>
      <c r="G4" s="61"/>
      <c r="H4" s="61" t="s">
        <v>284</v>
      </c>
      <c r="I4" s="61"/>
      <c r="J4" s="61"/>
      <c r="K4" s="61"/>
    </row>
    <row r="5" spans="1:12" ht="46.5" customHeight="1">
      <c r="A5" s="78" t="s">
        <v>87</v>
      </c>
      <c r="B5" s="79" t="s">
        <v>88</v>
      </c>
      <c r="C5" s="79" t="s">
        <v>89</v>
      </c>
      <c r="D5" s="79" t="s">
        <v>90</v>
      </c>
      <c r="E5" s="80" t="s">
        <v>91</v>
      </c>
      <c r="F5" s="79" t="s">
        <v>92</v>
      </c>
      <c r="G5" s="79"/>
      <c r="H5" s="79" t="s">
        <v>93</v>
      </c>
      <c r="I5" s="79"/>
      <c r="J5" s="79" t="s">
        <v>94</v>
      </c>
      <c r="K5" s="79"/>
    </row>
    <row r="6" spans="1:12" ht="35.25" customHeight="1">
      <c r="A6" s="78"/>
      <c r="B6" s="79"/>
      <c r="C6" s="79"/>
      <c r="D6" s="79"/>
      <c r="E6" s="81"/>
      <c r="F6" s="32" t="s">
        <v>95</v>
      </c>
      <c r="G6" s="32" t="s">
        <v>96</v>
      </c>
      <c r="H6" s="32" t="s">
        <v>95</v>
      </c>
      <c r="I6" s="32" t="s">
        <v>96</v>
      </c>
      <c r="J6" s="32" t="s">
        <v>95</v>
      </c>
      <c r="K6" s="32" t="s">
        <v>96</v>
      </c>
    </row>
    <row r="7" spans="1:12" ht="30" customHeight="1">
      <c r="A7" s="86">
        <v>1</v>
      </c>
      <c r="B7" s="43" t="s">
        <v>7</v>
      </c>
      <c r="C7" s="17" t="s">
        <v>7</v>
      </c>
      <c r="D7" s="33">
        <v>6</v>
      </c>
      <c r="E7" s="33">
        <v>6</v>
      </c>
      <c r="F7" s="24"/>
      <c r="G7" s="24"/>
      <c r="H7" s="24"/>
      <c r="I7" s="24"/>
      <c r="J7" s="46" t="s">
        <v>268</v>
      </c>
      <c r="K7" s="46" t="s">
        <v>270</v>
      </c>
      <c r="L7" s="9">
        <v>97</v>
      </c>
    </row>
    <row r="8" spans="1:12" ht="30" customHeight="1">
      <c r="A8" s="86"/>
      <c r="B8" s="83" t="s">
        <v>15</v>
      </c>
      <c r="C8" s="17" t="s">
        <v>15</v>
      </c>
      <c r="D8" s="24">
        <v>3</v>
      </c>
      <c r="E8" s="24">
        <v>9</v>
      </c>
      <c r="F8" s="24"/>
      <c r="G8" s="24"/>
      <c r="H8" s="24"/>
      <c r="I8" s="24"/>
      <c r="J8" s="46" t="s">
        <v>269</v>
      </c>
      <c r="K8" s="46" t="s">
        <v>271</v>
      </c>
      <c r="L8" s="9">
        <v>97</v>
      </c>
    </row>
    <row r="9" spans="1:12" ht="28.5" customHeight="1">
      <c r="A9" s="86"/>
      <c r="B9" s="85"/>
      <c r="C9" s="17" t="s">
        <v>19</v>
      </c>
      <c r="D9" s="24">
        <v>2</v>
      </c>
      <c r="E9" s="24">
        <v>11</v>
      </c>
      <c r="F9" s="23"/>
      <c r="G9" s="23"/>
      <c r="H9" s="24"/>
      <c r="I9" s="24"/>
      <c r="J9" s="24"/>
      <c r="K9" s="24"/>
      <c r="L9" s="9"/>
    </row>
    <row r="10" spans="1:12" ht="28.5" customHeight="1">
      <c r="A10" s="34"/>
      <c r="B10" s="3"/>
      <c r="C10" s="19" t="s">
        <v>97</v>
      </c>
      <c r="D10" s="23">
        <f>SUM(D7:D9)</f>
        <v>11</v>
      </c>
      <c r="E10" s="24"/>
      <c r="F10" s="23">
        <v>2</v>
      </c>
      <c r="G10" s="23">
        <v>2</v>
      </c>
      <c r="H10" s="23">
        <v>96</v>
      </c>
      <c r="I10" s="23">
        <v>96</v>
      </c>
      <c r="J10" s="24"/>
      <c r="K10" s="24"/>
      <c r="L10" s="9"/>
    </row>
    <row r="11" spans="1:12" ht="28.5" customHeight="1">
      <c r="A11" s="87">
        <v>2</v>
      </c>
      <c r="B11" s="43" t="s">
        <v>22</v>
      </c>
      <c r="C11" s="17" t="s">
        <v>22</v>
      </c>
      <c r="D11" s="24">
        <v>6</v>
      </c>
      <c r="E11" s="24">
        <v>6</v>
      </c>
      <c r="F11" s="23"/>
      <c r="G11" s="23"/>
      <c r="H11" s="24"/>
      <c r="I11" s="24"/>
      <c r="J11" s="46" t="s">
        <v>272</v>
      </c>
      <c r="K11" s="46" t="s">
        <v>273</v>
      </c>
      <c r="L11" s="9"/>
    </row>
    <row r="12" spans="1:12" ht="28.5" customHeight="1">
      <c r="A12" s="88"/>
      <c r="B12" s="83" t="s">
        <v>81</v>
      </c>
      <c r="C12" s="17" t="s">
        <v>81</v>
      </c>
      <c r="D12" s="24">
        <v>5</v>
      </c>
      <c r="E12" s="24">
        <v>11</v>
      </c>
      <c r="F12" s="23"/>
      <c r="G12" s="23"/>
      <c r="H12" s="24"/>
      <c r="I12" s="24"/>
      <c r="J12" s="46" t="s">
        <v>271</v>
      </c>
      <c r="K12" s="46" t="s">
        <v>274</v>
      </c>
      <c r="L12" s="9">
        <v>98</v>
      </c>
    </row>
    <row r="13" spans="1:12" ht="28.5" customHeight="1">
      <c r="A13" s="89"/>
      <c r="B13" s="85"/>
      <c r="C13" s="17" t="s">
        <v>39</v>
      </c>
      <c r="D13" s="24">
        <v>1</v>
      </c>
      <c r="E13" s="24">
        <v>12</v>
      </c>
      <c r="F13" s="23"/>
      <c r="G13" s="23"/>
      <c r="H13" s="24"/>
      <c r="I13" s="24"/>
      <c r="J13" s="24"/>
      <c r="K13" s="24"/>
      <c r="L13" s="9"/>
    </row>
    <row r="14" spans="1:12" ht="28.5" customHeight="1">
      <c r="A14" s="35"/>
      <c r="B14" s="3"/>
      <c r="C14" s="36" t="s">
        <v>97</v>
      </c>
      <c r="D14" s="23">
        <f>SUM(D11:D13)</f>
        <v>12</v>
      </c>
      <c r="E14" s="24"/>
      <c r="F14" s="23">
        <v>2</v>
      </c>
      <c r="G14" s="23">
        <v>2</v>
      </c>
      <c r="H14" s="23">
        <v>97</v>
      </c>
      <c r="I14" s="23">
        <v>97</v>
      </c>
      <c r="J14" s="24"/>
      <c r="K14" s="24"/>
      <c r="L14" s="9"/>
    </row>
    <row r="15" spans="1:12" ht="28.5" customHeight="1">
      <c r="A15" s="82">
        <v>3</v>
      </c>
      <c r="B15" s="83" t="s">
        <v>30</v>
      </c>
      <c r="C15" s="17" t="s">
        <v>31</v>
      </c>
      <c r="D15" s="24">
        <v>2</v>
      </c>
      <c r="E15" s="24">
        <v>2</v>
      </c>
      <c r="F15" s="23"/>
      <c r="G15" s="23"/>
      <c r="H15" s="24"/>
      <c r="I15" s="24"/>
      <c r="J15" s="46" t="s">
        <v>275</v>
      </c>
      <c r="K15" s="46" t="s">
        <v>109</v>
      </c>
      <c r="L15" s="9"/>
    </row>
    <row r="16" spans="1:12" ht="28.5" customHeight="1">
      <c r="A16" s="82"/>
      <c r="B16" s="84"/>
      <c r="C16" s="17" t="s">
        <v>34</v>
      </c>
      <c r="D16" s="24">
        <v>4</v>
      </c>
      <c r="E16" s="24">
        <v>6</v>
      </c>
      <c r="F16" s="23"/>
      <c r="G16" s="23"/>
      <c r="H16" s="24"/>
      <c r="I16" s="24"/>
      <c r="J16" s="46" t="s">
        <v>108</v>
      </c>
      <c r="K16" s="46" t="s">
        <v>277</v>
      </c>
      <c r="L16" s="9"/>
    </row>
    <row r="17" spans="1:12" ht="24.95" customHeight="1">
      <c r="A17" s="82"/>
      <c r="B17" s="85"/>
      <c r="C17" s="17" t="s">
        <v>102</v>
      </c>
      <c r="D17" s="24">
        <v>3</v>
      </c>
      <c r="E17" s="24">
        <v>9</v>
      </c>
      <c r="F17" s="24"/>
      <c r="G17" s="24"/>
      <c r="H17" s="24"/>
      <c r="I17" s="24"/>
      <c r="J17" s="46" t="s">
        <v>276</v>
      </c>
      <c r="K17" s="46" t="s">
        <v>278</v>
      </c>
      <c r="L17" s="9"/>
    </row>
    <row r="18" spans="1:12" ht="24.95" customHeight="1">
      <c r="A18" s="82"/>
      <c r="B18" s="83" t="s">
        <v>39</v>
      </c>
      <c r="C18" s="17" t="s">
        <v>39</v>
      </c>
      <c r="D18" s="24">
        <v>9</v>
      </c>
      <c r="E18" s="24">
        <v>18</v>
      </c>
      <c r="F18" s="24"/>
      <c r="G18" s="24"/>
      <c r="H18" s="24"/>
      <c r="I18" s="24"/>
      <c r="J18" s="24"/>
      <c r="K18" s="24"/>
      <c r="L18" s="9"/>
    </row>
    <row r="19" spans="1:12" ht="24.95" customHeight="1">
      <c r="A19" s="82"/>
      <c r="B19" s="84"/>
      <c r="C19" s="17" t="s">
        <v>46</v>
      </c>
      <c r="D19" s="24">
        <v>3</v>
      </c>
      <c r="E19" s="24">
        <v>21</v>
      </c>
      <c r="F19" s="24"/>
      <c r="G19" s="24"/>
      <c r="H19" s="24"/>
      <c r="I19" s="24"/>
      <c r="J19" s="24"/>
      <c r="K19" s="24"/>
      <c r="L19" s="9"/>
    </row>
    <row r="20" spans="1:12" ht="24.95" customHeight="1">
      <c r="A20" s="40"/>
      <c r="B20" s="44"/>
      <c r="C20" s="41" t="s">
        <v>97</v>
      </c>
      <c r="D20" s="23">
        <f>SUM(D15:D19)</f>
        <v>21</v>
      </c>
      <c r="E20" s="24"/>
      <c r="F20" s="23">
        <v>3</v>
      </c>
      <c r="G20" s="23">
        <v>3</v>
      </c>
      <c r="H20" s="23">
        <v>98</v>
      </c>
      <c r="I20" s="23">
        <v>98</v>
      </c>
      <c r="J20" s="24"/>
      <c r="K20" s="24"/>
      <c r="L20" s="9"/>
    </row>
    <row r="21" spans="1:12" ht="48.75" customHeight="1">
      <c r="A21" s="94">
        <v>4</v>
      </c>
      <c r="B21" s="45" t="s">
        <v>78</v>
      </c>
      <c r="C21" s="42" t="s">
        <v>78</v>
      </c>
      <c r="D21" s="24">
        <v>9</v>
      </c>
      <c r="E21" s="24">
        <v>9</v>
      </c>
      <c r="F21" s="24"/>
      <c r="G21" s="24"/>
      <c r="H21" s="24"/>
      <c r="I21" s="24"/>
      <c r="J21" s="46" t="s">
        <v>268</v>
      </c>
      <c r="K21" s="46" t="s">
        <v>109</v>
      </c>
      <c r="L21" s="9"/>
    </row>
    <row r="22" spans="1:12" ht="24.95" customHeight="1">
      <c r="A22" s="95"/>
      <c r="B22" s="84" t="s">
        <v>6</v>
      </c>
      <c r="C22" s="17" t="s">
        <v>47</v>
      </c>
      <c r="D22" s="24">
        <v>5</v>
      </c>
      <c r="E22" s="24">
        <v>14</v>
      </c>
      <c r="F22" s="24"/>
      <c r="G22" s="24"/>
      <c r="H22" s="24"/>
      <c r="I22" s="24"/>
      <c r="J22" s="46" t="s">
        <v>104</v>
      </c>
      <c r="K22" s="46" t="s">
        <v>279</v>
      </c>
      <c r="L22" s="9"/>
    </row>
    <row r="23" spans="1:12" ht="24.95" customHeight="1">
      <c r="A23" s="95"/>
      <c r="B23" s="84"/>
      <c r="C23" s="17" t="s">
        <v>49</v>
      </c>
      <c r="D23" s="24">
        <v>5</v>
      </c>
      <c r="E23" s="24">
        <v>19</v>
      </c>
      <c r="F23" s="24"/>
      <c r="G23" s="24"/>
      <c r="H23" s="24"/>
      <c r="I23" s="24"/>
      <c r="J23" s="24"/>
      <c r="K23" s="24"/>
      <c r="L23" s="9"/>
    </row>
    <row r="24" spans="1:12" ht="24.95" customHeight="1">
      <c r="A24" s="95"/>
      <c r="B24" s="85"/>
      <c r="C24" s="17" t="s">
        <v>6</v>
      </c>
      <c r="D24" s="24">
        <v>2</v>
      </c>
      <c r="E24" s="24">
        <v>21</v>
      </c>
      <c r="F24" s="24"/>
      <c r="G24" s="24"/>
      <c r="H24" s="24"/>
      <c r="I24" s="24"/>
      <c r="J24" s="24"/>
      <c r="K24" s="24"/>
      <c r="L24" s="9"/>
    </row>
    <row r="25" spans="1:12" ht="24.95" customHeight="1">
      <c r="A25" s="95"/>
      <c r="B25" s="83" t="s">
        <v>69</v>
      </c>
      <c r="C25" s="17" t="s">
        <v>49</v>
      </c>
      <c r="D25" s="24">
        <v>2</v>
      </c>
      <c r="E25" s="24">
        <v>13</v>
      </c>
      <c r="F25" s="24"/>
      <c r="G25" s="24"/>
      <c r="H25" s="24"/>
      <c r="I25" s="24"/>
      <c r="J25" s="24"/>
      <c r="K25" s="24"/>
      <c r="L25" s="9"/>
    </row>
    <row r="26" spans="1:12" ht="24.95" customHeight="1">
      <c r="A26" s="95"/>
      <c r="B26" s="84"/>
      <c r="C26" s="17" t="s">
        <v>6</v>
      </c>
      <c r="D26" s="24">
        <v>6</v>
      </c>
      <c r="E26" s="24">
        <v>19</v>
      </c>
      <c r="F26" s="24"/>
      <c r="G26" s="24"/>
      <c r="H26" s="24"/>
      <c r="I26" s="24"/>
      <c r="J26" s="24"/>
      <c r="K26" s="24"/>
      <c r="L26" s="9"/>
    </row>
    <row r="27" spans="1:12" ht="24.95" customHeight="1">
      <c r="A27" s="95"/>
      <c r="B27" s="85"/>
      <c r="C27" s="17" t="s">
        <v>70</v>
      </c>
      <c r="D27" s="24">
        <v>3</v>
      </c>
      <c r="E27" s="24">
        <v>32</v>
      </c>
      <c r="F27" s="24"/>
      <c r="G27" s="24"/>
      <c r="H27" s="24"/>
      <c r="I27" s="24"/>
      <c r="J27" s="24"/>
      <c r="K27" s="24"/>
      <c r="L27" s="9"/>
    </row>
    <row r="28" spans="1:12" ht="24.95" customHeight="1">
      <c r="A28" s="95"/>
      <c r="B28" s="83" t="s">
        <v>73</v>
      </c>
      <c r="C28" s="17" t="s">
        <v>6</v>
      </c>
      <c r="D28" s="24">
        <v>1</v>
      </c>
      <c r="E28" s="24">
        <v>33</v>
      </c>
      <c r="F28" s="24"/>
      <c r="G28" s="24"/>
      <c r="H28" s="24"/>
      <c r="I28" s="24"/>
      <c r="J28" s="24"/>
      <c r="K28" s="24"/>
      <c r="L28" s="9"/>
    </row>
    <row r="29" spans="1:12" ht="24.95" customHeight="1">
      <c r="A29" s="95"/>
      <c r="B29" s="85"/>
      <c r="C29" s="17" t="s">
        <v>70</v>
      </c>
      <c r="D29" s="24">
        <v>7</v>
      </c>
      <c r="E29" s="24">
        <v>40</v>
      </c>
      <c r="F29" s="24"/>
      <c r="G29" s="24"/>
      <c r="H29" s="24"/>
      <c r="I29" s="24"/>
      <c r="J29" s="24"/>
      <c r="K29" s="24"/>
      <c r="L29" s="9"/>
    </row>
    <row r="30" spans="1:12" ht="24.95" customHeight="1">
      <c r="A30" s="22"/>
      <c r="B30" s="3"/>
      <c r="C30" s="19" t="s">
        <v>97</v>
      </c>
      <c r="D30" s="23">
        <f>SUM(D21:D29)</f>
        <v>40</v>
      </c>
      <c r="E30" s="37"/>
      <c r="F30" s="23">
        <v>2</v>
      </c>
      <c r="G30" s="23">
        <v>2</v>
      </c>
      <c r="H30" s="23">
        <v>99</v>
      </c>
      <c r="I30" s="23">
        <v>99</v>
      </c>
      <c r="J30" s="24"/>
      <c r="K30" s="24"/>
      <c r="L30" s="9"/>
    </row>
    <row r="31" spans="1:12" ht="24.95" customHeight="1">
      <c r="A31" s="96">
        <v>5</v>
      </c>
      <c r="B31" s="90" t="s">
        <v>52</v>
      </c>
      <c r="C31" s="20" t="s">
        <v>53</v>
      </c>
      <c r="D31" s="24">
        <v>3</v>
      </c>
      <c r="E31" s="24">
        <v>3</v>
      </c>
      <c r="F31" s="24"/>
      <c r="G31" s="24"/>
      <c r="H31" s="24"/>
      <c r="I31" s="24"/>
      <c r="J31" s="46" t="s">
        <v>280</v>
      </c>
      <c r="K31" s="46" t="s">
        <v>107</v>
      </c>
    </row>
    <row r="32" spans="1:12" ht="24.95" customHeight="1">
      <c r="A32" s="96"/>
      <c r="B32" s="90"/>
      <c r="C32" s="20" t="s">
        <v>52</v>
      </c>
      <c r="D32" s="24">
        <v>7</v>
      </c>
      <c r="E32" s="24">
        <v>10</v>
      </c>
      <c r="F32" s="24"/>
      <c r="G32" s="24"/>
      <c r="H32" s="24"/>
      <c r="I32" s="24"/>
      <c r="J32" s="46" t="s">
        <v>281</v>
      </c>
      <c r="K32" s="46" t="s">
        <v>105</v>
      </c>
    </row>
    <row r="33" spans="1:17" ht="24.95" customHeight="1">
      <c r="A33" s="96"/>
      <c r="B33" s="25" t="s">
        <v>12</v>
      </c>
      <c r="C33" s="25" t="s">
        <v>12</v>
      </c>
      <c r="D33" s="24">
        <v>6</v>
      </c>
      <c r="E33" s="24">
        <v>16</v>
      </c>
      <c r="F33" s="24"/>
      <c r="G33" s="24"/>
      <c r="H33" s="24"/>
      <c r="I33" s="24"/>
      <c r="J33" s="24"/>
      <c r="K33" s="24"/>
    </row>
    <row r="34" spans="1:17" ht="24.95" customHeight="1">
      <c r="A34" s="26"/>
      <c r="B34" s="3"/>
      <c r="C34" s="23" t="s">
        <v>97</v>
      </c>
      <c r="D34" s="23">
        <f>SUM(D31:D33)</f>
        <v>16</v>
      </c>
      <c r="E34" s="24"/>
      <c r="F34" s="23">
        <v>2</v>
      </c>
      <c r="G34" s="23">
        <v>2</v>
      </c>
      <c r="H34" s="23">
        <v>100</v>
      </c>
      <c r="I34" s="23">
        <v>100</v>
      </c>
      <c r="J34" s="24"/>
      <c r="K34" s="24"/>
    </row>
    <row r="35" spans="1:17" ht="24.95" customHeight="1">
      <c r="A35" s="91">
        <v>6</v>
      </c>
      <c r="B35" s="90" t="s">
        <v>57</v>
      </c>
      <c r="C35" s="17" t="s">
        <v>47</v>
      </c>
      <c r="D35" s="24">
        <v>5</v>
      </c>
      <c r="E35" s="24">
        <v>5</v>
      </c>
      <c r="F35" s="24"/>
      <c r="G35" s="24"/>
      <c r="H35" s="24"/>
      <c r="I35" s="24"/>
      <c r="J35" s="46" t="s">
        <v>103</v>
      </c>
      <c r="K35" s="46" t="s">
        <v>268</v>
      </c>
    </row>
    <row r="36" spans="1:17" ht="24.95" customHeight="1">
      <c r="A36" s="92"/>
      <c r="B36" s="90"/>
      <c r="C36" s="20" t="s">
        <v>57</v>
      </c>
      <c r="D36" s="24">
        <v>8</v>
      </c>
      <c r="E36" s="24">
        <v>13</v>
      </c>
      <c r="F36" s="24"/>
      <c r="G36" s="24"/>
      <c r="H36" s="24"/>
      <c r="I36" s="24"/>
      <c r="J36" s="46" t="s">
        <v>282</v>
      </c>
      <c r="K36" s="46" t="s">
        <v>106</v>
      </c>
    </row>
    <row r="37" spans="1:17" ht="24.95" customHeight="1">
      <c r="A37" s="93"/>
      <c r="B37" s="27" t="s">
        <v>63</v>
      </c>
      <c r="C37" s="27" t="s">
        <v>63</v>
      </c>
      <c r="D37" s="26">
        <v>14</v>
      </c>
      <c r="E37" s="24">
        <v>27</v>
      </c>
      <c r="F37" s="26"/>
      <c r="G37" s="26"/>
      <c r="H37" s="26"/>
      <c r="I37" s="26"/>
      <c r="J37" s="26"/>
      <c r="K37" s="26"/>
    </row>
    <row r="38" spans="1:17" s="28" customFormat="1" ht="24.95" customHeight="1">
      <c r="A38" s="24"/>
      <c r="C38" s="23" t="s">
        <v>97</v>
      </c>
      <c r="D38" s="23">
        <f>SUM(D35:D37)</f>
        <v>27</v>
      </c>
      <c r="E38" s="24"/>
      <c r="F38" s="23">
        <v>2</v>
      </c>
      <c r="G38" s="23">
        <v>2</v>
      </c>
      <c r="H38" s="23">
        <v>101</v>
      </c>
      <c r="I38" s="23">
        <v>101</v>
      </c>
      <c r="J38" s="24"/>
      <c r="K38" s="24"/>
      <c r="L38" s="39"/>
      <c r="M38" s="39"/>
      <c r="N38" s="39"/>
      <c r="O38" s="39"/>
      <c r="P38" s="39"/>
      <c r="Q38" s="39"/>
    </row>
    <row r="39" spans="1:17" ht="24.95" customHeight="1">
      <c r="A39" s="38"/>
      <c r="B39" s="21"/>
      <c r="C39" s="23" t="s">
        <v>98</v>
      </c>
      <c r="D39" s="23">
        <f>D10+D14+D20+D30+D34+D38</f>
        <v>127</v>
      </c>
      <c r="E39" s="8"/>
      <c r="F39" s="53">
        <v>13</v>
      </c>
      <c r="G39" s="53">
        <v>13</v>
      </c>
      <c r="H39" s="8"/>
      <c r="I39" s="8"/>
      <c r="J39" s="8"/>
      <c r="K39" s="8"/>
    </row>
  </sheetData>
  <mergeCells count="26">
    <mergeCell ref="B35:B36"/>
    <mergeCell ref="A35:A37"/>
    <mergeCell ref="B25:B27"/>
    <mergeCell ref="A21:A29"/>
    <mergeCell ref="A31:A33"/>
    <mergeCell ref="B31:B32"/>
    <mergeCell ref="B28:B29"/>
    <mergeCell ref="A15:A19"/>
    <mergeCell ref="B15:B17"/>
    <mergeCell ref="B18:B19"/>
    <mergeCell ref="B22:B24"/>
    <mergeCell ref="J5:K5"/>
    <mergeCell ref="A7:A9"/>
    <mergeCell ref="B8:B9"/>
    <mergeCell ref="B12:B13"/>
    <mergeCell ref="A11:A13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</mergeCells>
  <pageMargins left="0.31496062992125984" right="0.31496062992125984" top="0.35433070866141736" bottom="0.35433070866141736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STRATUM WISE(CS)</vt:lpstr>
      <vt:lpstr>STRATUM WISE (SS)</vt:lpstr>
      <vt:lpstr>STRATUM WISE</vt:lpstr>
      <vt:lpstr>WORKING SHEET</vt:lpstr>
      <vt:lpstr>'STRATUM WISE'!Print_Titles</vt:lpstr>
      <vt:lpstr>'STRATUM WISE(CS)'!Print_Titles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ACER</cp:lastModifiedBy>
  <cp:lastPrinted>2025-06-25T09:45:27Z</cp:lastPrinted>
  <dcterms:created xsi:type="dcterms:W3CDTF">2025-06-18T07:39:58Z</dcterms:created>
  <dcterms:modified xsi:type="dcterms:W3CDTF">2026-06-16T11:52:17Z</dcterms:modified>
</cp:coreProperties>
</file>
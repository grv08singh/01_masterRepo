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13_ncr:1_{14778233-1121-4402-9ACC-2FE100BA83A2}" xr6:coauthVersionLast="47" xr6:coauthVersionMax="47" xr10:uidLastSave="{00000000-0000-0000-0000-000000000000}"/>
  <bookViews>
    <workbookView xWindow="-108" yWindow="-108" windowWidth="23256" windowHeight="12456" tabRatio="910" firstSheet="1" activeTab="16" xr2:uid="{00000000-000D-0000-FFFF-FFFF00000000}"/>
  </bookViews>
  <sheets>
    <sheet name="year" sheetId="27" state="hidden" r:id="rId1"/>
    <sheet name="Annex-I" sheetId="1" r:id="rId2"/>
    <sheet name="Annex-II" sheetId="2" state="hidden" r:id="rId3"/>
    <sheet name="Annex-III" sheetId="3" state="hidden" r:id="rId4"/>
    <sheet name="Annex-IV(a)" sheetId="4" state="hidden" r:id="rId5"/>
    <sheet name="Annex-IV(b)" sheetId="5" state="hidden" r:id="rId6"/>
    <sheet name="Annex-V" sheetId="6" r:id="rId7"/>
    <sheet name="Annex-VI" sheetId="7" r:id="rId8"/>
    <sheet name="Annex-VII(a)" sheetId="8" r:id="rId9"/>
    <sheet name="Annex-VII(b)" sheetId="9" r:id="rId10"/>
    <sheet name="Annex-VIII" sheetId="10" r:id="rId11"/>
    <sheet name="Annex-IX" sheetId="11" r:id="rId12"/>
    <sheet name="Annex-X" sheetId="12" r:id="rId13"/>
    <sheet name="Annex-XI" sheetId="13" r:id="rId14"/>
    <sheet name="Annex-XII" sheetId="14" r:id="rId15"/>
    <sheet name="Annex-XVI" sheetId="21" r:id="rId16"/>
    <sheet name="Annex-XVII" sheetId="22" r:id="rId17"/>
    <sheet name="Annex-XVIII" sheetId="23" r:id="rId18"/>
    <sheet name="Annex-XIX" sheetId="15" r:id="rId19"/>
    <sheet name="Annex-XX" sheetId="16" r:id="rId20"/>
    <sheet name="Annex-XXI" sheetId="17" r:id="rId21"/>
    <sheet name="Annex-XXII" sheetId="18" r:id="rId22"/>
    <sheet name="Annex-XXIII" sheetId="19" r:id="rId23"/>
    <sheet name="Annex-XXIV" sheetId="20" r:id="rId24"/>
    <sheet name="Annex-XXV" sheetId="24" r:id="rId25"/>
  </sheets>
  <definedNames>
    <definedName name="_xlnm.Print_Area" localSheetId="3">'Annex-III'!$A$1:$E$8</definedName>
    <definedName name="_xlnm.Print_Area" localSheetId="5">'Annex-IV(b)'!$A$1:$H$30</definedName>
    <definedName name="_xlnm.Print_Area" localSheetId="10">'Annex-VIII'!$A$1:$H$79</definedName>
    <definedName name="_xlnm.Print_Area" localSheetId="12">'Annex-X'!$A$1:$K$72</definedName>
    <definedName name="_xlnm.Print_Area" localSheetId="14">'Annex-XII'!$A$1:$K$79</definedName>
    <definedName name="_xlnm.Print_Area" localSheetId="15">'Annex-XVI'!$A$1:$H$13</definedName>
    <definedName name="_xlnm.Print_Area" localSheetId="16">'Annex-XVII'!$A$1:$I$30</definedName>
    <definedName name="_xlnm.Print_Area" localSheetId="17">'Annex-XVIII'!$A$1:$G$13</definedName>
    <definedName name="_xlnm.Print_Area" localSheetId="20">'Annex-XXI'!$A$1:$J$81</definedName>
    <definedName name="_xlnm.Print_Area" localSheetId="24">'Annex-XXV'!$A$1:$L$189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1" l="1"/>
  <c r="A26" i="22"/>
  <c r="A9" i="16"/>
  <c r="I3" i="27"/>
  <c r="A25" i="22" s="1"/>
  <c r="A8" i="20"/>
  <c r="A10" i="24" l="1"/>
  <c r="A13" i="24"/>
  <c r="A11" i="21"/>
  <c r="A9" i="23"/>
  <c r="A11" i="23"/>
  <c r="A10" i="23"/>
  <c r="A12" i="23"/>
  <c r="A10" i="22"/>
  <c r="A49" i="18"/>
  <c r="C6" i="15"/>
  <c r="A8" i="16"/>
  <c r="A115" i="16"/>
  <c r="F6" i="15"/>
  <c r="A70" i="20"/>
  <c r="A116" i="16"/>
  <c r="A138" i="24" l="1"/>
  <c r="A75" i="24"/>
  <c r="A135" i="24"/>
  <c r="A72" i="24"/>
  <c r="C5" i="23"/>
  <c r="E4" i="22"/>
  <c r="D4" i="22"/>
  <c r="C4" i="22"/>
  <c r="B4" i="22"/>
  <c r="D5" i="23"/>
  <c r="B5" i="23"/>
  <c r="A12" i="21"/>
  <c r="A7" i="3"/>
  <c r="J4" i="27"/>
  <c r="B5" i="2"/>
  <c r="I4" i="27"/>
  <c r="H2" i="27"/>
  <c r="H3" i="27"/>
  <c r="H4" i="27"/>
  <c r="C5" i="27"/>
  <c r="A13" i="21" s="1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65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50" i="10"/>
  <c r="A49" i="10"/>
  <c r="A7" i="21"/>
  <c r="A8" i="22"/>
  <c r="A8" i="23"/>
  <c r="A8" i="24"/>
  <c r="A68" i="24"/>
  <c r="A131" i="24" s="1"/>
  <c r="A64" i="24"/>
  <c r="A190" i="24" s="1"/>
  <c r="A60" i="24"/>
  <c r="A123" i="24" s="1"/>
  <c r="A56" i="24"/>
  <c r="A52" i="24"/>
  <c r="A48" i="24"/>
  <c r="A174" i="24" s="1"/>
  <c r="A44" i="24"/>
  <c r="A170" i="24" s="1"/>
  <c r="A40" i="24"/>
  <c r="A166" i="24" s="1"/>
  <c r="A36" i="24"/>
  <c r="A162" i="24" s="1"/>
  <c r="A32" i="24"/>
  <c r="A158" i="24" s="1"/>
  <c r="A28" i="24"/>
  <c r="A91" i="24" s="1"/>
  <c r="A24" i="24"/>
  <c r="A20" i="24"/>
  <c r="A16" i="24"/>
  <c r="A142" i="24" s="1"/>
  <c r="A8" i="17" l="1"/>
  <c r="A8" i="19"/>
  <c r="A4" i="18"/>
  <c r="A9" i="22"/>
  <c r="A25" i="17"/>
  <c r="A12" i="19"/>
  <c r="A3" i="20"/>
  <c r="A3" i="16"/>
  <c r="C4" i="20"/>
  <c r="B5" i="16"/>
  <c r="A9" i="15"/>
  <c r="C5" i="18"/>
  <c r="C50" i="18"/>
  <c r="C9" i="24"/>
  <c r="A3" i="17"/>
  <c r="A3" i="18"/>
  <c r="A48" i="18" s="1"/>
  <c r="A2" i="19"/>
  <c r="A2" i="17"/>
  <c r="A2" i="16"/>
  <c r="A2" i="15"/>
  <c r="A2" i="24"/>
  <c r="A2" i="20"/>
  <c r="A2" i="18"/>
  <c r="A3" i="19"/>
  <c r="A3" i="15"/>
  <c r="A2" i="23"/>
  <c r="A2" i="22"/>
  <c r="A2" i="21"/>
  <c r="G2" i="14"/>
  <c r="I2" i="13"/>
  <c r="F42" i="12"/>
  <c r="C2" i="12"/>
  <c r="E2" i="11"/>
  <c r="D2" i="9"/>
  <c r="G2" i="7"/>
  <c r="D2" i="6"/>
  <c r="C2" i="3"/>
  <c r="E2" i="14"/>
  <c r="G2" i="13"/>
  <c r="D42" i="12"/>
  <c r="A2" i="12"/>
  <c r="C2" i="11"/>
  <c r="B2" i="9"/>
  <c r="E2" i="7"/>
  <c r="B2" i="6"/>
  <c r="A2" i="3"/>
  <c r="N2" i="11"/>
  <c r="D2" i="7"/>
  <c r="I42" i="14"/>
  <c r="F2" i="14"/>
  <c r="H2" i="13"/>
  <c r="E42" i="12"/>
  <c r="B2" i="12"/>
  <c r="D2" i="11"/>
  <c r="C2" i="9"/>
  <c r="F2" i="7"/>
  <c r="C2" i="6"/>
  <c r="B2" i="3"/>
  <c r="H42" i="14"/>
  <c r="G42" i="14"/>
  <c r="F42" i="14"/>
  <c r="C2" i="14"/>
  <c r="E2" i="13"/>
  <c r="B42" i="12"/>
  <c r="M2" i="11"/>
  <c r="A2" i="11"/>
  <c r="A2" i="8"/>
  <c r="C2" i="7"/>
  <c r="A2" i="5"/>
  <c r="A2" i="1"/>
  <c r="B2" i="14"/>
  <c r="D2" i="13"/>
  <c r="A42" i="12"/>
  <c r="L2" i="11"/>
  <c r="F2" i="10"/>
  <c r="N2" i="7"/>
  <c r="B2" i="7"/>
  <c r="F2" i="4"/>
  <c r="F2" i="13"/>
  <c r="E42" i="14"/>
  <c r="D42" i="14"/>
  <c r="A2" i="14"/>
  <c r="C2" i="13"/>
  <c r="I2" i="12"/>
  <c r="K2" i="11"/>
  <c r="E2" i="10"/>
  <c r="M2" i="7"/>
  <c r="A2" i="7"/>
  <c r="E2" i="4"/>
  <c r="G2" i="11"/>
  <c r="E2" i="6"/>
  <c r="A2" i="9"/>
  <c r="C42" i="14"/>
  <c r="N2" i="13"/>
  <c r="B2" i="13"/>
  <c r="H2" i="12"/>
  <c r="J2" i="11"/>
  <c r="D2" i="10"/>
  <c r="L2" i="7"/>
  <c r="I2" i="6"/>
  <c r="D2" i="4"/>
  <c r="I2" i="14"/>
  <c r="A2" i="4"/>
  <c r="J2" i="13"/>
  <c r="E2" i="9"/>
  <c r="B2" i="11"/>
  <c r="B42" i="14"/>
  <c r="M2" i="13"/>
  <c r="A2" i="13"/>
  <c r="G2" i="12"/>
  <c r="I2" i="11"/>
  <c r="C2" i="10"/>
  <c r="K2" i="7"/>
  <c r="H2" i="6"/>
  <c r="C2" i="4"/>
  <c r="H42" i="12"/>
  <c r="I2" i="7"/>
  <c r="H2" i="14"/>
  <c r="D2" i="12"/>
  <c r="H2" i="7"/>
  <c r="D2" i="14"/>
  <c r="A2" i="6"/>
  <c r="A42" i="14"/>
  <c r="L2" i="13"/>
  <c r="I42" i="12"/>
  <c r="F2" i="12"/>
  <c r="H2" i="11"/>
  <c r="B2" i="10"/>
  <c r="J2" i="7"/>
  <c r="G2" i="6"/>
  <c r="B2" i="4"/>
  <c r="K2" i="13"/>
  <c r="E2" i="12"/>
  <c r="A2" i="10"/>
  <c r="F2" i="6"/>
  <c r="G42" i="12"/>
  <c r="F2" i="11"/>
  <c r="D2" i="3"/>
  <c r="C42" i="12"/>
  <c r="A2" i="2"/>
  <c r="G5" i="23"/>
  <c r="F5" i="23"/>
  <c r="E5" i="23"/>
  <c r="A3" i="23" s="1"/>
  <c r="I4" i="22"/>
  <c r="H4" i="22"/>
  <c r="G4" i="22"/>
  <c r="F4" i="22"/>
  <c r="A3" i="22" s="1"/>
  <c r="A8" i="3"/>
  <c r="A8" i="8"/>
  <c r="A7" i="4"/>
  <c r="A7" i="5"/>
  <c r="H5" i="27"/>
  <c r="C5" i="2"/>
  <c r="I5" i="27"/>
  <c r="A9" i="7"/>
  <c r="A8" i="6"/>
  <c r="A8" i="1"/>
  <c r="A8" i="9"/>
  <c r="A8" i="14"/>
  <c r="A8" i="13"/>
  <c r="A8" i="12"/>
  <c r="A8" i="11"/>
  <c r="A8" i="10"/>
  <c r="A15" i="11"/>
  <c r="A24" i="10"/>
  <c r="A12" i="9"/>
  <c r="A13" i="7"/>
  <c r="A12" i="6"/>
  <c r="A12" i="1"/>
  <c r="A24" i="14"/>
  <c r="A15" i="13"/>
  <c r="A24" i="12"/>
  <c r="C6" i="27"/>
  <c r="J5" i="27"/>
  <c r="A150" i="24"/>
  <c r="A87" i="24"/>
  <c r="A182" i="24"/>
  <c r="A119" i="24"/>
  <c r="A146" i="24"/>
  <c r="A83" i="24"/>
  <c r="A178" i="24"/>
  <c r="A115" i="24"/>
  <c r="A79" i="24"/>
  <c r="A111" i="24"/>
  <c r="A107" i="24"/>
  <c r="A103" i="24"/>
  <c r="A99" i="24"/>
  <c r="A154" i="24"/>
  <c r="A95" i="24"/>
  <c r="A127" i="24"/>
  <c r="A186" i="24"/>
  <c r="F7" i="15"/>
  <c r="A42" i="17" l="1"/>
  <c r="A16" i="19"/>
  <c r="A21" i="15"/>
  <c r="H9" i="24"/>
  <c r="F50" i="18"/>
  <c r="I4" i="20"/>
  <c r="F5" i="18"/>
  <c r="H5" i="16"/>
  <c r="A59" i="17"/>
  <c r="A20" i="19"/>
  <c r="A15" i="4"/>
  <c r="A11" i="8"/>
  <c r="A19" i="5"/>
  <c r="A22" i="13"/>
  <c r="A48" i="12"/>
  <c r="A22" i="11"/>
  <c r="A48" i="10"/>
  <c r="A16" i="9"/>
  <c r="A17" i="7"/>
  <c r="A16" i="6"/>
  <c r="A16" i="1"/>
  <c r="A48" i="14"/>
  <c r="I6" i="27"/>
  <c r="A64" i="14"/>
  <c r="A29" i="13"/>
  <c r="A64" i="12"/>
  <c r="A29" i="11"/>
  <c r="A64" i="10"/>
  <c r="A20" i="1"/>
  <c r="A20" i="9"/>
  <c r="A21" i="7"/>
  <c r="A20" i="6"/>
  <c r="C7" i="27"/>
  <c r="J6" i="27"/>
  <c r="C71" i="24" s="1"/>
  <c r="H6" i="27"/>
  <c r="A26" i="17"/>
  <c r="A21" i="17"/>
  <c r="A39" i="17"/>
  <c r="F8" i="15"/>
  <c r="H7" i="15" s="1"/>
  <c r="H8" i="15" s="1"/>
  <c r="G7" i="15"/>
  <c r="G8" i="15" s="1"/>
  <c r="A22" i="17"/>
  <c r="A23" i="17"/>
  <c r="A38" i="17"/>
  <c r="A40" i="17"/>
  <c r="I7" i="27" l="1"/>
  <c r="J7" i="27"/>
  <c r="H71" i="24" s="1"/>
  <c r="C8" i="27"/>
  <c r="A3" i="24" s="1"/>
  <c r="H7" i="27"/>
  <c r="A27" i="17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219" i="16"/>
  <c r="A216" i="16"/>
  <c r="A217" i="16"/>
  <c r="A220" i="16"/>
  <c r="A218" i="16"/>
  <c r="A215" i="16"/>
  <c r="A178" i="16"/>
  <c r="A176" i="16"/>
  <c r="A174" i="16"/>
  <c r="A175" i="16"/>
  <c r="A177" i="16"/>
  <c r="A173" i="16"/>
  <c r="A105" i="16"/>
  <c r="A103" i="16"/>
  <c r="A106" i="16"/>
  <c r="A104" i="16"/>
  <c r="A102" i="16"/>
  <c r="A101" i="16"/>
  <c r="B128" i="20"/>
  <c r="B129" i="20" s="1"/>
  <c r="B130" i="20" s="1"/>
  <c r="A127" i="20"/>
  <c r="B104" i="20"/>
  <c r="B105" i="20" s="1"/>
  <c r="B106" i="20" s="1"/>
  <c r="A89" i="16"/>
  <c r="A92" i="16"/>
  <c r="A91" i="16"/>
  <c r="A88" i="16"/>
  <c r="A87" i="16"/>
  <c r="A90" i="16"/>
  <c r="A143" i="16"/>
  <c r="A140" i="16"/>
  <c r="A139" i="16"/>
  <c r="A138" i="16"/>
  <c r="A142" i="16"/>
  <c r="A141" i="16"/>
  <c r="A61" i="20"/>
  <c r="B62" i="20"/>
  <c r="B63" i="20" s="1"/>
  <c r="B64" i="20" s="1"/>
  <c r="A163" i="16"/>
  <c r="A159" i="16"/>
  <c r="A160" i="16"/>
  <c r="A162" i="16"/>
  <c r="A164" i="16"/>
  <c r="A161" i="16"/>
  <c r="A129" i="16"/>
  <c r="A127" i="16"/>
  <c r="A128" i="16"/>
  <c r="A126" i="16"/>
  <c r="A124" i="16"/>
  <c r="A125" i="16"/>
  <c r="A185" i="16"/>
  <c r="A182" i="16"/>
  <c r="A183" i="16"/>
  <c r="A181" i="16"/>
  <c r="A180" i="16"/>
  <c r="A184" i="16"/>
  <c r="A99" i="16"/>
  <c r="A95" i="16"/>
  <c r="A98" i="16"/>
  <c r="A96" i="16"/>
  <c r="A94" i="16"/>
  <c r="A97" i="16"/>
  <c r="A80" i="16"/>
  <c r="A85" i="16"/>
  <c r="A84" i="16"/>
  <c r="A83" i="16"/>
  <c r="A81" i="16"/>
  <c r="A82" i="16"/>
  <c r="B116" i="20"/>
  <c r="B117" i="20" s="1"/>
  <c r="B118" i="20" s="1"/>
  <c r="B96" i="20"/>
  <c r="B97" i="20" s="1"/>
  <c r="B98" i="20" s="1"/>
  <c r="B76" i="20"/>
  <c r="B77" i="20" s="1"/>
  <c r="B78" i="20" s="1"/>
  <c r="B108" i="20"/>
  <c r="B109" i="20" s="1"/>
  <c r="B110" i="20" s="1"/>
  <c r="A57" i="20"/>
  <c r="B58" i="20"/>
  <c r="B59" i="20" s="1"/>
  <c r="B60" i="20" s="1"/>
  <c r="B50" i="20"/>
  <c r="B51" i="20" s="1"/>
  <c r="B52" i="20" s="1"/>
  <c r="A150" i="16"/>
  <c r="A147" i="16"/>
  <c r="A149" i="16"/>
  <c r="A145" i="16"/>
  <c r="A146" i="16"/>
  <c r="A148" i="16"/>
  <c r="A206" i="16"/>
  <c r="A201" i="16"/>
  <c r="A204" i="16"/>
  <c r="A205" i="16"/>
  <c r="A202" i="16"/>
  <c r="A203" i="16"/>
  <c r="A109" i="16"/>
  <c r="A108" i="16"/>
  <c r="A113" i="16"/>
  <c r="A112" i="16"/>
  <c r="A110" i="16"/>
  <c r="A111" i="16"/>
  <c r="A170" i="16"/>
  <c r="A168" i="16"/>
  <c r="A166" i="16"/>
  <c r="A171" i="16"/>
  <c r="A167" i="16"/>
  <c r="A169" i="16"/>
  <c r="A119" i="20"/>
  <c r="B120" i="20"/>
  <c r="B121" i="20" s="1"/>
  <c r="B122" i="20" s="1"/>
  <c r="B66" i="20"/>
  <c r="B67" i="20" s="1"/>
  <c r="B68" i="20" s="1"/>
  <c r="A65" i="20"/>
  <c r="B100" i="20"/>
  <c r="B101" i="20" s="1"/>
  <c r="B102" i="20" s="1"/>
  <c r="A132" i="16"/>
  <c r="A131" i="16"/>
  <c r="A135" i="16"/>
  <c r="A134" i="16"/>
  <c r="A136" i="16"/>
  <c r="A133" i="16"/>
  <c r="A192" i="16"/>
  <c r="A188" i="16"/>
  <c r="A191" i="16"/>
  <c r="A187" i="16"/>
  <c r="A189" i="16"/>
  <c r="A190" i="16"/>
  <c r="A157" i="16"/>
  <c r="A153" i="16"/>
  <c r="A156" i="16"/>
  <c r="A154" i="16"/>
  <c r="A155" i="16"/>
  <c r="A152" i="16"/>
  <c r="A212" i="16"/>
  <c r="A211" i="16"/>
  <c r="A208" i="16"/>
  <c r="A213" i="16"/>
  <c r="A210" i="16"/>
  <c r="A209" i="16"/>
  <c r="A122" i="16"/>
  <c r="A118" i="16"/>
  <c r="A119" i="16"/>
  <c r="A121" i="16"/>
  <c r="A117" i="16"/>
  <c r="A120" i="16"/>
  <c r="B88" i="20"/>
  <c r="B89" i="20" s="1"/>
  <c r="B90" i="20" s="1"/>
  <c r="A199" i="16"/>
  <c r="A197" i="16"/>
  <c r="A194" i="16"/>
  <c r="A196" i="16"/>
  <c r="A195" i="16"/>
  <c r="A198" i="16"/>
  <c r="B54" i="20"/>
  <c r="B55" i="20" s="1"/>
  <c r="B56" i="20" s="1"/>
  <c r="B84" i="20"/>
  <c r="B85" i="20" s="1"/>
  <c r="B86" i="20" s="1"/>
  <c r="B80" i="20"/>
  <c r="B81" i="20" s="1"/>
  <c r="B82" i="20" s="1"/>
  <c r="B112" i="20"/>
  <c r="B113" i="20" s="1"/>
  <c r="B114" i="20" s="1"/>
  <c r="B92" i="20"/>
  <c r="B93" i="20" s="1"/>
  <c r="B94" i="20" s="1"/>
  <c r="B124" i="20"/>
  <c r="B125" i="20" s="1"/>
  <c r="B126" i="20" s="1"/>
  <c r="A123" i="20"/>
  <c r="A71" i="20"/>
  <c r="A75" i="20" s="1"/>
  <c r="A79" i="20" s="1"/>
  <c r="A83" i="20" s="1"/>
  <c r="A87" i="20" s="1"/>
  <c r="A91" i="20" s="1"/>
  <c r="A95" i="20" s="1"/>
  <c r="A99" i="20" s="1"/>
  <c r="A103" i="20" s="1"/>
  <c r="A107" i="20" s="1"/>
  <c r="A111" i="20" s="1"/>
  <c r="A115" i="20" s="1"/>
  <c r="B72" i="20"/>
  <c r="B73" i="20" s="1"/>
  <c r="B74" i="20" s="1"/>
  <c r="A55" i="17"/>
  <c r="A72" i="17"/>
  <c r="A56" i="17"/>
  <c r="A73" i="17"/>
  <c r="A57" i="17"/>
  <c r="A74" i="17"/>
  <c r="A60" i="17"/>
  <c r="A43" i="17"/>
  <c r="I8" i="27" l="1"/>
  <c r="J8" i="27"/>
  <c r="C134" i="24" s="1"/>
  <c r="H8" i="27"/>
  <c r="A44" i="17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61" i="17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B38" i="20"/>
  <c r="B39" i="20" s="1"/>
  <c r="B40" i="20" s="1"/>
  <c r="B30" i="20"/>
  <c r="B31" i="20" s="1"/>
  <c r="B32" i="20" s="1"/>
  <c r="B22" i="20"/>
  <c r="B23" i="20" s="1"/>
  <c r="B24" i="20" s="1"/>
  <c r="B46" i="20"/>
  <c r="B47" i="20" s="1"/>
  <c r="B48" i="20" s="1"/>
  <c r="B14" i="20"/>
  <c r="B15" i="20" s="1"/>
  <c r="B16" i="20" s="1"/>
  <c r="B42" i="20"/>
  <c r="B43" i="20" s="1"/>
  <c r="B44" i="20" s="1"/>
  <c r="B26" i="20"/>
  <c r="B27" i="20" s="1"/>
  <c r="B28" i="20" s="1"/>
  <c r="B34" i="20"/>
  <c r="B35" i="20" s="1"/>
  <c r="B36" i="20" s="1"/>
  <c r="B18" i="20"/>
  <c r="B19" i="20" s="1"/>
  <c r="B20" i="20" s="1"/>
  <c r="A9" i="17"/>
  <c r="A10" i="17" l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6" i="16"/>
  <c r="A29" i="16"/>
  <c r="A27" i="16"/>
  <c r="A28" i="16"/>
  <c r="A24" i="16"/>
  <c r="A25" i="16"/>
  <c r="A63" i="16"/>
  <c r="A62" i="16"/>
  <c r="A61" i="16"/>
  <c r="A60" i="16"/>
  <c r="A59" i="16"/>
  <c r="A64" i="16"/>
  <c r="A71" i="16"/>
  <c r="A70" i="16"/>
  <c r="A66" i="16"/>
  <c r="A69" i="16"/>
  <c r="A67" i="16"/>
  <c r="A68" i="16"/>
  <c r="A78" i="16"/>
  <c r="A74" i="16"/>
  <c r="A75" i="16"/>
  <c r="A73" i="16"/>
  <c r="A76" i="16"/>
  <c r="A77" i="16"/>
  <c r="A34" i="16"/>
  <c r="A32" i="16"/>
  <c r="A35" i="16"/>
  <c r="A33" i="16"/>
  <c r="A31" i="16"/>
  <c r="A36" i="16"/>
  <c r="A43" i="16"/>
  <c r="A40" i="16"/>
  <c r="A38" i="16"/>
  <c r="A41" i="16"/>
  <c r="A39" i="16"/>
  <c r="A42" i="16"/>
  <c r="A49" i="16"/>
  <c r="A46" i="16"/>
  <c r="A50" i="16"/>
  <c r="A48" i="16"/>
  <c r="A47" i="16"/>
  <c r="A45" i="16"/>
  <c r="A15" i="16"/>
  <c r="A11" i="16"/>
  <c r="A14" i="16"/>
  <c r="A12" i="16"/>
  <c r="A10" i="16"/>
  <c r="A13" i="16"/>
  <c r="A9" i="20"/>
  <c r="A13" i="20" s="1"/>
  <c r="A17" i="20" s="1"/>
  <c r="A21" i="20" s="1"/>
  <c r="A25" i="20" s="1"/>
  <c r="A29" i="20" s="1"/>
  <c r="A33" i="20" s="1"/>
  <c r="A37" i="20" s="1"/>
  <c r="A41" i="20" s="1"/>
  <c r="A45" i="20" s="1"/>
  <c r="A49" i="20" s="1"/>
  <c r="A53" i="20" s="1"/>
  <c r="B10" i="20"/>
  <c r="B11" i="20" s="1"/>
  <c r="B12" i="20" s="1"/>
  <c r="A22" i="16"/>
  <c r="A17" i="16"/>
  <c r="A20" i="16"/>
  <c r="A21" i="16"/>
  <c r="A18" i="16"/>
  <c r="A19" i="16"/>
  <c r="A54" i="16"/>
  <c r="A53" i="16"/>
  <c r="A52" i="16"/>
  <c r="A55" i="16"/>
  <c r="A56" i="16"/>
  <c r="A57" i="16"/>
  <c r="A21" i="19" l="1"/>
  <c r="A22" i="19" s="1"/>
  <c r="A23" i="19" s="1"/>
  <c r="A13" i="19"/>
  <c r="A14" i="19" s="1"/>
  <c r="A15" i="19" s="1"/>
</calcChain>
</file>

<file path=xl/sharedStrings.xml><?xml version="1.0" encoding="utf-8"?>
<sst xmlns="http://schemas.openxmlformats.org/spreadsheetml/2006/main" count="7153" uniqueCount="699">
  <si>
    <t>A-1</t>
  </si>
  <si>
    <t>NO.OF VILLAGES PLANNED</t>
  </si>
  <si>
    <t>NO. ( % ) OF VILLAGES FOR WHICH SCHEDULES  WERE RECEIVED</t>
  </si>
  <si>
    <t xml:space="preserve"> NO. ( % ) OF SCHEDULES ANALYSED</t>
  </si>
  <si>
    <t>WITH 'a' &amp; 'b' ENTRIES TOGETHER</t>
  </si>
  <si>
    <t>WITH 'a' &amp; 'b' ENTRIES SEPARATELY</t>
  </si>
  <si>
    <t>WITH 'a'  ENTRIES ONLY</t>
  </si>
  <si>
    <t>BY CUT OFF DATE</t>
  </si>
  <si>
    <t>(1)</t>
  </si>
  <si>
    <t>(2)</t>
  </si>
  <si>
    <t>(3)</t>
  </si>
  <si>
    <t>(4)</t>
  </si>
  <si>
    <t>(5)</t>
  </si>
  <si>
    <t>(6)</t>
  </si>
  <si>
    <t>(7)</t>
  </si>
  <si>
    <t>(8)</t>
  </si>
  <si>
    <t xml:space="preserve">CENTRAL        </t>
  </si>
  <si>
    <t>STATE</t>
  </si>
  <si>
    <t>POOLED</t>
  </si>
  <si>
    <t>Developed by: Deepak Kumar Agrawal, Senior Statistical Officer, NSSO (FOD), Faridabad, Haryana</t>
  </si>
  <si>
    <t>A-2</t>
  </si>
  <si>
    <t>NUMBER OF YEARS SINCE UPDATED</t>
  </si>
  <si>
    <t xml:space="preserve"> NUMBER AND PERCENTAGE OF VILLAGES</t>
  </si>
  <si>
    <t>(A) 1 TO 5</t>
  </si>
  <si>
    <t>(B) 6 TO 10</t>
  </si>
  <si>
    <t>(C) 11 TO 20</t>
  </si>
  <si>
    <t>(D) MORE THAN 20 YEARS</t>
  </si>
  <si>
    <t>(E) INFORMATION NOT AVAILABLE</t>
  </si>
  <si>
    <t>AVAILABILITY OF MAPS WITH PATWARI</t>
  </si>
  <si>
    <t>(A) MAPS AVAILABLE</t>
  </si>
  <si>
    <t>(I) USABLE MAPS</t>
  </si>
  <si>
    <t>(II) UNUSABLE MAPS</t>
  </si>
  <si>
    <t>(B) MAPS NOT AVAILABLE</t>
  </si>
  <si>
    <t>FIGURES IN () INDICATES %AGE TO NO. OF VILLAGES ANALYSED.</t>
  </si>
  <si>
    <t>A-3</t>
  </si>
  <si>
    <t>YEAR</t>
  </si>
  <si>
    <t>NO.  OF VILLAGES</t>
  </si>
  <si>
    <t>SURVEY/ SUB-SURVEY NUMBERS PER VILLAGES</t>
  </si>
  <si>
    <t>GEOGRAPHICAL AREA (HA) PER VILLAGES</t>
  </si>
  <si>
    <t>TOTAL</t>
  </si>
  <si>
    <t>A-4</t>
  </si>
  <si>
    <t>TRS</t>
  </si>
  <si>
    <t>TOTAL NO OF VILLAGES ALLOTED PER PATWARI</t>
  </si>
  <si>
    <t xml:space="preserve">FREQUENCY </t>
  </si>
  <si>
    <t>GREATER THAN 3</t>
  </si>
  <si>
    <t>I.N.A. : INFORMATION NOT AVAILABLE</t>
  </si>
  <si>
    <t>A-5</t>
  </si>
  <si>
    <t>SL.NO.</t>
  </si>
  <si>
    <t xml:space="preserve"> DISTRIBUTION   OF   VILLAGES ACCORDING TO SL./SUB-SURVEY NOS.</t>
  </si>
  <si>
    <t xml:space="preserve"> DISTRIBUTION   OF   VILLAGES ACCORDING TO GEOGRAPHICAL AREA</t>
  </si>
  <si>
    <t>(%) 0.00</t>
  </si>
  <si>
    <t>UP TO 50</t>
  </si>
  <si>
    <t>51 to 100</t>
  </si>
  <si>
    <t>101 to 200</t>
  </si>
  <si>
    <t>201 to 400</t>
  </si>
  <si>
    <t xml:space="preserve">401 to 600 </t>
  </si>
  <si>
    <t>601 to 800</t>
  </si>
  <si>
    <t>801 to 1000</t>
  </si>
  <si>
    <t>1001 to 5000</t>
  </si>
  <si>
    <t>ABOVE  5000</t>
  </si>
  <si>
    <t>MORE THAN  3000</t>
  </si>
  <si>
    <t>NOT REPORTED</t>
  </si>
  <si>
    <t>A-6</t>
  </si>
  <si>
    <t xml:space="preserve"> SEASON/  AGENCY </t>
  </si>
  <si>
    <t>NUMBER (PERCENTAGE) OF VILLAGES WHERE</t>
  </si>
  <si>
    <t xml:space="preserve"> GIRDAWARI COMPLETED</t>
  </si>
  <si>
    <t xml:space="preserve">GIRDAWARI PARTIALLY COMPLETED </t>
  </si>
  <si>
    <t>GIRDAWARI NOT YET STARTED</t>
  </si>
  <si>
    <t>INFORMATION ABOUT COMPLETION OF GIRDAWARI  NOT AVAILABLE</t>
  </si>
  <si>
    <t>SYSTEM OF GIRDAWARI DOES NOT EXIST</t>
  </si>
  <si>
    <t>MAINTENANCE OF RECORDS</t>
  </si>
  <si>
    <t>IN TIME</t>
  </si>
  <si>
    <t>LATE</t>
  </si>
  <si>
    <t>BUT DATE OF COMPLETION NOT KNOWN</t>
  </si>
  <si>
    <t>RECORDS OF GIRDAWARI KEPT IN REGULAR FORM</t>
  </si>
  <si>
    <t>(9)</t>
  </si>
  <si>
    <t>(10)</t>
  </si>
  <si>
    <t>(11)</t>
  </si>
  <si>
    <t>A-7</t>
  </si>
  <si>
    <t>TOTAL NO. OF VILLAGES ANALYSED</t>
  </si>
  <si>
    <t>NUMBER  AND  PERCENTAGE  OF  VILLAGES  FOR  WHICH</t>
  </si>
  <si>
    <t>WITHOUT COMPLETING GIRDAWARI</t>
  </si>
  <si>
    <t>AFTER COMPLETING GIRDAWARI</t>
  </si>
  <si>
    <t>BUT COULD NOT BE COMPARED WITH GIRDAWARI COMPLETION</t>
  </si>
  <si>
    <t xml:space="preserve">THOUGH GIRDAWARI COMPLETED </t>
  </si>
  <si>
    <t>GIRDAWARI NOT COMPLETED</t>
  </si>
  <si>
    <t xml:space="preserve">BY DUE DATE </t>
  </si>
  <si>
    <t xml:space="preserve">AFTER DUE DATE </t>
  </si>
  <si>
    <t>AS DUE DATE NOT OVER</t>
  </si>
  <si>
    <t>OTHER REASONS</t>
  </si>
  <si>
    <t>(12)</t>
  </si>
  <si>
    <t>(13)</t>
  </si>
  <si>
    <t>(14)</t>
  </si>
  <si>
    <t>(15)</t>
  </si>
  <si>
    <t>(16)</t>
  </si>
  <si>
    <t>A-8</t>
  </si>
  <si>
    <t>NO. OF VILLAGES ANALYSED</t>
  </si>
  <si>
    <t>NO.(PERCENTAGE) OF VILLAGES FOR WHICH CROP AREA FIGURES WERE NOT AVAILABLE</t>
  </si>
  <si>
    <t>FOR CURRENT YEAR</t>
  </si>
  <si>
    <t xml:space="preserve">FOR VILLAGE AS A WHOLE </t>
  </si>
  <si>
    <t>FOR SAMPLE CLUSTERS</t>
  </si>
  <si>
    <t>FOR  VILLAGE AS A WHOLE</t>
  </si>
  <si>
    <t># NOT COMPARABLE AS THE IMPACT IS 100% OR MORE</t>
  </si>
  <si>
    <t xml:space="preserve">  NO.   OF      SURVEY  /   SUB      SURVEY       NUMBERS</t>
  </si>
  <si>
    <t>WHERE DISCREPANCIES OBSERVED</t>
  </si>
  <si>
    <t>NO. AND PERCENTAGE OF SURVEY NUMBERS IN WHICH PARTICULARS TALLIED</t>
  </si>
  <si>
    <t>NO. AND PERCENTAGE OF SURVEY NUMBERS IN WHICH PARTICULARS NOT TALLIED</t>
  </si>
  <si>
    <t>I</t>
  </si>
  <si>
    <t>UI</t>
  </si>
  <si>
    <t>SUPERVISOR</t>
  </si>
  <si>
    <t>PATWARI</t>
  </si>
  <si>
    <t>I&amp;UI</t>
  </si>
  <si>
    <t>NR</t>
  </si>
  <si>
    <t>HY</t>
  </si>
  <si>
    <t>L</t>
  </si>
  <si>
    <t>HY&amp;L</t>
  </si>
  <si>
    <t>A-18</t>
  </si>
  <si>
    <t>ANNEX-XIX</t>
  </si>
  <si>
    <t>ITEM</t>
  </si>
  <si>
    <t xml:space="preserve">NUMBER (PERCENTAGE) OF EXPERIMENTS </t>
  </si>
  <si>
    <t>CENTRAL</t>
  </si>
  <si>
    <t>PLANNED</t>
  </si>
  <si>
    <t>PERCENTAGE</t>
  </si>
  <si>
    <t xml:space="preserve">LOST </t>
  </si>
  <si>
    <t xml:space="preserve">REJECTED FOR ANALYSIS </t>
  </si>
  <si>
    <t xml:space="preserve">FOR WHICH SCHEDULES NOT RECEIVED </t>
  </si>
  <si>
    <t>A-19</t>
  </si>
  <si>
    <t>ANNEX-XX</t>
  </si>
  <si>
    <t>SEASON / CROP/ AGENCY</t>
  </si>
  <si>
    <t>CHECKED AT HARVEST STAGE(%)</t>
  </si>
  <si>
    <t>CHECKED AT POST HARVEST STAGE(%)</t>
  </si>
  <si>
    <t>LOST(%)</t>
  </si>
  <si>
    <t>REJECTED FOR ANALYSIS  (%)</t>
  </si>
  <si>
    <t>FOR WHICH  SCH NOT RECEIVED (%)</t>
  </si>
  <si>
    <t>ANNEX-XXI</t>
  </si>
  <si>
    <t>SELECTED VILLAGE DUE TO REASON CODE (@)</t>
  </si>
  <si>
    <t>SELECTED SURVEY NOS. DUE TO REASON CODE ($)</t>
  </si>
  <si>
    <t>REASON CODE ($)</t>
  </si>
  <si>
    <t>CROP HARVESTED PRIOR TO SELECTION</t>
  </si>
  <si>
    <t>RECORD NOT AVAILABLE</t>
  </si>
  <si>
    <t>OTHERS</t>
  </si>
  <si>
    <t>1.</t>
  </si>
  <si>
    <t>No.OF EXPTS. CHECKED</t>
  </si>
  <si>
    <t>2.</t>
  </si>
  <si>
    <t>NO. OF EXPET WITHOUT ERROR (E0)</t>
  </si>
  <si>
    <t>3.</t>
  </si>
  <si>
    <t>SELECTION OF  SURVEY NO.    (E1)</t>
  </si>
  <si>
    <t>II</t>
  </si>
  <si>
    <t>SELECTION OF FIELD WITHIN SURVEY NO.(E2)</t>
  </si>
  <si>
    <t>III</t>
  </si>
  <si>
    <t>IV</t>
  </si>
  <si>
    <t>CHOOSING RANDOM NO. FOR LOCATION PLOT (E10)</t>
  </si>
  <si>
    <t>V</t>
  </si>
  <si>
    <t>LOCATION PLOT (E11)</t>
  </si>
  <si>
    <t>VI</t>
  </si>
  <si>
    <t>VII</t>
  </si>
  <si>
    <t>WEIGHMENT OF PRODUCT (E13)</t>
  </si>
  <si>
    <t>4.</t>
  </si>
  <si>
    <t>NO. OF EXPERIMENTS WITH DISCREPANT REPORTING OF ANCILLARY PARTICULARS</t>
  </si>
  <si>
    <t>SEED VARIETY (E3)</t>
  </si>
  <si>
    <t>SEED RATE (E4)</t>
  </si>
  <si>
    <t>APPLICATION OF FERTILIZERS (E6)</t>
  </si>
  <si>
    <t>APPLICATION OF MANURES (E7)</t>
  </si>
  <si>
    <t>APPLICATION OF PESTICIDES (E8)</t>
  </si>
  <si>
    <t>5.</t>
  </si>
  <si>
    <t>NO. OF EXPTS. WHERE ARRANGEMENT FOR DRIAGE WAS MADE INADEQUATE (E14)</t>
  </si>
  <si>
    <t>6.</t>
  </si>
  <si>
    <t>7.</t>
  </si>
  <si>
    <t>ANYONE OF THE ITEM IS MISSING (E16)</t>
  </si>
  <si>
    <t>ANNEX-XXIII</t>
  </si>
  <si>
    <t>NO. &amp; (%) OF EXPERIMENTS FOR WHICH</t>
  </si>
  <si>
    <t>THE PRIMARY WORKERS WERE FOUND NOT USING THE SUPPLIED EQUIPMENTS</t>
  </si>
  <si>
    <t>TAPE</t>
  </si>
  <si>
    <t>BALANCE</t>
  </si>
  <si>
    <t>WEIGHT</t>
  </si>
  <si>
    <t>PEGS</t>
  </si>
  <si>
    <t>ANNEX-XXIV</t>
  </si>
  <si>
    <t>NO. &amp; (%) OF EXPERIMENTS</t>
  </si>
  <si>
    <t>NO.&amp; (%) OF EXPERIMENTS</t>
  </si>
  <si>
    <t>FOR WHICH FIELD WORK WAS DELEGATED TO EQUIVALENT / SENIOR PERSON</t>
  </si>
  <si>
    <t>CONDUCTED BY UNTRAINED WORKERS</t>
  </si>
  <si>
    <t>FOR WHICH FIELD WORK WAS DELEGATED TO JUNIORS</t>
  </si>
  <si>
    <t xml:space="preserve">CONDUCTED BY UNTRAINED WORKERS </t>
  </si>
  <si>
    <t>FOR WHICH FIELD WORK WAS CONDUCTED BY DESIGNATED PERSON  (NO CHANGE IN PRIMARY WORKER)</t>
  </si>
  <si>
    <t xml:space="preserve">    TOTAL</t>
  </si>
  <si>
    <t xml:space="preserve">       REASON CODE (@)</t>
  </si>
  <si>
    <t>FIELD PARTIALLY HARVESTED AFFECTING THE LOCATION OF EXPERIMENTAL PLOT.</t>
  </si>
  <si>
    <t>TOTAL       RECEIVED</t>
  </si>
  <si>
    <t xml:space="preserve">   TOTAL   </t>
  </si>
  <si>
    <t xml:space="preserve">  1 TO 5</t>
  </si>
  <si>
    <t xml:space="preserve">  6 TO 10</t>
  </si>
  <si>
    <t xml:space="preserve">  11 TO 15</t>
  </si>
  <si>
    <t xml:space="preserve">  ABOVE 15</t>
  </si>
  <si>
    <t xml:space="preserve">  I.N.A.</t>
  </si>
  <si>
    <t xml:space="preserve">  No TRS</t>
  </si>
  <si>
    <t xml:space="preserve">  TOTAL</t>
  </si>
  <si>
    <t>TOTAL COLS. (4+5+6)</t>
  </si>
  <si>
    <t xml:space="preserve">NO. &amp; (%) OF EXPERIMENTS FOR WHICH SUBSTITUTION WAS DONE IN RESPECT OF </t>
  </si>
  <si>
    <t>A-20</t>
  </si>
  <si>
    <t>PARTICULARS</t>
  </si>
  <si>
    <t>NO. OF EXPTS. WHICH DEPARTURE FROM INSTRUCTION IN CONDUCT OF EXPTS. WAS OBSERVED IN RESPECT OF:</t>
  </si>
  <si>
    <t>MEASUREMENT FIELD (E9)</t>
  </si>
  <si>
    <t>DIMENSION OF PLOT (E12)</t>
  </si>
  <si>
    <t>IRRIGATION PARTICULARS (E5)</t>
  </si>
  <si>
    <t>NO. OF EXPTS WITH INCORRECT REPORTING OF CONSTITUENTS IN CROP MIXTURE (E15)</t>
  </si>
  <si>
    <t>SEASON /      AGENCY</t>
  </si>
  <si>
    <t>SL NO.</t>
  </si>
  <si>
    <t>SL.  NO.</t>
  </si>
  <si>
    <t>CLASS INT.       (SL. /  SUB          SURVEY NOS.)</t>
  </si>
  <si>
    <t>WHERE CROP AREA TALLIED          (E0)</t>
  </si>
  <si>
    <t>CROP REPORTED BY PATWARI BUT NOT REPORTED BY SUPERVISOR                (E2)</t>
  </si>
  <si>
    <t>CROP AREAS REPORTED BY SUPERVISOR AND PATWARI DIFFERED                  (E3)</t>
  </si>
  <si>
    <t>THE PRIMARY WORKERS  WERE  FOUND  NOT SUPPLIED WITH</t>
  </si>
  <si>
    <t>A-15</t>
  </si>
  <si>
    <t>A-16</t>
  </si>
  <si>
    <t>A-14</t>
  </si>
  <si>
    <t>A-17</t>
  </si>
  <si>
    <t>CROP NOT SOWN</t>
  </si>
  <si>
    <t xml:space="preserve">  TRS STATEMENT SUBMITTED</t>
  </si>
  <si>
    <t xml:space="preserve"> TRS STATEMENT NOT SUBMITTED</t>
  </si>
  <si>
    <t>INFORMATION REGARDING TRS SUBMISSION DATE NOT KNOWN</t>
  </si>
  <si>
    <t>INFORMATION REGARDING TRS SUBMISSION NOT AVAILABLE</t>
  </si>
  <si>
    <t>TRS STATEMENT SUBMITTED IN STANDARD FORM</t>
  </si>
  <si>
    <t>DUPLICATE COPY OF THE TRS STATEMENT KEPT</t>
  </si>
  <si>
    <t>A-21</t>
  </si>
  <si>
    <t>ANNEX-XXV</t>
  </si>
  <si>
    <t>SEASON/ CROPS</t>
  </si>
  <si>
    <t>Agency</t>
  </si>
  <si>
    <t xml:space="preserve">ICS </t>
  </si>
  <si>
    <t xml:space="preserve">CES </t>
  </si>
  <si>
    <t>% SE</t>
  </si>
  <si>
    <t/>
  </si>
  <si>
    <t>ANNEX-XVIII</t>
  </si>
  <si>
    <t>SEASON</t>
  </si>
  <si>
    <t>NO. OF EXPERIMENTS SUPERVISED BY STATISTICAL AGENCY</t>
  </si>
  <si>
    <t>TOTAL (%)</t>
  </si>
  <si>
    <t>HARVEST (%)</t>
  </si>
  <si>
    <t>ANNEX-XVII</t>
  </si>
  <si>
    <t>Response</t>
  </si>
  <si>
    <t>Estimated Yield  (% SE)</t>
  </si>
  <si>
    <t>No. of Expts.</t>
  </si>
  <si>
    <t>% age</t>
  </si>
  <si>
    <t xml:space="preserve">Planned </t>
  </si>
  <si>
    <t>Analysed</t>
  </si>
  <si>
    <t>ANNEX-XVI</t>
  </si>
  <si>
    <t>AGENCY</t>
  </si>
  <si>
    <t>NO. OF C.E.S. TRAINING CENTRES</t>
  </si>
  <si>
    <t>ORGANISED BY S.A.S.A.</t>
  </si>
  <si>
    <t>TOTAL CALLED</t>
  </si>
  <si>
    <t>TOTAL TRAINED</t>
  </si>
  <si>
    <t>AS TRAINING OFFICER</t>
  </si>
  <si>
    <t>AS OBSERVER</t>
  </si>
  <si>
    <t>A-11</t>
  </si>
  <si>
    <t>NO. OF VILLAGES/ MOUZAS</t>
  </si>
  <si>
    <t>CLASS INT. (GEOGRAPHICAL AREA IN HA)</t>
  </si>
  <si>
    <t>NO. OF VILLAGES</t>
  </si>
  <si>
    <t xml:space="preserve">LATEST FORM USED FOR GIRDAWARI </t>
  </si>
  <si>
    <t>NO. OF SURVEY/    SUB SURVEY NUMBERS</t>
  </si>
  <si>
    <t xml:space="preserve">AS PER SUPERVISOR </t>
  </si>
  <si>
    <t>AS PER PATWARI</t>
  </si>
  <si>
    <t>SEASON / CROP</t>
  </si>
  <si>
    <t xml:space="preserve">AREA IN HECTARES AS OBSERVED IN SAMPLE CLUSTERS </t>
  </si>
  <si>
    <t>CENTRAL SAMPLE</t>
  </si>
  <si>
    <t>STATE SAMPLE</t>
  </si>
  <si>
    <t>POOLED SAMPLE</t>
  </si>
  <si>
    <t>IMPACT OF DISCRIPANCIES (b-a/a)*100 (POOLED SAMPLE ONLY)</t>
  </si>
  <si>
    <t>NO. OF VILLAGES REPORTING CROP</t>
  </si>
  <si>
    <t>SL. NO</t>
  </si>
  <si>
    <t>ENTIRE CROP  HARVESTED IN THE VILLAGE</t>
  </si>
  <si>
    <t>CROP  HARVESTED BEFORE THE DATE IS FIXED</t>
  </si>
  <si>
    <t>MEASUREMENT OF FIELD (E9)</t>
  </si>
  <si>
    <t>NO. OF EXPTS. WHERE INADEQUATE ARRANGEMENT FOR DRIAGE WAS MADE  (E14)</t>
  </si>
  <si>
    <t>AS PER SUPERVISOR
(a)</t>
  </si>
  <si>
    <t>AS PER PATWARI
(b)</t>
  </si>
  <si>
    <t>1001 to 3000</t>
  </si>
  <si>
    <t>PREV. YEAR</t>
  </si>
  <si>
    <t>CROP</t>
  </si>
  <si>
    <t>TRS (NO. AND % TO TOTAL)</t>
  </si>
  <si>
    <t xml:space="preserve">I &amp; UI </t>
  </si>
  <si>
    <t>STATISTICAL/
AGRICULTURAL</t>
  </si>
  <si>
    <t>SEASON/
CROP</t>
  </si>
  <si>
    <t>CROP/ AGENCY</t>
  </si>
  <si>
    <t>A-9</t>
  </si>
  <si>
    <t>A-10</t>
  </si>
  <si>
    <t>A-12</t>
  </si>
  <si>
    <t>A-13</t>
  </si>
  <si>
    <t>YEAR/
SEASON</t>
  </si>
  <si>
    <t>AVERAGE YIELD (KG/HA)</t>
  </si>
  <si>
    <t>∆%
(POOLED ONLY)</t>
  </si>
  <si>
    <t>2022-23</t>
  </si>
  <si>
    <t xml:space="preserve">YEAR/ 
SEASON/ 
AGENCY     </t>
  </si>
  <si>
    <t>YEAR/
SEASON/
AGENCY</t>
  </si>
  <si>
    <t>NO. OF SURVEY/
SUB SURVEY NUMBERS</t>
  </si>
  <si>
    <t>SEASON/
AGENCY</t>
  </si>
  <si>
    <t>ANNEX-XXII Contd..</t>
  </si>
  <si>
    <t>CROP REPORTED BY SUPERVISOR BUT NOT REPORTED BY PATWARI
(E1)</t>
  </si>
  <si>
    <t>IMPACT OF DISCREPANCIES (b-a/a)*100 (POOLED SAMPLE ONLY)</t>
  </si>
  <si>
    <t>ATTENDANCE IN TRAINING CENTRES</t>
  </si>
  <si>
    <t>COVERED BY N.S.O.</t>
  </si>
  <si>
    <t>NO. OF PRIMARY WORKERS TRAINED BY N.S.O.</t>
  </si>
  <si>
    <t xml:space="preserve">CHECKED AT HARVEST STAGE </t>
  </si>
  <si>
    <t xml:space="preserve">CHECKED AT POST HARVEST STAGE </t>
  </si>
  <si>
    <t xml:space="preserve">NUMBER OF EXPERIMENTS </t>
  </si>
  <si>
    <t>FOR PREVIOUS YEAR (FOR NON-TRS)</t>
  </si>
  <si>
    <t>PUDUCHERRY</t>
  </si>
  <si>
    <t>RABI I</t>
  </si>
  <si>
    <t>RABI II</t>
  </si>
  <si>
    <t>2023-24</t>
  </si>
  <si>
    <t>PADDY</t>
  </si>
  <si>
    <t>ANNEX-I</t>
  </si>
  <si>
    <t>RESPONSE IN SAMPLE CHECK ON ENUMERATION OF AREA  DURING  2023-24 AND 2022-23.</t>
  </si>
  <si>
    <t xml:space="preserve">9  </t>
  </si>
  <si>
    <t>9(100.0)</t>
  </si>
  <si>
    <t>0(  0.0)</t>
  </si>
  <si>
    <t xml:space="preserve">18  </t>
  </si>
  <si>
    <t>18(100.0)</t>
  </si>
  <si>
    <t xml:space="preserve"> ANNEX-II</t>
  </si>
  <si>
    <t>INFORMATION REGARDING UPDATING OF VILLAGE MAPS AND  THEIR USABILITY DURING  2023-24 AND 2022-23.</t>
  </si>
  <si>
    <t>17( 94.4)</t>
  </si>
  <si>
    <t>1(  5.6)</t>
  </si>
  <si>
    <t>ANNEX-III</t>
  </si>
  <si>
    <t>WORK LOAD OF PATWARI DURING  2023-24 AND 2022-23.</t>
  </si>
  <si>
    <t xml:space="preserve">10.2  </t>
  </si>
  <si>
    <t>1.8( 17.6)</t>
  </si>
  <si>
    <t xml:space="preserve">1231  </t>
  </si>
  <si>
    <t xml:space="preserve">392.6  </t>
  </si>
  <si>
    <t xml:space="preserve">8.8  </t>
  </si>
  <si>
    <t>1.7( 19.3)</t>
  </si>
  <si>
    <t xml:space="preserve">1095  </t>
  </si>
  <si>
    <t xml:space="preserve">322.1  </t>
  </si>
  <si>
    <t>ANNEX-IV(a)</t>
  </si>
  <si>
    <t>NUMBER AND PERCENTAGE OF PATWARIS OF THE SELECTED VILLAGES ACCORDING TO THE TOTAL NUMBER OF VILLAGES ALLOTED DURING  2023-24 AND 2022-23.</t>
  </si>
  <si>
    <t xml:space="preserve">0    </t>
  </si>
  <si>
    <t xml:space="preserve">0.0    </t>
  </si>
  <si>
    <t xml:space="preserve">4     </t>
  </si>
  <si>
    <t xml:space="preserve">22.2   </t>
  </si>
  <si>
    <t xml:space="preserve">12    </t>
  </si>
  <si>
    <t xml:space="preserve">66.7    </t>
  </si>
  <si>
    <t xml:space="preserve">14     </t>
  </si>
  <si>
    <t xml:space="preserve">77.8   </t>
  </si>
  <si>
    <t xml:space="preserve">6    </t>
  </si>
  <si>
    <t xml:space="preserve">33.3    </t>
  </si>
  <si>
    <t xml:space="preserve">0     </t>
  </si>
  <si>
    <t xml:space="preserve">0.0   </t>
  </si>
  <si>
    <t xml:space="preserve">18    </t>
  </si>
  <si>
    <t xml:space="preserve">100.0    </t>
  </si>
  <si>
    <t xml:space="preserve">18     </t>
  </si>
  <si>
    <t xml:space="preserve">100.0   </t>
  </si>
  <si>
    <t xml:space="preserve">3    </t>
  </si>
  <si>
    <t xml:space="preserve">16.7    </t>
  </si>
  <si>
    <t xml:space="preserve">7     </t>
  </si>
  <si>
    <t xml:space="preserve">38.9   </t>
  </si>
  <si>
    <t xml:space="preserve">10    </t>
  </si>
  <si>
    <t xml:space="preserve">55.5    </t>
  </si>
  <si>
    <t xml:space="preserve">10     </t>
  </si>
  <si>
    <t xml:space="preserve">55.5   </t>
  </si>
  <si>
    <t xml:space="preserve">5    </t>
  </si>
  <si>
    <t xml:space="preserve">27.8    </t>
  </si>
  <si>
    <t xml:space="preserve">1     </t>
  </si>
  <si>
    <t xml:space="preserve">5.6   </t>
  </si>
  <si>
    <t xml:space="preserve"> ANNEX-IV(b)</t>
  </si>
  <si>
    <t>DISTRIBUTION OF SAMPLE VILLAGES ACCORDING TO SL./SUB.SURVEY NOS. AND GEOGRAPHICAL AREA DURING  2023-24 AND 2022-23</t>
  </si>
  <si>
    <t xml:space="preserve">0  </t>
  </si>
  <si>
    <t xml:space="preserve">0.0 </t>
  </si>
  <si>
    <t xml:space="preserve">2  </t>
  </si>
  <si>
    <t xml:space="preserve">11.1 </t>
  </si>
  <si>
    <t xml:space="preserve">8  </t>
  </si>
  <si>
    <t xml:space="preserve">44.4 </t>
  </si>
  <si>
    <t xml:space="preserve">6  </t>
  </si>
  <si>
    <t xml:space="preserve">33.3 </t>
  </si>
  <si>
    <t xml:space="preserve">1  </t>
  </si>
  <si>
    <t xml:space="preserve">5.6 </t>
  </si>
  <si>
    <t xml:space="preserve">4  </t>
  </si>
  <si>
    <t xml:space="preserve">22.2 </t>
  </si>
  <si>
    <t xml:space="preserve">12  </t>
  </si>
  <si>
    <t xml:space="preserve">66.7 </t>
  </si>
  <si>
    <t xml:space="preserve">100.0 </t>
  </si>
  <si>
    <t xml:space="preserve">3  </t>
  </si>
  <si>
    <t xml:space="preserve">16.7 </t>
  </si>
  <si>
    <t xml:space="preserve">10  </t>
  </si>
  <si>
    <t xml:space="preserve">55.5 </t>
  </si>
  <si>
    <t>ANNEX-V</t>
  </si>
  <si>
    <t>TIMELINESS IN COMPLETION OF  TRS  AREA ENUMERATION (NO. OF VILLAGES) DURING  2023-24 AND 2022-23.</t>
  </si>
  <si>
    <t>8( 88.9)</t>
  </si>
  <si>
    <t xml:space="preserve"> ANNEX-VI</t>
  </si>
  <si>
    <t>TIMELINESS IN SUBMISSION OF  TRS STATEMENTS DURING  2023-24 AND 2022-23</t>
  </si>
  <si>
    <t xml:space="preserve"> ANNEX-VII(a)</t>
  </si>
  <si>
    <t>AVAILABILITY OF FIGURES OF CROP AREA  DURING  2023-24 AND 2022-23   (POOLED SAMPLE)</t>
  </si>
  <si>
    <t>2( 11.1)</t>
  </si>
  <si>
    <t>7( 38.9)</t>
  </si>
  <si>
    <t>3( 16.7)</t>
  </si>
  <si>
    <t xml:space="preserve"> ANNEX-VII(b)</t>
  </si>
  <si>
    <t>DISCREPANCIES IN RECORDING OF CROPS AND CROP AREAS DURING 2023-24 AND 2022-23.</t>
  </si>
  <si>
    <t xml:space="preserve">50  </t>
  </si>
  <si>
    <t>42( 84.0)</t>
  </si>
  <si>
    <t xml:space="preserve">0(  0.0) </t>
  </si>
  <si>
    <t xml:space="preserve">5( 10.0) </t>
  </si>
  <si>
    <t xml:space="preserve">3(  6.0) </t>
  </si>
  <si>
    <t xml:space="preserve">8( 16.0) </t>
  </si>
  <si>
    <t xml:space="preserve">37  </t>
  </si>
  <si>
    <t>37(100.0)</t>
  </si>
  <si>
    <t xml:space="preserve">87  </t>
  </si>
  <si>
    <t>79( 90.9)</t>
  </si>
  <si>
    <t xml:space="preserve">5(  5.7) </t>
  </si>
  <si>
    <t xml:space="preserve">3(  3.4) </t>
  </si>
  <si>
    <t xml:space="preserve">8(  9.1) </t>
  </si>
  <si>
    <t xml:space="preserve">35  </t>
  </si>
  <si>
    <t>31( 88.6)</t>
  </si>
  <si>
    <t xml:space="preserve">4( 11.4) </t>
  </si>
  <si>
    <t xml:space="preserve">44  </t>
  </si>
  <si>
    <t>43( 97.7)</t>
  </si>
  <si>
    <t xml:space="preserve">1(  2.3) </t>
  </si>
  <si>
    <t xml:space="preserve">79  </t>
  </si>
  <si>
    <t>74( 93.6)</t>
  </si>
  <si>
    <t xml:space="preserve">4(  5.1) </t>
  </si>
  <si>
    <t xml:space="preserve">1(  1.3) </t>
  </si>
  <si>
    <t xml:space="preserve">5(  6.4) </t>
  </si>
  <si>
    <t xml:space="preserve">68  </t>
  </si>
  <si>
    <t>68(100.0)</t>
  </si>
  <si>
    <t xml:space="preserve">74  </t>
  </si>
  <si>
    <t>74(100.0)</t>
  </si>
  <si>
    <t xml:space="preserve">142  </t>
  </si>
  <si>
    <t>142(100.0)</t>
  </si>
  <si>
    <t xml:space="preserve">84  </t>
  </si>
  <si>
    <t>75( 89.3)</t>
  </si>
  <si>
    <t xml:space="preserve">7(  8.3) </t>
  </si>
  <si>
    <t xml:space="preserve">2(  2.4) </t>
  </si>
  <si>
    <t xml:space="preserve">9( 10.7) </t>
  </si>
  <si>
    <t xml:space="preserve">65  </t>
  </si>
  <si>
    <t>61( 93.8)</t>
  </si>
  <si>
    <t xml:space="preserve">4(  6.2) </t>
  </si>
  <si>
    <t xml:space="preserve">149  </t>
  </si>
  <si>
    <t>136( 91.3)</t>
  </si>
  <si>
    <t xml:space="preserve">7(  4.7) </t>
  </si>
  <si>
    <t xml:space="preserve">6(  4.0) </t>
  </si>
  <si>
    <t xml:space="preserve">13(  8.7) </t>
  </si>
  <si>
    <t xml:space="preserve"> ANNEX-IX</t>
  </si>
  <si>
    <t>DISCREPANCIES IN RECORDING IRRIGATION PARTICULARS DURING 2023-24 AND 2022-23.</t>
  </si>
  <si>
    <t xml:space="preserve">47 </t>
  </si>
  <si>
    <t xml:space="preserve">1 </t>
  </si>
  <si>
    <t xml:space="preserve">0 </t>
  </si>
  <si>
    <t xml:space="preserve">48 </t>
  </si>
  <si>
    <t xml:space="preserve">2 </t>
  </si>
  <si>
    <t>(%)</t>
  </si>
  <si>
    <t>( 94.0)</t>
  </si>
  <si>
    <t>( 2.0)</t>
  </si>
  <si>
    <t>( 0.0)</t>
  </si>
  <si>
    <t>( 96.0)</t>
  </si>
  <si>
    <t>( 4.0)</t>
  </si>
  <si>
    <t xml:space="preserve">35 </t>
  </si>
  <si>
    <t xml:space="preserve">37 </t>
  </si>
  <si>
    <t>( 94.6)</t>
  </si>
  <si>
    <t>( 5.4)</t>
  </si>
  <si>
    <t>( 100.0)</t>
  </si>
  <si>
    <t xml:space="preserve">82 </t>
  </si>
  <si>
    <t xml:space="preserve">3 </t>
  </si>
  <si>
    <t xml:space="preserve">85 </t>
  </si>
  <si>
    <t>( 94.3)</t>
  </si>
  <si>
    <t>( 3.4)</t>
  </si>
  <si>
    <t>( 97.7)</t>
  </si>
  <si>
    <t>( 2.3)</t>
  </si>
  <si>
    <t xml:space="preserve">30 </t>
  </si>
  <si>
    <t xml:space="preserve">32 </t>
  </si>
  <si>
    <t>( 85.7)</t>
  </si>
  <si>
    <t>( 5.7)</t>
  </si>
  <si>
    <t>( 91.4)</t>
  </si>
  <si>
    <t>( 8.6)</t>
  </si>
  <si>
    <t xml:space="preserve">28 </t>
  </si>
  <si>
    <t xml:space="preserve">16 </t>
  </si>
  <si>
    <t xml:space="preserve">44 </t>
  </si>
  <si>
    <t>( 63.6)</t>
  </si>
  <si>
    <t>( 36.4)</t>
  </si>
  <si>
    <t xml:space="preserve">58 </t>
  </si>
  <si>
    <t xml:space="preserve">18 </t>
  </si>
  <si>
    <t xml:space="preserve">76 </t>
  </si>
  <si>
    <t>( 73.4)</t>
  </si>
  <si>
    <t>( 22.8)</t>
  </si>
  <si>
    <t>( 96.2)</t>
  </si>
  <si>
    <t>( 3.8)</t>
  </si>
  <si>
    <t xml:space="preserve">52 </t>
  </si>
  <si>
    <t xml:space="preserve">68 </t>
  </si>
  <si>
    <t>( 76.5)</t>
  </si>
  <si>
    <t>( 23.5)</t>
  </si>
  <si>
    <t xml:space="preserve">64 </t>
  </si>
  <si>
    <t xml:space="preserve">7 </t>
  </si>
  <si>
    <t xml:space="preserve">74 </t>
  </si>
  <si>
    <t>( 86.5)</t>
  </si>
  <si>
    <t>( 9.5)</t>
  </si>
  <si>
    <t>( 4.1)</t>
  </si>
  <si>
    <t xml:space="preserve">116 </t>
  </si>
  <si>
    <t xml:space="preserve">23 </t>
  </si>
  <si>
    <t xml:space="preserve">142 </t>
  </si>
  <si>
    <t>( 81.7)</t>
  </si>
  <si>
    <t>( 16.2)</t>
  </si>
  <si>
    <t>( 2.1)</t>
  </si>
  <si>
    <t xml:space="preserve">31 </t>
  </si>
  <si>
    <t xml:space="preserve">45 </t>
  </si>
  <si>
    <t xml:space="preserve">77 </t>
  </si>
  <si>
    <t>( 36.9)</t>
  </si>
  <si>
    <t>( 53.6)</t>
  </si>
  <si>
    <t>( 1.2)</t>
  </si>
  <si>
    <t>( 91.7)</t>
  </si>
  <si>
    <t>( 8.3)</t>
  </si>
  <si>
    <t xml:space="preserve">11 </t>
  </si>
  <si>
    <t xml:space="preserve">65 </t>
  </si>
  <si>
    <t>( 80.0)</t>
  </si>
  <si>
    <t>( 16.9)</t>
  </si>
  <si>
    <t>( 3.1)</t>
  </si>
  <si>
    <t xml:space="preserve">83 </t>
  </si>
  <si>
    <t xml:space="preserve">56 </t>
  </si>
  <si>
    <t>( 55.7)</t>
  </si>
  <si>
    <t>( 37.6)</t>
  </si>
  <si>
    <t>( 95.3)</t>
  </si>
  <si>
    <t>( 4.7)</t>
  </si>
  <si>
    <t xml:space="preserve"> ANNEX-XI</t>
  </si>
  <si>
    <t>DISCREPANCIES IN RECORDING SEED VARIETY PARTICULARS DURING 2023-24 AND 2022-23.</t>
  </si>
  <si>
    <t xml:space="preserve">39 </t>
  </si>
  <si>
    <t xml:space="preserve">8 </t>
  </si>
  <si>
    <t>( 78.0)</t>
  </si>
  <si>
    <t>( 16.0)</t>
  </si>
  <si>
    <t>( 87.4)</t>
  </si>
  <si>
    <t>( 9.2)</t>
  </si>
  <si>
    <t>( 1.1)</t>
  </si>
  <si>
    <t xml:space="preserve">4 </t>
  </si>
  <si>
    <t xml:space="preserve">34 </t>
  </si>
  <si>
    <t>( 11.4)</t>
  </si>
  <si>
    <t>( 97.1)</t>
  </si>
  <si>
    <t>( 2.9)</t>
  </si>
  <si>
    <t xml:space="preserve">13 </t>
  </si>
  <si>
    <t>( 70.5)</t>
  </si>
  <si>
    <t>( 29.5)</t>
  </si>
  <si>
    <t xml:space="preserve">61 </t>
  </si>
  <si>
    <t xml:space="preserve">17 </t>
  </si>
  <si>
    <t xml:space="preserve">78 </t>
  </si>
  <si>
    <t>( 77.2)</t>
  </si>
  <si>
    <t>( 21.5)</t>
  </si>
  <si>
    <t>( 98.7)</t>
  </si>
  <si>
    <t>( 1.3)</t>
  </si>
  <si>
    <t xml:space="preserve">12 </t>
  </si>
  <si>
    <t>( 82.4)</t>
  </si>
  <si>
    <t>( 1.4)</t>
  </si>
  <si>
    <t xml:space="preserve">113 </t>
  </si>
  <si>
    <t>( 79.6)</t>
  </si>
  <si>
    <t>( 19.7)</t>
  </si>
  <si>
    <t>( 0.7)</t>
  </si>
  <si>
    <t xml:space="preserve">55 </t>
  </si>
  <si>
    <t>( 84.6)</t>
  </si>
  <si>
    <t>( 12.3)</t>
  </si>
  <si>
    <t>( 1.5)</t>
  </si>
  <si>
    <t>( 98.5)</t>
  </si>
  <si>
    <t xml:space="preserve">86 </t>
  </si>
  <si>
    <t xml:space="preserve">53 </t>
  </si>
  <si>
    <t xml:space="preserve">141 </t>
  </si>
  <si>
    <t>( 57.7)</t>
  </si>
  <si>
    <t>( 35.6)</t>
  </si>
  <si>
    <t>ANNEX-VIII</t>
  </si>
  <si>
    <t>IMPACT OF DISCREPANCIES IN RECORDING AREA UNDER CROPS DURING 2023-24 AND 2022-23.</t>
  </si>
  <si>
    <t xml:space="preserve">26.55  </t>
  </si>
  <si>
    <t xml:space="preserve">26.63  </t>
  </si>
  <si>
    <t xml:space="preserve">7.65  </t>
  </si>
  <si>
    <t xml:space="preserve">7.54  </t>
  </si>
  <si>
    <t xml:space="preserve">34.19  </t>
  </si>
  <si>
    <t xml:space="preserve">34.17  </t>
  </si>
  <si>
    <t xml:space="preserve">(-)0.07    </t>
  </si>
  <si>
    <t xml:space="preserve">3.3  </t>
  </si>
  <si>
    <t xml:space="preserve">3.03  </t>
  </si>
  <si>
    <t xml:space="preserve">3.38  </t>
  </si>
  <si>
    <t xml:space="preserve">6.68  </t>
  </si>
  <si>
    <t xml:space="preserve">6.41  </t>
  </si>
  <si>
    <t xml:space="preserve">(-)4.04    </t>
  </si>
  <si>
    <t xml:space="preserve">9.52  </t>
  </si>
  <si>
    <t xml:space="preserve">3.17  </t>
  </si>
  <si>
    <t xml:space="preserve">12.69  </t>
  </si>
  <si>
    <t xml:space="preserve">0.00    </t>
  </si>
  <si>
    <t xml:space="preserve">2.53  </t>
  </si>
  <si>
    <t xml:space="preserve">2.89  </t>
  </si>
  <si>
    <t xml:space="preserve">2.81  </t>
  </si>
  <si>
    <t xml:space="preserve">5.42  </t>
  </si>
  <si>
    <t xml:space="preserve">5.34  </t>
  </si>
  <si>
    <t xml:space="preserve">(-)1.48    </t>
  </si>
  <si>
    <t>STATE:PUDUCHERRY</t>
  </si>
  <si>
    <t xml:space="preserve">15.61  </t>
  </si>
  <si>
    <t xml:space="preserve">18.31  </t>
  </si>
  <si>
    <t xml:space="preserve">33.91  </t>
  </si>
  <si>
    <t xml:space="preserve">3.1  </t>
  </si>
  <si>
    <t xml:space="preserve">8.78  </t>
  </si>
  <si>
    <t xml:space="preserve">11.89  </t>
  </si>
  <si>
    <t xml:space="preserve">7.32  </t>
  </si>
  <si>
    <t xml:space="preserve">10.09  </t>
  </si>
  <si>
    <t xml:space="preserve">10.5  </t>
  </si>
  <si>
    <t xml:space="preserve">17.41  </t>
  </si>
  <si>
    <t xml:space="preserve">17.82  </t>
  </si>
  <si>
    <t xml:space="preserve">2.36    </t>
  </si>
  <si>
    <t xml:space="preserve">8.56  </t>
  </si>
  <si>
    <t xml:space="preserve">8.51  </t>
  </si>
  <si>
    <t xml:space="preserve">11.29  </t>
  </si>
  <si>
    <t xml:space="preserve">10.95  </t>
  </si>
  <si>
    <t xml:space="preserve">19.86  </t>
  </si>
  <si>
    <t xml:space="preserve">19.46  </t>
  </si>
  <si>
    <t xml:space="preserve">(-)2.01    </t>
  </si>
  <si>
    <t>ANNEX-X</t>
  </si>
  <si>
    <t>IMPACT OF DISCREPANCIES IN RECORDING AREA UNDER CROPS(IRRIGATED) DURING 2023-24 AND 2022-23.</t>
  </si>
  <si>
    <t xml:space="preserve">7  </t>
  </si>
  <si>
    <t xml:space="preserve">26.43  </t>
  </si>
  <si>
    <t xml:space="preserve">26.51  </t>
  </si>
  <si>
    <t xml:space="preserve">14  </t>
  </si>
  <si>
    <t xml:space="preserve">34.08  </t>
  </si>
  <si>
    <t xml:space="preserve">34.05  </t>
  </si>
  <si>
    <t xml:space="preserve">2.63  </t>
  </si>
  <si>
    <t xml:space="preserve">5.93  </t>
  </si>
  <si>
    <t xml:space="preserve">5.66  </t>
  </si>
  <si>
    <t xml:space="preserve">(-)4.55    </t>
  </si>
  <si>
    <t xml:space="preserve">5  </t>
  </si>
  <si>
    <t xml:space="preserve">8.65  </t>
  </si>
  <si>
    <t xml:space="preserve">2.46  </t>
  </si>
  <si>
    <t xml:space="preserve">11.11  </t>
  </si>
  <si>
    <t xml:space="preserve">11.26  </t>
  </si>
  <si>
    <t xml:space="preserve">1.35    </t>
  </si>
  <si>
    <t xml:space="preserve">1.74  </t>
  </si>
  <si>
    <t xml:space="preserve">4.27  </t>
  </si>
  <si>
    <t xml:space="preserve">0.03  </t>
  </si>
  <si>
    <t xml:space="preserve">8.16  </t>
  </si>
  <si>
    <t xml:space="preserve">8.18  </t>
  </si>
  <si>
    <t xml:space="preserve">2.17  </t>
  </si>
  <si>
    <t xml:space="preserve">8.87  </t>
  </si>
  <si>
    <t xml:space="preserve">11.03  </t>
  </si>
  <si>
    <t>ANNEX-XII</t>
  </si>
  <si>
    <t>IMPACT OF DISCREPANCIES IN RECORDING AREA UNDER CROPS(HIGH YIELDING VARIETY OF SEEDS) DURING 2023-24 AND 2022-23.</t>
  </si>
  <si>
    <t xml:space="preserve">22.65  </t>
  </si>
  <si>
    <t xml:space="preserve">22.73  </t>
  </si>
  <si>
    <t xml:space="preserve">30.29  </t>
  </si>
  <si>
    <t xml:space="preserve">30.27  </t>
  </si>
  <si>
    <t xml:space="preserve">(-)0.08    </t>
  </si>
  <si>
    <t xml:space="preserve">0.88  </t>
  </si>
  <si>
    <t xml:space="preserve">4.26  </t>
  </si>
  <si>
    <t xml:space="preserve">1.68  </t>
  </si>
  <si>
    <t xml:space="preserve">2.39  </t>
  </si>
  <si>
    <t xml:space="preserve">2.31  </t>
  </si>
  <si>
    <t xml:space="preserve">4.07  </t>
  </si>
  <si>
    <t xml:space="preserve">3.99  </t>
  </si>
  <si>
    <t xml:space="preserve">(-)1.96    </t>
  </si>
  <si>
    <t xml:space="preserve">4.54  </t>
  </si>
  <si>
    <t xml:space="preserve">4.56  </t>
  </si>
  <si>
    <t xml:space="preserve">10.4  </t>
  </si>
  <si>
    <t xml:space="preserve">17.72  </t>
  </si>
  <si>
    <t xml:space="preserve">1.78    </t>
  </si>
  <si>
    <t xml:space="preserve">10.66  </t>
  </si>
  <si>
    <t xml:space="preserve">10.32  </t>
  </si>
  <si>
    <t xml:space="preserve">11  </t>
  </si>
  <si>
    <t xml:space="preserve">12.83  </t>
  </si>
  <si>
    <t xml:space="preserve">12.48  </t>
  </si>
  <si>
    <t xml:space="preserve">(-)2.72    </t>
  </si>
  <si>
    <t>SEASONS</t>
  </si>
  <si>
    <t>ANNEX-XXII</t>
  </si>
  <si>
    <t>PARICULARS</t>
  </si>
  <si>
    <t xml:space="preserve">10 </t>
  </si>
  <si>
    <t xml:space="preserve">20 </t>
  </si>
  <si>
    <t>(100.0)</t>
  </si>
  <si>
    <t xml:space="preserve"> </t>
  </si>
  <si>
    <t>(  0.0)</t>
  </si>
  <si>
    <t>1(  5.0)</t>
  </si>
  <si>
    <t xml:space="preserve">6 </t>
  </si>
  <si>
    <t xml:space="preserve">9 </t>
  </si>
  <si>
    <t>( 60.0)</t>
  </si>
  <si>
    <t>( 90.0)</t>
  </si>
  <si>
    <t>( 85.0)</t>
  </si>
  <si>
    <t>( 10.0)</t>
  </si>
  <si>
    <t>(  5.0)</t>
  </si>
  <si>
    <t>( 40.0)</t>
  </si>
  <si>
    <t>( 20.0)</t>
  </si>
  <si>
    <t xml:space="preserve">19 </t>
  </si>
  <si>
    <t>( 95.0)</t>
  </si>
  <si>
    <t>2( 20.0)</t>
  </si>
  <si>
    <t>2( 10.0)</t>
  </si>
  <si>
    <t>10(100.0)</t>
  </si>
  <si>
    <t>20(100.0)</t>
  </si>
  <si>
    <t>8( 80.0)</t>
  </si>
  <si>
    <t>18( 90.0)</t>
  </si>
  <si>
    <t>8( 40.0)</t>
  </si>
  <si>
    <t>10( 50.0)</t>
  </si>
  <si>
    <t>2(  5.0)</t>
  </si>
  <si>
    <t>38( 95.0)</t>
  </si>
  <si>
    <t>18( 45.0)</t>
  </si>
  <si>
    <t>40(100.0)</t>
  </si>
  <si>
    <t>UT</t>
  </si>
  <si>
    <t>SEASON : RABI-I &amp; RABI-II</t>
  </si>
  <si>
    <t>-</t>
  </si>
  <si>
    <t>2902(1.87)</t>
  </si>
  <si>
    <t>3395(1.67)</t>
  </si>
  <si>
    <t>140 (100)</t>
  </si>
  <si>
    <t>70 (100)</t>
  </si>
  <si>
    <t>210 (100)</t>
  </si>
  <si>
    <t>(-)4.18</t>
  </si>
  <si>
    <t>(-)5.68</t>
  </si>
  <si>
    <t>2831(1.80)</t>
  </si>
  <si>
    <t>2909(2.88)</t>
  </si>
  <si>
    <t>138(100)</t>
  </si>
  <si>
    <t>70(100)</t>
  </si>
  <si>
    <t>208(100)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</si>
</sst>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);\(0\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b/>
      <sz val="8"/>
      <color rgb="FF000000"/>
      <name val="Courier New"/>
      <family val="3"/>
    </font>
    <font>
      <b/>
      <sz val="10"/>
      <color theme="1"/>
      <name val="Courier New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ourier New"/>
      <family val="3"/>
    </font>
    <font>
      <b/>
      <sz val="11"/>
      <color theme="1"/>
      <name val="Courier New"/>
      <family val="3"/>
    </font>
    <font>
      <b/>
      <sz val="11"/>
      <name val="Courier New"/>
      <family val="3"/>
    </font>
    <font>
      <sz val="11"/>
      <name val="Courier New"/>
      <family val="3"/>
    </font>
    <font>
      <sz val="11"/>
      <color theme="1"/>
      <name val="Courier New"/>
      <family val="3"/>
    </font>
    <font>
      <b/>
      <u/>
      <sz val="11"/>
      <color rgb="FF000000"/>
      <name val="Courier New"/>
      <family val="3"/>
    </font>
    <font>
      <b/>
      <u/>
      <sz val="10"/>
      <color rgb="FF000000"/>
      <name val="Courier New"/>
      <family val="3"/>
    </font>
    <font>
      <b/>
      <sz val="11"/>
      <color rgb="FF000000"/>
      <name val="Courier New"/>
      <family val="3"/>
    </font>
    <font>
      <b/>
      <sz val="10.5"/>
      <color theme="1"/>
      <name val="Courier New"/>
      <family val="3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u/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35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 vertical="center"/>
    </xf>
    <xf numFmtId="164" fontId="2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1" fillId="0" borderId="0" xfId="0" applyNumberFormat="1" applyFont="1"/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8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9" fillId="0" borderId="0" xfId="0" applyFont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5" fontId="10" fillId="0" borderId="0" xfId="0" applyNumberFormat="1" applyFont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165" fontId="10" fillId="0" borderId="0" xfId="0" applyNumberFormat="1" applyFont="1" applyAlignment="1">
      <alignment vertical="center"/>
    </xf>
    <xf numFmtId="165" fontId="10" fillId="0" borderId="11" xfId="0" applyNumberFormat="1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9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12" fillId="0" borderId="0" xfId="0" applyFont="1"/>
    <xf numFmtId="2" fontId="9" fillId="0" borderId="0" xfId="0" applyNumberFormat="1" applyFont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2" fontId="9" fillId="0" borderId="3" xfId="0" applyNumberFormat="1" applyFont="1" applyBorder="1" applyAlignment="1">
      <alignment horizontal="right" vertical="center"/>
    </xf>
    <xf numFmtId="2" fontId="9" fillId="0" borderId="7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left" vertical="center"/>
    </xf>
    <xf numFmtId="165" fontId="10" fillId="0" borderId="1" xfId="0" applyNumberFormat="1" applyFont="1" applyBorder="1" applyAlignment="1">
      <alignment horizontal="left" vertical="center"/>
    </xf>
    <xf numFmtId="165" fontId="10" fillId="0" borderId="7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vertical="top" wrapText="1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vertical="top" wrapText="1"/>
    </xf>
    <xf numFmtId="0" fontId="13" fillId="0" borderId="0" xfId="0" applyFont="1" applyAlignment="1">
      <alignment vertical="center"/>
    </xf>
    <xf numFmtId="0" fontId="5" fillId="0" borderId="1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/>
    <xf numFmtId="0" fontId="12" fillId="0" borderId="0" xfId="0" applyFont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19" xfId="0" applyFont="1" applyBorder="1"/>
    <xf numFmtId="0" fontId="9" fillId="0" borderId="19" xfId="0" applyFont="1" applyBorder="1" applyAlignment="1">
      <alignment horizontal="center"/>
    </xf>
    <xf numFmtId="0" fontId="9" fillId="0" borderId="7" xfId="0" applyFont="1" applyBorder="1"/>
    <xf numFmtId="0" fontId="9" fillId="0" borderId="20" xfId="0" applyFont="1" applyBorder="1"/>
    <xf numFmtId="0" fontId="9" fillId="0" borderId="2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5" fontId="10" fillId="0" borderId="2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9" fillId="0" borderId="14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1" fillId="0" borderId="3" xfId="0" applyFont="1" applyBorder="1"/>
    <xf numFmtId="0" fontId="9" fillId="0" borderId="0" xfId="0" quotePrefix="1" applyFont="1" applyAlignment="1">
      <alignment horizontal="center" vertical="top"/>
    </xf>
    <xf numFmtId="0" fontId="9" fillId="0" borderId="17" xfId="0" applyFont="1" applyBorder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" xfId="0" applyFont="1" applyBorder="1" applyAlignment="1">
      <alignment horizontal="right"/>
    </xf>
    <xf numFmtId="0" fontId="13" fillId="0" borderId="2" xfId="0" applyFont="1" applyBorder="1" applyAlignment="1">
      <alignment vertical="center"/>
    </xf>
    <xf numFmtId="0" fontId="9" fillId="0" borderId="2" xfId="0" applyFont="1" applyBorder="1"/>
    <xf numFmtId="2" fontId="5" fillId="0" borderId="0" xfId="0" applyNumberFormat="1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right" vertical="center"/>
    </xf>
    <xf numFmtId="2" fontId="5" fillId="0" borderId="10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6" fillId="0" borderId="1" xfId="0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/>
    </xf>
    <xf numFmtId="0" fontId="16" fillId="0" borderId="1" xfId="0" quotePrefix="1" applyFont="1" applyBorder="1" applyAlignment="1">
      <alignment vertical="center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2" fontId="16" fillId="0" borderId="1" xfId="0" applyNumberFormat="1" applyFont="1" applyBorder="1" applyAlignment="1">
      <alignment horizontal="center" vertical="center" wrapText="1"/>
    </xf>
    <xf numFmtId="2" fontId="16" fillId="0" borderId="0" xfId="0" applyNumberFormat="1" applyFont="1" applyAlignment="1">
      <alignment horizontal="right" vertical="center"/>
    </xf>
    <xf numFmtId="0" fontId="16" fillId="0" borderId="10" xfId="0" quotePrefix="1" applyFont="1" applyBorder="1" applyAlignment="1">
      <alignment vertical="center"/>
    </xf>
    <xf numFmtId="2" fontId="16" fillId="0" borderId="0" xfId="0" quotePrefix="1" applyNumberFormat="1" applyFont="1" applyAlignment="1">
      <alignment vertical="center"/>
    </xf>
    <xf numFmtId="0" fontId="16" fillId="0" borderId="7" xfId="0" applyFont="1" applyBorder="1" applyAlignment="1">
      <alignment horizontal="left" vertical="center"/>
    </xf>
    <xf numFmtId="2" fontId="16" fillId="0" borderId="7" xfId="0" applyNumberFormat="1" applyFont="1" applyBorder="1" applyAlignment="1">
      <alignment horizontal="center" vertical="center" wrapText="1"/>
    </xf>
    <xf numFmtId="0" fontId="16" fillId="0" borderId="0" xfId="0" quotePrefix="1" applyFont="1" applyAlignment="1">
      <alignment horizontal="left" vertical="center"/>
    </xf>
    <xf numFmtId="0" fontId="16" fillId="0" borderId="1" xfId="0" quotePrefix="1" applyFont="1" applyBorder="1" applyAlignment="1">
      <alignment horizontal="left" vertical="center"/>
    </xf>
    <xf numFmtId="0" fontId="16" fillId="0" borderId="7" xfId="0" quotePrefix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7" xfId="0" applyFont="1" applyBorder="1"/>
    <xf numFmtId="0" fontId="5" fillId="0" borderId="7" xfId="0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165" fontId="10" fillId="0" borderId="1" xfId="0" applyNumberFormat="1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right" vertical="top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top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0" fontId="9" fillId="0" borderId="1" xfId="0" applyFont="1" applyBorder="1" applyAlignment="1">
      <alignment horizontal="left" wrapText="1"/>
    </xf>
    <xf numFmtId="0" fontId="9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2" fontId="5" fillId="0" borderId="0" xfId="0" applyNumberFormat="1" applyFont="1" applyAlignment="1">
      <alignment horizontal="left" vertical="top" wrapText="1"/>
    </xf>
    <xf numFmtId="2" fontId="5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top"/>
    </xf>
    <xf numFmtId="0" fontId="16" fillId="0" borderId="0" xfId="0" quotePrefix="1" applyFont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0" fillId="0" borderId="26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0" xfId="0" quotePrefix="1" applyFont="1" applyAlignment="1">
      <alignment horizontal="center" vertical="top"/>
    </xf>
    <xf numFmtId="0" fontId="9" fillId="0" borderId="7" xfId="0" quotePrefix="1" applyFont="1" applyBorder="1" applyAlignment="1">
      <alignment horizontal="center" vertical="top"/>
    </xf>
    <xf numFmtId="0" fontId="9" fillId="0" borderId="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65" fontId="10" fillId="0" borderId="14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distributed"/>
    </xf>
    <xf numFmtId="0" fontId="10" fillId="0" borderId="1" xfId="0" applyFont="1" applyBorder="1" applyAlignment="1">
      <alignment horizontal="center" vertical="distributed"/>
    </xf>
    <xf numFmtId="0" fontId="9" fillId="0" borderId="8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165" fontId="10" fillId="0" borderId="7" xfId="0" applyNumberFormat="1" applyFont="1" applyBorder="1" applyAlignment="1">
      <alignment horizontal="left" vertical="center"/>
    </xf>
    <xf numFmtId="165" fontId="10" fillId="0" borderId="7" xfId="0" applyNumberFormat="1" applyFont="1" applyBorder="1" applyAlignment="1">
      <alignment horizontal="left" vertical="center" wrapText="1"/>
    </xf>
    <xf numFmtId="165" fontId="19" fillId="0" borderId="16" xfId="0" applyNumberFormat="1" applyFont="1" applyBorder="1" applyAlignment="1">
      <alignment horizontal="left" vertical="center"/>
    </xf>
    <xf numFmtId="2" fontId="9" fillId="0" borderId="1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B90B-25E9-4A36-89B0-0983A2FD4DB2}">
  <sheetPr>
    <tabColor theme="0" tint="-0.249977111117893"/>
  </sheetPr>
  <dimension ref="B2:J18"/>
  <sheetViews>
    <sheetView workbookViewId="0">
      <selection activeCell="B3" sqref="B3"/>
    </sheetView>
  </sheetViews>
  <sheetFormatPr defaultRowHeight="14.4" x14ac:dyDescent="0.3"/>
  <cols>
    <col min="2" max="2" width="10.44140625" bestFit="1" customWidth="1"/>
    <col min="3" max="3" width="14.109375" bestFit="1" customWidth="1"/>
    <col min="4" max="4" width="4.33203125" customWidth="1"/>
    <col min="5" max="5" width="14.109375" customWidth="1"/>
    <col min="6" max="6" width="4.33203125" customWidth="1"/>
    <col min="8" max="8" width="18.33203125" bestFit="1" customWidth="1"/>
    <col min="9" max="9" width="19.77734375" bestFit="1" customWidth="1"/>
    <col min="10" max="10" width="14.77734375" customWidth="1"/>
  </cols>
  <sheetData>
    <row r="2" spans="2:10" x14ac:dyDescent="0.3">
      <c r="B2" s="48" t="s">
        <v>684</v>
      </c>
      <c r="C2" s="49" t="s">
        <v>304</v>
      </c>
      <c r="H2" s="49" t="str">
        <f>CONCATENATE(B2," : ",C2)</f>
        <v>UT : PUDUCHERRY</v>
      </c>
    </row>
    <row r="3" spans="2:10" x14ac:dyDescent="0.3">
      <c r="B3" s="48" t="s">
        <v>233</v>
      </c>
      <c r="C3" s="49" t="s">
        <v>305</v>
      </c>
      <c r="D3" s="49">
        <v>4</v>
      </c>
      <c r="E3" s="49" t="s">
        <v>306</v>
      </c>
      <c r="F3" s="49">
        <v>5</v>
      </c>
      <c r="H3" s="49" t="str">
        <f>CONCATENATE(B3," : ",C3)</f>
        <v>SEASON : RABI I</v>
      </c>
      <c r="I3" s="49" t="str">
        <f>CONCATENATE(B3," : ",E3)</f>
        <v>SEASON : RABI II</v>
      </c>
    </row>
    <row r="4" spans="2:10" x14ac:dyDescent="0.3">
      <c r="B4" s="48" t="s">
        <v>35</v>
      </c>
      <c r="C4" s="49" t="s">
        <v>307</v>
      </c>
      <c r="H4" s="49" t="str">
        <f>CONCATENATE($C$3," ",C4)</f>
        <v>RABI I 2023-24</v>
      </c>
      <c r="I4" s="49" t="str">
        <f>CONCATENATE($E$3," ",C4)</f>
        <v>RABI II 2023-24</v>
      </c>
      <c r="J4" s="49" t="str">
        <f>CONCATENATE($B$4," ",C4)</f>
        <v>YEAR 2023-24</v>
      </c>
    </row>
    <row r="5" spans="2:10" x14ac:dyDescent="0.3">
      <c r="B5" s="48" t="s">
        <v>275</v>
      </c>
      <c r="C5" s="49" t="str">
        <f>CONCATENATE(LEFT(C4,4)-1,"-",RIGHT(C4,2)-1)</f>
        <v>2022-23</v>
      </c>
      <c r="H5" s="49" t="str">
        <f>CONCATENATE($C$3," ",C5)</f>
        <v>RABI I 2022-23</v>
      </c>
      <c r="I5" s="49" t="str">
        <f t="shared" ref="I5:I8" si="0">CONCATENATE($E$3," ",C5)</f>
        <v>RABI II 2022-23</v>
      </c>
      <c r="J5" s="49" t="str">
        <f>CONCATENATE($B$4," ",C5)</f>
        <v>YEAR 2022-23</v>
      </c>
    </row>
    <row r="6" spans="2:10" x14ac:dyDescent="0.3">
      <c r="C6" s="49" t="str">
        <f t="shared" ref="C6:C8" si="1">CONCATENATE(LEFT(C5,4)-1,"-",RIGHT(C5,2)-1)</f>
        <v>2021-22</v>
      </c>
      <c r="H6" s="49" t="str">
        <f t="shared" ref="H6:H8" si="2">CONCATENATE($C$3," ",C6)</f>
        <v>RABI I 2021-22</v>
      </c>
      <c r="I6" s="49" t="str">
        <f t="shared" si="0"/>
        <v>RABI II 2021-22</v>
      </c>
      <c r="J6" s="49" t="str">
        <f>CONCATENATE($B$4," ",C6)</f>
        <v>YEAR 2021-22</v>
      </c>
    </row>
    <row r="7" spans="2:10" x14ac:dyDescent="0.3">
      <c r="C7" s="49" t="str">
        <f t="shared" si="1"/>
        <v>2020-21</v>
      </c>
      <c r="H7" s="49" t="str">
        <f t="shared" si="2"/>
        <v>RABI I 2020-21</v>
      </c>
      <c r="I7" s="49" t="str">
        <f t="shared" si="0"/>
        <v>RABI II 2020-21</v>
      </c>
      <c r="J7" s="49" t="str">
        <f>CONCATENATE($B$4," ",C7)</f>
        <v>YEAR 2020-21</v>
      </c>
    </row>
    <row r="8" spans="2:10" x14ac:dyDescent="0.3">
      <c r="C8" s="50" t="str">
        <f t="shared" si="1"/>
        <v>2019-20</v>
      </c>
      <c r="H8" s="49" t="str">
        <f t="shared" si="2"/>
        <v>RABI I 2019-20</v>
      </c>
      <c r="I8" s="49" t="str">
        <f t="shared" si="0"/>
        <v>RABI II 2019-20</v>
      </c>
      <c r="J8" s="49" t="str">
        <f>CONCATENATE($B$4," ",C8)</f>
        <v>YEAR 2019-20</v>
      </c>
    </row>
    <row r="9" spans="2:10" x14ac:dyDescent="0.3">
      <c r="B9" s="48" t="s">
        <v>276</v>
      </c>
      <c r="C9" s="49" t="s">
        <v>308</v>
      </c>
      <c r="D9" s="49">
        <v>97</v>
      </c>
      <c r="E9" s="49" t="s">
        <v>308</v>
      </c>
      <c r="F9" s="49">
        <v>98</v>
      </c>
    </row>
    <row r="10" spans="2:10" x14ac:dyDescent="0.3">
      <c r="C10" s="49" t="s">
        <v>140</v>
      </c>
      <c r="D10" s="49">
        <v>99</v>
      </c>
      <c r="E10" s="49" t="s">
        <v>140</v>
      </c>
      <c r="F10" s="49">
        <v>99</v>
      </c>
    </row>
    <row r="11" spans="2:10" x14ac:dyDescent="0.3">
      <c r="C11" s="49">
        <v>0</v>
      </c>
      <c r="D11" s="49">
        <v>0</v>
      </c>
      <c r="E11" s="49">
        <v>0</v>
      </c>
      <c r="F11" s="49">
        <v>0</v>
      </c>
    </row>
    <row r="12" spans="2:10" x14ac:dyDescent="0.3">
      <c r="C12" s="49">
        <v>0</v>
      </c>
      <c r="D12" s="49">
        <v>0</v>
      </c>
      <c r="E12" s="49">
        <v>0</v>
      </c>
      <c r="F12" s="49">
        <v>0</v>
      </c>
    </row>
    <row r="13" spans="2:10" x14ac:dyDescent="0.3">
      <c r="C13" s="49">
        <v>0</v>
      </c>
      <c r="D13" s="49">
        <v>0</v>
      </c>
      <c r="E13" s="49">
        <v>0</v>
      </c>
      <c r="F13" s="49">
        <v>0</v>
      </c>
    </row>
    <row r="14" spans="2:10" x14ac:dyDescent="0.3">
      <c r="C14" s="49">
        <v>0</v>
      </c>
      <c r="D14" s="49">
        <v>0</v>
      </c>
      <c r="E14" s="49">
        <v>0</v>
      </c>
      <c r="F14" s="49">
        <v>0</v>
      </c>
    </row>
    <row r="15" spans="2:10" x14ac:dyDescent="0.3">
      <c r="C15" s="49">
        <v>0</v>
      </c>
      <c r="D15" s="49">
        <v>0</v>
      </c>
      <c r="E15" s="49">
        <v>0</v>
      </c>
      <c r="F15" s="49">
        <v>0</v>
      </c>
    </row>
    <row r="16" spans="2:10" x14ac:dyDescent="0.3">
      <c r="C16" s="49">
        <v>0</v>
      </c>
      <c r="D16" s="49">
        <v>0</v>
      </c>
      <c r="E16" s="49">
        <v>0</v>
      </c>
      <c r="F16" s="49">
        <v>0</v>
      </c>
    </row>
    <row r="17" spans="3:6" x14ac:dyDescent="0.3">
      <c r="C17" s="49">
        <v>0</v>
      </c>
      <c r="D17" s="49">
        <v>0</v>
      </c>
      <c r="E17" s="49">
        <v>0</v>
      </c>
      <c r="F17" s="49">
        <v>0</v>
      </c>
    </row>
    <row r="18" spans="3:6" x14ac:dyDescent="0.3">
      <c r="C18" s="49">
        <v>0</v>
      </c>
      <c r="D18" s="49">
        <v>0</v>
      </c>
      <c r="E18" s="49">
        <v>0</v>
      </c>
      <c r="F18" s="4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24"/>
  <sheetViews>
    <sheetView view="pageBreakPreview" zoomScale="90" zoomScaleNormal="100" zoomScaleSheetLayoutView="90" workbookViewId="0">
      <selection activeCell="J15" sqref="J15"/>
    </sheetView>
  </sheetViews>
  <sheetFormatPr defaultRowHeight="14.4" x14ac:dyDescent="0.3"/>
  <cols>
    <col min="1" max="1" width="20.109375" customWidth="1"/>
    <col min="2" max="2" width="11.5546875" customWidth="1"/>
    <col min="3" max="3" width="13.88671875" customWidth="1"/>
    <col min="4" max="4" width="14" customWidth="1"/>
    <col min="5" max="5" width="13.77734375" customWidth="1"/>
    <col min="6" max="7" width="15.88671875" customWidth="1"/>
    <col min="8" max="8" width="13.44140625" customWidth="1"/>
  </cols>
  <sheetData>
    <row r="1" spans="1:8" x14ac:dyDescent="0.3">
      <c r="A1" s="237" t="s">
        <v>0</v>
      </c>
      <c r="B1" s="237"/>
      <c r="C1" s="237"/>
      <c r="D1" s="237"/>
      <c r="E1" s="237"/>
      <c r="F1" s="237"/>
      <c r="G1" s="237"/>
      <c r="H1" s="237"/>
    </row>
    <row r="2" spans="1:8" x14ac:dyDescent="0.3">
      <c r="A2" s="62" t="str">
        <f>year!$H$2</f>
        <v>UT : PUDUCHERRY</v>
      </c>
      <c r="B2" s="62"/>
      <c r="C2" s="62"/>
      <c r="D2" s="62"/>
      <c r="E2" s="62"/>
      <c r="F2" s="62"/>
      <c r="G2" s="238" t="s">
        <v>309</v>
      </c>
      <c r="H2" s="238"/>
    </row>
    <row r="3" spans="1:8" x14ac:dyDescent="0.3">
      <c r="A3" s="239" t="s">
        <v>310</v>
      </c>
      <c r="B3" s="239"/>
      <c r="C3" s="239"/>
      <c r="D3" s="239"/>
      <c r="E3" s="239"/>
      <c r="F3" s="239"/>
      <c r="G3" s="239"/>
      <c r="H3" s="239"/>
    </row>
    <row r="4" spans="1:8" ht="31.8" customHeight="1" x14ac:dyDescent="0.3">
      <c r="A4" s="240" t="s">
        <v>290</v>
      </c>
      <c r="B4" s="242" t="s">
        <v>1</v>
      </c>
      <c r="C4" s="242" t="s">
        <v>2</v>
      </c>
      <c r="D4" s="242"/>
      <c r="E4" s="243" t="s">
        <v>3</v>
      </c>
      <c r="F4" s="243"/>
      <c r="G4" s="243"/>
      <c r="H4" s="243"/>
    </row>
    <row r="5" spans="1:8" ht="31.8" customHeight="1" x14ac:dyDescent="0.3">
      <c r="A5" s="240"/>
      <c r="B5" s="242"/>
      <c r="C5" s="243"/>
      <c r="D5" s="243"/>
      <c r="E5" s="244" t="s">
        <v>188</v>
      </c>
      <c r="F5" s="242" t="s">
        <v>4</v>
      </c>
      <c r="G5" s="242" t="s">
        <v>5</v>
      </c>
      <c r="H5" s="242" t="s">
        <v>6</v>
      </c>
    </row>
    <row r="6" spans="1:8" ht="28.8" x14ac:dyDescent="0.3">
      <c r="A6" s="241"/>
      <c r="B6" s="243"/>
      <c r="C6" s="99" t="s">
        <v>187</v>
      </c>
      <c r="D6" s="99" t="s">
        <v>7</v>
      </c>
      <c r="E6" s="245"/>
      <c r="F6" s="243"/>
      <c r="G6" s="243"/>
      <c r="H6" s="243"/>
    </row>
    <row r="7" spans="1:8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</row>
    <row r="8" spans="1:8" x14ac:dyDescent="0.3">
      <c r="A8" s="67" t="str">
        <f>year!$H$4</f>
        <v>RABI I 2023-24</v>
      </c>
      <c r="B8" s="68"/>
      <c r="C8" s="78"/>
      <c r="D8" s="78"/>
      <c r="E8" s="78"/>
      <c r="F8" s="78"/>
      <c r="G8" s="78"/>
      <c r="H8" s="78"/>
    </row>
    <row r="9" spans="1:8" x14ac:dyDescent="0.3">
      <c r="A9" s="68" t="s">
        <v>16</v>
      </c>
      <c r="B9" s="72" t="s">
        <v>311</v>
      </c>
      <c r="C9" s="72" t="s">
        <v>312</v>
      </c>
      <c r="D9" s="72" t="s">
        <v>312</v>
      </c>
      <c r="E9" s="72" t="s">
        <v>312</v>
      </c>
      <c r="F9" s="72" t="s">
        <v>312</v>
      </c>
      <c r="G9" s="72" t="s">
        <v>313</v>
      </c>
      <c r="H9" s="72" t="s">
        <v>313</v>
      </c>
    </row>
    <row r="10" spans="1:8" x14ac:dyDescent="0.3">
      <c r="A10" s="78" t="s">
        <v>17</v>
      </c>
      <c r="B10" s="72" t="s">
        <v>311</v>
      </c>
      <c r="C10" s="72" t="s">
        <v>312</v>
      </c>
      <c r="D10" s="72" t="s">
        <v>312</v>
      </c>
      <c r="E10" s="72" t="s">
        <v>312</v>
      </c>
      <c r="F10" s="72" t="s">
        <v>312</v>
      </c>
      <c r="G10" s="72" t="s">
        <v>313</v>
      </c>
      <c r="H10" s="72" t="s">
        <v>313</v>
      </c>
    </row>
    <row r="11" spans="1:8" x14ac:dyDescent="0.3">
      <c r="A11" s="68" t="s">
        <v>18</v>
      </c>
      <c r="B11" s="72" t="s">
        <v>314</v>
      </c>
      <c r="C11" s="72" t="s">
        <v>315</v>
      </c>
      <c r="D11" s="72" t="s">
        <v>315</v>
      </c>
      <c r="E11" s="72" t="s">
        <v>315</v>
      </c>
      <c r="F11" s="72" t="s">
        <v>315</v>
      </c>
      <c r="G11" s="72" t="s">
        <v>313</v>
      </c>
      <c r="H11" s="72" t="s">
        <v>313</v>
      </c>
    </row>
    <row r="12" spans="1:8" ht="15" customHeight="1" x14ac:dyDescent="0.3">
      <c r="A12" s="67" t="str">
        <f>year!$I$4</f>
        <v>RABI II 2023-24</v>
      </c>
      <c r="B12" s="71"/>
      <c r="C12" s="72"/>
      <c r="D12" s="72"/>
      <c r="E12" s="72"/>
      <c r="F12" s="72"/>
      <c r="G12" s="72"/>
      <c r="H12" s="72"/>
    </row>
    <row r="13" spans="1:8" x14ac:dyDescent="0.3">
      <c r="A13" s="68" t="s">
        <v>16</v>
      </c>
      <c r="B13" s="72" t="s">
        <v>311</v>
      </c>
      <c r="C13" s="72" t="s">
        <v>312</v>
      </c>
      <c r="D13" s="72" t="s">
        <v>312</v>
      </c>
      <c r="E13" s="72" t="s">
        <v>312</v>
      </c>
      <c r="F13" s="72" t="s">
        <v>312</v>
      </c>
      <c r="G13" s="72" t="s">
        <v>313</v>
      </c>
      <c r="H13" s="72" t="s">
        <v>313</v>
      </c>
    </row>
    <row r="14" spans="1:8" x14ac:dyDescent="0.3">
      <c r="A14" s="78" t="s">
        <v>17</v>
      </c>
      <c r="B14" s="72" t="s">
        <v>311</v>
      </c>
      <c r="C14" s="72" t="s">
        <v>312</v>
      </c>
      <c r="D14" s="72" t="s">
        <v>312</v>
      </c>
      <c r="E14" s="72" t="s">
        <v>312</v>
      </c>
      <c r="F14" s="72" t="s">
        <v>312</v>
      </c>
      <c r="G14" s="72" t="s">
        <v>313</v>
      </c>
      <c r="H14" s="72" t="s">
        <v>313</v>
      </c>
    </row>
    <row r="15" spans="1:8" x14ac:dyDescent="0.3">
      <c r="A15" s="67" t="s">
        <v>18</v>
      </c>
      <c r="B15" s="74" t="s">
        <v>314</v>
      </c>
      <c r="C15" s="74" t="s">
        <v>315</v>
      </c>
      <c r="D15" s="74" t="s">
        <v>315</v>
      </c>
      <c r="E15" s="74" t="s">
        <v>315</v>
      </c>
      <c r="F15" s="74" t="s">
        <v>315</v>
      </c>
      <c r="G15" s="74" t="s">
        <v>313</v>
      </c>
      <c r="H15" s="74" t="s">
        <v>313</v>
      </c>
    </row>
    <row r="16" spans="1:8" ht="15" customHeight="1" x14ac:dyDescent="0.3">
      <c r="A16" s="67" t="str">
        <f>year!$H$5</f>
        <v>RABI I 2022-23</v>
      </c>
      <c r="B16" s="71"/>
      <c r="C16" s="72"/>
      <c r="D16" s="72"/>
      <c r="E16" s="72"/>
      <c r="F16" s="72"/>
      <c r="G16" s="72"/>
      <c r="H16" s="72"/>
    </row>
    <row r="17" spans="1:8" x14ac:dyDescent="0.3">
      <c r="A17" s="68" t="s">
        <v>16</v>
      </c>
      <c r="B17" s="72" t="s">
        <v>311</v>
      </c>
      <c r="C17" s="72" t="s">
        <v>312</v>
      </c>
      <c r="D17" s="72" t="s">
        <v>312</v>
      </c>
      <c r="E17" s="72" t="s">
        <v>312</v>
      </c>
      <c r="F17" s="72" t="s">
        <v>312</v>
      </c>
      <c r="G17" s="72" t="s">
        <v>313</v>
      </c>
      <c r="H17" s="72" t="s">
        <v>313</v>
      </c>
    </row>
    <row r="18" spans="1:8" x14ac:dyDescent="0.3">
      <c r="A18" s="78" t="s">
        <v>17</v>
      </c>
      <c r="B18" s="72" t="s">
        <v>311</v>
      </c>
      <c r="C18" s="72" t="s">
        <v>312</v>
      </c>
      <c r="D18" s="72" t="s">
        <v>312</v>
      </c>
      <c r="E18" s="72" t="s">
        <v>312</v>
      </c>
      <c r="F18" s="72" t="s">
        <v>312</v>
      </c>
      <c r="G18" s="72" t="s">
        <v>313</v>
      </c>
      <c r="H18" s="72" t="s">
        <v>313</v>
      </c>
    </row>
    <row r="19" spans="1:8" x14ac:dyDescent="0.3">
      <c r="A19" s="68" t="s">
        <v>18</v>
      </c>
      <c r="B19" s="72" t="s">
        <v>314</v>
      </c>
      <c r="C19" s="72" t="s">
        <v>315</v>
      </c>
      <c r="D19" s="72" t="s">
        <v>315</v>
      </c>
      <c r="E19" s="72" t="s">
        <v>315</v>
      </c>
      <c r="F19" s="72" t="s">
        <v>315</v>
      </c>
      <c r="G19" s="72" t="s">
        <v>313</v>
      </c>
      <c r="H19" s="72" t="s">
        <v>313</v>
      </c>
    </row>
    <row r="20" spans="1:8" ht="15" customHeight="1" x14ac:dyDescent="0.3">
      <c r="A20" s="67" t="str">
        <f>year!$I$5</f>
        <v>RABI II 2022-23</v>
      </c>
      <c r="B20" s="71"/>
      <c r="C20" s="72"/>
      <c r="D20" s="72"/>
      <c r="E20" s="72"/>
      <c r="F20" s="72"/>
      <c r="G20" s="72"/>
      <c r="H20" s="72"/>
    </row>
    <row r="21" spans="1:8" x14ac:dyDescent="0.3">
      <c r="A21" s="68" t="s">
        <v>16</v>
      </c>
      <c r="B21" s="72" t="s">
        <v>311</v>
      </c>
      <c r="C21" s="72" t="s">
        <v>312</v>
      </c>
      <c r="D21" s="72" t="s">
        <v>312</v>
      </c>
      <c r="E21" s="72" t="s">
        <v>312</v>
      </c>
      <c r="F21" s="72" t="s">
        <v>312</v>
      </c>
      <c r="G21" s="72" t="s">
        <v>313</v>
      </c>
      <c r="H21" s="72" t="s">
        <v>313</v>
      </c>
    </row>
    <row r="22" spans="1:8" x14ac:dyDescent="0.3">
      <c r="A22" s="78" t="s">
        <v>17</v>
      </c>
      <c r="B22" s="72" t="s">
        <v>311</v>
      </c>
      <c r="C22" s="72" t="s">
        <v>312</v>
      </c>
      <c r="D22" s="72" t="s">
        <v>312</v>
      </c>
      <c r="E22" s="72" t="s">
        <v>312</v>
      </c>
      <c r="F22" s="72" t="s">
        <v>312</v>
      </c>
      <c r="G22" s="72" t="s">
        <v>313</v>
      </c>
      <c r="H22" s="72" t="s">
        <v>313</v>
      </c>
    </row>
    <row r="23" spans="1:8" ht="15" thickBot="1" x14ac:dyDescent="0.35">
      <c r="A23" s="84" t="s">
        <v>18</v>
      </c>
      <c r="B23" s="86" t="s">
        <v>314</v>
      </c>
      <c r="C23" s="86" t="s">
        <v>315</v>
      </c>
      <c r="D23" s="86" t="s">
        <v>315</v>
      </c>
      <c r="E23" s="86" t="s">
        <v>315</v>
      </c>
      <c r="F23" s="86" t="s">
        <v>315</v>
      </c>
      <c r="G23" s="86" t="s">
        <v>313</v>
      </c>
      <c r="H23" s="86" t="s">
        <v>313</v>
      </c>
    </row>
    <row r="24" spans="1:8" ht="15" thickTop="1" x14ac:dyDescent="0.3"/>
  </sheetData>
  <mergeCells count="11">
    <mergeCell ref="A1:H1"/>
    <mergeCell ref="G2:H2"/>
    <mergeCell ref="A3:H3"/>
    <mergeCell ref="A4:A6"/>
    <mergeCell ref="B4:B6"/>
    <mergeCell ref="C4:D5"/>
    <mergeCell ref="E4:H4"/>
    <mergeCell ref="E5:E6"/>
    <mergeCell ref="F5:F6"/>
    <mergeCell ref="G5:G6"/>
    <mergeCell ref="H5:H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1" width="41.33203125" customWidth="1"/>
    <col min="2" max="3" width="28.21875" customWidth="1"/>
  </cols>
  <sheetData>
    <row r="1" spans="1:3" x14ac:dyDescent="0.3">
      <c r="A1" s="246" t="s">
        <v>20</v>
      </c>
      <c r="B1" s="246"/>
      <c r="C1" s="246"/>
    </row>
    <row r="2" spans="1:3" x14ac:dyDescent="0.3">
      <c r="A2" s="7" t="str">
        <f>year!$H$2</f>
        <v>UT : PUDUCHERRY</v>
      </c>
      <c r="B2" s="7"/>
      <c r="C2" s="8" t="s">
        <v>316</v>
      </c>
    </row>
    <row r="3" spans="1:3" x14ac:dyDescent="0.3">
      <c r="A3" s="247" t="s">
        <v>317</v>
      </c>
      <c r="B3" s="247"/>
      <c r="C3" s="247"/>
    </row>
    <row r="4" spans="1:3" x14ac:dyDescent="0.3">
      <c r="A4" s="248" t="s">
        <v>21</v>
      </c>
      <c r="B4" s="249" t="s">
        <v>22</v>
      </c>
      <c r="C4" s="249"/>
    </row>
    <row r="5" spans="1:3" x14ac:dyDescent="0.3">
      <c r="A5" s="248"/>
      <c r="B5" s="59" t="str">
        <f>year!$C$4</f>
        <v>2023-24</v>
      </c>
      <c r="C5" s="59" t="str">
        <f>year!$C$5</f>
        <v>2022-23</v>
      </c>
    </row>
    <row r="6" spans="1:3" x14ac:dyDescent="0.3">
      <c r="A6" s="13" t="s">
        <v>23</v>
      </c>
      <c r="B6" s="5" t="s">
        <v>313</v>
      </c>
      <c r="C6" s="5" t="s">
        <v>313</v>
      </c>
    </row>
    <row r="7" spans="1:3" x14ac:dyDescent="0.3">
      <c r="A7" s="13" t="s">
        <v>24</v>
      </c>
      <c r="B7" s="5" t="s">
        <v>313</v>
      </c>
      <c r="C7" s="5" t="s">
        <v>313</v>
      </c>
    </row>
    <row r="8" spans="1:3" x14ac:dyDescent="0.3">
      <c r="A8" s="20" t="s">
        <v>25</v>
      </c>
      <c r="B8" s="5" t="s">
        <v>313</v>
      </c>
      <c r="C8" s="5" t="s">
        <v>313</v>
      </c>
    </row>
    <row r="9" spans="1:3" x14ac:dyDescent="0.3">
      <c r="A9" s="13" t="s">
        <v>26</v>
      </c>
      <c r="B9" s="5" t="s">
        <v>318</v>
      </c>
      <c r="C9" s="5" t="s">
        <v>315</v>
      </c>
    </row>
    <row r="10" spans="1:3" x14ac:dyDescent="0.3">
      <c r="A10" s="32" t="s">
        <v>27</v>
      </c>
      <c r="B10" s="31" t="s">
        <v>319</v>
      </c>
      <c r="C10" s="31" t="s">
        <v>313</v>
      </c>
    </row>
    <row r="11" spans="1:3" ht="21" customHeight="1" x14ac:dyDescent="0.3">
      <c r="A11" s="33" t="s">
        <v>28</v>
      </c>
      <c r="B11" s="2"/>
      <c r="C11" s="2"/>
    </row>
    <row r="12" spans="1:3" x14ac:dyDescent="0.3">
      <c r="A12" s="13" t="s">
        <v>29</v>
      </c>
      <c r="B12" s="5" t="s">
        <v>315</v>
      </c>
      <c r="C12" s="5" t="s">
        <v>315</v>
      </c>
    </row>
    <row r="13" spans="1:3" x14ac:dyDescent="0.3">
      <c r="A13" s="13" t="s">
        <v>30</v>
      </c>
      <c r="B13" s="5" t="s">
        <v>315</v>
      </c>
      <c r="C13" s="5" t="s">
        <v>315</v>
      </c>
    </row>
    <row r="14" spans="1:3" x14ac:dyDescent="0.3">
      <c r="A14" s="13" t="s">
        <v>31</v>
      </c>
      <c r="B14" s="5" t="s">
        <v>313</v>
      </c>
      <c r="C14" s="5" t="s">
        <v>313</v>
      </c>
    </row>
    <row r="15" spans="1:3" ht="15" thickBot="1" x14ac:dyDescent="0.35">
      <c r="A15" s="42" t="s">
        <v>32</v>
      </c>
      <c r="B15" s="41" t="s">
        <v>313</v>
      </c>
      <c r="C15" s="41" t="s">
        <v>313</v>
      </c>
    </row>
    <row r="16" spans="1:3" ht="15" thickTop="1" x14ac:dyDescent="0.3">
      <c r="A16" s="250" t="s">
        <v>33</v>
      </c>
      <c r="B16" s="250"/>
      <c r="C16" s="250"/>
    </row>
    <row r="17" spans="1:3" x14ac:dyDescent="0.3">
      <c r="A17" s="1"/>
      <c r="B17" s="2"/>
      <c r="C17" s="2"/>
    </row>
  </sheetData>
  <mergeCells count="5">
    <mergeCell ref="A1:C1"/>
    <mergeCell ref="A3:C3"/>
    <mergeCell ref="A4:A5"/>
    <mergeCell ref="B4:C4"/>
    <mergeCell ref="A16:C1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5" width="17.109375" customWidth="1"/>
  </cols>
  <sheetData>
    <row r="1" spans="1:12" x14ac:dyDescent="0.3">
      <c r="A1" s="246" t="s">
        <v>34</v>
      </c>
      <c r="B1" s="246"/>
      <c r="C1" s="246"/>
      <c r="D1" s="246"/>
      <c r="E1" s="246"/>
    </row>
    <row r="2" spans="1:12" x14ac:dyDescent="0.3">
      <c r="A2" s="251" t="str">
        <f>year!$H$2</f>
        <v>UT : PUDUCHERRY</v>
      </c>
      <c r="B2" s="251" t="str">
        <f>year!$H$2</f>
        <v>UT : PUDUCHERRY</v>
      </c>
      <c r="C2" s="251" t="str">
        <f>year!$H$2</f>
        <v>UT : PUDUCHERRY</v>
      </c>
      <c r="D2" s="251" t="str">
        <f>year!$H$2</f>
        <v>UT : PUDUCHERRY</v>
      </c>
      <c r="E2" s="8" t="s">
        <v>320</v>
      </c>
    </row>
    <row r="3" spans="1:12" x14ac:dyDescent="0.3">
      <c r="A3" s="252" t="s">
        <v>321</v>
      </c>
      <c r="B3" s="252"/>
      <c r="C3" s="252"/>
      <c r="D3" s="252"/>
      <c r="E3" s="252"/>
    </row>
    <row r="4" spans="1:12" x14ac:dyDescent="0.3">
      <c r="A4" s="253" t="s">
        <v>35</v>
      </c>
      <c r="B4" s="255" t="s">
        <v>36</v>
      </c>
      <c r="C4" s="255"/>
      <c r="D4" s="256" t="s">
        <v>37</v>
      </c>
      <c r="E4" s="256" t="s">
        <v>38</v>
      </c>
    </row>
    <row r="5" spans="1:12" ht="21.6" x14ac:dyDescent="0.3">
      <c r="A5" s="254"/>
      <c r="B5" s="34" t="s">
        <v>39</v>
      </c>
      <c r="C5" s="28" t="s">
        <v>277</v>
      </c>
      <c r="D5" s="257"/>
      <c r="E5" s="257"/>
      <c r="L5" s="19"/>
    </row>
    <row r="6" spans="1:12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 t="s">
        <v>12</v>
      </c>
    </row>
    <row r="7" spans="1:12" ht="46.8" customHeight="1" x14ac:dyDescent="0.3">
      <c r="A7" s="35" t="str">
        <f>year!$C$4</f>
        <v>2023-24</v>
      </c>
      <c r="B7" s="53" t="s">
        <v>322</v>
      </c>
      <c r="C7" s="54" t="s">
        <v>323</v>
      </c>
      <c r="D7" s="53" t="s">
        <v>324</v>
      </c>
      <c r="E7" s="53" t="s">
        <v>325</v>
      </c>
    </row>
    <row r="8" spans="1:12" ht="46.8" customHeight="1" thickBot="1" x14ac:dyDescent="0.35">
      <c r="A8" s="43" t="str">
        <f>year!$C$5</f>
        <v>2022-23</v>
      </c>
      <c r="B8" s="55" t="s">
        <v>326</v>
      </c>
      <c r="C8" s="56" t="s">
        <v>327</v>
      </c>
      <c r="D8" s="55" t="s">
        <v>328</v>
      </c>
      <c r="E8" s="55" t="s">
        <v>329</v>
      </c>
    </row>
    <row r="9" spans="1:12" ht="15" thickTop="1" x14ac:dyDescent="0.3"/>
  </sheetData>
  <mergeCells count="7">
    <mergeCell ref="A1:E1"/>
    <mergeCell ref="A2:D2"/>
    <mergeCell ref="A3:E3"/>
    <mergeCell ref="A4:A5"/>
    <mergeCell ref="B4:C4"/>
    <mergeCell ref="D4:D5"/>
    <mergeCell ref="E4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view="pageBreakPreview" zoomScaleNormal="90" zoomScaleSheetLayoutView="100" workbookViewId="0">
      <selection activeCell="A3" sqref="A3:K3"/>
    </sheetView>
  </sheetViews>
  <sheetFormatPr defaultRowHeight="14.4" x14ac:dyDescent="0.3"/>
  <cols>
    <col min="1" max="4" width="13.33203125" customWidth="1"/>
    <col min="5" max="5" width="1.33203125" customWidth="1"/>
    <col min="6" max="8" width="13.33203125" customWidth="1"/>
  </cols>
  <sheetData>
    <row r="1" spans="1:8" x14ac:dyDescent="0.3">
      <c r="A1" s="246" t="s">
        <v>40</v>
      </c>
      <c r="B1" s="246"/>
      <c r="C1" s="246"/>
      <c r="D1" s="246"/>
      <c r="E1" s="246"/>
      <c r="F1" s="246"/>
      <c r="G1" s="246"/>
      <c r="H1" s="246"/>
    </row>
    <row r="2" spans="1:8" x14ac:dyDescent="0.3">
      <c r="A2" s="251" t="str">
        <f>year!$H$2</f>
        <v>UT : PUDUCHERRY</v>
      </c>
      <c r="B2" s="251" t="str">
        <f>year!$H$2</f>
        <v>UT : PUDUCHERRY</v>
      </c>
      <c r="C2" s="251" t="str">
        <f>year!$H$2</f>
        <v>UT : PUDUCHERRY</v>
      </c>
      <c r="D2" s="251" t="str">
        <f>year!$H$2</f>
        <v>UT : PUDUCHERRY</v>
      </c>
      <c r="E2" s="251" t="str">
        <f>year!$H$2</f>
        <v>UT : PUDUCHERRY</v>
      </c>
      <c r="F2" s="251" t="str">
        <f>year!$H$2</f>
        <v>UT : PUDUCHERRY</v>
      </c>
      <c r="G2" s="262" t="s">
        <v>330</v>
      </c>
      <c r="H2" s="262"/>
    </row>
    <row r="3" spans="1:8" ht="30" customHeight="1" x14ac:dyDescent="0.3">
      <c r="A3" s="247" t="s">
        <v>331</v>
      </c>
      <c r="B3" s="247"/>
      <c r="C3" s="247"/>
      <c r="D3" s="247"/>
      <c r="E3" s="247"/>
      <c r="F3" s="247"/>
      <c r="G3" s="247"/>
      <c r="H3" s="247"/>
    </row>
    <row r="4" spans="1:8" ht="12.75" customHeight="1" x14ac:dyDescent="0.3">
      <c r="A4" s="254" t="s">
        <v>39</v>
      </c>
      <c r="B4" s="254"/>
      <c r="C4" s="254"/>
      <c r="D4" s="254"/>
      <c r="E4" s="34"/>
      <c r="F4" s="254" t="s">
        <v>41</v>
      </c>
      <c r="G4" s="254"/>
      <c r="H4" s="254"/>
    </row>
    <row r="5" spans="1:8" ht="43.2" x14ac:dyDescent="0.3">
      <c r="A5" s="34" t="s">
        <v>206</v>
      </c>
      <c r="B5" s="29" t="s">
        <v>42</v>
      </c>
      <c r="C5" s="34" t="s">
        <v>43</v>
      </c>
      <c r="D5" s="34" t="s">
        <v>122</v>
      </c>
      <c r="E5" s="36"/>
      <c r="F5" s="29" t="s">
        <v>42</v>
      </c>
      <c r="G5" s="34" t="s">
        <v>43</v>
      </c>
      <c r="H5" s="34" t="s">
        <v>122</v>
      </c>
    </row>
    <row r="6" spans="1:8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/>
      <c r="F6" s="30" t="s">
        <v>12</v>
      </c>
      <c r="G6" s="30" t="s">
        <v>13</v>
      </c>
      <c r="H6" s="30" t="s">
        <v>14</v>
      </c>
    </row>
    <row r="7" spans="1:8" x14ac:dyDescent="0.3">
      <c r="A7" s="252" t="str">
        <f>year!$J$4</f>
        <v>YEAR 2023-24</v>
      </c>
      <c r="B7" s="252"/>
      <c r="C7" s="2"/>
      <c r="D7" s="2"/>
      <c r="E7" s="2"/>
      <c r="F7" s="2"/>
      <c r="G7" s="2"/>
      <c r="H7" s="2"/>
    </row>
    <row r="8" spans="1:8" x14ac:dyDescent="0.3">
      <c r="A8" s="14">
        <v>1</v>
      </c>
      <c r="B8" s="9" t="s">
        <v>189</v>
      </c>
      <c r="C8" s="5" t="s">
        <v>332</v>
      </c>
      <c r="D8" s="5" t="s">
        <v>333</v>
      </c>
      <c r="E8" s="15"/>
      <c r="F8" s="18">
        <v>1</v>
      </c>
      <c r="G8" s="5" t="s">
        <v>334</v>
      </c>
      <c r="H8" s="5" t="s">
        <v>335</v>
      </c>
    </row>
    <row r="9" spans="1:8" x14ac:dyDescent="0.3">
      <c r="A9" s="14">
        <v>2</v>
      </c>
      <c r="B9" s="9" t="s">
        <v>190</v>
      </c>
      <c r="C9" s="5" t="s">
        <v>336</v>
      </c>
      <c r="D9" s="5" t="s">
        <v>337</v>
      </c>
      <c r="E9" s="15"/>
      <c r="F9" s="16">
        <v>2</v>
      </c>
      <c r="G9" s="5" t="s">
        <v>338</v>
      </c>
      <c r="H9" s="5" t="s">
        <v>339</v>
      </c>
    </row>
    <row r="10" spans="1:8" x14ac:dyDescent="0.3">
      <c r="A10" s="14">
        <v>3</v>
      </c>
      <c r="B10" s="9" t="s">
        <v>191</v>
      </c>
      <c r="C10" s="5" t="s">
        <v>340</v>
      </c>
      <c r="D10" s="5" t="s">
        <v>341</v>
      </c>
      <c r="E10" s="15"/>
      <c r="F10" s="16">
        <v>3</v>
      </c>
      <c r="G10" s="5" t="s">
        <v>342</v>
      </c>
      <c r="H10" s="5" t="s">
        <v>343</v>
      </c>
    </row>
    <row r="11" spans="1:8" x14ac:dyDescent="0.3">
      <c r="A11" s="14">
        <v>4</v>
      </c>
      <c r="B11" s="9" t="s">
        <v>192</v>
      </c>
      <c r="C11" s="5" t="s">
        <v>332</v>
      </c>
      <c r="D11" s="5" t="s">
        <v>333</v>
      </c>
      <c r="E11" s="15"/>
      <c r="F11" s="17" t="s">
        <v>44</v>
      </c>
      <c r="G11" s="5" t="s">
        <v>342</v>
      </c>
      <c r="H11" s="5" t="s">
        <v>343</v>
      </c>
    </row>
    <row r="12" spans="1:8" x14ac:dyDescent="0.3">
      <c r="A12" s="253">
        <v>5</v>
      </c>
      <c r="B12" s="260" t="s">
        <v>193</v>
      </c>
      <c r="C12" s="258" t="s">
        <v>332</v>
      </c>
      <c r="D12" s="258" t="s">
        <v>333</v>
      </c>
      <c r="E12" s="15"/>
      <c r="F12" s="27" t="s">
        <v>194</v>
      </c>
      <c r="G12" s="5" t="s">
        <v>342</v>
      </c>
      <c r="H12" s="5" t="s">
        <v>343</v>
      </c>
    </row>
    <row r="13" spans="1:8" x14ac:dyDescent="0.3">
      <c r="A13" s="254"/>
      <c r="B13" s="261"/>
      <c r="C13" s="259"/>
      <c r="D13" s="259"/>
      <c r="E13" s="37"/>
      <c r="F13" s="36" t="s">
        <v>193</v>
      </c>
      <c r="G13" s="31" t="s">
        <v>342</v>
      </c>
      <c r="H13" s="31" t="s">
        <v>343</v>
      </c>
    </row>
    <row r="14" spans="1:8" x14ac:dyDescent="0.3">
      <c r="A14" s="36" t="s">
        <v>39</v>
      </c>
      <c r="B14" s="38"/>
      <c r="C14" s="31" t="s">
        <v>344</v>
      </c>
      <c r="D14" s="31" t="s">
        <v>345</v>
      </c>
      <c r="E14" s="35"/>
      <c r="F14" s="36" t="s">
        <v>195</v>
      </c>
      <c r="G14" s="31" t="s">
        <v>346</v>
      </c>
      <c r="H14" s="31" t="s">
        <v>347</v>
      </c>
    </row>
    <row r="15" spans="1:8" ht="15" customHeight="1" x14ac:dyDescent="0.3">
      <c r="A15" s="252" t="str">
        <f>year!$J$5</f>
        <v>YEAR 2022-23</v>
      </c>
      <c r="B15" s="252"/>
      <c r="C15" s="2"/>
      <c r="D15" s="6"/>
      <c r="E15" s="2"/>
      <c r="F15" s="2"/>
      <c r="G15" s="2"/>
      <c r="H15" s="6"/>
    </row>
    <row r="16" spans="1:8" x14ac:dyDescent="0.3">
      <c r="A16" s="14">
        <v>1</v>
      </c>
      <c r="B16" s="9" t="s">
        <v>189</v>
      </c>
      <c r="C16" s="5" t="s">
        <v>348</v>
      </c>
      <c r="D16" s="5" t="s">
        <v>349</v>
      </c>
      <c r="E16" s="15"/>
      <c r="F16" s="16">
        <v>1</v>
      </c>
      <c r="G16" s="5" t="s">
        <v>350</v>
      </c>
      <c r="H16" s="5" t="s">
        <v>351</v>
      </c>
    </row>
    <row r="17" spans="1:8" x14ac:dyDescent="0.3">
      <c r="A17" s="14">
        <v>2</v>
      </c>
      <c r="B17" s="9" t="s">
        <v>190</v>
      </c>
      <c r="C17" s="5" t="s">
        <v>352</v>
      </c>
      <c r="D17" s="5" t="s">
        <v>353</v>
      </c>
      <c r="E17" s="15"/>
      <c r="F17" s="16">
        <v>2</v>
      </c>
      <c r="G17" s="5" t="s">
        <v>354</v>
      </c>
      <c r="H17" s="5" t="s">
        <v>355</v>
      </c>
    </row>
    <row r="18" spans="1:8" x14ac:dyDescent="0.3">
      <c r="A18" s="14">
        <v>3</v>
      </c>
      <c r="B18" s="9" t="s">
        <v>191</v>
      </c>
      <c r="C18" s="5" t="s">
        <v>356</v>
      </c>
      <c r="D18" s="5" t="s">
        <v>357</v>
      </c>
      <c r="E18" s="15"/>
      <c r="F18" s="16">
        <v>3</v>
      </c>
      <c r="G18" s="5" t="s">
        <v>358</v>
      </c>
      <c r="H18" s="5" t="s">
        <v>359</v>
      </c>
    </row>
    <row r="19" spans="1:8" x14ac:dyDescent="0.3">
      <c r="A19" s="14">
        <v>4</v>
      </c>
      <c r="B19" s="9" t="s">
        <v>192</v>
      </c>
      <c r="C19" s="5" t="s">
        <v>332</v>
      </c>
      <c r="D19" s="5" t="s">
        <v>333</v>
      </c>
      <c r="E19" s="15"/>
      <c r="F19" s="17" t="s">
        <v>44</v>
      </c>
      <c r="G19" s="5" t="s">
        <v>342</v>
      </c>
      <c r="H19" s="5" t="s">
        <v>343</v>
      </c>
    </row>
    <row r="20" spans="1:8" x14ac:dyDescent="0.3">
      <c r="A20" s="253">
        <v>5</v>
      </c>
      <c r="B20" s="260" t="s">
        <v>193</v>
      </c>
      <c r="C20" s="258" t="s">
        <v>332</v>
      </c>
      <c r="D20" s="258" t="s">
        <v>333</v>
      </c>
      <c r="E20" s="15"/>
      <c r="F20" s="27" t="s">
        <v>194</v>
      </c>
      <c r="G20" s="5" t="s">
        <v>342</v>
      </c>
      <c r="H20" s="5" t="s">
        <v>343</v>
      </c>
    </row>
    <row r="21" spans="1:8" x14ac:dyDescent="0.3">
      <c r="A21" s="254"/>
      <c r="B21" s="261"/>
      <c r="C21" s="259"/>
      <c r="D21" s="259"/>
      <c r="E21" s="37"/>
      <c r="F21" s="36" t="s">
        <v>193</v>
      </c>
      <c r="G21" s="31" t="s">
        <v>342</v>
      </c>
      <c r="H21" s="31" t="s">
        <v>343</v>
      </c>
    </row>
    <row r="22" spans="1:8" ht="15" thickBot="1" x14ac:dyDescent="0.35">
      <c r="A22" s="43" t="s">
        <v>39</v>
      </c>
      <c r="B22" s="44"/>
      <c r="C22" s="45" t="s">
        <v>344</v>
      </c>
      <c r="D22" s="45" t="s">
        <v>345</v>
      </c>
      <c r="E22" s="43"/>
      <c r="F22" s="46" t="s">
        <v>195</v>
      </c>
      <c r="G22" s="45" t="s">
        <v>346</v>
      </c>
      <c r="H22" s="45" t="s">
        <v>347</v>
      </c>
    </row>
    <row r="23" spans="1:8" ht="15" thickTop="1" x14ac:dyDescent="0.3">
      <c r="A23" s="260" t="s">
        <v>45</v>
      </c>
      <c r="B23" s="260"/>
      <c r="C23" s="260"/>
      <c r="D23" s="260"/>
      <c r="E23" s="260"/>
      <c r="F23" s="260"/>
      <c r="G23" s="260"/>
      <c r="H23" s="260"/>
    </row>
    <row r="24" spans="1:8" x14ac:dyDescent="0.3">
      <c r="A24" s="1"/>
      <c r="B24" s="3"/>
      <c r="C24" s="3"/>
      <c r="D24" s="3"/>
      <c r="E24" s="3"/>
      <c r="F24" s="3"/>
      <c r="G24" s="3"/>
      <c r="H24" s="3"/>
    </row>
  </sheetData>
  <mergeCells count="17">
    <mergeCell ref="A1:H1"/>
    <mergeCell ref="A2:F2"/>
    <mergeCell ref="G2:H2"/>
    <mergeCell ref="A3:H3"/>
    <mergeCell ref="A4:D4"/>
    <mergeCell ref="F4:H4"/>
    <mergeCell ref="C20:C21"/>
    <mergeCell ref="D20:D21"/>
    <mergeCell ref="A7:B7"/>
    <mergeCell ref="A15:B15"/>
    <mergeCell ref="A23:H23"/>
    <mergeCell ref="A12:A13"/>
    <mergeCell ref="B12:B13"/>
    <mergeCell ref="C12:C13"/>
    <mergeCell ref="D12:D13"/>
    <mergeCell ref="A20:A21"/>
    <mergeCell ref="B20:B21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1" width="4.33203125" customWidth="1"/>
    <col min="2" max="2" width="24.88671875" customWidth="1"/>
    <col min="3" max="4" width="9.109375" customWidth="1"/>
    <col min="5" max="5" width="1.109375" customWidth="1"/>
    <col min="6" max="6" width="24.88671875" customWidth="1"/>
    <col min="7" max="8" width="9.6640625" customWidth="1"/>
  </cols>
  <sheetData>
    <row r="1" spans="1:8" x14ac:dyDescent="0.3">
      <c r="A1" s="246" t="s">
        <v>46</v>
      </c>
      <c r="B1" s="246"/>
      <c r="C1" s="246"/>
      <c r="D1" s="246"/>
      <c r="E1" s="246"/>
      <c r="F1" s="246"/>
      <c r="G1" s="246"/>
      <c r="H1" s="246"/>
    </row>
    <row r="2" spans="1:8" x14ac:dyDescent="0.3">
      <c r="A2" s="7" t="str">
        <f>year!$H$2</f>
        <v>UT : PUDUCHERRY</v>
      </c>
      <c r="B2" s="10"/>
      <c r="C2" s="10"/>
      <c r="D2" s="10"/>
      <c r="E2" s="10"/>
      <c r="F2" s="10"/>
      <c r="G2" s="264" t="s">
        <v>360</v>
      </c>
      <c r="H2" s="264"/>
    </row>
    <row r="3" spans="1:8" ht="30" customHeight="1" x14ac:dyDescent="0.3">
      <c r="A3" s="247" t="s">
        <v>361</v>
      </c>
      <c r="B3" s="247"/>
      <c r="C3" s="247"/>
      <c r="D3" s="247"/>
      <c r="E3" s="247"/>
      <c r="F3" s="247"/>
      <c r="G3" s="247"/>
      <c r="H3" s="247"/>
    </row>
    <row r="4" spans="1:8" ht="34.799999999999997" customHeight="1" x14ac:dyDescent="0.3">
      <c r="A4" s="256" t="s">
        <v>207</v>
      </c>
      <c r="B4" s="247" t="s">
        <v>48</v>
      </c>
      <c r="C4" s="247"/>
      <c r="D4" s="247"/>
      <c r="E4" s="29"/>
      <c r="F4" s="247" t="s">
        <v>49</v>
      </c>
      <c r="G4" s="247"/>
      <c r="H4" s="247"/>
    </row>
    <row r="5" spans="1:8" ht="32.4" x14ac:dyDescent="0.3">
      <c r="A5" s="257"/>
      <c r="B5" s="39" t="s">
        <v>208</v>
      </c>
      <c r="C5" s="28" t="s">
        <v>253</v>
      </c>
      <c r="D5" s="28" t="s">
        <v>50</v>
      </c>
      <c r="E5" s="29"/>
      <c r="F5" s="39" t="s">
        <v>254</v>
      </c>
      <c r="G5" s="28" t="s">
        <v>255</v>
      </c>
      <c r="H5" s="28" t="s">
        <v>50</v>
      </c>
    </row>
    <row r="6" spans="1:8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/>
      <c r="F6" s="30" t="s">
        <v>12</v>
      </c>
      <c r="G6" s="30" t="s">
        <v>13</v>
      </c>
      <c r="H6" s="30" t="s">
        <v>14</v>
      </c>
    </row>
    <row r="7" spans="1:8" x14ac:dyDescent="0.3">
      <c r="A7" s="252" t="str">
        <f>year!$J$4</f>
        <v>YEAR 2023-24</v>
      </c>
      <c r="B7" s="252"/>
      <c r="C7" s="2"/>
      <c r="D7" s="2"/>
      <c r="E7" s="2"/>
      <c r="F7" s="2"/>
      <c r="G7" s="2"/>
      <c r="H7" s="2"/>
    </row>
    <row r="8" spans="1:8" x14ac:dyDescent="0.3">
      <c r="A8" s="14">
        <v>1</v>
      </c>
      <c r="B8" s="9" t="s">
        <v>51</v>
      </c>
      <c r="C8" s="14" t="s">
        <v>362</v>
      </c>
      <c r="D8" s="14" t="s">
        <v>363</v>
      </c>
      <c r="E8" s="15"/>
      <c r="F8" s="9" t="s">
        <v>51</v>
      </c>
      <c r="G8" s="14" t="s">
        <v>362</v>
      </c>
      <c r="H8" s="14" t="s">
        <v>363</v>
      </c>
    </row>
    <row r="9" spans="1:8" x14ac:dyDescent="0.3">
      <c r="A9" s="14">
        <v>2</v>
      </c>
      <c r="B9" s="9" t="s">
        <v>52</v>
      </c>
      <c r="C9" s="14" t="s">
        <v>362</v>
      </c>
      <c r="D9" s="14" t="s">
        <v>363</v>
      </c>
      <c r="E9" s="15"/>
      <c r="F9" s="9" t="s">
        <v>52</v>
      </c>
      <c r="G9" s="14" t="s">
        <v>362</v>
      </c>
      <c r="H9" s="14" t="s">
        <v>363</v>
      </c>
    </row>
    <row r="10" spans="1:8" x14ac:dyDescent="0.3">
      <c r="A10" s="14">
        <v>3</v>
      </c>
      <c r="B10" s="9" t="s">
        <v>53</v>
      </c>
      <c r="C10" s="14" t="s">
        <v>362</v>
      </c>
      <c r="D10" s="14" t="s">
        <v>363</v>
      </c>
      <c r="E10" s="15"/>
      <c r="F10" s="9" t="s">
        <v>53</v>
      </c>
      <c r="G10" s="14" t="s">
        <v>364</v>
      </c>
      <c r="H10" s="14" t="s">
        <v>365</v>
      </c>
    </row>
    <row r="11" spans="1:8" x14ac:dyDescent="0.3">
      <c r="A11" s="14">
        <v>4</v>
      </c>
      <c r="B11" s="9" t="s">
        <v>54</v>
      </c>
      <c r="C11" s="14" t="s">
        <v>362</v>
      </c>
      <c r="D11" s="14" t="s">
        <v>363</v>
      </c>
      <c r="E11" s="15"/>
      <c r="F11" s="9" t="s">
        <v>54</v>
      </c>
      <c r="G11" s="14" t="s">
        <v>366</v>
      </c>
      <c r="H11" s="14" t="s">
        <v>367</v>
      </c>
    </row>
    <row r="12" spans="1:8" x14ac:dyDescent="0.3">
      <c r="A12" s="14">
        <v>5</v>
      </c>
      <c r="B12" s="9" t="s">
        <v>55</v>
      </c>
      <c r="C12" s="14" t="s">
        <v>364</v>
      </c>
      <c r="D12" s="14" t="s">
        <v>365</v>
      </c>
      <c r="E12" s="15"/>
      <c r="F12" s="9" t="s">
        <v>55</v>
      </c>
      <c r="G12" s="14" t="s">
        <v>368</v>
      </c>
      <c r="H12" s="14" t="s">
        <v>369</v>
      </c>
    </row>
    <row r="13" spans="1:8" x14ac:dyDescent="0.3">
      <c r="A13" s="14">
        <v>6</v>
      </c>
      <c r="B13" s="9" t="s">
        <v>56</v>
      </c>
      <c r="C13" s="14" t="s">
        <v>362</v>
      </c>
      <c r="D13" s="14" t="s">
        <v>363</v>
      </c>
      <c r="E13" s="15"/>
      <c r="F13" s="9" t="s">
        <v>56</v>
      </c>
      <c r="G13" s="14" t="s">
        <v>370</v>
      </c>
      <c r="H13" s="14" t="s">
        <v>371</v>
      </c>
    </row>
    <row r="14" spans="1:8" x14ac:dyDescent="0.3">
      <c r="A14" s="14">
        <v>7</v>
      </c>
      <c r="B14" s="9" t="s">
        <v>57</v>
      </c>
      <c r="C14" s="14" t="s">
        <v>372</v>
      </c>
      <c r="D14" s="14" t="s">
        <v>373</v>
      </c>
      <c r="E14" s="15"/>
      <c r="F14" s="9" t="s">
        <v>57</v>
      </c>
      <c r="G14" s="14" t="s">
        <v>370</v>
      </c>
      <c r="H14" s="14" t="s">
        <v>371</v>
      </c>
    </row>
    <row r="15" spans="1:8" x14ac:dyDescent="0.3">
      <c r="A15" s="14">
        <v>8</v>
      </c>
      <c r="B15" s="9" t="s">
        <v>58</v>
      </c>
      <c r="C15" s="14" t="s">
        <v>374</v>
      </c>
      <c r="D15" s="14" t="s">
        <v>375</v>
      </c>
      <c r="E15" s="15"/>
      <c r="F15" s="9" t="s">
        <v>274</v>
      </c>
      <c r="G15" s="14" t="s">
        <v>362</v>
      </c>
      <c r="H15" s="14" t="s">
        <v>363</v>
      </c>
    </row>
    <row r="16" spans="1:8" x14ac:dyDescent="0.3">
      <c r="A16" s="14">
        <v>9</v>
      </c>
      <c r="B16" s="9" t="s">
        <v>59</v>
      </c>
      <c r="C16" s="14" t="s">
        <v>362</v>
      </c>
      <c r="D16" s="14" t="s">
        <v>363</v>
      </c>
      <c r="E16" s="15"/>
      <c r="F16" s="9" t="s">
        <v>60</v>
      </c>
      <c r="G16" s="14" t="s">
        <v>362</v>
      </c>
      <c r="H16" s="14" t="s">
        <v>363</v>
      </c>
    </row>
    <row r="17" spans="1:8" x14ac:dyDescent="0.3">
      <c r="A17" s="34">
        <v>10</v>
      </c>
      <c r="B17" s="36" t="s">
        <v>61</v>
      </c>
      <c r="C17" s="34" t="s">
        <v>362</v>
      </c>
      <c r="D17" s="34" t="s">
        <v>363</v>
      </c>
      <c r="E17" s="37"/>
      <c r="F17" s="36" t="s">
        <v>61</v>
      </c>
      <c r="G17" s="34" t="s">
        <v>362</v>
      </c>
      <c r="H17" s="34" t="s">
        <v>363</v>
      </c>
    </row>
    <row r="18" spans="1:8" x14ac:dyDescent="0.3">
      <c r="A18" s="261" t="s">
        <v>184</v>
      </c>
      <c r="B18" s="261"/>
      <c r="C18" s="34" t="s">
        <v>314</v>
      </c>
      <c r="D18" s="34" t="s">
        <v>376</v>
      </c>
      <c r="E18" s="35"/>
      <c r="F18" s="36" t="s">
        <v>39</v>
      </c>
      <c r="G18" s="51" t="s">
        <v>314</v>
      </c>
      <c r="H18" s="51" t="s">
        <v>376</v>
      </c>
    </row>
    <row r="19" spans="1:8" ht="15" customHeight="1" x14ac:dyDescent="0.3">
      <c r="A19" s="252" t="str">
        <f>year!$J$5</f>
        <v>YEAR 2022-23</v>
      </c>
      <c r="B19" s="252"/>
      <c r="C19" s="2"/>
      <c r="D19" s="2"/>
      <c r="E19" s="2"/>
      <c r="F19" s="2"/>
      <c r="G19" s="2"/>
      <c r="H19" s="2"/>
    </row>
    <row r="20" spans="1:8" x14ac:dyDescent="0.3">
      <c r="A20" s="14">
        <v>1</v>
      </c>
      <c r="B20" s="9" t="s">
        <v>51</v>
      </c>
      <c r="C20" s="14" t="s">
        <v>362</v>
      </c>
      <c r="D20" s="14" t="s">
        <v>363</v>
      </c>
      <c r="E20" s="15"/>
      <c r="F20" s="9" t="s">
        <v>51</v>
      </c>
      <c r="G20" s="14" t="s">
        <v>370</v>
      </c>
      <c r="H20" s="14" t="s">
        <v>371</v>
      </c>
    </row>
    <row r="21" spans="1:8" x14ac:dyDescent="0.3">
      <c r="A21" s="14">
        <v>2</v>
      </c>
      <c r="B21" s="9" t="s">
        <v>52</v>
      </c>
      <c r="C21" s="14" t="s">
        <v>362</v>
      </c>
      <c r="D21" s="14" t="s">
        <v>363</v>
      </c>
      <c r="E21" s="15"/>
      <c r="F21" s="9" t="s">
        <v>52</v>
      </c>
      <c r="G21" s="14" t="s">
        <v>362</v>
      </c>
      <c r="H21" s="14" t="s">
        <v>363</v>
      </c>
    </row>
    <row r="22" spans="1:8" x14ac:dyDescent="0.3">
      <c r="A22" s="14">
        <v>3</v>
      </c>
      <c r="B22" s="9" t="s">
        <v>53</v>
      </c>
      <c r="C22" s="14" t="s">
        <v>362</v>
      </c>
      <c r="D22" s="14" t="s">
        <v>363</v>
      </c>
      <c r="E22" s="15"/>
      <c r="F22" s="9" t="s">
        <v>53</v>
      </c>
      <c r="G22" s="14" t="s">
        <v>377</v>
      </c>
      <c r="H22" s="14" t="s">
        <v>378</v>
      </c>
    </row>
    <row r="23" spans="1:8" x14ac:dyDescent="0.3">
      <c r="A23" s="14">
        <v>4</v>
      </c>
      <c r="B23" s="9" t="s">
        <v>54</v>
      </c>
      <c r="C23" s="14" t="s">
        <v>370</v>
      </c>
      <c r="D23" s="14" t="s">
        <v>371</v>
      </c>
      <c r="E23" s="15"/>
      <c r="F23" s="9" t="s">
        <v>54</v>
      </c>
      <c r="G23" s="14" t="s">
        <v>366</v>
      </c>
      <c r="H23" s="14" t="s">
        <v>367</v>
      </c>
    </row>
    <row r="24" spans="1:8" x14ac:dyDescent="0.3">
      <c r="A24" s="14">
        <v>5</v>
      </c>
      <c r="B24" s="9" t="s">
        <v>55</v>
      </c>
      <c r="C24" s="14" t="s">
        <v>364</v>
      </c>
      <c r="D24" s="14" t="s">
        <v>365</v>
      </c>
      <c r="E24" s="15"/>
      <c r="F24" s="9" t="s">
        <v>55</v>
      </c>
      <c r="G24" s="14" t="s">
        <v>368</v>
      </c>
      <c r="H24" s="14" t="s">
        <v>369</v>
      </c>
    </row>
    <row r="25" spans="1:8" x14ac:dyDescent="0.3">
      <c r="A25" s="14">
        <v>6</v>
      </c>
      <c r="B25" s="9" t="s">
        <v>56</v>
      </c>
      <c r="C25" s="14" t="s">
        <v>364</v>
      </c>
      <c r="D25" s="14" t="s">
        <v>365</v>
      </c>
      <c r="E25" s="15"/>
      <c r="F25" s="9" t="s">
        <v>56</v>
      </c>
      <c r="G25" s="14" t="s">
        <v>362</v>
      </c>
      <c r="H25" s="14" t="s">
        <v>363</v>
      </c>
    </row>
    <row r="26" spans="1:8" x14ac:dyDescent="0.3">
      <c r="A26" s="14">
        <v>7</v>
      </c>
      <c r="B26" s="9" t="s">
        <v>57</v>
      </c>
      <c r="C26" s="14" t="s">
        <v>377</v>
      </c>
      <c r="D26" s="14" t="s">
        <v>378</v>
      </c>
      <c r="E26" s="15"/>
      <c r="F26" s="9" t="s">
        <v>57</v>
      </c>
      <c r="G26" s="14" t="s">
        <v>362</v>
      </c>
      <c r="H26" s="14" t="s">
        <v>363</v>
      </c>
    </row>
    <row r="27" spans="1:8" x14ac:dyDescent="0.3">
      <c r="A27" s="14">
        <v>8</v>
      </c>
      <c r="B27" s="9" t="s">
        <v>58</v>
      </c>
      <c r="C27" s="14" t="s">
        <v>379</v>
      </c>
      <c r="D27" s="14" t="s">
        <v>380</v>
      </c>
      <c r="E27" s="15"/>
      <c r="F27" s="9" t="s">
        <v>274</v>
      </c>
      <c r="G27" s="14" t="s">
        <v>362</v>
      </c>
      <c r="H27" s="14" t="s">
        <v>363</v>
      </c>
    </row>
    <row r="28" spans="1:8" x14ac:dyDescent="0.3">
      <c r="A28" s="14">
        <v>9</v>
      </c>
      <c r="B28" s="9" t="s">
        <v>59</v>
      </c>
      <c r="C28" s="14" t="s">
        <v>362</v>
      </c>
      <c r="D28" s="14" t="s">
        <v>363</v>
      </c>
      <c r="E28" s="15"/>
      <c r="F28" s="9" t="s">
        <v>60</v>
      </c>
      <c r="G28" s="14" t="s">
        <v>362</v>
      </c>
      <c r="H28" s="14" t="s">
        <v>363</v>
      </c>
    </row>
    <row r="29" spans="1:8" x14ac:dyDescent="0.3">
      <c r="A29" s="34">
        <v>10</v>
      </c>
      <c r="B29" s="36" t="s">
        <v>61</v>
      </c>
      <c r="C29" s="34" t="s">
        <v>362</v>
      </c>
      <c r="D29" s="34" t="s">
        <v>363</v>
      </c>
      <c r="E29" s="37"/>
      <c r="F29" s="36" t="s">
        <v>61</v>
      </c>
      <c r="G29" s="34" t="s">
        <v>362</v>
      </c>
      <c r="H29" s="34" t="s">
        <v>363</v>
      </c>
    </row>
    <row r="30" spans="1:8" ht="15" thickBot="1" x14ac:dyDescent="0.35">
      <c r="A30" s="263" t="s">
        <v>184</v>
      </c>
      <c r="B30" s="263"/>
      <c r="C30" s="57" t="s">
        <v>314</v>
      </c>
      <c r="D30" s="57" t="s">
        <v>376</v>
      </c>
      <c r="E30" s="43"/>
      <c r="F30" s="46" t="s">
        <v>39</v>
      </c>
      <c r="G30" s="57" t="s">
        <v>314</v>
      </c>
      <c r="H30" s="57" t="s">
        <v>376</v>
      </c>
    </row>
    <row r="31" spans="1:8" ht="15" thickTop="1" x14ac:dyDescent="0.3">
      <c r="A31" s="2"/>
      <c r="B31" s="2"/>
      <c r="C31" s="2"/>
      <c r="D31" s="2"/>
      <c r="E31" s="2"/>
      <c r="F31" s="2"/>
      <c r="G31" s="2"/>
      <c r="H31" s="2"/>
    </row>
  </sheetData>
  <mergeCells count="10">
    <mergeCell ref="A7:B7"/>
    <mergeCell ref="A18:B18"/>
    <mergeCell ref="A19:B19"/>
    <mergeCell ref="A30:B30"/>
    <mergeCell ref="A1:H1"/>
    <mergeCell ref="G2:H2"/>
    <mergeCell ref="A3:H3"/>
    <mergeCell ref="A4:A5"/>
    <mergeCell ref="B4:D4"/>
    <mergeCell ref="F4:H4"/>
  </mergeCells>
  <printOptions horizontalCentered="1"/>
  <pageMargins left="0" right="0" top="0.78740157480314965" bottom="0" header="0.31496062992125984" footer="0.31496062992125984"/>
  <pageSetup paperSize="9"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K24"/>
  <sheetViews>
    <sheetView view="pageBreakPreview" zoomScaleNormal="100" zoomScaleSheetLayoutView="100" workbookViewId="0">
      <selection activeCell="O7" sqref="O7"/>
    </sheetView>
  </sheetViews>
  <sheetFormatPr defaultRowHeight="13.8" x14ac:dyDescent="0.3"/>
  <cols>
    <col min="1" max="1" width="17.6640625" style="12" customWidth="1"/>
    <col min="2" max="3" width="11.6640625" style="12" customWidth="1"/>
    <col min="4" max="4" width="10.33203125" style="12" customWidth="1"/>
    <col min="5" max="5" width="12.21875" style="12" customWidth="1"/>
    <col min="6" max="6" width="11.33203125" style="12" customWidth="1"/>
    <col min="7" max="7" width="14.33203125" style="12" customWidth="1"/>
    <col min="8" max="8" width="12.5546875" style="12" customWidth="1"/>
    <col min="9" max="9" width="10" style="12" customWidth="1"/>
    <col min="10" max="10" width="11.5546875" style="12" customWidth="1"/>
    <col min="11" max="11" width="12.88671875" style="12" customWidth="1"/>
    <col min="12" max="16384" width="8.88671875" style="12"/>
  </cols>
  <sheetData>
    <row r="1" spans="1:11" x14ac:dyDescent="0.3">
      <c r="A1" s="246" t="s">
        <v>20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</row>
    <row r="2" spans="1:11" x14ac:dyDescent="0.3">
      <c r="A2" s="267" t="str">
        <f>year!$H$2</f>
        <v>UT : PUDUCHERRY</v>
      </c>
      <c r="B2" s="267" t="str">
        <f>year!$H$2</f>
        <v>UT : PUDUCHERRY</v>
      </c>
      <c r="C2" s="267" t="str">
        <f>year!$H$2</f>
        <v>UT : PUDUCHERRY</v>
      </c>
      <c r="D2" s="267" t="str">
        <f>year!$H$2</f>
        <v>UT : PUDUCHERRY</v>
      </c>
      <c r="E2" s="267" t="str">
        <f>year!$H$2</f>
        <v>UT : PUDUCHERRY</v>
      </c>
      <c r="F2" s="267" t="str">
        <f>year!$H$2</f>
        <v>UT : PUDUCHERRY</v>
      </c>
      <c r="G2" s="267" t="str">
        <f>year!$H$2</f>
        <v>UT : PUDUCHERRY</v>
      </c>
      <c r="H2" s="267" t="str">
        <f>year!$H$2</f>
        <v>UT : PUDUCHERRY</v>
      </c>
      <c r="I2" s="267" t="str">
        <f>year!$H$2</f>
        <v>UT : PUDUCHERRY</v>
      </c>
      <c r="J2" s="268" t="s">
        <v>381</v>
      </c>
      <c r="K2" s="268"/>
    </row>
    <row r="3" spans="1:11" x14ac:dyDescent="0.3">
      <c r="A3" s="269" t="s">
        <v>382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1" x14ac:dyDescent="0.3">
      <c r="A4" s="265" t="s">
        <v>63</v>
      </c>
      <c r="B4" s="270" t="s">
        <v>64</v>
      </c>
      <c r="C4" s="270"/>
      <c r="D4" s="270"/>
      <c r="E4" s="270"/>
      <c r="F4" s="270"/>
      <c r="G4" s="270"/>
      <c r="H4" s="270"/>
      <c r="I4" s="270"/>
      <c r="J4" s="270"/>
      <c r="K4" s="270"/>
    </row>
    <row r="5" spans="1:11" ht="26.25" customHeight="1" x14ac:dyDescent="0.3">
      <c r="A5" s="265"/>
      <c r="B5" s="270" t="s">
        <v>65</v>
      </c>
      <c r="C5" s="270"/>
      <c r="D5" s="270"/>
      <c r="E5" s="265" t="s">
        <v>66</v>
      </c>
      <c r="F5" s="265" t="s">
        <v>67</v>
      </c>
      <c r="G5" s="265" t="s">
        <v>68</v>
      </c>
      <c r="H5" s="265" t="s">
        <v>69</v>
      </c>
      <c r="I5" s="265" t="s">
        <v>39</v>
      </c>
      <c r="J5" s="266" t="s">
        <v>70</v>
      </c>
      <c r="K5" s="266"/>
    </row>
    <row r="6" spans="1:11" ht="69" x14ac:dyDescent="0.3">
      <c r="A6" s="266"/>
      <c r="B6" s="102" t="s">
        <v>71</v>
      </c>
      <c r="C6" s="102" t="s">
        <v>72</v>
      </c>
      <c r="D6" s="96" t="s">
        <v>73</v>
      </c>
      <c r="E6" s="266"/>
      <c r="F6" s="266"/>
      <c r="G6" s="266"/>
      <c r="H6" s="266"/>
      <c r="I6" s="266"/>
      <c r="J6" s="96" t="s">
        <v>256</v>
      </c>
      <c r="K6" s="96" t="s">
        <v>74</v>
      </c>
    </row>
    <row r="7" spans="1:11" x14ac:dyDescent="0.3">
      <c r="A7" s="103" t="s">
        <v>8</v>
      </c>
      <c r="B7" s="103" t="s">
        <v>9</v>
      </c>
      <c r="C7" s="103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03" t="s">
        <v>75</v>
      </c>
      <c r="J7" s="103" t="s">
        <v>76</v>
      </c>
      <c r="K7" s="103" t="s">
        <v>77</v>
      </c>
    </row>
    <row r="8" spans="1:11" ht="17.399999999999999" customHeight="1" x14ac:dyDescent="0.3">
      <c r="A8" s="104" t="str">
        <f>year!$H$4</f>
        <v>RABI I 2023-24</v>
      </c>
      <c r="B8" s="21"/>
      <c r="C8" s="105"/>
      <c r="D8" s="105"/>
      <c r="E8" s="105"/>
      <c r="F8" s="105"/>
      <c r="G8" s="105"/>
      <c r="H8" s="105"/>
      <c r="I8" s="105"/>
      <c r="J8" s="105"/>
      <c r="K8" s="105"/>
    </row>
    <row r="9" spans="1:11" ht="17.399999999999999" customHeight="1" x14ac:dyDescent="0.3">
      <c r="A9" s="106" t="s">
        <v>16</v>
      </c>
      <c r="B9" s="92" t="s">
        <v>312</v>
      </c>
      <c r="C9" s="92" t="s">
        <v>313</v>
      </c>
      <c r="D9" s="92" t="s">
        <v>313</v>
      </c>
      <c r="E9" s="92" t="s">
        <v>313</v>
      </c>
      <c r="F9" s="92" t="s">
        <v>313</v>
      </c>
      <c r="G9" s="92" t="s">
        <v>313</v>
      </c>
      <c r="H9" s="92" t="s">
        <v>313</v>
      </c>
      <c r="I9" s="92" t="s">
        <v>312</v>
      </c>
      <c r="J9" s="92" t="s">
        <v>312</v>
      </c>
      <c r="K9" s="92" t="s">
        <v>312</v>
      </c>
    </row>
    <row r="10" spans="1:11" ht="17.399999999999999" customHeight="1" x14ac:dyDescent="0.3">
      <c r="A10" s="21" t="s">
        <v>17</v>
      </c>
      <c r="B10" s="92" t="s">
        <v>312</v>
      </c>
      <c r="C10" s="92" t="s">
        <v>313</v>
      </c>
      <c r="D10" s="92" t="s">
        <v>313</v>
      </c>
      <c r="E10" s="92" t="s">
        <v>313</v>
      </c>
      <c r="F10" s="92" t="s">
        <v>313</v>
      </c>
      <c r="G10" s="92" t="s">
        <v>313</v>
      </c>
      <c r="H10" s="92" t="s">
        <v>313</v>
      </c>
      <c r="I10" s="92" t="s">
        <v>312</v>
      </c>
      <c r="J10" s="92" t="s">
        <v>312</v>
      </c>
      <c r="K10" s="92" t="s">
        <v>312</v>
      </c>
    </row>
    <row r="11" spans="1:11" ht="17.399999999999999" customHeight="1" x14ac:dyDescent="0.3">
      <c r="A11" s="106" t="s">
        <v>18</v>
      </c>
      <c r="B11" s="92" t="s">
        <v>315</v>
      </c>
      <c r="C11" s="92" t="s">
        <v>313</v>
      </c>
      <c r="D11" s="92" t="s">
        <v>313</v>
      </c>
      <c r="E11" s="92" t="s">
        <v>313</v>
      </c>
      <c r="F11" s="92" t="s">
        <v>313</v>
      </c>
      <c r="G11" s="92" t="s">
        <v>313</v>
      </c>
      <c r="H11" s="92" t="s">
        <v>313</v>
      </c>
      <c r="I11" s="92" t="s">
        <v>315</v>
      </c>
      <c r="J11" s="92" t="s">
        <v>315</v>
      </c>
      <c r="K11" s="92" t="s">
        <v>315</v>
      </c>
    </row>
    <row r="12" spans="1:11" ht="17.399999999999999" customHeight="1" x14ac:dyDescent="0.3">
      <c r="A12" s="104" t="str">
        <f>year!$I$4</f>
        <v>RABI II 2023-24</v>
      </c>
      <c r="B12" s="21"/>
      <c r="C12" s="105"/>
      <c r="D12" s="105"/>
      <c r="E12" s="105"/>
      <c r="F12" s="105"/>
      <c r="G12" s="105"/>
      <c r="H12" s="105"/>
      <c r="I12" s="105"/>
      <c r="J12" s="105"/>
      <c r="K12" s="105"/>
    </row>
    <row r="13" spans="1:11" ht="17.399999999999999" customHeight="1" x14ac:dyDescent="0.3">
      <c r="A13" s="106" t="s">
        <v>16</v>
      </c>
      <c r="B13" s="92" t="s">
        <v>312</v>
      </c>
      <c r="C13" s="92" t="s">
        <v>313</v>
      </c>
      <c r="D13" s="92" t="s">
        <v>313</v>
      </c>
      <c r="E13" s="92" t="s">
        <v>313</v>
      </c>
      <c r="F13" s="92" t="s">
        <v>313</v>
      </c>
      <c r="G13" s="92" t="s">
        <v>313</v>
      </c>
      <c r="H13" s="92" t="s">
        <v>313</v>
      </c>
      <c r="I13" s="92" t="s">
        <v>312</v>
      </c>
      <c r="J13" s="92" t="s">
        <v>312</v>
      </c>
      <c r="K13" s="92" t="s">
        <v>312</v>
      </c>
    </row>
    <row r="14" spans="1:11" ht="17.399999999999999" customHeight="1" x14ac:dyDescent="0.3">
      <c r="A14" s="21" t="s">
        <v>17</v>
      </c>
      <c r="B14" s="92" t="s">
        <v>312</v>
      </c>
      <c r="C14" s="92" t="s">
        <v>313</v>
      </c>
      <c r="D14" s="92" t="s">
        <v>313</v>
      </c>
      <c r="E14" s="92" t="s">
        <v>313</v>
      </c>
      <c r="F14" s="92" t="s">
        <v>313</v>
      </c>
      <c r="G14" s="92" t="s">
        <v>313</v>
      </c>
      <c r="H14" s="92" t="s">
        <v>313</v>
      </c>
      <c r="I14" s="92" t="s">
        <v>312</v>
      </c>
      <c r="J14" s="92" t="s">
        <v>312</v>
      </c>
      <c r="K14" s="92" t="s">
        <v>312</v>
      </c>
    </row>
    <row r="15" spans="1:11" ht="17.399999999999999" customHeight="1" x14ac:dyDescent="0.3">
      <c r="A15" s="107" t="s">
        <v>18</v>
      </c>
      <c r="B15" s="102" t="s">
        <v>315</v>
      </c>
      <c r="C15" s="102" t="s">
        <v>313</v>
      </c>
      <c r="D15" s="102" t="s">
        <v>313</v>
      </c>
      <c r="E15" s="102" t="s">
        <v>313</v>
      </c>
      <c r="F15" s="102" t="s">
        <v>313</v>
      </c>
      <c r="G15" s="102" t="s">
        <v>313</v>
      </c>
      <c r="H15" s="102" t="s">
        <v>313</v>
      </c>
      <c r="I15" s="102" t="s">
        <v>315</v>
      </c>
      <c r="J15" s="102" t="s">
        <v>315</v>
      </c>
      <c r="K15" s="102" t="s">
        <v>315</v>
      </c>
    </row>
    <row r="16" spans="1:11" ht="17.399999999999999" customHeight="1" x14ac:dyDescent="0.3">
      <c r="A16" s="104" t="str">
        <f>year!$H$5</f>
        <v>RABI I 2022-23</v>
      </c>
      <c r="B16" s="21"/>
      <c r="C16" s="105"/>
      <c r="D16" s="105"/>
      <c r="E16" s="105"/>
      <c r="F16" s="105"/>
      <c r="G16" s="105"/>
      <c r="H16" s="105"/>
      <c r="I16" s="105"/>
      <c r="J16" s="105"/>
      <c r="K16" s="105"/>
    </row>
    <row r="17" spans="1:11" ht="17.399999999999999" customHeight="1" x14ac:dyDescent="0.3">
      <c r="A17" s="106" t="s">
        <v>16</v>
      </c>
      <c r="B17" s="92" t="s">
        <v>312</v>
      </c>
      <c r="C17" s="92" t="s">
        <v>313</v>
      </c>
      <c r="D17" s="92" t="s">
        <v>313</v>
      </c>
      <c r="E17" s="92" t="s">
        <v>313</v>
      </c>
      <c r="F17" s="92" t="s">
        <v>313</v>
      </c>
      <c r="G17" s="92" t="s">
        <v>313</v>
      </c>
      <c r="H17" s="92" t="s">
        <v>313</v>
      </c>
      <c r="I17" s="92" t="s">
        <v>312</v>
      </c>
      <c r="J17" s="92" t="s">
        <v>312</v>
      </c>
      <c r="K17" s="92" t="s">
        <v>383</v>
      </c>
    </row>
    <row r="18" spans="1:11" ht="17.399999999999999" customHeight="1" x14ac:dyDescent="0.3">
      <c r="A18" s="21" t="s">
        <v>17</v>
      </c>
      <c r="B18" s="92" t="s">
        <v>312</v>
      </c>
      <c r="C18" s="92" t="s">
        <v>313</v>
      </c>
      <c r="D18" s="92" t="s">
        <v>313</v>
      </c>
      <c r="E18" s="92" t="s">
        <v>313</v>
      </c>
      <c r="F18" s="92" t="s">
        <v>313</v>
      </c>
      <c r="G18" s="92" t="s">
        <v>313</v>
      </c>
      <c r="H18" s="92" t="s">
        <v>313</v>
      </c>
      <c r="I18" s="92" t="s">
        <v>312</v>
      </c>
      <c r="J18" s="92" t="s">
        <v>312</v>
      </c>
      <c r="K18" s="92" t="s">
        <v>312</v>
      </c>
    </row>
    <row r="19" spans="1:11" ht="17.399999999999999" customHeight="1" x14ac:dyDescent="0.3">
      <c r="A19" s="106" t="s">
        <v>18</v>
      </c>
      <c r="B19" s="92" t="s">
        <v>315</v>
      </c>
      <c r="C19" s="92" t="s">
        <v>313</v>
      </c>
      <c r="D19" s="92" t="s">
        <v>313</v>
      </c>
      <c r="E19" s="92" t="s">
        <v>313</v>
      </c>
      <c r="F19" s="92" t="s">
        <v>313</v>
      </c>
      <c r="G19" s="92" t="s">
        <v>313</v>
      </c>
      <c r="H19" s="92" t="s">
        <v>313</v>
      </c>
      <c r="I19" s="92" t="s">
        <v>315</v>
      </c>
      <c r="J19" s="92" t="s">
        <v>315</v>
      </c>
      <c r="K19" s="92" t="s">
        <v>318</v>
      </c>
    </row>
    <row r="20" spans="1:11" ht="17.399999999999999" customHeight="1" x14ac:dyDescent="0.3">
      <c r="A20" s="104" t="str">
        <f>year!$I$5</f>
        <v>RABI II 2022-23</v>
      </c>
      <c r="B20" s="21"/>
      <c r="C20" s="105"/>
      <c r="D20" s="105"/>
      <c r="E20" s="105"/>
      <c r="F20" s="105"/>
      <c r="G20" s="105"/>
      <c r="H20" s="105"/>
      <c r="I20" s="105"/>
      <c r="J20" s="105"/>
      <c r="K20" s="105"/>
    </row>
    <row r="21" spans="1:11" ht="17.399999999999999" customHeight="1" x14ac:dyDescent="0.3">
      <c r="A21" s="106" t="s">
        <v>16</v>
      </c>
      <c r="B21" s="92" t="s">
        <v>312</v>
      </c>
      <c r="C21" s="92" t="s">
        <v>313</v>
      </c>
      <c r="D21" s="92" t="s">
        <v>313</v>
      </c>
      <c r="E21" s="92" t="s">
        <v>313</v>
      </c>
      <c r="F21" s="92" t="s">
        <v>313</v>
      </c>
      <c r="G21" s="92" t="s">
        <v>313</v>
      </c>
      <c r="H21" s="92" t="s">
        <v>313</v>
      </c>
      <c r="I21" s="92" t="s">
        <v>312</v>
      </c>
      <c r="J21" s="92" t="s">
        <v>312</v>
      </c>
      <c r="K21" s="92" t="s">
        <v>312</v>
      </c>
    </row>
    <row r="22" spans="1:11" ht="17.399999999999999" customHeight="1" x14ac:dyDescent="0.3">
      <c r="A22" s="21" t="s">
        <v>17</v>
      </c>
      <c r="B22" s="92" t="s">
        <v>312</v>
      </c>
      <c r="C22" s="92" t="s">
        <v>313</v>
      </c>
      <c r="D22" s="92" t="s">
        <v>313</v>
      </c>
      <c r="E22" s="92" t="s">
        <v>313</v>
      </c>
      <c r="F22" s="92" t="s">
        <v>313</v>
      </c>
      <c r="G22" s="92" t="s">
        <v>313</v>
      </c>
      <c r="H22" s="92" t="s">
        <v>313</v>
      </c>
      <c r="I22" s="92" t="s">
        <v>312</v>
      </c>
      <c r="J22" s="92" t="s">
        <v>312</v>
      </c>
      <c r="K22" s="92" t="s">
        <v>312</v>
      </c>
    </row>
    <row r="23" spans="1:11" ht="17.399999999999999" customHeight="1" thickBot="1" x14ac:dyDescent="0.35">
      <c r="A23" s="108" t="s">
        <v>18</v>
      </c>
      <c r="B23" s="93" t="s">
        <v>315</v>
      </c>
      <c r="C23" s="93" t="s">
        <v>313</v>
      </c>
      <c r="D23" s="93" t="s">
        <v>313</v>
      </c>
      <c r="E23" s="93" t="s">
        <v>313</v>
      </c>
      <c r="F23" s="93" t="s">
        <v>313</v>
      </c>
      <c r="G23" s="93" t="s">
        <v>313</v>
      </c>
      <c r="H23" s="93" t="s">
        <v>313</v>
      </c>
      <c r="I23" s="93" t="s">
        <v>315</v>
      </c>
      <c r="J23" s="93" t="s">
        <v>315</v>
      </c>
      <c r="K23" s="93" t="s">
        <v>315</v>
      </c>
    </row>
    <row r="24" spans="1:11" ht="14.4" thickTop="1" x14ac:dyDescent="0.3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</row>
  </sheetData>
  <mergeCells count="13">
    <mergeCell ref="H5:H6"/>
    <mergeCell ref="I5:I6"/>
    <mergeCell ref="J5:K5"/>
    <mergeCell ref="A1:K1"/>
    <mergeCell ref="A2:I2"/>
    <mergeCell ref="J2:K2"/>
    <mergeCell ref="A3:K3"/>
    <mergeCell ref="A4:A6"/>
    <mergeCell ref="B4:K4"/>
    <mergeCell ref="B5:D5"/>
    <mergeCell ref="E5:E6"/>
    <mergeCell ref="F5:F6"/>
    <mergeCell ref="G5:G6"/>
  </mergeCells>
  <printOptions horizontalCentered="1"/>
  <pageMargins left="0" right="0" top="0.78740157480314965" bottom="0" header="0.31496062992125984" footer="0.31496062992125984"/>
  <pageSetup paperSize="9" scale="10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P25"/>
  <sheetViews>
    <sheetView view="pageBreakPreview" topLeftCell="A4" zoomScale="80" zoomScaleNormal="60" zoomScaleSheetLayoutView="80" workbookViewId="0">
      <selection activeCell="H13" sqref="H13"/>
    </sheetView>
  </sheetViews>
  <sheetFormatPr defaultRowHeight="14.4" x14ac:dyDescent="0.3"/>
  <cols>
    <col min="1" max="1" width="11" customWidth="1"/>
    <col min="2" max="2" width="8.21875" customWidth="1"/>
    <col min="3" max="3" width="10.5546875" customWidth="1"/>
    <col min="4" max="4" width="10.77734375" customWidth="1"/>
    <col min="5" max="6" width="11" bestFit="1" customWidth="1"/>
    <col min="7" max="7" width="10.6640625" customWidth="1"/>
    <col min="8" max="8" width="9.77734375" customWidth="1"/>
    <col min="9" max="9" width="11.6640625" customWidth="1"/>
    <col min="10" max="10" width="10.5546875" bestFit="1" customWidth="1"/>
    <col min="11" max="11" width="9" bestFit="1" customWidth="1"/>
    <col min="12" max="12" width="9.5546875" customWidth="1"/>
    <col min="13" max="13" width="9" bestFit="1" customWidth="1"/>
    <col min="14" max="14" width="10.44140625" customWidth="1"/>
    <col min="15" max="15" width="10.88671875" customWidth="1"/>
    <col min="16" max="16" width="11.109375" customWidth="1"/>
  </cols>
  <sheetData>
    <row r="1" spans="1:16" x14ac:dyDescent="0.3">
      <c r="A1" s="246" t="s">
        <v>34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 x14ac:dyDescent="0.3">
      <c r="A2" s="251" t="str">
        <f>year!$H$2</f>
        <v>UT : PUDUCHERRY</v>
      </c>
      <c r="B2" s="251" t="str">
        <f>year!$H$2</f>
        <v>UT : PUDUCHERRY</v>
      </c>
      <c r="C2" s="251" t="str">
        <f>year!$H$2</f>
        <v>UT : PUDUCHERRY</v>
      </c>
      <c r="D2" s="251" t="str">
        <f>year!$H$2</f>
        <v>UT : PUDUCHERRY</v>
      </c>
      <c r="E2" s="251" t="str">
        <f>year!$H$2</f>
        <v>UT : PUDUCHERRY</v>
      </c>
      <c r="F2" s="251" t="str">
        <f>year!$H$2</f>
        <v>UT : PUDUCHERRY</v>
      </c>
      <c r="G2" s="251" t="str">
        <f>year!$H$2</f>
        <v>UT : PUDUCHERRY</v>
      </c>
      <c r="H2" s="251" t="str">
        <f>year!$H$2</f>
        <v>UT : PUDUCHERRY</v>
      </c>
      <c r="I2" s="251" t="str">
        <f>year!$H$2</f>
        <v>UT : PUDUCHERRY</v>
      </c>
      <c r="J2" s="251" t="str">
        <f>year!$H$2</f>
        <v>UT : PUDUCHERRY</v>
      </c>
      <c r="K2" s="251" t="str">
        <f>year!$H$2</f>
        <v>UT : PUDUCHERRY</v>
      </c>
      <c r="L2" s="251" t="str">
        <f>year!$H$2</f>
        <v>UT : PUDUCHERRY</v>
      </c>
      <c r="M2" s="251" t="str">
        <f>year!$H$2</f>
        <v>UT : PUDUCHERRY</v>
      </c>
      <c r="N2" s="251" t="str">
        <f>year!$H$2</f>
        <v>UT : PUDUCHERRY</v>
      </c>
      <c r="O2" s="262" t="s">
        <v>384</v>
      </c>
      <c r="P2" s="262"/>
    </row>
    <row r="3" spans="1:16" x14ac:dyDescent="0.3">
      <c r="A3" s="261" t="s">
        <v>385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</row>
    <row r="4" spans="1:16" x14ac:dyDescent="0.3">
      <c r="A4" s="256" t="s">
        <v>205</v>
      </c>
      <c r="B4" s="256" t="s">
        <v>79</v>
      </c>
      <c r="C4" s="257" t="s">
        <v>80</v>
      </c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</row>
    <row r="5" spans="1:16" x14ac:dyDescent="0.3">
      <c r="A5" s="256"/>
      <c r="B5" s="256"/>
      <c r="C5" s="254" t="s">
        <v>218</v>
      </c>
      <c r="D5" s="254"/>
      <c r="E5" s="254"/>
      <c r="F5" s="254"/>
      <c r="G5" s="254"/>
      <c r="H5" s="254"/>
      <c r="I5" s="254"/>
      <c r="J5" s="254" t="s">
        <v>219</v>
      </c>
      <c r="K5" s="254"/>
      <c r="L5" s="254"/>
      <c r="M5" s="254"/>
      <c r="N5" s="256" t="s">
        <v>221</v>
      </c>
      <c r="O5" s="256" t="s">
        <v>222</v>
      </c>
      <c r="P5" s="256" t="s">
        <v>223</v>
      </c>
    </row>
    <row r="6" spans="1:16" ht="31.5" customHeight="1" x14ac:dyDescent="0.3">
      <c r="A6" s="256"/>
      <c r="B6" s="256"/>
      <c r="C6" s="257" t="s">
        <v>81</v>
      </c>
      <c r="D6" s="257"/>
      <c r="E6" s="257" t="s">
        <v>82</v>
      </c>
      <c r="F6" s="257"/>
      <c r="G6" s="256" t="s">
        <v>220</v>
      </c>
      <c r="H6" s="256" t="s">
        <v>83</v>
      </c>
      <c r="I6" s="256" t="s">
        <v>39</v>
      </c>
      <c r="J6" s="257" t="s">
        <v>84</v>
      </c>
      <c r="K6" s="257"/>
      <c r="L6" s="256" t="s">
        <v>85</v>
      </c>
      <c r="M6" s="256" t="s">
        <v>39</v>
      </c>
      <c r="N6" s="256"/>
      <c r="O6" s="256"/>
      <c r="P6" s="256"/>
    </row>
    <row r="7" spans="1:16" ht="72" customHeight="1" x14ac:dyDescent="0.3">
      <c r="A7" s="257"/>
      <c r="B7" s="257"/>
      <c r="C7" s="28" t="s">
        <v>86</v>
      </c>
      <c r="D7" s="28" t="s">
        <v>87</v>
      </c>
      <c r="E7" s="28" t="s">
        <v>86</v>
      </c>
      <c r="F7" s="28" t="s">
        <v>87</v>
      </c>
      <c r="G7" s="257"/>
      <c r="H7" s="257"/>
      <c r="I7" s="257"/>
      <c r="J7" s="28" t="s">
        <v>88</v>
      </c>
      <c r="K7" s="28" t="s">
        <v>89</v>
      </c>
      <c r="L7" s="257"/>
      <c r="M7" s="257"/>
      <c r="N7" s="257"/>
      <c r="O7" s="257"/>
      <c r="P7" s="257"/>
    </row>
    <row r="8" spans="1:16" x14ac:dyDescent="0.3">
      <c r="A8" s="30" t="s">
        <v>8</v>
      </c>
      <c r="B8" s="30" t="s">
        <v>9</v>
      </c>
      <c r="C8" s="30" t="s">
        <v>10</v>
      </c>
      <c r="D8" s="30" t="s">
        <v>11</v>
      </c>
      <c r="E8" s="30" t="s">
        <v>12</v>
      </c>
      <c r="F8" s="30" t="s">
        <v>13</v>
      </c>
      <c r="G8" s="30" t="s">
        <v>14</v>
      </c>
      <c r="H8" s="30" t="s">
        <v>15</v>
      </c>
      <c r="I8" s="30" t="s">
        <v>75</v>
      </c>
      <c r="J8" s="30" t="s">
        <v>76</v>
      </c>
      <c r="K8" s="30" t="s">
        <v>77</v>
      </c>
      <c r="L8" s="30" t="s">
        <v>90</v>
      </c>
      <c r="M8" s="30" t="s">
        <v>91</v>
      </c>
      <c r="N8" s="30" t="s">
        <v>92</v>
      </c>
      <c r="O8" s="30" t="s">
        <v>93</v>
      </c>
      <c r="P8" s="30" t="s">
        <v>94</v>
      </c>
    </row>
    <row r="9" spans="1:16" ht="21" customHeight="1" x14ac:dyDescent="0.3">
      <c r="A9" s="272" t="str">
        <f>year!$H$4</f>
        <v>RABI I 2023-24</v>
      </c>
      <c r="B9" s="27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ht="21" customHeight="1" x14ac:dyDescent="0.3">
      <c r="A10" s="23" t="s">
        <v>16</v>
      </c>
      <c r="B10" s="25" t="s">
        <v>311</v>
      </c>
      <c r="C10" s="25" t="s">
        <v>313</v>
      </c>
      <c r="D10" s="25" t="s">
        <v>313</v>
      </c>
      <c r="E10" s="25" t="s">
        <v>312</v>
      </c>
      <c r="F10" s="25" t="s">
        <v>313</v>
      </c>
      <c r="G10" s="25" t="s">
        <v>313</v>
      </c>
      <c r="H10" s="25" t="s">
        <v>313</v>
      </c>
      <c r="I10" s="25" t="s">
        <v>312</v>
      </c>
      <c r="J10" s="25" t="s">
        <v>313</v>
      </c>
      <c r="K10" s="25" t="s">
        <v>313</v>
      </c>
      <c r="L10" s="25" t="s">
        <v>313</v>
      </c>
      <c r="M10" s="25" t="s">
        <v>313</v>
      </c>
      <c r="N10" s="25" t="s">
        <v>313</v>
      </c>
      <c r="O10" s="25" t="s">
        <v>312</v>
      </c>
      <c r="P10" s="25" t="s">
        <v>312</v>
      </c>
    </row>
    <row r="11" spans="1:16" ht="21" customHeight="1" x14ac:dyDescent="0.3">
      <c r="A11" s="24" t="s">
        <v>17</v>
      </c>
      <c r="B11" s="25" t="s">
        <v>311</v>
      </c>
      <c r="C11" s="25" t="s">
        <v>313</v>
      </c>
      <c r="D11" s="25" t="s">
        <v>313</v>
      </c>
      <c r="E11" s="25" t="s">
        <v>312</v>
      </c>
      <c r="F11" s="25" t="s">
        <v>313</v>
      </c>
      <c r="G11" s="25" t="s">
        <v>313</v>
      </c>
      <c r="H11" s="25" t="s">
        <v>313</v>
      </c>
      <c r="I11" s="25" t="s">
        <v>312</v>
      </c>
      <c r="J11" s="25" t="s">
        <v>313</v>
      </c>
      <c r="K11" s="25" t="s">
        <v>313</v>
      </c>
      <c r="L11" s="25" t="s">
        <v>313</v>
      </c>
      <c r="M11" s="25" t="s">
        <v>313</v>
      </c>
      <c r="N11" s="25" t="s">
        <v>313</v>
      </c>
      <c r="O11" s="25" t="s">
        <v>312</v>
      </c>
      <c r="P11" s="25" t="s">
        <v>312</v>
      </c>
    </row>
    <row r="12" spans="1:16" ht="21" customHeight="1" x14ac:dyDescent="0.3">
      <c r="A12" s="23" t="s">
        <v>18</v>
      </c>
      <c r="B12" s="25" t="s">
        <v>314</v>
      </c>
      <c r="C12" s="25" t="s">
        <v>313</v>
      </c>
      <c r="D12" s="25" t="s">
        <v>313</v>
      </c>
      <c r="E12" s="25" t="s">
        <v>315</v>
      </c>
      <c r="F12" s="25" t="s">
        <v>313</v>
      </c>
      <c r="G12" s="25" t="s">
        <v>313</v>
      </c>
      <c r="H12" s="25" t="s">
        <v>313</v>
      </c>
      <c r="I12" s="25" t="s">
        <v>315</v>
      </c>
      <c r="J12" s="25" t="s">
        <v>313</v>
      </c>
      <c r="K12" s="25" t="s">
        <v>313</v>
      </c>
      <c r="L12" s="25" t="s">
        <v>313</v>
      </c>
      <c r="M12" s="25" t="s">
        <v>313</v>
      </c>
      <c r="N12" s="25" t="s">
        <v>313</v>
      </c>
      <c r="O12" s="25" t="s">
        <v>315</v>
      </c>
      <c r="P12" s="25" t="s">
        <v>315</v>
      </c>
    </row>
    <row r="13" spans="1:16" ht="21" customHeight="1" x14ac:dyDescent="0.3">
      <c r="A13" s="271" t="str">
        <f>year!$I$4</f>
        <v>RABI II 2023-24</v>
      </c>
      <c r="B13" s="27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ht="21" customHeight="1" x14ac:dyDescent="0.3">
      <c r="A14" s="23" t="s">
        <v>16</v>
      </c>
      <c r="B14" s="25" t="s">
        <v>311</v>
      </c>
      <c r="C14" s="25" t="s">
        <v>313</v>
      </c>
      <c r="D14" s="25" t="s">
        <v>313</v>
      </c>
      <c r="E14" s="25" t="s">
        <v>312</v>
      </c>
      <c r="F14" s="25" t="s">
        <v>313</v>
      </c>
      <c r="G14" s="25" t="s">
        <v>313</v>
      </c>
      <c r="H14" s="25" t="s">
        <v>313</v>
      </c>
      <c r="I14" s="25" t="s">
        <v>312</v>
      </c>
      <c r="J14" s="25" t="s">
        <v>313</v>
      </c>
      <c r="K14" s="25" t="s">
        <v>313</v>
      </c>
      <c r="L14" s="25" t="s">
        <v>313</v>
      </c>
      <c r="M14" s="25" t="s">
        <v>313</v>
      </c>
      <c r="N14" s="25" t="s">
        <v>313</v>
      </c>
      <c r="O14" s="25" t="s">
        <v>312</v>
      </c>
      <c r="P14" s="25" t="s">
        <v>312</v>
      </c>
    </row>
    <row r="15" spans="1:16" ht="21" customHeight="1" x14ac:dyDescent="0.3">
      <c r="A15" s="24" t="s">
        <v>17</v>
      </c>
      <c r="B15" s="25" t="s">
        <v>311</v>
      </c>
      <c r="C15" s="25" t="s">
        <v>313</v>
      </c>
      <c r="D15" s="25" t="s">
        <v>313</v>
      </c>
      <c r="E15" s="25" t="s">
        <v>312</v>
      </c>
      <c r="F15" s="25" t="s">
        <v>313</v>
      </c>
      <c r="G15" s="25" t="s">
        <v>313</v>
      </c>
      <c r="H15" s="25" t="s">
        <v>313</v>
      </c>
      <c r="I15" s="25" t="s">
        <v>312</v>
      </c>
      <c r="J15" s="25" t="s">
        <v>313</v>
      </c>
      <c r="K15" s="25" t="s">
        <v>313</v>
      </c>
      <c r="L15" s="25" t="s">
        <v>313</v>
      </c>
      <c r="M15" s="25" t="s">
        <v>313</v>
      </c>
      <c r="N15" s="25" t="s">
        <v>313</v>
      </c>
      <c r="O15" s="25" t="s">
        <v>312</v>
      </c>
      <c r="P15" s="25" t="s">
        <v>312</v>
      </c>
    </row>
    <row r="16" spans="1:16" ht="21" customHeight="1" x14ac:dyDescent="0.3">
      <c r="A16" s="40" t="s">
        <v>18</v>
      </c>
      <c r="B16" s="52" t="s">
        <v>314</v>
      </c>
      <c r="C16" s="52" t="s">
        <v>313</v>
      </c>
      <c r="D16" s="52" t="s">
        <v>313</v>
      </c>
      <c r="E16" s="52" t="s">
        <v>315</v>
      </c>
      <c r="F16" s="52" t="s">
        <v>313</v>
      </c>
      <c r="G16" s="52" t="s">
        <v>313</v>
      </c>
      <c r="H16" s="52" t="s">
        <v>313</v>
      </c>
      <c r="I16" s="52" t="s">
        <v>315</v>
      </c>
      <c r="J16" s="52" t="s">
        <v>313</v>
      </c>
      <c r="K16" s="52" t="s">
        <v>313</v>
      </c>
      <c r="L16" s="52" t="s">
        <v>313</v>
      </c>
      <c r="M16" s="52" t="s">
        <v>313</v>
      </c>
      <c r="N16" s="52" t="s">
        <v>313</v>
      </c>
      <c r="O16" s="52" t="s">
        <v>315</v>
      </c>
      <c r="P16" s="52" t="s">
        <v>315</v>
      </c>
    </row>
    <row r="17" spans="1:16" ht="21" customHeight="1" x14ac:dyDescent="0.3">
      <c r="A17" s="271" t="str">
        <f>year!$H$5</f>
        <v>RABI I 2022-23</v>
      </c>
      <c r="B17" s="27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 ht="21" customHeight="1" x14ac:dyDescent="0.3">
      <c r="A18" s="23" t="s">
        <v>16</v>
      </c>
      <c r="B18" s="25" t="s">
        <v>311</v>
      </c>
      <c r="C18" s="25" t="s">
        <v>313</v>
      </c>
      <c r="D18" s="25" t="s">
        <v>313</v>
      </c>
      <c r="E18" s="25" t="s">
        <v>312</v>
      </c>
      <c r="F18" s="25" t="s">
        <v>313</v>
      </c>
      <c r="G18" s="25" t="s">
        <v>313</v>
      </c>
      <c r="H18" s="25" t="s">
        <v>313</v>
      </c>
      <c r="I18" s="25" t="s">
        <v>312</v>
      </c>
      <c r="J18" s="25" t="s">
        <v>313</v>
      </c>
      <c r="K18" s="25" t="s">
        <v>313</v>
      </c>
      <c r="L18" s="25" t="s">
        <v>313</v>
      </c>
      <c r="M18" s="25" t="s">
        <v>313</v>
      </c>
      <c r="N18" s="25" t="s">
        <v>313</v>
      </c>
      <c r="O18" s="25" t="s">
        <v>312</v>
      </c>
      <c r="P18" s="25" t="s">
        <v>312</v>
      </c>
    </row>
    <row r="19" spans="1:16" ht="21" customHeight="1" x14ac:dyDescent="0.3">
      <c r="A19" s="24" t="s">
        <v>17</v>
      </c>
      <c r="B19" s="25" t="s">
        <v>311</v>
      </c>
      <c r="C19" s="25" t="s">
        <v>313</v>
      </c>
      <c r="D19" s="25" t="s">
        <v>313</v>
      </c>
      <c r="E19" s="25" t="s">
        <v>312</v>
      </c>
      <c r="F19" s="25" t="s">
        <v>313</v>
      </c>
      <c r="G19" s="25" t="s">
        <v>313</v>
      </c>
      <c r="H19" s="25" t="s">
        <v>313</v>
      </c>
      <c r="I19" s="25" t="s">
        <v>312</v>
      </c>
      <c r="J19" s="25" t="s">
        <v>313</v>
      </c>
      <c r="K19" s="25" t="s">
        <v>313</v>
      </c>
      <c r="L19" s="25" t="s">
        <v>313</v>
      </c>
      <c r="M19" s="25" t="s">
        <v>313</v>
      </c>
      <c r="N19" s="25" t="s">
        <v>313</v>
      </c>
      <c r="O19" s="25" t="s">
        <v>312</v>
      </c>
      <c r="P19" s="25" t="s">
        <v>312</v>
      </c>
    </row>
    <row r="20" spans="1:16" ht="21" customHeight="1" x14ac:dyDescent="0.3">
      <c r="A20" s="23" t="s">
        <v>18</v>
      </c>
      <c r="B20" s="25" t="s">
        <v>314</v>
      </c>
      <c r="C20" s="25" t="s">
        <v>313</v>
      </c>
      <c r="D20" s="25" t="s">
        <v>313</v>
      </c>
      <c r="E20" s="25" t="s">
        <v>315</v>
      </c>
      <c r="F20" s="25" t="s">
        <v>313</v>
      </c>
      <c r="G20" s="25" t="s">
        <v>313</v>
      </c>
      <c r="H20" s="25" t="s">
        <v>313</v>
      </c>
      <c r="I20" s="25" t="s">
        <v>315</v>
      </c>
      <c r="J20" s="25" t="s">
        <v>313</v>
      </c>
      <c r="K20" s="25" t="s">
        <v>313</v>
      </c>
      <c r="L20" s="25" t="s">
        <v>313</v>
      </c>
      <c r="M20" s="25" t="s">
        <v>313</v>
      </c>
      <c r="N20" s="25" t="s">
        <v>313</v>
      </c>
      <c r="O20" s="25" t="s">
        <v>315</v>
      </c>
      <c r="P20" s="25" t="s">
        <v>315</v>
      </c>
    </row>
    <row r="21" spans="1:16" ht="21" customHeight="1" x14ac:dyDescent="0.3">
      <c r="A21" s="271" t="str">
        <f>year!$I$5</f>
        <v>RABI II 2022-23</v>
      </c>
      <c r="B21" s="27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ht="21" customHeight="1" x14ac:dyDescent="0.3">
      <c r="A22" s="23" t="s">
        <v>16</v>
      </c>
      <c r="B22" s="25" t="s">
        <v>311</v>
      </c>
      <c r="C22" s="25" t="s">
        <v>313</v>
      </c>
      <c r="D22" s="25" t="s">
        <v>313</v>
      </c>
      <c r="E22" s="25" t="s">
        <v>312</v>
      </c>
      <c r="F22" s="25" t="s">
        <v>313</v>
      </c>
      <c r="G22" s="25" t="s">
        <v>313</v>
      </c>
      <c r="H22" s="25" t="s">
        <v>313</v>
      </c>
      <c r="I22" s="25" t="s">
        <v>312</v>
      </c>
      <c r="J22" s="25" t="s">
        <v>313</v>
      </c>
      <c r="K22" s="25" t="s">
        <v>313</v>
      </c>
      <c r="L22" s="25" t="s">
        <v>313</v>
      </c>
      <c r="M22" s="25" t="s">
        <v>313</v>
      </c>
      <c r="N22" s="25" t="s">
        <v>313</v>
      </c>
      <c r="O22" s="25" t="s">
        <v>312</v>
      </c>
      <c r="P22" s="25" t="s">
        <v>312</v>
      </c>
    </row>
    <row r="23" spans="1:16" ht="21" customHeight="1" x14ac:dyDescent="0.3">
      <c r="A23" s="24" t="s">
        <v>17</v>
      </c>
      <c r="B23" s="25" t="s">
        <v>311</v>
      </c>
      <c r="C23" s="25" t="s">
        <v>313</v>
      </c>
      <c r="D23" s="25" t="s">
        <v>313</v>
      </c>
      <c r="E23" s="25" t="s">
        <v>312</v>
      </c>
      <c r="F23" s="25" t="s">
        <v>313</v>
      </c>
      <c r="G23" s="25" t="s">
        <v>313</v>
      </c>
      <c r="H23" s="25" t="s">
        <v>313</v>
      </c>
      <c r="I23" s="25" t="s">
        <v>312</v>
      </c>
      <c r="J23" s="25" t="s">
        <v>313</v>
      </c>
      <c r="K23" s="25" t="s">
        <v>313</v>
      </c>
      <c r="L23" s="25" t="s">
        <v>313</v>
      </c>
      <c r="M23" s="25" t="s">
        <v>313</v>
      </c>
      <c r="N23" s="25" t="s">
        <v>313</v>
      </c>
      <c r="O23" s="25" t="s">
        <v>312</v>
      </c>
      <c r="P23" s="25" t="s">
        <v>312</v>
      </c>
    </row>
    <row r="24" spans="1:16" ht="21" customHeight="1" thickBot="1" x14ac:dyDescent="0.35">
      <c r="A24" s="47" t="s">
        <v>18</v>
      </c>
      <c r="B24" s="58" t="s">
        <v>314</v>
      </c>
      <c r="C24" s="58" t="s">
        <v>313</v>
      </c>
      <c r="D24" s="58" t="s">
        <v>313</v>
      </c>
      <c r="E24" s="58" t="s">
        <v>315</v>
      </c>
      <c r="F24" s="58" t="s">
        <v>313</v>
      </c>
      <c r="G24" s="58" t="s">
        <v>313</v>
      </c>
      <c r="H24" s="58" t="s">
        <v>313</v>
      </c>
      <c r="I24" s="58" t="s">
        <v>315</v>
      </c>
      <c r="J24" s="58" t="s">
        <v>313</v>
      </c>
      <c r="K24" s="58" t="s">
        <v>313</v>
      </c>
      <c r="L24" s="58" t="s">
        <v>313</v>
      </c>
      <c r="M24" s="58" t="s">
        <v>313</v>
      </c>
      <c r="N24" s="58" t="s">
        <v>313</v>
      </c>
      <c r="O24" s="58" t="s">
        <v>315</v>
      </c>
      <c r="P24" s="58" t="s">
        <v>315</v>
      </c>
    </row>
    <row r="25" spans="1:16" ht="15" thickTop="1" x14ac:dyDescent="0.3"/>
  </sheetData>
  <mergeCells count="24">
    <mergeCell ref="A1:P1"/>
    <mergeCell ref="A2:N2"/>
    <mergeCell ref="O2:P2"/>
    <mergeCell ref="A3:P3"/>
    <mergeCell ref="A4:A7"/>
    <mergeCell ref="B4:B7"/>
    <mergeCell ref="C4:P4"/>
    <mergeCell ref="C5:I5"/>
    <mergeCell ref="J5:M5"/>
    <mergeCell ref="N5:N7"/>
    <mergeCell ref="P5:P7"/>
    <mergeCell ref="C6:D6"/>
    <mergeCell ref="E6:F6"/>
    <mergeCell ref="G6:G7"/>
    <mergeCell ref="H6:H7"/>
    <mergeCell ref="I6:I7"/>
    <mergeCell ref="A17:B17"/>
    <mergeCell ref="A21:B21"/>
    <mergeCell ref="O5:O7"/>
    <mergeCell ref="J6:K6"/>
    <mergeCell ref="L6:L7"/>
    <mergeCell ref="M6:M7"/>
    <mergeCell ref="A9:B9"/>
    <mergeCell ref="A13:B13"/>
  </mergeCells>
  <printOptions horizontalCentered="1"/>
  <pageMargins left="0" right="0" top="0.78740157480314965" bottom="0" header="0.31496062992125984" footer="0.31496062992125984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G14"/>
  <sheetViews>
    <sheetView view="pageBreakPreview" zoomScaleNormal="100" zoomScaleSheetLayoutView="100" workbookViewId="0">
      <selection activeCell="F5" sqref="F5"/>
    </sheetView>
  </sheetViews>
  <sheetFormatPr defaultRowHeight="14.4" x14ac:dyDescent="0.3"/>
  <cols>
    <col min="1" max="1" width="21.88671875" customWidth="1"/>
    <col min="2" max="2" width="11" customWidth="1"/>
    <col min="3" max="5" width="25.109375" customWidth="1"/>
  </cols>
  <sheetData>
    <row r="1" spans="1:7" x14ac:dyDescent="0.3">
      <c r="A1" s="237" t="s">
        <v>40</v>
      </c>
      <c r="B1" s="237"/>
      <c r="C1" s="237"/>
      <c r="D1" s="237"/>
      <c r="E1" s="237"/>
    </row>
    <row r="2" spans="1:7" x14ac:dyDescent="0.3">
      <c r="A2" s="62" t="str">
        <f>year!$H$2</f>
        <v>UT : PUDUCHERRY</v>
      </c>
      <c r="B2" s="62"/>
      <c r="C2" s="62"/>
      <c r="D2" s="238" t="s">
        <v>386</v>
      </c>
      <c r="E2" s="238"/>
    </row>
    <row r="3" spans="1:7" ht="41.4" customHeight="1" x14ac:dyDescent="0.3">
      <c r="A3" s="273" t="s">
        <v>387</v>
      </c>
      <c r="B3" s="273"/>
      <c r="C3" s="273"/>
      <c r="D3" s="273"/>
      <c r="E3" s="273"/>
    </row>
    <row r="4" spans="1:7" ht="31.8" customHeight="1" x14ac:dyDescent="0.3">
      <c r="A4" s="242" t="s">
        <v>286</v>
      </c>
      <c r="B4" s="242" t="s">
        <v>96</v>
      </c>
      <c r="C4" s="243" t="s">
        <v>97</v>
      </c>
      <c r="D4" s="243"/>
      <c r="E4" s="243"/>
    </row>
    <row r="5" spans="1:7" ht="31.8" customHeight="1" x14ac:dyDescent="0.3">
      <c r="A5" s="242"/>
      <c r="B5" s="242"/>
      <c r="C5" s="99" t="s">
        <v>98</v>
      </c>
      <c r="D5" s="245" t="s">
        <v>303</v>
      </c>
      <c r="E5" s="245"/>
    </row>
    <row r="6" spans="1:7" ht="28.8" x14ac:dyDescent="0.3">
      <c r="A6" s="242"/>
      <c r="B6" s="242"/>
      <c r="C6" s="71" t="s">
        <v>99</v>
      </c>
      <c r="D6" s="71" t="s">
        <v>100</v>
      </c>
      <c r="E6" s="71" t="s">
        <v>101</v>
      </c>
      <c r="G6" s="109"/>
    </row>
    <row r="7" spans="1:7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</row>
    <row r="8" spans="1:7" ht="29.4" customHeight="1" x14ac:dyDescent="0.3">
      <c r="A8" s="67" t="str">
        <f>year!$J$4</f>
        <v>YEAR 2023-24</v>
      </c>
      <c r="B8" s="68"/>
      <c r="C8" s="101"/>
      <c r="D8" s="101"/>
      <c r="E8" s="101"/>
    </row>
    <row r="9" spans="1:7" ht="29.4" customHeight="1" x14ac:dyDescent="0.3">
      <c r="A9" s="68" t="s">
        <v>305</v>
      </c>
      <c r="B9" s="72">
        <v>18</v>
      </c>
      <c r="C9" s="72" t="s">
        <v>388</v>
      </c>
      <c r="D9" s="72" t="s">
        <v>388</v>
      </c>
      <c r="E9" s="72" t="s">
        <v>313</v>
      </c>
    </row>
    <row r="10" spans="1:7" ht="29.4" customHeight="1" x14ac:dyDescent="0.3">
      <c r="A10" s="67" t="s">
        <v>306</v>
      </c>
      <c r="B10" s="74">
        <v>18</v>
      </c>
      <c r="C10" s="74" t="s">
        <v>313</v>
      </c>
      <c r="D10" s="74" t="s">
        <v>389</v>
      </c>
      <c r="E10" s="74" t="s">
        <v>313</v>
      </c>
    </row>
    <row r="11" spans="1:7" ht="29.4" customHeight="1" x14ac:dyDescent="0.3">
      <c r="A11" s="67" t="str">
        <f>year!$J$5</f>
        <v>YEAR 2022-23</v>
      </c>
      <c r="B11" s="68"/>
      <c r="C11" s="101"/>
      <c r="D11" s="101"/>
      <c r="E11" s="101"/>
    </row>
    <row r="12" spans="1:7" ht="29.4" customHeight="1" x14ac:dyDescent="0.3">
      <c r="A12" s="68" t="s">
        <v>305</v>
      </c>
      <c r="B12" s="72">
        <v>18</v>
      </c>
      <c r="C12" s="72" t="s">
        <v>313</v>
      </c>
      <c r="D12" s="72" t="s">
        <v>388</v>
      </c>
      <c r="E12" s="72" t="s">
        <v>313</v>
      </c>
    </row>
    <row r="13" spans="1:7" ht="29.4" customHeight="1" thickBot="1" x14ac:dyDescent="0.35">
      <c r="A13" s="84" t="s">
        <v>306</v>
      </c>
      <c r="B13" s="86">
        <v>18</v>
      </c>
      <c r="C13" s="86" t="s">
        <v>319</v>
      </c>
      <c r="D13" s="86" t="s">
        <v>390</v>
      </c>
      <c r="E13" s="86" t="s">
        <v>390</v>
      </c>
    </row>
    <row r="14" spans="1:7" ht="15" thickTop="1" x14ac:dyDescent="0.3">
      <c r="A14" s="1"/>
      <c r="B14" s="101"/>
      <c r="C14" s="101"/>
      <c r="D14" s="101"/>
      <c r="E14" s="101"/>
    </row>
  </sheetData>
  <mergeCells count="7">
    <mergeCell ref="A1:E1"/>
    <mergeCell ref="D2:E2"/>
    <mergeCell ref="A3:E3"/>
    <mergeCell ref="A4:A6"/>
    <mergeCell ref="B4:B6"/>
    <mergeCell ref="C4:E4"/>
    <mergeCell ref="D5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G24"/>
  <sheetViews>
    <sheetView view="pageBreakPreview" zoomScale="70" zoomScaleNormal="90" zoomScaleSheetLayoutView="70" workbookViewId="0">
      <selection activeCell="D6" sqref="D6"/>
    </sheetView>
  </sheetViews>
  <sheetFormatPr defaultRowHeight="14.4" x14ac:dyDescent="0.3"/>
  <cols>
    <col min="1" max="1" width="17.88671875" customWidth="1"/>
    <col min="2" max="2" width="9.5546875" customWidth="1"/>
    <col min="3" max="3" width="14.6640625" customWidth="1"/>
    <col min="4" max="4" width="20" customWidth="1"/>
    <col min="5" max="5" width="19.77734375" customWidth="1"/>
    <col min="6" max="6" width="20.5546875" customWidth="1"/>
    <col min="7" max="7" width="14.77734375" customWidth="1"/>
  </cols>
  <sheetData>
    <row r="1" spans="1:7" x14ac:dyDescent="0.3">
      <c r="A1" s="237" t="s">
        <v>46</v>
      </c>
      <c r="B1" s="237"/>
      <c r="C1" s="237"/>
      <c r="D1" s="237"/>
      <c r="E1" s="237"/>
      <c r="F1" s="237"/>
      <c r="G1" s="237"/>
    </row>
    <row r="2" spans="1:7" x14ac:dyDescent="0.3">
      <c r="A2" s="274" t="str">
        <f>year!$H$2</f>
        <v>UT : PUDUCHERRY</v>
      </c>
      <c r="B2" s="274" t="str">
        <f>year!$H$2</f>
        <v>UT : PUDUCHERRY</v>
      </c>
      <c r="C2" s="274" t="str">
        <f>year!$H$2</f>
        <v>UT : PUDUCHERRY</v>
      </c>
      <c r="D2" s="274" t="str">
        <f>year!$H$2</f>
        <v>UT : PUDUCHERRY</v>
      </c>
      <c r="E2" s="274" t="str">
        <f>year!$H$2</f>
        <v>UT : PUDUCHERRY</v>
      </c>
      <c r="F2" s="275" t="s">
        <v>391</v>
      </c>
      <c r="G2" s="275"/>
    </row>
    <row r="3" spans="1:7" x14ac:dyDescent="0.3">
      <c r="A3" s="276" t="s">
        <v>392</v>
      </c>
      <c r="B3" s="276"/>
      <c r="C3" s="276"/>
      <c r="D3" s="276"/>
      <c r="E3" s="276"/>
      <c r="F3" s="276"/>
      <c r="G3" s="276"/>
    </row>
    <row r="4" spans="1:7" x14ac:dyDescent="0.3">
      <c r="A4" s="240" t="s">
        <v>291</v>
      </c>
      <c r="B4" s="243" t="s">
        <v>103</v>
      </c>
      <c r="C4" s="243"/>
      <c r="D4" s="243"/>
      <c r="E4" s="243"/>
      <c r="F4" s="243"/>
      <c r="G4" s="243"/>
    </row>
    <row r="5" spans="1:7" x14ac:dyDescent="0.3">
      <c r="A5" s="240"/>
      <c r="B5" s="242" t="s">
        <v>39</v>
      </c>
      <c r="C5" s="242" t="s">
        <v>209</v>
      </c>
      <c r="D5" s="243" t="s">
        <v>104</v>
      </c>
      <c r="E5" s="243"/>
      <c r="F5" s="243"/>
      <c r="G5" s="243"/>
    </row>
    <row r="6" spans="1:7" ht="86.4" x14ac:dyDescent="0.3">
      <c r="A6" s="241"/>
      <c r="B6" s="243"/>
      <c r="C6" s="243"/>
      <c r="D6" s="99" t="s">
        <v>295</v>
      </c>
      <c r="E6" s="99" t="s">
        <v>210</v>
      </c>
      <c r="F6" s="99" t="s">
        <v>211</v>
      </c>
      <c r="G6" s="99" t="s">
        <v>196</v>
      </c>
    </row>
    <row r="7" spans="1:7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</row>
    <row r="8" spans="1:7" x14ac:dyDescent="0.3">
      <c r="A8" s="111" t="str">
        <f>year!$H$4</f>
        <v>RABI I 2023-24</v>
      </c>
      <c r="B8" s="101"/>
      <c r="C8" s="76"/>
      <c r="D8" s="101"/>
      <c r="E8" s="101"/>
      <c r="F8" s="101"/>
      <c r="G8" s="101"/>
    </row>
    <row r="9" spans="1:7" x14ac:dyDescent="0.3">
      <c r="A9" s="112" t="s">
        <v>120</v>
      </c>
      <c r="B9" s="72" t="s">
        <v>393</v>
      </c>
      <c r="C9" s="72" t="s">
        <v>394</v>
      </c>
      <c r="D9" s="72" t="s">
        <v>395</v>
      </c>
      <c r="E9" s="72" t="s">
        <v>396</v>
      </c>
      <c r="F9" s="72" t="s">
        <v>397</v>
      </c>
      <c r="G9" s="72" t="s">
        <v>398</v>
      </c>
    </row>
    <row r="10" spans="1:7" x14ac:dyDescent="0.3">
      <c r="A10" s="112" t="s">
        <v>17</v>
      </c>
      <c r="B10" s="72" t="s">
        <v>399</v>
      </c>
      <c r="C10" s="72" t="s">
        <v>400</v>
      </c>
      <c r="D10" s="72" t="s">
        <v>395</v>
      </c>
      <c r="E10" s="72" t="s">
        <v>395</v>
      </c>
      <c r="F10" s="72" t="s">
        <v>395</v>
      </c>
      <c r="G10" s="72" t="s">
        <v>395</v>
      </c>
    </row>
    <row r="11" spans="1:7" x14ac:dyDescent="0.3">
      <c r="A11" s="112" t="s">
        <v>18</v>
      </c>
      <c r="B11" s="72" t="s">
        <v>401</v>
      </c>
      <c r="C11" s="72" t="s">
        <v>402</v>
      </c>
      <c r="D11" s="72" t="s">
        <v>395</v>
      </c>
      <c r="E11" s="72" t="s">
        <v>403</v>
      </c>
      <c r="F11" s="72" t="s">
        <v>404</v>
      </c>
      <c r="G11" s="72" t="s">
        <v>405</v>
      </c>
    </row>
    <row r="12" spans="1:7" x14ac:dyDescent="0.3">
      <c r="A12" s="111" t="str">
        <f>year!$I$4</f>
        <v>RABI II 2023-24</v>
      </c>
      <c r="B12" s="113"/>
      <c r="C12" s="72"/>
      <c r="D12" s="113"/>
      <c r="E12" s="113"/>
      <c r="F12" s="113"/>
      <c r="G12" s="113"/>
    </row>
    <row r="13" spans="1:7" x14ac:dyDescent="0.3">
      <c r="A13" s="112" t="s">
        <v>120</v>
      </c>
      <c r="B13" s="72" t="s">
        <v>406</v>
      </c>
      <c r="C13" s="72" t="s">
        <v>407</v>
      </c>
      <c r="D13" s="72" t="s">
        <v>395</v>
      </c>
      <c r="E13" s="72" t="s">
        <v>408</v>
      </c>
      <c r="F13" s="72" t="s">
        <v>395</v>
      </c>
      <c r="G13" s="72" t="s">
        <v>408</v>
      </c>
    </row>
    <row r="14" spans="1:7" x14ac:dyDescent="0.3">
      <c r="A14" s="112" t="s">
        <v>17</v>
      </c>
      <c r="B14" s="72" t="s">
        <v>409</v>
      </c>
      <c r="C14" s="72" t="s">
        <v>410</v>
      </c>
      <c r="D14" s="72" t="s">
        <v>395</v>
      </c>
      <c r="E14" s="72" t="s">
        <v>395</v>
      </c>
      <c r="F14" s="72" t="s">
        <v>411</v>
      </c>
      <c r="G14" s="72" t="s">
        <v>411</v>
      </c>
    </row>
    <row r="15" spans="1:7" x14ac:dyDescent="0.3">
      <c r="A15" s="111" t="s">
        <v>18</v>
      </c>
      <c r="B15" s="74" t="s">
        <v>412</v>
      </c>
      <c r="C15" s="74" t="s">
        <v>413</v>
      </c>
      <c r="D15" s="74" t="s">
        <v>395</v>
      </c>
      <c r="E15" s="74" t="s">
        <v>414</v>
      </c>
      <c r="F15" s="74" t="s">
        <v>415</v>
      </c>
      <c r="G15" s="74" t="s">
        <v>416</v>
      </c>
    </row>
    <row r="16" spans="1:7" x14ac:dyDescent="0.3">
      <c r="A16" s="111" t="str">
        <f>year!$H$5</f>
        <v>RABI I 2022-23</v>
      </c>
      <c r="B16" s="101"/>
      <c r="C16" s="76"/>
      <c r="D16" s="101"/>
      <c r="E16" s="101"/>
      <c r="F16" s="101"/>
      <c r="G16" s="101"/>
    </row>
    <row r="17" spans="1:7" x14ac:dyDescent="0.3">
      <c r="A17" s="112" t="s">
        <v>120</v>
      </c>
      <c r="B17" s="72" t="s">
        <v>417</v>
      </c>
      <c r="C17" s="72" t="s">
        <v>418</v>
      </c>
      <c r="D17" s="72" t="s">
        <v>395</v>
      </c>
      <c r="E17" s="72" t="s">
        <v>395</v>
      </c>
      <c r="F17" s="72" t="s">
        <v>395</v>
      </c>
      <c r="G17" s="72" t="s">
        <v>395</v>
      </c>
    </row>
    <row r="18" spans="1:7" x14ac:dyDescent="0.3">
      <c r="A18" s="112" t="s">
        <v>17</v>
      </c>
      <c r="B18" s="72" t="s">
        <v>419</v>
      </c>
      <c r="C18" s="72" t="s">
        <v>420</v>
      </c>
      <c r="D18" s="72" t="s">
        <v>395</v>
      </c>
      <c r="E18" s="72" t="s">
        <v>395</v>
      </c>
      <c r="F18" s="72" t="s">
        <v>395</v>
      </c>
      <c r="G18" s="72" t="s">
        <v>395</v>
      </c>
    </row>
    <row r="19" spans="1:7" x14ac:dyDescent="0.3">
      <c r="A19" s="112" t="s">
        <v>18</v>
      </c>
      <c r="B19" s="72" t="s">
        <v>421</v>
      </c>
      <c r="C19" s="72" t="s">
        <v>422</v>
      </c>
      <c r="D19" s="72" t="s">
        <v>395</v>
      </c>
      <c r="E19" s="72" t="s">
        <v>395</v>
      </c>
      <c r="F19" s="72" t="s">
        <v>395</v>
      </c>
      <c r="G19" s="72" t="s">
        <v>395</v>
      </c>
    </row>
    <row r="20" spans="1:7" x14ac:dyDescent="0.3">
      <c r="A20" s="111" t="str">
        <f>year!$I$5</f>
        <v>RABI II 2022-23</v>
      </c>
      <c r="B20" s="113"/>
      <c r="C20" s="72"/>
      <c r="D20" s="113"/>
      <c r="E20" s="113"/>
      <c r="F20" s="113"/>
      <c r="G20" s="113"/>
    </row>
    <row r="21" spans="1:7" x14ac:dyDescent="0.3">
      <c r="A21" s="112" t="s">
        <v>120</v>
      </c>
      <c r="B21" s="72" t="s">
        <v>423</v>
      </c>
      <c r="C21" s="72" t="s">
        <v>424</v>
      </c>
      <c r="D21" s="72" t="s">
        <v>425</v>
      </c>
      <c r="E21" s="72" t="s">
        <v>395</v>
      </c>
      <c r="F21" s="72" t="s">
        <v>426</v>
      </c>
      <c r="G21" s="72" t="s">
        <v>427</v>
      </c>
    </row>
    <row r="22" spans="1:7" x14ac:dyDescent="0.3">
      <c r="A22" s="112" t="s">
        <v>17</v>
      </c>
      <c r="B22" s="72" t="s">
        <v>428</v>
      </c>
      <c r="C22" s="72" t="s">
        <v>429</v>
      </c>
      <c r="D22" s="72" t="s">
        <v>395</v>
      </c>
      <c r="E22" s="72" t="s">
        <v>395</v>
      </c>
      <c r="F22" s="72" t="s">
        <v>430</v>
      </c>
      <c r="G22" s="72" t="s">
        <v>430</v>
      </c>
    </row>
    <row r="23" spans="1:7" ht="15" thickBot="1" x14ac:dyDescent="0.35">
      <c r="A23" s="114" t="s">
        <v>18</v>
      </c>
      <c r="B23" s="86" t="s">
        <v>431</v>
      </c>
      <c r="C23" s="86" t="s">
        <v>432</v>
      </c>
      <c r="D23" s="86" t="s">
        <v>433</v>
      </c>
      <c r="E23" s="86" t="s">
        <v>395</v>
      </c>
      <c r="F23" s="86" t="s">
        <v>434</v>
      </c>
      <c r="G23" s="86" t="s">
        <v>435</v>
      </c>
    </row>
    <row r="24" spans="1:7" ht="15" thickTop="1" x14ac:dyDescent="0.3">
      <c r="A24" s="115"/>
      <c r="B24" s="115"/>
      <c r="C24" s="115"/>
      <c r="D24" s="115"/>
      <c r="E24" s="115"/>
      <c r="F24" s="115"/>
      <c r="G24" s="115"/>
    </row>
  </sheetData>
  <mergeCells count="9">
    <mergeCell ref="A1:G1"/>
    <mergeCell ref="A2:E2"/>
    <mergeCell ref="F2:G2"/>
    <mergeCell ref="A3:G3"/>
    <mergeCell ref="A4:A6"/>
    <mergeCell ref="B4:G4"/>
    <mergeCell ref="B5:B6"/>
    <mergeCell ref="C5:C6"/>
    <mergeCell ref="D5:G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81"/>
  <sheetViews>
    <sheetView view="pageBreakPreview" zoomScale="70" zoomScaleNormal="90" zoomScaleSheetLayoutView="70" workbookViewId="0">
      <selection activeCell="H26" sqref="H26"/>
    </sheetView>
  </sheetViews>
  <sheetFormatPr defaultRowHeight="14.4" x14ac:dyDescent="0.3"/>
  <cols>
    <col min="1" max="1" width="23.5546875" style="4" customWidth="1"/>
    <col min="2" max="7" width="11.77734375" style="4" customWidth="1"/>
    <col min="8" max="8" width="18.88671875" style="4" customWidth="1"/>
  </cols>
  <sheetData>
    <row r="1" spans="1:8" x14ac:dyDescent="0.3">
      <c r="A1" s="237" t="s">
        <v>62</v>
      </c>
      <c r="B1" s="237"/>
      <c r="C1" s="237"/>
      <c r="D1" s="237"/>
      <c r="E1" s="237"/>
      <c r="F1" s="237"/>
      <c r="G1" s="237"/>
      <c r="H1" s="237"/>
    </row>
    <row r="2" spans="1:8" x14ac:dyDescent="0.3">
      <c r="A2" s="274" t="str">
        <f>year!$H$2</f>
        <v>UT : PUDUCHERRY</v>
      </c>
      <c r="B2" s="274" t="str">
        <f>year!$H$2</f>
        <v>UT : PUDUCHERRY</v>
      </c>
      <c r="C2" s="274" t="str">
        <f>year!$H$2</f>
        <v>UT : PUDUCHERRY</v>
      </c>
      <c r="D2" s="274" t="str">
        <f>year!$H$2</f>
        <v>UT : PUDUCHERRY</v>
      </c>
      <c r="E2" s="274" t="str">
        <f>year!$H$2</f>
        <v>UT : PUDUCHERRY</v>
      </c>
      <c r="F2" s="274" t="str">
        <f>year!$H$2</f>
        <v>UT : PUDUCHERRY</v>
      </c>
      <c r="G2" s="275" t="s">
        <v>555</v>
      </c>
      <c r="H2" s="275"/>
    </row>
    <row r="3" spans="1:8" x14ac:dyDescent="0.3">
      <c r="A3" s="241" t="s">
        <v>556</v>
      </c>
      <c r="B3" s="241"/>
      <c r="C3" s="241"/>
      <c r="D3" s="241"/>
      <c r="E3" s="241"/>
      <c r="F3" s="241"/>
      <c r="G3" s="241"/>
      <c r="H3" s="241"/>
    </row>
    <row r="4" spans="1:8" ht="29.4" customHeight="1" x14ac:dyDescent="0.3">
      <c r="A4" s="240" t="s">
        <v>280</v>
      </c>
      <c r="B4" s="245" t="s">
        <v>261</v>
      </c>
      <c r="C4" s="245"/>
      <c r="D4" s="245"/>
      <c r="E4" s="245"/>
      <c r="F4" s="245"/>
      <c r="G4" s="245"/>
      <c r="H4" s="245"/>
    </row>
    <row r="5" spans="1:8" ht="29.4" customHeight="1" x14ac:dyDescent="0.3">
      <c r="A5" s="240"/>
      <c r="B5" s="245" t="s">
        <v>262</v>
      </c>
      <c r="C5" s="245"/>
      <c r="D5" s="245" t="s">
        <v>263</v>
      </c>
      <c r="E5" s="245"/>
      <c r="F5" s="245" t="s">
        <v>264</v>
      </c>
      <c r="G5" s="245"/>
      <c r="H5" s="242" t="s">
        <v>296</v>
      </c>
    </row>
    <row r="6" spans="1:8" ht="49.5" customHeight="1" x14ac:dyDescent="0.3">
      <c r="A6" s="241"/>
      <c r="B6" s="99" t="s">
        <v>258</v>
      </c>
      <c r="C6" s="99" t="s">
        <v>259</v>
      </c>
      <c r="D6" s="99" t="s">
        <v>258</v>
      </c>
      <c r="E6" s="99" t="s">
        <v>259</v>
      </c>
      <c r="F6" s="99" t="s">
        <v>272</v>
      </c>
      <c r="G6" s="99" t="s">
        <v>273</v>
      </c>
      <c r="H6" s="243"/>
    </row>
    <row r="7" spans="1:8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</row>
    <row r="8" spans="1:8" ht="21.6" customHeight="1" x14ac:dyDescent="0.3">
      <c r="A8" s="98" t="str">
        <f>year!$H$4</f>
        <v>RABI I 2023-24</v>
      </c>
      <c r="B8" s="78"/>
      <c r="C8" s="78"/>
      <c r="D8" s="78"/>
      <c r="E8" s="78"/>
      <c r="F8" s="78"/>
      <c r="G8" s="78"/>
      <c r="H8" s="78"/>
    </row>
    <row r="9" spans="1:8" ht="21.6" customHeight="1" x14ac:dyDescent="0.3">
      <c r="A9" s="112" t="s">
        <v>308</v>
      </c>
      <c r="B9" s="116" t="s">
        <v>557</v>
      </c>
      <c r="C9" s="116" t="s">
        <v>558</v>
      </c>
      <c r="D9" s="116" t="s">
        <v>559</v>
      </c>
      <c r="E9" s="116" t="s">
        <v>560</v>
      </c>
      <c r="F9" s="116" t="s">
        <v>561</v>
      </c>
      <c r="G9" s="116" t="s">
        <v>562</v>
      </c>
      <c r="H9" s="116" t="s">
        <v>563</v>
      </c>
    </row>
    <row r="10" spans="1:8" ht="21.6" customHeight="1" x14ac:dyDescent="0.3">
      <c r="A10" s="112" t="s">
        <v>140</v>
      </c>
      <c r="B10" s="116" t="s">
        <v>564</v>
      </c>
      <c r="C10" s="116" t="s">
        <v>565</v>
      </c>
      <c r="D10" s="116" t="s">
        <v>566</v>
      </c>
      <c r="E10" s="116" t="s">
        <v>566</v>
      </c>
      <c r="F10" s="116" t="s">
        <v>567</v>
      </c>
      <c r="G10" s="116" t="s">
        <v>568</v>
      </c>
      <c r="H10" s="116" t="s">
        <v>569</v>
      </c>
    </row>
    <row r="11" spans="1:8" hidden="1" x14ac:dyDescent="0.3">
      <c r="A11" s="112" t="s">
        <v>231</v>
      </c>
      <c r="B11" s="116" t="e">
        <v>#VALUE!</v>
      </c>
      <c r="C11" s="116" t="e">
        <v>#VALUE!</v>
      </c>
      <c r="D11" s="116" t="e">
        <v>#VALUE!</v>
      </c>
      <c r="E11" s="116" t="e">
        <v>#VALUE!</v>
      </c>
      <c r="F11" s="116" t="e">
        <v>#VALUE!</v>
      </c>
      <c r="G11" s="116" t="e">
        <v>#VALUE!</v>
      </c>
      <c r="H11" s="116" t="e">
        <v>#VALUE!</v>
      </c>
    </row>
    <row r="12" spans="1:8" hidden="1" x14ac:dyDescent="0.3">
      <c r="A12" s="112" t="s">
        <v>231</v>
      </c>
      <c r="B12" s="116" t="e">
        <v>#VALUE!</v>
      </c>
      <c r="C12" s="116" t="e">
        <v>#VALUE!</v>
      </c>
      <c r="D12" s="116" t="e">
        <v>#VALUE!</v>
      </c>
      <c r="E12" s="116" t="e">
        <v>#VALUE!</v>
      </c>
      <c r="F12" s="116" t="e">
        <v>#VALUE!</v>
      </c>
      <c r="G12" s="116" t="e">
        <v>#VALUE!</v>
      </c>
      <c r="H12" s="116" t="e">
        <v>#VALUE!</v>
      </c>
    </row>
    <row r="13" spans="1:8" hidden="1" x14ac:dyDescent="0.3">
      <c r="A13" s="112" t="s">
        <v>231</v>
      </c>
      <c r="B13" s="116" t="e">
        <v>#VALUE!</v>
      </c>
      <c r="C13" s="116" t="e">
        <v>#VALUE!</v>
      </c>
      <c r="D13" s="116" t="e">
        <v>#VALUE!</v>
      </c>
      <c r="E13" s="116" t="e">
        <v>#VALUE!</v>
      </c>
      <c r="F13" s="116" t="e">
        <v>#VALUE!</v>
      </c>
      <c r="G13" s="116" t="e">
        <v>#VALUE!</v>
      </c>
      <c r="H13" s="116" t="e">
        <v>#VALUE!</v>
      </c>
    </row>
    <row r="14" spans="1:8" hidden="1" x14ac:dyDescent="0.3">
      <c r="A14" s="112" t="s">
        <v>231</v>
      </c>
      <c r="B14" s="116" t="e">
        <v>#VALUE!</v>
      </c>
      <c r="C14" s="116" t="e">
        <v>#VALUE!</v>
      </c>
      <c r="D14" s="116" t="e">
        <v>#VALUE!</v>
      </c>
      <c r="E14" s="116" t="e">
        <v>#VALUE!</v>
      </c>
      <c r="F14" s="116" t="e">
        <v>#VALUE!</v>
      </c>
      <c r="G14" s="116" t="e">
        <v>#VALUE!</v>
      </c>
      <c r="H14" s="116" t="e">
        <v>#VALUE!</v>
      </c>
    </row>
    <row r="15" spans="1:8" hidden="1" x14ac:dyDescent="0.3">
      <c r="A15" s="112" t="s">
        <v>231</v>
      </c>
      <c r="B15" s="116" t="e">
        <v>#VALUE!</v>
      </c>
      <c r="C15" s="116" t="e">
        <v>#VALUE!</v>
      </c>
      <c r="D15" s="116" t="e">
        <v>#VALUE!</v>
      </c>
      <c r="E15" s="116" t="e">
        <v>#VALUE!</v>
      </c>
      <c r="F15" s="116" t="e">
        <v>#VALUE!</v>
      </c>
      <c r="G15" s="116" t="e">
        <v>#VALUE!</v>
      </c>
      <c r="H15" s="116" t="e">
        <v>#VALUE!</v>
      </c>
    </row>
    <row r="16" spans="1:8" hidden="1" x14ac:dyDescent="0.3">
      <c r="A16" s="112" t="s">
        <v>231</v>
      </c>
      <c r="B16" s="116" t="e">
        <v>#VALUE!</v>
      </c>
      <c r="C16" s="116" t="e">
        <v>#VALUE!</v>
      </c>
      <c r="D16" s="116" t="e">
        <v>#VALUE!</v>
      </c>
      <c r="E16" s="116" t="e">
        <v>#VALUE!</v>
      </c>
      <c r="F16" s="116" t="e">
        <v>#VALUE!</v>
      </c>
      <c r="G16" s="116" t="e">
        <v>#VALUE!</v>
      </c>
      <c r="H16" s="116" t="e">
        <v>#VALUE!</v>
      </c>
    </row>
    <row r="17" spans="1:8" hidden="1" x14ac:dyDescent="0.3">
      <c r="A17" s="112" t="s">
        <v>231</v>
      </c>
      <c r="B17" s="116" t="e">
        <v>#VALUE!</v>
      </c>
      <c r="C17" s="116" t="e">
        <v>#VALUE!</v>
      </c>
      <c r="D17" s="116" t="e">
        <v>#VALUE!</v>
      </c>
      <c r="E17" s="116" t="e">
        <v>#VALUE!</v>
      </c>
      <c r="F17" s="116" t="e">
        <v>#VALUE!</v>
      </c>
      <c r="G17" s="116" t="e">
        <v>#VALUE!</v>
      </c>
      <c r="H17" s="116" t="e">
        <v>#VALUE!</v>
      </c>
    </row>
    <row r="18" spans="1:8" hidden="1" x14ac:dyDescent="0.3">
      <c r="A18" s="111" t="s">
        <v>231</v>
      </c>
      <c r="B18" s="117" t="e">
        <v>#VALUE!</v>
      </c>
      <c r="C18" s="117" t="e">
        <v>#VALUE!</v>
      </c>
      <c r="D18" s="117" t="e">
        <v>#VALUE!</v>
      </c>
      <c r="E18" s="117" t="e">
        <v>#VALUE!</v>
      </c>
      <c r="F18" s="117" t="e">
        <v>#VALUE!</v>
      </c>
      <c r="G18" s="117" t="e">
        <v>#VALUE!</v>
      </c>
      <c r="H18" s="117" t="e">
        <v>#VALUE!</v>
      </c>
    </row>
    <row r="19" spans="1:8" hidden="1" x14ac:dyDescent="0.3">
      <c r="A19" s="112" t="s">
        <v>231</v>
      </c>
      <c r="B19" s="118" t="e">
        <v>#VALUE!</v>
      </c>
      <c r="C19" s="118" t="e">
        <v>#VALUE!</v>
      </c>
      <c r="D19" s="118" t="e">
        <v>#VALUE!</v>
      </c>
      <c r="E19" s="118" t="e">
        <v>#VALUE!</v>
      </c>
      <c r="F19" s="118" t="e">
        <v>#VALUE!</v>
      </c>
      <c r="G19" s="118" t="e">
        <v>#VALUE!</v>
      </c>
      <c r="H19" s="118" t="e">
        <v>#VALUE!</v>
      </c>
    </row>
    <row r="20" spans="1:8" hidden="1" x14ac:dyDescent="0.3">
      <c r="A20" s="112" t="s">
        <v>231</v>
      </c>
      <c r="B20" s="118" t="e">
        <v>#VALUE!</v>
      </c>
      <c r="C20" s="118" t="e">
        <v>#VALUE!</v>
      </c>
      <c r="D20" s="118" t="e">
        <v>#VALUE!</v>
      </c>
      <c r="E20" s="118" t="e">
        <v>#VALUE!</v>
      </c>
      <c r="F20" s="118" t="e">
        <v>#VALUE!</v>
      </c>
      <c r="G20" s="118" t="e">
        <v>#VALUE!</v>
      </c>
      <c r="H20" s="118" t="e">
        <v>#VALUE!</v>
      </c>
    </row>
    <row r="21" spans="1:8" hidden="1" x14ac:dyDescent="0.3">
      <c r="A21" s="112" t="s">
        <v>231</v>
      </c>
      <c r="B21" s="118" t="e">
        <v>#VALUE!</v>
      </c>
      <c r="C21" s="118" t="e">
        <v>#VALUE!</v>
      </c>
      <c r="D21" s="118" t="e">
        <v>#VALUE!</v>
      </c>
      <c r="E21" s="118" t="e">
        <v>#VALUE!</v>
      </c>
      <c r="F21" s="118" t="e">
        <v>#VALUE!</v>
      </c>
      <c r="G21" s="118" t="e">
        <v>#VALUE!</v>
      </c>
      <c r="H21" s="118" t="e">
        <v>#VALUE!</v>
      </c>
    </row>
    <row r="22" spans="1:8" hidden="1" x14ac:dyDescent="0.3">
      <c r="A22" s="112" t="s">
        <v>231</v>
      </c>
      <c r="B22" s="118" t="e">
        <v>#VALUE!</v>
      </c>
      <c r="C22" s="118" t="e">
        <v>#VALUE!</v>
      </c>
      <c r="D22" s="118" t="e">
        <v>#VALUE!</v>
      </c>
      <c r="E22" s="118" t="e">
        <v>#VALUE!</v>
      </c>
      <c r="F22" s="118" t="e">
        <v>#VALUE!</v>
      </c>
      <c r="G22" s="118" t="e">
        <v>#VALUE!</v>
      </c>
      <c r="H22" s="118" t="e">
        <v>#VALUE!</v>
      </c>
    </row>
    <row r="23" spans="1:8" hidden="1" x14ac:dyDescent="0.3">
      <c r="A23" s="119" t="s">
        <v>231</v>
      </c>
      <c r="B23" s="120" t="e">
        <v>#VALUE!</v>
      </c>
      <c r="C23" s="120" t="e">
        <v>#VALUE!</v>
      </c>
      <c r="D23" s="120" t="e">
        <v>#VALUE!</v>
      </c>
      <c r="E23" s="120" t="e">
        <v>#VALUE!</v>
      </c>
      <c r="F23" s="120" t="e">
        <v>#VALUE!</v>
      </c>
      <c r="G23" s="120" t="e">
        <v>#VALUE!</v>
      </c>
      <c r="H23" s="120" t="e">
        <v>#VALUE!</v>
      </c>
    </row>
    <row r="24" spans="1:8" ht="21.6" customHeight="1" x14ac:dyDescent="0.3">
      <c r="A24" s="98" t="str">
        <f>year!$I$4</f>
        <v>RABI II 2023-24</v>
      </c>
      <c r="B24" s="78"/>
      <c r="C24" s="78"/>
      <c r="D24" s="78"/>
      <c r="E24" s="78"/>
      <c r="F24" s="78"/>
      <c r="G24" s="78"/>
      <c r="H24" s="78"/>
    </row>
    <row r="25" spans="1:8" ht="21.6" customHeight="1" x14ac:dyDescent="0.3">
      <c r="A25" s="112" t="s">
        <v>308</v>
      </c>
      <c r="B25" s="116" t="s">
        <v>570</v>
      </c>
      <c r="C25" s="116" t="s">
        <v>570</v>
      </c>
      <c r="D25" s="116" t="s">
        <v>571</v>
      </c>
      <c r="E25" s="116" t="s">
        <v>571</v>
      </c>
      <c r="F25" s="116" t="s">
        <v>572</v>
      </c>
      <c r="G25" s="116" t="s">
        <v>572</v>
      </c>
      <c r="H25" s="116" t="s">
        <v>573</v>
      </c>
    </row>
    <row r="26" spans="1:8" ht="21.6" customHeight="1" x14ac:dyDescent="0.3">
      <c r="A26" s="111" t="s">
        <v>140</v>
      </c>
      <c r="B26" s="117" t="s">
        <v>574</v>
      </c>
      <c r="C26" s="117" t="s">
        <v>574</v>
      </c>
      <c r="D26" s="117" t="s">
        <v>575</v>
      </c>
      <c r="E26" s="117" t="s">
        <v>576</v>
      </c>
      <c r="F26" s="117" t="s">
        <v>577</v>
      </c>
      <c r="G26" s="117" t="s">
        <v>578</v>
      </c>
      <c r="H26" s="117" t="s">
        <v>579</v>
      </c>
    </row>
    <row r="27" spans="1:8" hidden="1" x14ac:dyDescent="0.3">
      <c r="A27" s="112" t="s">
        <v>231</v>
      </c>
      <c r="B27" s="116" t="e">
        <v>#VALUE!</v>
      </c>
      <c r="C27" s="116" t="e">
        <v>#VALUE!</v>
      </c>
      <c r="D27" s="116" t="e">
        <v>#VALUE!</v>
      </c>
      <c r="E27" s="116" t="e">
        <v>#VALUE!</v>
      </c>
      <c r="F27" s="116" t="e">
        <v>#VALUE!</v>
      </c>
      <c r="G27" s="116" t="e">
        <v>#VALUE!</v>
      </c>
      <c r="H27" s="116" t="e">
        <v>#VALUE!</v>
      </c>
    </row>
    <row r="28" spans="1:8" hidden="1" x14ac:dyDescent="0.3">
      <c r="A28" s="112" t="s">
        <v>231</v>
      </c>
      <c r="B28" s="116" t="e">
        <v>#VALUE!</v>
      </c>
      <c r="C28" s="116" t="e">
        <v>#VALUE!</v>
      </c>
      <c r="D28" s="116" t="e">
        <v>#VALUE!</v>
      </c>
      <c r="E28" s="116" t="e">
        <v>#VALUE!</v>
      </c>
      <c r="F28" s="116" t="e">
        <v>#VALUE!</v>
      </c>
      <c r="G28" s="116" t="e">
        <v>#VALUE!</v>
      </c>
      <c r="H28" s="116" t="e">
        <v>#VALUE!</v>
      </c>
    </row>
    <row r="29" spans="1:8" hidden="1" x14ac:dyDescent="0.3">
      <c r="A29" s="112" t="s">
        <v>231</v>
      </c>
      <c r="B29" s="116" t="e">
        <v>#VALUE!</v>
      </c>
      <c r="C29" s="116" t="e">
        <v>#VALUE!</v>
      </c>
      <c r="D29" s="116" t="e">
        <v>#VALUE!</v>
      </c>
      <c r="E29" s="116" t="e">
        <v>#VALUE!</v>
      </c>
      <c r="F29" s="116" t="e">
        <v>#VALUE!</v>
      </c>
      <c r="G29" s="116" t="e">
        <v>#VALUE!</v>
      </c>
      <c r="H29" s="116" t="e">
        <v>#VALUE!</v>
      </c>
    </row>
    <row r="30" spans="1:8" hidden="1" x14ac:dyDescent="0.3">
      <c r="A30" s="112" t="s">
        <v>231</v>
      </c>
      <c r="B30" s="116" t="e">
        <v>#VALUE!</v>
      </c>
      <c r="C30" s="116" t="e">
        <v>#VALUE!</v>
      </c>
      <c r="D30" s="116" t="e">
        <v>#VALUE!</v>
      </c>
      <c r="E30" s="116" t="e">
        <v>#VALUE!</v>
      </c>
      <c r="F30" s="116" t="e">
        <v>#VALUE!</v>
      </c>
      <c r="G30" s="116" t="e">
        <v>#VALUE!</v>
      </c>
      <c r="H30" s="116" t="e">
        <v>#VALUE!</v>
      </c>
    </row>
    <row r="31" spans="1:8" hidden="1" x14ac:dyDescent="0.3">
      <c r="A31" s="112" t="s">
        <v>231</v>
      </c>
      <c r="B31" s="116" t="e">
        <v>#VALUE!</v>
      </c>
      <c r="C31" s="116" t="e">
        <v>#VALUE!</v>
      </c>
      <c r="D31" s="116" t="e">
        <v>#VALUE!</v>
      </c>
      <c r="E31" s="116" t="e">
        <v>#VALUE!</v>
      </c>
      <c r="F31" s="116" t="e">
        <v>#VALUE!</v>
      </c>
      <c r="G31" s="116" t="e">
        <v>#VALUE!</v>
      </c>
      <c r="H31" s="116" t="e">
        <v>#VALUE!</v>
      </c>
    </row>
    <row r="32" spans="1:8" hidden="1" x14ac:dyDescent="0.3">
      <c r="A32" s="112" t="s">
        <v>231</v>
      </c>
      <c r="B32" s="116" t="e">
        <v>#VALUE!</v>
      </c>
      <c r="C32" s="116" t="e">
        <v>#VALUE!</v>
      </c>
      <c r="D32" s="116" t="e">
        <v>#VALUE!</v>
      </c>
      <c r="E32" s="116" t="e">
        <v>#VALUE!</v>
      </c>
      <c r="F32" s="116" t="e">
        <v>#VALUE!</v>
      </c>
      <c r="G32" s="116" t="e">
        <v>#VALUE!</v>
      </c>
      <c r="H32" s="116" t="e">
        <v>#VALUE!</v>
      </c>
    </row>
    <row r="33" spans="1:8" hidden="1" x14ac:dyDescent="0.3">
      <c r="A33" s="112" t="s">
        <v>231</v>
      </c>
      <c r="B33" s="116" t="e">
        <v>#VALUE!</v>
      </c>
      <c r="C33" s="116" t="e">
        <v>#VALUE!</v>
      </c>
      <c r="D33" s="116" t="e">
        <v>#VALUE!</v>
      </c>
      <c r="E33" s="116" t="e">
        <v>#VALUE!</v>
      </c>
      <c r="F33" s="116" t="e">
        <v>#VALUE!</v>
      </c>
      <c r="G33" s="116" t="e">
        <v>#VALUE!</v>
      </c>
      <c r="H33" s="116" t="e">
        <v>#VALUE!</v>
      </c>
    </row>
    <row r="34" spans="1:8" ht="15" hidden="1" thickBot="1" x14ac:dyDescent="0.35">
      <c r="A34" s="114" t="s">
        <v>231</v>
      </c>
      <c r="B34" s="121" t="e">
        <v>#VALUE!</v>
      </c>
      <c r="C34" s="121" t="e">
        <v>#VALUE!</v>
      </c>
      <c r="D34" s="121" t="e">
        <v>#VALUE!</v>
      </c>
      <c r="E34" s="121" t="e">
        <v>#VALUE!</v>
      </c>
      <c r="F34" s="121" t="e">
        <v>#VALUE!</v>
      </c>
      <c r="G34" s="121" t="e">
        <v>#VALUE!</v>
      </c>
      <c r="H34" s="121" t="e">
        <v>#VALUE!</v>
      </c>
    </row>
    <row r="35" spans="1:8" hidden="1" x14ac:dyDescent="0.3">
      <c r="A35" s="112" t="s">
        <v>231</v>
      </c>
      <c r="B35" s="118" t="e">
        <v>#VALUE!</v>
      </c>
      <c r="C35" s="118" t="e">
        <v>#VALUE!</v>
      </c>
      <c r="D35" s="118" t="e">
        <v>#VALUE!</v>
      </c>
      <c r="E35" s="118" t="e">
        <v>#VALUE!</v>
      </c>
      <c r="F35" s="118" t="e">
        <v>#VALUE!</v>
      </c>
      <c r="G35" s="118" t="e">
        <v>#VALUE!</v>
      </c>
      <c r="H35" s="118" t="e">
        <v>#VALUE!</v>
      </c>
    </row>
    <row r="36" spans="1:8" hidden="1" x14ac:dyDescent="0.3">
      <c r="A36" s="112" t="s">
        <v>231</v>
      </c>
      <c r="B36" s="118" t="e">
        <v>#VALUE!</v>
      </c>
      <c r="C36" s="118" t="e">
        <v>#VALUE!</v>
      </c>
      <c r="D36" s="118" t="e">
        <v>#VALUE!</v>
      </c>
      <c r="E36" s="118" t="e">
        <v>#VALUE!</v>
      </c>
      <c r="F36" s="118" t="e">
        <v>#VALUE!</v>
      </c>
      <c r="G36" s="118" t="e">
        <v>#VALUE!</v>
      </c>
      <c r="H36" s="118" t="e">
        <v>#VALUE!</v>
      </c>
    </row>
    <row r="37" spans="1:8" hidden="1" x14ac:dyDescent="0.3">
      <c r="A37" s="112" t="s">
        <v>231</v>
      </c>
      <c r="B37" s="118" t="e">
        <v>#VALUE!</v>
      </c>
      <c r="C37" s="118" t="e">
        <v>#VALUE!</v>
      </c>
      <c r="D37" s="118" t="e">
        <v>#VALUE!</v>
      </c>
      <c r="E37" s="118" t="e">
        <v>#VALUE!</v>
      </c>
      <c r="F37" s="118" t="e">
        <v>#VALUE!</v>
      </c>
      <c r="G37" s="118" t="e">
        <v>#VALUE!</v>
      </c>
      <c r="H37" s="118" t="e">
        <v>#VALUE!</v>
      </c>
    </row>
    <row r="38" spans="1:8" hidden="1" x14ac:dyDescent="0.3">
      <c r="A38" s="112" t="s">
        <v>231</v>
      </c>
      <c r="B38" s="118" t="e">
        <v>#VALUE!</v>
      </c>
      <c r="C38" s="118" t="e">
        <v>#VALUE!</v>
      </c>
      <c r="D38" s="118" t="e">
        <v>#VALUE!</v>
      </c>
      <c r="E38" s="118" t="e">
        <v>#VALUE!</v>
      </c>
      <c r="F38" s="118" t="e">
        <v>#VALUE!</v>
      </c>
      <c r="G38" s="118" t="e">
        <v>#VALUE!</v>
      </c>
      <c r="H38" s="118" t="e">
        <v>#VALUE!</v>
      </c>
    </row>
    <row r="39" spans="1:8" hidden="1" x14ac:dyDescent="0.3">
      <c r="A39" s="112" t="s">
        <v>231</v>
      </c>
      <c r="B39" s="118" t="e">
        <v>#VALUE!</v>
      </c>
      <c r="C39" s="118" t="e">
        <v>#VALUE!</v>
      </c>
      <c r="D39" s="118" t="e">
        <v>#VALUE!</v>
      </c>
      <c r="E39" s="118" t="e">
        <v>#VALUE!</v>
      </c>
      <c r="F39" s="118" t="e">
        <v>#VALUE!</v>
      </c>
      <c r="G39" s="118" t="e">
        <v>#VALUE!</v>
      </c>
      <c r="H39" s="118" t="e">
        <v>#VALUE!</v>
      </c>
    </row>
    <row r="40" spans="1:8" ht="15" hidden="1" customHeight="1" x14ac:dyDescent="0.3">
      <c r="A40" s="277" t="s">
        <v>102</v>
      </c>
      <c r="B40" s="277"/>
      <c r="C40" s="277"/>
      <c r="D40" s="277"/>
      <c r="E40" s="277"/>
      <c r="F40" s="277"/>
      <c r="G40" s="277"/>
      <c r="H40" s="277"/>
    </row>
    <row r="41" spans="1:8" hidden="1" x14ac:dyDescent="0.3">
      <c r="A41" s="237" t="s">
        <v>252</v>
      </c>
      <c r="B41" s="237"/>
      <c r="C41" s="237"/>
      <c r="D41" s="237"/>
      <c r="E41" s="237"/>
      <c r="F41" s="237"/>
      <c r="G41" s="237"/>
      <c r="H41" s="237"/>
    </row>
    <row r="42" spans="1:8" hidden="1" x14ac:dyDescent="0.3">
      <c r="A42" s="274" t="s">
        <v>580</v>
      </c>
      <c r="B42" s="274"/>
      <c r="C42" s="274"/>
      <c r="D42" s="274"/>
      <c r="E42" s="274"/>
      <c r="F42" s="274"/>
      <c r="G42" s="275" t="s">
        <v>555</v>
      </c>
      <c r="H42" s="275"/>
    </row>
    <row r="43" spans="1:8" hidden="1" x14ac:dyDescent="0.3">
      <c r="A43" s="241" t="s">
        <v>556</v>
      </c>
      <c r="B43" s="241"/>
      <c r="C43" s="241"/>
      <c r="D43" s="241"/>
      <c r="E43" s="241"/>
      <c r="F43" s="241"/>
      <c r="G43" s="241"/>
      <c r="H43" s="241"/>
    </row>
    <row r="44" spans="1:8" hidden="1" x14ac:dyDescent="0.3">
      <c r="A44" s="242" t="s">
        <v>260</v>
      </c>
      <c r="B44" s="245" t="s">
        <v>261</v>
      </c>
      <c r="C44" s="245"/>
      <c r="D44" s="245"/>
      <c r="E44" s="245"/>
      <c r="F44" s="245"/>
      <c r="G44" s="245"/>
      <c r="H44" s="245"/>
    </row>
    <row r="45" spans="1:8" ht="14.4" hidden="1" customHeight="1" x14ac:dyDescent="0.3">
      <c r="A45" s="242"/>
      <c r="B45" s="245" t="s">
        <v>262</v>
      </c>
      <c r="C45" s="245"/>
      <c r="D45" s="245" t="s">
        <v>263</v>
      </c>
      <c r="E45" s="245"/>
      <c r="F45" s="245" t="s">
        <v>264</v>
      </c>
      <c r="G45" s="245"/>
      <c r="H45" s="242" t="s">
        <v>265</v>
      </c>
    </row>
    <row r="46" spans="1:8" ht="48" hidden="1" customHeight="1" x14ac:dyDescent="0.3">
      <c r="A46" s="243"/>
      <c r="B46" s="99" t="s">
        <v>258</v>
      </c>
      <c r="C46" s="99" t="s">
        <v>259</v>
      </c>
      <c r="D46" s="99" t="s">
        <v>258</v>
      </c>
      <c r="E46" s="99" t="s">
        <v>259</v>
      </c>
      <c r="F46" s="99" t="s">
        <v>272</v>
      </c>
      <c r="G46" s="99" t="s">
        <v>273</v>
      </c>
      <c r="H46" s="243"/>
    </row>
    <row r="47" spans="1:8" hidden="1" x14ac:dyDescent="0.3">
      <c r="A47" s="100" t="s">
        <v>8</v>
      </c>
      <c r="B47" s="100" t="s">
        <v>9</v>
      </c>
      <c r="C47" s="100" t="s">
        <v>10</v>
      </c>
      <c r="D47" s="100" t="s">
        <v>11</v>
      </c>
      <c r="E47" s="100" t="s">
        <v>12</v>
      </c>
      <c r="F47" s="100" t="s">
        <v>13</v>
      </c>
      <c r="G47" s="100" t="s">
        <v>14</v>
      </c>
      <c r="H47" s="100" t="s">
        <v>15</v>
      </c>
    </row>
    <row r="48" spans="1:8" ht="21.6" customHeight="1" x14ac:dyDescent="0.3">
      <c r="A48" s="98" t="str">
        <f>year!$H$5</f>
        <v>RABI I 2022-23</v>
      </c>
      <c r="B48" s="78"/>
      <c r="C48" s="78"/>
      <c r="D48" s="78"/>
      <c r="E48" s="78"/>
      <c r="F48" s="78"/>
      <c r="G48" s="78"/>
      <c r="H48" s="78"/>
    </row>
    <row r="49" spans="1:8" ht="21.6" customHeight="1" x14ac:dyDescent="0.3">
      <c r="A49" s="112" t="str">
        <f>A9</f>
        <v>PADDY</v>
      </c>
      <c r="B49" s="116" t="s">
        <v>581</v>
      </c>
      <c r="C49" s="116" t="s">
        <v>581</v>
      </c>
      <c r="D49" s="116" t="s">
        <v>582</v>
      </c>
      <c r="E49" s="116" t="s">
        <v>582</v>
      </c>
      <c r="F49" s="116" t="s">
        <v>583</v>
      </c>
      <c r="G49" s="116" t="s">
        <v>583</v>
      </c>
      <c r="H49" s="116" t="s">
        <v>573</v>
      </c>
    </row>
    <row r="50" spans="1:8" ht="21.6" customHeight="1" x14ac:dyDescent="0.3">
      <c r="A50" s="112" t="str">
        <f t="shared" ref="A50:A63" si="0">A10</f>
        <v>OTHERS</v>
      </c>
      <c r="B50" s="116" t="s">
        <v>584</v>
      </c>
      <c r="C50" s="116" t="s">
        <v>584</v>
      </c>
      <c r="D50" s="116" t="s">
        <v>585</v>
      </c>
      <c r="E50" s="116" t="s">
        <v>585</v>
      </c>
      <c r="F50" s="116" t="s">
        <v>586</v>
      </c>
      <c r="G50" s="116" t="s">
        <v>586</v>
      </c>
      <c r="H50" s="116" t="s">
        <v>573</v>
      </c>
    </row>
    <row r="51" spans="1:8" hidden="1" x14ac:dyDescent="0.3">
      <c r="A51" s="112" t="str">
        <f t="shared" si="0"/>
        <v/>
      </c>
      <c r="B51" s="116" t="e">
        <v>#VALUE!</v>
      </c>
      <c r="C51" s="116" t="e">
        <v>#VALUE!</v>
      </c>
      <c r="D51" s="116" t="e">
        <v>#VALUE!</v>
      </c>
      <c r="E51" s="116" t="e">
        <v>#VALUE!</v>
      </c>
      <c r="F51" s="116" t="e">
        <v>#VALUE!</v>
      </c>
      <c r="G51" s="116" t="e">
        <v>#VALUE!</v>
      </c>
      <c r="H51" s="116" t="e">
        <v>#VALUE!</v>
      </c>
    </row>
    <row r="52" spans="1:8" hidden="1" x14ac:dyDescent="0.3">
      <c r="A52" s="112" t="str">
        <f t="shared" si="0"/>
        <v/>
      </c>
      <c r="B52" s="116" t="e">
        <v>#VALUE!</v>
      </c>
      <c r="C52" s="116" t="e">
        <v>#VALUE!</v>
      </c>
      <c r="D52" s="116" t="e">
        <v>#VALUE!</v>
      </c>
      <c r="E52" s="116" t="e">
        <v>#VALUE!</v>
      </c>
      <c r="F52" s="116" t="e">
        <v>#VALUE!</v>
      </c>
      <c r="G52" s="116" t="e">
        <v>#VALUE!</v>
      </c>
      <c r="H52" s="116" t="e">
        <v>#VALUE!</v>
      </c>
    </row>
    <row r="53" spans="1:8" hidden="1" x14ac:dyDescent="0.3">
      <c r="A53" s="112" t="str">
        <f t="shared" si="0"/>
        <v/>
      </c>
      <c r="B53" s="116" t="e">
        <v>#VALUE!</v>
      </c>
      <c r="C53" s="116" t="e">
        <v>#VALUE!</v>
      </c>
      <c r="D53" s="116" t="e">
        <v>#VALUE!</v>
      </c>
      <c r="E53" s="116" t="e">
        <v>#VALUE!</v>
      </c>
      <c r="F53" s="116" t="e">
        <v>#VALUE!</v>
      </c>
      <c r="G53" s="116" t="e">
        <v>#VALUE!</v>
      </c>
      <c r="H53" s="116" t="e">
        <v>#VALUE!</v>
      </c>
    </row>
    <row r="54" spans="1:8" hidden="1" x14ac:dyDescent="0.3">
      <c r="A54" s="112" t="str">
        <f t="shared" si="0"/>
        <v/>
      </c>
      <c r="B54" s="116" t="e">
        <v>#VALUE!</v>
      </c>
      <c r="C54" s="116" t="e">
        <v>#VALUE!</v>
      </c>
      <c r="D54" s="116" t="e">
        <v>#VALUE!</v>
      </c>
      <c r="E54" s="116" t="e">
        <v>#VALUE!</v>
      </c>
      <c r="F54" s="116" t="e">
        <v>#VALUE!</v>
      </c>
      <c r="G54" s="116" t="e">
        <v>#VALUE!</v>
      </c>
      <c r="H54" s="116" t="e">
        <v>#VALUE!</v>
      </c>
    </row>
    <row r="55" spans="1:8" hidden="1" x14ac:dyDescent="0.3">
      <c r="A55" s="112" t="str">
        <f t="shared" si="0"/>
        <v/>
      </c>
      <c r="B55" s="116" t="e">
        <v>#VALUE!</v>
      </c>
      <c r="C55" s="116" t="e">
        <v>#VALUE!</v>
      </c>
      <c r="D55" s="116" t="e">
        <v>#VALUE!</v>
      </c>
      <c r="E55" s="116" t="e">
        <v>#VALUE!</v>
      </c>
      <c r="F55" s="116" t="e">
        <v>#VALUE!</v>
      </c>
      <c r="G55" s="116" t="e">
        <v>#VALUE!</v>
      </c>
      <c r="H55" s="116" t="e">
        <v>#VALUE!</v>
      </c>
    </row>
    <row r="56" spans="1:8" hidden="1" x14ac:dyDescent="0.3">
      <c r="A56" s="112" t="str">
        <f t="shared" si="0"/>
        <v/>
      </c>
      <c r="B56" s="116" t="e">
        <v>#VALUE!</v>
      </c>
      <c r="C56" s="116" t="e">
        <v>#VALUE!</v>
      </c>
      <c r="D56" s="116" t="e">
        <v>#VALUE!</v>
      </c>
      <c r="E56" s="116" t="e">
        <v>#VALUE!</v>
      </c>
      <c r="F56" s="116" t="e">
        <v>#VALUE!</v>
      </c>
      <c r="G56" s="116" t="e">
        <v>#VALUE!</v>
      </c>
      <c r="H56" s="116" t="e">
        <v>#VALUE!</v>
      </c>
    </row>
    <row r="57" spans="1:8" hidden="1" x14ac:dyDescent="0.3">
      <c r="A57" s="112" t="str">
        <f t="shared" si="0"/>
        <v/>
      </c>
      <c r="B57" s="116" t="e">
        <v>#VALUE!</v>
      </c>
      <c r="C57" s="116" t="e">
        <v>#VALUE!</v>
      </c>
      <c r="D57" s="116" t="e">
        <v>#VALUE!</v>
      </c>
      <c r="E57" s="116" t="e">
        <v>#VALUE!</v>
      </c>
      <c r="F57" s="116" t="e">
        <v>#VALUE!</v>
      </c>
      <c r="G57" s="116" t="e">
        <v>#VALUE!</v>
      </c>
      <c r="H57" s="116" t="e">
        <v>#VALUE!</v>
      </c>
    </row>
    <row r="58" spans="1:8" hidden="1" x14ac:dyDescent="0.3">
      <c r="A58" s="111" t="str">
        <f t="shared" si="0"/>
        <v/>
      </c>
      <c r="B58" s="117" t="e">
        <v>#VALUE!</v>
      </c>
      <c r="C58" s="117" t="e">
        <v>#VALUE!</v>
      </c>
      <c r="D58" s="117" t="e">
        <v>#VALUE!</v>
      </c>
      <c r="E58" s="117" t="e">
        <v>#VALUE!</v>
      </c>
      <c r="F58" s="117" t="e">
        <v>#VALUE!</v>
      </c>
      <c r="G58" s="117" t="e">
        <v>#VALUE!</v>
      </c>
      <c r="H58" s="117" t="e">
        <v>#VALUE!</v>
      </c>
    </row>
    <row r="59" spans="1:8" hidden="1" x14ac:dyDescent="0.3">
      <c r="A59" s="112" t="str">
        <f t="shared" si="0"/>
        <v/>
      </c>
      <c r="B59" s="118" t="e">
        <v>#VALUE!</v>
      </c>
      <c r="C59" s="118" t="e">
        <v>#VALUE!</v>
      </c>
      <c r="D59" s="118" t="e">
        <v>#VALUE!</v>
      </c>
      <c r="E59" s="118" t="e">
        <v>#VALUE!</v>
      </c>
      <c r="F59" s="118" t="e">
        <v>#VALUE!</v>
      </c>
      <c r="G59" s="118" t="e">
        <v>#VALUE!</v>
      </c>
      <c r="H59" s="118" t="e">
        <v>#VALUE!</v>
      </c>
    </row>
    <row r="60" spans="1:8" hidden="1" x14ac:dyDescent="0.3">
      <c r="A60" s="112" t="str">
        <f t="shared" si="0"/>
        <v/>
      </c>
      <c r="B60" s="118" t="e">
        <v>#VALUE!</v>
      </c>
      <c r="C60" s="118" t="e">
        <v>#VALUE!</v>
      </c>
      <c r="D60" s="118" t="e">
        <v>#VALUE!</v>
      </c>
      <c r="E60" s="118" t="e">
        <v>#VALUE!</v>
      </c>
      <c r="F60" s="118" t="e">
        <v>#VALUE!</v>
      </c>
      <c r="G60" s="118" t="e">
        <v>#VALUE!</v>
      </c>
      <c r="H60" s="118" t="e">
        <v>#VALUE!</v>
      </c>
    </row>
    <row r="61" spans="1:8" hidden="1" x14ac:dyDescent="0.3">
      <c r="A61" s="112" t="str">
        <f t="shared" si="0"/>
        <v/>
      </c>
      <c r="B61" s="118" t="e">
        <v>#VALUE!</v>
      </c>
      <c r="C61" s="118" t="e">
        <v>#VALUE!</v>
      </c>
      <c r="D61" s="118" t="e">
        <v>#VALUE!</v>
      </c>
      <c r="E61" s="118" t="e">
        <v>#VALUE!</v>
      </c>
      <c r="F61" s="118" t="e">
        <v>#VALUE!</v>
      </c>
      <c r="G61" s="118" t="e">
        <v>#VALUE!</v>
      </c>
      <c r="H61" s="118" t="e">
        <v>#VALUE!</v>
      </c>
    </row>
    <row r="62" spans="1:8" hidden="1" x14ac:dyDescent="0.3">
      <c r="A62" s="112" t="str">
        <f t="shared" si="0"/>
        <v/>
      </c>
      <c r="B62" s="118" t="e">
        <v>#VALUE!</v>
      </c>
      <c r="C62" s="118" t="e">
        <v>#VALUE!</v>
      </c>
      <c r="D62" s="118" t="e">
        <v>#VALUE!</v>
      </c>
      <c r="E62" s="118" t="e">
        <v>#VALUE!</v>
      </c>
      <c r="F62" s="118" t="e">
        <v>#VALUE!</v>
      </c>
      <c r="G62" s="118" t="e">
        <v>#VALUE!</v>
      </c>
      <c r="H62" s="118" t="e">
        <v>#VALUE!</v>
      </c>
    </row>
    <row r="63" spans="1:8" hidden="1" x14ac:dyDescent="0.3">
      <c r="A63" s="119" t="str">
        <f t="shared" si="0"/>
        <v/>
      </c>
      <c r="B63" s="120" t="e">
        <v>#VALUE!</v>
      </c>
      <c r="C63" s="120" t="e">
        <v>#VALUE!</v>
      </c>
      <c r="D63" s="120" t="e">
        <v>#VALUE!</v>
      </c>
      <c r="E63" s="120" t="e">
        <v>#VALUE!</v>
      </c>
      <c r="F63" s="120" t="e">
        <v>#VALUE!</v>
      </c>
      <c r="G63" s="120" t="e">
        <v>#VALUE!</v>
      </c>
      <c r="H63" s="120" t="e">
        <v>#VALUE!</v>
      </c>
    </row>
    <row r="64" spans="1:8" ht="21.6" customHeight="1" x14ac:dyDescent="0.3">
      <c r="A64" s="98" t="str">
        <f>year!$I$5</f>
        <v>RABI II 2022-23</v>
      </c>
      <c r="B64" s="78"/>
      <c r="C64" s="78"/>
      <c r="D64" s="78"/>
      <c r="E64" s="78"/>
      <c r="F64" s="78"/>
      <c r="G64" s="78"/>
      <c r="H64" s="78"/>
    </row>
    <row r="65" spans="1:8" ht="21.6" customHeight="1" x14ac:dyDescent="0.3">
      <c r="A65" s="112" t="str">
        <f>A25</f>
        <v>PADDY</v>
      </c>
      <c r="B65" s="116" t="s">
        <v>587</v>
      </c>
      <c r="C65" s="116" t="s">
        <v>587</v>
      </c>
      <c r="D65" s="116" t="s">
        <v>588</v>
      </c>
      <c r="E65" s="116" t="s">
        <v>589</v>
      </c>
      <c r="F65" s="116" t="s">
        <v>590</v>
      </c>
      <c r="G65" s="116" t="s">
        <v>591</v>
      </c>
      <c r="H65" s="116" t="s">
        <v>592</v>
      </c>
    </row>
    <row r="66" spans="1:8" ht="21.6" customHeight="1" thickBot="1" x14ac:dyDescent="0.35">
      <c r="A66" s="114" t="str">
        <f t="shared" ref="A66:A79" si="1">A26</f>
        <v>OTHERS</v>
      </c>
      <c r="B66" s="121" t="s">
        <v>593</v>
      </c>
      <c r="C66" s="121" t="s">
        <v>594</v>
      </c>
      <c r="D66" s="121" t="s">
        <v>595</v>
      </c>
      <c r="E66" s="121" t="s">
        <v>596</v>
      </c>
      <c r="F66" s="121" t="s">
        <v>597</v>
      </c>
      <c r="G66" s="121" t="s">
        <v>598</v>
      </c>
      <c r="H66" s="121" t="s">
        <v>599</v>
      </c>
    </row>
    <row r="67" spans="1:8" hidden="1" x14ac:dyDescent="0.3">
      <c r="A67" s="112" t="str">
        <f t="shared" si="1"/>
        <v/>
      </c>
      <c r="B67" s="116" t="e">
        <v>#VALUE!</v>
      </c>
      <c r="C67" s="116" t="e">
        <v>#VALUE!</v>
      </c>
      <c r="D67" s="116" t="e">
        <v>#VALUE!</v>
      </c>
      <c r="E67" s="116" t="e">
        <v>#VALUE!</v>
      </c>
      <c r="F67" s="116" t="e">
        <v>#VALUE!</v>
      </c>
      <c r="G67" s="116" t="e">
        <v>#VALUE!</v>
      </c>
      <c r="H67" s="116" t="e">
        <v>#VALUE!</v>
      </c>
    </row>
    <row r="68" spans="1:8" hidden="1" x14ac:dyDescent="0.3">
      <c r="A68" s="112" t="str">
        <f t="shared" si="1"/>
        <v/>
      </c>
      <c r="B68" s="116" t="e">
        <v>#VALUE!</v>
      </c>
      <c r="C68" s="116" t="e">
        <v>#VALUE!</v>
      </c>
      <c r="D68" s="116" t="e">
        <v>#VALUE!</v>
      </c>
      <c r="E68" s="116" t="e">
        <v>#VALUE!</v>
      </c>
      <c r="F68" s="116" t="e">
        <v>#VALUE!</v>
      </c>
      <c r="G68" s="116" t="e">
        <v>#VALUE!</v>
      </c>
      <c r="H68" s="116" t="e">
        <v>#VALUE!</v>
      </c>
    </row>
    <row r="69" spans="1:8" hidden="1" x14ac:dyDescent="0.3">
      <c r="A69" s="112" t="str">
        <f t="shared" si="1"/>
        <v/>
      </c>
      <c r="B69" s="116" t="e">
        <v>#VALUE!</v>
      </c>
      <c r="C69" s="116" t="e">
        <v>#VALUE!</v>
      </c>
      <c r="D69" s="116" t="e">
        <v>#VALUE!</v>
      </c>
      <c r="E69" s="116" t="e">
        <v>#VALUE!</v>
      </c>
      <c r="F69" s="116" t="e">
        <v>#VALUE!</v>
      </c>
      <c r="G69" s="116" t="e">
        <v>#VALUE!</v>
      </c>
      <c r="H69" s="116" t="e">
        <v>#VALUE!</v>
      </c>
    </row>
    <row r="70" spans="1:8" hidden="1" x14ac:dyDescent="0.3">
      <c r="A70" s="112" t="str">
        <f t="shared" si="1"/>
        <v/>
      </c>
      <c r="B70" s="116" t="e">
        <v>#VALUE!</v>
      </c>
      <c r="C70" s="116" t="e">
        <v>#VALUE!</v>
      </c>
      <c r="D70" s="116" t="e">
        <v>#VALUE!</v>
      </c>
      <c r="E70" s="116" t="e">
        <v>#VALUE!</v>
      </c>
      <c r="F70" s="116" t="e">
        <v>#VALUE!</v>
      </c>
      <c r="G70" s="116" t="e">
        <v>#VALUE!</v>
      </c>
      <c r="H70" s="116" t="e">
        <v>#VALUE!</v>
      </c>
    </row>
    <row r="71" spans="1:8" hidden="1" x14ac:dyDescent="0.3">
      <c r="A71" s="112" t="str">
        <f t="shared" si="1"/>
        <v/>
      </c>
      <c r="B71" s="116" t="e">
        <v>#VALUE!</v>
      </c>
      <c r="C71" s="116" t="e">
        <v>#VALUE!</v>
      </c>
      <c r="D71" s="116" t="e">
        <v>#VALUE!</v>
      </c>
      <c r="E71" s="116" t="e">
        <v>#VALUE!</v>
      </c>
      <c r="F71" s="116" t="e">
        <v>#VALUE!</v>
      </c>
      <c r="G71" s="116" t="e">
        <v>#VALUE!</v>
      </c>
      <c r="H71" s="116" t="e">
        <v>#VALUE!</v>
      </c>
    </row>
    <row r="72" spans="1:8" hidden="1" x14ac:dyDescent="0.3">
      <c r="A72" s="112" t="str">
        <f t="shared" si="1"/>
        <v/>
      </c>
      <c r="B72" s="116" t="e">
        <v>#VALUE!</v>
      </c>
      <c r="C72" s="116" t="e">
        <v>#VALUE!</v>
      </c>
      <c r="D72" s="116" t="e">
        <v>#VALUE!</v>
      </c>
      <c r="E72" s="116" t="e">
        <v>#VALUE!</v>
      </c>
      <c r="F72" s="116" t="e">
        <v>#VALUE!</v>
      </c>
      <c r="G72" s="116" t="e">
        <v>#VALUE!</v>
      </c>
      <c r="H72" s="116" t="e">
        <v>#VALUE!</v>
      </c>
    </row>
    <row r="73" spans="1:8" hidden="1" x14ac:dyDescent="0.3">
      <c r="A73" s="112" t="str">
        <f t="shared" si="1"/>
        <v/>
      </c>
      <c r="B73" s="116" t="e">
        <v>#VALUE!</v>
      </c>
      <c r="C73" s="116" t="e">
        <v>#VALUE!</v>
      </c>
      <c r="D73" s="116" t="e">
        <v>#VALUE!</v>
      </c>
      <c r="E73" s="116" t="e">
        <v>#VALUE!</v>
      </c>
      <c r="F73" s="116" t="e">
        <v>#VALUE!</v>
      </c>
      <c r="G73" s="116" t="e">
        <v>#VALUE!</v>
      </c>
      <c r="H73" s="116" t="e">
        <v>#VALUE!</v>
      </c>
    </row>
    <row r="74" spans="1:8" ht="15" hidden="1" thickBot="1" x14ac:dyDescent="0.35">
      <c r="A74" s="114" t="str">
        <f t="shared" si="1"/>
        <v/>
      </c>
      <c r="B74" s="121" t="e">
        <v>#VALUE!</v>
      </c>
      <c r="C74" s="121" t="e">
        <v>#VALUE!</v>
      </c>
      <c r="D74" s="121" t="e">
        <v>#VALUE!</v>
      </c>
      <c r="E74" s="121" t="e">
        <v>#VALUE!</v>
      </c>
      <c r="F74" s="121" t="e">
        <v>#VALUE!</v>
      </c>
      <c r="G74" s="121" t="e">
        <v>#VALUE!</v>
      </c>
      <c r="H74" s="121" t="e">
        <v>#VALUE!</v>
      </c>
    </row>
    <row r="75" spans="1:8" hidden="1" x14ac:dyDescent="0.3">
      <c r="A75" s="112" t="str">
        <f t="shared" si="1"/>
        <v/>
      </c>
      <c r="B75" s="118" t="e">
        <v>#VALUE!</v>
      </c>
      <c r="C75" s="118" t="e">
        <v>#VALUE!</v>
      </c>
      <c r="D75" s="118" t="e">
        <v>#VALUE!</v>
      </c>
      <c r="E75" s="118" t="e">
        <v>#VALUE!</v>
      </c>
      <c r="F75" s="118" t="e">
        <v>#VALUE!</v>
      </c>
      <c r="G75" s="118" t="e">
        <v>#VALUE!</v>
      </c>
      <c r="H75" s="118" t="e">
        <v>#VALUE!</v>
      </c>
    </row>
    <row r="76" spans="1:8" hidden="1" x14ac:dyDescent="0.3">
      <c r="A76" s="112" t="str">
        <f t="shared" si="1"/>
        <v/>
      </c>
      <c r="B76" s="118" t="e">
        <v>#VALUE!</v>
      </c>
      <c r="C76" s="118" t="e">
        <v>#VALUE!</v>
      </c>
      <c r="D76" s="118" t="e">
        <v>#VALUE!</v>
      </c>
      <c r="E76" s="118" t="e">
        <v>#VALUE!</v>
      </c>
      <c r="F76" s="118" t="e">
        <v>#VALUE!</v>
      </c>
      <c r="G76" s="118" t="e">
        <v>#VALUE!</v>
      </c>
      <c r="H76" s="118" t="e">
        <v>#VALUE!</v>
      </c>
    </row>
    <row r="77" spans="1:8" hidden="1" x14ac:dyDescent="0.3">
      <c r="A77" s="112" t="str">
        <f t="shared" si="1"/>
        <v/>
      </c>
      <c r="B77" s="118" t="e">
        <v>#VALUE!</v>
      </c>
      <c r="C77" s="118" t="e">
        <v>#VALUE!</v>
      </c>
      <c r="D77" s="118" t="e">
        <v>#VALUE!</v>
      </c>
      <c r="E77" s="118" t="e">
        <v>#VALUE!</v>
      </c>
      <c r="F77" s="118" t="e">
        <v>#VALUE!</v>
      </c>
      <c r="G77" s="118" t="e">
        <v>#VALUE!</v>
      </c>
      <c r="H77" s="118" t="e">
        <v>#VALUE!</v>
      </c>
    </row>
    <row r="78" spans="1:8" hidden="1" x14ac:dyDescent="0.3">
      <c r="A78" s="112" t="str">
        <f t="shared" si="1"/>
        <v/>
      </c>
      <c r="B78" s="118" t="e">
        <v>#VALUE!</v>
      </c>
      <c r="C78" s="118" t="e">
        <v>#VALUE!</v>
      </c>
      <c r="D78" s="118" t="e">
        <v>#VALUE!</v>
      </c>
      <c r="E78" s="118" t="e">
        <v>#VALUE!</v>
      </c>
      <c r="F78" s="118" t="e">
        <v>#VALUE!</v>
      </c>
      <c r="G78" s="118" t="e">
        <v>#VALUE!</v>
      </c>
      <c r="H78" s="118" t="e">
        <v>#VALUE!</v>
      </c>
    </row>
    <row r="79" spans="1:8" hidden="1" x14ac:dyDescent="0.3">
      <c r="A79" s="112" t="str">
        <f t="shared" si="1"/>
        <v/>
      </c>
      <c r="B79" s="118" t="e">
        <v>#VALUE!</v>
      </c>
      <c r="C79" s="118" t="e">
        <v>#VALUE!</v>
      </c>
      <c r="D79" s="118" t="e">
        <v>#VALUE!</v>
      </c>
      <c r="E79" s="118" t="e">
        <v>#VALUE!</v>
      </c>
      <c r="F79" s="118" t="e">
        <v>#VALUE!</v>
      </c>
      <c r="G79" s="118" t="e">
        <v>#VALUE!</v>
      </c>
      <c r="H79" s="118" t="e">
        <v>#VALUE!</v>
      </c>
    </row>
    <row r="80" spans="1:8" ht="15" thickTop="1" x14ac:dyDescent="0.3">
      <c r="A80" s="277"/>
      <c r="B80" s="277"/>
      <c r="C80" s="277"/>
      <c r="D80" s="277"/>
      <c r="E80" s="277"/>
      <c r="F80" s="277"/>
      <c r="G80" s="277"/>
      <c r="H80" s="277"/>
    </row>
    <row r="81" spans="1:8" x14ac:dyDescent="0.3">
      <c r="A81" s="78"/>
      <c r="B81" s="78"/>
      <c r="C81" s="78"/>
      <c r="D81" s="78"/>
      <c r="E81" s="78"/>
      <c r="F81" s="78"/>
      <c r="G81" s="78"/>
      <c r="H81" s="78"/>
    </row>
  </sheetData>
  <mergeCells count="22">
    <mergeCell ref="A43:H43"/>
    <mergeCell ref="A1:H1"/>
    <mergeCell ref="A2:F2"/>
    <mergeCell ref="G2:H2"/>
    <mergeCell ref="A3:H3"/>
    <mergeCell ref="A4:A6"/>
    <mergeCell ref="B4:H4"/>
    <mergeCell ref="B5:C5"/>
    <mergeCell ref="D5:E5"/>
    <mergeCell ref="F5:G5"/>
    <mergeCell ref="H5:H6"/>
    <mergeCell ref="A41:H41"/>
    <mergeCell ref="A42:F42"/>
    <mergeCell ref="G42:H42"/>
    <mergeCell ref="A40:H40"/>
    <mergeCell ref="A80:H80"/>
    <mergeCell ref="A44:A46"/>
    <mergeCell ref="B44:H44"/>
    <mergeCell ref="B45:C45"/>
    <mergeCell ref="D45:E45"/>
    <mergeCell ref="F45:G45"/>
    <mergeCell ref="H45:H4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F45"/>
  <sheetViews>
    <sheetView view="pageBreakPreview" zoomScale="70" zoomScaleNormal="100" zoomScaleSheetLayoutView="70" workbookViewId="0">
      <selection activeCell="V19" sqref="V19"/>
    </sheetView>
  </sheetViews>
  <sheetFormatPr defaultRowHeight="14.4" x14ac:dyDescent="0.3"/>
  <cols>
    <col min="1" max="1" width="20.5546875" customWidth="1"/>
    <col min="2" max="2" width="14.109375" customWidth="1"/>
    <col min="3" max="16" width="9" customWidth="1"/>
  </cols>
  <sheetData>
    <row r="1" spans="1:32" x14ac:dyDescent="0.3">
      <c r="A1" s="237" t="s">
        <v>78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</row>
    <row r="2" spans="1:32" x14ac:dyDescent="0.3">
      <c r="A2" s="274" t="str">
        <f>year!$H$2</f>
        <v>UT : PUDUCHERRY</v>
      </c>
      <c r="B2" s="274" t="str">
        <f>year!$H$2</f>
        <v>UT : PUDUCHERRY</v>
      </c>
      <c r="C2" s="274" t="str">
        <f>year!$H$2</f>
        <v>UT : PUDUCHERRY</v>
      </c>
      <c r="D2" s="274" t="str">
        <f>year!$H$2</f>
        <v>UT : PUDUCHERRY</v>
      </c>
      <c r="E2" s="274" t="str">
        <f>year!$H$2</f>
        <v>UT : PUDUCHERRY</v>
      </c>
      <c r="F2" s="274" t="str">
        <f>year!$H$2</f>
        <v>UT : PUDUCHERRY</v>
      </c>
      <c r="G2" s="274" t="str">
        <f>year!$H$2</f>
        <v>UT : PUDUCHERRY</v>
      </c>
      <c r="H2" s="274" t="str">
        <f>year!$H$2</f>
        <v>UT : PUDUCHERRY</v>
      </c>
      <c r="I2" s="274" t="str">
        <f>year!$H$2</f>
        <v>UT : PUDUCHERRY</v>
      </c>
      <c r="J2" s="274" t="str">
        <f>year!$H$2</f>
        <v>UT : PUDUCHERRY</v>
      </c>
      <c r="K2" s="274" t="str">
        <f>year!$H$2</f>
        <v>UT : PUDUCHERRY</v>
      </c>
      <c r="L2" s="274" t="str">
        <f>year!$H$2</f>
        <v>UT : PUDUCHERRY</v>
      </c>
      <c r="M2" s="274" t="str">
        <f>year!$H$2</f>
        <v>UT : PUDUCHERRY</v>
      </c>
      <c r="N2" s="274" t="str">
        <f>year!$H$2</f>
        <v>UT : PUDUCHERRY</v>
      </c>
      <c r="O2" s="275" t="s">
        <v>436</v>
      </c>
      <c r="P2" s="275"/>
    </row>
    <row r="3" spans="1:32" ht="15" customHeight="1" x14ac:dyDescent="0.3">
      <c r="A3" s="241" t="s">
        <v>437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32" ht="49.2" customHeight="1" x14ac:dyDescent="0.3">
      <c r="A4" s="240" t="s">
        <v>291</v>
      </c>
      <c r="B4" s="242" t="s">
        <v>292</v>
      </c>
      <c r="C4" s="243" t="s">
        <v>105</v>
      </c>
      <c r="D4" s="243"/>
      <c r="E4" s="243"/>
      <c r="F4" s="243"/>
      <c r="G4" s="243" t="s">
        <v>106</v>
      </c>
      <c r="H4" s="243"/>
      <c r="I4" s="243"/>
      <c r="J4" s="243"/>
      <c r="K4" s="243"/>
      <c r="L4" s="243"/>
      <c r="M4" s="243"/>
      <c r="N4" s="243"/>
      <c r="O4" s="243"/>
      <c r="P4" s="243"/>
    </row>
    <row r="5" spans="1:32" x14ac:dyDescent="0.3">
      <c r="A5" s="240"/>
      <c r="B5" s="242"/>
      <c r="C5" s="244" t="s">
        <v>107</v>
      </c>
      <c r="D5" s="244" t="s">
        <v>108</v>
      </c>
      <c r="E5" s="244" t="s">
        <v>278</v>
      </c>
      <c r="F5" s="244" t="s">
        <v>39</v>
      </c>
      <c r="G5" s="243" t="s">
        <v>109</v>
      </c>
      <c r="H5" s="243"/>
      <c r="I5" s="243"/>
      <c r="J5" s="243"/>
      <c r="K5" s="243"/>
      <c r="L5" s="245" t="s">
        <v>110</v>
      </c>
      <c r="M5" s="245"/>
      <c r="N5" s="245"/>
      <c r="O5" s="245"/>
      <c r="P5" s="245"/>
    </row>
    <row r="6" spans="1:32" ht="12.6" customHeight="1" x14ac:dyDescent="0.3">
      <c r="A6" s="241"/>
      <c r="B6" s="243"/>
      <c r="C6" s="245"/>
      <c r="D6" s="245"/>
      <c r="E6" s="245"/>
      <c r="F6" s="245"/>
      <c r="G6" s="74" t="s">
        <v>107</v>
      </c>
      <c r="H6" s="74" t="s">
        <v>108</v>
      </c>
      <c r="I6" s="74" t="s">
        <v>111</v>
      </c>
      <c r="J6" s="74" t="s">
        <v>112</v>
      </c>
      <c r="K6" s="74" t="s">
        <v>39</v>
      </c>
      <c r="L6" s="74" t="s">
        <v>107</v>
      </c>
      <c r="M6" s="74" t="s">
        <v>108</v>
      </c>
      <c r="N6" s="74" t="s">
        <v>111</v>
      </c>
      <c r="O6" s="74" t="s">
        <v>112</v>
      </c>
      <c r="P6" s="74" t="s">
        <v>39</v>
      </c>
    </row>
    <row r="7" spans="1:32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00" t="s">
        <v>92</v>
      </c>
      <c r="O7" s="100" t="s">
        <v>93</v>
      </c>
      <c r="P7" s="100" t="s">
        <v>94</v>
      </c>
    </row>
    <row r="8" spans="1:32" x14ac:dyDescent="0.3">
      <c r="A8" s="111" t="str">
        <f>year!$H$4</f>
        <v>RABI I 2023-24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</row>
    <row r="9" spans="1:32" x14ac:dyDescent="0.3">
      <c r="A9" s="112" t="s">
        <v>120</v>
      </c>
      <c r="B9" s="72" t="s">
        <v>393</v>
      </c>
      <c r="C9" s="72" t="s">
        <v>438</v>
      </c>
      <c r="D9" s="72" t="s">
        <v>439</v>
      </c>
      <c r="E9" s="72" t="s">
        <v>440</v>
      </c>
      <c r="F9" s="72" t="s">
        <v>441</v>
      </c>
      <c r="G9" s="72" t="s">
        <v>440</v>
      </c>
      <c r="H9" s="72" t="s">
        <v>440</v>
      </c>
      <c r="I9" s="72" t="s">
        <v>440</v>
      </c>
      <c r="J9" s="72" t="s">
        <v>442</v>
      </c>
      <c r="K9" s="72" t="s">
        <v>442</v>
      </c>
      <c r="L9" s="72" t="s">
        <v>442</v>
      </c>
      <c r="M9" s="72" t="s">
        <v>440</v>
      </c>
      <c r="N9" s="72" t="s">
        <v>440</v>
      </c>
      <c r="O9" s="72" t="s">
        <v>440</v>
      </c>
      <c r="P9" s="72" t="s">
        <v>442</v>
      </c>
      <c r="R9" s="122"/>
      <c r="S9" s="122"/>
      <c r="T9" s="122"/>
      <c r="U9" s="122"/>
      <c r="V9" s="122"/>
      <c r="W9" s="26"/>
      <c r="X9" s="26"/>
      <c r="Y9" s="122"/>
      <c r="Z9" s="122"/>
      <c r="AA9" s="26"/>
      <c r="AB9" s="26"/>
      <c r="AC9" s="122"/>
      <c r="AD9" s="26"/>
      <c r="AE9" s="122"/>
      <c r="AF9" s="122"/>
    </row>
    <row r="10" spans="1:32" x14ac:dyDescent="0.3">
      <c r="A10" s="112" t="s">
        <v>443</v>
      </c>
      <c r="B10" s="72"/>
      <c r="C10" s="72" t="s">
        <v>444</v>
      </c>
      <c r="D10" s="72" t="s">
        <v>445</v>
      </c>
      <c r="E10" s="72" t="s">
        <v>446</v>
      </c>
      <c r="F10" s="72" t="s">
        <v>447</v>
      </c>
      <c r="G10" s="72" t="s">
        <v>446</v>
      </c>
      <c r="H10" s="72" t="s">
        <v>446</v>
      </c>
      <c r="I10" s="72" t="s">
        <v>446</v>
      </c>
      <c r="J10" s="72" t="s">
        <v>448</v>
      </c>
      <c r="K10" s="72" t="s">
        <v>448</v>
      </c>
      <c r="L10" s="72" t="s">
        <v>448</v>
      </c>
      <c r="M10" s="72" t="s">
        <v>446</v>
      </c>
      <c r="N10" s="72" t="s">
        <v>446</v>
      </c>
      <c r="O10" s="72" t="s">
        <v>446</v>
      </c>
      <c r="P10" s="72" t="s">
        <v>448</v>
      </c>
    </row>
    <row r="11" spans="1:32" x14ac:dyDescent="0.3">
      <c r="A11" s="112" t="s">
        <v>17</v>
      </c>
      <c r="B11" s="72" t="s">
        <v>399</v>
      </c>
      <c r="C11" s="72" t="s">
        <v>449</v>
      </c>
      <c r="D11" s="72" t="s">
        <v>442</v>
      </c>
      <c r="E11" s="72" t="s">
        <v>440</v>
      </c>
      <c r="F11" s="72" t="s">
        <v>450</v>
      </c>
      <c r="G11" s="72" t="s">
        <v>440</v>
      </c>
      <c r="H11" s="72" t="s">
        <v>440</v>
      </c>
      <c r="I11" s="72" t="s">
        <v>440</v>
      </c>
      <c r="J11" s="72" t="s">
        <v>440</v>
      </c>
      <c r="K11" s="72" t="s">
        <v>440</v>
      </c>
      <c r="L11" s="72" t="s">
        <v>440</v>
      </c>
      <c r="M11" s="72" t="s">
        <v>440</v>
      </c>
      <c r="N11" s="72" t="s">
        <v>440</v>
      </c>
      <c r="O11" s="72" t="s">
        <v>440</v>
      </c>
      <c r="P11" s="72" t="s">
        <v>440</v>
      </c>
    </row>
    <row r="12" spans="1:32" x14ac:dyDescent="0.3">
      <c r="A12" s="112" t="s">
        <v>443</v>
      </c>
      <c r="B12" s="72"/>
      <c r="C12" s="72" t="s">
        <v>451</v>
      </c>
      <c r="D12" s="72" t="s">
        <v>452</v>
      </c>
      <c r="E12" s="72" t="s">
        <v>446</v>
      </c>
      <c r="F12" s="72" t="s">
        <v>453</v>
      </c>
      <c r="G12" s="72" t="s">
        <v>446</v>
      </c>
      <c r="H12" s="72" t="s">
        <v>446</v>
      </c>
      <c r="I12" s="72" t="s">
        <v>446</v>
      </c>
      <c r="J12" s="72" t="s">
        <v>446</v>
      </c>
      <c r="K12" s="72" t="s">
        <v>446</v>
      </c>
      <c r="L12" s="72" t="s">
        <v>446</v>
      </c>
      <c r="M12" s="72" t="s">
        <v>446</v>
      </c>
      <c r="N12" s="72" t="s">
        <v>446</v>
      </c>
      <c r="O12" s="72" t="s">
        <v>446</v>
      </c>
      <c r="P12" s="72" t="s">
        <v>446</v>
      </c>
    </row>
    <row r="13" spans="1:32" x14ac:dyDescent="0.3">
      <c r="A13" s="112" t="s">
        <v>18</v>
      </c>
      <c r="B13" s="72" t="s">
        <v>401</v>
      </c>
      <c r="C13" s="72" t="s">
        <v>454</v>
      </c>
      <c r="D13" s="72" t="s">
        <v>455</v>
      </c>
      <c r="E13" s="72" t="s">
        <v>440</v>
      </c>
      <c r="F13" s="72" t="s">
        <v>456</v>
      </c>
      <c r="G13" s="72" t="s">
        <v>440</v>
      </c>
      <c r="H13" s="72" t="s">
        <v>440</v>
      </c>
      <c r="I13" s="72" t="s">
        <v>440</v>
      </c>
      <c r="J13" s="72" t="s">
        <v>442</v>
      </c>
      <c r="K13" s="72" t="s">
        <v>442</v>
      </c>
      <c r="L13" s="72" t="s">
        <v>442</v>
      </c>
      <c r="M13" s="72" t="s">
        <v>440</v>
      </c>
      <c r="N13" s="72" t="s">
        <v>440</v>
      </c>
      <c r="O13" s="72" t="s">
        <v>440</v>
      </c>
      <c r="P13" s="72" t="s">
        <v>442</v>
      </c>
    </row>
    <row r="14" spans="1:32" x14ac:dyDescent="0.3">
      <c r="A14" s="112" t="s">
        <v>443</v>
      </c>
      <c r="B14" s="72"/>
      <c r="C14" s="72" t="s">
        <v>457</v>
      </c>
      <c r="D14" s="72" t="s">
        <v>458</v>
      </c>
      <c r="E14" s="72" t="s">
        <v>446</v>
      </c>
      <c r="F14" s="72" t="s">
        <v>459</v>
      </c>
      <c r="G14" s="72" t="s">
        <v>446</v>
      </c>
      <c r="H14" s="72" t="s">
        <v>446</v>
      </c>
      <c r="I14" s="72" t="s">
        <v>446</v>
      </c>
      <c r="J14" s="72" t="s">
        <v>460</v>
      </c>
      <c r="K14" s="72" t="s">
        <v>460</v>
      </c>
      <c r="L14" s="72" t="s">
        <v>460</v>
      </c>
      <c r="M14" s="72" t="s">
        <v>446</v>
      </c>
      <c r="N14" s="72" t="s">
        <v>446</v>
      </c>
      <c r="O14" s="72" t="s">
        <v>446</v>
      </c>
      <c r="P14" s="72" t="s">
        <v>460</v>
      </c>
    </row>
    <row r="15" spans="1:32" x14ac:dyDescent="0.3">
      <c r="A15" s="111" t="str">
        <f>year!$I$4</f>
        <v>RABI II 2023-24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</row>
    <row r="16" spans="1:32" x14ac:dyDescent="0.3">
      <c r="A16" s="112" t="s">
        <v>120</v>
      </c>
      <c r="B16" s="72" t="s">
        <v>406</v>
      </c>
      <c r="C16" s="72" t="s">
        <v>461</v>
      </c>
      <c r="D16" s="72" t="s">
        <v>442</v>
      </c>
      <c r="E16" s="72" t="s">
        <v>440</v>
      </c>
      <c r="F16" s="72" t="s">
        <v>462</v>
      </c>
      <c r="G16" s="72" t="s">
        <v>440</v>
      </c>
      <c r="H16" s="72" t="s">
        <v>440</v>
      </c>
      <c r="I16" s="72" t="s">
        <v>440</v>
      </c>
      <c r="J16" s="72" t="s">
        <v>455</v>
      </c>
      <c r="K16" s="72" t="s">
        <v>455</v>
      </c>
      <c r="L16" s="72" t="s">
        <v>455</v>
      </c>
      <c r="M16" s="72" t="s">
        <v>440</v>
      </c>
      <c r="N16" s="72" t="s">
        <v>440</v>
      </c>
      <c r="O16" s="72" t="s">
        <v>440</v>
      </c>
      <c r="P16" s="72" t="s">
        <v>455</v>
      </c>
    </row>
    <row r="17" spans="1:16" x14ac:dyDescent="0.3">
      <c r="A17" s="112" t="s">
        <v>443</v>
      </c>
      <c r="B17" s="72"/>
      <c r="C17" s="72" t="s">
        <v>463</v>
      </c>
      <c r="D17" s="72" t="s">
        <v>464</v>
      </c>
      <c r="E17" s="72" t="s">
        <v>446</v>
      </c>
      <c r="F17" s="72" t="s">
        <v>465</v>
      </c>
      <c r="G17" s="72" t="s">
        <v>446</v>
      </c>
      <c r="H17" s="72" t="s">
        <v>446</v>
      </c>
      <c r="I17" s="72" t="s">
        <v>446</v>
      </c>
      <c r="J17" s="72" t="s">
        <v>466</v>
      </c>
      <c r="K17" s="72" t="s">
        <v>466</v>
      </c>
      <c r="L17" s="72" t="s">
        <v>466</v>
      </c>
      <c r="M17" s="72" t="s">
        <v>446</v>
      </c>
      <c r="N17" s="72" t="s">
        <v>446</v>
      </c>
      <c r="O17" s="72" t="s">
        <v>446</v>
      </c>
      <c r="P17" s="72" t="s">
        <v>466</v>
      </c>
    </row>
    <row r="18" spans="1:16" x14ac:dyDescent="0.3">
      <c r="A18" s="112" t="s">
        <v>17</v>
      </c>
      <c r="B18" s="72" t="s">
        <v>409</v>
      </c>
      <c r="C18" s="72" t="s">
        <v>467</v>
      </c>
      <c r="D18" s="72" t="s">
        <v>468</v>
      </c>
      <c r="E18" s="72" t="s">
        <v>440</v>
      </c>
      <c r="F18" s="72" t="s">
        <v>469</v>
      </c>
      <c r="G18" s="72" t="s">
        <v>440</v>
      </c>
      <c r="H18" s="72" t="s">
        <v>440</v>
      </c>
      <c r="I18" s="72" t="s">
        <v>440</v>
      </c>
      <c r="J18" s="72" t="s">
        <v>440</v>
      </c>
      <c r="K18" s="72" t="s">
        <v>440</v>
      </c>
      <c r="L18" s="72" t="s">
        <v>440</v>
      </c>
      <c r="M18" s="72" t="s">
        <v>440</v>
      </c>
      <c r="N18" s="72" t="s">
        <v>440</v>
      </c>
      <c r="O18" s="72" t="s">
        <v>440</v>
      </c>
      <c r="P18" s="72" t="s">
        <v>440</v>
      </c>
    </row>
    <row r="19" spans="1:16" x14ac:dyDescent="0.3">
      <c r="A19" s="112" t="s">
        <v>443</v>
      </c>
      <c r="B19" s="72"/>
      <c r="C19" s="72" t="s">
        <v>470</v>
      </c>
      <c r="D19" s="72" t="s">
        <v>471</v>
      </c>
      <c r="E19" s="72" t="s">
        <v>446</v>
      </c>
      <c r="F19" s="72" t="s">
        <v>453</v>
      </c>
      <c r="G19" s="72" t="s">
        <v>446</v>
      </c>
      <c r="H19" s="72" t="s">
        <v>446</v>
      </c>
      <c r="I19" s="72" t="s">
        <v>446</v>
      </c>
      <c r="J19" s="72" t="s">
        <v>446</v>
      </c>
      <c r="K19" s="72" t="s">
        <v>446</v>
      </c>
      <c r="L19" s="72" t="s">
        <v>446</v>
      </c>
      <c r="M19" s="72" t="s">
        <v>446</v>
      </c>
      <c r="N19" s="72" t="s">
        <v>446</v>
      </c>
      <c r="O19" s="72" t="s">
        <v>446</v>
      </c>
      <c r="P19" s="72" t="s">
        <v>446</v>
      </c>
    </row>
    <row r="20" spans="1:16" x14ac:dyDescent="0.3">
      <c r="A20" s="112" t="s">
        <v>18</v>
      </c>
      <c r="B20" s="72" t="s">
        <v>412</v>
      </c>
      <c r="C20" s="72" t="s">
        <v>472</v>
      </c>
      <c r="D20" s="72" t="s">
        <v>473</v>
      </c>
      <c r="E20" s="72" t="s">
        <v>440</v>
      </c>
      <c r="F20" s="72" t="s">
        <v>474</v>
      </c>
      <c r="G20" s="72" t="s">
        <v>440</v>
      </c>
      <c r="H20" s="72" t="s">
        <v>440</v>
      </c>
      <c r="I20" s="72" t="s">
        <v>440</v>
      </c>
      <c r="J20" s="72" t="s">
        <v>455</v>
      </c>
      <c r="K20" s="72" t="s">
        <v>455</v>
      </c>
      <c r="L20" s="72" t="s">
        <v>455</v>
      </c>
      <c r="M20" s="72" t="s">
        <v>440</v>
      </c>
      <c r="N20" s="72" t="s">
        <v>440</v>
      </c>
      <c r="O20" s="72" t="s">
        <v>440</v>
      </c>
      <c r="P20" s="72" t="s">
        <v>455</v>
      </c>
    </row>
    <row r="21" spans="1:16" x14ac:dyDescent="0.3">
      <c r="A21" s="111" t="s">
        <v>443</v>
      </c>
      <c r="B21" s="74"/>
      <c r="C21" s="74" t="s">
        <v>475</v>
      </c>
      <c r="D21" s="74" t="s">
        <v>476</v>
      </c>
      <c r="E21" s="74" t="s">
        <v>446</v>
      </c>
      <c r="F21" s="74" t="s">
        <v>477</v>
      </c>
      <c r="G21" s="74" t="s">
        <v>446</v>
      </c>
      <c r="H21" s="74" t="s">
        <v>446</v>
      </c>
      <c r="I21" s="74" t="s">
        <v>446</v>
      </c>
      <c r="J21" s="74" t="s">
        <v>478</v>
      </c>
      <c r="K21" s="74" t="s">
        <v>478</v>
      </c>
      <c r="L21" s="74" t="s">
        <v>478</v>
      </c>
      <c r="M21" s="74" t="s">
        <v>446</v>
      </c>
      <c r="N21" s="74" t="s">
        <v>446</v>
      </c>
      <c r="O21" s="74" t="s">
        <v>446</v>
      </c>
      <c r="P21" s="74" t="s">
        <v>478</v>
      </c>
    </row>
    <row r="22" spans="1:16" x14ac:dyDescent="0.3">
      <c r="A22" s="111" t="str">
        <f>year!$H$5</f>
        <v>RABI I 2022-23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</row>
    <row r="23" spans="1:16" x14ac:dyDescent="0.3">
      <c r="A23" s="112" t="s">
        <v>120</v>
      </c>
      <c r="B23" s="72" t="s">
        <v>417</v>
      </c>
      <c r="C23" s="72" t="s">
        <v>479</v>
      </c>
      <c r="D23" s="72" t="s">
        <v>468</v>
      </c>
      <c r="E23" s="72" t="s">
        <v>440</v>
      </c>
      <c r="F23" s="72" t="s">
        <v>480</v>
      </c>
      <c r="G23" s="72" t="s">
        <v>440</v>
      </c>
      <c r="H23" s="72" t="s">
        <v>440</v>
      </c>
      <c r="I23" s="72" t="s">
        <v>440</v>
      </c>
      <c r="J23" s="72" t="s">
        <v>440</v>
      </c>
      <c r="K23" s="72" t="s">
        <v>440</v>
      </c>
      <c r="L23" s="72" t="s">
        <v>440</v>
      </c>
      <c r="M23" s="72" t="s">
        <v>440</v>
      </c>
      <c r="N23" s="72" t="s">
        <v>440</v>
      </c>
      <c r="O23" s="72" t="s">
        <v>440</v>
      </c>
      <c r="P23" s="72" t="s">
        <v>440</v>
      </c>
    </row>
    <row r="24" spans="1:16" x14ac:dyDescent="0.3">
      <c r="A24" s="112" t="s">
        <v>443</v>
      </c>
      <c r="B24" s="72"/>
      <c r="C24" s="72" t="s">
        <v>481</v>
      </c>
      <c r="D24" s="72" t="s">
        <v>482</v>
      </c>
      <c r="E24" s="72" t="s">
        <v>446</v>
      </c>
      <c r="F24" s="72" t="s">
        <v>453</v>
      </c>
      <c r="G24" s="72" t="s">
        <v>446</v>
      </c>
      <c r="H24" s="72" t="s">
        <v>446</v>
      </c>
      <c r="I24" s="72" t="s">
        <v>446</v>
      </c>
      <c r="J24" s="72" t="s">
        <v>446</v>
      </c>
      <c r="K24" s="72" t="s">
        <v>446</v>
      </c>
      <c r="L24" s="72" t="s">
        <v>446</v>
      </c>
      <c r="M24" s="72" t="s">
        <v>446</v>
      </c>
      <c r="N24" s="72" t="s">
        <v>446</v>
      </c>
      <c r="O24" s="72" t="s">
        <v>446</v>
      </c>
      <c r="P24" s="72" t="s">
        <v>446</v>
      </c>
    </row>
    <row r="25" spans="1:16" x14ac:dyDescent="0.3">
      <c r="A25" s="112" t="s">
        <v>17</v>
      </c>
      <c r="B25" s="72" t="s">
        <v>419</v>
      </c>
      <c r="C25" s="72" t="s">
        <v>483</v>
      </c>
      <c r="D25" s="72" t="s">
        <v>484</v>
      </c>
      <c r="E25" s="72" t="s">
        <v>455</v>
      </c>
      <c r="F25" s="72" t="s">
        <v>485</v>
      </c>
      <c r="G25" s="72" t="s">
        <v>440</v>
      </c>
      <c r="H25" s="72" t="s">
        <v>440</v>
      </c>
      <c r="I25" s="72" t="s">
        <v>440</v>
      </c>
      <c r="J25" s="72" t="s">
        <v>440</v>
      </c>
      <c r="K25" s="72" t="s">
        <v>440</v>
      </c>
      <c r="L25" s="72" t="s">
        <v>440</v>
      </c>
      <c r="M25" s="72" t="s">
        <v>440</v>
      </c>
      <c r="N25" s="72" t="s">
        <v>440</v>
      </c>
      <c r="O25" s="72" t="s">
        <v>440</v>
      </c>
      <c r="P25" s="72" t="s">
        <v>440</v>
      </c>
    </row>
    <row r="26" spans="1:16" x14ac:dyDescent="0.3">
      <c r="A26" s="112" t="s">
        <v>443</v>
      </c>
      <c r="B26" s="72"/>
      <c r="C26" s="72" t="s">
        <v>486</v>
      </c>
      <c r="D26" s="72" t="s">
        <v>487</v>
      </c>
      <c r="E26" s="72" t="s">
        <v>488</v>
      </c>
      <c r="F26" s="72" t="s">
        <v>453</v>
      </c>
      <c r="G26" s="72" t="s">
        <v>446</v>
      </c>
      <c r="H26" s="72" t="s">
        <v>446</v>
      </c>
      <c r="I26" s="72" t="s">
        <v>446</v>
      </c>
      <c r="J26" s="72" t="s">
        <v>446</v>
      </c>
      <c r="K26" s="72" t="s">
        <v>446</v>
      </c>
      <c r="L26" s="72" t="s">
        <v>446</v>
      </c>
      <c r="M26" s="72" t="s">
        <v>446</v>
      </c>
      <c r="N26" s="72" t="s">
        <v>446</v>
      </c>
      <c r="O26" s="72" t="s">
        <v>446</v>
      </c>
      <c r="P26" s="72" t="s">
        <v>446</v>
      </c>
    </row>
    <row r="27" spans="1:16" x14ac:dyDescent="0.3">
      <c r="A27" s="112" t="s">
        <v>18</v>
      </c>
      <c r="B27" s="72" t="s">
        <v>421</v>
      </c>
      <c r="C27" s="72" t="s">
        <v>489</v>
      </c>
      <c r="D27" s="72" t="s">
        <v>490</v>
      </c>
      <c r="E27" s="72" t="s">
        <v>455</v>
      </c>
      <c r="F27" s="72" t="s">
        <v>491</v>
      </c>
      <c r="G27" s="72" t="s">
        <v>440</v>
      </c>
      <c r="H27" s="72" t="s">
        <v>440</v>
      </c>
      <c r="I27" s="72" t="s">
        <v>440</v>
      </c>
      <c r="J27" s="72" t="s">
        <v>440</v>
      </c>
      <c r="K27" s="72" t="s">
        <v>440</v>
      </c>
      <c r="L27" s="72" t="s">
        <v>440</v>
      </c>
      <c r="M27" s="72" t="s">
        <v>440</v>
      </c>
      <c r="N27" s="72" t="s">
        <v>440</v>
      </c>
      <c r="O27" s="72" t="s">
        <v>440</v>
      </c>
      <c r="P27" s="72" t="s">
        <v>440</v>
      </c>
    </row>
    <row r="28" spans="1:16" x14ac:dyDescent="0.3">
      <c r="A28" s="112" t="s">
        <v>443</v>
      </c>
      <c r="B28" s="72"/>
      <c r="C28" s="72" t="s">
        <v>492</v>
      </c>
      <c r="D28" s="72" t="s">
        <v>493</v>
      </c>
      <c r="E28" s="72" t="s">
        <v>494</v>
      </c>
      <c r="F28" s="72" t="s">
        <v>453</v>
      </c>
      <c r="G28" s="72" t="s">
        <v>446</v>
      </c>
      <c r="H28" s="72" t="s">
        <v>446</v>
      </c>
      <c r="I28" s="72" t="s">
        <v>446</v>
      </c>
      <c r="J28" s="72" t="s">
        <v>446</v>
      </c>
      <c r="K28" s="72" t="s">
        <v>446</v>
      </c>
      <c r="L28" s="72" t="s">
        <v>446</v>
      </c>
      <c r="M28" s="72" t="s">
        <v>446</v>
      </c>
      <c r="N28" s="72" t="s">
        <v>446</v>
      </c>
      <c r="O28" s="72" t="s">
        <v>446</v>
      </c>
      <c r="P28" s="72" t="s">
        <v>446</v>
      </c>
    </row>
    <row r="29" spans="1:16" x14ac:dyDescent="0.3">
      <c r="A29" s="111" t="str">
        <f>year!$I$5</f>
        <v>RABI II 2022-23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</row>
    <row r="30" spans="1:16" x14ac:dyDescent="0.3">
      <c r="A30" s="112" t="s">
        <v>120</v>
      </c>
      <c r="B30" s="72" t="s">
        <v>423</v>
      </c>
      <c r="C30" s="72" t="s">
        <v>495</v>
      </c>
      <c r="D30" s="72" t="s">
        <v>496</v>
      </c>
      <c r="E30" s="72" t="s">
        <v>439</v>
      </c>
      <c r="F30" s="72" t="s">
        <v>497</v>
      </c>
      <c r="G30" s="72" t="s">
        <v>440</v>
      </c>
      <c r="H30" s="72" t="s">
        <v>484</v>
      </c>
      <c r="I30" s="72" t="s">
        <v>440</v>
      </c>
      <c r="J30" s="72" t="s">
        <v>440</v>
      </c>
      <c r="K30" s="72" t="s">
        <v>484</v>
      </c>
      <c r="L30" s="72" t="s">
        <v>440</v>
      </c>
      <c r="M30" s="72" t="s">
        <v>440</v>
      </c>
      <c r="N30" s="72" t="s">
        <v>440</v>
      </c>
      <c r="O30" s="72" t="s">
        <v>484</v>
      </c>
      <c r="P30" s="72" t="s">
        <v>484</v>
      </c>
    </row>
    <row r="31" spans="1:16" x14ac:dyDescent="0.3">
      <c r="A31" s="112" t="s">
        <v>443</v>
      </c>
      <c r="B31" s="72"/>
      <c r="C31" s="72" t="s">
        <v>498</v>
      </c>
      <c r="D31" s="72" t="s">
        <v>499</v>
      </c>
      <c r="E31" s="72" t="s">
        <v>500</v>
      </c>
      <c r="F31" s="72" t="s">
        <v>501</v>
      </c>
      <c r="G31" s="72" t="s">
        <v>446</v>
      </c>
      <c r="H31" s="72" t="s">
        <v>502</v>
      </c>
      <c r="I31" s="72" t="s">
        <v>446</v>
      </c>
      <c r="J31" s="72" t="s">
        <v>446</v>
      </c>
      <c r="K31" s="72" t="s">
        <v>502</v>
      </c>
      <c r="L31" s="72" t="s">
        <v>446</v>
      </c>
      <c r="M31" s="72" t="s">
        <v>446</v>
      </c>
      <c r="N31" s="72" t="s">
        <v>446</v>
      </c>
      <c r="O31" s="72" t="s">
        <v>502</v>
      </c>
      <c r="P31" s="72" t="s">
        <v>502</v>
      </c>
    </row>
    <row r="32" spans="1:16" x14ac:dyDescent="0.3">
      <c r="A32" s="112" t="s">
        <v>17</v>
      </c>
      <c r="B32" s="72" t="s">
        <v>428</v>
      </c>
      <c r="C32" s="72" t="s">
        <v>479</v>
      </c>
      <c r="D32" s="72" t="s">
        <v>503</v>
      </c>
      <c r="E32" s="72" t="s">
        <v>442</v>
      </c>
      <c r="F32" s="72" t="s">
        <v>504</v>
      </c>
      <c r="G32" s="72" t="s">
        <v>440</v>
      </c>
      <c r="H32" s="72" t="s">
        <v>440</v>
      </c>
      <c r="I32" s="72" t="s">
        <v>440</v>
      </c>
      <c r="J32" s="72" t="s">
        <v>440</v>
      </c>
      <c r="K32" s="72" t="s">
        <v>440</v>
      </c>
      <c r="L32" s="72" t="s">
        <v>440</v>
      </c>
      <c r="M32" s="72" t="s">
        <v>440</v>
      </c>
      <c r="N32" s="72" t="s">
        <v>440</v>
      </c>
      <c r="O32" s="72" t="s">
        <v>440</v>
      </c>
      <c r="P32" s="72" t="s">
        <v>440</v>
      </c>
    </row>
    <row r="33" spans="1:16" x14ac:dyDescent="0.3">
      <c r="A33" s="112" t="s">
        <v>443</v>
      </c>
      <c r="B33" s="72"/>
      <c r="C33" s="72" t="s">
        <v>505</v>
      </c>
      <c r="D33" s="72" t="s">
        <v>506</v>
      </c>
      <c r="E33" s="72" t="s">
        <v>507</v>
      </c>
      <c r="F33" s="72" t="s">
        <v>453</v>
      </c>
      <c r="G33" s="72" t="s">
        <v>446</v>
      </c>
      <c r="H33" s="72" t="s">
        <v>446</v>
      </c>
      <c r="I33" s="72" t="s">
        <v>446</v>
      </c>
      <c r="J33" s="72" t="s">
        <v>446</v>
      </c>
      <c r="K33" s="72" t="s">
        <v>446</v>
      </c>
      <c r="L33" s="72" t="s">
        <v>446</v>
      </c>
      <c r="M33" s="72" t="s">
        <v>446</v>
      </c>
      <c r="N33" s="72" t="s">
        <v>446</v>
      </c>
      <c r="O33" s="72" t="s">
        <v>446</v>
      </c>
      <c r="P33" s="72" t="s">
        <v>446</v>
      </c>
    </row>
    <row r="34" spans="1:16" x14ac:dyDescent="0.3">
      <c r="A34" s="112" t="s">
        <v>18</v>
      </c>
      <c r="B34" s="72" t="s">
        <v>431</v>
      </c>
      <c r="C34" s="72" t="s">
        <v>508</v>
      </c>
      <c r="D34" s="72" t="s">
        <v>509</v>
      </c>
      <c r="E34" s="72" t="s">
        <v>455</v>
      </c>
      <c r="F34" s="72" t="s">
        <v>491</v>
      </c>
      <c r="G34" s="72" t="s">
        <v>440</v>
      </c>
      <c r="H34" s="72" t="s">
        <v>484</v>
      </c>
      <c r="I34" s="72" t="s">
        <v>440</v>
      </c>
      <c r="J34" s="72" t="s">
        <v>440</v>
      </c>
      <c r="K34" s="72" t="s">
        <v>484</v>
      </c>
      <c r="L34" s="72" t="s">
        <v>440</v>
      </c>
      <c r="M34" s="72" t="s">
        <v>440</v>
      </c>
      <c r="N34" s="72" t="s">
        <v>440</v>
      </c>
      <c r="O34" s="72" t="s">
        <v>484</v>
      </c>
      <c r="P34" s="72" t="s">
        <v>484</v>
      </c>
    </row>
    <row r="35" spans="1:16" ht="15" thickBot="1" x14ac:dyDescent="0.35">
      <c r="A35" s="114" t="s">
        <v>443</v>
      </c>
      <c r="B35" s="86"/>
      <c r="C35" s="86" t="s">
        <v>510</v>
      </c>
      <c r="D35" s="86" t="s">
        <v>511</v>
      </c>
      <c r="E35" s="86" t="s">
        <v>445</v>
      </c>
      <c r="F35" s="86" t="s">
        <v>512</v>
      </c>
      <c r="G35" s="86" t="s">
        <v>446</v>
      </c>
      <c r="H35" s="86" t="s">
        <v>513</v>
      </c>
      <c r="I35" s="86" t="s">
        <v>446</v>
      </c>
      <c r="J35" s="86" t="s">
        <v>446</v>
      </c>
      <c r="K35" s="86" t="s">
        <v>513</v>
      </c>
      <c r="L35" s="86" t="s">
        <v>446</v>
      </c>
      <c r="M35" s="86" t="s">
        <v>446</v>
      </c>
      <c r="N35" s="86" t="s">
        <v>446</v>
      </c>
      <c r="O35" s="86" t="s">
        <v>513</v>
      </c>
      <c r="P35" s="86" t="s">
        <v>513</v>
      </c>
    </row>
    <row r="36" spans="1:16" ht="15" thickTop="1" x14ac:dyDescent="0.3"/>
    <row r="42" spans="1:16" ht="15" customHeight="1" x14ac:dyDescent="0.3"/>
    <row r="43" spans="1:16" ht="15" customHeight="1" x14ac:dyDescent="0.3"/>
    <row r="45" spans="1:16" ht="15" customHeight="1" x14ac:dyDescent="0.3"/>
  </sheetData>
  <mergeCells count="14"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  <mergeCell ref="E5:E6"/>
    <mergeCell ref="F5:F6"/>
    <mergeCell ref="G5:K5"/>
    <mergeCell ref="L5:P5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L81"/>
  <sheetViews>
    <sheetView view="pageBreakPreview" zoomScale="55" zoomScaleNormal="70" zoomScaleSheetLayoutView="55" workbookViewId="0">
      <selection activeCell="K5" sqref="K5:K6"/>
    </sheetView>
  </sheetViews>
  <sheetFormatPr defaultRowHeight="13.8" x14ac:dyDescent="0.3"/>
  <cols>
    <col min="1" max="1" width="17.88671875" style="11" bestFit="1" customWidth="1"/>
    <col min="2" max="2" width="11.44140625" style="11" customWidth="1"/>
    <col min="3" max="3" width="12.109375" style="11" customWidth="1"/>
    <col min="4" max="4" width="9.109375" style="11" customWidth="1"/>
    <col min="5" max="5" width="11.77734375" style="11" customWidth="1"/>
    <col min="6" max="6" width="12.6640625" style="11" customWidth="1"/>
    <col min="7" max="7" width="8.88671875" style="11" customWidth="1"/>
    <col min="8" max="8" width="11.44140625" style="11" customWidth="1"/>
    <col min="9" max="9" width="12.44140625" style="11" customWidth="1"/>
    <col min="10" max="10" width="10" style="11" customWidth="1"/>
    <col min="11" max="11" width="18.77734375" style="11" customWidth="1"/>
    <col min="12" max="12" width="9.109375" style="11"/>
    <col min="13" max="16384" width="8.88671875" style="12"/>
  </cols>
  <sheetData>
    <row r="1" spans="1:11" x14ac:dyDescent="0.3">
      <c r="A1" s="246" t="s">
        <v>95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</row>
    <row r="2" spans="1:11" x14ac:dyDescent="0.3">
      <c r="A2" s="284" t="str">
        <f>year!$H$2</f>
        <v>UT : PUDUCHERRY</v>
      </c>
      <c r="B2" s="284" t="str">
        <f>year!$H$2</f>
        <v>UT : PUDUCHERRY</v>
      </c>
      <c r="C2" s="284" t="str">
        <f>year!$H$2</f>
        <v>UT : PUDUCHERRY</v>
      </c>
      <c r="D2" s="284" t="str">
        <f>year!$H$2</f>
        <v>UT : PUDUCHERRY</v>
      </c>
      <c r="E2" s="284" t="str">
        <f>year!$H$2</f>
        <v>UT : PUDUCHERRY</v>
      </c>
      <c r="F2" s="284" t="str">
        <f>year!$H$2</f>
        <v>UT : PUDUCHERRY</v>
      </c>
      <c r="G2" s="284" t="str">
        <f>year!$H$2</f>
        <v>UT : PUDUCHERRY</v>
      </c>
      <c r="H2" s="284" t="str">
        <f>year!$H$2</f>
        <v>UT : PUDUCHERRY</v>
      </c>
      <c r="I2" s="284" t="str">
        <f>year!$H$2</f>
        <v>UT : PUDUCHERRY</v>
      </c>
      <c r="J2" s="285" t="s">
        <v>600</v>
      </c>
      <c r="K2" s="285"/>
    </row>
    <row r="3" spans="1:11" x14ac:dyDescent="0.3">
      <c r="A3" s="269" t="s">
        <v>601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</row>
    <row r="4" spans="1:11" ht="17.399999999999999" customHeight="1" x14ac:dyDescent="0.3">
      <c r="A4" s="286" t="s">
        <v>280</v>
      </c>
      <c r="B4" s="270" t="s">
        <v>261</v>
      </c>
      <c r="C4" s="270"/>
      <c r="D4" s="270"/>
      <c r="E4" s="270"/>
      <c r="F4" s="270"/>
      <c r="G4" s="270"/>
      <c r="H4" s="270"/>
      <c r="I4" s="270"/>
      <c r="J4" s="270"/>
      <c r="K4" s="270"/>
    </row>
    <row r="5" spans="1:11" ht="17.399999999999999" customHeight="1" x14ac:dyDescent="0.3">
      <c r="A5" s="279"/>
      <c r="B5" s="266" t="s">
        <v>262</v>
      </c>
      <c r="C5" s="266"/>
      <c r="D5" s="266"/>
      <c r="E5" s="266" t="s">
        <v>263</v>
      </c>
      <c r="F5" s="266"/>
      <c r="G5" s="266"/>
      <c r="H5" s="266" t="s">
        <v>264</v>
      </c>
      <c r="I5" s="266"/>
      <c r="J5" s="266"/>
      <c r="K5" s="265" t="s">
        <v>296</v>
      </c>
    </row>
    <row r="6" spans="1:11" ht="55.2" x14ac:dyDescent="0.3">
      <c r="A6" s="281"/>
      <c r="B6" s="96" t="s">
        <v>266</v>
      </c>
      <c r="C6" s="96" t="s">
        <v>258</v>
      </c>
      <c r="D6" s="96" t="s">
        <v>259</v>
      </c>
      <c r="E6" s="96" t="s">
        <v>266</v>
      </c>
      <c r="F6" s="96" t="s">
        <v>258</v>
      </c>
      <c r="G6" s="96" t="s">
        <v>259</v>
      </c>
      <c r="H6" s="96" t="s">
        <v>266</v>
      </c>
      <c r="I6" s="96" t="s">
        <v>272</v>
      </c>
      <c r="J6" s="96" t="s">
        <v>273</v>
      </c>
      <c r="K6" s="266"/>
    </row>
    <row r="7" spans="1:11" x14ac:dyDescent="0.3">
      <c r="A7" s="102" t="s">
        <v>8</v>
      </c>
      <c r="B7" s="144" t="s">
        <v>9</v>
      </c>
      <c r="C7" s="102" t="s">
        <v>10</v>
      </c>
      <c r="D7" s="102" t="s">
        <v>11</v>
      </c>
      <c r="E7" s="102" t="s">
        <v>12</v>
      </c>
      <c r="F7" s="102" t="s">
        <v>13</v>
      </c>
      <c r="G7" s="102" t="s">
        <v>14</v>
      </c>
      <c r="H7" s="102" t="s">
        <v>15</v>
      </c>
      <c r="I7" s="102" t="s">
        <v>75</v>
      </c>
      <c r="J7" s="102" t="s">
        <v>76</v>
      </c>
      <c r="K7" s="102" t="s">
        <v>77</v>
      </c>
    </row>
    <row r="8" spans="1:11" ht="28.8" customHeight="1" x14ac:dyDescent="0.3">
      <c r="A8" s="104" t="str">
        <f>year!$H$4</f>
        <v>RABI I 2023-24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28.8" customHeight="1" x14ac:dyDescent="0.3">
      <c r="A9" s="124" t="s">
        <v>308</v>
      </c>
      <c r="B9" s="198" t="s">
        <v>602</v>
      </c>
      <c r="C9" s="198" t="s">
        <v>603</v>
      </c>
      <c r="D9" s="198" t="s">
        <v>604</v>
      </c>
      <c r="E9" s="198" t="s">
        <v>602</v>
      </c>
      <c r="F9" s="198" t="s">
        <v>559</v>
      </c>
      <c r="G9" s="198" t="s">
        <v>560</v>
      </c>
      <c r="H9" s="198" t="s">
        <v>605</v>
      </c>
      <c r="I9" s="198" t="s">
        <v>606</v>
      </c>
      <c r="J9" s="198" t="s">
        <v>607</v>
      </c>
      <c r="K9" s="198" t="s">
        <v>563</v>
      </c>
    </row>
    <row r="10" spans="1:11" ht="28.8" customHeight="1" x14ac:dyDescent="0.3">
      <c r="A10" s="124" t="s">
        <v>140</v>
      </c>
      <c r="B10" s="198" t="s">
        <v>377</v>
      </c>
      <c r="C10" s="198" t="s">
        <v>564</v>
      </c>
      <c r="D10" s="198" t="s">
        <v>565</v>
      </c>
      <c r="E10" s="198" t="s">
        <v>377</v>
      </c>
      <c r="F10" s="198" t="s">
        <v>608</v>
      </c>
      <c r="G10" s="198" t="s">
        <v>608</v>
      </c>
      <c r="H10" s="198" t="s">
        <v>368</v>
      </c>
      <c r="I10" s="198" t="s">
        <v>609</v>
      </c>
      <c r="J10" s="198" t="s">
        <v>610</v>
      </c>
      <c r="K10" s="198" t="s">
        <v>611</v>
      </c>
    </row>
    <row r="11" spans="1:11" hidden="1" x14ac:dyDescent="0.3">
      <c r="A11" s="124" t="s">
        <v>231</v>
      </c>
      <c r="B11" s="198" t="e">
        <v>#VALUE!</v>
      </c>
      <c r="C11" s="198" t="e">
        <v>#VALUE!</v>
      </c>
      <c r="D11" s="198" t="e">
        <v>#VALUE!</v>
      </c>
      <c r="E11" s="198" t="e">
        <v>#VALUE!</v>
      </c>
      <c r="F11" s="198" t="e">
        <v>#VALUE!</v>
      </c>
      <c r="G11" s="198" t="e">
        <v>#VALUE!</v>
      </c>
      <c r="H11" s="198" t="e">
        <v>#VALUE!</v>
      </c>
      <c r="I11" s="198" t="e">
        <v>#VALUE!</v>
      </c>
      <c r="J11" s="198" t="e">
        <v>#VALUE!</v>
      </c>
      <c r="K11" s="198" t="e">
        <v>#VALUE!</v>
      </c>
    </row>
    <row r="12" spans="1:11" hidden="1" x14ac:dyDescent="0.3">
      <c r="A12" s="124" t="s">
        <v>231</v>
      </c>
      <c r="B12" s="198" t="e">
        <v>#VALUE!</v>
      </c>
      <c r="C12" s="198" t="e">
        <v>#VALUE!</v>
      </c>
      <c r="D12" s="198" t="e">
        <v>#VALUE!</v>
      </c>
      <c r="E12" s="198" t="e">
        <v>#VALUE!</v>
      </c>
      <c r="F12" s="198" t="e">
        <v>#VALUE!</v>
      </c>
      <c r="G12" s="198" t="e">
        <v>#VALUE!</v>
      </c>
      <c r="H12" s="198" t="e">
        <v>#VALUE!</v>
      </c>
      <c r="I12" s="198" t="e">
        <v>#VALUE!</v>
      </c>
      <c r="J12" s="198" t="e">
        <v>#VALUE!</v>
      </c>
      <c r="K12" s="198" t="e">
        <v>#VALUE!</v>
      </c>
    </row>
    <row r="13" spans="1:11" hidden="1" x14ac:dyDescent="0.3">
      <c r="A13" s="124" t="s">
        <v>231</v>
      </c>
      <c r="B13" s="198" t="e">
        <v>#VALUE!</v>
      </c>
      <c r="C13" s="198" t="e">
        <v>#VALUE!</v>
      </c>
      <c r="D13" s="198" t="e">
        <v>#VALUE!</v>
      </c>
      <c r="E13" s="198" t="e">
        <v>#VALUE!</v>
      </c>
      <c r="F13" s="198" t="e">
        <v>#VALUE!</v>
      </c>
      <c r="G13" s="198" t="e">
        <v>#VALUE!</v>
      </c>
      <c r="H13" s="198" t="e">
        <v>#VALUE!</v>
      </c>
      <c r="I13" s="198" t="e">
        <v>#VALUE!</v>
      </c>
      <c r="J13" s="198" t="e">
        <v>#VALUE!</v>
      </c>
      <c r="K13" s="198" t="e">
        <v>#VALUE!</v>
      </c>
    </row>
    <row r="14" spans="1:11" hidden="1" x14ac:dyDescent="0.3">
      <c r="A14" s="124" t="s">
        <v>231</v>
      </c>
      <c r="B14" s="198" t="e">
        <v>#VALUE!</v>
      </c>
      <c r="C14" s="198" t="e">
        <v>#VALUE!</v>
      </c>
      <c r="D14" s="198" t="e">
        <v>#VALUE!</v>
      </c>
      <c r="E14" s="198" t="e">
        <v>#VALUE!</v>
      </c>
      <c r="F14" s="198" t="e">
        <v>#VALUE!</v>
      </c>
      <c r="G14" s="198" t="e">
        <v>#VALUE!</v>
      </c>
      <c r="H14" s="198" t="e">
        <v>#VALUE!</v>
      </c>
      <c r="I14" s="198" t="e">
        <v>#VALUE!</v>
      </c>
      <c r="J14" s="198" t="e">
        <v>#VALUE!</v>
      </c>
      <c r="K14" s="198" t="e">
        <v>#VALUE!</v>
      </c>
    </row>
    <row r="15" spans="1:11" hidden="1" x14ac:dyDescent="0.3">
      <c r="A15" s="124" t="s">
        <v>231</v>
      </c>
      <c r="B15" s="198" t="e">
        <v>#VALUE!</v>
      </c>
      <c r="C15" s="198" t="e">
        <v>#VALUE!</v>
      </c>
      <c r="D15" s="198" t="e">
        <v>#VALUE!</v>
      </c>
      <c r="E15" s="198" t="e">
        <v>#VALUE!</v>
      </c>
      <c r="F15" s="198" t="e">
        <v>#VALUE!</v>
      </c>
      <c r="G15" s="198" t="e">
        <v>#VALUE!</v>
      </c>
      <c r="H15" s="198" t="e">
        <v>#VALUE!</v>
      </c>
      <c r="I15" s="198" t="e">
        <v>#VALUE!</v>
      </c>
      <c r="J15" s="198" t="e">
        <v>#VALUE!</v>
      </c>
      <c r="K15" s="198" t="e">
        <v>#VALUE!</v>
      </c>
    </row>
    <row r="16" spans="1:11" hidden="1" x14ac:dyDescent="0.3">
      <c r="A16" s="124" t="s">
        <v>231</v>
      </c>
      <c r="B16" s="198" t="e">
        <v>#VALUE!</v>
      </c>
      <c r="C16" s="198" t="e">
        <v>#VALUE!</v>
      </c>
      <c r="D16" s="198" t="e">
        <v>#VALUE!</v>
      </c>
      <c r="E16" s="198" t="e">
        <v>#VALUE!</v>
      </c>
      <c r="F16" s="198" t="e">
        <v>#VALUE!</v>
      </c>
      <c r="G16" s="198" t="e">
        <v>#VALUE!</v>
      </c>
      <c r="H16" s="198" t="e">
        <v>#VALUE!</v>
      </c>
      <c r="I16" s="198" t="e">
        <v>#VALUE!</v>
      </c>
      <c r="J16" s="198" t="e">
        <v>#VALUE!</v>
      </c>
      <c r="K16" s="198" t="e">
        <v>#VALUE!</v>
      </c>
    </row>
    <row r="17" spans="1:11" hidden="1" x14ac:dyDescent="0.3">
      <c r="A17" s="124" t="s">
        <v>231</v>
      </c>
      <c r="B17" s="198" t="e">
        <v>#VALUE!</v>
      </c>
      <c r="C17" s="198" t="e">
        <v>#VALUE!</v>
      </c>
      <c r="D17" s="198" t="e">
        <v>#VALUE!</v>
      </c>
      <c r="E17" s="198" t="e">
        <v>#VALUE!</v>
      </c>
      <c r="F17" s="198" t="e">
        <v>#VALUE!</v>
      </c>
      <c r="G17" s="198" t="e">
        <v>#VALUE!</v>
      </c>
      <c r="H17" s="198" t="e">
        <v>#VALUE!</v>
      </c>
      <c r="I17" s="198" t="e">
        <v>#VALUE!</v>
      </c>
      <c r="J17" s="198" t="e">
        <v>#VALUE!</v>
      </c>
      <c r="K17" s="198" t="e">
        <v>#VALUE!</v>
      </c>
    </row>
    <row r="18" spans="1:11" hidden="1" x14ac:dyDescent="0.3">
      <c r="A18" s="123" t="s">
        <v>231</v>
      </c>
      <c r="B18" s="199" t="e">
        <v>#VALUE!</v>
      </c>
      <c r="C18" s="199" t="e">
        <v>#VALUE!</v>
      </c>
      <c r="D18" s="199" t="e">
        <v>#VALUE!</v>
      </c>
      <c r="E18" s="199" t="e">
        <v>#VALUE!</v>
      </c>
      <c r="F18" s="199" t="e">
        <v>#VALUE!</v>
      </c>
      <c r="G18" s="199" t="e">
        <v>#VALUE!</v>
      </c>
      <c r="H18" s="199" t="e">
        <v>#VALUE!</v>
      </c>
      <c r="I18" s="199" t="e">
        <v>#VALUE!</v>
      </c>
      <c r="J18" s="199" t="e">
        <v>#VALUE!</v>
      </c>
      <c r="K18" s="199" t="e">
        <v>#VALUE!</v>
      </c>
    </row>
    <row r="19" spans="1:11" hidden="1" x14ac:dyDescent="0.3">
      <c r="A19" s="124" t="s">
        <v>231</v>
      </c>
      <c r="B19" s="200" t="e">
        <v>#VALUE!</v>
      </c>
      <c r="C19" s="200" t="e">
        <v>#VALUE!</v>
      </c>
      <c r="D19" s="200" t="e">
        <v>#VALUE!</v>
      </c>
      <c r="E19" s="200" t="e">
        <v>#VALUE!</v>
      </c>
      <c r="F19" s="200" t="e">
        <v>#VALUE!</v>
      </c>
      <c r="G19" s="200" t="e">
        <v>#VALUE!</v>
      </c>
      <c r="H19" s="200" t="e">
        <v>#VALUE!</v>
      </c>
      <c r="I19" s="200" t="e">
        <v>#VALUE!</v>
      </c>
      <c r="J19" s="200" t="e">
        <v>#VALUE!</v>
      </c>
      <c r="K19" s="200" t="e">
        <v>#VALUE!</v>
      </c>
    </row>
    <row r="20" spans="1:11" hidden="1" x14ac:dyDescent="0.3">
      <c r="A20" s="124" t="s">
        <v>231</v>
      </c>
      <c r="B20" s="200" t="e">
        <v>#VALUE!</v>
      </c>
      <c r="C20" s="200" t="e">
        <v>#VALUE!</v>
      </c>
      <c r="D20" s="200" t="e">
        <v>#VALUE!</v>
      </c>
      <c r="E20" s="200" t="e">
        <v>#VALUE!</v>
      </c>
      <c r="F20" s="200" t="e">
        <v>#VALUE!</v>
      </c>
      <c r="G20" s="200" t="e">
        <v>#VALUE!</v>
      </c>
      <c r="H20" s="200" t="e">
        <v>#VALUE!</v>
      </c>
      <c r="I20" s="200" t="e">
        <v>#VALUE!</v>
      </c>
      <c r="J20" s="200" t="e">
        <v>#VALUE!</v>
      </c>
      <c r="K20" s="200" t="e">
        <v>#VALUE!</v>
      </c>
    </row>
    <row r="21" spans="1:11" hidden="1" x14ac:dyDescent="0.3">
      <c r="A21" s="124" t="s">
        <v>231</v>
      </c>
      <c r="B21" s="200" t="e">
        <v>#VALUE!</v>
      </c>
      <c r="C21" s="200" t="e">
        <v>#VALUE!</v>
      </c>
      <c r="D21" s="200" t="e">
        <v>#VALUE!</v>
      </c>
      <c r="E21" s="200" t="e">
        <v>#VALUE!</v>
      </c>
      <c r="F21" s="200" t="e">
        <v>#VALUE!</v>
      </c>
      <c r="G21" s="200" t="e">
        <v>#VALUE!</v>
      </c>
      <c r="H21" s="200" t="e">
        <v>#VALUE!</v>
      </c>
      <c r="I21" s="200" t="e">
        <v>#VALUE!</v>
      </c>
      <c r="J21" s="200" t="e">
        <v>#VALUE!</v>
      </c>
      <c r="K21" s="200" t="e">
        <v>#VALUE!</v>
      </c>
    </row>
    <row r="22" spans="1:11" hidden="1" x14ac:dyDescent="0.3">
      <c r="A22" s="124" t="s">
        <v>231</v>
      </c>
      <c r="B22" s="200" t="e">
        <v>#VALUE!</v>
      </c>
      <c r="C22" s="200" t="e">
        <v>#VALUE!</v>
      </c>
      <c r="D22" s="200" t="e">
        <v>#VALUE!</v>
      </c>
      <c r="E22" s="200" t="e">
        <v>#VALUE!</v>
      </c>
      <c r="F22" s="200" t="e">
        <v>#VALUE!</v>
      </c>
      <c r="G22" s="200" t="e">
        <v>#VALUE!</v>
      </c>
      <c r="H22" s="200" t="e">
        <v>#VALUE!</v>
      </c>
      <c r="I22" s="200" t="e">
        <v>#VALUE!</v>
      </c>
      <c r="J22" s="200" t="e">
        <v>#VALUE!</v>
      </c>
      <c r="K22" s="200" t="e">
        <v>#VALUE!</v>
      </c>
    </row>
    <row r="23" spans="1:11" hidden="1" x14ac:dyDescent="0.3">
      <c r="A23" s="124" t="s">
        <v>231</v>
      </c>
      <c r="B23" s="200" t="e">
        <v>#VALUE!</v>
      </c>
      <c r="C23" s="200" t="e">
        <v>#VALUE!</v>
      </c>
      <c r="D23" s="200" t="e">
        <v>#VALUE!</v>
      </c>
      <c r="E23" s="200" t="e">
        <v>#VALUE!</v>
      </c>
      <c r="F23" s="200" t="e">
        <v>#VALUE!</v>
      </c>
      <c r="G23" s="200" t="e">
        <v>#VALUE!</v>
      </c>
      <c r="H23" s="200" t="e">
        <v>#VALUE!</v>
      </c>
      <c r="I23" s="200" t="e">
        <v>#VALUE!</v>
      </c>
      <c r="J23" s="200" t="e">
        <v>#VALUE!</v>
      </c>
      <c r="K23" s="200" t="e">
        <v>#VALUE!</v>
      </c>
    </row>
    <row r="24" spans="1:11" ht="28.8" customHeight="1" x14ac:dyDescent="0.3">
      <c r="A24" s="201" t="str">
        <f>year!$I$4</f>
        <v>RABI II 2023-24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</row>
    <row r="25" spans="1:11" ht="28.8" customHeight="1" x14ac:dyDescent="0.3">
      <c r="A25" s="124" t="s">
        <v>308</v>
      </c>
      <c r="B25" s="198" t="s">
        <v>612</v>
      </c>
      <c r="C25" s="198" t="s">
        <v>613</v>
      </c>
      <c r="D25" s="198" t="s">
        <v>326</v>
      </c>
      <c r="E25" s="198" t="s">
        <v>364</v>
      </c>
      <c r="F25" s="198" t="s">
        <v>614</v>
      </c>
      <c r="G25" s="198" t="s">
        <v>614</v>
      </c>
      <c r="H25" s="198" t="s">
        <v>602</v>
      </c>
      <c r="I25" s="198" t="s">
        <v>615</v>
      </c>
      <c r="J25" s="198" t="s">
        <v>616</v>
      </c>
      <c r="K25" s="198" t="s">
        <v>617</v>
      </c>
    </row>
    <row r="26" spans="1:11" ht="28.8" customHeight="1" x14ac:dyDescent="0.3">
      <c r="A26" s="123" t="s">
        <v>140</v>
      </c>
      <c r="B26" s="199" t="s">
        <v>372</v>
      </c>
      <c r="C26" s="199" t="s">
        <v>574</v>
      </c>
      <c r="D26" s="199" t="s">
        <v>574</v>
      </c>
      <c r="E26" s="199" t="s">
        <v>377</v>
      </c>
      <c r="F26" s="199" t="s">
        <v>618</v>
      </c>
      <c r="G26" s="199" t="s">
        <v>618</v>
      </c>
      <c r="H26" s="199" t="s">
        <v>602</v>
      </c>
      <c r="I26" s="199" t="s">
        <v>619</v>
      </c>
      <c r="J26" s="199" t="s">
        <v>619</v>
      </c>
      <c r="K26" s="199" t="s">
        <v>573</v>
      </c>
    </row>
    <row r="27" spans="1:11" hidden="1" x14ac:dyDescent="0.3">
      <c r="A27" s="124" t="s">
        <v>231</v>
      </c>
      <c r="B27" s="198" t="e">
        <v>#VALUE!</v>
      </c>
      <c r="C27" s="198" t="e">
        <v>#VALUE!</v>
      </c>
      <c r="D27" s="198" t="e">
        <v>#VALUE!</v>
      </c>
      <c r="E27" s="198" t="e">
        <v>#VALUE!</v>
      </c>
      <c r="F27" s="198" t="e">
        <v>#VALUE!</v>
      </c>
      <c r="G27" s="198" t="e">
        <v>#VALUE!</v>
      </c>
      <c r="H27" s="198" t="e">
        <v>#VALUE!</v>
      </c>
      <c r="I27" s="198" t="e">
        <v>#VALUE!</v>
      </c>
      <c r="J27" s="198" t="e">
        <v>#VALUE!</v>
      </c>
      <c r="K27" s="198" t="e">
        <v>#VALUE!</v>
      </c>
    </row>
    <row r="28" spans="1:11" hidden="1" x14ac:dyDescent="0.3">
      <c r="A28" s="124" t="s">
        <v>231</v>
      </c>
      <c r="B28" s="198" t="e">
        <v>#VALUE!</v>
      </c>
      <c r="C28" s="198" t="e">
        <v>#VALUE!</v>
      </c>
      <c r="D28" s="198" t="e">
        <v>#VALUE!</v>
      </c>
      <c r="E28" s="198" t="e">
        <v>#VALUE!</v>
      </c>
      <c r="F28" s="198" t="e">
        <v>#VALUE!</v>
      </c>
      <c r="G28" s="198" t="e">
        <v>#VALUE!</v>
      </c>
      <c r="H28" s="198" t="e">
        <v>#VALUE!</v>
      </c>
      <c r="I28" s="198" t="e">
        <v>#VALUE!</v>
      </c>
      <c r="J28" s="198" t="e">
        <v>#VALUE!</v>
      </c>
      <c r="K28" s="198" t="e">
        <v>#VALUE!</v>
      </c>
    </row>
    <row r="29" spans="1:11" hidden="1" x14ac:dyDescent="0.3">
      <c r="A29" s="124" t="s">
        <v>231</v>
      </c>
      <c r="B29" s="198" t="e">
        <v>#VALUE!</v>
      </c>
      <c r="C29" s="198" t="e">
        <v>#VALUE!</v>
      </c>
      <c r="D29" s="198" t="e">
        <v>#VALUE!</v>
      </c>
      <c r="E29" s="198" t="e">
        <v>#VALUE!</v>
      </c>
      <c r="F29" s="198" t="e">
        <v>#VALUE!</v>
      </c>
      <c r="G29" s="198" t="e">
        <v>#VALUE!</v>
      </c>
      <c r="H29" s="198" t="e">
        <v>#VALUE!</v>
      </c>
      <c r="I29" s="198" t="e">
        <v>#VALUE!</v>
      </c>
      <c r="J29" s="198" t="e">
        <v>#VALUE!</v>
      </c>
      <c r="K29" s="198" t="e">
        <v>#VALUE!</v>
      </c>
    </row>
    <row r="30" spans="1:11" hidden="1" x14ac:dyDescent="0.3">
      <c r="A30" s="124" t="s">
        <v>231</v>
      </c>
      <c r="B30" s="198" t="e">
        <v>#VALUE!</v>
      </c>
      <c r="C30" s="198" t="e">
        <v>#VALUE!</v>
      </c>
      <c r="D30" s="198" t="e">
        <v>#VALUE!</v>
      </c>
      <c r="E30" s="198" t="e">
        <v>#VALUE!</v>
      </c>
      <c r="F30" s="198" t="e">
        <v>#VALUE!</v>
      </c>
      <c r="G30" s="198" t="e">
        <v>#VALUE!</v>
      </c>
      <c r="H30" s="198" t="e">
        <v>#VALUE!</v>
      </c>
      <c r="I30" s="198" t="e">
        <v>#VALUE!</v>
      </c>
      <c r="J30" s="198" t="e">
        <v>#VALUE!</v>
      </c>
      <c r="K30" s="198" t="e">
        <v>#VALUE!</v>
      </c>
    </row>
    <row r="31" spans="1:11" hidden="1" x14ac:dyDescent="0.3">
      <c r="A31" s="124" t="s">
        <v>231</v>
      </c>
      <c r="B31" s="198" t="e">
        <v>#VALUE!</v>
      </c>
      <c r="C31" s="198" t="e">
        <v>#VALUE!</v>
      </c>
      <c r="D31" s="198" t="e">
        <v>#VALUE!</v>
      </c>
      <c r="E31" s="198" t="e">
        <v>#VALUE!</v>
      </c>
      <c r="F31" s="198" t="e">
        <v>#VALUE!</v>
      </c>
      <c r="G31" s="198" t="e">
        <v>#VALUE!</v>
      </c>
      <c r="H31" s="198" t="e">
        <v>#VALUE!</v>
      </c>
      <c r="I31" s="198" t="e">
        <v>#VALUE!</v>
      </c>
      <c r="J31" s="198" t="e">
        <v>#VALUE!</v>
      </c>
      <c r="K31" s="198" t="e">
        <v>#VALUE!</v>
      </c>
    </row>
    <row r="32" spans="1:11" hidden="1" x14ac:dyDescent="0.3">
      <c r="A32" s="124" t="s">
        <v>231</v>
      </c>
      <c r="B32" s="198" t="e">
        <v>#VALUE!</v>
      </c>
      <c r="C32" s="198" t="e">
        <v>#VALUE!</v>
      </c>
      <c r="D32" s="198" t="e">
        <v>#VALUE!</v>
      </c>
      <c r="E32" s="198" t="e">
        <v>#VALUE!</v>
      </c>
      <c r="F32" s="198" t="e">
        <v>#VALUE!</v>
      </c>
      <c r="G32" s="198" t="e">
        <v>#VALUE!</v>
      </c>
      <c r="H32" s="198" t="e">
        <v>#VALUE!</v>
      </c>
      <c r="I32" s="198" t="e">
        <v>#VALUE!</v>
      </c>
      <c r="J32" s="198" t="e">
        <v>#VALUE!</v>
      </c>
      <c r="K32" s="198" t="e">
        <v>#VALUE!</v>
      </c>
    </row>
    <row r="33" spans="1:11" hidden="1" x14ac:dyDescent="0.3">
      <c r="A33" s="124" t="s">
        <v>231</v>
      </c>
      <c r="B33" s="198" t="e">
        <v>#VALUE!</v>
      </c>
      <c r="C33" s="198" t="e">
        <v>#VALUE!</v>
      </c>
      <c r="D33" s="198" t="e">
        <v>#VALUE!</v>
      </c>
      <c r="E33" s="198" t="e">
        <v>#VALUE!</v>
      </c>
      <c r="F33" s="198" t="e">
        <v>#VALUE!</v>
      </c>
      <c r="G33" s="198" t="e">
        <v>#VALUE!</v>
      </c>
      <c r="H33" s="198" t="e">
        <v>#VALUE!</v>
      </c>
      <c r="I33" s="198" t="e">
        <v>#VALUE!</v>
      </c>
      <c r="J33" s="198" t="e">
        <v>#VALUE!</v>
      </c>
      <c r="K33" s="198" t="e">
        <v>#VALUE!</v>
      </c>
    </row>
    <row r="34" spans="1:11" ht="14.4" hidden="1" thickBot="1" x14ac:dyDescent="0.35">
      <c r="A34" s="125" t="s">
        <v>231</v>
      </c>
      <c r="B34" s="204" t="e">
        <v>#VALUE!</v>
      </c>
      <c r="C34" s="204" t="e">
        <v>#VALUE!</v>
      </c>
      <c r="D34" s="204" t="e">
        <v>#VALUE!</v>
      </c>
      <c r="E34" s="204" t="e">
        <v>#VALUE!</v>
      </c>
      <c r="F34" s="204" t="e">
        <v>#VALUE!</v>
      </c>
      <c r="G34" s="204" t="e">
        <v>#VALUE!</v>
      </c>
      <c r="H34" s="204" t="e">
        <v>#VALUE!</v>
      </c>
      <c r="I34" s="204" t="e">
        <v>#VALUE!</v>
      </c>
      <c r="J34" s="204" t="e">
        <v>#VALUE!</v>
      </c>
      <c r="K34" s="204" t="e">
        <v>#VALUE!</v>
      </c>
    </row>
    <row r="35" spans="1:11" ht="14.4" hidden="1" thickTop="1" x14ac:dyDescent="0.3">
      <c r="A35" s="124" t="s">
        <v>231</v>
      </c>
      <c r="B35" s="200" t="e">
        <v>#VALUE!</v>
      </c>
      <c r="C35" s="200" t="e">
        <v>#VALUE!</v>
      </c>
      <c r="D35" s="200" t="e">
        <v>#VALUE!</v>
      </c>
      <c r="E35" s="200" t="e">
        <v>#VALUE!</v>
      </c>
      <c r="F35" s="200" t="e">
        <v>#VALUE!</v>
      </c>
      <c r="G35" s="200" t="e">
        <v>#VALUE!</v>
      </c>
      <c r="H35" s="200" t="e">
        <v>#VALUE!</v>
      </c>
      <c r="I35" s="200" t="e">
        <v>#VALUE!</v>
      </c>
      <c r="J35" s="200" t="e">
        <v>#VALUE!</v>
      </c>
      <c r="K35" s="200" t="e">
        <v>#VALUE!</v>
      </c>
    </row>
    <row r="36" spans="1:11" hidden="1" x14ac:dyDescent="0.3">
      <c r="A36" s="124" t="s">
        <v>231</v>
      </c>
      <c r="B36" s="200" t="e">
        <v>#VALUE!</v>
      </c>
      <c r="C36" s="200" t="e">
        <v>#VALUE!</v>
      </c>
      <c r="D36" s="200" t="e">
        <v>#VALUE!</v>
      </c>
      <c r="E36" s="200" t="e">
        <v>#VALUE!</v>
      </c>
      <c r="F36" s="200" t="e">
        <v>#VALUE!</v>
      </c>
      <c r="G36" s="200" t="e">
        <v>#VALUE!</v>
      </c>
      <c r="H36" s="200" t="e">
        <v>#VALUE!</v>
      </c>
      <c r="I36" s="200" t="e">
        <v>#VALUE!</v>
      </c>
      <c r="J36" s="200" t="e">
        <v>#VALUE!</v>
      </c>
      <c r="K36" s="200" t="e">
        <v>#VALUE!</v>
      </c>
    </row>
    <row r="37" spans="1:11" hidden="1" x14ac:dyDescent="0.3">
      <c r="A37" s="124" t="s">
        <v>231</v>
      </c>
      <c r="B37" s="200" t="e">
        <v>#VALUE!</v>
      </c>
      <c r="C37" s="200" t="e">
        <v>#VALUE!</v>
      </c>
      <c r="D37" s="200" t="e">
        <v>#VALUE!</v>
      </c>
      <c r="E37" s="200" t="e">
        <v>#VALUE!</v>
      </c>
      <c r="F37" s="200" t="e">
        <v>#VALUE!</v>
      </c>
      <c r="G37" s="200" t="e">
        <v>#VALUE!</v>
      </c>
      <c r="H37" s="200" t="e">
        <v>#VALUE!</v>
      </c>
      <c r="I37" s="200" t="e">
        <v>#VALUE!</v>
      </c>
      <c r="J37" s="200" t="e">
        <v>#VALUE!</v>
      </c>
      <c r="K37" s="200" t="e">
        <v>#VALUE!</v>
      </c>
    </row>
    <row r="38" spans="1:11" hidden="1" x14ac:dyDescent="0.3">
      <c r="A38" s="124" t="s">
        <v>231</v>
      </c>
      <c r="B38" s="200" t="e">
        <v>#VALUE!</v>
      </c>
      <c r="C38" s="200" t="e">
        <v>#VALUE!</v>
      </c>
      <c r="D38" s="200" t="e">
        <v>#VALUE!</v>
      </c>
      <c r="E38" s="200" t="e">
        <v>#VALUE!</v>
      </c>
      <c r="F38" s="200" t="e">
        <v>#VALUE!</v>
      </c>
      <c r="G38" s="200" t="e">
        <v>#VALUE!</v>
      </c>
      <c r="H38" s="200" t="e">
        <v>#VALUE!</v>
      </c>
      <c r="I38" s="200" t="e">
        <v>#VALUE!</v>
      </c>
      <c r="J38" s="200" t="e">
        <v>#VALUE!</v>
      </c>
      <c r="K38" s="200" t="e">
        <v>#VALUE!</v>
      </c>
    </row>
    <row r="39" spans="1:11" hidden="1" x14ac:dyDescent="0.3">
      <c r="A39" s="124" t="s">
        <v>231</v>
      </c>
      <c r="B39" s="200" t="e">
        <v>#VALUE!</v>
      </c>
      <c r="C39" s="200" t="e">
        <v>#VALUE!</v>
      </c>
      <c r="D39" s="200" t="e">
        <v>#VALUE!</v>
      </c>
      <c r="E39" s="200" t="e">
        <v>#VALUE!</v>
      </c>
      <c r="F39" s="200" t="e">
        <v>#VALUE!</v>
      </c>
      <c r="G39" s="200" t="e">
        <v>#VALUE!</v>
      </c>
      <c r="H39" s="200" t="e">
        <v>#VALUE!</v>
      </c>
      <c r="I39" s="200" t="e">
        <v>#VALUE!</v>
      </c>
      <c r="J39" s="200" t="e">
        <v>#VALUE!</v>
      </c>
      <c r="K39" s="200" t="e">
        <v>#VALUE!</v>
      </c>
    </row>
    <row r="40" spans="1:11" hidden="1" x14ac:dyDescent="0.3">
      <c r="A40" s="278" t="s">
        <v>102</v>
      </c>
      <c r="B40" s="278"/>
      <c r="C40" s="278"/>
      <c r="D40" s="278"/>
      <c r="E40" s="278"/>
      <c r="F40" s="278"/>
      <c r="G40" s="278"/>
      <c r="H40" s="278"/>
      <c r="I40" s="278"/>
      <c r="J40" s="278"/>
      <c r="K40" s="278"/>
    </row>
    <row r="41" spans="1:11" hidden="1" x14ac:dyDescent="0.3">
      <c r="A41" s="246" t="s">
        <v>215</v>
      </c>
      <c r="B41" s="246"/>
      <c r="C41" s="246"/>
      <c r="D41" s="246"/>
      <c r="E41" s="246"/>
      <c r="F41" s="246"/>
      <c r="G41" s="246"/>
      <c r="H41" s="246"/>
      <c r="I41" s="246"/>
      <c r="J41" s="246"/>
      <c r="K41" s="246"/>
    </row>
    <row r="42" spans="1:11" hidden="1" x14ac:dyDescent="0.3">
      <c r="A42" s="282" t="str">
        <f>year!$H$2</f>
        <v>UT : PUDUCHERRY</v>
      </c>
      <c r="B42" s="282" t="str">
        <f>year!$H$2</f>
        <v>UT : PUDUCHERRY</v>
      </c>
      <c r="C42" s="282" t="str">
        <f>year!$H$2</f>
        <v>UT : PUDUCHERRY</v>
      </c>
      <c r="D42" s="282" t="str">
        <f>year!$H$2</f>
        <v>UT : PUDUCHERRY</v>
      </c>
      <c r="E42" s="282" t="str">
        <f>year!$H$2</f>
        <v>UT : PUDUCHERRY</v>
      </c>
      <c r="F42" s="282" t="str">
        <f>year!$H$2</f>
        <v>UT : PUDUCHERRY</v>
      </c>
      <c r="G42" s="282" t="str">
        <f>year!$H$2</f>
        <v>UT : PUDUCHERRY</v>
      </c>
      <c r="H42" s="282" t="str">
        <f>year!$H$2</f>
        <v>UT : PUDUCHERRY</v>
      </c>
      <c r="I42" s="282" t="str">
        <f>year!$H$2</f>
        <v>UT : PUDUCHERRY</v>
      </c>
      <c r="J42" s="283" t="s">
        <v>600</v>
      </c>
      <c r="K42" s="283"/>
    </row>
    <row r="43" spans="1:11" hidden="1" x14ac:dyDescent="0.3">
      <c r="A43" s="280" t="s">
        <v>601</v>
      </c>
      <c r="B43" s="280"/>
      <c r="C43" s="280"/>
      <c r="D43" s="280"/>
      <c r="E43" s="280"/>
      <c r="F43" s="280"/>
      <c r="G43" s="280"/>
      <c r="H43" s="280"/>
      <c r="I43" s="280"/>
      <c r="J43" s="280"/>
      <c r="K43" s="280"/>
    </row>
    <row r="44" spans="1:11" hidden="1" x14ac:dyDescent="0.3">
      <c r="A44" s="279" t="s">
        <v>260</v>
      </c>
      <c r="B44" s="270" t="s">
        <v>261</v>
      </c>
      <c r="C44" s="270"/>
      <c r="D44" s="270"/>
      <c r="E44" s="270"/>
      <c r="F44" s="270"/>
      <c r="G44" s="270"/>
      <c r="H44" s="270"/>
      <c r="I44" s="270"/>
      <c r="J44" s="270"/>
      <c r="K44" s="270"/>
    </row>
    <row r="45" spans="1:11" ht="21" hidden="1" customHeight="1" x14ac:dyDescent="0.3">
      <c r="A45" s="279"/>
      <c r="B45" s="266" t="s">
        <v>262</v>
      </c>
      <c r="C45" s="266"/>
      <c r="D45" s="266"/>
      <c r="E45" s="266" t="s">
        <v>263</v>
      </c>
      <c r="F45" s="266"/>
      <c r="G45" s="266"/>
      <c r="H45" s="266" t="s">
        <v>264</v>
      </c>
      <c r="I45" s="266"/>
      <c r="J45" s="266"/>
      <c r="K45" s="265" t="s">
        <v>265</v>
      </c>
    </row>
    <row r="46" spans="1:11" ht="21" hidden="1" customHeight="1" x14ac:dyDescent="0.3">
      <c r="A46" s="281"/>
      <c r="B46" s="96" t="s">
        <v>266</v>
      </c>
      <c r="C46" s="96" t="s">
        <v>258</v>
      </c>
      <c r="D46" s="96" t="s">
        <v>259</v>
      </c>
      <c r="E46" s="96" t="s">
        <v>266</v>
      </c>
      <c r="F46" s="96" t="s">
        <v>258</v>
      </c>
      <c r="G46" s="96" t="s">
        <v>259</v>
      </c>
      <c r="H46" s="96" t="s">
        <v>266</v>
      </c>
      <c r="I46" s="96" t="s">
        <v>272</v>
      </c>
      <c r="J46" s="96" t="s">
        <v>273</v>
      </c>
      <c r="K46" s="266"/>
    </row>
    <row r="47" spans="1:11" hidden="1" x14ac:dyDescent="0.3">
      <c r="A47" s="206" t="s">
        <v>8</v>
      </c>
      <c r="B47" s="208" t="s">
        <v>9</v>
      </c>
      <c r="C47" s="206" t="s">
        <v>10</v>
      </c>
      <c r="D47" s="206" t="s">
        <v>11</v>
      </c>
      <c r="E47" s="206" t="s">
        <v>12</v>
      </c>
      <c r="F47" s="206" t="s">
        <v>13</v>
      </c>
      <c r="G47" s="206" t="s">
        <v>14</v>
      </c>
      <c r="H47" s="206" t="s">
        <v>15</v>
      </c>
      <c r="I47" s="206" t="s">
        <v>75</v>
      </c>
      <c r="J47" s="206" t="s">
        <v>76</v>
      </c>
      <c r="K47" s="206" t="s">
        <v>77</v>
      </c>
    </row>
    <row r="48" spans="1:11" ht="28.8" customHeight="1" x14ac:dyDescent="0.3">
      <c r="A48" s="202" t="str">
        <f>year!$H$5</f>
        <v>RABI I 2022-23</v>
      </c>
      <c r="B48" s="203"/>
      <c r="C48" s="203"/>
      <c r="D48" s="203"/>
      <c r="E48" s="203"/>
      <c r="F48" s="203"/>
      <c r="G48" s="203"/>
      <c r="H48" s="203"/>
      <c r="I48" s="203"/>
      <c r="J48" s="203"/>
      <c r="K48" s="203"/>
    </row>
    <row r="49" spans="1:11" ht="28.8" customHeight="1" x14ac:dyDescent="0.3">
      <c r="A49" s="124" t="str">
        <f>A9</f>
        <v>PADDY</v>
      </c>
      <c r="B49" s="198" t="s">
        <v>602</v>
      </c>
      <c r="C49" s="198" t="s">
        <v>581</v>
      </c>
      <c r="D49" s="198" t="s">
        <v>581</v>
      </c>
      <c r="E49" s="198" t="s">
        <v>602</v>
      </c>
      <c r="F49" s="198" t="s">
        <v>582</v>
      </c>
      <c r="G49" s="198" t="s">
        <v>582</v>
      </c>
      <c r="H49" s="198" t="s">
        <v>605</v>
      </c>
      <c r="I49" s="198" t="s">
        <v>583</v>
      </c>
      <c r="J49" s="198" t="s">
        <v>583</v>
      </c>
      <c r="K49" s="198" t="s">
        <v>573</v>
      </c>
    </row>
    <row r="50" spans="1:11" ht="28.8" customHeight="1" x14ac:dyDescent="0.3">
      <c r="A50" s="124" t="str">
        <f t="shared" ref="A50:A63" si="0">A10</f>
        <v>OTHERS</v>
      </c>
      <c r="B50" s="198" t="s">
        <v>370</v>
      </c>
      <c r="C50" s="198" t="s">
        <v>620</v>
      </c>
      <c r="D50" s="198" t="s">
        <v>620</v>
      </c>
      <c r="E50" s="198" t="s">
        <v>602</v>
      </c>
      <c r="F50" s="198" t="s">
        <v>621</v>
      </c>
      <c r="G50" s="198" t="s">
        <v>621</v>
      </c>
      <c r="H50" s="198" t="s">
        <v>366</v>
      </c>
      <c r="I50" s="198" t="s">
        <v>622</v>
      </c>
      <c r="J50" s="198" t="s">
        <v>622</v>
      </c>
      <c r="K50" s="198" t="s">
        <v>573</v>
      </c>
    </row>
    <row r="51" spans="1:11" hidden="1" x14ac:dyDescent="0.3">
      <c r="A51" s="124" t="str">
        <f t="shared" si="0"/>
        <v/>
      </c>
      <c r="B51" s="198" t="e">
        <v>#VALUE!</v>
      </c>
      <c r="C51" s="198" t="e">
        <v>#VALUE!</v>
      </c>
      <c r="D51" s="198" t="e">
        <v>#VALUE!</v>
      </c>
      <c r="E51" s="198" t="e">
        <v>#VALUE!</v>
      </c>
      <c r="F51" s="198" t="e">
        <v>#VALUE!</v>
      </c>
      <c r="G51" s="198" t="e">
        <v>#VALUE!</v>
      </c>
      <c r="H51" s="198" t="e">
        <v>#VALUE!</v>
      </c>
      <c r="I51" s="198" t="e">
        <v>#VALUE!</v>
      </c>
      <c r="J51" s="198" t="e">
        <v>#VALUE!</v>
      </c>
      <c r="K51" s="198" t="e">
        <v>#VALUE!</v>
      </c>
    </row>
    <row r="52" spans="1:11" hidden="1" x14ac:dyDescent="0.3">
      <c r="A52" s="124" t="str">
        <f t="shared" si="0"/>
        <v/>
      </c>
      <c r="B52" s="198" t="e">
        <v>#VALUE!</v>
      </c>
      <c r="C52" s="198" t="e">
        <v>#VALUE!</v>
      </c>
      <c r="D52" s="198" t="e">
        <v>#VALUE!</v>
      </c>
      <c r="E52" s="198" t="e">
        <v>#VALUE!</v>
      </c>
      <c r="F52" s="198" t="e">
        <v>#VALUE!</v>
      </c>
      <c r="G52" s="198" t="e">
        <v>#VALUE!</v>
      </c>
      <c r="H52" s="198" t="e">
        <v>#VALUE!</v>
      </c>
      <c r="I52" s="198" t="e">
        <v>#VALUE!</v>
      </c>
      <c r="J52" s="198" t="e">
        <v>#VALUE!</v>
      </c>
      <c r="K52" s="198" t="e">
        <v>#VALUE!</v>
      </c>
    </row>
    <row r="53" spans="1:11" hidden="1" x14ac:dyDescent="0.3">
      <c r="A53" s="124" t="str">
        <f t="shared" si="0"/>
        <v/>
      </c>
      <c r="B53" s="198" t="e">
        <v>#VALUE!</v>
      </c>
      <c r="C53" s="198" t="e">
        <v>#VALUE!</v>
      </c>
      <c r="D53" s="198" t="e">
        <v>#VALUE!</v>
      </c>
      <c r="E53" s="198" t="e">
        <v>#VALUE!</v>
      </c>
      <c r="F53" s="198" t="e">
        <v>#VALUE!</v>
      </c>
      <c r="G53" s="198" t="e">
        <v>#VALUE!</v>
      </c>
      <c r="H53" s="198" t="e">
        <v>#VALUE!</v>
      </c>
      <c r="I53" s="198" t="e">
        <v>#VALUE!</v>
      </c>
      <c r="J53" s="198" t="e">
        <v>#VALUE!</v>
      </c>
      <c r="K53" s="198" t="e">
        <v>#VALUE!</v>
      </c>
    </row>
    <row r="54" spans="1:11" hidden="1" x14ac:dyDescent="0.3">
      <c r="A54" s="124" t="str">
        <f t="shared" si="0"/>
        <v/>
      </c>
      <c r="B54" s="198" t="e">
        <v>#VALUE!</v>
      </c>
      <c r="C54" s="198" t="e">
        <v>#VALUE!</v>
      </c>
      <c r="D54" s="198" t="e">
        <v>#VALUE!</v>
      </c>
      <c r="E54" s="198" t="e">
        <v>#VALUE!</v>
      </c>
      <c r="F54" s="198" t="e">
        <v>#VALUE!</v>
      </c>
      <c r="G54" s="198" t="e">
        <v>#VALUE!</v>
      </c>
      <c r="H54" s="198" t="e">
        <v>#VALUE!</v>
      </c>
      <c r="I54" s="198" t="e">
        <v>#VALUE!</v>
      </c>
      <c r="J54" s="198" t="e">
        <v>#VALUE!</v>
      </c>
      <c r="K54" s="198" t="e">
        <v>#VALUE!</v>
      </c>
    </row>
    <row r="55" spans="1:11" hidden="1" x14ac:dyDescent="0.3">
      <c r="A55" s="124" t="str">
        <f t="shared" si="0"/>
        <v/>
      </c>
      <c r="B55" s="198" t="e">
        <v>#VALUE!</v>
      </c>
      <c r="C55" s="198" t="e">
        <v>#VALUE!</v>
      </c>
      <c r="D55" s="198" t="e">
        <v>#VALUE!</v>
      </c>
      <c r="E55" s="198" t="e">
        <v>#VALUE!</v>
      </c>
      <c r="F55" s="198" t="e">
        <v>#VALUE!</v>
      </c>
      <c r="G55" s="198" t="e">
        <v>#VALUE!</v>
      </c>
      <c r="H55" s="198" t="e">
        <v>#VALUE!</v>
      </c>
      <c r="I55" s="198" t="e">
        <v>#VALUE!</v>
      </c>
      <c r="J55" s="198" t="e">
        <v>#VALUE!</v>
      </c>
      <c r="K55" s="198" t="e">
        <v>#VALUE!</v>
      </c>
    </row>
    <row r="56" spans="1:11" hidden="1" x14ac:dyDescent="0.3">
      <c r="A56" s="124" t="str">
        <f t="shared" si="0"/>
        <v/>
      </c>
      <c r="B56" s="198" t="e">
        <v>#VALUE!</v>
      </c>
      <c r="C56" s="198" t="e">
        <v>#VALUE!</v>
      </c>
      <c r="D56" s="198" t="e">
        <v>#VALUE!</v>
      </c>
      <c r="E56" s="198" t="e">
        <v>#VALUE!</v>
      </c>
      <c r="F56" s="198" t="e">
        <v>#VALUE!</v>
      </c>
      <c r="G56" s="198" t="e">
        <v>#VALUE!</v>
      </c>
      <c r="H56" s="198" t="e">
        <v>#VALUE!</v>
      </c>
      <c r="I56" s="198" t="e">
        <v>#VALUE!</v>
      </c>
      <c r="J56" s="198" t="e">
        <v>#VALUE!</v>
      </c>
      <c r="K56" s="198" t="e">
        <v>#VALUE!</v>
      </c>
    </row>
    <row r="57" spans="1:11" hidden="1" x14ac:dyDescent="0.3">
      <c r="A57" s="124" t="str">
        <f t="shared" si="0"/>
        <v/>
      </c>
      <c r="B57" s="198" t="e">
        <v>#VALUE!</v>
      </c>
      <c r="C57" s="198" t="e">
        <v>#VALUE!</v>
      </c>
      <c r="D57" s="198" t="e">
        <v>#VALUE!</v>
      </c>
      <c r="E57" s="198" t="e">
        <v>#VALUE!</v>
      </c>
      <c r="F57" s="198" t="e">
        <v>#VALUE!</v>
      </c>
      <c r="G57" s="198" t="e">
        <v>#VALUE!</v>
      </c>
      <c r="H57" s="198" t="e">
        <v>#VALUE!</v>
      </c>
      <c r="I57" s="198" t="e">
        <v>#VALUE!</v>
      </c>
      <c r="J57" s="198" t="e">
        <v>#VALUE!</v>
      </c>
      <c r="K57" s="198" t="e">
        <v>#VALUE!</v>
      </c>
    </row>
    <row r="58" spans="1:11" hidden="1" x14ac:dyDescent="0.3">
      <c r="A58" s="123" t="str">
        <f t="shared" si="0"/>
        <v/>
      </c>
      <c r="B58" s="199" t="e">
        <v>#VALUE!</v>
      </c>
      <c r="C58" s="199" t="e">
        <v>#VALUE!</v>
      </c>
      <c r="D58" s="199" t="e">
        <v>#VALUE!</v>
      </c>
      <c r="E58" s="199" t="e">
        <v>#VALUE!</v>
      </c>
      <c r="F58" s="199" t="e">
        <v>#VALUE!</v>
      </c>
      <c r="G58" s="199" t="e">
        <v>#VALUE!</v>
      </c>
      <c r="H58" s="199" t="e">
        <v>#VALUE!</v>
      </c>
      <c r="I58" s="199" t="e">
        <v>#VALUE!</v>
      </c>
      <c r="J58" s="199" t="e">
        <v>#VALUE!</v>
      </c>
      <c r="K58" s="199" t="e">
        <v>#VALUE!</v>
      </c>
    </row>
    <row r="59" spans="1:11" hidden="1" x14ac:dyDescent="0.3">
      <c r="A59" s="124" t="str">
        <f t="shared" si="0"/>
        <v/>
      </c>
      <c r="B59" s="200" t="e">
        <v>#VALUE!</v>
      </c>
      <c r="C59" s="200" t="e">
        <v>#VALUE!</v>
      </c>
      <c r="D59" s="200" t="e">
        <v>#VALUE!</v>
      </c>
      <c r="E59" s="200" t="e">
        <v>#VALUE!</v>
      </c>
      <c r="F59" s="200" t="e">
        <v>#VALUE!</v>
      </c>
      <c r="G59" s="200" t="e">
        <v>#VALUE!</v>
      </c>
      <c r="H59" s="200" t="e">
        <v>#VALUE!</v>
      </c>
      <c r="I59" s="200" t="e">
        <v>#VALUE!</v>
      </c>
      <c r="J59" s="200" t="e">
        <v>#VALUE!</v>
      </c>
      <c r="K59" s="200" t="e">
        <v>#VALUE!</v>
      </c>
    </row>
    <row r="60" spans="1:11" hidden="1" x14ac:dyDescent="0.3">
      <c r="A60" s="124" t="str">
        <f t="shared" si="0"/>
        <v/>
      </c>
      <c r="B60" s="200" t="e">
        <v>#VALUE!</v>
      </c>
      <c r="C60" s="200" t="e">
        <v>#VALUE!</v>
      </c>
      <c r="D60" s="200" t="e">
        <v>#VALUE!</v>
      </c>
      <c r="E60" s="200" t="e">
        <v>#VALUE!</v>
      </c>
      <c r="F60" s="200" t="e">
        <v>#VALUE!</v>
      </c>
      <c r="G60" s="200" t="e">
        <v>#VALUE!</v>
      </c>
      <c r="H60" s="200" t="e">
        <v>#VALUE!</v>
      </c>
      <c r="I60" s="200" t="e">
        <v>#VALUE!</v>
      </c>
      <c r="J60" s="200" t="e">
        <v>#VALUE!</v>
      </c>
      <c r="K60" s="200" t="e">
        <v>#VALUE!</v>
      </c>
    </row>
    <row r="61" spans="1:11" hidden="1" x14ac:dyDescent="0.3">
      <c r="A61" s="124" t="str">
        <f t="shared" si="0"/>
        <v/>
      </c>
      <c r="B61" s="200" t="e">
        <v>#VALUE!</v>
      </c>
      <c r="C61" s="200" t="e">
        <v>#VALUE!</v>
      </c>
      <c r="D61" s="200" t="e">
        <v>#VALUE!</v>
      </c>
      <c r="E61" s="200" t="e">
        <v>#VALUE!</v>
      </c>
      <c r="F61" s="200" t="e">
        <v>#VALUE!</v>
      </c>
      <c r="G61" s="200" t="e">
        <v>#VALUE!</v>
      </c>
      <c r="H61" s="200" t="e">
        <v>#VALUE!</v>
      </c>
      <c r="I61" s="200" t="e">
        <v>#VALUE!</v>
      </c>
      <c r="J61" s="200" t="e">
        <v>#VALUE!</v>
      </c>
      <c r="K61" s="200" t="e">
        <v>#VALUE!</v>
      </c>
    </row>
    <row r="62" spans="1:11" hidden="1" x14ac:dyDescent="0.3">
      <c r="A62" s="124" t="str">
        <f t="shared" si="0"/>
        <v/>
      </c>
      <c r="B62" s="200" t="e">
        <v>#VALUE!</v>
      </c>
      <c r="C62" s="200" t="e">
        <v>#VALUE!</v>
      </c>
      <c r="D62" s="200" t="e">
        <v>#VALUE!</v>
      </c>
      <c r="E62" s="200" t="e">
        <v>#VALUE!</v>
      </c>
      <c r="F62" s="200" t="e">
        <v>#VALUE!</v>
      </c>
      <c r="G62" s="200" t="e">
        <v>#VALUE!</v>
      </c>
      <c r="H62" s="200" t="e">
        <v>#VALUE!</v>
      </c>
      <c r="I62" s="200" t="e">
        <v>#VALUE!</v>
      </c>
      <c r="J62" s="200" t="e">
        <v>#VALUE!</v>
      </c>
      <c r="K62" s="200" t="e">
        <v>#VALUE!</v>
      </c>
    </row>
    <row r="63" spans="1:11" hidden="1" x14ac:dyDescent="0.3">
      <c r="A63" s="124" t="str">
        <f t="shared" si="0"/>
        <v/>
      </c>
      <c r="B63" s="200" t="e">
        <v>#VALUE!</v>
      </c>
      <c r="C63" s="200" t="e">
        <v>#VALUE!</v>
      </c>
      <c r="D63" s="200" t="e">
        <v>#VALUE!</v>
      </c>
      <c r="E63" s="200" t="e">
        <v>#VALUE!</v>
      </c>
      <c r="F63" s="200" t="e">
        <v>#VALUE!</v>
      </c>
      <c r="G63" s="200" t="e">
        <v>#VALUE!</v>
      </c>
      <c r="H63" s="200" t="e">
        <v>#VALUE!</v>
      </c>
      <c r="I63" s="200" t="e">
        <v>#VALUE!</v>
      </c>
      <c r="J63" s="200" t="e">
        <v>#VALUE!</v>
      </c>
      <c r="K63" s="200" t="e">
        <v>#VALUE!</v>
      </c>
    </row>
    <row r="64" spans="1:11" ht="28.8" customHeight="1" x14ac:dyDescent="0.3">
      <c r="A64" s="201" t="str">
        <f>year!$I$5</f>
        <v>RABI II 2022-23</v>
      </c>
      <c r="B64" s="203"/>
      <c r="C64" s="203"/>
      <c r="D64" s="203"/>
      <c r="E64" s="203"/>
      <c r="F64" s="203"/>
      <c r="G64" s="203"/>
      <c r="H64" s="203"/>
      <c r="I64" s="203"/>
      <c r="J64" s="203"/>
      <c r="K64" s="203"/>
    </row>
    <row r="65" spans="1:11" ht="28.8" customHeight="1" x14ac:dyDescent="0.3">
      <c r="A65" s="205" t="str">
        <f>A25</f>
        <v>PADDY</v>
      </c>
      <c r="B65" s="198" t="s">
        <v>377</v>
      </c>
      <c r="C65" s="198" t="s">
        <v>587</v>
      </c>
      <c r="D65" s="198" t="s">
        <v>587</v>
      </c>
      <c r="E65" s="198" t="s">
        <v>372</v>
      </c>
      <c r="F65" s="198" t="s">
        <v>588</v>
      </c>
      <c r="G65" s="198" t="s">
        <v>589</v>
      </c>
      <c r="H65" s="198" t="s">
        <v>602</v>
      </c>
      <c r="I65" s="198" t="s">
        <v>590</v>
      </c>
      <c r="J65" s="198" t="s">
        <v>591</v>
      </c>
      <c r="K65" s="198" t="s">
        <v>592</v>
      </c>
    </row>
    <row r="66" spans="1:11" ht="28.8" customHeight="1" thickBot="1" x14ac:dyDescent="0.35">
      <c r="A66" s="207" t="str">
        <f t="shared" ref="A66:A79" si="1">A26</f>
        <v>OTHERS</v>
      </c>
      <c r="B66" s="204" t="s">
        <v>372</v>
      </c>
      <c r="C66" s="204" t="s">
        <v>623</v>
      </c>
      <c r="D66" s="204" t="s">
        <v>623</v>
      </c>
      <c r="E66" s="204" t="s">
        <v>366</v>
      </c>
      <c r="F66" s="204" t="s">
        <v>624</v>
      </c>
      <c r="G66" s="204" t="s">
        <v>624</v>
      </c>
      <c r="H66" s="204" t="s">
        <v>374</v>
      </c>
      <c r="I66" s="204" t="s">
        <v>625</v>
      </c>
      <c r="J66" s="204" t="s">
        <v>625</v>
      </c>
      <c r="K66" s="204" t="s">
        <v>573</v>
      </c>
    </row>
    <row r="67" spans="1:11" ht="14.4" hidden="1" thickTop="1" x14ac:dyDescent="0.3">
      <c r="A67" s="205" t="str">
        <f t="shared" si="1"/>
        <v/>
      </c>
      <c r="B67" s="198" t="e">
        <v>#VALUE!</v>
      </c>
      <c r="C67" s="198" t="e">
        <v>#VALUE!</v>
      </c>
      <c r="D67" s="198" t="e">
        <v>#VALUE!</v>
      </c>
      <c r="E67" s="198" t="e">
        <v>#VALUE!</v>
      </c>
      <c r="F67" s="198" t="e">
        <v>#VALUE!</v>
      </c>
      <c r="G67" s="198" t="e">
        <v>#VALUE!</v>
      </c>
      <c r="H67" s="198" t="e">
        <v>#VALUE!</v>
      </c>
      <c r="I67" s="198" t="e">
        <v>#VALUE!</v>
      </c>
      <c r="J67" s="198" t="e">
        <v>#VALUE!</v>
      </c>
      <c r="K67" s="198" t="e">
        <v>#VALUE!</v>
      </c>
    </row>
    <row r="68" spans="1:11" hidden="1" x14ac:dyDescent="0.3">
      <c r="A68" s="205" t="str">
        <f t="shared" si="1"/>
        <v/>
      </c>
      <c r="B68" s="198" t="e">
        <v>#VALUE!</v>
      </c>
      <c r="C68" s="198" t="e">
        <v>#VALUE!</v>
      </c>
      <c r="D68" s="198" t="e">
        <v>#VALUE!</v>
      </c>
      <c r="E68" s="198" t="e">
        <v>#VALUE!</v>
      </c>
      <c r="F68" s="198" t="e">
        <v>#VALUE!</v>
      </c>
      <c r="G68" s="198" t="e">
        <v>#VALUE!</v>
      </c>
      <c r="H68" s="198" t="e">
        <v>#VALUE!</v>
      </c>
      <c r="I68" s="198" t="e">
        <v>#VALUE!</v>
      </c>
      <c r="J68" s="198" t="e">
        <v>#VALUE!</v>
      </c>
      <c r="K68" s="198" t="e">
        <v>#VALUE!</v>
      </c>
    </row>
    <row r="69" spans="1:11" hidden="1" x14ac:dyDescent="0.3">
      <c r="A69" s="205" t="str">
        <f t="shared" si="1"/>
        <v/>
      </c>
      <c r="B69" s="198" t="e">
        <v>#VALUE!</v>
      </c>
      <c r="C69" s="198" t="e">
        <v>#VALUE!</v>
      </c>
      <c r="D69" s="198" t="e">
        <v>#VALUE!</v>
      </c>
      <c r="E69" s="198" t="e">
        <v>#VALUE!</v>
      </c>
      <c r="F69" s="198" t="e">
        <v>#VALUE!</v>
      </c>
      <c r="G69" s="198" t="e">
        <v>#VALUE!</v>
      </c>
      <c r="H69" s="198" t="e">
        <v>#VALUE!</v>
      </c>
      <c r="I69" s="198" t="e">
        <v>#VALUE!</v>
      </c>
      <c r="J69" s="198" t="e">
        <v>#VALUE!</v>
      </c>
      <c r="K69" s="198" t="e">
        <v>#VALUE!</v>
      </c>
    </row>
    <row r="70" spans="1:11" hidden="1" x14ac:dyDescent="0.3">
      <c r="A70" s="205" t="str">
        <f t="shared" si="1"/>
        <v/>
      </c>
      <c r="B70" s="198" t="e">
        <v>#VALUE!</v>
      </c>
      <c r="C70" s="198" t="e">
        <v>#VALUE!</v>
      </c>
      <c r="D70" s="198" t="e">
        <v>#VALUE!</v>
      </c>
      <c r="E70" s="198" t="e">
        <v>#VALUE!</v>
      </c>
      <c r="F70" s="198" t="e">
        <v>#VALUE!</v>
      </c>
      <c r="G70" s="198" t="e">
        <v>#VALUE!</v>
      </c>
      <c r="H70" s="198" t="e">
        <v>#VALUE!</v>
      </c>
      <c r="I70" s="198" t="e">
        <v>#VALUE!</v>
      </c>
      <c r="J70" s="198" t="e">
        <v>#VALUE!</v>
      </c>
      <c r="K70" s="198" t="e">
        <v>#VALUE!</v>
      </c>
    </row>
    <row r="71" spans="1:11" hidden="1" x14ac:dyDescent="0.3">
      <c r="A71" s="205" t="str">
        <f t="shared" si="1"/>
        <v/>
      </c>
      <c r="B71" s="198" t="e">
        <v>#VALUE!</v>
      </c>
      <c r="C71" s="198" t="e">
        <v>#VALUE!</v>
      </c>
      <c r="D71" s="198" t="e">
        <v>#VALUE!</v>
      </c>
      <c r="E71" s="198" t="e">
        <v>#VALUE!</v>
      </c>
      <c r="F71" s="198" t="e">
        <v>#VALUE!</v>
      </c>
      <c r="G71" s="198" t="e">
        <v>#VALUE!</v>
      </c>
      <c r="H71" s="198" t="e">
        <v>#VALUE!</v>
      </c>
      <c r="I71" s="198" t="e">
        <v>#VALUE!</v>
      </c>
      <c r="J71" s="198" t="e">
        <v>#VALUE!</v>
      </c>
      <c r="K71" s="198" t="e">
        <v>#VALUE!</v>
      </c>
    </row>
    <row r="72" spans="1:11" hidden="1" x14ac:dyDescent="0.3">
      <c r="A72" s="205" t="str">
        <f t="shared" si="1"/>
        <v/>
      </c>
      <c r="B72" s="198" t="e">
        <v>#VALUE!</v>
      </c>
      <c r="C72" s="198" t="e">
        <v>#VALUE!</v>
      </c>
      <c r="D72" s="198" t="e">
        <v>#VALUE!</v>
      </c>
      <c r="E72" s="198" t="e">
        <v>#VALUE!</v>
      </c>
      <c r="F72" s="198" t="e">
        <v>#VALUE!</v>
      </c>
      <c r="G72" s="198" t="e">
        <v>#VALUE!</v>
      </c>
      <c r="H72" s="198" t="e">
        <v>#VALUE!</v>
      </c>
      <c r="I72" s="198" t="e">
        <v>#VALUE!</v>
      </c>
      <c r="J72" s="198" t="e">
        <v>#VALUE!</v>
      </c>
      <c r="K72" s="198" t="e">
        <v>#VALUE!</v>
      </c>
    </row>
    <row r="73" spans="1:11" hidden="1" x14ac:dyDescent="0.3">
      <c r="A73" s="205" t="str">
        <f t="shared" si="1"/>
        <v/>
      </c>
      <c r="B73" s="198" t="e">
        <v>#VALUE!</v>
      </c>
      <c r="C73" s="198" t="e">
        <v>#VALUE!</v>
      </c>
      <c r="D73" s="198" t="e">
        <v>#VALUE!</v>
      </c>
      <c r="E73" s="198" t="e">
        <v>#VALUE!</v>
      </c>
      <c r="F73" s="198" t="e">
        <v>#VALUE!</v>
      </c>
      <c r="G73" s="198" t="e">
        <v>#VALUE!</v>
      </c>
      <c r="H73" s="198" t="e">
        <v>#VALUE!</v>
      </c>
      <c r="I73" s="198" t="e">
        <v>#VALUE!</v>
      </c>
      <c r="J73" s="198" t="e">
        <v>#VALUE!</v>
      </c>
      <c r="K73" s="198" t="e">
        <v>#VALUE!</v>
      </c>
    </row>
    <row r="74" spans="1:11" ht="14.4" hidden="1" thickBot="1" x14ac:dyDescent="0.35">
      <c r="A74" s="207" t="str">
        <f t="shared" si="1"/>
        <v/>
      </c>
      <c r="B74" s="204" t="e">
        <v>#VALUE!</v>
      </c>
      <c r="C74" s="204" t="e">
        <v>#VALUE!</v>
      </c>
      <c r="D74" s="204" t="e">
        <v>#VALUE!</v>
      </c>
      <c r="E74" s="204" t="e">
        <v>#VALUE!</v>
      </c>
      <c r="F74" s="204" t="e">
        <v>#VALUE!</v>
      </c>
      <c r="G74" s="204" t="e">
        <v>#VALUE!</v>
      </c>
      <c r="H74" s="204" t="e">
        <v>#VALUE!</v>
      </c>
      <c r="I74" s="204" t="e">
        <v>#VALUE!</v>
      </c>
      <c r="J74" s="204" t="e">
        <v>#VALUE!</v>
      </c>
      <c r="K74" s="204" t="e">
        <v>#VALUE!</v>
      </c>
    </row>
    <row r="75" spans="1:11" ht="14.4" hidden="1" thickTop="1" x14ac:dyDescent="0.3">
      <c r="A75" s="205" t="str">
        <f t="shared" si="1"/>
        <v/>
      </c>
      <c r="B75" s="200" t="e">
        <v>#VALUE!</v>
      </c>
      <c r="C75" s="200" t="e">
        <v>#VALUE!</v>
      </c>
      <c r="D75" s="200" t="e">
        <v>#VALUE!</v>
      </c>
      <c r="E75" s="200" t="e">
        <v>#VALUE!</v>
      </c>
      <c r="F75" s="200" t="e">
        <v>#VALUE!</v>
      </c>
      <c r="G75" s="200" t="e">
        <v>#VALUE!</v>
      </c>
      <c r="H75" s="200" t="e">
        <v>#VALUE!</v>
      </c>
      <c r="I75" s="200" t="e">
        <v>#VALUE!</v>
      </c>
      <c r="J75" s="200" t="e">
        <v>#VALUE!</v>
      </c>
      <c r="K75" s="200" t="e">
        <v>#VALUE!</v>
      </c>
    </row>
    <row r="76" spans="1:11" hidden="1" x14ac:dyDescent="0.3">
      <c r="A76" s="205" t="str">
        <f t="shared" si="1"/>
        <v/>
      </c>
      <c r="B76" s="200" t="e">
        <v>#VALUE!</v>
      </c>
      <c r="C76" s="200" t="e">
        <v>#VALUE!</v>
      </c>
      <c r="D76" s="200" t="e">
        <v>#VALUE!</v>
      </c>
      <c r="E76" s="200" t="e">
        <v>#VALUE!</v>
      </c>
      <c r="F76" s="200" t="e">
        <v>#VALUE!</v>
      </c>
      <c r="G76" s="200" t="e">
        <v>#VALUE!</v>
      </c>
      <c r="H76" s="200" t="e">
        <v>#VALUE!</v>
      </c>
      <c r="I76" s="200" t="e">
        <v>#VALUE!</v>
      </c>
      <c r="J76" s="200" t="e">
        <v>#VALUE!</v>
      </c>
      <c r="K76" s="200" t="e">
        <v>#VALUE!</v>
      </c>
    </row>
    <row r="77" spans="1:11" hidden="1" x14ac:dyDescent="0.3">
      <c r="A77" s="205" t="str">
        <f t="shared" si="1"/>
        <v/>
      </c>
      <c r="B77" s="200" t="e">
        <v>#VALUE!</v>
      </c>
      <c r="C77" s="200" t="e">
        <v>#VALUE!</v>
      </c>
      <c r="D77" s="200" t="e">
        <v>#VALUE!</v>
      </c>
      <c r="E77" s="200" t="e">
        <v>#VALUE!</v>
      </c>
      <c r="F77" s="200" t="e">
        <v>#VALUE!</v>
      </c>
      <c r="G77" s="200" t="e">
        <v>#VALUE!</v>
      </c>
      <c r="H77" s="200" t="e">
        <v>#VALUE!</v>
      </c>
      <c r="I77" s="200" t="e">
        <v>#VALUE!</v>
      </c>
      <c r="J77" s="200" t="e">
        <v>#VALUE!</v>
      </c>
      <c r="K77" s="200" t="e">
        <v>#VALUE!</v>
      </c>
    </row>
    <row r="78" spans="1:11" hidden="1" x14ac:dyDescent="0.3">
      <c r="A78" s="205" t="str">
        <f t="shared" si="1"/>
        <v/>
      </c>
      <c r="B78" s="200" t="e">
        <v>#VALUE!</v>
      </c>
      <c r="C78" s="200" t="e">
        <v>#VALUE!</v>
      </c>
      <c r="D78" s="200" t="e">
        <v>#VALUE!</v>
      </c>
      <c r="E78" s="200" t="e">
        <v>#VALUE!</v>
      </c>
      <c r="F78" s="200" t="e">
        <v>#VALUE!</v>
      </c>
      <c r="G78" s="200" t="e">
        <v>#VALUE!</v>
      </c>
      <c r="H78" s="200" t="e">
        <v>#VALUE!</v>
      </c>
      <c r="I78" s="200" t="e">
        <v>#VALUE!</v>
      </c>
      <c r="J78" s="200" t="e">
        <v>#VALUE!</v>
      </c>
      <c r="K78" s="200" t="e">
        <v>#VALUE!</v>
      </c>
    </row>
    <row r="79" spans="1:11" hidden="1" x14ac:dyDescent="0.3">
      <c r="A79" s="205" t="str">
        <f t="shared" si="1"/>
        <v/>
      </c>
      <c r="B79" s="200" t="e">
        <v>#VALUE!</v>
      </c>
      <c r="C79" s="200" t="e">
        <v>#VALUE!</v>
      </c>
      <c r="D79" s="200" t="e">
        <v>#VALUE!</v>
      </c>
      <c r="E79" s="200" t="e">
        <v>#VALUE!</v>
      </c>
      <c r="F79" s="200" t="e">
        <v>#VALUE!</v>
      </c>
      <c r="G79" s="200" t="e">
        <v>#VALUE!</v>
      </c>
      <c r="H79" s="200" t="e">
        <v>#VALUE!</v>
      </c>
      <c r="I79" s="200" t="e">
        <v>#VALUE!</v>
      </c>
      <c r="J79" s="200" t="e">
        <v>#VALUE!</v>
      </c>
      <c r="K79" s="200" t="e">
        <v>#VALUE!</v>
      </c>
    </row>
    <row r="80" spans="1:11" ht="14.4" thickTop="1" x14ac:dyDescent="0.3">
      <c r="A80" s="278"/>
      <c r="B80" s="278"/>
      <c r="C80" s="278"/>
      <c r="D80" s="278"/>
      <c r="E80" s="278"/>
      <c r="F80" s="278"/>
      <c r="G80" s="278"/>
      <c r="H80" s="278"/>
      <c r="I80" s="278"/>
      <c r="J80" s="278"/>
      <c r="K80" s="278"/>
    </row>
    <row r="81" spans="1:11" x14ac:dyDescent="0.3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</row>
  </sheetData>
  <mergeCells count="23"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P36"/>
  <sheetViews>
    <sheetView view="pageBreakPreview" topLeftCell="A4" zoomScale="70" zoomScaleNormal="100" zoomScaleSheetLayoutView="70" workbookViewId="0">
      <selection activeCell="U15" sqref="U15"/>
    </sheetView>
  </sheetViews>
  <sheetFormatPr defaultRowHeight="14.4" x14ac:dyDescent="0.3"/>
  <cols>
    <col min="1" max="1" width="21.109375" customWidth="1"/>
    <col min="2" max="2" width="15.21875" customWidth="1"/>
    <col min="3" max="16" width="9.44140625" customWidth="1"/>
  </cols>
  <sheetData>
    <row r="1" spans="1:16" x14ac:dyDescent="0.3">
      <c r="A1" s="237" t="s">
        <v>282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</row>
    <row r="2" spans="1:16" x14ac:dyDescent="0.3">
      <c r="A2" s="274" t="str">
        <f>year!$H$2</f>
        <v>UT : PUDUCHERRY</v>
      </c>
      <c r="B2" s="274" t="str">
        <f>year!$H$2</f>
        <v>UT : PUDUCHERRY</v>
      </c>
      <c r="C2" s="274" t="str">
        <f>year!$H$2</f>
        <v>UT : PUDUCHERRY</v>
      </c>
      <c r="D2" s="274" t="str">
        <f>year!$H$2</f>
        <v>UT : PUDUCHERRY</v>
      </c>
      <c r="E2" s="274" t="str">
        <f>year!$H$2</f>
        <v>UT : PUDUCHERRY</v>
      </c>
      <c r="F2" s="274" t="str">
        <f>year!$H$2</f>
        <v>UT : PUDUCHERRY</v>
      </c>
      <c r="G2" s="274" t="str">
        <f>year!$H$2</f>
        <v>UT : PUDUCHERRY</v>
      </c>
      <c r="H2" s="274" t="str">
        <f>year!$H$2</f>
        <v>UT : PUDUCHERRY</v>
      </c>
      <c r="I2" s="274" t="str">
        <f>year!$H$2</f>
        <v>UT : PUDUCHERRY</v>
      </c>
      <c r="J2" s="274" t="str">
        <f>year!$H$2</f>
        <v>UT : PUDUCHERRY</v>
      </c>
      <c r="K2" s="274" t="str">
        <f>year!$H$2</f>
        <v>UT : PUDUCHERRY</v>
      </c>
      <c r="L2" s="274" t="str">
        <f>year!$H$2</f>
        <v>UT : PUDUCHERRY</v>
      </c>
      <c r="M2" s="274" t="str">
        <f>year!$H$2</f>
        <v>UT : PUDUCHERRY</v>
      </c>
      <c r="N2" s="274" t="str">
        <f>year!$H$2</f>
        <v>UT : PUDUCHERRY</v>
      </c>
      <c r="O2" s="275" t="s">
        <v>514</v>
      </c>
      <c r="P2" s="275"/>
    </row>
    <row r="3" spans="1:16" x14ac:dyDescent="0.3">
      <c r="A3" s="241" t="s">
        <v>515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16" ht="64.2" customHeight="1" x14ac:dyDescent="0.3">
      <c r="A4" s="240" t="s">
        <v>291</v>
      </c>
      <c r="B4" s="242" t="s">
        <v>257</v>
      </c>
      <c r="C4" s="243" t="s">
        <v>105</v>
      </c>
      <c r="D4" s="243"/>
      <c r="E4" s="243"/>
      <c r="F4" s="243"/>
      <c r="G4" s="243" t="s">
        <v>106</v>
      </c>
      <c r="H4" s="243"/>
      <c r="I4" s="243"/>
      <c r="J4" s="243"/>
      <c r="K4" s="243"/>
      <c r="L4" s="243"/>
      <c r="M4" s="243"/>
      <c r="N4" s="243"/>
      <c r="O4" s="243"/>
      <c r="P4" s="243"/>
    </row>
    <row r="5" spans="1:16" ht="28.2" customHeight="1" x14ac:dyDescent="0.3">
      <c r="A5" s="240"/>
      <c r="B5" s="242"/>
      <c r="C5" s="244" t="s">
        <v>113</v>
      </c>
      <c r="D5" s="244" t="s">
        <v>114</v>
      </c>
      <c r="E5" s="244" t="s">
        <v>115</v>
      </c>
      <c r="F5" s="244" t="s">
        <v>39</v>
      </c>
      <c r="G5" s="243" t="s">
        <v>109</v>
      </c>
      <c r="H5" s="243"/>
      <c r="I5" s="243"/>
      <c r="J5" s="243"/>
      <c r="K5" s="243"/>
      <c r="L5" s="245" t="s">
        <v>110</v>
      </c>
      <c r="M5" s="245"/>
      <c r="N5" s="245"/>
      <c r="O5" s="245"/>
      <c r="P5" s="245"/>
    </row>
    <row r="6" spans="1:16" ht="26.4" customHeight="1" x14ac:dyDescent="0.3">
      <c r="A6" s="241"/>
      <c r="B6" s="243"/>
      <c r="C6" s="245"/>
      <c r="D6" s="245"/>
      <c r="E6" s="245"/>
      <c r="F6" s="245"/>
      <c r="G6" s="74" t="s">
        <v>113</v>
      </c>
      <c r="H6" s="74" t="s">
        <v>114</v>
      </c>
      <c r="I6" s="74" t="s">
        <v>115</v>
      </c>
      <c r="J6" s="74" t="s">
        <v>112</v>
      </c>
      <c r="K6" s="74" t="s">
        <v>39</v>
      </c>
      <c r="L6" s="74" t="s">
        <v>113</v>
      </c>
      <c r="M6" s="74" t="s">
        <v>114</v>
      </c>
      <c r="N6" s="74" t="s">
        <v>115</v>
      </c>
      <c r="O6" s="74" t="s">
        <v>112</v>
      </c>
      <c r="P6" s="74" t="s">
        <v>39</v>
      </c>
    </row>
    <row r="7" spans="1:16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00" t="s">
        <v>92</v>
      </c>
      <c r="O7" s="100" t="s">
        <v>93</v>
      </c>
      <c r="P7" s="100" t="s">
        <v>94</v>
      </c>
    </row>
    <row r="8" spans="1:16" x14ac:dyDescent="0.3">
      <c r="A8" s="111" t="str">
        <f>year!$H$4</f>
        <v>RABI I 2023-24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</row>
    <row r="9" spans="1:16" x14ac:dyDescent="0.3">
      <c r="A9" s="112" t="s">
        <v>120</v>
      </c>
      <c r="B9" s="72" t="s">
        <v>393</v>
      </c>
      <c r="C9" s="72" t="s">
        <v>516</v>
      </c>
      <c r="D9" s="72" t="s">
        <v>517</v>
      </c>
      <c r="E9" s="72" t="s">
        <v>439</v>
      </c>
      <c r="F9" s="72" t="s">
        <v>441</v>
      </c>
      <c r="G9" s="72" t="s">
        <v>439</v>
      </c>
      <c r="H9" s="72" t="s">
        <v>440</v>
      </c>
      <c r="I9" s="72" t="s">
        <v>440</v>
      </c>
      <c r="J9" s="72" t="s">
        <v>439</v>
      </c>
      <c r="K9" s="72" t="s">
        <v>442</v>
      </c>
      <c r="L9" s="72" t="s">
        <v>440</v>
      </c>
      <c r="M9" s="72" t="s">
        <v>442</v>
      </c>
      <c r="N9" s="72" t="s">
        <v>440</v>
      </c>
      <c r="O9" s="72" t="s">
        <v>440</v>
      </c>
      <c r="P9" s="72" t="s">
        <v>442</v>
      </c>
    </row>
    <row r="10" spans="1:16" x14ac:dyDescent="0.3">
      <c r="A10" s="112" t="s">
        <v>443</v>
      </c>
      <c r="B10" s="72"/>
      <c r="C10" s="72" t="s">
        <v>518</v>
      </c>
      <c r="D10" s="72" t="s">
        <v>519</v>
      </c>
      <c r="E10" s="72" t="s">
        <v>445</v>
      </c>
      <c r="F10" s="72" t="s">
        <v>447</v>
      </c>
      <c r="G10" s="72" t="s">
        <v>445</v>
      </c>
      <c r="H10" s="72" t="s">
        <v>446</v>
      </c>
      <c r="I10" s="72" t="s">
        <v>446</v>
      </c>
      <c r="J10" s="72" t="s">
        <v>445</v>
      </c>
      <c r="K10" s="72" t="s">
        <v>448</v>
      </c>
      <c r="L10" s="72" t="s">
        <v>446</v>
      </c>
      <c r="M10" s="72" t="s">
        <v>448</v>
      </c>
      <c r="N10" s="72" t="s">
        <v>446</v>
      </c>
      <c r="O10" s="72" t="s">
        <v>446</v>
      </c>
      <c r="P10" s="72" t="s">
        <v>448</v>
      </c>
    </row>
    <row r="11" spans="1:16" x14ac:dyDescent="0.3">
      <c r="A11" s="112" t="s">
        <v>17</v>
      </c>
      <c r="B11" s="72" t="s">
        <v>399</v>
      </c>
      <c r="C11" s="72" t="s">
        <v>450</v>
      </c>
      <c r="D11" s="72" t="s">
        <v>440</v>
      </c>
      <c r="E11" s="72" t="s">
        <v>440</v>
      </c>
      <c r="F11" s="72" t="s">
        <v>450</v>
      </c>
      <c r="G11" s="72" t="s">
        <v>440</v>
      </c>
      <c r="H11" s="72" t="s">
        <v>440</v>
      </c>
      <c r="I11" s="72" t="s">
        <v>440</v>
      </c>
      <c r="J11" s="72" t="s">
        <v>440</v>
      </c>
      <c r="K11" s="72" t="s">
        <v>440</v>
      </c>
      <c r="L11" s="72" t="s">
        <v>440</v>
      </c>
      <c r="M11" s="72" t="s">
        <v>440</v>
      </c>
      <c r="N11" s="72" t="s">
        <v>440</v>
      </c>
      <c r="O11" s="72" t="s">
        <v>440</v>
      </c>
      <c r="P11" s="72" t="s">
        <v>440</v>
      </c>
    </row>
    <row r="12" spans="1:16" x14ac:dyDescent="0.3">
      <c r="A12" s="112" t="s">
        <v>443</v>
      </c>
      <c r="B12" s="72"/>
      <c r="C12" s="72" t="s">
        <v>453</v>
      </c>
      <c r="D12" s="72" t="s">
        <v>446</v>
      </c>
      <c r="E12" s="72" t="s">
        <v>446</v>
      </c>
      <c r="F12" s="72" t="s">
        <v>453</v>
      </c>
      <c r="G12" s="72" t="s">
        <v>446</v>
      </c>
      <c r="H12" s="72" t="s">
        <v>446</v>
      </c>
      <c r="I12" s="72" t="s">
        <v>446</v>
      </c>
      <c r="J12" s="72" t="s">
        <v>446</v>
      </c>
      <c r="K12" s="72" t="s">
        <v>446</v>
      </c>
      <c r="L12" s="72" t="s">
        <v>446</v>
      </c>
      <c r="M12" s="72" t="s">
        <v>446</v>
      </c>
      <c r="N12" s="72" t="s">
        <v>446</v>
      </c>
      <c r="O12" s="72" t="s">
        <v>446</v>
      </c>
      <c r="P12" s="72" t="s">
        <v>446</v>
      </c>
    </row>
    <row r="13" spans="1:16" x14ac:dyDescent="0.3">
      <c r="A13" s="112" t="s">
        <v>18</v>
      </c>
      <c r="B13" s="72" t="s">
        <v>401</v>
      </c>
      <c r="C13" s="72" t="s">
        <v>474</v>
      </c>
      <c r="D13" s="72" t="s">
        <v>517</v>
      </c>
      <c r="E13" s="72" t="s">
        <v>439</v>
      </c>
      <c r="F13" s="72" t="s">
        <v>456</v>
      </c>
      <c r="G13" s="72" t="s">
        <v>439</v>
      </c>
      <c r="H13" s="72" t="s">
        <v>440</v>
      </c>
      <c r="I13" s="72" t="s">
        <v>440</v>
      </c>
      <c r="J13" s="72" t="s">
        <v>439</v>
      </c>
      <c r="K13" s="72" t="s">
        <v>442</v>
      </c>
      <c r="L13" s="72" t="s">
        <v>440</v>
      </c>
      <c r="M13" s="72" t="s">
        <v>442</v>
      </c>
      <c r="N13" s="72" t="s">
        <v>440</v>
      </c>
      <c r="O13" s="72" t="s">
        <v>440</v>
      </c>
      <c r="P13" s="72" t="s">
        <v>442</v>
      </c>
    </row>
    <row r="14" spans="1:16" x14ac:dyDescent="0.3">
      <c r="A14" s="112" t="s">
        <v>443</v>
      </c>
      <c r="B14" s="72"/>
      <c r="C14" s="72" t="s">
        <v>520</v>
      </c>
      <c r="D14" s="72" t="s">
        <v>521</v>
      </c>
      <c r="E14" s="72" t="s">
        <v>522</v>
      </c>
      <c r="F14" s="72" t="s">
        <v>459</v>
      </c>
      <c r="G14" s="72" t="s">
        <v>522</v>
      </c>
      <c r="H14" s="72" t="s">
        <v>446</v>
      </c>
      <c r="I14" s="72" t="s">
        <v>446</v>
      </c>
      <c r="J14" s="72" t="s">
        <v>522</v>
      </c>
      <c r="K14" s="72" t="s">
        <v>460</v>
      </c>
      <c r="L14" s="72" t="s">
        <v>446</v>
      </c>
      <c r="M14" s="72" t="s">
        <v>460</v>
      </c>
      <c r="N14" s="72" t="s">
        <v>446</v>
      </c>
      <c r="O14" s="72" t="s">
        <v>446</v>
      </c>
      <c r="P14" s="72" t="s">
        <v>460</v>
      </c>
    </row>
    <row r="15" spans="1:16" x14ac:dyDescent="0.3">
      <c r="A15" s="111" t="str">
        <f>year!$I$4</f>
        <v>RABI II 2023-24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</row>
    <row r="16" spans="1:16" x14ac:dyDescent="0.3">
      <c r="A16" s="112" t="s">
        <v>120</v>
      </c>
      <c r="B16" s="72" t="s">
        <v>406</v>
      </c>
      <c r="C16" s="72" t="s">
        <v>461</v>
      </c>
      <c r="D16" s="72" t="s">
        <v>523</v>
      </c>
      <c r="E16" s="72" t="s">
        <v>440</v>
      </c>
      <c r="F16" s="72" t="s">
        <v>524</v>
      </c>
      <c r="G16" s="72" t="s">
        <v>440</v>
      </c>
      <c r="H16" s="72" t="s">
        <v>440</v>
      </c>
      <c r="I16" s="72" t="s">
        <v>440</v>
      </c>
      <c r="J16" s="72" t="s">
        <v>439</v>
      </c>
      <c r="K16" s="72" t="s">
        <v>439</v>
      </c>
      <c r="L16" s="72" t="s">
        <v>439</v>
      </c>
      <c r="M16" s="72" t="s">
        <v>440</v>
      </c>
      <c r="N16" s="72" t="s">
        <v>440</v>
      </c>
      <c r="O16" s="72" t="s">
        <v>440</v>
      </c>
      <c r="P16" s="72" t="s">
        <v>439</v>
      </c>
    </row>
    <row r="17" spans="1:16" x14ac:dyDescent="0.3">
      <c r="A17" s="112" t="s">
        <v>443</v>
      </c>
      <c r="B17" s="72"/>
      <c r="C17" s="72" t="s">
        <v>463</v>
      </c>
      <c r="D17" s="72" t="s">
        <v>525</v>
      </c>
      <c r="E17" s="72" t="s">
        <v>446</v>
      </c>
      <c r="F17" s="72" t="s">
        <v>526</v>
      </c>
      <c r="G17" s="72" t="s">
        <v>446</v>
      </c>
      <c r="H17" s="72" t="s">
        <v>446</v>
      </c>
      <c r="I17" s="72" t="s">
        <v>446</v>
      </c>
      <c r="J17" s="72" t="s">
        <v>527</v>
      </c>
      <c r="K17" s="72" t="s">
        <v>527</v>
      </c>
      <c r="L17" s="72" t="s">
        <v>527</v>
      </c>
      <c r="M17" s="72" t="s">
        <v>446</v>
      </c>
      <c r="N17" s="72" t="s">
        <v>446</v>
      </c>
      <c r="O17" s="72" t="s">
        <v>446</v>
      </c>
      <c r="P17" s="72" t="s">
        <v>527</v>
      </c>
    </row>
    <row r="18" spans="1:16" x14ac:dyDescent="0.3">
      <c r="A18" s="112" t="s">
        <v>17</v>
      </c>
      <c r="B18" s="72" t="s">
        <v>409</v>
      </c>
      <c r="C18" s="72" t="s">
        <v>495</v>
      </c>
      <c r="D18" s="72" t="s">
        <v>528</v>
      </c>
      <c r="E18" s="72" t="s">
        <v>440</v>
      </c>
      <c r="F18" s="72" t="s">
        <v>469</v>
      </c>
      <c r="G18" s="72" t="s">
        <v>440</v>
      </c>
      <c r="H18" s="72" t="s">
        <v>440</v>
      </c>
      <c r="I18" s="72" t="s">
        <v>440</v>
      </c>
      <c r="J18" s="72" t="s">
        <v>440</v>
      </c>
      <c r="K18" s="72" t="s">
        <v>440</v>
      </c>
      <c r="L18" s="72" t="s">
        <v>440</v>
      </c>
      <c r="M18" s="72" t="s">
        <v>440</v>
      </c>
      <c r="N18" s="72" t="s">
        <v>440</v>
      </c>
      <c r="O18" s="72" t="s">
        <v>440</v>
      </c>
      <c r="P18" s="72" t="s">
        <v>440</v>
      </c>
    </row>
    <row r="19" spans="1:16" x14ac:dyDescent="0.3">
      <c r="A19" s="112" t="s">
        <v>443</v>
      </c>
      <c r="B19" s="72"/>
      <c r="C19" s="72" t="s">
        <v>529</v>
      </c>
      <c r="D19" s="72" t="s">
        <v>530</v>
      </c>
      <c r="E19" s="72" t="s">
        <v>446</v>
      </c>
      <c r="F19" s="72" t="s">
        <v>453</v>
      </c>
      <c r="G19" s="72" t="s">
        <v>446</v>
      </c>
      <c r="H19" s="72" t="s">
        <v>446</v>
      </c>
      <c r="I19" s="72" t="s">
        <v>446</v>
      </c>
      <c r="J19" s="72" t="s">
        <v>446</v>
      </c>
      <c r="K19" s="72" t="s">
        <v>446</v>
      </c>
      <c r="L19" s="72" t="s">
        <v>446</v>
      </c>
      <c r="M19" s="72" t="s">
        <v>446</v>
      </c>
      <c r="N19" s="72" t="s">
        <v>446</v>
      </c>
      <c r="O19" s="72" t="s">
        <v>446</v>
      </c>
      <c r="P19" s="72" t="s">
        <v>446</v>
      </c>
    </row>
    <row r="20" spans="1:16" x14ac:dyDescent="0.3">
      <c r="A20" s="112" t="s">
        <v>18</v>
      </c>
      <c r="B20" s="72" t="s">
        <v>412</v>
      </c>
      <c r="C20" s="72" t="s">
        <v>531</v>
      </c>
      <c r="D20" s="72" t="s">
        <v>532</v>
      </c>
      <c r="E20" s="72" t="s">
        <v>440</v>
      </c>
      <c r="F20" s="72" t="s">
        <v>533</v>
      </c>
      <c r="G20" s="72" t="s">
        <v>440</v>
      </c>
      <c r="H20" s="72" t="s">
        <v>440</v>
      </c>
      <c r="I20" s="72" t="s">
        <v>440</v>
      </c>
      <c r="J20" s="72" t="s">
        <v>439</v>
      </c>
      <c r="K20" s="72" t="s">
        <v>439</v>
      </c>
      <c r="L20" s="72" t="s">
        <v>439</v>
      </c>
      <c r="M20" s="72" t="s">
        <v>440</v>
      </c>
      <c r="N20" s="72" t="s">
        <v>440</v>
      </c>
      <c r="O20" s="72" t="s">
        <v>440</v>
      </c>
      <c r="P20" s="72" t="s">
        <v>439</v>
      </c>
    </row>
    <row r="21" spans="1:16" x14ac:dyDescent="0.3">
      <c r="A21" s="111" t="s">
        <v>443</v>
      </c>
      <c r="B21" s="74"/>
      <c r="C21" s="74" t="s">
        <v>534</v>
      </c>
      <c r="D21" s="74" t="s">
        <v>535</v>
      </c>
      <c r="E21" s="74" t="s">
        <v>446</v>
      </c>
      <c r="F21" s="74" t="s">
        <v>536</v>
      </c>
      <c r="G21" s="74" t="s">
        <v>446</v>
      </c>
      <c r="H21" s="74" t="s">
        <v>446</v>
      </c>
      <c r="I21" s="74" t="s">
        <v>446</v>
      </c>
      <c r="J21" s="74" t="s">
        <v>537</v>
      </c>
      <c r="K21" s="74" t="s">
        <v>537</v>
      </c>
      <c r="L21" s="74" t="s">
        <v>537</v>
      </c>
      <c r="M21" s="74" t="s">
        <v>446</v>
      </c>
      <c r="N21" s="74" t="s">
        <v>446</v>
      </c>
      <c r="O21" s="74" t="s">
        <v>446</v>
      </c>
      <c r="P21" s="74" t="s">
        <v>537</v>
      </c>
    </row>
    <row r="22" spans="1:16" x14ac:dyDescent="0.3">
      <c r="A22" s="111" t="str">
        <f>year!$H$5</f>
        <v>RABI I 2022-23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</row>
    <row r="23" spans="1:16" x14ac:dyDescent="0.3">
      <c r="A23" s="112" t="s">
        <v>120</v>
      </c>
      <c r="B23" s="72" t="s">
        <v>417</v>
      </c>
      <c r="C23" s="72" t="s">
        <v>479</v>
      </c>
      <c r="D23" s="72" t="s">
        <v>468</v>
      </c>
      <c r="E23" s="72" t="s">
        <v>440</v>
      </c>
      <c r="F23" s="72" t="s">
        <v>480</v>
      </c>
      <c r="G23" s="72" t="s">
        <v>440</v>
      </c>
      <c r="H23" s="72" t="s">
        <v>440</v>
      </c>
      <c r="I23" s="72" t="s">
        <v>440</v>
      </c>
      <c r="J23" s="72" t="s">
        <v>440</v>
      </c>
      <c r="K23" s="72" t="s">
        <v>440</v>
      </c>
      <c r="L23" s="72" t="s">
        <v>440</v>
      </c>
      <c r="M23" s="72" t="s">
        <v>440</v>
      </c>
      <c r="N23" s="72" t="s">
        <v>440</v>
      </c>
      <c r="O23" s="72" t="s">
        <v>440</v>
      </c>
      <c r="P23" s="72" t="s">
        <v>440</v>
      </c>
    </row>
    <row r="24" spans="1:16" x14ac:dyDescent="0.3">
      <c r="A24" s="112" t="s">
        <v>443</v>
      </c>
      <c r="B24" s="72"/>
      <c r="C24" s="72" t="s">
        <v>481</v>
      </c>
      <c r="D24" s="72" t="s">
        <v>482</v>
      </c>
      <c r="E24" s="72" t="s">
        <v>446</v>
      </c>
      <c r="F24" s="72" t="s">
        <v>453</v>
      </c>
      <c r="G24" s="72" t="s">
        <v>446</v>
      </c>
      <c r="H24" s="72" t="s">
        <v>446</v>
      </c>
      <c r="I24" s="72" t="s">
        <v>446</v>
      </c>
      <c r="J24" s="72" t="s">
        <v>446</v>
      </c>
      <c r="K24" s="72" t="s">
        <v>446</v>
      </c>
      <c r="L24" s="72" t="s">
        <v>446</v>
      </c>
      <c r="M24" s="72" t="s">
        <v>446</v>
      </c>
      <c r="N24" s="72" t="s">
        <v>446</v>
      </c>
      <c r="O24" s="72" t="s">
        <v>446</v>
      </c>
      <c r="P24" s="72" t="s">
        <v>446</v>
      </c>
    </row>
    <row r="25" spans="1:16" x14ac:dyDescent="0.3">
      <c r="A25" s="112" t="s">
        <v>17</v>
      </c>
      <c r="B25" s="72" t="s">
        <v>419</v>
      </c>
      <c r="C25" s="72" t="s">
        <v>531</v>
      </c>
      <c r="D25" s="72" t="s">
        <v>538</v>
      </c>
      <c r="E25" s="72" t="s">
        <v>439</v>
      </c>
      <c r="F25" s="72" t="s">
        <v>485</v>
      </c>
      <c r="G25" s="72" t="s">
        <v>440</v>
      </c>
      <c r="H25" s="72" t="s">
        <v>440</v>
      </c>
      <c r="I25" s="72" t="s">
        <v>440</v>
      </c>
      <c r="J25" s="72" t="s">
        <v>440</v>
      </c>
      <c r="K25" s="72" t="s">
        <v>440</v>
      </c>
      <c r="L25" s="72" t="s">
        <v>440</v>
      </c>
      <c r="M25" s="72" t="s">
        <v>440</v>
      </c>
      <c r="N25" s="72" t="s">
        <v>440</v>
      </c>
      <c r="O25" s="72" t="s">
        <v>440</v>
      </c>
      <c r="P25" s="72" t="s">
        <v>440</v>
      </c>
    </row>
    <row r="26" spans="1:16" x14ac:dyDescent="0.3">
      <c r="A26" s="112" t="s">
        <v>443</v>
      </c>
      <c r="B26" s="72"/>
      <c r="C26" s="72" t="s">
        <v>539</v>
      </c>
      <c r="D26" s="72" t="s">
        <v>493</v>
      </c>
      <c r="E26" s="72" t="s">
        <v>540</v>
      </c>
      <c r="F26" s="72" t="s">
        <v>453</v>
      </c>
      <c r="G26" s="72" t="s">
        <v>446</v>
      </c>
      <c r="H26" s="72" t="s">
        <v>446</v>
      </c>
      <c r="I26" s="72" t="s">
        <v>446</v>
      </c>
      <c r="J26" s="72" t="s">
        <v>446</v>
      </c>
      <c r="K26" s="72" t="s">
        <v>446</v>
      </c>
      <c r="L26" s="72" t="s">
        <v>446</v>
      </c>
      <c r="M26" s="72" t="s">
        <v>446</v>
      </c>
      <c r="N26" s="72" t="s">
        <v>446</v>
      </c>
      <c r="O26" s="72" t="s">
        <v>446</v>
      </c>
      <c r="P26" s="72" t="s">
        <v>446</v>
      </c>
    </row>
    <row r="27" spans="1:16" x14ac:dyDescent="0.3">
      <c r="A27" s="112" t="s">
        <v>18</v>
      </c>
      <c r="B27" s="72" t="s">
        <v>421</v>
      </c>
      <c r="C27" s="72" t="s">
        <v>541</v>
      </c>
      <c r="D27" s="72" t="s">
        <v>467</v>
      </c>
      <c r="E27" s="72" t="s">
        <v>439</v>
      </c>
      <c r="F27" s="72" t="s">
        <v>491</v>
      </c>
      <c r="G27" s="72" t="s">
        <v>440</v>
      </c>
      <c r="H27" s="72" t="s">
        <v>440</v>
      </c>
      <c r="I27" s="72" t="s">
        <v>440</v>
      </c>
      <c r="J27" s="72" t="s">
        <v>440</v>
      </c>
      <c r="K27" s="72" t="s">
        <v>440</v>
      </c>
      <c r="L27" s="72" t="s">
        <v>440</v>
      </c>
      <c r="M27" s="72" t="s">
        <v>440</v>
      </c>
      <c r="N27" s="72" t="s">
        <v>440</v>
      </c>
      <c r="O27" s="72" t="s">
        <v>440</v>
      </c>
      <c r="P27" s="72" t="s">
        <v>440</v>
      </c>
    </row>
    <row r="28" spans="1:16" x14ac:dyDescent="0.3">
      <c r="A28" s="112" t="s">
        <v>443</v>
      </c>
      <c r="B28" s="72"/>
      <c r="C28" s="72" t="s">
        <v>542</v>
      </c>
      <c r="D28" s="72" t="s">
        <v>543</v>
      </c>
      <c r="E28" s="72" t="s">
        <v>544</v>
      </c>
      <c r="F28" s="72" t="s">
        <v>453</v>
      </c>
      <c r="G28" s="72" t="s">
        <v>446</v>
      </c>
      <c r="H28" s="72" t="s">
        <v>446</v>
      </c>
      <c r="I28" s="72" t="s">
        <v>446</v>
      </c>
      <c r="J28" s="72" t="s">
        <v>446</v>
      </c>
      <c r="K28" s="72" t="s">
        <v>446</v>
      </c>
      <c r="L28" s="72" t="s">
        <v>446</v>
      </c>
      <c r="M28" s="72" t="s">
        <v>446</v>
      </c>
      <c r="N28" s="72" t="s">
        <v>446</v>
      </c>
      <c r="O28" s="72" t="s">
        <v>446</v>
      </c>
      <c r="P28" s="72" t="s">
        <v>446</v>
      </c>
    </row>
    <row r="29" spans="1:16" x14ac:dyDescent="0.3">
      <c r="A29" s="111" t="str">
        <f>year!$I$5</f>
        <v>RABI II 2022-23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</row>
    <row r="30" spans="1:16" x14ac:dyDescent="0.3">
      <c r="A30" s="112" t="s">
        <v>120</v>
      </c>
      <c r="B30" s="72" t="s">
        <v>423</v>
      </c>
      <c r="C30" s="72" t="s">
        <v>495</v>
      </c>
      <c r="D30" s="72" t="s">
        <v>496</v>
      </c>
      <c r="E30" s="72" t="s">
        <v>439</v>
      </c>
      <c r="F30" s="72" t="s">
        <v>497</v>
      </c>
      <c r="G30" s="72" t="s">
        <v>440</v>
      </c>
      <c r="H30" s="72" t="s">
        <v>484</v>
      </c>
      <c r="I30" s="72" t="s">
        <v>440</v>
      </c>
      <c r="J30" s="72" t="s">
        <v>440</v>
      </c>
      <c r="K30" s="72" t="s">
        <v>484</v>
      </c>
      <c r="L30" s="72" t="s">
        <v>440</v>
      </c>
      <c r="M30" s="72" t="s">
        <v>440</v>
      </c>
      <c r="N30" s="72" t="s">
        <v>440</v>
      </c>
      <c r="O30" s="72" t="s">
        <v>484</v>
      </c>
      <c r="P30" s="72" t="s">
        <v>484</v>
      </c>
    </row>
    <row r="31" spans="1:16" x14ac:dyDescent="0.3">
      <c r="A31" s="112" t="s">
        <v>443</v>
      </c>
      <c r="B31" s="72"/>
      <c r="C31" s="72" t="s">
        <v>498</v>
      </c>
      <c r="D31" s="72" t="s">
        <v>499</v>
      </c>
      <c r="E31" s="72" t="s">
        <v>500</v>
      </c>
      <c r="F31" s="72" t="s">
        <v>501</v>
      </c>
      <c r="G31" s="72" t="s">
        <v>446</v>
      </c>
      <c r="H31" s="72" t="s">
        <v>502</v>
      </c>
      <c r="I31" s="72" t="s">
        <v>446</v>
      </c>
      <c r="J31" s="72" t="s">
        <v>446</v>
      </c>
      <c r="K31" s="72" t="s">
        <v>502</v>
      </c>
      <c r="L31" s="72" t="s">
        <v>446</v>
      </c>
      <c r="M31" s="72" t="s">
        <v>446</v>
      </c>
      <c r="N31" s="72" t="s">
        <v>446</v>
      </c>
      <c r="O31" s="72" t="s">
        <v>502</v>
      </c>
      <c r="P31" s="72" t="s">
        <v>502</v>
      </c>
    </row>
    <row r="32" spans="1:16" x14ac:dyDescent="0.3">
      <c r="A32" s="112" t="s">
        <v>17</v>
      </c>
      <c r="B32" s="72" t="s">
        <v>428</v>
      </c>
      <c r="C32" s="72" t="s">
        <v>545</v>
      </c>
      <c r="D32" s="72" t="s">
        <v>517</v>
      </c>
      <c r="E32" s="72" t="s">
        <v>439</v>
      </c>
      <c r="F32" s="72" t="s">
        <v>483</v>
      </c>
      <c r="G32" s="72" t="s">
        <v>439</v>
      </c>
      <c r="H32" s="72" t="s">
        <v>440</v>
      </c>
      <c r="I32" s="72" t="s">
        <v>440</v>
      </c>
      <c r="J32" s="72" t="s">
        <v>440</v>
      </c>
      <c r="K32" s="72" t="s">
        <v>439</v>
      </c>
      <c r="L32" s="72" t="s">
        <v>440</v>
      </c>
      <c r="M32" s="72" t="s">
        <v>440</v>
      </c>
      <c r="N32" s="72" t="s">
        <v>440</v>
      </c>
      <c r="O32" s="72" t="s">
        <v>439</v>
      </c>
      <c r="P32" s="72" t="s">
        <v>439</v>
      </c>
    </row>
    <row r="33" spans="1:16" x14ac:dyDescent="0.3">
      <c r="A33" s="112" t="s">
        <v>443</v>
      </c>
      <c r="B33" s="72"/>
      <c r="C33" s="72" t="s">
        <v>546</v>
      </c>
      <c r="D33" s="72" t="s">
        <v>547</v>
      </c>
      <c r="E33" s="72" t="s">
        <v>548</v>
      </c>
      <c r="F33" s="72" t="s">
        <v>549</v>
      </c>
      <c r="G33" s="72" t="s">
        <v>548</v>
      </c>
      <c r="H33" s="72" t="s">
        <v>446</v>
      </c>
      <c r="I33" s="72" t="s">
        <v>446</v>
      </c>
      <c r="J33" s="72" t="s">
        <v>446</v>
      </c>
      <c r="K33" s="72" t="s">
        <v>548</v>
      </c>
      <c r="L33" s="72" t="s">
        <v>446</v>
      </c>
      <c r="M33" s="72" t="s">
        <v>446</v>
      </c>
      <c r="N33" s="72" t="s">
        <v>446</v>
      </c>
      <c r="O33" s="72" t="s">
        <v>548</v>
      </c>
      <c r="P33" s="72" t="s">
        <v>548</v>
      </c>
    </row>
    <row r="34" spans="1:16" x14ac:dyDescent="0.3">
      <c r="A34" s="112" t="s">
        <v>18</v>
      </c>
      <c r="B34" s="72" t="s">
        <v>431</v>
      </c>
      <c r="C34" s="72" t="s">
        <v>550</v>
      </c>
      <c r="D34" s="72" t="s">
        <v>551</v>
      </c>
      <c r="E34" s="72" t="s">
        <v>442</v>
      </c>
      <c r="F34" s="72" t="s">
        <v>552</v>
      </c>
      <c r="G34" s="72" t="s">
        <v>439</v>
      </c>
      <c r="H34" s="72" t="s">
        <v>484</v>
      </c>
      <c r="I34" s="72" t="s">
        <v>440</v>
      </c>
      <c r="J34" s="72" t="s">
        <v>440</v>
      </c>
      <c r="K34" s="72" t="s">
        <v>517</v>
      </c>
      <c r="L34" s="72" t="s">
        <v>440</v>
      </c>
      <c r="M34" s="72" t="s">
        <v>440</v>
      </c>
      <c r="N34" s="72" t="s">
        <v>440</v>
      </c>
      <c r="O34" s="72" t="s">
        <v>517</v>
      </c>
      <c r="P34" s="72" t="s">
        <v>517</v>
      </c>
    </row>
    <row r="35" spans="1:16" ht="15" thickBot="1" x14ac:dyDescent="0.35">
      <c r="A35" s="114" t="s">
        <v>443</v>
      </c>
      <c r="B35" s="86"/>
      <c r="C35" s="86" t="s">
        <v>553</v>
      </c>
      <c r="D35" s="86" t="s">
        <v>554</v>
      </c>
      <c r="E35" s="86" t="s">
        <v>537</v>
      </c>
      <c r="F35" s="86" t="s">
        <v>451</v>
      </c>
      <c r="G35" s="86" t="s">
        <v>544</v>
      </c>
      <c r="H35" s="86" t="s">
        <v>513</v>
      </c>
      <c r="I35" s="86" t="s">
        <v>446</v>
      </c>
      <c r="J35" s="86" t="s">
        <v>446</v>
      </c>
      <c r="K35" s="86" t="s">
        <v>452</v>
      </c>
      <c r="L35" s="86" t="s">
        <v>446</v>
      </c>
      <c r="M35" s="86" t="s">
        <v>446</v>
      </c>
      <c r="N35" s="86" t="s">
        <v>446</v>
      </c>
      <c r="O35" s="86" t="s">
        <v>452</v>
      </c>
      <c r="P35" s="86" t="s">
        <v>452</v>
      </c>
    </row>
    <row r="36" spans="1:16" ht="15" thickTop="1" x14ac:dyDescent="0.3"/>
  </sheetData>
  <mergeCells count="14">
    <mergeCell ref="E5:E6"/>
    <mergeCell ref="F5:F6"/>
    <mergeCell ref="G5:K5"/>
    <mergeCell ref="L5:P5"/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L81"/>
  <sheetViews>
    <sheetView view="pageBreakPreview" zoomScale="55" zoomScaleNormal="70" zoomScaleSheetLayoutView="55" workbookViewId="0">
      <selection activeCell="K5" sqref="K5:K6"/>
    </sheetView>
  </sheetViews>
  <sheetFormatPr defaultRowHeight="14.4" x14ac:dyDescent="0.3"/>
  <cols>
    <col min="1" max="1" width="19" style="209" customWidth="1"/>
    <col min="2" max="2" width="11.77734375" style="209" customWidth="1"/>
    <col min="3" max="3" width="12.6640625" style="209" customWidth="1"/>
    <col min="4" max="4" width="9.109375" style="209" customWidth="1"/>
    <col min="5" max="5" width="11.5546875" style="209" customWidth="1"/>
    <col min="6" max="6" width="12.77734375" style="209" customWidth="1"/>
    <col min="7" max="7" width="9.88671875" style="209" customWidth="1"/>
    <col min="8" max="8" width="11.44140625" style="209" customWidth="1"/>
    <col min="9" max="9" width="12.77734375" style="209" customWidth="1"/>
    <col min="10" max="10" width="10.21875" style="209" customWidth="1"/>
    <col min="11" max="11" width="18.5546875" style="209" customWidth="1"/>
    <col min="12" max="12" width="9.109375" style="209"/>
    <col min="13" max="16384" width="8.88671875" style="210"/>
  </cols>
  <sheetData>
    <row r="1" spans="1:11" x14ac:dyDescent="0.3">
      <c r="A1" s="287" t="s">
        <v>283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2" spans="1:11" x14ac:dyDescent="0.3">
      <c r="A2" s="293" t="str">
        <f>year!$H$2</f>
        <v>UT : PUDUCHERRY</v>
      </c>
      <c r="B2" s="293" t="str">
        <f>year!$H$2</f>
        <v>UT : PUDUCHERRY</v>
      </c>
      <c r="C2" s="293" t="str">
        <f>year!$H$2</f>
        <v>UT : PUDUCHERRY</v>
      </c>
      <c r="D2" s="293" t="str">
        <f>year!$H$2</f>
        <v>UT : PUDUCHERRY</v>
      </c>
      <c r="E2" s="293" t="str">
        <f>year!$H$2</f>
        <v>UT : PUDUCHERRY</v>
      </c>
      <c r="F2" s="293" t="str">
        <f>year!$H$2</f>
        <v>UT : PUDUCHERRY</v>
      </c>
      <c r="G2" s="293" t="str">
        <f>year!$H$2</f>
        <v>UT : PUDUCHERRY</v>
      </c>
      <c r="H2" s="293" t="str">
        <f>year!$H$2</f>
        <v>UT : PUDUCHERRY</v>
      </c>
      <c r="I2" s="293" t="str">
        <f>year!$H$2</f>
        <v>UT : PUDUCHERRY</v>
      </c>
      <c r="J2" s="294" t="s">
        <v>626</v>
      </c>
      <c r="K2" s="294"/>
    </row>
    <row r="3" spans="1:11" x14ac:dyDescent="0.3">
      <c r="A3" s="289" t="s">
        <v>627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</row>
    <row r="4" spans="1:11" ht="31.2" customHeight="1" x14ac:dyDescent="0.3">
      <c r="A4" s="296" t="s">
        <v>280</v>
      </c>
      <c r="B4" s="292" t="s">
        <v>261</v>
      </c>
      <c r="C4" s="292"/>
      <c r="D4" s="292"/>
      <c r="E4" s="292"/>
      <c r="F4" s="292"/>
      <c r="G4" s="292"/>
      <c r="H4" s="292"/>
      <c r="I4" s="292"/>
      <c r="J4" s="292"/>
      <c r="K4" s="292"/>
    </row>
    <row r="5" spans="1:11" ht="31.2" customHeight="1" x14ac:dyDescent="0.3">
      <c r="A5" s="296"/>
      <c r="B5" s="292" t="s">
        <v>262</v>
      </c>
      <c r="C5" s="292"/>
      <c r="D5" s="292"/>
      <c r="E5" s="292" t="s">
        <v>263</v>
      </c>
      <c r="F5" s="292"/>
      <c r="G5" s="292"/>
      <c r="H5" s="292" t="s">
        <v>264</v>
      </c>
      <c r="I5" s="292"/>
      <c r="J5" s="292"/>
      <c r="K5" s="290" t="s">
        <v>296</v>
      </c>
    </row>
    <row r="6" spans="1:11" ht="57.6" x14ac:dyDescent="0.3">
      <c r="A6" s="289"/>
      <c r="B6" s="211" t="s">
        <v>266</v>
      </c>
      <c r="C6" s="211" t="s">
        <v>258</v>
      </c>
      <c r="D6" s="211" t="s">
        <v>259</v>
      </c>
      <c r="E6" s="211" t="s">
        <v>266</v>
      </c>
      <c r="F6" s="211" t="s">
        <v>258</v>
      </c>
      <c r="G6" s="211" t="s">
        <v>259</v>
      </c>
      <c r="H6" s="211" t="s">
        <v>266</v>
      </c>
      <c r="I6" s="211" t="s">
        <v>272</v>
      </c>
      <c r="J6" s="211" t="s">
        <v>273</v>
      </c>
      <c r="K6" s="291"/>
    </row>
    <row r="7" spans="1:11" x14ac:dyDescent="0.3">
      <c r="A7" s="212" t="s">
        <v>8</v>
      </c>
      <c r="B7" s="212" t="s">
        <v>9</v>
      </c>
      <c r="C7" s="212" t="s">
        <v>10</v>
      </c>
      <c r="D7" s="212" t="s">
        <v>11</v>
      </c>
      <c r="E7" s="212" t="s">
        <v>12</v>
      </c>
      <c r="F7" s="212" t="s">
        <v>13</v>
      </c>
      <c r="G7" s="212" t="s">
        <v>14</v>
      </c>
      <c r="H7" s="212" t="s">
        <v>15</v>
      </c>
      <c r="I7" s="212" t="s">
        <v>75</v>
      </c>
      <c r="J7" s="212" t="s">
        <v>76</v>
      </c>
      <c r="K7" s="212" t="s">
        <v>77</v>
      </c>
    </row>
    <row r="8" spans="1:11" ht="26.4" customHeight="1" x14ac:dyDescent="0.3">
      <c r="A8" s="213" t="str">
        <f>year!$H$4</f>
        <v>RABI I 2023-24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</row>
    <row r="9" spans="1:11" ht="26.4" customHeight="1" x14ac:dyDescent="0.3">
      <c r="A9" s="215" t="s">
        <v>308</v>
      </c>
      <c r="B9" s="216" t="s">
        <v>602</v>
      </c>
      <c r="C9" s="216" t="s">
        <v>628</v>
      </c>
      <c r="D9" s="216" t="s">
        <v>629</v>
      </c>
      <c r="E9" s="216" t="s">
        <v>602</v>
      </c>
      <c r="F9" s="216" t="s">
        <v>559</v>
      </c>
      <c r="G9" s="216" t="s">
        <v>560</v>
      </c>
      <c r="H9" s="216" t="s">
        <v>605</v>
      </c>
      <c r="I9" s="216" t="s">
        <v>630</v>
      </c>
      <c r="J9" s="216" t="s">
        <v>631</v>
      </c>
      <c r="K9" s="216" t="s">
        <v>632</v>
      </c>
    </row>
    <row r="10" spans="1:11" ht="26.4" customHeight="1" x14ac:dyDescent="0.3">
      <c r="A10" s="215" t="s">
        <v>140</v>
      </c>
      <c r="B10" s="216" t="s">
        <v>364</v>
      </c>
      <c r="C10" s="216" t="s">
        <v>633</v>
      </c>
      <c r="D10" s="216" t="s">
        <v>633</v>
      </c>
      <c r="E10" s="216" t="s">
        <v>377</v>
      </c>
      <c r="F10" s="216" t="s">
        <v>566</v>
      </c>
      <c r="G10" s="216" t="s">
        <v>566</v>
      </c>
      <c r="H10" s="216" t="s">
        <v>612</v>
      </c>
      <c r="I10" s="216" t="s">
        <v>634</v>
      </c>
      <c r="J10" s="216" t="s">
        <v>634</v>
      </c>
      <c r="K10" s="216" t="s">
        <v>573</v>
      </c>
    </row>
    <row r="11" spans="1:11" hidden="1" x14ac:dyDescent="0.3">
      <c r="A11" s="215" t="s">
        <v>231</v>
      </c>
      <c r="B11" s="216" t="e">
        <v>#VALUE!</v>
      </c>
      <c r="C11" s="216" t="e">
        <v>#VALUE!</v>
      </c>
      <c r="D11" s="216" t="e">
        <v>#VALUE!</v>
      </c>
      <c r="E11" s="216" t="e">
        <v>#VALUE!</v>
      </c>
      <c r="F11" s="216" t="e">
        <v>#VALUE!</v>
      </c>
      <c r="G11" s="216" t="e">
        <v>#VALUE!</v>
      </c>
      <c r="H11" s="216" t="e">
        <v>#VALUE!</v>
      </c>
      <c r="I11" s="216" t="e">
        <v>#VALUE!</v>
      </c>
      <c r="J11" s="216" t="e">
        <v>#VALUE!</v>
      </c>
      <c r="K11" s="216" t="e">
        <v>#VALUE!</v>
      </c>
    </row>
    <row r="12" spans="1:11" hidden="1" x14ac:dyDescent="0.3">
      <c r="A12" s="215" t="s">
        <v>231</v>
      </c>
      <c r="B12" s="216" t="e">
        <v>#VALUE!</v>
      </c>
      <c r="C12" s="216" t="e">
        <v>#VALUE!</v>
      </c>
      <c r="D12" s="216" t="e">
        <v>#VALUE!</v>
      </c>
      <c r="E12" s="216" t="e">
        <v>#VALUE!</v>
      </c>
      <c r="F12" s="216" t="e">
        <v>#VALUE!</v>
      </c>
      <c r="G12" s="216" t="e">
        <v>#VALUE!</v>
      </c>
      <c r="H12" s="216" t="e">
        <v>#VALUE!</v>
      </c>
      <c r="I12" s="216" t="e">
        <v>#VALUE!</v>
      </c>
      <c r="J12" s="216" t="e">
        <v>#VALUE!</v>
      </c>
      <c r="K12" s="216" t="e">
        <v>#VALUE!</v>
      </c>
    </row>
    <row r="13" spans="1:11" hidden="1" x14ac:dyDescent="0.3">
      <c r="A13" s="215" t="s">
        <v>231</v>
      </c>
      <c r="B13" s="216" t="e">
        <v>#VALUE!</v>
      </c>
      <c r="C13" s="216" t="e">
        <v>#VALUE!</v>
      </c>
      <c r="D13" s="216" t="e">
        <v>#VALUE!</v>
      </c>
      <c r="E13" s="216" t="e">
        <v>#VALUE!</v>
      </c>
      <c r="F13" s="216" t="e">
        <v>#VALUE!</v>
      </c>
      <c r="G13" s="216" t="e">
        <v>#VALUE!</v>
      </c>
      <c r="H13" s="216" t="e">
        <v>#VALUE!</v>
      </c>
      <c r="I13" s="216" t="e">
        <v>#VALUE!</v>
      </c>
      <c r="J13" s="216" t="e">
        <v>#VALUE!</v>
      </c>
      <c r="K13" s="216" t="e">
        <v>#VALUE!</v>
      </c>
    </row>
    <row r="14" spans="1:11" hidden="1" x14ac:dyDescent="0.3">
      <c r="A14" s="215" t="s">
        <v>231</v>
      </c>
      <c r="B14" s="216" t="e">
        <v>#VALUE!</v>
      </c>
      <c r="C14" s="216" t="e">
        <v>#VALUE!</v>
      </c>
      <c r="D14" s="216" t="e">
        <v>#VALUE!</v>
      </c>
      <c r="E14" s="216" t="e">
        <v>#VALUE!</v>
      </c>
      <c r="F14" s="216" t="e">
        <v>#VALUE!</v>
      </c>
      <c r="G14" s="216" t="e">
        <v>#VALUE!</v>
      </c>
      <c r="H14" s="216" t="e">
        <v>#VALUE!</v>
      </c>
      <c r="I14" s="216" t="e">
        <v>#VALUE!</v>
      </c>
      <c r="J14" s="216" t="e">
        <v>#VALUE!</v>
      </c>
      <c r="K14" s="216" t="e">
        <v>#VALUE!</v>
      </c>
    </row>
    <row r="15" spans="1:11" hidden="1" x14ac:dyDescent="0.3">
      <c r="A15" s="215" t="s">
        <v>231</v>
      </c>
      <c r="B15" s="216" t="e">
        <v>#VALUE!</v>
      </c>
      <c r="C15" s="216" t="e">
        <v>#VALUE!</v>
      </c>
      <c r="D15" s="216" t="e">
        <v>#VALUE!</v>
      </c>
      <c r="E15" s="216" t="e">
        <v>#VALUE!</v>
      </c>
      <c r="F15" s="216" t="e">
        <v>#VALUE!</v>
      </c>
      <c r="G15" s="216" t="e">
        <v>#VALUE!</v>
      </c>
      <c r="H15" s="216" t="e">
        <v>#VALUE!</v>
      </c>
      <c r="I15" s="216" t="e">
        <v>#VALUE!</v>
      </c>
      <c r="J15" s="216" t="e">
        <v>#VALUE!</v>
      </c>
      <c r="K15" s="216" t="e">
        <v>#VALUE!</v>
      </c>
    </row>
    <row r="16" spans="1:11" hidden="1" x14ac:dyDescent="0.3">
      <c r="A16" s="215" t="s">
        <v>231</v>
      </c>
      <c r="B16" s="216" t="e">
        <v>#VALUE!</v>
      </c>
      <c r="C16" s="216" t="e">
        <v>#VALUE!</v>
      </c>
      <c r="D16" s="216" t="e">
        <v>#VALUE!</v>
      </c>
      <c r="E16" s="216" t="e">
        <v>#VALUE!</v>
      </c>
      <c r="F16" s="216" t="e">
        <v>#VALUE!</v>
      </c>
      <c r="G16" s="216" t="e">
        <v>#VALUE!</v>
      </c>
      <c r="H16" s="216" t="e">
        <v>#VALUE!</v>
      </c>
      <c r="I16" s="216" t="e">
        <v>#VALUE!</v>
      </c>
      <c r="J16" s="216" t="e">
        <v>#VALUE!</v>
      </c>
      <c r="K16" s="216" t="e">
        <v>#VALUE!</v>
      </c>
    </row>
    <row r="17" spans="1:11" hidden="1" x14ac:dyDescent="0.3">
      <c r="A17" s="215" t="s">
        <v>231</v>
      </c>
      <c r="B17" s="216" t="e">
        <v>#VALUE!</v>
      </c>
      <c r="C17" s="216" t="e">
        <v>#VALUE!</v>
      </c>
      <c r="D17" s="216" t="e">
        <v>#VALUE!</v>
      </c>
      <c r="E17" s="216" t="e">
        <v>#VALUE!</v>
      </c>
      <c r="F17" s="216" t="e">
        <v>#VALUE!</v>
      </c>
      <c r="G17" s="216" t="e">
        <v>#VALUE!</v>
      </c>
      <c r="H17" s="216" t="e">
        <v>#VALUE!</v>
      </c>
      <c r="I17" s="216" t="e">
        <v>#VALUE!</v>
      </c>
      <c r="J17" s="216" t="e">
        <v>#VALUE!</v>
      </c>
      <c r="K17" s="216" t="e">
        <v>#VALUE!</v>
      </c>
    </row>
    <row r="18" spans="1:11" hidden="1" x14ac:dyDescent="0.3">
      <c r="A18" s="217" t="s">
        <v>231</v>
      </c>
      <c r="B18" s="218" t="e">
        <v>#VALUE!</v>
      </c>
      <c r="C18" s="218" t="e">
        <v>#VALUE!</v>
      </c>
      <c r="D18" s="218" t="e">
        <v>#VALUE!</v>
      </c>
      <c r="E18" s="218" t="e">
        <v>#VALUE!</v>
      </c>
      <c r="F18" s="218" t="e">
        <v>#VALUE!</v>
      </c>
      <c r="G18" s="218" t="e">
        <v>#VALUE!</v>
      </c>
      <c r="H18" s="218" t="e">
        <v>#VALUE!</v>
      </c>
      <c r="I18" s="218" t="e">
        <v>#VALUE!</v>
      </c>
      <c r="J18" s="218" t="e">
        <v>#VALUE!</v>
      </c>
      <c r="K18" s="218" t="e">
        <v>#VALUE!</v>
      </c>
    </row>
    <row r="19" spans="1:11" hidden="1" x14ac:dyDescent="0.3">
      <c r="A19" s="215" t="s">
        <v>231</v>
      </c>
      <c r="B19" s="219" t="e">
        <v>#VALUE!</v>
      </c>
      <c r="C19" s="219" t="e">
        <v>#VALUE!</v>
      </c>
      <c r="D19" s="219" t="e">
        <v>#VALUE!</v>
      </c>
      <c r="E19" s="219" t="e">
        <v>#VALUE!</v>
      </c>
      <c r="F19" s="219" t="e">
        <v>#VALUE!</v>
      </c>
      <c r="G19" s="219" t="e">
        <v>#VALUE!</v>
      </c>
      <c r="H19" s="219" t="e">
        <v>#VALUE!</v>
      </c>
      <c r="I19" s="219" t="e">
        <v>#VALUE!</v>
      </c>
      <c r="J19" s="219" t="e">
        <v>#VALUE!</v>
      </c>
      <c r="K19" s="219" t="e">
        <v>#VALUE!</v>
      </c>
    </row>
    <row r="20" spans="1:11" hidden="1" x14ac:dyDescent="0.3">
      <c r="A20" s="215" t="s">
        <v>231</v>
      </c>
      <c r="B20" s="219" t="e">
        <v>#VALUE!</v>
      </c>
      <c r="C20" s="219" t="e">
        <v>#VALUE!</v>
      </c>
      <c r="D20" s="219" t="e">
        <v>#VALUE!</v>
      </c>
      <c r="E20" s="219" t="e">
        <v>#VALUE!</v>
      </c>
      <c r="F20" s="219" t="e">
        <v>#VALUE!</v>
      </c>
      <c r="G20" s="219" t="e">
        <v>#VALUE!</v>
      </c>
      <c r="H20" s="219" t="e">
        <v>#VALUE!</v>
      </c>
      <c r="I20" s="219" t="e">
        <v>#VALUE!</v>
      </c>
      <c r="J20" s="219" t="e">
        <v>#VALUE!</v>
      </c>
      <c r="K20" s="219" t="e">
        <v>#VALUE!</v>
      </c>
    </row>
    <row r="21" spans="1:11" hidden="1" x14ac:dyDescent="0.3">
      <c r="A21" s="215" t="s">
        <v>231</v>
      </c>
      <c r="B21" s="219" t="e">
        <v>#VALUE!</v>
      </c>
      <c r="C21" s="219" t="e">
        <v>#VALUE!</v>
      </c>
      <c r="D21" s="219" t="e">
        <v>#VALUE!</v>
      </c>
      <c r="E21" s="219" t="e">
        <v>#VALUE!</v>
      </c>
      <c r="F21" s="219" t="e">
        <v>#VALUE!</v>
      </c>
      <c r="G21" s="219" t="e">
        <v>#VALUE!</v>
      </c>
      <c r="H21" s="219" t="e">
        <v>#VALUE!</v>
      </c>
      <c r="I21" s="219" t="e">
        <v>#VALUE!</v>
      </c>
      <c r="J21" s="219" t="e">
        <v>#VALUE!</v>
      </c>
      <c r="K21" s="219" t="e">
        <v>#VALUE!</v>
      </c>
    </row>
    <row r="22" spans="1:11" hidden="1" x14ac:dyDescent="0.3">
      <c r="A22" s="215" t="s">
        <v>231</v>
      </c>
      <c r="B22" s="219" t="e">
        <v>#VALUE!</v>
      </c>
      <c r="C22" s="219" t="e">
        <v>#VALUE!</v>
      </c>
      <c r="D22" s="219" t="e">
        <v>#VALUE!</v>
      </c>
      <c r="E22" s="219" t="e">
        <v>#VALUE!</v>
      </c>
      <c r="F22" s="219" t="e">
        <v>#VALUE!</v>
      </c>
      <c r="G22" s="219" t="e">
        <v>#VALUE!</v>
      </c>
      <c r="H22" s="219" t="e">
        <v>#VALUE!</v>
      </c>
      <c r="I22" s="219" t="e">
        <v>#VALUE!</v>
      </c>
      <c r="J22" s="219" t="e">
        <v>#VALUE!</v>
      </c>
      <c r="K22" s="219" t="e">
        <v>#VALUE!</v>
      </c>
    </row>
    <row r="23" spans="1:11" hidden="1" x14ac:dyDescent="0.3">
      <c r="A23" s="215" t="s">
        <v>231</v>
      </c>
      <c r="B23" s="219" t="e">
        <v>#VALUE!</v>
      </c>
      <c r="C23" s="219" t="e">
        <v>#VALUE!</v>
      </c>
      <c r="D23" s="219" t="e">
        <v>#VALUE!</v>
      </c>
      <c r="E23" s="219" t="e">
        <v>#VALUE!</v>
      </c>
      <c r="F23" s="219" t="e">
        <v>#VALUE!</v>
      </c>
      <c r="G23" s="219" t="e">
        <v>#VALUE!</v>
      </c>
      <c r="H23" s="219" t="e">
        <v>#VALUE!</v>
      </c>
      <c r="I23" s="219" t="e">
        <v>#VALUE!</v>
      </c>
      <c r="J23" s="219" t="e">
        <v>#VALUE!</v>
      </c>
      <c r="K23" s="219" t="e">
        <v>#VALUE!</v>
      </c>
    </row>
    <row r="24" spans="1:11" ht="26.4" customHeight="1" x14ac:dyDescent="0.3">
      <c r="A24" s="220" t="str">
        <f>year!$I$4</f>
        <v>RABI II 2023-24</v>
      </c>
      <c r="B24" s="214"/>
      <c r="C24" s="221"/>
      <c r="D24" s="221"/>
      <c r="E24" s="221"/>
      <c r="F24" s="221"/>
      <c r="G24" s="221"/>
      <c r="H24" s="221"/>
      <c r="I24" s="221"/>
      <c r="J24" s="221"/>
      <c r="K24" s="221"/>
    </row>
    <row r="25" spans="1:11" ht="26.4" customHeight="1" x14ac:dyDescent="0.3">
      <c r="A25" s="215" t="s">
        <v>308</v>
      </c>
      <c r="B25" s="216" t="s">
        <v>612</v>
      </c>
      <c r="C25" s="216" t="s">
        <v>613</v>
      </c>
      <c r="D25" s="216" t="s">
        <v>326</v>
      </c>
      <c r="E25" s="216" t="s">
        <v>364</v>
      </c>
      <c r="F25" s="216" t="s">
        <v>614</v>
      </c>
      <c r="G25" s="216" t="s">
        <v>614</v>
      </c>
      <c r="H25" s="216" t="s">
        <v>602</v>
      </c>
      <c r="I25" s="216" t="s">
        <v>615</v>
      </c>
      <c r="J25" s="216" t="s">
        <v>616</v>
      </c>
      <c r="K25" s="216" t="s">
        <v>617</v>
      </c>
    </row>
    <row r="26" spans="1:11" ht="26.4" customHeight="1" x14ac:dyDescent="0.3">
      <c r="A26" s="217" t="s">
        <v>140</v>
      </c>
      <c r="B26" s="218" t="s">
        <v>377</v>
      </c>
      <c r="C26" s="218" t="s">
        <v>635</v>
      </c>
      <c r="D26" s="218" t="s">
        <v>635</v>
      </c>
      <c r="E26" s="218" t="s">
        <v>372</v>
      </c>
      <c r="F26" s="218" t="s">
        <v>636</v>
      </c>
      <c r="G26" s="218" t="s">
        <v>637</v>
      </c>
      <c r="H26" s="218" t="s">
        <v>602</v>
      </c>
      <c r="I26" s="218" t="s">
        <v>638</v>
      </c>
      <c r="J26" s="218" t="s">
        <v>639</v>
      </c>
      <c r="K26" s="218" t="s">
        <v>640</v>
      </c>
    </row>
    <row r="27" spans="1:11" hidden="1" x14ac:dyDescent="0.3">
      <c r="A27" s="215" t="s">
        <v>231</v>
      </c>
      <c r="B27" s="216" t="e">
        <v>#VALUE!</v>
      </c>
      <c r="C27" s="216" t="e">
        <v>#VALUE!</v>
      </c>
      <c r="D27" s="216" t="e">
        <v>#VALUE!</v>
      </c>
      <c r="E27" s="216" t="e">
        <v>#VALUE!</v>
      </c>
      <c r="F27" s="216" t="e">
        <v>#VALUE!</v>
      </c>
      <c r="G27" s="216" t="e">
        <v>#VALUE!</v>
      </c>
      <c r="H27" s="216" t="e">
        <v>#VALUE!</v>
      </c>
      <c r="I27" s="216" t="e">
        <v>#VALUE!</v>
      </c>
      <c r="J27" s="216" t="e">
        <v>#VALUE!</v>
      </c>
      <c r="K27" s="216" t="e">
        <v>#VALUE!</v>
      </c>
    </row>
    <row r="28" spans="1:11" hidden="1" x14ac:dyDescent="0.3">
      <c r="A28" s="215" t="s">
        <v>231</v>
      </c>
      <c r="B28" s="216" t="e">
        <v>#VALUE!</v>
      </c>
      <c r="C28" s="216" t="e">
        <v>#VALUE!</v>
      </c>
      <c r="D28" s="216" t="e">
        <v>#VALUE!</v>
      </c>
      <c r="E28" s="216" t="e">
        <v>#VALUE!</v>
      </c>
      <c r="F28" s="216" t="e">
        <v>#VALUE!</v>
      </c>
      <c r="G28" s="216" t="e">
        <v>#VALUE!</v>
      </c>
      <c r="H28" s="216" t="e">
        <v>#VALUE!</v>
      </c>
      <c r="I28" s="216" t="e">
        <v>#VALUE!</v>
      </c>
      <c r="J28" s="216" t="e">
        <v>#VALUE!</v>
      </c>
      <c r="K28" s="216" t="e">
        <v>#VALUE!</v>
      </c>
    </row>
    <row r="29" spans="1:11" hidden="1" x14ac:dyDescent="0.3">
      <c r="A29" s="215" t="s">
        <v>231</v>
      </c>
      <c r="B29" s="216" t="e">
        <v>#VALUE!</v>
      </c>
      <c r="C29" s="216" t="e">
        <v>#VALUE!</v>
      </c>
      <c r="D29" s="216" t="e">
        <v>#VALUE!</v>
      </c>
      <c r="E29" s="216" t="e">
        <v>#VALUE!</v>
      </c>
      <c r="F29" s="216" t="e">
        <v>#VALUE!</v>
      </c>
      <c r="G29" s="216" t="e">
        <v>#VALUE!</v>
      </c>
      <c r="H29" s="216" t="e">
        <v>#VALUE!</v>
      </c>
      <c r="I29" s="216" t="e">
        <v>#VALUE!</v>
      </c>
      <c r="J29" s="216" t="e">
        <v>#VALUE!</v>
      </c>
      <c r="K29" s="216" t="e">
        <v>#VALUE!</v>
      </c>
    </row>
    <row r="30" spans="1:11" hidden="1" x14ac:dyDescent="0.3">
      <c r="A30" s="215" t="s">
        <v>231</v>
      </c>
      <c r="B30" s="216" t="e">
        <v>#VALUE!</v>
      </c>
      <c r="C30" s="216" t="e">
        <v>#VALUE!</v>
      </c>
      <c r="D30" s="216" t="e">
        <v>#VALUE!</v>
      </c>
      <c r="E30" s="216" t="e">
        <v>#VALUE!</v>
      </c>
      <c r="F30" s="216" t="e">
        <v>#VALUE!</v>
      </c>
      <c r="G30" s="216" t="e">
        <v>#VALUE!</v>
      </c>
      <c r="H30" s="216" t="e">
        <v>#VALUE!</v>
      </c>
      <c r="I30" s="216" t="e">
        <v>#VALUE!</v>
      </c>
      <c r="J30" s="216" t="e">
        <v>#VALUE!</v>
      </c>
      <c r="K30" s="216" t="e">
        <v>#VALUE!</v>
      </c>
    </row>
    <row r="31" spans="1:11" hidden="1" x14ac:dyDescent="0.3">
      <c r="A31" s="215" t="s">
        <v>231</v>
      </c>
      <c r="B31" s="216" t="e">
        <v>#VALUE!</v>
      </c>
      <c r="C31" s="216" t="e">
        <v>#VALUE!</v>
      </c>
      <c r="D31" s="216" t="e">
        <v>#VALUE!</v>
      </c>
      <c r="E31" s="216" t="e">
        <v>#VALUE!</v>
      </c>
      <c r="F31" s="216" t="e">
        <v>#VALUE!</v>
      </c>
      <c r="G31" s="216" t="e">
        <v>#VALUE!</v>
      </c>
      <c r="H31" s="216" t="e">
        <v>#VALUE!</v>
      </c>
      <c r="I31" s="216" t="e">
        <v>#VALUE!</v>
      </c>
      <c r="J31" s="216" t="e">
        <v>#VALUE!</v>
      </c>
      <c r="K31" s="216" t="e">
        <v>#VALUE!</v>
      </c>
    </row>
    <row r="32" spans="1:11" hidden="1" x14ac:dyDescent="0.3">
      <c r="A32" s="215" t="s">
        <v>231</v>
      </c>
      <c r="B32" s="216" t="e">
        <v>#VALUE!</v>
      </c>
      <c r="C32" s="216" t="e">
        <v>#VALUE!</v>
      </c>
      <c r="D32" s="216" t="e">
        <v>#VALUE!</v>
      </c>
      <c r="E32" s="216" t="e">
        <v>#VALUE!</v>
      </c>
      <c r="F32" s="216" t="e">
        <v>#VALUE!</v>
      </c>
      <c r="G32" s="216" t="e">
        <v>#VALUE!</v>
      </c>
      <c r="H32" s="216" t="e">
        <v>#VALUE!</v>
      </c>
      <c r="I32" s="216" t="e">
        <v>#VALUE!</v>
      </c>
      <c r="J32" s="216" t="e">
        <v>#VALUE!</v>
      </c>
      <c r="K32" s="216" t="e">
        <v>#VALUE!</v>
      </c>
    </row>
    <row r="33" spans="1:11" hidden="1" x14ac:dyDescent="0.3">
      <c r="A33" s="215" t="s">
        <v>231</v>
      </c>
      <c r="B33" s="216" t="e">
        <v>#VALUE!</v>
      </c>
      <c r="C33" s="216" t="e">
        <v>#VALUE!</v>
      </c>
      <c r="D33" s="216" t="e">
        <v>#VALUE!</v>
      </c>
      <c r="E33" s="216" t="e">
        <v>#VALUE!</v>
      </c>
      <c r="F33" s="216" t="e">
        <v>#VALUE!</v>
      </c>
      <c r="G33" s="216" t="e">
        <v>#VALUE!</v>
      </c>
      <c r="H33" s="216" t="e">
        <v>#VALUE!</v>
      </c>
      <c r="I33" s="216" t="e">
        <v>#VALUE!</v>
      </c>
      <c r="J33" s="216" t="e">
        <v>#VALUE!</v>
      </c>
      <c r="K33" s="216" t="e">
        <v>#VALUE!</v>
      </c>
    </row>
    <row r="34" spans="1:11" ht="15" hidden="1" thickBot="1" x14ac:dyDescent="0.35">
      <c r="A34" s="222" t="s">
        <v>231</v>
      </c>
      <c r="B34" s="223" t="e">
        <v>#VALUE!</v>
      </c>
      <c r="C34" s="223" t="e">
        <v>#VALUE!</v>
      </c>
      <c r="D34" s="223" t="e">
        <v>#VALUE!</v>
      </c>
      <c r="E34" s="223" t="e">
        <v>#VALUE!</v>
      </c>
      <c r="F34" s="223" t="e">
        <v>#VALUE!</v>
      </c>
      <c r="G34" s="223" t="e">
        <v>#VALUE!</v>
      </c>
      <c r="H34" s="223" t="e">
        <v>#VALUE!</v>
      </c>
      <c r="I34" s="223" t="e">
        <v>#VALUE!</v>
      </c>
      <c r="J34" s="223" t="e">
        <v>#VALUE!</v>
      </c>
      <c r="K34" s="223" t="e">
        <v>#VALUE!</v>
      </c>
    </row>
    <row r="35" spans="1:11" hidden="1" x14ac:dyDescent="0.3">
      <c r="A35" s="215" t="s">
        <v>231</v>
      </c>
      <c r="B35" s="219" t="e">
        <v>#VALUE!</v>
      </c>
      <c r="C35" s="219" t="e">
        <v>#VALUE!</v>
      </c>
      <c r="D35" s="219" t="e">
        <v>#VALUE!</v>
      </c>
      <c r="E35" s="219" t="e">
        <v>#VALUE!</v>
      </c>
      <c r="F35" s="219" t="e">
        <v>#VALUE!</v>
      </c>
      <c r="G35" s="219" t="e">
        <v>#VALUE!</v>
      </c>
      <c r="H35" s="219" t="e">
        <v>#VALUE!</v>
      </c>
      <c r="I35" s="219" t="e">
        <v>#VALUE!</v>
      </c>
      <c r="J35" s="219" t="e">
        <v>#VALUE!</v>
      </c>
      <c r="K35" s="219" t="e">
        <v>#VALUE!</v>
      </c>
    </row>
    <row r="36" spans="1:11" hidden="1" x14ac:dyDescent="0.3">
      <c r="A36" s="215" t="s">
        <v>231</v>
      </c>
      <c r="B36" s="219" t="e">
        <v>#VALUE!</v>
      </c>
      <c r="C36" s="219" t="e">
        <v>#VALUE!</v>
      </c>
      <c r="D36" s="219" t="e">
        <v>#VALUE!</v>
      </c>
      <c r="E36" s="219" t="e">
        <v>#VALUE!</v>
      </c>
      <c r="F36" s="219" t="e">
        <v>#VALUE!</v>
      </c>
      <c r="G36" s="219" t="e">
        <v>#VALUE!</v>
      </c>
      <c r="H36" s="219" t="e">
        <v>#VALUE!</v>
      </c>
      <c r="I36" s="219" t="e">
        <v>#VALUE!</v>
      </c>
      <c r="J36" s="219" t="e">
        <v>#VALUE!</v>
      </c>
      <c r="K36" s="219" t="e">
        <v>#VALUE!</v>
      </c>
    </row>
    <row r="37" spans="1:11" hidden="1" x14ac:dyDescent="0.3">
      <c r="A37" s="215" t="s">
        <v>231</v>
      </c>
      <c r="B37" s="219" t="e">
        <v>#VALUE!</v>
      </c>
      <c r="C37" s="219" t="e">
        <v>#VALUE!</v>
      </c>
      <c r="D37" s="219" t="e">
        <v>#VALUE!</v>
      </c>
      <c r="E37" s="219" t="e">
        <v>#VALUE!</v>
      </c>
      <c r="F37" s="219" t="e">
        <v>#VALUE!</v>
      </c>
      <c r="G37" s="219" t="e">
        <v>#VALUE!</v>
      </c>
      <c r="H37" s="219" t="e">
        <v>#VALUE!</v>
      </c>
      <c r="I37" s="219" t="e">
        <v>#VALUE!</v>
      </c>
      <c r="J37" s="219" t="e">
        <v>#VALUE!</v>
      </c>
      <c r="K37" s="219" t="e">
        <v>#VALUE!</v>
      </c>
    </row>
    <row r="38" spans="1:11" hidden="1" x14ac:dyDescent="0.3">
      <c r="A38" s="215" t="s">
        <v>231</v>
      </c>
      <c r="B38" s="219" t="e">
        <v>#VALUE!</v>
      </c>
      <c r="C38" s="219" t="e">
        <v>#VALUE!</v>
      </c>
      <c r="D38" s="219" t="e">
        <v>#VALUE!</v>
      </c>
      <c r="E38" s="219" t="e">
        <v>#VALUE!</v>
      </c>
      <c r="F38" s="219" t="e">
        <v>#VALUE!</v>
      </c>
      <c r="G38" s="219" t="e">
        <v>#VALUE!</v>
      </c>
      <c r="H38" s="219" t="e">
        <v>#VALUE!</v>
      </c>
      <c r="I38" s="219" t="e">
        <v>#VALUE!</v>
      </c>
      <c r="J38" s="219" t="e">
        <v>#VALUE!</v>
      </c>
      <c r="K38" s="219" t="e">
        <v>#VALUE!</v>
      </c>
    </row>
    <row r="39" spans="1:11" hidden="1" x14ac:dyDescent="0.3">
      <c r="A39" s="215" t="s">
        <v>231</v>
      </c>
      <c r="B39" s="219" t="e">
        <v>#VALUE!</v>
      </c>
      <c r="C39" s="219" t="e">
        <v>#VALUE!</v>
      </c>
      <c r="D39" s="219" t="e">
        <v>#VALUE!</v>
      </c>
      <c r="E39" s="219" t="e">
        <v>#VALUE!</v>
      </c>
      <c r="F39" s="219" t="e">
        <v>#VALUE!</v>
      </c>
      <c r="G39" s="219" t="e">
        <v>#VALUE!</v>
      </c>
      <c r="H39" s="219" t="e">
        <v>#VALUE!</v>
      </c>
      <c r="I39" s="219" t="e">
        <v>#VALUE!</v>
      </c>
      <c r="J39" s="219" t="e">
        <v>#VALUE!</v>
      </c>
      <c r="K39" s="219" t="e">
        <v>#VALUE!</v>
      </c>
    </row>
    <row r="40" spans="1:11" hidden="1" x14ac:dyDescent="0.3">
      <c r="A40" s="295" t="s">
        <v>102</v>
      </c>
      <c r="B40" s="295"/>
      <c r="C40" s="295"/>
      <c r="D40" s="295"/>
      <c r="E40" s="295"/>
      <c r="F40" s="295"/>
      <c r="G40" s="295"/>
      <c r="H40" s="295"/>
      <c r="I40" s="295"/>
      <c r="J40" s="295"/>
      <c r="K40" s="295"/>
    </row>
    <row r="41" spans="1:11" hidden="1" x14ac:dyDescent="0.3">
      <c r="A41" s="287" t="s">
        <v>216</v>
      </c>
      <c r="B41" s="287"/>
      <c r="C41" s="287"/>
      <c r="D41" s="287"/>
      <c r="E41" s="287"/>
      <c r="F41" s="287"/>
      <c r="G41" s="287"/>
      <c r="H41" s="287"/>
      <c r="I41" s="287"/>
      <c r="J41" s="287"/>
      <c r="K41" s="287"/>
    </row>
    <row r="42" spans="1:11" hidden="1" x14ac:dyDescent="0.3">
      <c r="A42" s="293" t="str">
        <f>year!$H$2</f>
        <v>UT : PUDUCHERRY</v>
      </c>
      <c r="B42" s="293" t="str">
        <f>year!$H$2</f>
        <v>UT : PUDUCHERRY</v>
      </c>
      <c r="C42" s="293" t="str">
        <f>year!$H$2</f>
        <v>UT : PUDUCHERRY</v>
      </c>
      <c r="D42" s="293" t="str">
        <f>year!$H$2</f>
        <v>UT : PUDUCHERRY</v>
      </c>
      <c r="E42" s="293" t="str">
        <f>year!$H$2</f>
        <v>UT : PUDUCHERRY</v>
      </c>
      <c r="F42" s="293" t="str">
        <f>year!$H$2</f>
        <v>UT : PUDUCHERRY</v>
      </c>
      <c r="G42" s="293" t="str">
        <f>year!$H$2</f>
        <v>UT : PUDUCHERRY</v>
      </c>
      <c r="H42" s="293" t="str">
        <f>year!$H$2</f>
        <v>UT : PUDUCHERRY</v>
      </c>
      <c r="I42" s="293" t="str">
        <f>year!$H$2</f>
        <v>UT : PUDUCHERRY</v>
      </c>
      <c r="J42" s="294" t="s">
        <v>626</v>
      </c>
      <c r="K42" s="294"/>
    </row>
    <row r="43" spans="1:11" hidden="1" x14ac:dyDescent="0.3">
      <c r="A43" s="289" t="s">
        <v>627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</row>
    <row r="44" spans="1:11" hidden="1" x14ac:dyDescent="0.3">
      <c r="A44" s="290" t="s">
        <v>260</v>
      </c>
      <c r="B44" s="292" t="s">
        <v>261</v>
      </c>
      <c r="C44" s="292"/>
      <c r="D44" s="292"/>
      <c r="E44" s="292"/>
      <c r="F44" s="292"/>
      <c r="G44" s="292"/>
      <c r="H44" s="292"/>
      <c r="I44" s="292"/>
      <c r="J44" s="292"/>
      <c r="K44" s="292"/>
    </row>
    <row r="45" spans="1:11" ht="15" hidden="1" customHeight="1" x14ac:dyDescent="0.3">
      <c r="A45" s="290"/>
      <c r="B45" s="292" t="s">
        <v>262</v>
      </c>
      <c r="C45" s="292"/>
      <c r="D45" s="292"/>
      <c r="E45" s="292" t="s">
        <v>263</v>
      </c>
      <c r="F45" s="292"/>
      <c r="G45" s="292"/>
      <c r="H45" s="292" t="s">
        <v>264</v>
      </c>
      <c r="I45" s="292"/>
      <c r="J45" s="292"/>
      <c r="K45" s="290" t="s">
        <v>265</v>
      </c>
    </row>
    <row r="46" spans="1:11" ht="57.6" hidden="1" x14ac:dyDescent="0.3">
      <c r="A46" s="291"/>
      <c r="B46" s="211" t="s">
        <v>266</v>
      </c>
      <c r="C46" s="211" t="s">
        <v>258</v>
      </c>
      <c r="D46" s="211" t="s">
        <v>259</v>
      </c>
      <c r="E46" s="211" t="s">
        <v>266</v>
      </c>
      <c r="F46" s="211" t="s">
        <v>258</v>
      </c>
      <c r="G46" s="211" t="s">
        <v>259</v>
      </c>
      <c r="H46" s="211" t="s">
        <v>266</v>
      </c>
      <c r="I46" s="211" t="s">
        <v>272</v>
      </c>
      <c r="J46" s="211" t="s">
        <v>273</v>
      </c>
      <c r="K46" s="291"/>
    </row>
    <row r="47" spans="1:11" hidden="1" x14ac:dyDescent="0.3">
      <c r="A47" s="212" t="s">
        <v>8</v>
      </c>
      <c r="B47" s="212" t="s">
        <v>9</v>
      </c>
      <c r="C47" s="212" t="s">
        <v>10</v>
      </c>
      <c r="D47" s="212" t="s">
        <v>11</v>
      </c>
      <c r="E47" s="212" t="s">
        <v>12</v>
      </c>
      <c r="F47" s="212" t="s">
        <v>13</v>
      </c>
      <c r="G47" s="212" t="s">
        <v>14</v>
      </c>
      <c r="H47" s="212" t="s">
        <v>15</v>
      </c>
      <c r="I47" s="212" t="s">
        <v>75</v>
      </c>
      <c r="J47" s="212" t="s">
        <v>76</v>
      </c>
      <c r="K47" s="212" t="s">
        <v>77</v>
      </c>
    </row>
    <row r="48" spans="1:11" ht="26.4" customHeight="1" x14ac:dyDescent="0.3">
      <c r="A48" s="213" t="str">
        <f>year!$H$5</f>
        <v>RABI I 2022-23</v>
      </c>
      <c r="B48" s="214"/>
      <c r="C48" s="214"/>
      <c r="D48" s="214"/>
      <c r="E48" s="214"/>
      <c r="F48" s="214"/>
      <c r="G48" s="214"/>
      <c r="H48" s="214"/>
      <c r="I48" s="214"/>
      <c r="J48" s="214"/>
      <c r="K48" s="214"/>
    </row>
    <row r="49" spans="1:11" ht="26.4" customHeight="1" x14ac:dyDescent="0.3">
      <c r="A49" s="224" t="str">
        <f>A9</f>
        <v>PADDY</v>
      </c>
      <c r="B49" s="216" t="s">
        <v>602</v>
      </c>
      <c r="C49" s="216" t="s">
        <v>581</v>
      </c>
      <c r="D49" s="216" t="s">
        <v>581</v>
      </c>
      <c r="E49" s="216" t="s">
        <v>602</v>
      </c>
      <c r="F49" s="216" t="s">
        <v>582</v>
      </c>
      <c r="G49" s="216" t="s">
        <v>582</v>
      </c>
      <c r="H49" s="216" t="s">
        <v>605</v>
      </c>
      <c r="I49" s="216" t="s">
        <v>583</v>
      </c>
      <c r="J49" s="216" t="s">
        <v>583</v>
      </c>
      <c r="K49" s="216" t="s">
        <v>573</v>
      </c>
    </row>
    <row r="50" spans="1:11" ht="26.4" customHeight="1" x14ac:dyDescent="0.3">
      <c r="A50" s="224" t="str">
        <f t="shared" ref="A50:A63" si="0">A10</f>
        <v>OTHERS</v>
      </c>
      <c r="B50" s="216" t="s">
        <v>370</v>
      </c>
      <c r="C50" s="216" t="s">
        <v>620</v>
      </c>
      <c r="D50" s="216" t="s">
        <v>620</v>
      </c>
      <c r="E50" s="216" t="s">
        <v>368</v>
      </c>
      <c r="F50" s="216" t="s">
        <v>641</v>
      </c>
      <c r="G50" s="216" t="s">
        <v>641</v>
      </c>
      <c r="H50" s="216" t="s">
        <v>602</v>
      </c>
      <c r="I50" s="216" t="s">
        <v>642</v>
      </c>
      <c r="J50" s="216" t="s">
        <v>642</v>
      </c>
      <c r="K50" s="216" t="s">
        <v>573</v>
      </c>
    </row>
    <row r="51" spans="1:11" hidden="1" x14ac:dyDescent="0.3">
      <c r="A51" s="224" t="str">
        <f t="shared" si="0"/>
        <v/>
      </c>
      <c r="B51" s="216" t="e">
        <v>#VALUE!</v>
      </c>
      <c r="C51" s="216" t="e">
        <v>#VALUE!</v>
      </c>
      <c r="D51" s="216" t="e">
        <v>#VALUE!</v>
      </c>
      <c r="E51" s="216" t="e">
        <v>#VALUE!</v>
      </c>
      <c r="F51" s="216" t="e">
        <v>#VALUE!</v>
      </c>
      <c r="G51" s="216" t="e">
        <v>#VALUE!</v>
      </c>
      <c r="H51" s="216" t="e">
        <v>#VALUE!</v>
      </c>
      <c r="I51" s="216" t="e">
        <v>#VALUE!</v>
      </c>
      <c r="J51" s="216" t="e">
        <v>#VALUE!</v>
      </c>
      <c r="K51" s="216" t="e">
        <v>#VALUE!</v>
      </c>
    </row>
    <row r="52" spans="1:11" hidden="1" x14ac:dyDescent="0.3">
      <c r="A52" s="224" t="str">
        <f t="shared" si="0"/>
        <v/>
      </c>
      <c r="B52" s="216" t="e">
        <v>#VALUE!</v>
      </c>
      <c r="C52" s="216" t="e">
        <v>#VALUE!</v>
      </c>
      <c r="D52" s="216" t="e">
        <v>#VALUE!</v>
      </c>
      <c r="E52" s="216" t="e">
        <v>#VALUE!</v>
      </c>
      <c r="F52" s="216" t="e">
        <v>#VALUE!</v>
      </c>
      <c r="G52" s="216" t="e">
        <v>#VALUE!</v>
      </c>
      <c r="H52" s="216" t="e">
        <v>#VALUE!</v>
      </c>
      <c r="I52" s="216" t="e">
        <v>#VALUE!</v>
      </c>
      <c r="J52" s="216" t="e">
        <v>#VALUE!</v>
      </c>
      <c r="K52" s="216" t="e">
        <v>#VALUE!</v>
      </c>
    </row>
    <row r="53" spans="1:11" hidden="1" x14ac:dyDescent="0.3">
      <c r="A53" s="224" t="str">
        <f t="shared" si="0"/>
        <v/>
      </c>
      <c r="B53" s="216" t="e">
        <v>#VALUE!</v>
      </c>
      <c r="C53" s="216" t="e">
        <v>#VALUE!</v>
      </c>
      <c r="D53" s="216" t="e">
        <v>#VALUE!</v>
      </c>
      <c r="E53" s="216" t="e">
        <v>#VALUE!</v>
      </c>
      <c r="F53" s="216" t="e">
        <v>#VALUE!</v>
      </c>
      <c r="G53" s="216" t="e">
        <v>#VALUE!</v>
      </c>
      <c r="H53" s="216" t="e">
        <v>#VALUE!</v>
      </c>
      <c r="I53" s="216" t="e">
        <v>#VALUE!</v>
      </c>
      <c r="J53" s="216" t="e">
        <v>#VALUE!</v>
      </c>
      <c r="K53" s="216" t="e">
        <v>#VALUE!</v>
      </c>
    </row>
    <row r="54" spans="1:11" hidden="1" x14ac:dyDescent="0.3">
      <c r="A54" s="224" t="str">
        <f t="shared" si="0"/>
        <v/>
      </c>
      <c r="B54" s="216" t="e">
        <v>#VALUE!</v>
      </c>
      <c r="C54" s="216" t="e">
        <v>#VALUE!</v>
      </c>
      <c r="D54" s="216" t="e">
        <v>#VALUE!</v>
      </c>
      <c r="E54" s="216" t="e">
        <v>#VALUE!</v>
      </c>
      <c r="F54" s="216" t="e">
        <v>#VALUE!</v>
      </c>
      <c r="G54" s="216" t="e">
        <v>#VALUE!</v>
      </c>
      <c r="H54" s="216" t="e">
        <v>#VALUE!</v>
      </c>
      <c r="I54" s="216" t="e">
        <v>#VALUE!</v>
      </c>
      <c r="J54" s="216" t="e">
        <v>#VALUE!</v>
      </c>
      <c r="K54" s="216" t="e">
        <v>#VALUE!</v>
      </c>
    </row>
    <row r="55" spans="1:11" hidden="1" x14ac:dyDescent="0.3">
      <c r="A55" s="224" t="str">
        <f t="shared" si="0"/>
        <v/>
      </c>
      <c r="B55" s="216" t="e">
        <v>#VALUE!</v>
      </c>
      <c r="C55" s="216" t="e">
        <v>#VALUE!</v>
      </c>
      <c r="D55" s="216" t="e">
        <v>#VALUE!</v>
      </c>
      <c r="E55" s="216" t="e">
        <v>#VALUE!</v>
      </c>
      <c r="F55" s="216" t="e">
        <v>#VALUE!</v>
      </c>
      <c r="G55" s="216" t="e">
        <v>#VALUE!</v>
      </c>
      <c r="H55" s="216" t="e">
        <v>#VALUE!</v>
      </c>
      <c r="I55" s="216" t="e">
        <v>#VALUE!</v>
      </c>
      <c r="J55" s="216" t="e">
        <v>#VALUE!</v>
      </c>
      <c r="K55" s="216" t="e">
        <v>#VALUE!</v>
      </c>
    </row>
    <row r="56" spans="1:11" hidden="1" x14ac:dyDescent="0.3">
      <c r="A56" s="224" t="str">
        <f t="shared" si="0"/>
        <v/>
      </c>
      <c r="B56" s="216" t="e">
        <v>#VALUE!</v>
      </c>
      <c r="C56" s="216" t="e">
        <v>#VALUE!</v>
      </c>
      <c r="D56" s="216" t="e">
        <v>#VALUE!</v>
      </c>
      <c r="E56" s="216" t="e">
        <v>#VALUE!</v>
      </c>
      <c r="F56" s="216" t="e">
        <v>#VALUE!</v>
      </c>
      <c r="G56" s="216" t="e">
        <v>#VALUE!</v>
      </c>
      <c r="H56" s="216" t="e">
        <v>#VALUE!</v>
      </c>
      <c r="I56" s="216" t="e">
        <v>#VALUE!</v>
      </c>
      <c r="J56" s="216" t="e">
        <v>#VALUE!</v>
      </c>
      <c r="K56" s="216" t="e">
        <v>#VALUE!</v>
      </c>
    </row>
    <row r="57" spans="1:11" hidden="1" x14ac:dyDescent="0.3">
      <c r="A57" s="224" t="str">
        <f t="shared" si="0"/>
        <v/>
      </c>
      <c r="B57" s="216" t="e">
        <v>#VALUE!</v>
      </c>
      <c r="C57" s="216" t="e">
        <v>#VALUE!</v>
      </c>
      <c r="D57" s="216" t="e">
        <v>#VALUE!</v>
      </c>
      <c r="E57" s="216" t="e">
        <v>#VALUE!</v>
      </c>
      <c r="F57" s="216" t="e">
        <v>#VALUE!</v>
      </c>
      <c r="G57" s="216" t="e">
        <v>#VALUE!</v>
      </c>
      <c r="H57" s="216" t="e">
        <v>#VALUE!</v>
      </c>
      <c r="I57" s="216" t="e">
        <v>#VALUE!</v>
      </c>
      <c r="J57" s="216" t="e">
        <v>#VALUE!</v>
      </c>
      <c r="K57" s="216" t="e">
        <v>#VALUE!</v>
      </c>
    </row>
    <row r="58" spans="1:11" hidden="1" x14ac:dyDescent="0.3">
      <c r="A58" s="225" t="str">
        <f t="shared" si="0"/>
        <v/>
      </c>
      <c r="B58" s="218" t="e">
        <v>#VALUE!</v>
      </c>
      <c r="C58" s="218" t="e">
        <v>#VALUE!</v>
      </c>
      <c r="D58" s="218" t="e">
        <v>#VALUE!</v>
      </c>
      <c r="E58" s="218" t="e">
        <v>#VALUE!</v>
      </c>
      <c r="F58" s="218" t="e">
        <v>#VALUE!</v>
      </c>
      <c r="G58" s="218" t="e">
        <v>#VALUE!</v>
      </c>
      <c r="H58" s="218" t="e">
        <v>#VALUE!</v>
      </c>
      <c r="I58" s="218" t="e">
        <v>#VALUE!</v>
      </c>
      <c r="J58" s="218" t="e">
        <v>#VALUE!</v>
      </c>
      <c r="K58" s="218" t="e">
        <v>#VALUE!</v>
      </c>
    </row>
    <row r="59" spans="1:11" hidden="1" x14ac:dyDescent="0.3">
      <c r="A59" s="224" t="str">
        <f t="shared" si="0"/>
        <v/>
      </c>
      <c r="B59" s="219" t="e">
        <v>#VALUE!</v>
      </c>
      <c r="C59" s="219" t="e">
        <v>#VALUE!</v>
      </c>
      <c r="D59" s="219" t="e">
        <v>#VALUE!</v>
      </c>
      <c r="E59" s="219" t="e">
        <v>#VALUE!</v>
      </c>
      <c r="F59" s="219" t="e">
        <v>#VALUE!</v>
      </c>
      <c r="G59" s="219" t="e">
        <v>#VALUE!</v>
      </c>
      <c r="H59" s="219" t="e">
        <v>#VALUE!</v>
      </c>
      <c r="I59" s="219" t="e">
        <v>#VALUE!</v>
      </c>
      <c r="J59" s="219" t="e">
        <v>#VALUE!</v>
      </c>
      <c r="K59" s="219" t="e">
        <v>#VALUE!</v>
      </c>
    </row>
    <row r="60" spans="1:11" hidden="1" x14ac:dyDescent="0.3">
      <c r="A60" s="224" t="str">
        <f t="shared" si="0"/>
        <v/>
      </c>
      <c r="B60" s="219" t="e">
        <v>#VALUE!</v>
      </c>
      <c r="C60" s="219" t="e">
        <v>#VALUE!</v>
      </c>
      <c r="D60" s="219" t="e">
        <v>#VALUE!</v>
      </c>
      <c r="E60" s="219" t="e">
        <v>#VALUE!</v>
      </c>
      <c r="F60" s="219" t="e">
        <v>#VALUE!</v>
      </c>
      <c r="G60" s="219" t="e">
        <v>#VALUE!</v>
      </c>
      <c r="H60" s="219" t="e">
        <v>#VALUE!</v>
      </c>
      <c r="I60" s="219" t="e">
        <v>#VALUE!</v>
      </c>
      <c r="J60" s="219" t="e">
        <v>#VALUE!</v>
      </c>
      <c r="K60" s="219" t="e">
        <v>#VALUE!</v>
      </c>
    </row>
    <row r="61" spans="1:11" hidden="1" x14ac:dyDescent="0.3">
      <c r="A61" s="224" t="str">
        <f t="shared" si="0"/>
        <v/>
      </c>
      <c r="B61" s="219" t="e">
        <v>#VALUE!</v>
      </c>
      <c r="C61" s="219" t="e">
        <v>#VALUE!</v>
      </c>
      <c r="D61" s="219" t="e">
        <v>#VALUE!</v>
      </c>
      <c r="E61" s="219" t="e">
        <v>#VALUE!</v>
      </c>
      <c r="F61" s="219" t="e">
        <v>#VALUE!</v>
      </c>
      <c r="G61" s="219" t="e">
        <v>#VALUE!</v>
      </c>
      <c r="H61" s="219" t="e">
        <v>#VALUE!</v>
      </c>
      <c r="I61" s="219" t="e">
        <v>#VALUE!</v>
      </c>
      <c r="J61" s="219" t="e">
        <v>#VALUE!</v>
      </c>
      <c r="K61" s="219" t="e">
        <v>#VALUE!</v>
      </c>
    </row>
    <row r="62" spans="1:11" hidden="1" x14ac:dyDescent="0.3">
      <c r="A62" s="224" t="str">
        <f t="shared" si="0"/>
        <v/>
      </c>
      <c r="B62" s="219" t="e">
        <v>#VALUE!</v>
      </c>
      <c r="C62" s="219" t="e">
        <v>#VALUE!</v>
      </c>
      <c r="D62" s="219" t="e">
        <v>#VALUE!</v>
      </c>
      <c r="E62" s="219" t="e">
        <v>#VALUE!</v>
      </c>
      <c r="F62" s="219" t="e">
        <v>#VALUE!</v>
      </c>
      <c r="G62" s="219" t="e">
        <v>#VALUE!</v>
      </c>
      <c r="H62" s="219" t="e">
        <v>#VALUE!</v>
      </c>
      <c r="I62" s="219" t="e">
        <v>#VALUE!</v>
      </c>
      <c r="J62" s="219" t="e">
        <v>#VALUE!</v>
      </c>
      <c r="K62" s="219" t="e">
        <v>#VALUE!</v>
      </c>
    </row>
    <row r="63" spans="1:11" hidden="1" x14ac:dyDescent="0.3">
      <c r="A63" s="224" t="str">
        <f t="shared" si="0"/>
        <v/>
      </c>
      <c r="B63" s="219" t="e">
        <v>#VALUE!</v>
      </c>
      <c r="C63" s="219" t="e">
        <v>#VALUE!</v>
      </c>
      <c r="D63" s="219" t="e">
        <v>#VALUE!</v>
      </c>
      <c r="E63" s="219" t="e">
        <v>#VALUE!</v>
      </c>
      <c r="F63" s="219" t="e">
        <v>#VALUE!</v>
      </c>
      <c r="G63" s="219" t="e">
        <v>#VALUE!</v>
      </c>
      <c r="H63" s="219" t="e">
        <v>#VALUE!</v>
      </c>
      <c r="I63" s="219" t="e">
        <v>#VALUE!</v>
      </c>
      <c r="J63" s="219" t="e">
        <v>#VALUE!</v>
      </c>
      <c r="K63" s="219" t="e">
        <v>#VALUE!</v>
      </c>
    </row>
    <row r="64" spans="1:11" ht="26.4" customHeight="1" x14ac:dyDescent="0.3">
      <c r="A64" s="220" t="str">
        <f>year!$I$5</f>
        <v>RABI II 2022-23</v>
      </c>
      <c r="B64" s="214"/>
      <c r="C64" s="221"/>
      <c r="D64" s="221"/>
      <c r="E64" s="221"/>
      <c r="F64" s="221"/>
      <c r="G64" s="221"/>
      <c r="H64" s="221"/>
      <c r="I64" s="221"/>
      <c r="J64" s="221"/>
      <c r="K64" s="221"/>
    </row>
    <row r="65" spans="1:11" ht="26.4" customHeight="1" x14ac:dyDescent="0.3">
      <c r="A65" s="224" t="str">
        <f>A25</f>
        <v>PADDY</v>
      </c>
      <c r="B65" s="216" t="s">
        <v>377</v>
      </c>
      <c r="C65" s="216" t="s">
        <v>587</v>
      </c>
      <c r="D65" s="216" t="s">
        <v>587</v>
      </c>
      <c r="E65" s="216" t="s">
        <v>372</v>
      </c>
      <c r="F65" s="216" t="s">
        <v>588</v>
      </c>
      <c r="G65" s="216" t="s">
        <v>643</v>
      </c>
      <c r="H65" s="216" t="s">
        <v>602</v>
      </c>
      <c r="I65" s="216" t="s">
        <v>590</v>
      </c>
      <c r="J65" s="216" t="s">
        <v>644</v>
      </c>
      <c r="K65" s="216" t="s">
        <v>645</v>
      </c>
    </row>
    <row r="66" spans="1:11" ht="26.4" customHeight="1" thickBot="1" x14ac:dyDescent="0.35">
      <c r="A66" s="226" t="str">
        <f t="shared" ref="A66:A79" si="1">A26</f>
        <v>OTHERS</v>
      </c>
      <c r="B66" s="223" t="s">
        <v>372</v>
      </c>
      <c r="C66" s="223" t="s">
        <v>623</v>
      </c>
      <c r="D66" s="223" t="s">
        <v>623</v>
      </c>
      <c r="E66" s="223" t="s">
        <v>602</v>
      </c>
      <c r="F66" s="223" t="s">
        <v>646</v>
      </c>
      <c r="G66" s="223" t="s">
        <v>647</v>
      </c>
      <c r="H66" s="223" t="s">
        <v>648</v>
      </c>
      <c r="I66" s="223" t="s">
        <v>649</v>
      </c>
      <c r="J66" s="223" t="s">
        <v>650</v>
      </c>
      <c r="K66" s="223" t="s">
        <v>651</v>
      </c>
    </row>
    <row r="67" spans="1:11" hidden="1" x14ac:dyDescent="0.3">
      <c r="A67" s="224" t="str">
        <f t="shared" si="1"/>
        <v/>
      </c>
      <c r="B67" s="216" t="e">
        <v>#VALUE!</v>
      </c>
      <c r="C67" s="216" t="e">
        <v>#VALUE!</v>
      </c>
      <c r="D67" s="216" t="e">
        <v>#VALUE!</v>
      </c>
      <c r="E67" s="216" t="e">
        <v>#VALUE!</v>
      </c>
      <c r="F67" s="216" t="e">
        <v>#VALUE!</v>
      </c>
      <c r="G67" s="216" t="e">
        <v>#VALUE!</v>
      </c>
      <c r="H67" s="216" t="e">
        <v>#VALUE!</v>
      </c>
      <c r="I67" s="216" t="e">
        <v>#VALUE!</v>
      </c>
      <c r="J67" s="216" t="e">
        <v>#VALUE!</v>
      </c>
      <c r="K67" s="216" t="e">
        <v>#VALUE!</v>
      </c>
    </row>
    <row r="68" spans="1:11" hidden="1" x14ac:dyDescent="0.3">
      <c r="A68" s="224" t="str">
        <f t="shared" si="1"/>
        <v/>
      </c>
      <c r="B68" s="216" t="e">
        <v>#VALUE!</v>
      </c>
      <c r="C68" s="216" t="e">
        <v>#VALUE!</v>
      </c>
      <c r="D68" s="216" t="e">
        <v>#VALUE!</v>
      </c>
      <c r="E68" s="216" t="e">
        <v>#VALUE!</v>
      </c>
      <c r="F68" s="216" t="e">
        <v>#VALUE!</v>
      </c>
      <c r="G68" s="216" t="e">
        <v>#VALUE!</v>
      </c>
      <c r="H68" s="216" t="e">
        <v>#VALUE!</v>
      </c>
      <c r="I68" s="216" t="e">
        <v>#VALUE!</v>
      </c>
      <c r="J68" s="216" t="e">
        <v>#VALUE!</v>
      </c>
      <c r="K68" s="216" t="e">
        <v>#VALUE!</v>
      </c>
    </row>
    <row r="69" spans="1:11" hidden="1" x14ac:dyDescent="0.3">
      <c r="A69" s="224" t="str">
        <f t="shared" si="1"/>
        <v/>
      </c>
      <c r="B69" s="216" t="e">
        <v>#VALUE!</v>
      </c>
      <c r="C69" s="216" t="e">
        <v>#VALUE!</v>
      </c>
      <c r="D69" s="216" t="e">
        <v>#VALUE!</v>
      </c>
      <c r="E69" s="216" t="e">
        <v>#VALUE!</v>
      </c>
      <c r="F69" s="216" t="e">
        <v>#VALUE!</v>
      </c>
      <c r="G69" s="216" t="e">
        <v>#VALUE!</v>
      </c>
      <c r="H69" s="216" t="e">
        <v>#VALUE!</v>
      </c>
      <c r="I69" s="216" t="e">
        <v>#VALUE!</v>
      </c>
      <c r="J69" s="216" t="e">
        <v>#VALUE!</v>
      </c>
      <c r="K69" s="216" t="e">
        <v>#VALUE!</v>
      </c>
    </row>
    <row r="70" spans="1:11" hidden="1" x14ac:dyDescent="0.3">
      <c r="A70" s="224" t="str">
        <f t="shared" si="1"/>
        <v/>
      </c>
      <c r="B70" s="216" t="e">
        <v>#VALUE!</v>
      </c>
      <c r="C70" s="216" t="e">
        <v>#VALUE!</v>
      </c>
      <c r="D70" s="216" t="e">
        <v>#VALUE!</v>
      </c>
      <c r="E70" s="216" t="e">
        <v>#VALUE!</v>
      </c>
      <c r="F70" s="216" t="e">
        <v>#VALUE!</v>
      </c>
      <c r="G70" s="216" t="e">
        <v>#VALUE!</v>
      </c>
      <c r="H70" s="216" t="e">
        <v>#VALUE!</v>
      </c>
      <c r="I70" s="216" t="e">
        <v>#VALUE!</v>
      </c>
      <c r="J70" s="216" t="e">
        <v>#VALUE!</v>
      </c>
      <c r="K70" s="216" t="e">
        <v>#VALUE!</v>
      </c>
    </row>
    <row r="71" spans="1:11" hidden="1" x14ac:dyDescent="0.3">
      <c r="A71" s="224" t="str">
        <f t="shared" si="1"/>
        <v/>
      </c>
      <c r="B71" s="216" t="e">
        <v>#VALUE!</v>
      </c>
      <c r="C71" s="216" t="e">
        <v>#VALUE!</v>
      </c>
      <c r="D71" s="216" t="e">
        <v>#VALUE!</v>
      </c>
      <c r="E71" s="216" t="e">
        <v>#VALUE!</v>
      </c>
      <c r="F71" s="216" t="e">
        <v>#VALUE!</v>
      </c>
      <c r="G71" s="216" t="e">
        <v>#VALUE!</v>
      </c>
      <c r="H71" s="216" t="e">
        <v>#VALUE!</v>
      </c>
      <c r="I71" s="216" t="e">
        <v>#VALUE!</v>
      </c>
      <c r="J71" s="216" t="e">
        <v>#VALUE!</v>
      </c>
      <c r="K71" s="216" t="e">
        <v>#VALUE!</v>
      </c>
    </row>
    <row r="72" spans="1:11" hidden="1" x14ac:dyDescent="0.3">
      <c r="A72" s="224" t="str">
        <f t="shared" si="1"/>
        <v/>
      </c>
      <c r="B72" s="216" t="e">
        <v>#VALUE!</v>
      </c>
      <c r="C72" s="216" t="e">
        <v>#VALUE!</v>
      </c>
      <c r="D72" s="216" t="e">
        <v>#VALUE!</v>
      </c>
      <c r="E72" s="216" t="e">
        <v>#VALUE!</v>
      </c>
      <c r="F72" s="216" t="e">
        <v>#VALUE!</v>
      </c>
      <c r="G72" s="216" t="e">
        <v>#VALUE!</v>
      </c>
      <c r="H72" s="216" t="e">
        <v>#VALUE!</v>
      </c>
      <c r="I72" s="216" t="e">
        <v>#VALUE!</v>
      </c>
      <c r="J72" s="216" t="e">
        <v>#VALUE!</v>
      </c>
      <c r="K72" s="216" t="e">
        <v>#VALUE!</v>
      </c>
    </row>
    <row r="73" spans="1:11" hidden="1" x14ac:dyDescent="0.3">
      <c r="A73" s="224" t="str">
        <f t="shared" si="1"/>
        <v/>
      </c>
      <c r="B73" s="216" t="e">
        <v>#VALUE!</v>
      </c>
      <c r="C73" s="216" t="e">
        <v>#VALUE!</v>
      </c>
      <c r="D73" s="216" t="e">
        <v>#VALUE!</v>
      </c>
      <c r="E73" s="216" t="e">
        <v>#VALUE!</v>
      </c>
      <c r="F73" s="216" t="e">
        <v>#VALUE!</v>
      </c>
      <c r="G73" s="216" t="e">
        <v>#VALUE!</v>
      </c>
      <c r="H73" s="216" t="e">
        <v>#VALUE!</v>
      </c>
      <c r="I73" s="216" t="e">
        <v>#VALUE!</v>
      </c>
      <c r="J73" s="216" t="e">
        <v>#VALUE!</v>
      </c>
      <c r="K73" s="216" t="e">
        <v>#VALUE!</v>
      </c>
    </row>
    <row r="74" spans="1:11" ht="15" hidden="1" thickBot="1" x14ac:dyDescent="0.35">
      <c r="A74" s="226" t="str">
        <f t="shared" si="1"/>
        <v/>
      </c>
      <c r="B74" s="223" t="e">
        <v>#VALUE!</v>
      </c>
      <c r="C74" s="223" t="e">
        <v>#VALUE!</v>
      </c>
      <c r="D74" s="223" t="e">
        <v>#VALUE!</v>
      </c>
      <c r="E74" s="223" t="e">
        <v>#VALUE!</v>
      </c>
      <c r="F74" s="223" t="e">
        <v>#VALUE!</v>
      </c>
      <c r="G74" s="223" t="e">
        <v>#VALUE!</v>
      </c>
      <c r="H74" s="223" t="e">
        <v>#VALUE!</v>
      </c>
      <c r="I74" s="223" t="e">
        <v>#VALUE!</v>
      </c>
      <c r="J74" s="223" t="e">
        <v>#VALUE!</v>
      </c>
      <c r="K74" s="223" t="e">
        <v>#VALUE!</v>
      </c>
    </row>
    <row r="75" spans="1:11" hidden="1" x14ac:dyDescent="0.3">
      <c r="A75" s="224" t="str">
        <f t="shared" si="1"/>
        <v/>
      </c>
      <c r="B75" s="219" t="e">
        <v>#VALUE!</v>
      </c>
      <c r="C75" s="219" t="e">
        <v>#VALUE!</v>
      </c>
      <c r="D75" s="219" t="e">
        <v>#VALUE!</v>
      </c>
      <c r="E75" s="219" t="e">
        <v>#VALUE!</v>
      </c>
      <c r="F75" s="219" t="e">
        <v>#VALUE!</v>
      </c>
      <c r="G75" s="219" t="e">
        <v>#VALUE!</v>
      </c>
      <c r="H75" s="219" t="e">
        <v>#VALUE!</v>
      </c>
      <c r="I75" s="219" t="e">
        <v>#VALUE!</v>
      </c>
      <c r="J75" s="219" t="e">
        <v>#VALUE!</v>
      </c>
      <c r="K75" s="219" t="e">
        <v>#VALUE!</v>
      </c>
    </row>
    <row r="76" spans="1:11" hidden="1" x14ac:dyDescent="0.3">
      <c r="A76" s="224" t="str">
        <f t="shared" si="1"/>
        <v/>
      </c>
      <c r="B76" s="219" t="e">
        <v>#VALUE!</v>
      </c>
      <c r="C76" s="219" t="e">
        <v>#VALUE!</v>
      </c>
      <c r="D76" s="219" t="e">
        <v>#VALUE!</v>
      </c>
      <c r="E76" s="219" t="e">
        <v>#VALUE!</v>
      </c>
      <c r="F76" s="219" t="e">
        <v>#VALUE!</v>
      </c>
      <c r="G76" s="219" t="e">
        <v>#VALUE!</v>
      </c>
      <c r="H76" s="219" t="e">
        <v>#VALUE!</v>
      </c>
      <c r="I76" s="219" t="e">
        <v>#VALUE!</v>
      </c>
      <c r="J76" s="219" t="e">
        <v>#VALUE!</v>
      </c>
      <c r="K76" s="219" t="e">
        <v>#VALUE!</v>
      </c>
    </row>
    <row r="77" spans="1:11" hidden="1" x14ac:dyDescent="0.3">
      <c r="A77" s="224" t="str">
        <f t="shared" si="1"/>
        <v/>
      </c>
      <c r="B77" s="219" t="e">
        <v>#VALUE!</v>
      </c>
      <c r="C77" s="219" t="e">
        <v>#VALUE!</v>
      </c>
      <c r="D77" s="219" t="e">
        <v>#VALUE!</v>
      </c>
      <c r="E77" s="219" t="e">
        <v>#VALUE!</v>
      </c>
      <c r="F77" s="219" t="e">
        <v>#VALUE!</v>
      </c>
      <c r="G77" s="219" t="e">
        <v>#VALUE!</v>
      </c>
      <c r="H77" s="219" t="e">
        <v>#VALUE!</v>
      </c>
      <c r="I77" s="219" t="e">
        <v>#VALUE!</v>
      </c>
      <c r="J77" s="219" t="e">
        <v>#VALUE!</v>
      </c>
      <c r="K77" s="219" t="e">
        <v>#VALUE!</v>
      </c>
    </row>
    <row r="78" spans="1:11" hidden="1" x14ac:dyDescent="0.3">
      <c r="A78" s="224" t="str">
        <f t="shared" si="1"/>
        <v/>
      </c>
      <c r="B78" s="219" t="e">
        <v>#VALUE!</v>
      </c>
      <c r="C78" s="219" t="e">
        <v>#VALUE!</v>
      </c>
      <c r="D78" s="219" t="e">
        <v>#VALUE!</v>
      </c>
      <c r="E78" s="219" t="e">
        <v>#VALUE!</v>
      </c>
      <c r="F78" s="219" t="e">
        <v>#VALUE!</v>
      </c>
      <c r="G78" s="219" t="e">
        <v>#VALUE!</v>
      </c>
      <c r="H78" s="219" t="e">
        <v>#VALUE!</v>
      </c>
      <c r="I78" s="219" t="e">
        <v>#VALUE!</v>
      </c>
      <c r="J78" s="219" t="e">
        <v>#VALUE!</v>
      </c>
      <c r="K78" s="219" t="e">
        <v>#VALUE!</v>
      </c>
    </row>
    <row r="79" spans="1:11" hidden="1" x14ac:dyDescent="0.3">
      <c r="A79" s="224" t="str">
        <f t="shared" si="1"/>
        <v/>
      </c>
      <c r="B79" s="219" t="e">
        <v>#VALUE!</v>
      </c>
      <c r="C79" s="219" t="e">
        <v>#VALUE!</v>
      </c>
      <c r="D79" s="219" t="e">
        <v>#VALUE!</v>
      </c>
      <c r="E79" s="219" t="e">
        <v>#VALUE!</v>
      </c>
      <c r="F79" s="219" t="e">
        <v>#VALUE!</v>
      </c>
      <c r="G79" s="219" t="e">
        <v>#VALUE!</v>
      </c>
      <c r="H79" s="219" t="e">
        <v>#VALUE!</v>
      </c>
      <c r="I79" s="219" t="e">
        <v>#VALUE!</v>
      </c>
      <c r="J79" s="219" t="e">
        <v>#VALUE!</v>
      </c>
      <c r="K79" s="219" t="e">
        <v>#VALUE!</v>
      </c>
    </row>
    <row r="80" spans="1:11" ht="15" thickTop="1" x14ac:dyDescent="0.3">
      <c r="A80" s="288"/>
      <c r="B80" s="288"/>
      <c r="C80" s="288"/>
      <c r="D80" s="288"/>
      <c r="E80" s="288"/>
      <c r="F80" s="288"/>
      <c r="G80" s="288"/>
      <c r="H80" s="288"/>
      <c r="I80" s="288"/>
      <c r="J80" s="288"/>
      <c r="K80" s="288"/>
    </row>
    <row r="81" spans="1:11" x14ac:dyDescent="0.3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</row>
  </sheetData>
  <mergeCells count="23"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I15"/>
  <sheetViews>
    <sheetView view="pageBreakPreview" zoomScale="60" zoomScaleNormal="100" workbookViewId="0">
      <selection activeCell="O9" sqref="O9"/>
    </sheetView>
  </sheetViews>
  <sheetFormatPr defaultRowHeight="14.4" x14ac:dyDescent="0.3"/>
  <cols>
    <col min="1" max="1" width="19.77734375" customWidth="1"/>
    <col min="2" max="2" width="24.44140625" customWidth="1"/>
    <col min="3" max="8" width="18.33203125" customWidth="1"/>
    <col min="9" max="255" width="9.109375"/>
    <col min="256" max="264" width="15.6640625" customWidth="1"/>
    <col min="265" max="511" width="9.109375"/>
    <col min="512" max="520" width="15.6640625" customWidth="1"/>
    <col min="521" max="767" width="9.109375"/>
    <col min="768" max="776" width="15.6640625" customWidth="1"/>
    <col min="777" max="1023" width="9.109375"/>
    <col min="1024" max="1032" width="15.6640625" customWidth="1"/>
    <col min="1033" max="1279" width="9.109375"/>
    <col min="1280" max="1288" width="15.6640625" customWidth="1"/>
    <col min="1289" max="1535" width="9.109375"/>
    <col min="1536" max="1544" width="15.6640625" customWidth="1"/>
    <col min="1545" max="1791" width="9.109375"/>
    <col min="1792" max="1800" width="15.6640625" customWidth="1"/>
    <col min="1801" max="2047" width="9.109375"/>
    <col min="2048" max="2056" width="15.6640625" customWidth="1"/>
    <col min="2057" max="2303" width="9.109375"/>
    <col min="2304" max="2312" width="15.6640625" customWidth="1"/>
    <col min="2313" max="2559" width="9.109375"/>
    <col min="2560" max="2568" width="15.6640625" customWidth="1"/>
    <col min="2569" max="2815" width="9.109375"/>
    <col min="2816" max="2824" width="15.6640625" customWidth="1"/>
    <col min="2825" max="3071" width="9.109375"/>
    <col min="3072" max="3080" width="15.6640625" customWidth="1"/>
    <col min="3081" max="3327" width="9.109375"/>
    <col min="3328" max="3336" width="15.6640625" customWidth="1"/>
    <col min="3337" max="3583" width="9.109375"/>
    <col min="3584" max="3592" width="15.6640625" customWidth="1"/>
    <col min="3593" max="3839" width="9.109375"/>
    <col min="3840" max="3848" width="15.6640625" customWidth="1"/>
    <col min="3849" max="4095" width="9.109375"/>
    <col min="4096" max="4104" width="15.6640625" customWidth="1"/>
    <col min="4105" max="4351" width="9.109375"/>
    <col min="4352" max="4360" width="15.6640625" customWidth="1"/>
    <col min="4361" max="4607" width="9.109375"/>
    <col min="4608" max="4616" width="15.6640625" customWidth="1"/>
    <col min="4617" max="4863" width="9.109375"/>
    <col min="4864" max="4872" width="15.6640625" customWidth="1"/>
    <col min="4873" max="5119" width="9.109375"/>
    <col min="5120" max="5128" width="15.6640625" customWidth="1"/>
    <col min="5129" max="5375" width="9.109375"/>
    <col min="5376" max="5384" width="15.6640625" customWidth="1"/>
    <col min="5385" max="5631" width="9.109375"/>
    <col min="5632" max="5640" width="15.6640625" customWidth="1"/>
    <col min="5641" max="5887" width="9.109375"/>
    <col min="5888" max="5896" width="15.6640625" customWidth="1"/>
    <col min="5897" max="6143" width="9.109375"/>
    <col min="6144" max="6152" width="15.6640625" customWidth="1"/>
    <col min="6153" max="6399" width="9.109375"/>
    <col min="6400" max="6408" width="15.6640625" customWidth="1"/>
    <col min="6409" max="6655" width="9.109375"/>
    <col min="6656" max="6664" width="15.6640625" customWidth="1"/>
    <col min="6665" max="6911" width="9.109375"/>
    <col min="6912" max="6920" width="15.6640625" customWidth="1"/>
    <col min="6921" max="7167" width="9.109375"/>
    <col min="7168" max="7176" width="15.6640625" customWidth="1"/>
    <col min="7177" max="7423" width="9.109375"/>
    <col min="7424" max="7432" width="15.6640625" customWidth="1"/>
    <col min="7433" max="7679" width="9.109375"/>
    <col min="7680" max="7688" width="15.6640625" customWidth="1"/>
    <col min="7689" max="7935" width="9.109375"/>
    <col min="7936" max="7944" width="15.6640625" customWidth="1"/>
    <col min="7945" max="8191" width="9.109375"/>
    <col min="8192" max="8200" width="15.6640625" customWidth="1"/>
    <col min="8201" max="8447" width="9.109375"/>
    <col min="8448" max="8456" width="15.6640625" customWidth="1"/>
    <col min="8457" max="8703" width="9.109375"/>
    <col min="8704" max="8712" width="15.6640625" customWidth="1"/>
    <col min="8713" max="8959" width="9.109375"/>
    <col min="8960" max="8968" width="15.6640625" customWidth="1"/>
    <col min="8969" max="9215" width="9.109375"/>
    <col min="9216" max="9224" width="15.6640625" customWidth="1"/>
    <col min="9225" max="9471" width="9.109375"/>
    <col min="9472" max="9480" width="15.6640625" customWidth="1"/>
    <col min="9481" max="9727" width="9.109375"/>
    <col min="9728" max="9736" width="15.6640625" customWidth="1"/>
    <col min="9737" max="9983" width="9.109375"/>
    <col min="9984" max="9992" width="15.6640625" customWidth="1"/>
    <col min="9993" max="10239" width="9.109375"/>
    <col min="10240" max="10248" width="15.6640625" customWidth="1"/>
    <col min="10249" max="10495" width="9.109375"/>
    <col min="10496" max="10504" width="15.6640625" customWidth="1"/>
    <col min="10505" max="10751" width="9.109375"/>
    <col min="10752" max="10760" width="15.6640625" customWidth="1"/>
    <col min="10761" max="11007" width="9.109375"/>
    <col min="11008" max="11016" width="15.6640625" customWidth="1"/>
    <col min="11017" max="11263" width="9.109375"/>
    <col min="11264" max="11272" width="15.6640625" customWidth="1"/>
    <col min="11273" max="11519" width="9.109375"/>
    <col min="11520" max="11528" width="15.6640625" customWidth="1"/>
    <col min="11529" max="11775" width="9.109375"/>
    <col min="11776" max="11784" width="15.6640625" customWidth="1"/>
    <col min="11785" max="12031" width="9.109375"/>
    <col min="12032" max="12040" width="15.6640625" customWidth="1"/>
    <col min="12041" max="12287" width="9.109375"/>
    <col min="12288" max="12296" width="15.6640625" customWidth="1"/>
    <col min="12297" max="12543" width="9.109375"/>
    <col min="12544" max="12552" width="15.6640625" customWidth="1"/>
    <col min="12553" max="12799" width="9.109375"/>
    <col min="12800" max="12808" width="15.6640625" customWidth="1"/>
    <col min="12809" max="13055" width="9.109375"/>
    <col min="13056" max="13064" width="15.6640625" customWidth="1"/>
    <col min="13065" max="13311" width="9.109375"/>
    <col min="13312" max="13320" width="15.6640625" customWidth="1"/>
    <col min="13321" max="13567" width="9.109375"/>
    <col min="13568" max="13576" width="15.6640625" customWidth="1"/>
    <col min="13577" max="13823" width="9.109375"/>
    <col min="13824" max="13832" width="15.6640625" customWidth="1"/>
    <col min="13833" max="14079" width="9.109375"/>
    <col min="14080" max="14088" width="15.6640625" customWidth="1"/>
    <col min="14089" max="14335" width="9.109375"/>
    <col min="14336" max="14344" width="15.6640625" customWidth="1"/>
    <col min="14345" max="14591" width="9.109375"/>
    <col min="14592" max="14600" width="15.6640625" customWidth="1"/>
    <col min="14601" max="14847" width="9.109375"/>
    <col min="14848" max="14856" width="15.6640625" customWidth="1"/>
    <col min="14857" max="15103" width="9.109375"/>
    <col min="15104" max="15112" width="15.6640625" customWidth="1"/>
    <col min="15113" max="15359" width="9.109375"/>
    <col min="15360" max="15368" width="15.6640625" customWidth="1"/>
    <col min="15369" max="15615" width="9.109375"/>
    <col min="15616" max="15624" width="15.6640625" customWidth="1"/>
    <col min="15625" max="15871" width="9.109375"/>
    <col min="15872" max="15880" width="15.6640625" customWidth="1"/>
    <col min="15881" max="16127" width="9.109375"/>
    <col min="16128" max="16136" width="15.6640625" customWidth="1"/>
    <col min="16137" max="16383" width="9.109375"/>
    <col min="16384" max="16384" width="9.109375" customWidth="1"/>
  </cols>
  <sheetData>
    <row r="1" spans="1:9" x14ac:dyDescent="0.3">
      <c r="A1" s="237" t="s">
        <v>252</v>
      </c>
      <c r="B1" s="237"/>
      <c r="C1" s="237"/>
      <c r="D1" s="237"/>
      <c r="E1" s="237"/>
      <c r="F1" s="237"/>
      <c r="G1" s="237"/>
      <c r="H1" s="237"/>
    </row>
    <row r="2" spans="1:9" x14ac:dyDescent="0.3">
      <c r="A2" s="62" t="str">
        <f>year!$H$2</f>
        <v>UT : PUDUCHERRY</v>
      </c>
      <c r="B2" s="62"/>
      <c r="C2" s="62"/>
      <c r="D2" s="62"/>
      <c r="E2" s="62"/>
      <c r="F2" s="62"/>
      <c r="G2" s="238" t="s">
        <v>244</v>
      </c>
      <c r="H2" s="238"/>
      <c r="I2" s="62"/>
    </row>
    <row r="3" spans="1:9" ht="33" customHeight="1" x14ac:dyDescent="0.3">
      <c r="A3" s="298" t="str">
        <f>"TRAINING OF  PRIMARY WORKERS UNDER CES DURING THE YEAR  "&amp; A12 &amp;" AND "&amp; A13&amp;"."</f>
        <v>TRAINING OF  PRIMARY WORKERS UNDER CES DURING THE YEAR  2023-24 AND 2022-23.</v>
      </c>
      <c r="B3" s="298"/>
      <c r="C3" s="298"/>
      <c r="D3" s="298"/>
      <c r="E3" s="298"/>
      <c r="F3" s="298"/>
      <c r="G3" s="298"/>
      <c r="H3" s="298"/>
    </row>
    <row r="4" spans="1:9" ht="33" customHeight="1" x14ac:dyDescent="0.3">
      <c r="A4" s="299" t="s">
        <v>35</v>
      </c>
      <c r="B4" s="299" t="s">
        <v>245</v>
      </c>
      <c r="C4" s="300" t="s">
        <v>246</v>
      </c>
      <c r="D4" s="300"/>
      <c r="E4" s="300"/>
      <c r="F4" s="300" t="s">
        <v>297</v>
      </c>
      <c r="G4" s="300"/>
      <c r="H4" s="300"/>
    </row>
    <row r="5" spans="1:9" ht="33" customHeight="1" x14ac:dyDescent="0.3">
      <c r="A5" s="299"/>
      <c r="B5" s="299"/>
      <c r="C5" s="301" t="s">
        <v>247</v>
      </c>
      <c r="D5" s="300" t="s">
        <v>298</v>
      </c>
      <c r="E5" s="300"/>
      <c r="F5" s="301" t="s">
        <v>248</v>
      </c>
      <c r="G5" s="301" t="s">
        <v>249</v>
      </c>
      <c r="H5" s="301" t="s">
        <v>299</v>
      </c>
    </row>
    <row r="6" spans="1:9" ht="45" customHeight="1" x14ac:dyDescent="0.3">
      <c r="A6" s="299"/>
      <c r="B6" s="299"/>
      <c r="C6" s="301"/>
      <c r="D6" s="236" t="s">
        <v>250</v>
      </c>
      <c r="E6" s="236" t="s">
        <v>251</v>
      </c>
      <c r="F6" s="301"/>
      <c r="G6" s="301"/>
      <c r="H6" s="301"/>
    </row>
    <row r="7" spans="1:9" ht="31.8" customHeight="1" x14ac:dyDescent="0.3">
      <c r="A7" s="65">
        <f>-(1)</f>
        <v>-1</v>
      </c>
      <c r="B7" s="65">
        <v>-2</v>
      </c>
      <c r="C7" s="65">
        <v>-3</v>
      </c>
      <c r="D7" s="65">
        <v>-4</v>
      </c>
      <c r="E7" s="65">
        <v>-6</v>
      </c>
      <c r="F7" s="65">
        <v>-7</v>
      </c>
      <c r="G7" s="65">
        <v>-8</v>
      </c>
      <c r="H7" s="65">
        <v>-9</v>
      </c>
    </row>
    <row r="8" spans="1:9" ht="55.8" customHeight="1" x14ac:dyDescent="0.3">
      <c r="A8" s="351" t="s">
        <v>685</v>
      </c>
      <c r="B8" s="69"/>
      <c r="C8" s="69"/>
      <c r="D8" s="69"/>
      <c r="E8" s="69"/>
      <c r="F8" s="69"/>
      <c r="G8" s="69"/>
      <c r="H8" s="69"/>
    </row>
    <row r="9" spans="1:9" ht="55.8" customHeight="1" x14ac:dyDescent="0.3">
      <c r="A9" s="128" t="s">
        <v>307</v>
      </c>
      <c r="B9" s="231" t="s">
        <v>279</v>
      </c>
      <c r="C9" s="65">
        <v>2</v>
      </c>
      <c r="D9" s="65">
        <v>2</v>
      </c>
      <c r="E9" s="65">
        <v>2</v>
      </c>
      <c r="F9" s="65">
        <v>39</v>
      </c>
      <c r="G9" s="65">
        <v>39</v>
      </c>
      <c r="H9" s="65" t="s">
        <v>686</v>
      </c>
    </row>
    <row r="10" spans="1:9" ht="55.8" customHeight="1" thickBot="1" x14ac:dyDescent="0.35">
      <c r="A10" s="349" t="s">
        <v>289</v>
      </c>
      <c r="B10" s="350" t="s">
        <v>279</v>
      </c>
      <c r="C10" s="129">
        <v>2</v>
      </c>
      <c r="D10" s="129">
        <v>3</v>
      </c>
      <c r="E10" s="129" t="s">
        <v>686</v>
      </c>
      <c r="F10" s="129">
        <v>24</v>
      </c>
      <c r="G10" s="129">
        <v>24</v>
      </c>
      <c r="H10" s="129" t="s">
        <v>686</v>
      </c>
    </row>
    <row r="11" spans="1:9" ht="55.8" hidden="1" customHeight="1" x14ac:dyDescent="0.3">
      <c r="A11" s="128" t="str">
        <f>year!$I$3</f>
        <v>SEASON : RABI II</v>
      </c>
      <c r="B11" s="127"/>
      <c r="C11" s="69"/>
      <c r="D11" s="69"/>
      <c r="E11" s="69"/>
      <c r="F11" s="69"/>
      <c r="G11" s="69"/>
      <c r="H11" s="69"/>
    </row>
    <row r="12" spans="1:9" ht="55.8" hidden="1" customHeight="1" x14ac:dyDescent="0.3">
      <c r="A12" s="68" t="str">
        <f>year!$C$4</f>
        <v>2023-24</v>
      </c>
      <c r="B12" s="230" t="s">
        <v>279</v>
      </c>
      <c r="C12" s="69"/>
      <c r="D12" s="69"/>
      <c r="E12" s="69"/>
      <c r="F12" s="69"/>
      <c r="G12" s="71"/>
      <c r="H12" s="71"/>
    </row>
    <row r="13" spans="1:9" ht="55.8" hidden="1" customHeight="1" thickBot="1" x14ac:dyDescent="0.35">
      <c r="A13" s="84" t="str">
        <f>year!$C$5</f>
        <v>2022-23</v>
      </c>
      <c r="B13" s="232" t="s">
        <v>279</v>
      </c>
      <c r="C13" s="129"/>
      <c r="D13" s="129"/>
      <c r="E13" s="129"/>
      <c r="F13" s="129"/>
      <c r="G13" s="129"/>
      <c r="H13" s="129"/>
    </row>
    <row r="14" spans="1:9" ht="15" thickTop="1" x14ac:dyDescent="0.3">
      <c r="A14" s="297"/>
      <c r="B14" s="297"/>
      <c r="C14" s="297"/>
      <c r="D14" s="126"/>
      <c r="E14" s="130"/>
      <c r="F14" s="130"/>
      <c r="G14" s="91"/>
      <c r="H14" s="91"/>
    </row>
    <row r="15" spans="1:9" x14ac:dyDescent="0.3">
      <c r="A15" s="90"/>
      <c r="B15" s="90"/>
      <c r="C15" s="90"/>
      <c r="D15" s="90"/>
      <c r="E15" s="90"/>
      <c r="F15" s="90"/>
      <c r="G15" s="91"/>
      <c r="H15" s="91"/>
    </row>
  </sheetData>
  <mergeCells count="13">
    <mergeCell ref="A14:C14"/>
    <mergeCell ref="A1:H1"/>
    <mergeCell ref="G2:H2"/>
    <mergeCell ref="A3:H3"/>
    <mergeCell ref="A4:A6"/>
    <mergeCell ref="B4:B6"/>
    <mergeCell ref="C4:E4"/>
    <mergeCell ref="F4:H4"/>
    <mergeCell ref="C5:C6"/>
    <mergeCell ref="D5:E5"/>
    <mergeCell ref="F5:F6"/>
    <mergeCell ref="G5:G6"/>
    <mergeCell ref="H5:H6"/>
  </mergeCells>
  <printOptions horizontalCentered="1"/>
  <pageMargins left="0.7" right="0.7" top="0.75" bottom="0.75" header="0.3" footer="0.3"/>
  <pageSetup paperSize="9" scale="8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J42"/>
  <sheetViews>
    <sheetView tabSelected="1" view="pageBreakPreview" zoomScale="50" zoomScaleNormal="85" zoomScaleSheetLayoutView="50" workbookViewId="0">
      <selection activeCell="A10" sqref="A10:I10"/>
    </sheetView>
  </sheetViews>
  <sheetFormatPr defaultRowHeight="14.4" x14ac:dyDescent="0.3"/>
  <cols>
    <col min="1" max="1" width="24.33203125" customWidth="1"/>
    <col min="2" max="9" width="20.88671875" customWidth="1"/>
    <col min="10" max="256" width="9.109375"/>
    <col min="257" max="260" width="11.6640625" customWidth="1"/>
    <col min="261" max="261" width="18.33203125" bestFit="1" customWidth="1"/>
    <col min="262" max="264" width="11.6640625" customWidth="1"/>
    <col min="265" max="265" width="18.33203125" bestFit="1" customWidth="1"/>
    <col min="266" max="512" width="9.109375"/>
    <col min="513" max="516" width="11.6640625" customWidth="1"/>
    <col min="517" max="517" width="18.33203125" bestFit="1" customWidth="1"/>
    <col min="518" max="520" width="11.6640625" customWidth="1"/>
    <col min="521" max="521" width="18.33203125" bestFit="1" customWidth="1"/>
    <col min="522" max="768" width="9.109375"/>
    <col min="769" max="772" width="11.6640625" customWidth="1"/>
    <col min="773" max="773" width="18.33203125" bestFit="1" customWidth="1"/>
    <col min="774" max="776" width="11.6640625" customWidth="1"/>
    <col min="777" max="777" width="18.33203125" bestFit="1" customWidth="1"/>
    <col min="778" max="1024" width="9.109375"/>
    <col min="1025" max="1028" width="11.6640625" customWidth="1"/>
    <col min="1029" max="1029" width="18.33203125" bestFit="1" customWidth="1"/>
    <col min="1030" max="1032" width="11.6640625" customWidth="1"/>
    <col min="1033" max="1033" width="18.33203125" bestFit="1" customWidth="1"/>
    <col min="1034" max="1280" width="9.109375"/>
    <col min="1281" max="1284" width="11.6640625" customWidth="1"/>
    <col min="1285" max="1285" width="18.33203125" bestFit="1" customWidth="1"/>
    <col min="1286" max="1288" width="11.6640625" customWidth="1"/>
    <col min="1289" max="1289" width="18.33203125" bestFit="1" customWidth="1"/>
    <col min="1290" max="1536" width="9.109375"/>
    <col min="1537" max="1540" width="11.6640625" customWidth="1"/>
    <col min="1541" max="1541" width="18.33203125" bestFit="1" customWidth="1"/>
    <col min="1542" max="1544" width="11.6640625" customWidth="1"/>
    <col min="1545" max="1545" width="18.33203125" bestFit="1" customWidth="1"/>
    <col min="1546" max="1792" width="9.109375"/>
    <col min="1793" max="1796" width="11.6640625" customWidth="1"/>
    <col min="1797" max="1797" width="18.33203125" bestFit="1" customWidth="1"/>
    <col min="1798" max="1800" width="11.6640625" customWidth="1"/>
    <col min="1801" max="1801" width="18.33203125" bestFit="1" customWidth="1"/>
    <col min="1802" max="2048" width="9.109375"/>
    <col min="2049" max="2052" width="11.6640625" customWidth="1"/>
    <col min="2053" max="2053" width="18.33203125" bestFit="1" customWidth="1"/>
    <col min="2054" max="2056" width="11.6640625" customWidth="1"/>
    <col min="2057" max="2057" width="18.33203125" bestFit="1" customWidth="1"/>
    <col min="2058" max="2304" width="9.109375"/>
    <col min="2305" max="2308" width="11.6640625" customWidth="1"/>
    <col min="2309" max="2309" width="18.33203125" bestFit="1" customWidth="1"/>
    <col min="2310" max="2312" width="11.6640625" customWidth="1"/>
    <col min="2313" max="2313" width="18.33203125" bestFit="1" customWidth="1"/>
    <col min="2314" max="2560" width="9.109375"/>
    <col min="2561" max="2564" width="11.6640625" customWidth="1"/>
    <col min="2565" max="2565" width="18.33203125" bestFit="1" customWidth="1"/>
    <col min="2566" max="2568" width="11.6640625" customWidth="1"/>
    <col min="2569" max="2569" width="18.33203125" bestFit="1" customWidth="1"/>
    <col min="2570" max="2816" width="9.109375"/>
    <col min="2817" max="2820" width="11.6640625" customWidth="1"/>
    <col min="2821" max="2821" width="18.33203125" bestFit="1" customWidth="1"/>
    <col min="2822" max="2824" width="11.6640625" customWidth="1"/>
    <col min="2825" max="2825" width="18.33203125" bestFit="1" customWidth="1"/>
    <col min="2826" max="3072" width="9.109375"/>
    <col min="3073" max="3076" width="11.6640625" customWidth="1"/>
    <col min="3077" max="3077" width="18.33203125" bestFit="1" customWidth="1"/>
    <col min="3078" max="3080" width="11.6640625" customWidth="1"/>
    <col min="3081" max="3081" width="18.33203125" bestFit="1" customWidth="1"/>
    <col min="3082" max="3328" width="9.109375"/>
    <col min="3329" max="3332" width="11.6640625" customWidth="1"/>
    <col min="3333" max="3333" width="18.33203125" bestFit="1" customWidth="1"/>
    <col min="3334" max="3336" width="11.6640625" customWidth="1"/>
    <col min="3337" max="3337" width="18.33203125" bestFit="1" customWidth="1"/>
    <col min="3338" max="3584" width="9.109375"/>
    <col min="3585" max="3588" width="11.6640625" customWidth="1"/>
    <col min="3589" max="3589" width="18.33203125" bestFit="1" customWidth="1"/>
    <col min="3590" max="3592" width="11.6640625" customWidth="1"/>
    <col min="3593" max="3593" width="18.33203125" bestFit="1" customWidth="1"/>
    <col min="3594" max="3840" width="9.109375"/>
    <col min="3841" max="3844" width="11.6640625" customWidth="1"/>
    <col min="3845" max="3845" width="18.33203125" bestFit="1" customWidth="1"/>
    <col min="3846" max="3848" width="11.6640625" customWidth="1"/>
    <col min="3849" max="3849" width="18.33203125" bestFit="1" customWidth="1"/>
    <col min="3850" max="4096" width="9.109375"/>
    <col min="4097" max="4100" width="11.6640625" customWidth="1"/>
    <col min="4101" max="4101" width="18.33203125" bestFit="1" customWidth="1"/>
    <col min="4102" max="4104" width="11.6640625" customWidth="1"/>
    <col min="4105" max="4105" width="18.33203125" bestFit="1" customWidth="1"/>
    <col min="4106" max="4352" width="9.109375"/>
    <col min="4353" max="4356" width="11.6640625" customWidth="1"/>
    <col min="4357" max="4357" width="18.33203125" bestFit="1" customWidth="1"/>
    <col min="4358" max="4360" width="11.6640625" customWidth="1"/>
    <col min="4361" max="4361" width="18.33203125" bestFit="1" customWidth="1"/>
    <col min="4362" max="4608" width="9.109375"/>
    <col min="4609" max="4612" width="11.6640625" customWidth="1"/>
    <col min="4613" max="4613" width="18.33203125" bestFit="1" customWidth="1"/>
    <col min="4614" max="4616" width="11.6640625" customWidth="1"/>
    <col min="4617" max="4617" width="18.33203125" bestFit="1" customWidth="1"/>
    <col min="4618" max="4864" width="9.109375"/>
    <col min="4865" max="4868" width="11.6640625" customWidth="1"/>
    <col min="4869" max="4869" width="18.33203125" bestFit="1" customWidth="1"/>
    <col min="4870" max="4872" width="11.6640625" customWidth="1"/>
    <col min="4873" max="4873" width="18.33203125" bestFit="1" customWidth="1"/>
    <col min="4874" max="5120" width="9.109375"/>
    <col min="5121" max="5124" width="11.6640625" customWidth="1"/>
    <col min="5125" max="5125" width="18.33203125" bestFit="1" customWidth="1"/>
    <col min="5126" max="5128" width="11.6640625" customWidth="1"/>
    <col min="5129" max="5129" width="18.33203125" bestFit="1" customWidth="1"/>
    <col min="5130" max="5376" width="9.109375"/>
    <col min="5377" max="5380" width="11.6640625" customWidth="1"/>
    <col min="5381" max="5381" width="18.33203125" bestFit="1" customWidth="1"/>
    <col min="5382" max="5384" width="11.6640625" customWidth="1"/>
    <col min="5385" max="5385" width="18.33203125" bestFit="1" customWidth="1"/>
    <col min="5386" max="5632" width="9.109375"/>
    <col min="5633" max="5636" width="11.6640625" customWidth="1"/>
    <col min="5637" max="5637" width="18.33203125" bestFit="1" customWidth="1"/>
    <col min="5638" max="5640" width="11.6640625" customWidth="1"/>
    <col min="5641" max="5641" width="18.33203125" bestFit="1" customWidth="1"/>
    <col min="5642" max="5888" width="9.109375"/>
    <col min="5889" max="5892" width="11.6640625" customWidth="1"/>
    <col min="5893" max="5893" width="18.33203125" bestFit="1" customWidth="1"/>
    <col min="5894" max="5896" width="11.6640625" customWidth="1"/>
    <col min="5897" max="5897" width="18.33203125" bestFit="1" customWidth="1"/>
    <col min="5898" max="6144" width="9.109375"/>
    <col min="6145" max="6148" width="11.6640625" customWidth="1"/>
    <col min="6149" max="6149" width="18.33203125" bestFit="1" customWidth="1"/>
    <col min="6150" max="6152" width="11.6640625" customWidth="1"/>
    <col min="6153" max="6153" width="18.33203125" bestFit="1" customWidth="1"/>
    <col min="6154" max="6400" width="9.109375"/>
    <col min="6401" max="6404" width="11.6640625" customWidth="1"/>
    <col min="6405" max="6405" width="18.33203125" bestFit="1" customWidth="1"/>
    <col min="6406" max="6408" width="11.6640625" customWidth="1"/>
    <col min="6409" max="6409" width="18.33203125" bestFit="1" customWidth="1"/>
    <col min="6410" max="6656" width="9.109375"/>
    <col min="6657" max="6660" width="11.6640625" customWidth="1"/>
    <col min="6661" max="6661" width="18.33203125" bestFit="1" customWidth="1"/>
    <col min="6662" max="6664" width="11.6640625" customWidth="1"/>
    <col min="6665" max="6665" width="18.33203125" bestFit="1" customWidth="1"/>
    <col min="6666" max="6912" width="9.109375"/>
    <col min="6913" max="6916" width="11.6640625" customWidth="1"/>
    <col min="6917" max="6917" width="18.33203125" bestFit="1" customWidth="1"/>
    <col min="6918" max="6920" width="11.6640625" customWidth="1"/>
    <col min="6921" max="6921" width="18.33203125" bestFit="1" customWidth="1"/>
    <col min="6922" max="7168" width="9.109375"/>
    <col min="7169" max="7172" width="11.6640625" customWidth="1"/>
    <col min="7173" max="7173" width="18.33203125" bestFit="1" customWidth="1"/>
    <col min="7174" max="7176" width="11.6640625" customWidth="1"/>
    <col min="7177" max="7177" width="18.33203125" bestFit="1" customWidth="1"/>
    <col min="7178" max="7424" width="9.109375"/>
    <col min="7425" max="7428" width="11.6640625" customWidth="1"/>
    <col min="7429" max="7429" width="18.33203125" bestFit="1" customWidth="1"/>
    <col min="7430" max="7432" width="11.6640625" customWidth="1"/>
    <col min="7433" max="7433" width="18.33203125" bestFit="1" customWidth="1"/>
    <col min="7434" max="7680" width="9.109375"/>
    <col min="7681" max="7684" width="11.6640625" customWidth="1"/>
    <col min="7685" max="7685" width="18.33203125" bestFit="1" customWidth="1"/>
    <col min="7686" max="7688" width="11.6640625" customWidth="1"/>
    <col min="7689" max="7689" width="18.33203125" bestFit="1" customWidth="1"/>
    <col min="7690" max="7936" width="9.109375"/>
    <col min="7937" max="7940" width="11.6640625" customWidth="1"/>
    <col min="7941" max="7941" width="18.33203125" bestFit="1" customWidth="1"/>
    <col min="7942" max="7944" width="11.6640625" customWidth="1"/>
    <col min="7945" max="7945" width="18.33203125" bestFit="1" customWidth="1"/>
    <col min="7946" max="8192" width="9.109375"/>
    <col min="8193" max="8196" width="11.6640625" customWidth="1"/>
    <col min="8197" max="8197" width="18.33203125" bestFit="1" customWidth="1"/>
    <col min="8198" max="8200" width="11.6640625" customWidth="1"/>
    <col min="8201" max="8201" width="18.33203125" bestFit="1" customWidth="1"/>
    <col min="8202" max="8448" width="9.109375"/>
    <col min="8449" max="8452" width="11.6640625" customWidth="1"/>
    <col min="8453" max="8453" width="18.33203125" bestFit="1" customWidth="1"/>
    <col min="8454" max="8456" width="11.6640625" customWidth="1"/>
    <col min="8457" max="8457" width="18.33203125" bestFit="1" customWidth="1"/>
    <col min="8458" max="8704" width="9.109375"/>
    <col min="8705" max="8708" width="11.6640625" customWidth="1"/>
    <col min="8709" max="8709" width="18.33203125" bestFit="1" customWidth="1"/>
    <col min="8710" max="8712" width="11.6640625" customWidth="1"/>
    <col min="8713" max="8713" width="18.33203125" bestFit="1" customWidth="1"/>
    <col min="8714" max="8960" width="9.109375"/>
    <col min="8961" max="8964" width="11.6640625" customWidth="1"/>
    <col min="8965" max="8965" width="18.33203125" bestFit="1" customWidth="1"/>
    <col min="8966" max="8968" width="11.6640625" customWidth="1"/>
    <col min="8969" max="8969" width="18.33203125" bestFit="1" customWidth="1"/>
    <col min="8970" max="9216" width="9.109375"/>
    <col min="9217" max="9220" width="11.6640625" customWidth="1"/>
    <col min="9221" max="9221" width="18.33203125" bestFit="1" customWidth="1"/>
    <col min="9222" max="9224" width="11.6640625" customWidth="1"/>
    <col min="9225" max="9225" width="18.33203125" bestFit="1" customWidth="1"/>
    <col min="9226" max="9472" width="9.109375"/>
    <col min="9473" max="9476" width="11.6640625" customWidth="1"/>
    <col min="9477" max="9477" width="18.33203125" bestFit="1" customWidth="1"/>
    <col min="9478" max="9480" width="11.6640625" customWidth="1"/>
    <col min="9481" max="9481" width="18.33203125" bestFit="1" customWidth="1"/>
    <col min="9482" max="9728" width="9.109375"/>
    <col min="9729" max="9732" width="11.6640625" customWidth="1"/>
    <col min="9733" max="9733" width="18.33203125" bestFit="1" customWidth="1"/>
    <col min="9734" max="9736" width="11.6640625" customWidth="1"/>
    <col min="9737" max="9737" width="18.33203125" bestFit="1" customWidth="1"/>
    <col min="9738" max="9984" width="9.109375"/>
    <col min="9985" max="9988" width="11.6640625" customWidth="1"/>
    <col min="9989" max="9989" width="18.33203125" bestFit="1" customWidth="1"/>
    <col min="9990" max="9992" width="11.6640625" customWidth="1"/>
    <col min="9993" max="9993" width="18.33203125" bestFit="1" customWidth="1"/>
    <col min="9994" max="10240" width="9.109375"/>
    <col min="10241" max="10244" width="11.6640625" customWidth="1"/>
    <col min="10245" max="10245" width="18.33203125" bestFit="1" customWidth="1"/>
    <col min="10246" max="10248" width="11.6640625" customWidth="1"/>
    <col min="10249" max="10249" width="18.33203125" bestFit="1" customWidth="1"/>
    <col min="10250" max="10496" width="9.109375"/>
    <col min="10497" max="10500" width="11.6640625" customWidth="1"/>
    <col min="10501" max="10501" width="18.33203125" bestFit="1" customWidth="1"/>
    <col min="10502" max="10504" width="11.6640625" customWidth="1"/>
    <col min="10505" max="10505" width="18.33203125" bestFit="1" customWidth="1"/>
    <col min="10506" max="10752" width="9.109375"/>
    <col min="10753" max="10756" width="11.6640625" customWidth="1"/>
    <col min="10757" max="10757" width="18.33203125" bestFit="1" customWidth="1"/>
    <col min="10758" max="10760" width="11.6640625" customWidth="1"/>
    <col min="10761" max="10761" width="18.33203125" bestFit="1" customWidth="1"/>
    <col min="10762" max="11008" width="9.109375"/>
    <col min="11009" max="11012" width="11.6640625" customWidth="1"/>
    <col min="11013" max="11013" width="18.33203125" bestFit="1" customWidth="1"/>
    <col min="11014" max="11016" width="11.6640625" customWidth="1"/>
    <col min="11017" max="11017" width="18.33203125" bestFit="1" customWidth="1"/>
    <col min="11018" max="11264" width="9.109375"/>
    <col min="11265" max="11268" width="11.6640625" customWidth="1"/>
    <col min="11269" max="11269" width="18.33203125" bestFit="1" customWidth="1"/>
    <col min="11270" max="11272" width="11.6640625" customWidth="1"/>
    <col min="11273" max="11273" width="18.33203125" bestFit="1" customWidth="1"/>
    <col min="11274" max="11520" width="9.109375"/>
    <col min="11521" max="11524" width="11.6640625" customWidth="1"/>
    <col min="11525" max="11525" width="18.33203125" bestFit="1" customWidth="1"/>
    <col min="11526" max="11528" width="11.6640625" customWidth="1"/>
    <col min="11529" max="11529" width="18.33203125" bestFit="1" customWidth="1"/>
    <col min="11530" max="11776" width="9.109375"/>
    <col min="11777" max="11780" width="11.6640625" customWidth="1"/>
    <col min="11781" max="11781" width="18.33203125" bestFit="1" customWidth="1"/>
    <col min="11782" max="11784" width="11.6640625" customWidth="1"/>
    <col min="11785" max="11785" width="18.33203125" bestFit="1" customWidth="1"/>
    <col min="11786" max="12032" width="9.109375"/>
    <col min="12033" max="12036" width="11.6640625" customWidth="1"/>
    <col min="12037" max="12037" width="18.33203125" bestFit="1" customWidth="1"/>
    <col min="12038" max="12040" width="11.6640625" customWidth="1"/>
    <col min="12041" max="12041" width="18.33203125" bestFit="1" customWidth="1"/>
    <col min="12042" max="12288" width="9.109375"/>
    <col min="12289" max="12292" width="11.6640625" customWidth="1"/>
    <col min="12293" max="12293" width="18.33203125" bestFit="1" customWidth="1"/>
    <col min="12294" max="12296" width="11.6640625" customWidth="1"/>
    <col min="12297" max="12297" width="18.33203125" bestFit="1" customWidth="1"/>
    <col min="12298" max="12544" width="9.109375"/>
    <col min="12545" max="12548" width="11.6640625" customWidth="1"/>
    <col min="12549" max="12549" width="18.33203125" bestFit="1" customWidth="1"/>
    <col min="12550" max="12552" width="11.6640625" customWidth="1"/>
    <col min="12553" max="12553" width="18.33203125" bestFit="1" customWidth="1"/>
    <col min="12554" max="12800" width="9.109375"/>
    <col min="12801" max="12804" width="11.6640625" customWidth="1"/>
    <col min="12805" max="12805" width="18.33203125" bestFit="1" customWidth="1"/>
    <col min="12806" max="12808" width="11.6640625" customWidth="1"/>
    <col min="12809" max="12809" width="18.33203125" bestFit="1" customWidth="1"/>
    <col min="12810" max="13056" width="9.109375"/>
    <col min="13057" max="13060" width="11.6640625" customWidth="1"/>
    <col min="13061" max="13061" width="18.33203125" bestFit="1" customWidth="1"/>
    <col min="13062" max="13064" width="11.6640625" customWidth="1"/>
    <col min="13065" max="13065" width="18.33203125" bestFit="1" customWidth="1"/>
    <col min="13066" max="13312" width="9.109375"/>
    <col min="13313" max="13316" width="11.6640625" customWidth="1"/>
    <col min="13317" max="13317" width="18.33203125" bestFit="1" customWidth="1"/>
    <col min="13318" max="13320" width="11.6640625" customWidth="1"/>
    <col min="13321" max="13321" width="18.33203125" bestFit="1" customWidth="1"/>
    <col min="13322" max="13568" width="9.109375"/>
    <col min="13569" max="13572" width="11.6640625" customWidth="1"/>
    <col min="13573" max="13573" width="18.33203125" bestFit="1" customWidth="1"/>
    <col min="13574" max="13576" width="11.6640625" customWidth="1"/>
    <col min="13577" max="13577" width="18.33203125" bestFit="1" customWidth="1"/>
    <col min="13578" max="13824" width="9.109375"/>
    <col min="13825" max="13828" width="11.6640625" customWidth="1"/>
    <col min="13829" max="13829" width="18.33203125" bestFit="1" customWidth="1"/>
    <col min="13830" max="13832" width="11.6640625" customWidth="1"/>
    <col min="13833" max="13833" width="18.33203125" bestFit="1" customWidth="1"/>
    <col min="13834" max="14080" width="9.109375"/>
    <col min="14081" max="14084" width="11.6640625" customWidth="1"/>
    <col min="14085" max="14085" width="18.33203125" bestFit="1" customWidth="1"/>
    <col min="14086" max="14088" width="11.6640625" customWidth="1"/>
    <col min="14089" max="14089" width="18.33203125" bestFit="1" customWidth="1"/>
    <col min="14090" max="14336" width="9.109375"/>
    <col min="14337" max="14340" width="11.6640625" customWidth="1"/>
    <col min="14341" max="14341" width="18.33203125" bestFit="1" customWidth="1"/>
    <col min="14342" max="14344" width="11.6640625" customWidth="1"/>
    <col min="14345" max="14345" width="18.33203125" bestFit="1" customWidth="1"/>
    <col min="14346" max="14592" width="9.109375"/>
    <col min="14593" max="14596" width="11.6640625" customWidth="1"/>
    <col min="14597" max="14597" width="18.33203125" bestFit="1" customWidth="1"/>
    <col min="14598" max="14600" width="11.6640625" customWidth="1"/>
    <col min="14601" max="14601" width="18.33203125" bestFit="1" customWidth="1"/>
    <col min="14602" max="14848" width="9.109375"/>
    <col min="14849" max="14852" width="11.6640625" customWidth="1"/>
    <col min="14853" max="14853" width="18.33203125" bestFit="1" customWidth="1"/>
    <col min="14854" max="14856" width="11.6640625" customWidth="1"/>
    <col min="14857" max="14857" width="18.33203125" bestFit="1" customWidth="1"/>
    <col min="14858" max="15104" width="9.109375"/>
    <col min="15105" max="15108" width="11.6640625" customWidth="1"/>
    <col min="15109" max="15109" width="18.33203125" bestFit="1" customWidth="1"/>
    <col min="15110" max="15112" width="11.6640625" customWidth="1"/>
    <col min="15113" max="15113" width="18.33203125" bestFit="1" customWidth="1"/>
    <col min="15114" max="15360" width="9.109375"/>
    <col min="15361" max="15364" width="11.6640625" customWidth="1"/>
    <col min="15365" max="15365" width="18.33203125" bestFit="1" customWidth="1"/>
    <col min="15366" max="15368" width="11.6640625" customWidth="1"/>
    <col min="15369" max="15369" width="18.33203125" bestFit="1" customWidth="1"/>
    <col min="15370" max="15616" width="9.109375"/>
    <col min="15617" max="15620" width="11.6640625" customWidth="1"/>
    <col min="15621" max="15621" width="18.33203125" bestFit="1" customWidth="1"/>
    <col min="15622" max="15624" width="11.6640625" customWidth="1"/>
    <col min="15625" max="15625" width="18.33203125" bestFit="1" customWidth="1"/>
    <col min="15626" max="15872" width="9.109375"/>
    <col min="15873" max="15876" width="11.6640625" customWidth="1"/>
    <col min="15877" max="15877" width="18.33203125" bestFit="1" customWidth="1"/>
    <col min="15878" max="15880" width="11.6640625" customWidth="1"/>
    <col min="15881" max="15881" width="18.33203125" bestFit="1" customWidth="1"/>
    <col min="15882" max="16128" width="9.109375"/>
    <col min="16129" max="16132" width="11.6640625" customWidth="1"/>
    <col min="16133" max="16133" width="18.33203125" bestFit="1" customWidth="1"/>
    <col min="16134" max="16136" width="11.6640625" customWidth="1"/>
    <col min="16137" max="16137" width="18.33203125" bestFit="1" customWidth="1"/>
    <col min="16138" max="16384" width="9.109375"/>
  </cols>
  <sheetData>
    <row r="1" spans="1:10" x14ac:dyDescent="0.3">
      <c r="A1" s="237" t="s">
        <v>284</v>
      </c>
      <c r="B1" s="237"/>
      <c r="C1" s="237"/>
      <c r="D1" s="237"/>
      <c r="E1" s="237"/>
      <c r="F1" s="237"/>
      <c r="G1" s="237"/>
      <c r="H1" s="237"/>
      <c r="I1" s="237"/>
    </row>
    <row r="2" spans="1:10" x14ac:dyDescent="0.3">
      <c r="A2" s="62" t="str">
        <f>year!$H$2</f>
        <v>UT : PUDUCHERRY</v>
      </c>
      <c r="B2" s="62"/>
      <c r="C2" s="62"/>
      <c r="D2" s="62"/>
      <c r="E2" s="62"/>
      <c r="F2" s="62"/>
      <c r="G2" s="62"/>
      <c r="H2" s="238" t="s">
        <v>237</v>
      </c>
      <c r="I2" s="238"/>
      <c r="J2" s="62"/>
    </row>
    <row r="3" spans="1:10" ht="39" customHeight="1" x14ac:dyDescent="0.3">
      <c r="A3" s="298" t="str">
        <f>"CROPWISE RESPONSE AND LEVEL OF PRECISION OF ESTIMATES UNDER CES DURING  "&amp; B4 &amp;" AND "&amp; F4&amp;"."</f>
        <v>CROPWISE RESPONSE AND LEVEL OF PRECISION OF ESTIMATES UNDER CES DURING  2023-24 AND 2022-23.</v>
      </c>
      <c r="B3" s="298"/>
      <c r="C3" s="298"/>
      <c r="D3" s="298"/>
      <c r="E3" s="298"/>
      <c r="F3" s="298"/>
      <c r="G3" s="298"/>
      <c r="H3" s="298"/>
      <c r="I3" s="298"/>
    </row>
    <row r="4" spans="1:10" ht="39" customHeight="1" x14ac:dyDescent="0.3">
      <c r="A4" s="305" t="s">
        <v>226</v>
      </c>
      <c r="B4" s="300" t="str">
        <f>year!$C$4</f>
        <v>2023-24</v>
      </c>
      <c r="C4" s="300" t="str">
        <f>year!$C$4</f>
        <v>2023-24</v>
      </c>
      <c r="D4" s="300" t="str">
        <f>year!$C$4</f>
        <v>2023-24</v>
      </c>
      <c r="E4" s="300" t="str">
        <f>year!$C$4</f>
        <v>2023-24</v>
      </c>
      <c r="F4" s="307" t="str">
        <f>year!$C$5</f>
        <v>2022-23</v>
      </c>
      <c r="G4" s="308" t="str">
        <f>year!$C$5</f>
        <v>2022-23</v>
      </c>
      <c r="H4" s="308" t="str">
        <f>year!$C$5</f>
        <v>2022-23</v>
      </c>
      <c r="I4" s="308" t="str">
        <f>year!$C$5</f>
        <v>2022-23</v>
      </c>
    </row>
    <row r="5" spans="1:10" ht="39" customHeight="1" x14ac:dyDescent="0.3">
      <c r="A5" s="305"/>
      <c r="B5" s="300" t="s">
        <v>238</v>
      </c>
      <c r="C5" s="300"/>
      <c r="D5" s="300"/>
      <c r="E5" s="301" t="s">
        <v>239</v>
      </c>
      <c r="F5" s="304" t="s">
        <v>238</v>
      </c>
      <c r="G5" s="300"/>
      <c r="H5" s="300"/>
      <c r="I5" s="301" t="s">
        <v>239</v>
      </c>
    </row>
    <row r="6" spans="1:10" ht="39" customHeight="1" x14ac:dyDescent="0.3">
      <c r="A6" s="305"/>
      <c r="B6" s="300" t="s">
        <v>240</v>
      </c>
      <c r="C6" s="300"/>
      <c r="D6" s="302" t="s">
        <v>241</v>
      </c>
      <c r="E6" s="301"/>
      <c r="F6" s="304" t="s">
        <v>240</v>
      </c>
      <c r="G6" s="300"/>
      <c r="H6" s="302" t="s">
        <v>241</v>
      </c>
      <c r="I6" s="301"/>
    </row>
    <row r="7" spans="1:10" ht="39" customHeight="1" x14ac:dyDescent="0.3">
      <c r="A7" s="306"/>
      <c r="B7" s="63" t="s">
        <v>242</v>
      </c>
      <c r="C7" s="63" t="s">
        <v>243</v>
      </c>
      <c r="D7" s="303"/>
      <c r="E7" s="309"/>
      <c r="F7" s="64" t="s">
        <v>242</v>
      </c>
      <c r="G7" s="63" t="s">
        <v>243</v>
      </c>
      <c r="H7" s="303"/>
      <c r="I7" s="309"/>
    </row>
    <row r="8" spans="1:10" ht="39" customHeight="1" x14ac:dyDescent="0.3">
      <c r="A8" s="65">
        <f>-(1)</f>
        <v>-1</v>
      </c>
      <c r="B8" s="65">
        <v>-2</v>
      </c>
      <c r="C8" s="65">
        <v>-3</v>
      </c>
      <c r="D8" s="65">
        <v>-4</v>
      </c>
      <c r="E8" s="65">
        <v>-5</v>
      </c>
      <c r="F8" s="66">
        <v>-6</v>
      </c>
      <c r="G8" s="65">
        <v>-7</v>
      </c>
      <c r="H8" s="65">
        <v>-8</v>
      </c>
      <c r="I8" s="65">
        <v>-9</v>
      </c>
    </row>
    <row r="9" spans="1:10" ht="80.400000000000006" customHeight="1" x14ac:dyDescent="0.3">
      <c r="A9" s="67" t="str">
        <f>year!$H$3</f>
        <v>SEASON : RABI I</v>
      </c>
      <c r="B9" s="68"/>
      <c r="C9" s="69"/>
      <c r="D9" s="69"/>
      <c r="E9" s="69"/>
      <c r="F9" s="70"/>
      <c r="G9" s="69"/>
      <c r="H9" s="68"/>
      <c r="I9" s="68"/>
    </row>
    <row r="10" spans="1:10" ht="80.400000000000006" customHeight="1" x14ac:dyDescent="0.3">
      <c r="A10" s="235" t="str">
        <f>year!$C$9</f>
        <v>PADDY</v>
      </c>
      <c r="B10" s="233">
        <v>138</v>
      </c>
      <c r="C10" s="234">
        <v>138</v>
      </c>
      <c r="D10" s="234">
        <v>100</v>
      </c>
      <c r="E10" s="234" t="s">
        <v>694</v>
      </c>
      <c r="F10" s="75">
        <v>140</v>
      </c>
      <c r="G10" s="234">
        <v>140</v>
      </c>
      <c r="H10" s="234">
        <v>100</v>
      </c>
      <c r="I10" s="234" t="s">
        <v>687</v>
      </c>
    </row>
    <row r="11" spans="1:10" hidden="1" x14ac:dyDescent="0.3">
      <c r="A11" s="68"/>
      <c r="B11" s="72"/>
      <c r="C11" s="72"/>
      <c r="D11" s="72"/>
      <c r="E11" s="72"/>
      <c r="F11" s="73"/>
      <c r="G11" s="72"/>
      <c r="H11" s="72"/>
      <c r="I11" s="72"/>
    </row>
    <row r="12" spans="1:10" hidden="1" x14ac:dyDescent="0.3">
      <c r="A12" s="68"/>
      <c r="B12" s="71"/>
      <c r="C12" s="72"/>
      <c r="D12" s="72"/>
      <c r="E12" s="72"/>
      <c r="F12" s="73"/>
      <c r="G12" s="72"/>
      <c r="H12" s="72"/>
      <c r="I12" s="72"/>
    </row>
    <row r="13" spans="1:10" hidden="1" x14ac:dyDescent="0.3">
      <c r="A13" s="68"/>
      <c r="B13" s="71"/>
      <c r="C13" s="72"/>
      <c r="D13" s="72"/>
      <c r="E13" s="72"/>
      <c r="F13" s="73"/>
      <c r="G13" s="72"/>
      <c r="H13" s="72"/>
      <c r="I13" s="72"/>
    </row>
    <row r="14" spans="1:10" hidden="1" x14ac:dyDescent="0.3">
      <c r="A14" s="68"/>
      <c r="B14" s="71"/>
      <c r="C14" s="72"/>
      <c r="D14" s="72"/>
      <c r="E14" s="72"/>
      <c r="F14" s="73"/>
      <c r="G14" s="72"/>
      <c r="H14" s="72"/>
      <c r="I14" s="72"/>
    </row>
    <row r="15" spans="1:10" hidden="1" x14ac:dyDescent="0.3">
      <c r="A15" s="68"/>
      <c r="B15" s="72"/>
      <c r="C15" s="72"/>
      <c r="D15" s="72"/>
      <c r="E15" s="72"/>
      <c r="F15" s="73"/>
      <c r="G15" s="72"/>
      <c r="H15" s="72"/>
      <c r="I15" s="72"/>
    </row>
    <row r="16" spans="1:10" hidden="1" x14ac:dyDescent="0.3">
      <c r="A16" s="68"/>
      <c r="B16" s="71"/>
      <c r="C16" s="72"/>
      <c r="D16" s="72"/>
      <c r="E16" s="72"/>
      <c r="F16" s="73"/>
      <c r="G16" s="72"/>
      <c r="H16" s="72"/>
      <c r="I16" s="72"/>
    </row>
    <row r="17" spans="1:9" hidden="1" x14ac:dyDescent="0.3">
      <c r="A17" s="68"/>
      <c r="B17" s="71"/>
      <c r="C17" s="72"/>
      <c r="D17" s="72"/>
      <c r="E17" s="72"/>
      <c r="F17" s="73"/>
      <c r="G17" s="72"/>
      <c r="H17" s="72"/>
      <c r="I17" s="72"/>
    </row>
    <row r="18" spans="1:9" hidden="1" x14ac:dyDescent="0.3">
      <c r="A18" s="68"/>
      <c r="B18" s="71"/>
      <c r="C18" s="72"/>
      <c r="D18" s="72"/>
      <c r="E18" s="72"/>
      <c r="F18" s="73"/>
      <c r="G18" s="72"/>
      <c r="H18" s="72"/>
      <c r="I18" s="72"/>
    </row>
    <row r="19" spans="1:9" hidden="1" x14ac:dyDescent="0.3">
      <c r="A19" s="67"/>
      <c r="B19" s="74"/>
      <c r="C19" s="74"/>
      <c r="D19" s="74"/>
      <c r="E19" s="74"/>
      <c r="F19" s="75"/>
      <c r="G19" s="74"/>
      <c r="H19" s="74"/>
      <c r="I19" s="74"/>
    </row>
    <row r="20" spans="1:9" hidden="1" x14ac:dyDescent="0.3">
      <c r="A20" s="68"/>
      <c r="B20" s="68"/>
      <c r="C20" s="76"/>
      <c r="D20" s="76"/>
      <c r="E20" s="76"/>
      <c r="F20" s="77"/>
      <c r="G20" s="76"/>
      <c r="H20" s="76"/>
      <c r="I20" s="76"/>
    </row>
    <row r="21" spans="1:9" hidden="1" x14ac:dyDescent="0.3">
      <c r="A21" s="68"/>
      <c r="B21" s="68"/>
      <c r="C21" s="78"/>
      <c r="D21" s="78"/>
      <c r="E21" s="78"/>
      <c r="F21" s="79"/>
      <c r="G21" s="78"/>
      <c r="H21" s="78"/>
      <c r="I21" s="78"/>
    </row>
    <row r="22" spans="1:9" hidden="1" x14ac:dyDescent="0.3">
      <c r="A22" s="68"/>
      <c r="B22" s="68"/>
      <c r="C22" s="76"/>
      <c r="D22" s="76"/>
      <c r="E22" s="76"/>
      <c r="F22" s="77"/>
      <c r="G22" s="76"/>
      <c r="H22" s="76"/>
      <c r="I22" s="76"/>
    </row>
    <row r="23" spans="1:9" hidden="1" x14ac:dyDescent="0.3">
      <c r="A23" s="68"/>
      <c r="B23" s="78"/>
      <c r="C23" s="76"/>
      <c r="D23" s="76"/>
      <c r="E23" s="76"/>
      <c r="F23" s="77"/>
      <c r="G23" s="76"/>
      <c r="H23" s="76"/>
      <c r="I23" s="76"/>
    </row>
    <row r="24" spans="1:9" hidden="1" x14ac:dyDescent="0.3">
      <c r="A24" s="67"/>
      <c r="B24" s="67"/>
      <c r="C24" s="80"/>
      <c r="D24" s="80"/>
      <c r="E24" s="80"/>
      <c r="F24" s="81"/>
      <c r="G24" s="80"/>
      <c r="H24" s="80"/>
      <c r="I24" s="80"/>
    </row>
    <row r="25" spans="1:9" ht="80.400000000000006" customHeight="1" x14ac:dyDescent="0.3">
      <c r="A25" s="67" t="str">
        <f>year!$I$3</f>
        <v>SEASON : RABI II</v>
      </c>
      <c r="B25" s="68"/>
      <c r="C25" s="82"/>
      <c r="D25" s="82"/>
      <c r="E25" s="82"/>
      <c r="F25" s="83"/>
      <c r="G25" s="82"/>
      <c r="H25" s="82"/>
      <c r="I25" s="82"/>
    </row>
    <row r="26" spans="1:9" ht="80.400000000000006" customHeight="1" thickBot="1" x14ac:dyDescent="0.35">
      <c r="A26" s="84" t="str">
        <f>year!E9</f>
        <v>PADDY</v>
      </c>
      <c r="B26" s="85">
        <v>70</v>
      </c>
      <c r="C26" s="86">
        <v>70</v>
      </c>
      <c r="D26" s="86">
        <v>100</v>
      </c>
      <c r="E26" s="86" t="s">
        <v>695</v>
      </c>
      <c r="F26" s="87">
        <v>70</v>
      </c>
      <c r="G26" s="86">
        <v>70</v>
      </c>
      <c r="H26" s="86">
        <v>100</v>
      </c>
      <c r="I26" s="86" t="s">
        <v>688</v>
      </c>
    </row>
    <row r="27" spans="1:9" hidden="1" x14ac:dyDescent="0.3">
      <c r="A27" s="68"/>
      <c r="B27" s="72"/>
      <c r="C27" s="72"/>
      <c r="D27" s="72"/>
      <c r="E27" s="72"/>
      <c r="F27" s="73"/>
      <c r="G27" s="72"/>
      <c r="H27" s="72"/>
      <c r="I27" s="72"/>
    </row>
    <row r="28" spans="1:9" hidden="1" x14ac:dyDescent="0.3">
      <c r="A28" s="68"/>
      <c r="B28" s="71"/>
      <c r="C28" s="72"/>
      <c r="D28" s="72"/>
      <c r="E28" s="72"/>
      <c r="F28" s="73"/>
      <c r="G28" s="72"/>
      <c r="H28" s="72"/>
      <c r="I28" s="72"/>
    </row>
    <row r="29" spans="1:9" hidden="1" x14ac:dyDescent="0.3">
      <c r="A29" s="68"/>
      <c r="B29" s="71"/>
      <c r="C29" s="72"/>
      <c r="D29" s="72"/>
      <c r="E29" s="72"/>
      <c r="F29" s="73"/>
      <c r="G29" s="72"/>
      <c r="H29" s="72"/>
      <c r="I29" s="72"/>
    </row>
    <row r="30" spans="1:9" hidden="1" x14ac:dyDescent="0.3">
      <c r="A30" s="68"/>
      <c r="B30" s="71"/>
      <c r="C30" s="72"/>
      <c r="D30" s="72"/>
      <c r="E30" s="72"/>
      <c r="F30" s="73"/>
      <c r="G30" s="72"/>
      <c r="H30" s="72"/>
      <c r="I30" s="72"/>
    </row>
    <row r="31" spans="1:9" hidden="1" x14ac:dyDescent="0.3">
      <c r="A31" s="68"/>
      <c r="B31" s="72"/>
      <c r="C31" s="72"/>
      <c r="D31" s="72"/>
      <c r="E31" s="72"/>
      <c r="F31" s="73"/>
      <c r="G31" s="72"/>
      <c r="H31" s="72"/>
      <c r="I31" s="72"/>
    </row>
    <row r="32" spans="1:9" hidden="1" x14ac:dyDescent="0.3">
      <c r="A32" s="68"/>
      <c r="B32" s="71"/>
      <c r="C32" s="72"/>
      <c r="D32" s="72"/>
      <c r="E32" s="72"/>
      <c r="F32" s="73"/>
      <c r="G32" s="72"/>
      <c r="H32" s="72"/>
      <c r="I32" s="72"/>
    </row>
    <row r="33" spans="1:9" hidden="1" x14ac:dyDescent="0.3">
      <c r="A33" s="68"/>
      <c r="B33" s="71"/>
      <c r="C33" s="72"/>
      <c r="D33" s="72"/>
      <c r="E33" s="72"/>
      <c r="F33" s="73"/>
      <c r="G33" s="72"/>
      <c r="H33" s="72"/>
      <c r="I33" s="72"/>
    </row>
    <row r="34" spans="1:9" hidden="1" x14ac:dyDescent="0.3">
      <c r="A34" s="68"/>
      <c r="B34" s="71"/>
      <c r="C34" s="72"/>
      <c r="D34" s="72"/>
      <c r="E34" s="72"/>
      <c r="F34" s="73"/>
      <c r="G34" s="72"/>
      <c r="H34" s="72"/>
      <c r="I34" s="72"/>
    </row>
    <row r="35" spans="1:9" ht="15" hidden="1" thickBot="1" x14ac:dyDescent="0.35">
      <c r="A35" s="84"/>
      <c r="B35" s="85"/>
      <c r="C35" s="86"/>
      <c r="D35" s="86"/>
      <c r="E35" s="86"/>
      <c r="F35" s="87"/>
      <c r="G35" s="86"/>
      <c r="H35" s="86"/>
      <c r="I35" s="86"/>
    </row>
    <row r="36" spans="1:9" hidden="1" x14ac:dyDescent="0.3">
      <c r="A36" s="68"/>
      <c r="B36" s="68"/>
      <c r="C36" s="76"/>
      <c r="D36" s="76"/>
      <c r="E36" s="76"/>
      <c r="F36" s="77"/>
      <c r="G36" s="76"/>
      <c r="H36" s="76"/>
      <c r="I36" s="76"/>
    </row>
    <row r="37" spans="1:9" hidden="1" x14ac:dyDescent="0.3">
      <c r="A37" s="68"/>
      <c r="B37" s="68"/>
      <c r="C37" s="78"/>
      <c r="D37" s="78"/>
      <c r="E37" s="78"/>
      <c r="F37" s="79"/>
      <c r="G37" s="78"/>
      <c r="H37" s="78"/>
      <c r="I37" s="78"/>
    </row>
    <row r="38" spans="1:9" hidden="1" x14ac:dyDescent="0.3">
      <c r="A38" s="68"/>
      <c r="B38" s="68"/>
      <c r="C38" s="76"/>
      <c r="D38" s="76"/>
      <c r="E38" s="76"/>
      <c r="F38" s="77"/>
      <c r="G38" s="76"/>
      <c r="H38" s="76"/>
      <c r="I38" s="76"/>
    </row>
    <row r="39" spans="1:9" hidden="1" x14ac:dyDescent="0.3">
      <c r="A39" s="68"/>
      <c r="B39" s="78"/>
      <c r="C39" s="76"/>
      <c r="D39" s="76"/>
      <c r="E39" s="76"/>
      <c r="F39" s="77"/>
      <c r="G39" s="76"/>
      <c r="H39" s="76"/>
      <c r="I39" s="76"/>
    </row>
    <row r="40" spans="1:9" ht="15" hidden="1" thickBot="1" x14ac:dyDescent="0.35">
      <c r="A40" s="84"/>
      <c r="B40" s="84"/>
      <c r="C40" s="88"/>
      <c r="D40" s="88"/>
      <c r="E40" s="88"/>
      <c r="F40" s="89"/>
      <c r="G40" s="88"/>
      <c r="H40" s="88"/>
      <c r="I40" s="88"/>
    </row>
    <row r="41" spans="1:9" ht="15" thickTop="1" x14ac:dyDescent="0.3">
      <c r="A41" s="299"/>
      <c r="B41" s="299"/>
      <c r="C41" s="299"/>
      <c r="D41" s="299"/>
      <c r="E41" s="299"/>
      <c r="F41" s="299"/>
      <c r="G41" s="299"/>
      <c r="H41" s="299"/>
      <c r="I41" s="299"/>
    </row>
    <row r="42" spans="1:9" x14ac:dyDescent="0.3">
      <c r="A42" s="90"/>
      <c r="B42" s="90"/>
      <c r="C42" s="90"/>
      <c r="D42" s="90"/>
      <c r="E42" s="90"/>
      <c r="F42" s="90"/>
      <c r="G42" s="90"/>
      <c r="H42" s="91"/>
      <c r="I42" s="91"/>
    </row>
  </sheetData>
  <mergeCells count="15">
    <mergeCell ref="A1:I1"/>
    <mergeCell ref="H2:I2"/>
    <mergeCell ref="A3:I3"/>
    <mergeCell ref="A4:A7"/>
    <mergeCell ref="B4:E4"/>
    <mergeCell ref="F4:I4"/>
    <mergeCell ref="B5:D5"/>
    <mergeCell ref="E5:E7"/>
    <mergeCell ref="F5:H5"/>
    <mergeCell ref="I5:I7"/>
    <mergeCell ref="A41:I41"/>
    <mergeCell ref="B6:C6"/>
    <mergeCell ref="D6:D7"/>
    <mergeCell ref="F6:G6"/>
    <mergeCell ref="H6:H7"/>
  </mergeCells>
  <printOptions horizontalCentered="1"/>
  <pageMargins left="0.7" right="0.7" top="0.75" bottom="0.75" header="0.3" footer="0.3"/>
  <pageSetup paperSize="9" scale="68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J15"/>
  <sheetViews>
    <sheetView view="pageBreakPreview" zoomScale="70" zoomScaleNormal="100" zoomScaleSheetLayoutView="70" workbookViewId="0">
      <selection activeCell="H21" sqref="H21"/>
    </sheetView>
  </sheetViews>
  <sheetFormatPr defaultRowHeight="14.4" x14ac:dyDescent="0.3"/>
  <cols>
    <col min="1" max="1" width="15.6640625" customWidth="1"/>
    <col min="2" max="7" width="17.33203125" customWidth="1"/>
    <col min="8" max="256" width="9.109375"/>
    <col min="257" max="263" width="15.6640625" customWidth="1"/>
    <col min="264" max="512" width="9.109375"/>
    <col min="513" max="519" width="15.6640625" customWidth="1"/>
    <col min="520" max="768" width="9.109375"/>
    <col min="769" max="775" width="15.6640625" customWidth="1"/>
    <col min="776" max="1024" width="9.109375"/>
    <col min="1025" max="1031" width="15.6640625" customWidth="1"/>
    <col min="1032" max="1280" width="9.109375"/>
    <col min="1281" max="1287" width="15.6640625" customWidth="1"/>
    <col min="1288" max="1536" width="9.109375"/>
    <col min="1537" max="1543" width="15.6640625" customWidth="1"/>
    <col min="1544" max="1792" width="9.109375"/>
    <col min="1793" max="1799" width="15.6640625" customWidth="1"/>
    <col min="1800" max="2048" width="9.109375"/>
    <col min="2049" max="2055" width="15.6640625" customWidth="1"/>
    <col min="2056" max="2304" width="9.109375"/>
    <col min="2305" max="2311" width="15.6640625" customWidth="1"/>
    <col min="2312" max="2560" width="9.109375"/>
    <col min="2561" max="2567" width="15.6640625" customWidth="1"/>
    <col min="2568" max="2816" width="9.109375"/>
    <col min="2817" max="2823" width="15.6640625" customWidth="1"/>
    <col min="2824" max="3072" width="9.109375"/>
    <col min="3073" max="3079" width="15.6640625" customWidth="1"/>
    <col min="3080" max="3328" width="9.109375"/>
    <col min="3329" max="3335" width="15.6640625" customWidth="1"/>
    <col min="3336" max="3584" width="9.109375"/>
    <col min="3585" max="3591" width="15.6640625" customWidth="1"/>
    <col min="3592" max="3840" width="9.109375"/>
    <col min="3841" max="3847" width="15.6640625" customWidth="1"/>
    <col min="3848" max="4096" width="9.109375"/>
    <col min="4097" max="4103" width="15.6640625" customWidth="1"/>
    <col min="4104" max="4352" width="9.109375"/>
    <col min="4353" max="4359" width="15.6640625" customWidth="1"/>
    <col min="4360" max="4608" width="9.109375"/>
    <col min="4609" max="4615" width="15.6640625" customWidth="1"/>
    <col min="4616" max="4864" width="9.109375"/>
    <col min="4865" max="4871" width="15.6640625" customWidth="1"/>
    <col min="4872" max="5120" width="9.109375"/>
    <col min="5121" max="5127" width="15.6640625" customWidth="1"/>
    <col min="5128" max="5376" width="9.109375"/>
    <col min="5377" max="5383" width="15.6640625" customWidth="1"/>
    <col min="5384" max="5632" width="9.109375"/>
    <col min="5633" max="5639" width="15.6640625" customWidth="1"/>
    <col min="5640" max="5888" width="9.109375"/>
    <col min="5889" max="5895" width="15.6640625" customWidth="1"/>
    <col min="5896" max="6144" width="9.109375"/>
    <col min="6145" max="6151" width="15.6640625" customWidth="1"/>
    <col min="6152" max="6400" width="9.109375"/>
    <col min="6401" max="6407" width="15.6640625" customWidth="1"/>
    <col min="6408" max="6656" width="9.109375"/>
    <col min="6657" max="6663" width="15.6640625" customWidth="1"/>
    <col min="6664" max="6912" width="9.109375"/>
    <col min="6913" max="6919" width="15.6640625" customWidth="1"/>
    <col min="6920" max="7168" width="9.109375"/>
    <col min="7169" max="7175" width="15.6640625" customWidth="1"/>
    <col min="7176" max="7424" width="9.109375"/>
    <col min="7425" max="7431" width="15.6640625" customWidth="1"/>
    <col min="7432" max="7680" width="9.109375"/>
    <col min="7681" max="7687" width="15.6640625" customWidth="1"/>
    <col min="7688" max="7936" width="9.109375"/>
    <col min="7937" max="7943" width="15.6640625" customWidth="1"/>
    <col min="7944" max="8192" width="9.109375"/>
    <col min="8193" max="8199" width="15.6640625" customWidth="1"/>
    <col min="8200" max="8448" width="9.109375"/>
    <col min="8449" max="8455" width="15.6640625" customWidth="1"/>
    <col min="8456" max="8704" width="9.109375"/>
    <col min="8705" max="8711" width="15.6640625" customWidth="1"/>
    <col min="8712" max="8960" width="9.109375"/>
    <col min="8961" max="8967" width="15.6640625" customWidth="1"/>
    <col min="8968" max="9216" width="9.109375"/>
    <col min="9217" max="9223" width="15.6640625" customWidth="1"/>
    <col min="9224" max="9472" width="9.109375"/>
    <col min="9473" max="9479" width="15.6640625" customWidth="1"/>
    <col min="9480" max="9728" width="9.109375"/>
    <col min="9729" max="9735" width="15.6640625" customWidth="1"/>
    <col min="9736" max="9984" width="9.109375"/>
    <col min="9985" max="9991" width="15.6640625" customWidth="1"/>
    <col min="9992" max="10240" width="9.109375"/>
    <col min="10241" max="10247" width="15.6640625" customWidth="1"/>
    <col min="10248" max="10496" width="9.109375"/>
    <col min="10497" max="10503" width="15.6640625" customWidth="1"/>
    <col min="10504" max="10752" width="9.109375"/>
    <col min="10753" max="10759" width="15.6640625" customWidth="1"/>
    <col min="10760" max="11008" width="9.109375"/>
    <col min="11009" max="11015" width="15.6640625" customWidth="1"/>
    <col min="11016" max="11264" width="9.109375"/>
    <col min="11265" max="11271" width="15.6640625" customWidth="1"/>
    <col min="11272" max="11520" width="9.109375"/>
    <col min="11521" max="11527" width="15.6640625" customWidth="1"/>
    <col min="11528" max="11776" width="9.109375"/>
    <col min="11777" max="11783" width="15.6640625" customWidth="1"/>
    <col min="11784" max="12032" width="9.109375"/>
    <col min="12033" max="12039" width="15.6640625" customWidth="1"/>
    <col min="12040" max="12288" width="9.109375"/>
    <col min="12289" max="12295" width="15.6640625" customWidth="1"/>
    <col min="12296" max="12544" width="9.109375"/>
    <col min="12545" max="12551" width="15.6640625" customWidth="1"/>
    <col min="12552" max="12800" width="9.109375"/>
    <col min="12801" max="12807" width="15.6640625" customWidth="1"/>
    <col min="12808" max="13056" width="9.109375"/>
    <col min="13057" max="13063" width="15.6640625" customWidth="1"/>
    <col min="13064" max="13312" width="9.109375"/>
    <col min="13313" max="13319" width="15.6640625" customWidth="1"/>
    <col min="13320" max="13568" width="9.109375"/>
    <col min="13569" max="13575" width="15.6640625" customWidth="1"/>
    <col min="13576" max="13824" width="9.109375"/>
    <col min="13825" max="13831" width="15.6640625" customWidth="1"/>
    <col min="13832" max="14080" width="9.109375"/>
    <col min="14081" max="14087" width="15.6640625" customWidth="1"/>
    <col min="14088" max="14336" width="9.109375"/>
    <col min="14337" max="14343" width="15.6640625" customWidth="1"/>
    <col min="14344" max="14592" width="9.109375"/>
    <col min="14593" max="14599" width="15.6640625" customWidth="1"/>
    <col min="14600" max="14848" width="9.109375"/>
    <col min="14849" max="14855" width="15.6640625" customWidth="1"/>
    <col min="14856" max="15104" width="9.109375"/>
    <col min="15105" max="15111" width="15.6640625" customWidth="1"/>
    <col min="15112" max="15360" width="9.109375"/>
    <col min="15361" max="15367" width="15.6640625" customWidth="1"/>
    <col min="15368" max="15616" width="9.109375"/>
    <col min="15617" max="15623" width="15.6640625" customWidth="1"/>
    <col min="15624" max="15872" width="9.109375"/>
    <col min="15873" max="15879" width="15.6640625" customWidth="1"/>
    <col min="15880" max="16128" width="9.109375"/>
    <col min="16129" max="16135" width="15.6640625" customWidth="1"/>
    <col min="16136" max="16384" width="9.109375"/>
  </cols>
  <sheetData>
    <row r="1" spans="1:10" x14ac:dyDescent="0.3">
      <c r="A1" s="237" t="s">
        <v>285</v>
      </c>
      <c r="B1" s="237"/>
      <c r="C1" s="237"/>
      <c r="D1" s="237"/>
      <c r="E1" s="237"/>
      <c r="F1" s="237"/>
      <c r="G1" s="237"/>
    </row>
    <row r="2" spans="1:10" x14ac:dyDescent="0.3">
      <c r="A2" s="62" t="str">
        <f>year!$H$2</f>
        <v>UT : PUDUCHERRY</v>
      </c>
      <c r="B2" s="62"/>
      <c r="C2" s="62"/>
      <c r="D2" s="62"/>
      <c r="E2" s="238" t="s">
        <v>232</v>
      </c>
      <c r="F2" s="238"/>
      <c r="G2" s="238"/>
    </row>
    <row r="3" spans="1:10" ht="26.4" customHeight="1" x14ac:dyDescent="0.3">
      <c r="A3" s="298" t="str">
        <f>"SUPERVISION OF EXPERIMENTS UNDER C.E.S. DURING "&amp; B5&amp;" AND "&amp; E5&amp;"."</f>
        <v>SUPERVISION OF EXPERIMENTS UNDER C.E.S. DURING 2023-24 AND 2022-23.</v>
      </c>
      <c r="B3" s="298"/>
      <c r="C3" s="298"/>
      <c r="D3" s="298"/>
      <c r="E3" s="298"/>
      <c r="F3" s="298"/>
      <c r="G3" s="298"/>
    </row>
    <row r="4" spans="1:10" ht="33" customHeight="1" x14ac:dyDescent="0.3">
      <c r="A4" s="301" t="s">
        <v>280</v>
      </c>
      <c r="B4" s="300" t="s">
        <v>234</v>
      </c>
      <c r="C4" s="300"/>
      <c r="D4" s="300"/>
      <c r="E4" s="300"/>
      <c r="F4" s="300"/>
      <c r="G4" s="300"/>
    </row>
    <row r="5" spans="1:10" ht="33" customHeight="1" x14ac:dyDescent="0.3">
      <c r="A5" s="310"/>
      <c r="B5" s="300" t="str">
        <f>year!$C$4</f>
        <v>2023-24</v>
      </c>
      <c r="C5" s="300" t="str">
        <f>year!$C$4</f>
        <v>2023-24</v>
      </c>
      <c r="D5" s="300" t="str">
        <f>year!$C$4</f>
        <v>2023-24</v>
      </c>
      <c r="E5" s="307" t="str">
        <f>year!$C$5</f>
        <v>2022-23</v>
      </c>
      <c r="F5" s="308" t="str">
        <f>year!$C$5</f>
        <v>2022-23</v>
      </c>
      <c r="G5" s="308" t="str">
        <f>year!$C$5</f>
        <v>2022-23</v>
      </c>
    </row>
    <row r="6" spans="1:10" ht="26.4" customHeight="1" x14ac:dyDescent="0.3">
      <c r="A6" s="310"/>
      <c r="B6" s="310" t="s">
        <v>121</v>
      </c>
      <c r="C6" s="310" t="s">
        <v>235</v>
      </c>
      <c r="D6" s="310" t="s">
        <v>236</v>
      </c>
      <c r="E6" s="311" t="s">
        <v>121</v>
      </c>
      <c r="F6" s="310" t="s">
        <v>235</v>
      </c>
      <c r="G6" s="310" t="s">
        <v>236</v>
      </c>
    </row>
    <row r="7" spans="1:10" ht="26.4" customHeight="1" x14ac:dyDescent="0.3">
      <c r="A7" s="300"/>
      <c r="B7" s="300"/>
      <c r="C7" s="300"/>
      <c r="D7" s="300"/>
      <c r="E7" s="304"/>
      <c r="F7" s="300"/>
      <c r="G7" s="300"/>
    </row>
    <row r="8" spans="1:10" ht="26.4" customHeight="1" x14ac:dyDescent="0.3">
      <c r="A8" s="65">
        <f>-(1)</f>
        <v>-1</v>
      </c>
      <c r="B8" s="65">
        <v>-2</v>
      </c>
      <c r="C8" s="65">
        <v>-3</v>
      </c>
      <c r="D8" s="65">
        <v>-4</v>
      </c>
      <c r="E8" s="66">
        <v>-5</v>
      </c>
      <c r="F8" s="65">
        <v>-6</v>
      </c>
      <c r="G8" s="65">
        <v>-7</v>
      </c>
    </row>
    <row r="9" spans="1:10" ht="37.200000000000003" customHeight="1" x14ac:dyDescent="0.3">
      <c r="A9" s="131" t="str">
        <f>year!$C$3</f>
        <v>RABI I</v>
      </c>
      <c r="B9" s="71"/>
      <c r="C9" s="69"/>
      <c r="D9" s="69"/>
      <c r="E9" s="70"/>
      <c r="F9" s="69"/>
      <c r="G9" s="69"/>
    </row>
    <row r="10" spans="1:10" ht="37.200000000000003" customHeight="1" x14ac:dyDescent="0.3">
      <c r="A10" s="99" t="str">
        <f>year!$C$9</f>
        <v>PADDY</v>
      </c>
      <c r="B10" s="99">
        <v>138</v>
      </c>
      <c r="C10" s="65" t="s">
        <v>696</v>
      </c>
      <c r="D10" s="65" t="s">
        <v>696</v>
      </c>
      <c r="E10" s="66">
        <v>140</v>
      </c>
      <c r="F10" s="65" t="s">
        <v>689</v>
      </c>
      <c r="G10" s="65" t="s">
        <v>689</v>
      </c>
    </row>
    <row r="11" spans="1:10" ht="37.200000000000003" customHeight="1" x14ac:dyDescent="0.3">
      <c r="A11" s="131" t="str">
        <f>year!$E$3</f>
        <v>RABI II</v>
      </c>
      <c r="B11" s="71"/>
      <c r="C11" s="72"/>
      <c r="D11" s="72"/>
      <c r="E11" s="73"/>
      <c r="F11" s="72"/>
      <c r="G11" s="72"/>
    </row>
    <row r="12" spans="1:10" ht="37.200000000000003" customHeight="1" x14ac:dyDescent="0.3">
      <c r="A12" s="99" t="str">
        <f>year!$E$9</f>
        <v>PADDY</v>
      </c>
      <c r="B12" s="99">
        <v>70</v>
      </c>
      <c r="C12" s="74" t="s">
        <v>697</v>
      </c>
      <c r="D12" s="74" t="s">
        <v>697</v>
      </c>
      <c r="E12" s="75">
        <v>70</v>
      </c>
      <c r="F12" s="74" t="s">
        <v>690</v>
      </c>
      <c r="G12" s="74" t="s">
        <v>690</v>
      </c>
    </row>
    <row r="13" spans="1:10" ht="37.200000000000003" customHeight="1" thickBot="1" x14ac:dyDescent="0.35">
      <c r="A13" s="85" t="s">
        <v>39</v>
      </c>
      <c r="B13" s="85">
        <v>208</v>
      </c>
      <c r="C13" s="86" t="s">
        <v>698</v>
      </c>
      <c r="D13" s="86" t="s">
        <v>698</v>
      </c>
      <c r="E13" s="87">
        <v>210</v>
      </c>
      <c r="F13" s="86" t="s">
        <v>691</v>
      </c>
      <c r="G13" s="86" t="s">
        <v>691</v>
      </c>
    </row>
    <row r="14" spans="1:10" ht="15" thickTop="1" x14ac:dyDescent="0.3">
      <c r="A14" s="90"/>
      <c r="B14" s="90"/>
      <c r="C14" s="90"/>
      <c r="D14" s="90"/>
      <c r="E14" s="90"/>
      <c r="F14" s="90"/>
      <c r="G14" s="90"/>
      <c r="H14" s="90"/>
      <c r="I14" s="90"/>
      <c r="J14" s="90"/>
    </row>
    <row r="15" spans="1:10" x14ac:dyDescent="0.3">
      <c r="A15" s="90"/>
      <c r="B15" s="90"/>
      <c r="C15" s="90"/>
      <c r="D15" s="90"/>
      <c r="E15" s="90"/>
      <c r="F15" s="90"/>
      <c r="G15" s="90"/>
    </row>
  </sheetData>
  <mergeCells count="13">
    <mergeCell ref="A1:G1"/>
    <mergeCell ref="E2:G2"/>
    <mergeCell ref="A3:G3"/>
    <mergeCell ref="A4:A7"/>
    <mergeCell ref="B4:G4"/>
    <mergeCell ref="B5:D5"/>
    <mergeCell ref="E5:G5"/>
    <mergeCell ref="B6:B7"/>
    <mergeCell ref="C6:C7"/>
    <mergeCell ref="D6:D7"/>
    <mergeCell ref="E6:E7"/>
    <mergeCell ref="F6:F7"/>
    <mergeCell ref="G6:G7"/>
  </mergeCells>
  <printOptions horizontalCentered="1"/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I87"/>
  <sheetViews>
    <sheetView view="pageBreakPreview" zoomScale="70" zoomScaleNormal="100" zoomScaleSheetLayoutView="70" workbookViewId="0">
      <selection activeCell="B25" activeCellId="1" sqref="B13 B25"/>
    </sheetView>
  </sheetViews>
  <sheetFormatPr defaultRowHeight="14.4" x14ac:dyDescent="0.3"/>
  <cols>
    <col min="1" max="1" width="12.6640625" customWidth="1"/>
    <col min="2" max="2" width="42.88671875" customWidth="1"/>
    <col min="3" max="8" width="13.21875" customWidth="1"/>
  </cols>
  <sheetData>
    <row r="1" spans="1:9" x14ac:dyDescent="0.3">
      <c r="A1" s="237" t="s">
        <v>215</v>
      </c>
      <c r="B1" s="237"/>
      <c r="C1" s="237"/>
      <c r="D1" s="237"/>
      <c r="E1" s="237"/>
      <c r="F1" s="237"/>
      <c r="G1" s="237"/>
      <c r="H1" s="237"/>
      <c r="I1" s="115"/>
    </row>
    <row r="2" spans="1:9" x14ac:dyDescent="0.3">
      <c r="A2" s="62" t="str">
        <f>year!$H$2</f>
        <v>UT : PUDUCHERRY</v>
      </c>
      <c r="B2" s="62"/>
      <c r="C2" s="62"/>
      <c r="D2" s="62"/>
      <c r="E2" s="62"/>
      <c r="F2" s="62"/>
      <c r="G2" s="238" t="s">
        <v>117</v>
      </c>
      <c r="H2" s="238"/>
      <c r="I2" s="101"/>
    </row>
    <row r="3" spans="1:9" x14ac:dyDescent="0.3">
      <c r="A3" s="241" t="str">
        <f>"SAMPLE CHECK ON CROP CUTTING EXPERIMENTS DURING "&amp; year!$C$4 &amp;" AND "&amp; year!$C$5 &amp; "."</f>
        <v>SAMPLE CHECK ON CROP CUTTING EXPERIMENTS DURING 2023-24 AND 2022-23.</v>
      </c>
      <c r="B3" s="241"/>
      <c r="C3" s="241"/>
      <c r="D3" s="241"/>
      <c r="E3" s="241"/>
      <c r="F3" s="241"/>
      <c r="G3" s="241"/>
      <c r="H3" s="241"/>
      <c r="I3" s="101"/>
    </row>
    <row r="4" spans="1:9" x14ac:dyDescent="0.3">
      <c r="A4" s="242" t="s">
        <v>267</v>
      </c>
      <c r="B4" s="244" t="s">
        <v>118</v>
      </c>
      <c r="C4" s="245" t="s">
        <v>119</v>
      </c>
      <c r="D4" s="245"/>
      <c r="E4" s="245"/>
      <c r="F4" s="245"/>
      <c r="G4" s="245"/>
      <c r="H4" s="245"/>
      <c r="I4" s="101"/>
    </row>
    <row r="5" spans="1:9" x14ac:dyDescent="0.3">
      <c r="A5" s="242"/>
      <c r="B5" s="244"/>
      <c r="C5" s="242" t="s">
        <v>652</v>
      </c>
      <c r="D5" s="242"/>
      <c r="E5" s="242"/>
      <c r="F5" s="242"/>
      <c r="G5" s="242"/>
      <c r="H5" s="242"/>
      <c r="I5" s="101"/>
    </row>
    <row r="6" spans="1:9" x14ac:dyDescent="0.3">
      <c r="A6" s="242"/>
      <c r="B6" s="244"/>
      <c r="C6" s="244" t="str">
        <f>year!$C$3</f>
        <v>RABI I</v>
      </c>
      <c r="D6" s="244"/>
      <c r="E6" s="244"/>
      <c r="F6" s="313" t="str">
        <f>year!$E$3</f>
        <v>RABI II</v>
      </c>
      <c r="G6" s="244"/>
      <c r="H6" s="244"/>
      <c r="I6" s="101"/>
    </row>
    <row r="7" spans="1:9" x14ac:dyDescent="0.3">
      <c r="A7" s="243"/>
      <c r="B7" s="245"/>
      <c r="C7" s="74" t="s">
        <v>120</v>
      </c>
      <c r="D7" s="74" t="s">
        <v>17</v>
      </c>
      <c r="E7" s="74" t="s">
        <v>18</v>
      </c>
      <c r="F7" s="75" t="str">
        <f>IF(F6="","","CENTRAL")</f>
        <v>CENTRAL</v>
      </c>
      <c r="G7" s="74" t="str">
        <f>IF(F7="","","STATE")</f>
        <v>STATE</v>
      </c>
      <c r="H7" s="74" t="str">
        <f>IF(F8="","","POOLED")</f>
        <v>POOLED</v>
      </c>
      <c r="I7" s="101"/>
    </row>
    <row r="8" spans="1:9" x14ac:dyDescent="0.3">
      <c r="A8" s="100" t="s">
        <v>8</v>
      </c>
      <c r="B8" s="100" t="s">
        <v>9</v>
      </c>
      <c r="C8" s="100" t="s">
        <v>10</v>
      </c>
      <c r="D8" s="100" t="s">
        <v>11</v>
      </c>
      <c r="E8" s="100" t="s">
        <v>12</v>
      </c>
      <c r="F8" s="75" t="str">
        <f>IF(F7="","","(6)")</f>
        <v>(6)</v>
      </c>
      <c r="G8" s="74" t="str">
        <f>IF(G7="","","(7)")</f>
        <v>(7)</v>
      </c>
      <c r="H8" s="74" t="str">
        <f>IF(H7="","","(8)")</f>
        <v>(8)</v>
      </c>
      <c r="I8" s="101"/>
    </row>
    <row r="9" spans="1:9" x14ac:dyDescent="0.3">
      <c r="A9" s="98" t="str">
        <f>year!$J$4</f>
        <v>YEAR 2023-24</v>
      </c>
      <c r="B9" s="78"/>
      <c r="C9" s="101"/>
      <c r="D9" s="101"/>
      <c r="E9" s="101"/>
      <c r="F9" s="132"/>
      <c r="G9" s="101"/>
      <c r="H9" s="101"/>
      <c r="I9" s="101"/>
    </row>
    <row r="10" spans="1:9" x14ac:dyDescent="0.3">
      <c r="A10" s="94">
        <v>1</v>
      </c>
      <c r="B10" s="133" t="s">
        <v>121</v>
      </c>
      <c r="C10" s="72" t="s">
        <v>655</v>
      </c>
      <c r="D10" s="72" t="s">
        <v>655</v>
      </c>
      <c r="E10" s="72" t="s">
        <v>656</v>
      </c>
      <c r="F10" s="73" t="s">
        <v>655</v>
      </c>
      <c r="G10" s="72" t="s">
        <v>655</v>
      </c>
      <c r="H10" s="72" t="s">
        <v>656</v>
      </c>
      <c r="I10" s="134"/>
    </row>
    <row r="11" spans="1:9" x14ac:dyDescent="0.3">
      <c r="A11" s="237">
        <v>2</v>
      </c>
      <c r="B11" s="133" t="s">
        <v>300</v>
      </c>
      <c r="C11" s="72" t="s">
        <v>655</v>
      </c>
      <c r="D11" s="72" t="s">
        <v>655</v>
      </c>
      <c r="E11" s="72" t="s">
        <v>656</v>
      </c>
      <c r="F11" s="73" t="s">
        <v>655</v>
      </c>
      <c r="G11" s="72" t="s">
        <v>655</v>
      </c>
      <c r="H11" s="72" t="s">
        <v>656</v>
      </c>
      <c r="I11" s="134"/>
    </row>
    <row r="12" spans="1:9" x14ac:dyDescent="0.3">
      <c r="A12" s="237"/>
      <c r="B12" s="133" t="s">
        <v>122</v>
      </c>
      <c r="C12" s="72" t="s">
        <v>657</v>
      </c>
      <c r="D12" s="72" t="s">
        <v>657</v>
      </c>
      <c r="E12" s="72" t="s">
        <v>657</v>
      </c>
      <c r="F12" s="73" t="s">
        <v>657</v>
      </c>
      <c r="G12" s="72" t="s">
        <v>657</v>
      </c>
      <c r="H12" s="72" t="s">
        <v>657</v>
      </c>
      <c r="I12" s="134"/>
    </row>
    <row r="13" spans="1:9" x14ac:dyDescent="0.3">
      <c r="A13" s="237">
        <v>3</v>
      </c>
      <c r="B13" s="133" t="s">
        <v>301</v>
      </c>
      <c r="C13" s="72" t="s">
        <v>658</v>
      </c>
      <c r="D13" s="72" t="s">
        <v>658</v>
      </c>
      <c r="E13" s="72" t="s">
        <v>658</v>
      </c>
      <c r="F13" s="73" t="s">
        <v>658</v>
      </c>
      <c r="G13" s="72" t="s">
        <v>658</v>
      </c>
      <c r="H13" s="72" t="s">
        <v>658</v>
      </c>
      <c r="I13" s="134"/>
    </row>
    <row r="14" spans="1:9" x14ac:dyDescent="0.3">
      <c r="A14" s="237"/>
      <c r="B14" s="133" t="s">
        <v>122</v>
      </c>
      <c r="C14" s="72" t="s">
        <v>231</v>
      </c>
      <c r="D14" s="72" t="s">
        <v>231</v>
      </c>
      <c r="E14" s="72" t="s">
        <v>231</v>
      </c>
      <c r="F14" s="73" t="s">
        <v>231</v>
      </c>
      <c r="G14" s="72" t="s">
        <v>231</v>
      </c>
      <c r="H14" s="72" t="s">
        <v>231</v>
      </c>
      <c r="I14" s="134"/>
    </row>
    <row r="15" spans="1:9" x14ac:dyDescent="0.3">
      <c r="A15" s="237">
        <v>4</v>
      </c>
      <c r="B15" s="133" t="s">
        <v>123</v>
      </c>
      <c r="C15" s="72" t="s">
        <v>658</v>
      </c>
      <c r="D15" s="72" t="s">
        <v>658</v>
      </c>
      <c r="E15" s="72" t="s">
        <v>658</v>
      </c>
      <c r="F15" s="73" t="s">
        <v>658</v>
      </c>
      <c r="G15" s="72" t="s">
        <v>658</v>
      </c>
      <c r="H15" s="72" t="s">
        <v>658</v>
      </c>
      <c r="I15" s="134"/>
    </row>
    <row r="16" spans="1:9" x14ac:dyDescent="0.3">
      <c r="A16" s="237"/>
      <c r="B16" s="133" t="s">
        <v>122</v>
      </c>
      <c r="C16" s="72" t="s">
        <v>231</v>
      </c>
      <c r="D16" s="72" t="s">
        <v>231</v>
      </c>
      <c r="E16" s="72" t="s">
        <v>231</v>
      </c>
      <c r="F16" s="73" t="s">
        <v>231</v>
      </c>
      <c r="G16" s="72" t="s">
        <v>231</v>
      </c>
      <c r="H16" s="72" t="s">
        <v>231</v>
      </c>
      <c r="I16" s="134"/>
    </row>
    <row r="17" spans="1:9" x14ac:dyDescent="0.3">
      <c r="A17" s="237">
        <v>5</v>
      </c>
      <c r="B17" s="133" t="s">
        <v>124</v>
      </c>
      <c r="C17" s="72" t="s">
        <v>658</v>
      </c>
      <c r="D17" s="72" t="s">
        <v>658</v>
      </c>
      <c r="E17" s="72" t="s">
        <v>658</v>
      </c>
      <c r="F17" s="73" t="s">
        <v>658</v>
      </c>
      <c r="G17" s="72" t="s">
        <v>658</v>
      </c>
      <c r="H17" s="72" t="s">
        <v>658</v>
      </c>
      <c r="I17" s="134"/>
    </row>
    <row r="18" spans="1:9" x14ac:dyDescent="0.3">
      <c r="A18" s="237"/>
      <c r="B18" s="133" t="s">
        <v>122</v>
      </c>
      <c r="C18" s="72" t="s">
        <v>231</v>
      </c>
      <c r="D18" s="72" t="s">
        <v>231</v>
      </c>
      <c r="E18" s="72" t="s">
        <v>231</v>
      </c>
      <c r="F18" s="73" t="s">
        <v>231</v>
      </c>
      <c r="G18" s="72" t="s">
        <v>231</v>
      </c>
      <c r="H18" s="72" t="s">
        <v>231</v>
      </c>
      <c r="I18" s="134"/>
    </row>
    <row r="19" spans="1:9" x14ac:dyDescent="0.3">
      <c r="A19" s="237">
        <v>6</v>
      </c>
      <c r="B19" s="133" t="s">
        <v>125</v>
      </c>
      <c r="C19" s="72" t="s">
        <v>658</v>
      </c>
      <c r="D19" s="72" t="s">
        <v>658</v>
      </c>
      <c r="E19" s="72" t="s">
        <v>658</v>
      </c>
      <c r="F19" s="73" t="s">
        <v>658</v>
      </c>
      <c r="G19" s="72" t="s">
        <v>658</v>
      </c>
      <c r="H19" s="72" t="s">
        <v>658</v>
      </c>
      <c r="I19" s="134"/>
    </row>
    <row r="20" spans="1:9" x14ac:dyDescent="0.3">
      <c r="A20" s="312"/>
      <c r="B20" s="135" t="s">
        <v>122</v>
      </c>
      <c r="C20" s="74" t="s">
        <v>231</v>
      </c>
      <c r="D20" s="74" t="s">
        <v>231</v>
      </c>
      <c r="E20" s="74" t="s">
        <v>231</v>
      </c>
      <c r="F20" s="75" t="s">
        <v>231</v>
      </c>
      <c r="G20" s="74" t="s">
        <v>231</v>
      </c>
      <c r="H20" s="74" t="s">
        <v>231</v>
      </c>
      <c r="I20" s="134"/>
    </row>
    <row r="21" spans="1:9" x14ac:dyDescent="0.3">
      <c r="A21" s="111" t="str">
        <f>year!$J$5</f>
        <v>YEAR 2022-23</v>
      </c>
      <c r="B21" s="112"/>
      <c r="C21" s="113"/>
      <c r="D21" s="113"/>
      <c r="E21" s="113"/>
      <c r="F21" s="136"/>
      <c r="G21" s="113"/>
      <c r="H21" s="113"/>
      <c r="I21" s="134"/>
    </row>
    <row r="22" spans="1:9" x14ac:dyDescent="0.3">
      <c r="A22" s="94">
        <v>1</v>
      </c>
      <c r="B22" s="133" t="s">
        <v>121</v>
      </c>
      <c r="C22" s="72" t="s">
        <v>655</v>
      </c>
      <c r="D22" s="72" t="s">
        <v>655</v>
      </c>
      <c r="E22" s="72" t="s">
        <v>656</v>
      </c>
      <c r="F22" s="73" t="s">
        <v>655</v>
      </c>
      <c r="G22" s="72" t="s">
        <v>655</v>
      </c>
      <c r="H22" s="72" t="s">
        <v>656</v>
      </c>
      <c r="I22" s="134"/>
    </row>
    <row r="23" spans="1:9" x14ac:dyDescent="0.3">
      <c r="A23" s="94">
        <v>2</v>
      </c>
      <c r="B23" s="133" t="s">
        <v>300</v>
      </c>
      <c r="C23" s="72" t="s">
        <v>655</v>
      </c>
      <c r="D23" s="72" t="s">
        <v>655</v>
      </c>
      <c r="E23" s="72" t="s">
        <v>656</v>
      </c>
      <c r="F23" s="73" t="s">
        <v>655</v>
      </c>
      <c r="G23" s="72" t="s">
        <v>655</v>
      </c>
      <c r="H23" s="72" t="s">
        <v>656</v>
      </c>
      <c r="I23" s="134"/>
    </row>
    <row r="24" spans="1:9" x14ac:dyDescent="0.3">
      <c r="A24" s="94"/>
      <c r="B24" s="133" t="s">
        <v>122</v>
      </c>
      <c r="C24" s="72" t="s">
        <v>657</v>
      </c>
      <c r="D24" s="72" t="s">
        <v>657</v>
      </c>
      <c r="E24" s="72" t="s">
        <v>657</v>
      </c>
      <c r="F24" s="73" t="s">
        <v>657</v>
      </c>
      <c r="G24" s="72" t="s">
        <v>657</v>
      </c>
      <c r="H24" s="72" t="s">
        <v>657</v>
      </c>
      <c r="I24" s="134"/>
    </row>
    <row r="25" spans="1:9" x14ac:dyDescent="0.3">
      <c r="A25" s="94">
        <v>3</v>
      </c>
      <c r="B25" s="133" t="s">
        <v>301</v>
      </c>
      <c r="C25" s="72" t="s">
        <v>658</v>
      </c>
      <c r="D25" s="72" t="s">
        <v>658</v>
      </c>
      <c r="E25" s="72" t="s">
        <v>658</v>
      </c>
      <c r="F25" s="73" t="s">
        <v>658</v>
      </c>
      <c r="G25" s="72" t="s">
        <v>658</v>
      </c>
      <c r="H25" s="72" t="s">
        <v>658</v>
      </c>
      <c r="I25" s="134"/>
    </row>
    <row r="26" spans="1:9" x14ac:dyDescent="0.3">
      <c r="A26" s="94"/>
      <c r="B26" s="133" t="s">
        <v>122</v>
      </c>
      <c r="C26" s="72" t="s">
        <v>231</v>
      </c>
      <c r="D26" s="72" t="s">
        <v>231</v>
      </c>
      <c r="E26" s="72" t="s">
        <v>231</v>
      </c>
      <c r="F26" s="73" t="s">
        <v>231</v>
      </c>
      <c r="G26" s="72" t="s">
        <v>231</v>
      </c>
      <c r="H26" s="72" t="s">
        <v>231</v>
      </c>
      <c r="I26" s="134"/>
    </row>
    <row r="27" spans="1:9" x14ac:dyDescent="0.3">
      <c r="A27" s="94">
        <v>4</v>
      </c>
      <c r="B27" s="133" t="s">
        <v>123</v>
      </c>
      <c r="C27" s="72" t="s">
        <v>658</v>
      </c>
      <c r="D27" s="72" t="s">
        <v>658</v>
      </c>
      <c r="E27" s="72" t="s">
        <v>658</v>
      </c>
      <c r="F27" s="73" t="s">
        <v>658</v>
      </c>
      <c r="G27" s="72" t="s">
        <v>658</v>
      </c>
      <c r="H27" s="72" t="s">
        <v>658</v>
      </c>
      <c r="I27" s="134"/>
    </row>
    <row r="28" spans="1:9" x14ac:dyDescent="0.3">
      <c r="A28" s="94"/>
      <c r="B28" s="133" t="s">
        <v>122</v>
      </c>
      <c r="C28" s="72" t="s">
        <v>231</v>
      </c>
      <c r="D28" s="72" t="s">
        <v>231</v>
      </c>
      <c r="E28" s="72" t="s">
        <v>231</v>
      </c>
      <c r="F28" s="73" t="s">
        <v>231</v>
      </c>
      <c r="G28" s="72" t="s">
        <v>231</v>
      </c>
      <c r="H28" s="72" t="s">
        <v>231</v>
      </c>
      <c r="I28" s="134"/>
    </row>
    <row r="29" spans="1:9" x14ac:dyDescent="0.3">
      <c r="A29" s="94">
        <v>5</v>
      </c>
      <c r="B29" s="133" t="s">
        <v>124</v>
      </c>
      <c r="C29" s="72" t="s">
        <v>658</v>
      </c>
      <c r="D29" s="72" t="s">
        <v>658</v>
      </c>
      <c r="E29" s="72" t="s">
        <v>658</v>
      </c>
      <c r="F29" s="73" t="s">
        <v>658</v>
      </c>
      <c r="G29" s="72" t="s">
        <v>658</v>
      </c>
      <c r="H29" s="72" t="s">
        <v>658</v>
      </c>
      <c r="I29" s="134"/>
    </row>
    <row r="30" spans="1:9" x14ac:dyDescent="0.3">
      <c r="A30" s="94"/>
      <c r="B30" s="133" t="s">
        <v>122</v>
      </c>
      <c r="C30" s="72" t="s">
        <v>231</v>
      </c>
      <c r="D30" s="72" t="s">
        <v>231</v>
      </c>
      <c r="E30" s="72" t="s">
        <v>231</v>
      </c>
      <c r="F30" s="73" t="s">
        <v>231</v>
      </c>
      <c r="G30" s="72" t="s">
        <v>231</v>
      </c>
      <c r="H30" s="72" t="s">
        <v>231</v>
      </c>
      <c r="I30" s="134"/>
    </row>
    <row r="31" spans="1:9" x14ac:dyDescent="0.3">
      <c r="A31" s="94">
        <v>6</v>
      </c>
      <c r="B31" s="133" t="s">
        <v>125</v>
      </c>
      <c r="C31" s="72" t="s">
        <v>658</v>
      </c>
      <c r="D31" s="72" t="s">
        <v>658</v>
      </c>
      <c r="E31" s="72" t="s">
        <v>658</v>
      </c>
      <c r="F31" s="73" t="s">
        <v>658</v>
      </c>
      <c r="G31" s="72" t="s">
        <v>658</v>
      </c>
      <c r="H31" s="72" t="s">
        <v>658</v>
      </c>
      <c r="I31" s="134"/>
    </row>
    <row r="32" spans="1:9" ht="15" thickBot="1" x14ac:dyDescent="0.35">
      <c r="A32" s="86"/>
      <c r="B32" s="137" t="s">
        <v>122</v>
      </c>
      <c r="C32" s="86" t="s">
        <v>231</v>
      </c>
      <c r="D32" s="86" t="s">
        <v>231</v>
      </c>
      <c r="E32" s="86" t="s">
        <v>231</v>
      </c>
      <c r="F32" s="87" t="s">
        <v>231</v>
      </c>
      <c r="G32" s="86" t="s">
        <v>231</v>
      </c>
      <c r="H32" s="86" t="s">
        <v>231</v>
      </c>
      <c r="I32" s="134"/>
    </row>
    <row r="33" spans="1:9" ht="15" thickTop="1" x14ac:dyDescent="0.3">
      <c r="A33" s="138"/>
      <c r="B33" s="101"/>
      <c r="C33" s="101"/>
      <c r="D33" s="101"/>
      <c r="E33" s="101"/>
      <c r="F33" s="101"/>
      <c r="G33" s="101"/>
      <c r="H33" s="101"/>
      <c r="I33" s="101"/>
    </row>
    <row r="35" spans="1:9" x14ac:dyDescent="0.3">
      <c r="A35" s="115"/>
      <c r="B35" s="115"/>
      <c r="C35" s="115"/>
      <c r="D35" s="115"/>
      <c r="E35" s="115"/>
      <c r="F35" s="115"/>
      <c r="G35" s="115"/>
      <c r="H35" s="115"/>
      <c r="I35" s="115"/>
    </row>
    <row r="36" spans="1:9" x14ac:dyDescent="0.3">
      <c r="A36" s="115"/>
      <c r="B36" s="115"/>
      <c r="C36" s="115"/>
      <c r="D36" s="115"/>
      <c r="E36" s="115"/>
      <c r="F36" s="115"/>
      <c r="G36" s="115"/>
      <c r="H36" s="115"/>
      <c r="I36" s="115"/>
    </row>
    <row r="37" spans="1:9" x14ac:dyDescent="0.3">
      <c r="A37" s="115"/>
      <c r="B37" s="115"/>
      <c r="C37" s="115"/>
      <c r="D37" s="115"/>
      <c r="E37" s="115"/>
      <c r="F37" s="115"/>
      <c r="G37" s="115"/>
      <c r="H37" s="115"/>
      <c r="I37" s="115"/>
    </row>
    <row r="38" spans="1:9" x14ac:dyDescent="0.3">
      <c r="A38" s="115"/>
      <c r="B38" s="115"/>
      <c r="C38" s="115"/>
      <c r="D38" s="115"/>
      <c r="E38" s="115"/>
      <c r="F38" s="115"/>
      <c r="G38" s="115"/>
      <c r="H38" s="115"/>
      <c r="I38" s="115"/>
    </row>
    <row r="39" spans="1:9" x14ac:dyDescent="0.3">
      <c r="A39" s="115"/>
      <c r="B39" s="115"/>
      <c r="C39" s="115"/>
      <c r="D39" s="115"/>
      <c r="E39" s="115"/>
      <c r="F39" s="115"/>
      <c r="G39" s="115"/>
      <c r="H39" s="115"/>
      <c r="I39" s="115"/>
    </row>
    <row r="40" spans="1:9" x14ac:dyDescent="0.3">
      <c r="A40" s="115"/>
      <c r="B40" s="115"/>
      <c r="C40" s="115"/>
      <c r="D40" s="115"/>
      <c r="E40" s="115"/>
      <c r="F40" s="115"/>
      <c r="G40" s="115"/>
      <c r="H40" s="115"/>
      <c r="I40" s="115"/>
    </row>
    <row r="41" spans="1:9" x14ac:dyDescent="0.3">
      <c r="A41" s="115"/>
      <c r="B41" s="115"/>
      <c r="C41" s="115"/>
      <c r="D41" s="115"/>
      <c r="E41" s="115"/>
      <c r="F41" s="115"/>
      <c r="G41" s="115"/>
      <c r="H41" s="115"/>
      <c r="I41" s="115"/>
    </row>
    <row r="42" spans="1:9" x14ac:dyDescent="0.3">
      <c r="A42" s="115"/>
      <c r="B42" s="115"/>
      <c r="C42" s="115"/>
      <c r="D42" s="115"/>
      <c r="E42" s="115"/>
      <c r="F42" s="115"/>
      <c r="G42" s="115"/>
      <c r="H42" s="115"/>
      <c r="I42" s="115"/>
    </row>
    <row r="43" spans="1:9" x14ac:dyDescent="0.3">
      <c r="A43" s="115"/>
      <c r="B43" s="115"/>
      <c r="C43" s="115"/>
      <c r="D43" s="115"/>
      <c r="E43" s="115"/>
      <c r="F43" s="115"/>
      <c r="G43" s="115"/>
      <c r="H43" s="115"/>
      <c r="I43" s="115"/>
    </row>
    <row r="44" spans="1:9" x14ac:dyDescent="0.3">
      <c r="A44" s="115"/>
      <c r="B44" s="115"/>
      <c r="C44" s="115"/>
      <c r="D44" s="115"/>
      <c r="E44" s="115"/>
      <c r="F44" s="115"/>
      <c r="G44" s="115"/>
      <c r="H44" s="115"/>
      <c r="I44" s="115"/>
    </row>
    <row r="45" spans="1:9" x14ac:dyDescent="0.3">
      <c r="A45" s="115"/>
      <c r="B45" s="115"/>
      <c r="C45" s="115"/>
      <c r="D45" s="115"/>
      <c r="E45" s="115"/>
      <c r="F45" s="115"/>
      <c r="G45" s="115"/>
      <c r="H45" s="115"/>
      <c r="I45" s="115"/>
    </row>
    <row r="46" spans="1:9" x14ac:dyDescent="0.3">
      <c r="A46" s="115"/>
      <c r="B46" s="115"/>
      <c r="C46" s="115"/>
      <c r="D46" s="115"/>
      <c r="E46" s="115"/>
      <c r="F46" s="115"/>
      <c r="G46" s="115"/>
      <c r="H46" s="115"/>
      <c r="I46" s="115"/>
    </row>
    <row r="47" spans="1:9" x14ac:dyDescent="0.3">
      <c r="A47" s="115"/>
      <c r="B47" s="115"/>
      <c r="C47" s="115"/>
      <c r="D47" s="115"/>
      <c r="E47" s="115"/>
      <c r="F47" s="115"/>
      <c r="G47" s="115"/>
      <c r="H47" s="115"/>
      <c r="I47" s="115"/>
    </row>
    <row r="48" spans="1:9" x14ac:dyDescent="0.3">
      <c r="A48" s="115"/>
      <c r="B48" s="115"/>
      <c r="C48" s="115"/>
      <c r="D48" s="115"/>
      <c r="E48" s="115"/>
      <c r="F48" s="115"/>
      <c r="G48" s="115"/>
      <c r="H48" s="115"/>
      <c r="I48" s="115"/>
    </row>
    <row r="49" spans="1:9" x14ac:dyDescent="0.3">
      <c r="A49" s="115"/>
      <c r="B49" s="115"/>
      <c r="C49" s="115"/>
      <c r="D49" s="115"/>
      <c r="E49" s="115"/>
      <c r="F49" s="115"/>
      <c r="G49" s="115"/>
      <c r="H49" s="115"/>
      <c r="I49" s="115"/>
    </row>
    <row r="50" spans="1:9" x14ac:dyDescent="0.3">
      <c r="A50" s="115"/>
      <c r="B50" s="115"/>
      <c r="C50" s="115"/>
      <c r="D50" s="115"/>
      <c r="E50" s="115"/>
      <c r="F50" s="115"/>
      <c r="G50" s="115"/>
      <c r="H50" s="115"/>
      <c r="I50" s="115"/>
    </row>
    <row r="51" spans="1:9" x14ac:dyDescent="0.3">
      <c r="A51" s="115"/>
      <c r="B51" s="115"/>
      <c r="C51" s="115"/>
      <c r="D51" s="115"/>
      <c r="E51" s="115"/>
      <c r="F51" s="115"/>
      <c r="G51" s="115"/>
      <c r="H51" s="115"/>
      <c r="I51" s="115"/>
    </row>
    <row r="52" spans="1:9" x14ac:dyDescent="0.3">
      <c r="A52" s="115"/>
      <c r="B52" s="115"/>
      <c r="C52" s="115"/>
      <c r="D52" s="115"/>
      <c r="E52" s="115"/>
      <c r="F52" s="115"/>
      <c r="G52" s="115"/>
      <c r="H52" s="115"/>
      <c r="I52" s="115"/>
    </row>
    <row r="53" spans="1:9" x14ac:dyDescent="0.3">
      <c r="A53" s="115"/>
      <c r="B53" s="115"/>
      <c r="C53" s="115"/>
      <c r="D53" s="115"/>
      <c r="E53" s="115"/>
      <c r="F53" s="115"/>
      <c r="G53" s="115"/>
      <c r="H53" s="115"/>
      <c r="I53" s="115"/>
    </row>
    <row r="54" spans="1:9" x14ac:dyDescent="0.3">
      <c r="A54" s="115"/>
      <c r="B54" s="115"/>
      <c r="C54" s="115"/>
      <c r="D54" s="115"/>
      <c r="E54" s="115"/>
      <c r="F54" s="115"/>
      <c r="G54" s="115"/>
      <c r="H54" s="115"/>
      <c r="I54" s="115"/>
    </row>
    <row r="55" spans="1:9" x14ac:dyDescent="0.3">
      <c r="A55" s="115"/>
      <c r="B55" s="115"/>
      <c r="C55" s="115"/>
      <c r="D55" s="115"/>
      <c r="E55" s="115"/>
      <c r="F55" s="115"/>
      <c r="G55" s="115"/>
      <c r="H55" s="115"/>
      <c r="I55" s="115"/>
    </row>
    <row r="56" spans="1:9" x14ac:dyDescent="0.3">
      <c r="A56" s="115"/>
      <c r="B56" s="115"/>
      <c r="C56" s="115"/>
      <c r="D56" s="115"/>
      <c r="E56" s="115"/>
      <c r="F56" s="115"/>
      <c r="G56" s="115"/>
      <c r="H56" s="115"/>
      <c r="I56" s="115"/>
    </row>
    <row r="57" spans="1:9" x14ac:dyDescent="0.3">
      <c r="A57" s="115"/>
      <c r="B57" s="115"/>
      <c r="C57" s="115"/>
      <c r="D57" s="115"/>
      <c r="E57" s="115"/>
      <c r="F57" s="115"/>
      <c r="G57" s="115"/>
      <c r="H57" s="115"/>
      <c r="I57" s="115"/>
    </row>
    <row r="58" spans="1:9" x14ac:dyDescent="0.3">
      <c r="A58" s="115"/>
      <c r="B58" s="115"/>
      <c r="C58" s="115"/>
      <c r="D58" s="115"/>
      <c r="E58" s="115"/>
      <c r="F58" s="115"/>
      <c r="G58" s="115"/>
      <c r="H58" s="115"/>
      <c r="I58" s="115"/>
    </row>
    <row r="59" spans="1:9" x14ac:dyDescent="0.3">
      <c r="A59" s="115"/>
      <c r="B59" s="115"/>
      <c r="C59" s="115"/>
      <c r="D59" s="115"/>
      <c r="E59" s="115"/>
      <c r="F59" s="115"/>
      <c r="G59" s="115"/>
      <c r="H59" s="115"/>
      <c r="I59" s="115"/>
    </row>
    <row r="60" spans="1:9" x14ac:dyDescent="0.3">
      <c r="A60" s="115"/>
      <c r="B60" s="115"/>
      <c r="C60" s="115"/>
      <c r="D60" s="115"/>
      <c r="E60" s="115"/>
      <c r="F60" s="115"/>
      <c r="G60" s="115"/>
      <c r="H60" s="115"/>
      <c r="I60" s="115"/>
    </row>
    <row r="61" spans="1:9" x14ac:dyDescent="0.3">
      <c r="A61" s="115"/>
      <c r="B61" s="115"/>
      <c r="C61" s="115"/>
      <c r="D61" s="115"/>
      <c r="E61" s="115"/>
      <c r="F61" s="115"/>
      <c r="G61" s="115"/>
      <c r="H61" s="115"/>
      <c r="I61" s="115"/>
    </row>
    <row r="62" spans="1:9" x14ac:dyDescent="0.3">
      <c r="A62" s="115"/>
      <c r="B62" s="115"/>
      <c r="C62" s="115"/>
      <c r="D62" s="115"/>
      <c r="E62" s="115"/>
      <c r="F62" s="115"/>
      <c r="G62" s="115"/>
      <c r="H62" s="115"/>
      <c r="I62" s="115"/>
    </row>
    <row r="63" spans="1:9" x14ac:dyDescent="0.3">
      <c r="A63" s="115"/>
      <c r="B63" s="115"/>
      <c r="C63" s="115"/>
      <c r="D63" s="115"/>
      <c r="E63" s="115"/>
      <c r="F63" s="115"/>
      <c r="G63" s="115"/>
      <c r="H63" s="115"/>
      <c r="I63" s="115"/>
    </row>
    <row r="64" spans="1:9" x14ac:dyDescent="0.3">
      <c r="A64" s="115"/>
      <c r="B64" s="115"/>
      <c r="C64" s="115"/>
      <c r="D64" s="115"/>
      <c r="E64" s="115"/>
      <c r="F64" s="115"/>
      <c r="G64" s="115"/>
      <c r="H64" s="115"/>
      <c r="I64" s="115"/>
    </row>
    <row r="65" spans="1:9" x14ac:dyDescent="0.3">
      <c r="A65" s="115"/>
      <c r="B65" s="115"/>
      <c r="C65" s="115"/>
      <c r="D65" s="115"/>
      <c r="E65" s="115"/>
      <c r="F65" s="115"/>
      <c r="G65" s="115"/>
      <c r="H65" s="115"/>
      <c r="I65" s="115"/>
    </row>
    <row r="66" spans="1:9" x14ac:dyDescent="0.3">
      <c r="A66" s="115"/>
      <c r="B66" s="115"/>
      <c r="C66" s="115"/>
      <c r="D66" s="115"/>
      <c r="E66" s="115"/>
      <c r="F66" s="115"/>
      <c r="G66" s="115"/>
      <c r="H66" s="115"/>
      <c r="I66" s="115"/>
    </row>
    <row r="67" spans="1:9" x14ac:dyDescent="0.3">
      <c r="A67" s="115"/>
      <c r="B67" s="115"/>
      <c r="C67" s="115"/>
      <c r="D67" s="115"/>
      <c r="E67" s="115"/>
      <c r="F67" s="115"/>
      <c r="G67" s="115"/>
      <c r="H67" s="115"/>
      <c r="I67" s="115"/>
    </row>
    <row r="68" spans="1:9" x14ac:dyDescent="0.3">
      <c r="A68" s="115"/>
      <c r="B68" s="115"/>
      <c r="C68" s="115"/>
      <c r="D68" s="115"/>
      <c r="E68" s="115"/>
      <c r="F68" s="115"/>
      <c r="G68" s="115"/>
      <c r="H68" s="115"/>
      <c r="I68" s="115"/>
    </row>
    <row r="69" spans="1:9" x14ac:dyDescent="0.3">
      <c r="A69" s="115"/>
      <c r="B69" s="115"/>
      <c r="C69" s="115"/>
      <c r="D69" s="115"/>
      <c r="E69" s="115"/>
      <c r="F69" s="115"/>
      <c r="G69" s="115"/>
      <c r="H69" s="115"/>
      <c r="I69" s="115"/>
    </row>
    <row r="70" spans="1:9" x14ac:dyDescent="0.3">
      <c r="A70" s="115"/>
      <c r="B70" s="115"/>
      <c r="C70" s="115"/>
      <c r="D70" s="115"/>
      <c r="E70" s="115"/>
      <c r="F70" s="115"/>
      <c r="G70" s="115"/>
      <c r="H70" s="115"/>
      <c r="I70" s="115"/>
    </row>
    <row r="71" spans="1:9" x14ac:dyDescent="0.3">
      <c r="A71" s="115"/>
      <c r="B71" s="115"/>
      <c r="C71" s="115"/>
      <c r="D71" s="115"/>
      <c r="E71" s="115"/>
      <c r="F71" s="115"/>
      <c r="G71" s="115"/>
      <c r="H71" s="115"/>
      <c r="I71" s="115"/>
    </row>
    <row r="72" spans="1:9" x14ac:dyDescent="0.3">
      <c r="A72" s="115"/>
      <c r="B72" s="115"/>
      <c r="C72" s="115"/>
      <c r="D72" s="115"/>
      <c r="E72" s="115"/>
      <c r="F72" s="115"/>
      <c r="G72" s="115"/>
      <c r="H72" s="115"/>
      <c r="I72" s="115"/>
    </row>
    <row r="73" spans="1:9" x14ac:dyDescent="0.3">
      <c r="A73" s="115"/>
      <c r="B73" s="115"/>
      <c r="C73" s="115"/>
      <c r="D73" s="115"/>
      <c r="E73" s="115"/>
      <c r="F73" s="115"/>
      <c r="G73" s="115"/>
      <c r="H73" s="115"/>
      <c r="I73" s="115"/>
    </row>
    <row r="74" spans="1:9" x14ac:dyDescent="0.3">
      <c r="A74" s="115"/>
      <c r="B74" s="115"/>
      <c r="C74" s="115"/>
      <c r="D74" s="115"/>
      <c r="E74" s="115"/>
      <c r="F74" s="115"/>
      <c r="G74" s="115"/>
      <c r="H74" s="115"/>
      <c r="I74" s="115"/>
    </row>
    <row r="75" spans="1:9" x14ac:dyDescent="0.3">
      <c r="A75" s="115"/>
      <c r="B75" s="115"/>
      <c r="C75" s="115"/>
      <c r="D75" s="115"/>
      <c r="E75" s="115"/>
      <c r="F75" s="115"/>
      <c r="G75" s="115"/>
      <c r="H75" s="115"/>
      <c r="I75" s="115"/>
    </row>
    <row r="76" spans="1:9" x14ac:dyDescent="0.3">
      <c r="A76" s="115"/>
      <c r="B76" s="115"/>
      <c r="C76" s="115"/>
      <c r="D76" s="115"/>
      <c r="E76" s="115"/>
      <c r="F76" s="115"/>
      <c r="G76" s="115"/>
      <c r="H76" s="115"/>
      <c r="I76" s="115"/>
    </row>
    <row r="77" spans="1:9" x14ac:dyDescent="0.3">
      <c r="A77" s="115"/>
      <c r="B77" s="115"/>
      <c r="C77" s="115"/>
      <c r="D77" s="115"/>
      <c r="E77" s="115"/>
      <c r="F77" s="115"/>
      <c r="G77" s="115"/>
      <c r="H77" s="115"/>
      <c r="I77" s="115"/>
    </row>
    <row r="78" spans="1:9" x14ac:dyDescent="0.3">
      <c r="A78" s="115"/>
      <c r="B78" s="115"/>
      <c r="C78" s="115"/>
      <c r="D78" s="115"/>
      <c r="E78" s="115"/>
      <c r="F78" s="115"/>
      <c r="G78" s="115"/>
      <c r="H78" s="115"/>
      <c r="I78" s="115"/>
    </row>
    <row r="79" spans="1:9" x14ac:dyDescent="0.3">
      <c r="A79" s="115"/>
      <c r="B79" s="115"/>
      <c r="C79" s="115"/>
      <c r="D79" s="115"/>
      <c r="E79" s="115"/>
      <c r="F79" s="115"/>
      <c r="G79" s="115"/>
      <c r="H79" s="115"/>
      <c r="I79" s="115"/>
    </row>
    <row r="80" spans="1:9" x14ac:dyDescent="0.3">
      <c r="A80" s="115"/>
      <c r="B80" s="115"/>
      <c r="C80" s="115"/>
      <c r="D80" s="115"/>
      <c r="E80" s="115"/>
      <c r="F80" s="115"/>
      <c r="G80" s="115"/>
      <c r="H80" s="115"/>
      <c r="I80" s="115"/>
    </row>
    <row r="81" spans="1:9" x14ac:dyDescent="0.3">
      <c r="A81" s="115"/>
      <c r="B81" s="115"/>
      <c r="C81" s="115"/>
      <c r="D81" s="115"/>
      <c r="E81" s="115"/>
      <c r="F81" s="115"/>
      <c r="G81" s="115"/>
      <c r="H81" s="115"/>
      <c r="I81" s="115"/>
    </row>
    <row r="82" spans="1:9" x14ac:dyDescent="0.3">
      <c r="A82" s="115"/>
      <c r="B82" s="115"/>
      <c r="C82" s="115"/>
      <c r="D82" s="115"/>
      <c r="E82" s="115"/>
      <c r="F82" s="115"/>
      <c r="G82" s="115"/>
      <c r="H82" s="115"/>
      <c r="I82" s="115"/>
    </row>
    <row r="83" spans="1:9" x14ac:dyDescent="0.3">
      <c r="A83" s="115"/>
      <c r="B83" s="115"/>
      <c r="C83" s="115"/>
      <c r="D83" s="115"/>
      <c r="E83" s="115"/>
      <c r="F83" s="115"/>
      <c r="G83" s="115"/>
      <c r="H83" s="115"/>
      <c r="I83" s="115"/>
    </row>
    <row r="84" spans="1:9" x14ac:dyDescent="0.3">
      <c r="A84" s="115"/>
      <c r="B84" s="115"/>
      <c r="C84" s="115"/>
      <c r="D84" s="115"/>
      <c r="E84" s="115"/>
      <c r="F84" s="115"/>
      <c r="G84" s="115"/>
      <c r="H84" s="115"/>
      <c r="I84" s="115"/>
    </row>
    <row r="85" spans="1:9" x14ac:dyDescent="0.3">
      <c r="A85" s="115"/>
      <c r="B85" s="115"/>
      <c r="C85" s="115"/>
      <c r="D85" s="115"/>
      <c r="E85" s="115"/>
      <c r="F85" s="115"/>
      <c r="G85" s="115"/>
      <c r="H85" s="115"/>
      <c r="I85" s="115"/>
    </row>
    <row r="86" spans="1:9" x14ac:dyDescent="0.3">
      <c r="A86" s="115"/>
      <c r="B86" s="115"/>
      <c r="C86" s="115"/>
      <c r="D86" s="115"/>
      <c r="E86" s="115"/>
      <c r="F86" s="115"/>
      <c r="G86" s="115"/>
      <c r="H86" s="115"/>
      <c r="I86" s="115"/>
    </row>
    <row r="87" spans="1:9" x14ac:dyDescent="0.3">
      <c r="A87" s="115"/>
      <c r="B87" s="115"/>
      <c r="C87" s="115"/>
      <c r="D87" s="115"/>
      <c r="E87" s="115"/>
      <c r="F87" s="115"/>
      <c r="G87" s="115"/>
      <c r="H87" s="115"/>
      <c r="I87" s="115"/>
    </row>
  </sheetData>
  <mergeCells count="14">
    <mergeCell ref="A19:A20"/>
    <mergeCell ref="A1:H1"/>
    <mergeCell ref="G2:H2"/>
    <mergeCell ref="A3:H3"/>
    <mergeCell ref="A4:A7"/>
    <mergeCell ref="B4:B7"/>
    <mergeCell ref="C4:H4"/>
    <mergeCell ref="C5:H5"/>
    <mergeCell ref="C6:E6"/>
    <mergeCell ref="F6:H6"/>
    <mergeCell ref="A11:A12"/>
    <mergeCell ref="A13:A14"/>
    <mergeCell ref="A15:A16"/>
    <mergeCell ref="A17:A18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N222"/>
  <sheetViews>
    <sheetView view="pageBreakPreview" zoomScale="70" zoomScaleNormal="100" zoomScaleSheetLayoutView="70" workbookViewId="0">
      <selection activeCell="B4" sqref="B4:M4"/>
    </sheetView>
  </sheetViews>
  <sheetFormatPr defaultRowHeight="14.4" x14ac:dyDescent="0.3"/>
  <cols>
    <col min="1" max="1" width="14.6640625" customWidth="1"/>
    <col min="2" max="13" width="9.21875" customWidth="1"/>
  </cols>
  <sheetData>
    <row r="1" spans="1:14" x14ac:dyDescent="0.3">
      <c r="A1" s="237" t="s">
        <v>213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115"/>
    </row>
    <row r="2" spans="1:14" x14ac:dyDescent="0.3">
      <c r="A2" s="314" t="str">
        <f>year!$H$2</f>
        <v>UT : PUDUCHERRY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238" t="s">
        <v>127</v>
      </c>
      <c r="M2" s="238"/>
      <c r="N2" s="115"/>
    </row>
    <row r="3" spans="1:14" x14ac:dyDescent="0.3">
      <c r="A3" s="241" t="str">
        <f>"CROPWISE RESPONSE IN SAMPLE CHECK ON CROP CUTTING EXPERIMENT DURING "&amp;year!$C$4&amp;" AND "&amp;year!$C$5 &amp; "."</f>
        <v>CROPWISE RESPONSE IN SAMPLE CHECK ON CROP CUTTING EXPERIMENT DURING 2023-24 AND 2022-23.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115"/>
    </row>
    <row r="4" spans="1:14" x14ac:dyDescent="0.3">
      <c r="A4" s="242" t="s">
        <v>128</v>
      </c>
      <c r="B4" s="243" t="s">
        <v>302</v>
      </c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115"/>
    </row>
    <row r="5" spans="1:14" x14ac:dyDescent="0.3">
      <c r="A5" s="242"/>
      <c r="B5" s="245" t="str">
        <f>year!$J$4</f>
        <v>YEAR 2023-24</v>
      </c>
      <c r="C5" s="245"/>
      <c r="D5" s="245"/>
      <c r="E5" s="245"/>
      <c r="F5" s="245"/>
      <c r="G5" s="245"/>
      <c r="H5" s="315" t="str">
        <f>year!$J$5</f>
        <v>YEAR 2022-23</v>
      </c>
      <c r="I5" s="316"/>
      <c r="J5" s="316"/>
      <c r="K5" s="316"/>
      <c r="L5" s="316"/>
      <c r="M5" s="316"/>
      <c r="N5" s="115"/>
    </row>
    <row r="6" spans="1:14" ht="100.8" x14ac:dyDescent="0.3">
      <c r="A6" s="243"/>
      <c r="B6" s="99" t="s">
        <v>121</v>
      </c>
      <c r="C6" s="99" t="s">
        <v>129</v>
      </c>
      <c r="D6" s="99" t="s">
        <v>130</v>
      </c>
      <c r="E6" s="99" t="s">
        <v>131</v>
      </c>
      <c r="F6" s="99" t="s">
        <v>132</v>
      </c>
      <c r="G6" s="99" t="s">
        <v>133</v>
      </c>
      <c r="H6" s="163" t="s">
        <v>121</v>
      </c>
      <c r="I6" s="99" t="s">
        <v>129</v>
      </c>
      <c r="J6" s="99" t="s">
        <v>130</v>
      </c>
      <c r="K6" s="99" t="s">
        <v>131</v>
      </c>
      <c r="L6" s="99" t="s">
        <v>132</v>
      </c>
      <c r="M6" s="99" t="s">
        <v>133</v>
      </c>
      <c r="N6" s="115"/>
    </row>
    <row r="7" spans="1:14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64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15"/>
    </row>
    <row r="8" spans="1:14" x14ac:dyDescent="0.3">
      <c r="A8" s="98" t="str">
        <f>year!$C$3</f>
        <v>RABI I</v>
      </c>
      <c r="B8" s="101"/>
      <c r="C8" s="101"/>
      <c r="D8" s="101"/>
      <c r="E8" s="101"/>
      <c r="F8" s="101"/>
      <c r="G8" s="101"/>
      <c r="H8" s="132"/>
      <c r="I8" s="101"/>
      <c r="J8" s="101"/>
      <c r="K8" s="101"/>
      <c r="L8" s="101"/>
      <c r="M8" s="101"/>
      <c r="N8" s="115"/>
    </row>
    <row r="9" spans="1:14" x14ac:dyDescent="0.3">
      <c r="A9" s="111" t="str">
        <f>year!$C$9</f>
        <v>PADDY</v>
      </c>
      <c r="B9" s="101"/>
      <c r="C9" s="101"/>
      <c r="D9" s="101"/>
      <c r="E9" s="101"/>
      <c r="F9" s="101"/>
      <c r="G9" s="101"/>
      <c r="H9" s="132"/>
      <c r="I9" s="101"/>
      <c r="J9" s="101"/>
      <c r="K9" s="101"/>
      <c r="L9" s="101"/>
      <c r="M9" s="101"/>
      <c r="N9" s="115"/>
    </row>
    <row r="10" spans="1:14" x14ac:dyDescent="0.3">
      <c r="A10" s="112" t="str">
        <f>IF(A9="","","CENTRAL" )</f>
        <v>CENTRAL</v>
      </c>
      <c r="B10" s="113">
        <v>10</v>
      </c>
      <c r="C10" s="113" t="s">
        <v>655</v>
      </c>
      <c r="D10" s="113" t="s">
        <v>440</v>
      </c>
      <c r="E10" s="113" t="s">
        <v>440</v>
      </c>
      <c r="F10" s="113" t="s">
        <v>440</v>
      </c>
      <c r="G10" s="113" t="s">
        <v>440</v>
      </c>
      <c r="H10" s="136">
        <v>10</v>
      </c>
      <c r="I10" s="113" t="s">
        <v>655</v>
      </c>
      <c r="J10" s="113" t="s">
        <v>440</v>
      </c>
      <c r="K10" s="113" t="s">
        <v>440</v>
      </c>
      <c r="L10" s="113" t="s">
        <v>440</v>
      </c>
      <c r="M10" s="113" t="s">
        <v>440</v>
      </c>
      <c r="N10" s="115"/>
    </row>
    <row r="11" spans="1:14" x14ac:dyDescent="0.3">
      <c r="A11" s="72" t="str">
        <f>IF(A9="","","(%)")</f>
        <v>(%)</v>
      </c>
      <c r="B11" s="113"/>
      <c r="C11" s="113" t="s">
        <v>657</v>
      </c>
      <c r="D11" s="113" t="s">
        <v>659</v>
      </c>
      <c r="E11" s="113" t="s">
        <v>659</v>
      </c>
      <c r="F11" s="113" t="s">
        <v>659</v>
      </c>
      <c r="G11" s="113" t="s">
        <v>659</v>
      </c>
      <c r="H11" s="136"/>
      <c r="I11" s="113" t="s">
        <v>657</v>
      </c>
      <c r="J11" s="113" t="s">
        <v>659</v>
      </c>
      <c r="K11" s="113" t="s">
        <v>659</v>
      </c>
      <c r="L11" s="113" t="s">
        <v>659</v>
      </c>
      <c r="M11" s="113" t="s">
        <v>659</v>
      </c>
      <c r="N11" s="115"/>
    </row>
    <row r="12" spans="1:14" x14ac:dyDescent="0.3">
      <c r="A12" s="112" t="str">
        <f>IF(A9="","","STATE")</f>
        <v>STATE</v>
      </c>
      <c r="B12" s="113">
        <v>10</v>
      </c>
      <c r="C12" s="113" t="s">
        <v>655</v>
      </c>
      <c r="D12" s="113" t="s">
        <v>440</v>
      </c>
      <c r="E12" s="113" t="s">
        <v>440</v>
      </c>
      <c r="F12" s="113" t="s">
        <v>440</v>
      </c>
      <c r="G12" s="113" t="s">
        <v>440</v>
      </c>
      <c r="H12" s="136">
        <v>10</v>
      </c>
      <c r="I12" s="113" t="s">
        <v>655</v>
      </c>
      <c r="J12" s="113" t="s">
        <v>440</v>
      </c>
      <c r="K12" s="113" t="s">
        <v>440</v>
      </c>
      <c r="L12" s="113" t="s">
        <v>440</v>
      </c>
      <c r="M12" s="113" t="s">
        <v>440</v>
      </c>
      <c r="N12" s="115"/>
    </row>
    <row r="13" spans="1:14" x14ac:dyDescent="0.3">
      <c r="A13" s="72" t="str">
        <f>IF(A9="","","(%)")</f>
        <v>(%)</v>
      </c>
      <c r="B13" s="113"/>
      <c r="C13" s="113" t="s">
        <v>657</v>
      </c>
      <c r="D13" s="113" t="s">
        <v>659</v>
      </c>
      <c r="E13" s="113" t="s">
        <v>659</v>
      </c>
      <c r="F13" s="113" t="s">
        <v>659</v>
      </c>
      <c r="G13" s="113" t="s">
        <v>659</v>
      </c>
      <c r="H13" s="136"/>
      <c r="I13" s="113" t="s">
        <v>657</v>
      </c>
      <c r="J13" s="113" t="s">
        <v>659</v>
      </c>
      <c r="K13" s="113" t="s">
        <v>659</v>
      </c>
      <c r="L13" s="113" t="s">
        <v>659</v>
      </c>
      <c r="M13" s="113" t="s">
        <v>659</v>
      </c>
      <c r="N13" s="115"/>
    </row>
    <row r="14" spans="1:14" x14ac:dyDescent="0.3">
      <c r="A14" s="112" t="str">
        <f>IF(A9="","","POOLED")</f>
        <v>POOLED</v>
      </c>
      <c r="B14" s="113">
        <v>20</v>
      </c>
      <c r="C14" s="113" t="s">
        <v>656</v>
      </c>
      <c r="D14" s="113" t="s">
        <v>440</v>
      </c>
      <c r="E14" s="113" t="s">
        <v>440</v>
      </c>
      <c r="F14" s="113" t="s">
        <v>440</v>
      </c>
      <c r="G14" s="113" t="s">
        <v>440</v>
      </c>
      <c r="H14" s="136">
        <v>20</v>
      </c>
      <c r="I14" s="113" t="s">
        <v>656</v>
      </c>
      <c r="J14" s="113" t="s">
        <v>440</v>
      </c>
      <c r="K14" s="113" t="s">
        <v>440</v>
      </c>
      <c r="L14" s="113" t="s">
        <v>440</v>
      </c>
      <c r="M14" s="113" t="s">
        <v>440</v>
      </c>
      <c r="N14" s="115"/>
    </row>
    <row r="15" spans="1:14" x14ac:dyDescent="0.3">
      <c r="A15" s="74" t="str">
        <f>IF(A9="","","(%)")</f>
        <v>(%)</v>
      </c>
      <c r="B15" s="153"/>
      <c r="C15" s="153" t="s">
        <v>657</v>
      </c>
      <c r="D15" s="153" t="s">
        <v>659</v>
      </c>
      <c r="E15" s="153" t="s">
        <v>659</v>
      </c>
      <c r="F15" s="153" t="s">
        <v>659</v>
      </c>
      <c r="G15" s="153" t="s">
        <v>659</v>
      </c>
      <c r="H15" s="165"/>
      <c r="I15" s="153" t="s">
        <v>657</v>
      </c>
      <c r="J15" s="153" t="s">
        <v>659</v>
      </c>
      <c r="K15" s="153" t="s">
        <v>659</v>
      </c>
      <c r="L15" s="153" t="s">
        <v>659</v>
      </c>
      <c r="M15" s="153" t="s">
        <v>659</v>
      </c>
      <c r="N15" s="115"/>
    </row>
    <row r="16" spans="1:14" hidden="1" x14ac:dyDescent="0.3">
      <c r="A16" s="119" t="s">
        <v>231</v>
      </c>
      <c r="B16" s="113"/>
      <c r="C16" s="113"/>
      <c r="D16" s="113"/>
      <c r="E16" s="113"/>
      <c r="F16" s="113"/>
      <c r="G16" s="113"/>
      <c r="H16" s="136"/>
      <c r="I16" s="113"/>
      <c r="J16" s="113"/>
      <c r="K16" s="113"/>
      <c r="L16" s="113"/>
      <c r="M16" s="113"/>
      <c r="N16" s="115"/>
    </row>
    <row r="17" spans="1:14" hidden="1" x14ac:dyDescent="0.3">
      <c r="A17" s="112" t="str">
        <f t="shared" ref="A17" si="0">IF(A16="","","CENTRAL" )</f>
        <v/>
      </c>
      <c r="B17" s="113" t="s">
        <v>231</v>
      </c>
      <c r="C17" s="113" t="s">
        <v>658</v>
      </c>
      <c r="D17" s="113" t="s">
        <v>658</v>
      </c>
      <c r="E17" s="113" t="s">
        <v>658</v>
      </c>
      <c r="F17" s="113" t="s">
        <v>658</v>
      </c>
      <c r="G17" s="113" t="s">
        <v>658</v>
      </c>
      <c r="H17" s="136" t="s">
        <v>231</v>
      </c>
      <c r="I17" s="113" t="s">
        <v>658</v>
      </c>
      <c r="J17" s="113" t="s">
        <v>658</v>
      </c>
      <c r="K17" s="113" t="s">
        <v>658</v>
      </c>
      <c r="L17" s="113" t="s">
        <v>658</v>
      </c>
      <c r="M17" s="113" t="s">
        <v>658</v>
      </c>
      <c r="N17" s="115"/>
    </row>
    <row r="18" spans="1:14" hidden="1" x14ac:dyDescent="0.3">
      <c r="A18" s="72" t="str">
        <f t="shared" ref="A18" si="1">IF(A16="","","(%)")</f>
        <v/>
      </c>
      <c r="B18" s="113"/>
      <c r="C18" s="113" t="s">
        <v>231</v>
      </c>
      <c r="D18" s="113" t="s">
        <v>231</v>
      </c>
      <c r="E18" s="113" t="s">
        <v>231</v>
      </c>
      <c r="F18" s="113" t="s">
        <v>231</v>
      </c>
      <c r="G18" s="113" t="s">
        <v>231</v>
      </c>
      <c r="H18" s="136"/>
      <c r="I18" s="113" t="s">
        <v>231</v>
      </c>
      <c r="J18" s="113" t="s">
        <v>231</v>
      </c>
      <c r="K18" s="113" t="s">
        <v>231</v>
      </c>
      <c r="L18" s="113" t="s">
        <v>231</v>
      </c>
      <c r="M18" s="113" t="s">
        <v>231</v>
      </c>
      <c r="N18" s="115"/>
    </row>
    <row r="19" spans="1:14" hidden="1" x14ac:dyDescent="0.3">
      <c r="A19" s="112" t="str">
        <f t="shared" ref="A19" si="2">IF(A16="","","STATE")</f>
        <v/>
      </c>
      <c r="B19" s="113" t="s">
        <v>231</v>
      </c>
      <c r="C19" s="113" t="s">
        <v>658</v>
      </c>
      <c r="D19" s="113" t="s">
        <v>658</v>
      </c>
      <c r="E19" s="113" t="s">
        <v>658</v>
      </c>
      <c r="F19" s="113" t="s">
        <v>658</v>
      </c>
      <c r="G19" s="113" t="s">
        <v>658</v>
      </c>
      <c r="H19" s="136" t="s">
        <v>231</v>
      </c>
      <c r="I19" s="113" t="s">
        <v>658</v>
      </c>
      <c r="J19" s="113" t="s">
        <v>658</v>
      </c>
      <c r="K19" s="113" t="s">
        <v>658</v>
      </c>
      <c r="L19" s="113" t="s">
        <v>658</v>
      </c>
      <c r="M19" s="113" t="s">
        <v>658</v>
      </c>
      <c r="N19" s="115"/>
    </row>
    <row r="20" spans="1:14" hidden="1" x14ac:dyDescent="0.3">
      <c r="A20" s="72" t="str">
        <f t="shared" ref="A20" si="3">IF(A16="","","(%)")</f>
        <v/>
      </c>
      <c r="B20" s="113"/>
      <c r="C20" s="113" t="s">
        <v>231</v>
      </c>
      <c r="D20" s="113" t="s">
        <v>231</v>
      </c>
      <c r="E20" s="113" t="s">
        <v>231</v>
      </c>
      <c r="F20" s="113" t="s">
        <v>231</v>
      </c>
      <c r="G20" s="113" t="s">
        <v>231</v>
      </c>
      <c r="H20" s="136"/>
      <c r="I20" s="113" t="s">
        <v>231</v>
      </c>
      <c r="J20" s="113" t="s">
        <v>231</v>
      </c>
      <c r="K20" s="113" t="s">
        <v>231</v>
      </c>
      <c r="L20" s="113" t="s">
        <v>231</v>
      </c>
      <c r="M20" s="113" t="s">
        <v>231</v>
      </c>
      <c r="N20" s="115"/>
    </row>
    <row r="21" spans="1:14" hidden="1" x14ac:dyDescent="0.3">
      <c r="A21" s="112" t="str">
        <f t="shared" ref="A21" si="4">IF(A16="","","POOLED")</f>
        <v/>
      </c>
      <c r="B21" s="113" t="s">
        <v>231</v>
      </c>
      <c r="C21" s="113" t="s">
        <v>658</v>
      </c>
      <c r="D21" s="113" t="s">
        <v>658</v>
      </c>
      <c r="E21" s="113" t="s">
        <v>658</v>
      </c>
      <c r="F21" s="113" t="s">
        <v>658</v>
      </c>
      <c r="G21" s="113" t="s">
        <v>658</v>
      </c>
      <c r="H21" s="136" t="s">
        <v>231</v>
      </c>
      <c r="I21" s="113" t="s">
        <v>658</v>
      </c>
      <c r="J21" s="113" t="s">
        <v>658</v>
      </c>
      <c r="K21" s="113" t="s">
        <v>658</v>
      </c>
      <c r="L21" s="113" t="s">
        <v>658</v>
      </c>
      <c r="M21" s="113" t="s">
        <v>658</v>
      </c>
      <c r="N21" s="115"/>
    </row>
    <row r="22" spans="1:14" hidden="1" x14ac:dyDescent="0.3">
      <c r="A22" s="72" t="str">
        <f t="shared" ref="A22" si="5">IF(A16="","","(%)")</f>
        <v/>
      </c>
      <c r="B22" s="113"/>
      <c r="C22" s="113" t="s">
        <v>231</v>
      </c>
      <c r="D22" s="113" t="s">
        <v>231</v>
      </c>
      <c r="E22" s="113" t="s">
        <v>231</v>
      </c>
      <c r="F22" s="113" t="s">
        <v>231</v>
      </c>
      <c r="G22" s="113" t="s">
        <v>231</v>
      </c>
      <c r="H22" s="136"/>
      <c r="I22" s="113" t="s">
        <v>231</v>
      </c>
      <c r="J22" s="113" t="s">
        <v>231</v>
      </c>
      <c r="K22" s="113" t="s">
        <v>231</v>
      </c>
      <c r="L22" s="113" t="s">
        <v>231</v>
      </c>
      <c r="M22" s="113" t="s">
        <v>231</v>
      </c>
      <c r="N22" s="115"/>
    </row>
    <row r="23" spans="1:14" hidden="1" x14ac:dyDescent="0.3">
      <c r="A23" s="119" t="s">
        <v>231</v>
      </c>
      <c r="B23" s="113"/>
      <c r="C23" s="113"/>
      <c r="D23" s="113"/>
      <c r="E23" s="113"/>
      <c r="F23" s="113"/>
      <c r="G23" s="113"/>
      <c r="H23" s="136"/>
      <c r="I23" s="113"/>
      <c r="J23" s="113"/>
      <c r="K23" s="113"/>
      <c r="L23" s="113"/>
      <c r="M23" s="113"/>
      <c r="N23" s="115"/>
    </row>
    <row r="24" spans="1:14" hidden="1" x14ac:dyDescent="0.3">
      <c r="A24" s="112" t="str">
        <f t="shared" ref="A24" si="6">IF(A23="","","CENTRAL" )</f>
        <v/>
      </c>
      <c r="B24" s="113" t="s">
        <v>231</v>
      </c>
      <c r="C24" s="113" t="s">
        <v>658</v>
      </c>
      <c r="D24" s="113" t="s">
        <v>658</v>
      </c>
      <c r="E24" s="113" t="s">
        <v>658</v>
      </c>
      <c r="F24" s="113" t="s">
        <v>658</v>
      </c>
      <c r="G24" s="113" t="s">
        <v>658</v>
      </c>
      <c r="H24" s="136" t="s">
        <v>231</v>
      </c>
      <c r="I24" s="113" t="s">
        <v>658</v>
      </c>
      <c r="J24" s="113" t="s">
        <v>658</v>
      </c>
      <c r="K24" s="113" t="s">
        <v>658</v>
      </c>
      <c r="L24" s="113" t="s">
        <v>658</v>
      </c>
      <c r="M24" s="113" t="s">
        <v>658</v>
      </c>
      <c r="N24" s="115"/>
    </row>
    <row r="25" spans="1:14" hidden="1" x14ac:dyDescent="0.3">
      <c r="A25" s="72" t="str">
        <f t="shared" ref="A25" si="7">IF(A23="","","(%)")</f>
        <v/>
      </c>
      <c r="B25" s="113"/>
      <c r="C25" s="113" t="s">
        <v>231</v>
      </c>
      <c r="D25" s="113" t="s">
        <v>231</v>
      </c>
      <c r="E25" s="113" t="s">
        <v>231</v>
      </c>
      <c r="F25" s="113" t="s">
        <v>231</v>
      </c>
      <c r="G25" s="113" t="s">
        <v>231</v>
      </c>
      <c r="H25" s="136"/>
      <c r="I25" s="113" t="s">
        <v>231</v>
      </c>
      <c r="J25" s="113" t="s">
        <v>231</v>
      </c>
      <c r="K25" s="113" t="s">
        <v>231</v>
      </c>
      <c r="L25" s="113" t="s">
        <v>231</v>
      </c>
      <c r="M25" s="113" t="s">
        <v>231</v>
      </c>
      <c r="N25" s="115"/>
    </row>
    <row r="26" spans="1:14" hidden="1" x14ac:dyDescent="0.3">
      <c r="A26" s="112" t="str">
        <f t="shared" ref="A26" si="8">IF(A23="","","STATE")</f>
        <v/>
      </c>
      <c r="B26" s="113" t="s">
        <v>231</v>
      </c>
      <c r="C26" s="113" t="s">
        <v>658</v>
      </c>
      <c r="D26" s="113" t="s">
        <v>658</v>
      </c>
      <c r="E26" s="113" t="s">
        <v>658</v>
      </c>
      <c r="F26" s="113" t="s">
        <v>658</v>
      </c>
      <c r="G26" s="113" t="s">
        <v>658</v>
      </c>
      <c r="H26" s="136" t="s">
        <v>231</v>
      </c>
      <c r="I26" s="113" t="s">
        <v>658</v>
      </c>
      <c r="J26" s="113" t="s">
        <v>658</v>
      </c>
      <c r="K26" s="113" t="s">
        <v>658</v>
      </c>
      <c r="L26" s="113" t="s">
        <v>658</v>
      </c>
      <c r="M26" s="113" t="s">
        <v>658</v>
      </c>
      <c r="N26" s="115"/>
    </row>
    <row r="27" spans="1:14" hidden="1" x14ac:dyDescent="0.3">
      <c r="A27" s="72" t="str">
        <f t="shared" ref="A27" si="9">IF(A23="","","(%)")</f>
        <v/>
      </c>
      <c r="B27" s="113"/>
      <c r="C27" s="113" t="s">
        <v>231</v>
      </c>
      <c r="D27" s="113" t="s">
        <v>231</v>
      </c>
      <c r="E27" s="113" t="s">
        <v>231</v>
      </c>
      <c r="F27" s="113" t="s">
        <v>231</v>
      </c>
      <c r="G27" s="113" t="s">
        <v>231</v>
      </c>
      <c r="H27" s="136"/>
      <c r="I27" s="113" t="s">
        <v>231</v>
      </c>
      <c r="J27" s="113" t="s">
        <v>231</v>
      </c>
      <c r="K27" s="113" t="s">
        <v>231</v>
      </c>
      <c r="L27" s="113" t="s">
        <v>231</v>
      </c>
      <c r="M27" s="113" t="s">
        <v>231</v>
      </c>
      <c r="N27" s="115"/>
    </row>
    <row r="28" spans="1:14" hidden="1" x14ac:dyDescent="0.3">
      <c r="A28" s="112" t="str">
        <f t="shared" ref="A28" si="10">IF(A23="","","POOLED")</f>
        <v/>
      </c>
      <c r="B28" s="113" t="s">
        <v>231</v>
      </c>
      <c r="C28" s="113" t="s">
        <v>658</v>
      </c>
      <c r="D28" s="113" t="s">
        <v>658</v>
      </c>
      <c r="E28" s="113" t="s">
        <v>658</v>
      </c>
      <c r="F28" s="113" t="s">
        <v>658</v>
      </c>
      <c r="G28" s="113" t="s">
        <v>658</v>
      </c>
      <c r="H28" s="136" t="s">
        <v>231</v>
      </c>
      <c r="I28" s="113" t="s">
        <v>658</v>
      </c>
      <c r="J28" s="113" t="s">
        <v>658</v>
      </c>
      <c r="K28" s="113" t="s">
        <v>658</v>
      </c>
      <c r="L28" s="113" t="s">
        <v>658</v>
      </c>
      <c r="M28" s="113" t="s">
        <v>658</v>
      </c>
      <c r="N28" s="115"/>
    </row>
    <row r="29" spans="1:14" hidden="1" x14ac:dyDescent="0.3">
      <c r="A29" s="72" t="str">
        <f t="shared" ref="A29" si="11">IF(A23="","","(%)")</f>
        <v/>
      </c>
      <c r="B29" s="113"/>
      <c r="C29" s="113" t="s">
        <v>231</v>
      </c>
      <c r="D29" s="113" t="s">
        <v>231</v>
      </c>
      <c r="E29" s="113" t="s">
        <v>231</v>
      </c>
      <c r="F29" s="113" t="s">
        <v>231</v>
      </c>
      <c r="G29" s="113" t="s">
        <v>231</v>
      </c>
      <c r="H29" s="136"/>
      <c r="I29" s="113" t="s">
        <v>231</v>
      </c>
      <c r="J29" s="113" t="s">
        <v>231</v>
      </c>
      <c r="K29" s="113" t="s">
        <v>231</v>
      </c>
      <c r="L29" s="113" t="s">
        <v>231</v>
      </c>
      <c r="M29" s="113" t="s">
        <v>231</v>
      </c>
      <c r="N29" s="115"/>
    </row>
    <row r="30" spans="1:14" hidden="1" x14ac:dyDescent="0.3">
      <c r="A30" s="119" t="s">
        <v>231</v>
      </c>
      <c r="B30" s="113"/>
      <c r="C30" s="113"/>
      <c r="D30" s="113"/>
      <c r="E30" s="113"/>
      <c r="F30" s="113"/>
      <c r="G30" s="113"/>
      <c r="H30" s="136"/>
      <c r="I30" s="113"/>
      <c r="J30" s="113"/>
      <c r="K30" s="113"/>
      <c r="L30" s="113"/>
      <c r="M30" s="113"/>
      <c r="N30" s="115"/>
    </row>
    <row r="31" spans="1:14" hidden="1" x14ac:dyDescent="0.3">
      <c r="A31" s="112" t="str">
        <f t="shared" ref="A31" si="12">IF(A30="","","CENTRAL" )</f>
        <v/>
      </c>
      <c r="B31" s="113" t="s">
        <v>231</v>
      </c>
      <c r="C31" s="113" t="s">
        <v>658</v>
      </c>
      <c r="D31" s="113" t="s">
        <v>658</v>
      </c>
      <c r="E31" s="113" t="s">
        <v>658</v>
      </c>
      <c r="F31" s="113" t="s">
        <v>658</v>
      </c>
      <c r="G31" s="113" t="s">
        <v>658</v>
      </c>
      <c r="H31" s="136" t="s">
        <v>231</v>
      </c>
      <c r="I31" s="113" t="s">
        <v>658</v>
      </c>
      <c r="J31" s="113" t="s">
        <v>658</v>
      </c>
      <c r="K31" s="113" t="s">
        <v>658</v>
      </c>
      <c r="L31" s="113" t="s">
        <v>658</v>
      </c>
      <c r="M31" s="113" t="s">
        <v>658</v>
      </c>
      <c r="N31" s="115"/>
    </row>
    <row r="32" spans="1:14" hidden="1" x14ac:dyDescent="0.3">
      <c r="A32" s="72" t="str">
        <f t="shared" ref="A32" si="13">IF(A30="","","(%)")</f>
        <v/>
      </c>
      <c r="B32" s="113"/>
      <c r="C32" s="113" t="s">
        <v>231</v>
      </c>
      <c r="D32" s="113" t="s">
        <v>231</v>
      </c>
      <c r="E32" s="113" t="s">
        <v>231</v>
      </c>
      <c r="F32" s="113" t="s">
        <v>231</v>
      </c>
      <c r="G32" s="113" t="s">
        <v>231</v>
      </c>
      <c r="H32" s="136"/>
      <c r="I32" s="113" t="s">
        <v>231</v>
      </c>
      <c r="J32" s="113" t="s">
        <v>231</v>
      </c>
      <c r="K32" s="113" t="s">
        <v>231</v>
      </c>
      <c r="L32" s="113" t="s">
        <v>231</v>
      </c>
      <c r="M32" s="113" t="s">
        <v>231</v>
      </c>
      <c r="N32" s="115"/>
    </row>
    <row r="33" spans="1:14" hidden="1" x14ac:dyDescent="0.3">
      <c r="A33" s="112" t="str">
        <f t="shared" ref="A33" si="14">IF(A30="","","STATE")</f>
        <v/>
      </c>
      <c r="B33" s="113" t="s">
        <v>231</v>
      </c>
      <c r="C33" s="113" t="s">
        <v>658</v>
      </c>
      <c r="D33" s="113" t="s">
        <v>658</v>
      </c>
      <c r="E33" s="113" t="s">
        <v>658</v>
      </c>
      <c r="F33" s="113" t="s">
        <v>658</v>
      </c>
      <c r="G33" s="113" t="s">
        <v>658</v>
      </c>
      <c r="H33" s="136" t="s">
        <v>231</v>
      </c>
      <c r="I33" s="113" t="s">
        <v>658</v>
      </c>
      <c r="J33" s="113" t="s">
        <v>658</v>
      </c>
      <c r="K33" s="113" t="s">
        <v>658</v>
      </c>
      <c r="L33" s="113" t="s">
        <v>658</v>
      </c>
      <c r="M33" s="113" t="s">
        <v>658</v>
      </c>
      <c r="N33" s="115"/>
    </row>
    <row r="34" spans="1:14" hidden="1" x14ac:dyDescent="0.3">
      <c r="A34" s="72" t="str">
        <f t="shared" ref="A34" si="15">IF(A30="","","(%)")</f>
        <v/>
      </c>
      <c r="B34" s="113"/>
      <c r="C34" s="113" t="s">
        <v>231</v>
      </c>
      <c r="D34" s="113" t="s">
        <v>231</v>
      </c>
      <c r="E34" s="113" t="s">
        <v>231</v>
      </c>
      <c r="F34" s="113" t="s">
        <v>231</v>
      </c>
      <c r="G34" s="113" t="s">
        <v>231</v>
      </c>
      <c r="H34" s="136"/>
      <c r="I34" s="113" t="s">
        <v>231</v>
      </c>
      <c r="J34" s="113" t="s">
        <v>231</v>
      </c>
      <c r="K34" s="113" t="s">
        <v>231</v>
      </c>
      <c r="L34" s="113" t="s">
        <v>231</v>
      </c>
      <c r="M34" s="113" t="s">
        <v>231</v>
      </c>
      <c r="N34" s="115"/>
    </row>
    <row r="35" spans="1:14" hidden="1" x14ac:dyDescent="0.3">
      <c r="A35" s="112" t="str">
        <f t="shared" ref="A35" si="16">IF(A30="","","POOLED")</f>
        <v/>
      </c>
      <c r="B35" s="113" t="s">
        <v>231</v>
      </c>
      <c r="C35" s="113" t="s">
        <v>658</v>
      </c>
      <c r="D35" s="113" t="s">
        <v>658</v>
      </c>
      <c r="E35" s="113" t="s">
        <v>658</v>
      </c>
      <c r="F35" s="113" t="s">
        <v>658</v>
      </c>
      <c r="G35" s="113" t="s">
        <v>658</v>
      </c>
      <c r="H35" s="136" t="s">
        <v>231</v>
      </c>
      <c r="I35" s="113" t="s">
        <v>658</v>
      </c>
      <c r="J35" s="113" t="s">
        <v>658</v>
      </c>
      <c r="K35" s="113" t="s">
        <v>658</v>
      </c>
      <c r="L35" s="113" t="s">
        <v>658</v>
      </c>
      <c r="M35" s="113" t="s">
        <v>658</v>
      </c>
      <c r="N35" s="115"/>
    </row>
    <row r="36" spans="1:14" hidden="1" x14ac:dyDescent="0.3">
      <c r="A36" s="177" t="str">
        <f t="shared" ref="A36" si="17">IF(A30="","","(%)")</f>
        <v/>
      </c>
      <c r="B36" s="154"/>
      <c r="C36" s="154" t="s">
        <v>231</v>
      </c>
      <c r="D36" s="154" t="s">
        <v>231</v>
      </c>
      <c r="E36" s="154" t="s">
        <v>231</v>
      </c>
      <c r="F36" s="154" t="s">
        <v>231</v>
      </c>
      <c r="G36" s="154" t="s">
        <v>231</v>
      </c>
      <c r="H36" s="190"/>
      <c r="I36" s="154" t="s">
        <v>231</v>
      </c>
      <c r="J36" s="154" t="s">
        <v>231</v>
      </c>
      <c r="K36" s="154" t="s">
        <v>231</v>
      </c>
      <c r="L36" s="154" t="s">
        <v>231</v>
      </c>
      <c r="M36" s="154" t="s">
        <v>231</v>
      </c>
      <c r="N36" s="115"/>
    </row>
    <row r="37" spans="1:14" hidden="1" x14ac:dyDescent="0.3">
      <c r="A37" s="191" t="s">
        <v>231</v>
      </c>
      <c r="B37" s="113"/>
      <c r="C37" s="113"/>
      <c r="D37" s="113"/>
      <c r="E37" s="113"/>
      <c r="F37" s="113"/>
      <c r="G37" s="113"/>
      <c r="H37" s="136"/>
      <c r="I37" s="113"/>
      <c r="J37" s="113"/>
      <c r="K37" s="113"/>
      <c r="L37" s="113"/>
      <c r="M37" s="113"/>
      <c r="N37" s="115"/>
    </row>
    <row r="38" spans="1:14" hidden="1" x14ac:dyDescent="0.3">
      <c r="A38" s="112" t="str">
        <f t="shared" ref="A38" si="18">IF(A37="","","CENTRAL" )</f>
        <v/>
      </c>
      <c r="B38" s="113" t="s">
        <v>231</v>
      </c>
      <c r="C38" s="113" t="s">
        <v>658</v>
      </c>
      <c r="D38" s="113" t="s">
        <v>658</v>
      </c>
      <c r="E38" s="113" t="s">
        <v>658</v>
      </c>
      <c r="F38" s="113" t="s">
        <v>658</v>
      </c>
      <c r="G38" s="113" t="s">
        <v>658</v>
      </c>
      <c r="H38" s="136" t="s">
        <v>231</v>
      </c>
      <c r="I38" s="113" t="s">
        <v>658</v>
      </c>
      <c r="J38" s="113" t="s">
        <v>658</v>
      </c>
      <c r="K38" s="113" t="s">
        <v>658</v>
      </c>
      <c r="L38" s="113" t="s">
        <v>658</v>
      </c>
      <c r="M38" s="113" t="s">
        <v>658</v>
      </c>
      <c r="N38" s="115"/>
    </row>
    <row r="39" spans="1:14" hidden="1" x14ac:dyDescent="0.3">
      <c r="A39" s="72" t="str">
        <f t="shared" ref="A39" si="19">IF(A37="","","(%)")</f>
        <v/>
      </c>
      <c r="B39" s="113"/>
      <c r="C39" s="113" t="s">
        <v>231</v>
      </c>
      <c r="D39" s="113" t="s">
        <v>231</v>
      </c>
      <c r="E39" s="113" t="s">
        <v>231</v>
      </c>
      <c r="F39" s="113" t="s">
        <v>231</v>
      </c>
      <c r="G39" s="113" t="s">
        <v>231</v>
      </c>
      <c r="H39" s="136"/>
      <c r="I39" s="113" t="s">
        <v>231</v>
      </c>
      <c r="J39" s="113" t="s">
        <v>231</v>
      </c>
      <c r="K39" s="113" t="s">
        <v>231</v>
      </c>
      <c r="L39" s="113" t="s">
        <v>231</v>
      </c>
      <c r="M39" s="113" t="s">
        <v>231</v>
      </c>
      <c r="N39" s="115"/>
    </row>
    <row r="40" spans="1:14" hidden="1" x14ac:dyDescent="0.3">
      <c r="A40" s="112" t="str">
        <f t="shared" ref="A40" si="20">IF(A37="","","STATE")</f>
        <v/>
      </c>
      <c r="B40" s="113" t="s">
        <v>231</v>
      </c>
      <c r="C40" s="113" t="s">
        <v>658</v>
      </c>
      <c r="D40" s="113" t="s">
        <v>658</v>
      </c>
      <c r="E40" s="113" t="s">
        <v>658</v>
      </c>
      <c r="F40" s="113" t="s">
        <v>658</v>
      </c>
      <c r="G40" s="113" t="s">
        <v>658</v>
      </c>
      <c r="H40" s="136" t="s">
        <v>231</v>
      </c>
      <c r="I40" s="113" t="s">
        <v>658</v>
      </c>
      <c r="J40" s="113" t="s">
        <v>658</v>
      </c>
      <c r="K40" s="113" t="s">
        <v>658</v>
      </c>
      <c r="L40" s="113" t="s">
        <v>658</v>
      </c>
      <c r="M40" s="113" t="s">
        <v>658</v>
      </c>
      <c r="N40" s="115"/>
    </row>
    <row r="41" spans="1:14" hidden="1" x14ac:dyDescent="0.3">
      <c r="A41" s="72" t="str">
        <f t="shared" ref="A41" si="21">IF(A37="","","(%)")</f>
        <v/>
      </c>
      <c r="B41" s="113"/>
      <c r="C41" s="113" t="s">
        <v>231</v>
      </c>
      <c r="D41" s="113" t="s">
        <v>231</v>
      </c>
      <c r="E41" s="113" t="s">
        <v>231</v>
      </c>
      <c r="F41" s="113" t="s">
        <v>231</v>
      </c>
      <c r="G41" s="113" t="s">
        <v>231</v>
      </c>
      <c r="H41" s="136"/>
      <c r="I41" s="113" t="s">
        <v>231</v>
      </c>
      <c r="J41" s="113" t="s">
        <v>231</v>
      </c>
      <c r="K41" s="113" t="s">
        <v>231</v>
      </c>
      <c r="L41" s="113" t="s">
        <v>231</v>
      </c>
      <c r="M41" s="113" t="s">
        <v>231</v>
      </c>
      <c r="N41" s="115"/>
    </row>
    <row r="42" spans="1:14" hidden="1" x14ac:dyDescent="0.3">
      <c r="A42" s="112" t="str">
        <f t="shared" ref="A42" si="22">IF(A37="","","POOLED")</f>
        <v/>
      </c>
      <c r="B42" s="113" t="s">
        <v>231</v>
      </c>
      <c r="C42" s="113" t="s">
        <v>658</v>
      </c>
      <c r="D42" s="113" t="s">
        <v>658</v>
      </c>
      <c r="E42" s="113" t="s">
        <v>658</v>
      </c>
      <c r="F42" s="113" t="s">
        <v>658</v>
      </c>
      <c r="G42" s="113" t="s">
        <v>658</v>
      </c>
      <c r="H42" s="136" t="s">
        <v>231</v>
      </c>
      <c r="I42" s="113" t="s">
        <v>658</v>
      </c>
      <c r="J42" s="113" t="s">
        <v>658</v>
      </c>
      <c r="K42" s="113" t="s">
        <v>658</v>
      </c>
      <c r="L42" s="113" t="s">
        <v>658</v>
      </c>
      <c r="M42" s="113" t="s">
        <v>658</v>
      </c>
      <c r="N42" s="115"/>
    </row>
    <row r="43" spans="1:14" hidden="1" x14ac:dyDescent="0.3">
      <c r="A43" s="177" t="str">
        <f t="shared" ref="A43" si="23">IF(A37="","","(%)")</f>
        <v/>
      </c>
      <c r="B43" s="154"/>
      <c r="C43" s="154" t="s">
        <v>231</v>
      </c>
      <c r="D43" s="154" t="s">
        <v>231</v>
      </c>
      <c r="E43" s="154" t="s">
        <v>231</v>
      </c>
      <c r="F43" s="154" t="s">
        <v>231</v>
      </c>
      <c r="G43" s="154" t="s">
        <v>231</v>
      </c>
      <c r="H43" s="190"/>
      <c r="I43" s="154" t="s">
        <v>231</v>
      </c>
      <c r="J43" s="154" t="s">
        <v>231</v>
      </c>
      <c r="K43" s="154" t="s">
        <v>231</v>
      </c>
      <c r="L43" s="154" t="s">
        <v>231</v>
      </c>
      <c r="M43" s="154" t="s">
        <v>231</v>
      </c>
      <c r="N43" s="115"/>
    </row>
    <row r="44" spans="1:14" hidden="1" x14ac:dyDescent="0.3">
      <c r="A44" s="191" t="s">
        <v>231</v>
      </c>
      <c r="B44" s="113"/>
      <c r="C44" s="113"/>
      <c r="D44" s="113"/>
      <c r="E44" s="113"/>
      <c r="F44" s="113"/>
      <c r="G44" s="113"/>
      <c r="H44" s="136"/>
      <c r="I44" s="113"/>
      <c r="J44" s="113"/>
      <c r="K44" s="113"/>
      <c r="L44" s="113"/>
      <c r="M44" s="113"/>
      <c r="N44" s="115"/>
    </row>
    <row r="45" spans="1:14" hidden="1" x14ac:dyDescent="0.3">
      <c r="A45" s="112" t="str">
        <f t="shared" ref="A45" si="24">IF(A44="","","CENTRAL" )</f>
        <v/>
      </c>
      <c r="B45" s="113" t="s">
        <v>231</v>
      </c>
      <c r="C45" s="113" t="s">
        <v>658</v>
      </c>
      <c r="D45" s="113" t="s">
        <v>658</v>
      </c>
      <c r="E45" s="113" t="s">
        <v>658</v>
      </c>
      <c r="F45" s="113" t="s">
        <v>658</v>
      </c>
      <c r="G45" s="113" t="s">
        <v>658</v>
      </c>
      <c r="H45" s="136" t="s">
        <v>231</v>
      </c>
      <c r="I45" s="113" t="s">
        <v>658</v>
      </c>
      <c r="J45" s="113" t="s">
        <v>658</v>
      </c>
      <c r="K45" s="113" t="s">
        <v>658</v>
      </c>
      <c r="L45" s="113" t="s">
        <v>658</v>
      </c>
      <c r="M45" s="113" t="s">
        <v>658</v>
      </c>
      <c r="N45" s="115"/>
    </row>
    <row r="46" spans="1:14" hidden="1" x14ac:dyDescent="0.3">
      <c r="A46" s="72" t="str">
        <f t="shared" ref="A46" si="25">IF(A44="","","(%)")</f>
        <v/>
      </c>
      <c r="B46" s="113"/>
      <c r="C46" s="113" t="s">
        <v>231</v>
      </c>
      <c r="D46" s="113" t="s">
        <v>231</v>
      </c>
      <c r="E46" s="113" t="s">
        <v>231</v>
      </c>
      <c r="F46" s="113" t="s">
        <v>231</v>
      </c>
      <c r="G46" s="113" t="s">
        <v>231</v>
      </c>
      <c r="H46" s="136"/>
      <c r="I46" s="113" t="s">
        <v>231</v>
      </c>
      <c r="J46" s="113" t="s">
        <v>231</v>
      </c>
      <c r="K46" s="113" t="s">
        <v>231</v>
      </c>
      <c r="L46" s="113" t="s">
        <v>231</v>
      </c>
      <c r="M46" s="113" t="s">
        <v>231</v>
      </c>
      <c r="N46" s="115"/>
    </row>
    <row r="47" spans="1:14" hidden="1" x14ac:dyDescent="0.3">
      <c r="A47" s="112" t="str">
        <f t="shared" ref="A47" si="26">IF(A44="","","STATE")</f>
        <v/>
      </c>
      <c r="B47" s="113" t="s">
        <v>231</v>
      </c>
      <c r="C47" s="113" t="s">
        <v>658</v>
      </c>
      <c r="D47" s="113" t="s">
        <v>658</v>
      </c>
      <c r="E47" s="113" t="s">
        <v>658</v>
      </c>
      <c r="F47" s="113" t="s">
        <v>658</v>
      </c>
      <c r="G47" s="113" t="s">
        <v>658</v>
      </c>
      <c r="H47" s="136" t="s">
        <v>231</v>
      </c>
      <c r="I47" s="113" t="s">
        <v>658</v>
      </c>
      <c r="J47" s="113" t="s">
        <v>658</v>
      </c>
      <c r="K47" s="113" t="s">
        <v>658</v>
      </c>
      <c r="L47" s="113" t="s">
        <v>658</v>
      </c>
      <c r="M47" s="113" t="s">
        <v>658</v>
      </c>
      <c r="N47" s="115"/>
    </row>
    <row r="48" spans="1:14" hidden="1" x14ac:dyDescent="0.3">
      <c r="A48" s="72" t="str">
        <f t="shared" ref="A48" si="27">IF(A44="","","(%)")</f>
        <v/>
      </c>
      <c r="B48" s="113"/>
      <c r="C48" s="113" t="s">
        <v>231</v>
      </c>
      <c r="D48" s="113" t="s">
        <v>231</v>
      </c>
      <c r="E48" s="113" t="s">
        <v>231</v>
      </c>
      <c r="F48" s="113" t="s">
        <v>231</v>
      </c>
      <c r="G48" s="113" t="s">
        <v>231</v>
      </c>
      <c r="H48" s="136"/>
      <c r="I48" s="113" t="s">
        <v>231</v>
      </c>
      <c r="J48" s="113" t="s">
        <v>231</v>
      </c>
      <c r="K48" s="113" t="s">
        <v>231</v>
      </c>
      <c r="L48" s="113" t="s">
        <v>231</v>
      </c>
      <c r="M48" s="113" t="s">
        <v>231</v>
      </c>
      <c r="N48" s="115"/>
    </row>
    <row r="49" spans="1:14" hidden="1" x14ac:dyDescent="0.3">
      <c r="A49" s="112" t="str">
        <f t="shared" ref="A49" si="28">IF(A44="","","POOLED")</f>
        <v/>
      </c>
      <c r="B49" s="113" t="s">
        <v>231</v>
      </c>
      <c r="C49" s="113" t="s">
        <v>658</v>
      </c>
      <c r="D49" s="113" t="s">
        <v>658</v>
      </c>
      <c r="E49" s="113" t="s">
        <v>658</v>
      </c>
      <c r="F49" s="113" t="s">
        <v>658</v>
      </c>
      <c r="G49" s="113" t="s">
        <v>658</v>
      </c>
      <c r="H49" s="136" t="s">
        <v>231</v>
      </c>
      <c r="I49" s="113" t="s">
        <v>658</v>
      </c>
      <c r="J49" s="113" t="s">
        <v>658</v>
      </c>
      <c r="K49" s="113" t="s">
        <v>658</v>
      </c>
      <c r="L49" s="113" t="s">
        <v>658</v>
      </c>
      <c r="M49" s="113" t="s">
        <v>658</v>
      </c>
      <c r="N49" s="115"/>
    </row>
    <row r="50" spans="1:14" hidden="1" x14ac:dyDescent="0.3">
      <c r="A50" s="177" t="str">
        <f t="shared" ref="A50" si="29">IF(A44="","","(%)")</f>
        <v/>
      </c>
      <c r="B50" s="154"/>
      <c r="C50" s="154" t="s">
        <v>231</v>
      </c>
      <c r="D50" s="154" t="s">
        <v>231</v>
      </c>
      <c r="E50" s="154" t="s">
        <v>231</v>
      </c>
      <c r="F50" s="154" t="s">
        <v>231</v>
      </c>
      <c r="G50" s="154" t="s">
        <v>231</v>
      </c>
      <c r="H50" s="190"/>
      <c r="I50" s="154" t="s">
        <v>231</v>
      </c>
      <c r="J50" s="154" t="s">
        <v>231</v>
      </c>
      <c r="K50" s="154" t="s">
        <v>231</v>
      </c>
      <c r="L50" s="154" t="s">
        <v>231</v>
      </c>
      <c r="M50" s="154" t="s">
        <v>231</v>
      </c>
      <c r="N50" s="115"/>
    </row>
    <row r="51" spans="1:14" hidden="1" x14ac:dyDescent="0.3">
      <c r="A51" s="191" t="s">
        <v>231</v>
      </c>
      <c r="B51" s="113"/>
      <c r="C51" s="113"/>
      <c r="D51" s="113"/>
      <c r="E51" s="113"/>
      <c r="F51" s="113"/>
      <c r="G51" s="113"/>
      <c r="H51" s="136"/>
      <c r="I51" s="113"/>
      <c r="J51" s="113"/>
      <c r="K51" s="113"/>
      <c r="L51" s="113"/>
      <c r="M51" s="113"/>
      <c r="N51" s="115"/>
    </row>
    <row r="52" spans="1:14" hidden="1" x14ac:dyDescent="0.3">
      <c r="A52" s="112" t="str">
        <f t="shared" ref="A52" si="30">IF(A51="","","CENTRAL" )</f>
        <v/>
      </c>
      <c r="B52" s="113" t="s">
        <v>231</v>
      </c>
      <c r="C52" s="113" t="s">
        <v>658</v>
      </c>
      <c r="D52" s="113" t="s">
        <v>658</v>
      </c>
      <c r="E52" s="113" t="s">
        <v>658</v>
      </c>
      <c r="F52" s="113" t="s">
        <v>658</v>
      </c>
      <c r="G52" s="113" t="s">
        <v>658</v>
      </c>
      <c r="H52" s="136" t="s">
        <v>231</v>
      </c>
      <c r="I52" s="113" t="s">
        <v>658</v>
      </c>
      <c r="J52" s="113" t="s">
        <v>658</v>
      </c>
      <c r="K52" s="113" t="s">
        <v>658</v>
      </c>
      <c r="L52" s="113" t="s">
        <v>658</v>
      </c>
      <c r="M52" s="113" t="s">
        <v>658</v>
      </c>
      <c r="N52" s="115"/>
    </row>
    <row r="53" spans="1:14" hidden="1" x14ac:dyDescent="0.3">
      <c r="A53" s="72" t="str">
        <f t="shared" ref="A53" si="31">IF(A51="","","(%)")</f>
        <v/>
      </c>
      <c r="B53" s="113"/>
      <c r="C53" s="113" t="s">
        <v>231</v>
      </c>
      <c r="D53" s="113" t="s">
        <v>231</v>
      </c>
      <c r="E53" s="113" t="s">
        <v>231</v>
      </c>
      <c r="F53" s="113" t="s">
        <v>231</v>
      </c>
      <c r="G53" s="113" t="s">
        <v>231</v>
      </c>
      <c r="H53" s="136"/>
      <c r="I53" s="113" t="s">
        <v>231</v>
      </c>
      <c r="J53" s="113" t="s">
        <v>231</v>
      </c>
      <c r="K53" s="113" t="s">
        <v>231</v>
      </c>
      <c r="L53" s="113" t="s">
        <v>231</v>
      </c>
      <c r="M53" s="113" t="s">
        <v>231</v>
      </c>
      <c r="N53" s="115"/>
    </row>
    <row r="54" spans="1:14" hidden="1" x14ac:dyDescent="0.3">
      <c r="A54" s="112" t="str">
        <f t="shared" ref="A54" si="32">IF(A51="","","STATE")</f>
        <v/>
      </c>
      <c r="B54" s="113" t="s">
        <v>231</v>
      </c>
      <c r="C54" s="113" t="s">
        <v>658</v>
      </c>
      <c r="D54" s="113" t="s">
        <v>658</v>
      </c>
      <c r="E54" s="113" t="s">
        <v>658</v>
      </c>
      <c r="F54" s="113" t="s">
        <v>658</v>
      </c>
      <c r="G54" s="113" t="s">
        <v>658</v>
      </c>
      <c r="H54" s="136" t="s">
        <v>231</v>
      </c>
      <c r="I54" s="113" t="s">
        <v>658</v>
      </c>
      <c r="J54" s="113" t="s">
        <v>658</v>
      </c>
      <c r="K54" s="113" t="s">
        <v>658</v>
      </c>
      <c r="L54" s="113" t="s">
        <v>658</v>
      </c>
      <c r="M54" s="113" t="s">
        <v>658</v>
      </c>
      <c r="N54" s="115"/>
    </row>
    <row r="55" spans="1:14" hidden="1" x14ac:dyDescent="0.3">
      <c r="A55" s="72" t="str">
        <f t="shared" ref="A55" si="33">IF(A51="","","(%)")</f>
        <v/>
      </c>
      <c r="B55" s="113"/>
      <c r="C55" s="113" t="s">
        <v>231</v>
      </c>
      <c r="D55" s="113" t="s">
        <v>231</v>
      </c>
      <c r="E55" s="113" t="s">
        <v>231</v>
      </c>
      <c r="F55" s="113" t="s">
        <v>231</v>
      </c>
      <c r="G55" s="113" t="s">
        <v>231</v>
      </c>
      <c r="H55" s="136"/>
      <c r="I55" s="113" t="s">
        <v>231</v>
      </c>
      <c r="J55" s="113" t="s">
        <v>231</v>
      </c>
      <c r="K55" s="113" t="s">
        <v>231</v>
      </c>
      <c r="L55" s="113" t="s">
        <v>231</v>
      </c>
      <c r="M55" s="113" t="s">
        <v>231</v>
      </c>
      <c r="N55" s="115"/>
    </row>
    <row r="56" spans="1:14" hidden="1" x14ac:dyDescent="0.3">
      <c r="A56" s="112" t="str">
        <f t="shared" ref="A56" si="34">IF(A51="","","POOLED")</f>
        <v/>
      </c>
      <c r="B56" s="113" t="s">
        <v>231</v>
      </c>
      <c r="C56" s="113" t="s">
        <v>658</v>
      </c>
      <c r="D56" s="113" t="s">
        <v>658</v>
      </c>
      <c r="E56" s="113" t="s">
        <v>658</v>
      </c>
      <c r="F56" s="113" t="s">
        <v>658</v>
      </c>
      <c r="G56" s="113" t="s">
        <v>658</v>
      </c>
      <c r="H56" s="136" t="s">
        <v>231</v>
      </c>
      <c r="I56" s="113" t="s">
        <v>658</v>
      </c>
      <c r="J56" s="113" t="s">
        <v>658</v>
      </c>
      <c r="K56" s="113" t="s">
        <v>658</v>
      </c>
      <c r="L56" s="113" t="s">
        <v>658</v>
      </c>
      <c r="M56" s="113" t="s">
        <v>658</v>
      </c>
      <c r="N56" s="115"/>
    </row>
    <row r="57" spans="1:14" hidden="1" x14ac:dyDescent="0.3">
      <c r="A57" s="177" t="str">
        <f t="shared" ref="A57" si="35">IF(A51="","","(%)")</f>
        <v/>
      </c>
      <c r="B57" s="154"/>
      <c r="C57" s="154" t="s">
        <v>231</v>
      </c>
      <c r="D57" s="154" t="s">
        <v>231</v>
      </c>
      <c r="E57" s="154" t="s">
        <v>231</v>
      </c>
      <c r="F57" s="154" t="s">
        <v>231</v>
      </c>
      <c r="G57" s="154" t="s">
        <v>231</v>
      </c>
      <c r="H57" s="190"/>
      <c r="I57" s="154" t="s">
        <v>231</v>
      </c>
      <c r="J57" s="154" t="s">
        <v>231</v>
      </c>
      <c r="K57" s="154" t="s">
        <v>231</v>
      </c>
      <c r="L57" s="154" t="s">
        <v>231</v>
      </c>
      <c r="M57" s="154" t="s">
        <v>231</v>
      </c>
      <c r="N57" s="115"/>
    </row>
    <row r="58" spans="1:14" hidden="1" x14ac:dyDescent="0.3">
      <c r="A58" s="191" t="s">
        <v>231</v>
      </c>
      <c r="B58" s="113"/>
      <c r="C58" s="113"/>
      <c r="D58" s="113"/>
      <c r="E58" s="113"/>
      <c r="F58" s="113"/>
      <c r="G58" s="113"/>
      <c r="H58" s="136"/>
      <c r="I58" s="113"/>
      <c r="J58" s="113"/>
      <c r="K58" s="113"/>
      <c r="L58" s="113"/>
      <c r="M58" s="113"/>
      <c r="N58" s="115"/>
    </row>
    <row r="59" spans="1:14" hidden="1" x14ac:dyDescent="0.3">
      <c r="A59" s="112" t="str">
        <f t="shared" ref="A59" si="36">IF(A58="","","CENTRAL" )</f>
        <v/>
      </c>
      <c r="B59" s="113" t="s">
        <v>231</v>
      </c>
      <c r="C59" s="113" t="s">
        <v>658</v>
      </c>
      <c r="D59" s="113" t="s">
        <v>658</v>
      </c>
      <c r="E59" s="113" t="s">
        <v>658</v>
      </c>
      <c r="F59" s="113" t="s">
        <v>658</v>
      </c>
      <c r="G59" s="113" t="s">
        <v>658</v>
      </c>
      <c r="H59" s="136" t="s">
        <v>231</v>
      </c>
      <c r="I59" s="113" t="s">
        <v>658</v>
      </c>
      <c r="J59" s="113" t="s">
        <v>658</v>
      </c>
      <c r="K59" s="113" t="s">
        <v>658</v>
      </c>
      <c r="L59" s="113" t="s">
        <v>658</v>
      </c>
      <c r="M59" s="113" t="s">
        <v>658</v>
      </c>
      <c r="N59" s="115"/>
    </row>
    <row r="60" spans="1:14" hidden="1" x14ac:dyDescent="0.3">
      <c r="A60" s="72" t="str">
        <f t="shared" ref="A60" si="37">IF(A58="","","(%)")</f>
        <v/>
      </c>
      <c r="B60" s="113"/>
      <c r="C60" s="113" t="s">
        <v>231</v>
      </c>
      <c r="D60" s="113" t="s">
        <v>231</v>
      </c>
      <c r="E60" s="113" t="s">
        <v>231</v>
      </c>
      <c r="F60" s="113" t="s">
        <v>231</v>
      </c>
      <c r="G60" s="113" t="s">
        <v>231</v>
      </c>
      <c r="H60" s="136"/>
      <c r="I60" s="113" t="s">
        <v>231</v>
      </c>
      <c r="J60" s="113" t="s">
        <v>231</v>
      </c>
      <c r="K60" s="113" t="s">
        <v>231</v>
      </c>
      <c r="L60" s="113" t="s">
        <v>231</v>
      </c>
      <c r="M60" s="113" t="s">
        <v>231</v>
      </c>
      <c r="N60" s="115"/>
    </row>
    <row r="61" spans="1:14" hidden="1" x14ac:dyDescent="0.3">
      <c r="A61" s="112" t="str">
        <f t="shared" ref="A61" si="38">IF(A58="","","STATE")</f>
        <v/>
      </c>
      <c r="B61" s="113" t="s">
        <v>231</v>
      </c>
      <c r="C61" s="113" t="s">
        <v>658</v>
      </c>
      <c r="D61" s="113" t="s">
        <v>658</v>
      </c>
      <c r="E61" s="113" t="s">
        <v>658</v>
      </c>
      <c r="F61" s="113" t="s">
        <v>658</v>
      </c>
      <c r="G61" s="113" t="s">
        <v>658</v>
      </c>
      <c r="H61" s="136" t="s">
        <v>231</v>
      </c>
      <c r="I61" s="113" t="s">
        <v>658</v>
      </c>
      <c r="J61" s="113" t="s">
        <v>658</v>
      </c>
      <c r="K61" s="113" t="s">
        <v>658</v>
      </c>
      <c r="L61" s="113" t="s">
        <v>658</v>
      </c>
      <c r="M61" s="113" t="s">
        <v>658</v>
      </c>
      <c r="N61" s="115"/>
    </row>
    <row r="62" spans="1:14" hidden="1" x14ac:dyDescent="0.3">
      <c r="A62" s="72" t="str">
        <f t="shared" ref="A62" si="39">IF(A58="","","(%)")</f>
        <v/>
      </c>
      <c r="B62" s="113"/>
      <c r="C62" s="113" t="s">
        <v>231</v>
      </c>
      <c r="D62" s="113" t="s">
        <v>231</v>
      </c>
      <c r="E62" s="113" t="s">
        <v>231</v>
      </c>
      <c r="F62" s="113" t="s">
        <v>231</v>
      </c>
      <c r="G62" s="113" t="s">
        <v>231</v>
      </c>
      <c r="H62" s="136"/>
      <c r="I62" s="113" t="s">
        <v>231</v>
      </c>
      <c r="J62" s="113" t="s">
        <v>231</v>
      </c>
      <c r="K62" s="113" t="s">
        <v>231</v>
      </c>
      <c r="L62" s="113" t="s">
        <v>231</v>
      </c>
      <c r="M62" s="113" t="s">
        <v>231</v>
      </c>
      <c r="N62" s="115"/>
    </row>
    <row r="63" spans="1:14" hidden="1" x14ac:dyDescent="0.3">
      <c r="A63" s="112" t="str">
        <f t="shared" ref="A63" si="40">IF(A58="","","POOLED")</f>
        <v/>
      </c>
      <c r="B63" s="113" t="s">
        <v>231</v>
      </c>
      <c r="C63" s="113" t="s">
        <v>658</v>
      </c>
      <c r="D63" s="113" t="s">
        <v>658</v>
      </c>
      <c r="E63" s="113" t="s">
        <v>658</v>
      </c>
      <c r="F63" s="113" t="s">
        <v>658</v>
      </c>
      <c r="G63" s="113" t="s">
        <v>658</v>
      </c>
      <c r="H63" s="136" t="s">
        <v>231</v>
      </c>
      <c r="I63" s="113" t="s">
        <v>658</v>
      </c>
      <c r="J63" s="113" t="s">
        <v>658</v>
      </c>
      <c r="K63" s="113" t="s">
        <v>658</v>
      </c>
      <c r="L63" s="113" t="s">
        <v>658</v>
      </c>
      <c r="M63" s="113" t="s">
        <v>658</v>
      </c>
      <c r="N63" s="115"/>
    </row>
    <row r="64" spans="1:14" hidden="1" x14ac:dyDescent="0.3">
      <c r="A64" s="177" t="str">
        <f t="shared" ref="A64" si="41">IF(A58="","","(%)")</f>
        <v/>
      </c>
      <c r="B64" s="154"/>
      <c r="C64" s="154" t="s">
        <v>231</v>
      </c>
      <c r="D64" s="154" t="s">
        <v>231</v>
      </c>
      <c r="E64" s="154" t="s">
        <v>231</v>
      </c>
      <c r="F64" s="154" t="s">
        <v>231</v>
      </c>
      <c r="G64" s="154" t="s">
        <v>231</v>
      </c>
      <c r="H64" s="190"/>
      <c r="I64" s="154" t="s">
        <v>231</v>
      </c>
      <c r="J64" s="154" t="s">
        <v>231</v>
      </c>
      <c r="K64" s="154" t="s">
        <v>231</v>
      </c>
      <c r="L64" s="154" t="s">
        <v>231</v>
      </c>
      <c r="M64" s="154" t="s">
        <v>231</v>
      </c>
      <c r="N64" s="115"/>
    </row>
    <row r="65" spans="1:14" hidden="1" x14ac:dyDescent="0.3">
      <c r="A65" s="191" t="s">
        <v>231</v>
      </c>
      <c r="B65" s="113"/>
      <c r="C65" s="113"/>
      <c r="D65" s="113"/>
      <c r="E65" s="113"/>
      <c r="F65" s="113"/>
      <c r="G65" s="113"/>
      <c r="H65" s="136"/>
      <c r="I65" s="113"/>
      <c r="J65" s="113"/>
      <c r="K65" s="113"/>
      <c r="L65" s="113"/>
      <c r="M65" s="113"/>
      <c r="N65" s="115"/>
    </row>
    <row r="66" spans="1:14" hidden="1" x14ac:dyDescent="0.3">
      <c r="A66" s="112" t="str">
        <f t="shared" ref="A66" si="42">IF(A65="","","CENTRAL" )</f>
        <v/>
      </c>
      <c r="B66" s="113" t="s">
        <v>231</v>
      </c>
      <c r="C66" s="113" t="s">
        <v>658</v>
      </c>
      <c r="D66" s="113" t="s">
        <v>658</v>
      </c>
      <c r="E66" s="113" t="s">
        <v>658</v>
      </c>
      <c r="F66" s="113" t="s">
        <v>658</v>
      </c>
      <c r="G66" s="113" t="s">
        <v>658</v>
      </c>
      <c r="H66" s="136" t="s">
        <v>231</v>
      </c>
      <c r="I66" s="113" t="s">
        <v>658</v>
      </c>
      <c r="J66" s="113" t="s">
        <v>658</v>
      </c>
      <c r="K66" s="113" t="s">
        <v>658</v>
      </c>
      <c r="L66" s="113" t="s">
        <v>658</v>
      </c>
      <c r="M66" s="113" t="s">
        <v>658</v>
      </c>
      <c r="N66" s="115"/>
    </row>
    <row r="67" spans="1:14" hidden="1" x14ac:dyDescent="0.3">
      <c r="A67" s="72" t="str">
        <f t="shared" ref="A67" si="43">IF(A65="","","(%)")</f>
        <v/>
      </c>
      <c r="B67" s="113"/>
      <c r="C67" s="113" t="s">
        <v>231</v>
      </c>
      <c r="D67" s="113" t="s">
        <v>231</v>
      </c>
      <c r="E67" s="113" t="s">
        <v>231</v>
      </c>
      <c r="F67" s="113" t="s">
        <v>231</v>
      </c>
      <c r="G67" s="113" t="s">
        <v>231</v>
      </c>
      <c r="H67" s="136"/>
      <c r="I67" s="113" t="s">
        <v>231</v>
      </c>
      <c r="J67" s="113" t="s">
        <v>231</v>
      </c>
      <c r="K67" s="113" t="s">
        <v>231</v>
      </c>
      <c r="L67" s="113" t="s">
        <v>231</v>
      </c>
      <c r="M67" s="113" t="s">
        <v>231</v>
      </c>
      <c r="N67" s="115"/>
    </row>
    <row r="68" spans="1:14" hidden="1" x14ac:dyDescent="0.3">
      <c r="A68" s="112" t="str">
        <f t="shared" ref="A68" si="44">IF(A65="","","STATE")</f>
        <v/>
      </c>
      <c r="B68" s="113" t="s">
        <v>231</v>
      </c>
      <c r="C68" s="113" t="s">
        <v>658</v>
      </c>
      <c r="D68" s="113" t="s">
        <v>658</v>
      </c>
      <c r="E68" s="113" t="s">
        <v>658</v>
      </c>
      <c r="F68" s="113" t="s">
        <v>658</v>
      </c>
      <c r="G68" s="113" t="s">
        <v>658</v>
      </c>
      <c r="H68" s="136" t="s">
        <v>231</v>
      </c>
      <c r="I68" s="113" t="s">
        <v>658</v>
      </c>
      <c r="J68" s="113" t="s">
        <v>658</v>
      </c>
      <c r="K68" s="113" t="s">
        <v>658</v>
      </c>
      <c r="L68" s="113" t="s">
        <v>658</v>
      </c>
      <c r="M68" s="113" t="s">
        <v>658</v>
      </c>
      <c r="N68" s="115"/>
    </row>
    <row r="69" spans="1:14" hidden="1" x14ac:dyDescent="0.3">
      <c r="A69" s="72" t="str">
        <f t="shared" ref="A69" si="45">IF(A65="","","(%)")</f>
        <v/>
      </c>
      <c r="B69" s="113"/>
      <c r="C69" s="113" t="s">
        <v>231</v>
      </c>
      <c r="D69" s="113" t="s">
        <v>231</v>
      </c>
      <c r="E69" s="113" t="s">
        <v>231</v>
      </c>
      <c r="F69" s="113" t="s">
        <v>231</v>
      </c>
      <c r="G69" s="113" t="s">
        <v>231</v>
      </c>
      <c r="H69" s="136"/>
      <c r="I69" s="113" t="s">
        <v>231</v>
      </c>
      <c r="J69" s="113" t="s">
        <v>231</v>
      </c>
      <c r="K69" s="113" t="s">
        <v>231</v>
      </c>
      <c r="L69" s="113" t="s">
        <v>231</v>
      </c>
      <c r="M69" s="113" t="s">
        <v>231</v>
      </c>
      <c r="N69" s="115"/>
    </row>
    <row r="70" spans="1:14" hidden="1" x14ac:dyDescent="0.3">
      <c r="A70" s="112" t="str">
        <f t="shared" ref="A70" si="46">IF(A65="","","POOLED")</f>
        <v/>
      </c>
      <c r="B70" s="113" t="s">
        <v>231</v>
      </c>
      <c r="C70" s="113" t="s">
        <v>658</v>
      </c>
      <c r="D70" s="113" t="s">
        <v>658</v>
      </c>
      <c r="E70" s="113" t="s">
        <v>658</v>
      </c>
      <c r="F70" s="113" t="s">
        <v>658</v>
      </c>
      <c r="G70" s="113" t="s">
        <v>658</v>
      </c>
      <c r="H70" s="136" t="s">
        <v>231</v>
      </c>
      <c r="I70" s="113" t="s">
        <v>658</v>
      </c>
      <c r="J70" s="113" t="s">
        <v>658</v>
      </c>
      <c r="K70" s="113" t="s">
        <v>658</v>
      </c>
      <c r="L70" s="113" t="s">
        <v>658</v>
      </c>
      <c r="M70" s="113" t="s">
        <v>658</v>
      </c>
      <c r="N70" s="115"/>
    </row>
    <row r="71" spans="1:14" hidden="1" x14ac:dyDescent="0.3">
      <c r="A71" s="177" t="str">
        <f t="shared" ref="A71" si="47">IF(A65="","","(%)")</f>
        <v/>
      </c>
      <c r="B71" s="154"/>
      <c r="C71" s="154" t="s">
        <v>231</v>
      </c>
      <c r="D71" s="154" t="s">
        <v>231</v>
      </c>
      <c r="E71" s="154" t="s">
        <v>231</v>
      </c>
      <c r="F71" s="154" t="s">
        <v>231</v>
      </c>
      <c r="G71" s="154" t="s">
        <v>231</v>
      </c>
      <c r="H71" s="190"/>
      <c r="I71" s="154" t="s">
        <v>231</v>
      </c>
      <c r="J71" s="154" t="s">
        <v>231</v>
      </c>
      <c r="K71" s="154" t="s">
        <v>231</v>
      </c>
      <c r="L71" s="154" t="s">
        <v>231</v>
      </c>
      <c r="M71" s="154" t="s">
        <v>231</v>
      </c>
      <c r="N71" s="115"/>
    </row>
    <row r="72" spans="1:14" hidden="1" x14ac:dyDescent="0.3">
      <c r="A72" s="191" t="s">
        <v>231</v>
      </c>
      <c r="B72" s="113"/>
      <c r="C72" s="113"/>
      <c r="D72" s="113"/>
      <c r="E72" s="113"/>
      <c r="F72" s="113"/>
      <c r="G72" s="113"/>
      <c r="H72" s="136"/>
      <c r="I72" s="113"/>
      <c r="J72" s="113"/>
      <c r="K72" s="113"/>
      <c r="L72" s="113"/>
      <c r="M72" s="113"/>
      <c r="N72" s="115"/>
    </row>
    <row r="73" spans="1:14" hidden="1" x14ac:dyDescent="0.3">
      <c r="A73" s="112" t="str">
        <f t="shared" ref="A73" si="48">IF(A72="","","CENTRAL" )</f>
        <v/>
      </c>
      <c r="B73" s="113" t="s">
        <v>231</v>
      </c>
      <c r="C73" s="113" t="s">
        <v>658</v>
      </c>
      <c r="D73" s="113" t="s">
        <v>658</v>
      </c>
      <c r="E73" s="113" t="s">
        <v>658</v>
      </c>
      <c r="F73" s="113" t="s">
        <v>658</v>
      </c>
      <c r="G73" s="113" t="s">
        <v>658</v>
      </c>
      <c r="H73" s="136" t="s">
        <v>231</v>
      </c>
      <c r="I73" s="113" t="s">
        <v>658</v>
      </c>
      <c r="J73" s="113" t="s">
        <v>658</v>
      </c>
      <c r="K73" s="113" t="s">
        <v>658</v>
      </c>
      <c r="L73" s="113" t="s">
        <v>658</v>
      </c>
      <c r="M73" s="113" t="s">
        <v>658</v>
      </c>
      <c r="N73" s="115"/>
    </row>
    <row r="74" spans="1:14" hidden="1" x14ac:dyDescent="0.3">
      <c r="A74" s="72" t="str">
        <f t="shared" ref="A74" si="49">IF(A72="","","(%)")</f>
        <v/>
      </c>
      <c r="B74" s="113"/>
      <c r="C74" s="113" t="s">
        <v>231</v>
      </c>
      <c r="D74" s="113" t="s">
        <v>231</v>
      </c>
      <c r="E74" s="113" t="s">
        <v>231</v>
      </c>
      <c r="F74" s="113" t="s">
        <v>231</v>
      </c>
      <c r="G74" s="113" t="s">
        <v>231</v>
      </c>
      <c r="H74" s="136"/>
      <c r="I74" s="113" t="s">
        <v>231</v>
      </c>
      <c r="J74" s="113" t="s">
        <v>231</v>
      </c>
      <c r="K74" s="113" t="s">
        <v>231</v>
      </c>
      <c r="L74" s="113" t="s">
        <v>231</v>
      </c>
      <c r="M74" s="113" t="s">
        <v>231</v>
      </c>
      <c r="N74" s="115"/>
    </row>
    <row r="75" spans="1:14" hidden="1" x14ac:dyDescent="0.3">
      <c r="A75" s="112" t="str">
        <f t="shared" ref="A75" si="50">IF(A72="","","STATE")</f>
        <v/>
      </c>
      <c r="B75" s="113" t="s">
        <v>231</v>
      </c>
      <c r="C75" s="113" t="s">
        <v>658</v>
      </c>
      <c r="D75" s="113" t="s">
        <v>658</v>
      </c>
      <c r="E75" s="113" t="s">
        <v>658</v>
      </c>
      <c r="F75" s="113" t="s">
        <v>658</v>
      </c>
      <c r="G75" s="113" t="s">
        <v>658</v>
      </c>
      <c r="H75" s="136" t="s">
        <v>231</v>
      </c>
      <c r="I75" s="113" t="s">
        <v>658</v>
      </c>
      <c r="J75" s="113" t="s">
        <v>658</v>
      </c>
      <c r="K75" s="113" t="s">
        <v>658</v>
      </c>
      <c r="L75" s="113" t="s">
        <v>658</v>
      </c>
      <c r="M75" s="113" t="s">
        <v>658</v>
      </c>
      <c r="N75" s="115"/>
    </row>
    <row r="76" spans="1:14" hidden="1" x14ac:dyDescent="0.3">
      <c r="A76" s="72" t="str">
        <f t="shared" ref="A76" si="51">IF(A72="","","(%)")</f>
        <v/>
      </c>
      <c r="B76" s="113"/>
      <c r="C76" s="113" t="s">
        <v>231</v>
      </c>
      <c r="D76" s="113" t="s">
        <v>231</v>
      </c>
      <c r="E76" s="113" t="s">
        <v>231</v>
      </c>
      <c r="F76" s="113" t="s">
        <v>231</v>
      </c>
      <c r="G76" s="113" t="s">
        <v>231</v>
      </c>
      <c r="H76" s="136"/>
      <c r="I76" s="113" t="s">
        <v>231</v>
      </c>
      <c r="J76" s="113" t="s">
        <v>231</v>
      </c>
      <c r="K76" s="113" t="s">
        <v>231</v>
      </c>
      <c r="L76" s="113" t="s">
        <v>231</v>
      </c>
      <c r="M76" s="113" t="s">
        <v>231</v>
      </c>
      <c r="N76" s="115"/>
    </row>
    <row r="77" spans="1:14" hidden="1" x14ac:dyDescent="0.3">
      <c r="A77" s="112" t="str">
        <f t="shared" ref="A77" si="52">IF(A72="","","POOLED")</f>
        <v/>
      </c>
      <c r="B77" s="113" t="s">
        <v>231</v>
      </c>
      <c r="C77" s="113" t="s">
        <v>658</v>
      </c>
      <c r="D77" s="113" t="s">
        <v>658</v>
      </c>
      <c r="E77" s="113" t="s">
        <v>658</v>
      </c>
      <c r="F77" s="113" t="s">
        <v>658</v>
      </c>
      <c r="G77" s="113" t="s">
        <v>658</v>
      </c>
      <c r="H77" s="136" t="s">
        <v>231</v>
      </c>
      <c r="I77" s="113" t="s">
        <v>658</v>
      </c>
      <c r="J77" s="113" t="s">
        <v>658</v>
      </c>
      <c r="K77" s="113" t="s">
        <v>658</v>
      </c>
      <c r="L77" s="113" t="s">
        <v>658</v>
      </c>
      <c r="M77" s="113" t="s">
        <v>658</v>
      </c>
      <c r="N77" s="115"/>
    </row>
    <row r="78" spans="1:14" hidden="1" x14ac:dyDescent="0.3">
      <c r="A78" s="177" t="str">
        <f t="shared" ref="A78" si="53">IF(A72="","","(%)")</f>
        <v/>
      </c>
      <c r="B78" s="154"/>
      <c r="C78" s="154" t="s">
        <v>231</v>
      </c>
      <c r="D78" s="154" t="s">
        <v>231</v>
      </c>
      <c r="E78" s="154" t="s">
        <v>231</v>
      </c>
      <c r="F78" s="154" t="s">
        <v>231</v>
      </c>
      <c r="G78" s="154" t="s">
        <v>231</v>
      </c>
      <c r="H78" s="190"/>
      <c r="I78" s="154" t="s">
        <v>231</v>
      </c>
      <c r="J78" s="154" t="s">
        <v>231</v>
      </c>
      <c r="K78" s="154" t="s">
        <v>231</v>
      </c>
      <c r="L78" s="154" t="s">
        <v>231</v>
      </c>
      <c r="M78" s="154" t="s">
        <v>231</v>
      </c>
      <c r="N78" s="115"/>
    </row>
    <row r="79" spans="1:14" hidden="1" x14ac:dyDescent="0.3">
      <c r="A79" s="191" t="s">
        <v>231</v>
      </c>
      <c r="B79" s="113"/>
      <c r="C79" s="113"/>
      <c r="D79" s="113"/>
      <c r="E79" s="113"/>
      <c r="F79" s="113"/>
      <c r="G79" s="113"/>
      <c r="H79" s="136"/>
      <c r="I79" s="113"/>
      <c r="J79" s="113"/>
      <c r="K79" s="113"/>
      <c r="L79" s="113"/>
      <c r="M79" s="113"/>
      <c r="N79" s="115"/>
    </row>
    <row r="80" spans="1:14" hidden="1" x14ac:dyDescent="0.3">
      <c r="A80" s="112" t="str">
        <f t="shared" ref="A80" si="54">IF(A79="","","CENTRAL" )</f>
        <v/>
      </c>
      <c r="B80" s="113" t="s">
        <v>231</v>
      </c>
      <c r="C80" s="113" t="s">
        <v>658</v>
      </c>
      <c r="D80" s="113" t="s">
        <v>658</v>
      </c>
      <c r="E80" s="113" t="s">
        <v>658</v>
      </c>
      <c r="F80" s="113" t="s">
        <v>658</v>
      </c>
      <c r="G80" s="113" t="s">
        <v>658</v>
      </c>
      <c r="H80" s="136" t="s">
        <v>231</v>
      </c>
      <c r="I80" s="113" t="s">
        <v>658</v>
      </c>
      <c r="J80" s="113" t="s">
        <v>658</v>
      </c>
      <c r="K80" s="113" t="s">
        <v>658</v>
      </c>
      <c r="L80" s="113" t="s">
        <v>658</v>
      </c>
      <c r="M80" s="113" t="s">
        <v>658</v>
      </c>
      <c r="N80" s="115"/>
    </row>
    <row r="81" spans="1:14" hidden="1" x14ac:dyDescent="0.3">
      <c r="A81" s="72" t="str">
        <f t="shared" ref="A81" si="55">IF(A79="","","(%)")</f>
        <v/>
      </c>
      <c r="B81" s="113"/>
      <c r="C81" s="113" t="s">
        <v>231</v>
      </c>
      <c r="D81" s="113" t="s">
        <v>231</v>
      </c>
      <c r="E81" s="113" t="s">
        <v>231</v>
      </c>
      <c r="F81" s="113" t="s">
        <v>231</v>
      </c>
      <c r="G81" s="113" t="s">
        <v>231</v>
      </c>
      <c r="H81" s="136"/>
      <c r="I81" s="113" t="s">
        <v>231</v>
      </c>
      <c r="J81" s="113" t="s">
        <v>231</v>
      </c>
      <c r="K81" s="113" t="s">
        <v>231</v>
      </c>
      <c r="L81" s="113" t="s">
        <v>231</v>
      </c>
      <c r="M81" s="113" t="s">
        <v>231</v>
      </c>
      <c r="N81" s="115"/>
    </row>
    <row r="82" spans="1:14" hidden="1" x14ac:dyDescent="0.3">
      <c r="A82" s="112" t="str">
        <f t="shared" ref="A82" si="56">IF(A79="","","STATE")</f>
        <v/>
      </c>
      <c r="B82" s="113" t="s">
        <v>231</v>
      </c>
      <c r="C82" s="113" t="s">
        <v>658</v>
      </c>
      <c r="D82" s="113" t="s">
        <v>658</v>
      </c>
      <c r="E82" s="113" t="s">
        <v>658</v>
      </c>
      <c r="F82" s="113" t="s">
        <v>658</v>
      </c>
      <c r="G82" s="113" t="s">
        <v>658</v>
      </c>
      <c r="H82" s="136" t="s">
        <v>231</v>
      </c>
      <c r="I82" s="113" t="s">
        <v>658</v>
      </c>
      <c r="J82" s="113" t="s">
        <v>658</v>
      </c>
      <c r="K82" s="113" t="s">
        <v>658</v>
      </c>
      <c r="L82" s="113" t="s">
        <v>658</v>
      </c>
      <c r="M82" s="113" t="s">
        <v>658</v>
      </c>
      <c r="N82" s="115"/>
    </row>
    <row r="83" spans="1:14" hidden="1" x14ac:dyDescent="0.3">
      <c r="A83" s="72" t="str">
        <f t="shared" ref="A83" si="57">IF(A79="","","(%)")</f>
        <v/>
      </c>
      <c r="B83" s="113"/>
      <c r="C83" s="113" t="s">
        <v>231</v>
      </c>
      <c r="D83" s="113" t="s">
        <v>231</v>
      </c>
      <c r="E83" s="113" t="s">
        <v>231</v>
      </c>
      <c r="F83" s="113" t="s">
        <v>231</v>
      </c>
      <c r="G83" s="113" t="s">
        <v>231</v>
      </c>
      <c r="H83" s="136"/>
      <c r="I83" s="113" t="s">
        <v>231</v>
      </c>
      <c r="J83" s="113" t="s">
        <v>231</v>
      </c>
      <c r="K83" s="113" t="s">
        <v>231</v>
      </c>
      <c r="L83" s="113" t="s">
        <v>231</v>
      </c>
      <c r="M83" s="113" t="s">
        <v>231</v>
      </c>
      <c r="N83" s="115"/>
    </row>
    <row r="84" spans="1:14" hidden="1" x14ac:dyDescent="0.3">
      <c r="A84" s="112" t="str">
        <f t="shared" ref="A84" si="58">IF(A79="","","POOLED")</f>
        <v/>
      </c>
      <c r="B84" s="113" t="s">
        <v>231</v>
      </c>
      <c r="C84" s="113" t="s">
        <v>658</v>
      </c>
      <c r="D84" s="113" t="s">
        <v>658</v>
      </c>
      <c r="E84" s="113" t="s">
        <v>658</v>
      </c>
      <c r="F84" s="113" t="s">
        <v>658</v>
      </c>
      <c r="G84" s="113" t="s">
        <v>658</v>
      </c>
      <c r="H84" s="136" t="s">
        <v>231</v>
      </c>
      <c r="I84" s="113" t="s">
        <v>658</v>
      </c>
      <c r="J84" s="113" t="s">
        <v>658</v>
      </c>
      <c r="K84" s="113" t="s">
        <v>658</v>
      </c>
      <c r="L84" s="113" t="s">
        <v>658</v>
      </c>
      <c r="M84" s="113" t="s">
        <v>658</v>
      </c>
      <c r="N84" s="115"/>
    </row>
    <row r="85" spans="1:14" hidden="1" x14ac:dyDescent="0.3">
      <c r="A85" s="177" t="str">
        <f t="shared" ref="A85" si="59">IF(A79="","","(%)")</f>
        <v/>
      </c>
      <c r="B85" s="154"/>
      <c r="C85" s="154" t="s">
        <v>231</v>
      </c>
      <c r="D85" s="154" t="s">
        <v>231</v>
      </c>
      <c r="E85" s="154" t="s">
        <v>231</v>
      </c>
      <c r="F85" s="154" t="s">
        <v>231</v>
      </c>
      <c r="G85" s="154" t="s">
        <v>231</v>
      </c>
      <c r="H85" s="190"/>
      <c r="I85" s="154" t="s">
        <v>231</v>
      </c>
      <c r="J85" s="154" t="s">
        <v>231</v>
      </c>
      <c r="K85" s="154" t="s">
        <v>231</v>
      </c>
      <c r="L85" s="154" t="s">
        <v>231</v>
      </c>
      <c r="M85" s="154" t="s">
        <v>231</v>
      </c>
      <c r="N85" s="115"/>
    </row>
    <row r="86" spans="1:14" hidden="1" x14ac:dyDescent="0.3">
      <c r="A86" s="191" t="s">
        <v>231</v>
      </c>
      <c r="B86" s="113"/>
      <c r="C86" s="113"/>
      <c r="D86" s="113"/>
      <c r="E86" s="113"/>
      <c r="F86" s="113"/>
      <c r="G86" s="113"/>
      <c r="H86" s="136"/>
      <c r="I86" s="113"/>
      <c r="J86" s="113"/>
      <c r="K86" s="113"/>
      <c r="L86" s="113"/>
      <c r="M86" s="113"/>
      <c r="N86" s="115"/>
    </row>
    <row r="87" spans="1:14" hidden="1" x14ac:dyDescent="0.3">
      <c r="A87" s="112" t="str">
        <f t="shared" ref="A87" si="60">IF(A86="","","CENTRAL" )</f>
        <v/>
      </c>
      <c r="B87" s="113" t="s">
        <v>231</v>
      </c>
      <c r="C87" s="113" t="s">
        <v>658</v>
      </c>
      <c r="D87" s="113" t="s">
        <v>658</v>
      </c>
      <c r="E87" s="113" t="s">
        <v>658</v>
      </c>
      <c r="F87" s="113" t="s">
        <v>658</v>
      </c>
      <c r="G87" s="113" t="s">
        <v>658</v>
      </c>
      <c r="H87" s="136" t="s">
        <v>231</v>
      </c>
      <c r="I87" s="113" t="s">
        <v>658</v>
      </c>
      <c r="J87" s="113" t="s">
        <v>658</v>
      </c>
      <c r="K87" s="113" t="s">
        <v>658</v>
      </c>
      <c r="L87" s="113" t="s">
        <v>658</v>
      </c>
      <c r="M87" s="113" t="s">
        <v>658</v>
      </c>
      <c r="N87" s="115"/>
    </row>
    <row r="88" spans="1:14" hidden="1" x14ac:dyDescent="0.3">
      <c r="A88" s="72" t="str">
        <f t="shared" ref="A88" si="61">IF(A86="","","(%)")</f>
        <v/>
      </c>
      <c r="B88" s="113"/>
      <c r="C88" s="113" t="s">
        <v>231</v>
      </c>
      <c r="D88" s="113" t="s">
        <v>231</v>
      </c>
      <c r="E88" s="113" t="s">
        <v>231</v>
      </c>
      <c r="F88" s="113" t="s">
        <v>231</v>
      </c>
      <c r="G88" s="113" t="s">
        <v>231</v>
      </c>
      <c r="H88" s="136"/>
      <c r="I88" s="113" t="s">
        <v>231</v>
      </c>
      <c r="J88" s="113" t="s">
        <v>231</v>
      </c>
      <c r="K88" s="113" t="s">
        <v>231</v>
      </c>
      <c r="L88" s="113" t="s">
        <v>231</v>
      </c>
      <c r="M88" s="113" t="s">
        <v>231</v>
      </c>
      <c r="N88" s="115"/>
    </row>
    <row r="89" spans="1:14" hidden="1" x14ac:dyDescent="0.3">
      <c r="A89" s="112" t="str">
        <f t="shared" ref="A89" si="62">IF(A86="","","STATE")</f>
        <v/>
      </c>
      <c r="B89" s="113" t="s">
        <v>231</v>
      </c>
      <c r="C89" s="113" t="s">
        <v>658</v>
      </c>
      <c r="D89" s="113" t="s">
        <v>658</v>
      </c>
      <c r="E89" s="113" t="s">
        <v>658</v>
      </c>
      <c r="F89" s="113" t="s">
        <v>658</v>
      </c>
      <c r="G89" s="113" t="s">
        <v>658</v>
      </c>
      <c r="H89" s="136" t="s">
        <v>231</v>
      </c>
      <c r="I89" s="113" t="s">
        <v>658</v>
      </c>
      <c r="J89" s="113" t="s">
        <v>658</v>
      </c>
      <c r="K89" s="113" t="s">
        <v>658</v>
      </c>
      <c r="L89" s="113" t="s">
        <v>658</v>
      </c>
      <c r="M89" s="113" t="s">
        <v>658</v>
      </c>
      <c r="N89" s="115"/>
    </row>
    <row r="90" spans="1:14" hidden="1" x14ac:dyDescent="0.3">
      <c r="A90" s="72" t="str">
        <f t="shared" ref="A90" si="63">IF(A86="","","(%)")</f>
        <v/>
      </c>
      <c r="B90" s="113"/>
      <c r="C90" s="113" t="s">
        <v>231</v>
      </c>
      <c r="D90" s="113" t="s">
        <v>231</v>
      </c>
      <c r="E90" s="113" t="s">
        <v>231</v>
      </c>
      <c r="F90" s="113" t="s">
        <v>231</v>
      </c>
      <c r="G90" s="113" t="s">
        <v>231</v>
      </c>
      <c r="H90" s="136"/>
      <c r="I90" s="113" t="s">
        <v>231</v>
      </c>
      <c r="J90" s="113" t="s">
        <v>231</v>
      </c>
      <c r="K90" s="113" t="s">
        <v>231</v>
      </c>
      <c r="L90" s="113" t="s">
        <v>231</v>
      </c>
      <c r="M90" s="113" t="s">
        <v>231</v>
      </c>
      <c r="N90" s="115"/>
    </row>
    <row r="91" spans="1:14" hidden="1" x14ac:dyDescent="0.3">
      <c r="A91" s="112" t="str">
        <f t="shared" ref="A91" si="64">IF(A86="","","POOLED")</f>
        <v/>
      </c>
      <c r="B91" s="113" t="s">
        <v>231</v>
      </c>
      <c r="C91" s="113" t="s">
        <v>658</v>
      </c>
      <c r="D91" s="113" t="s">
        <v>658</v>
      </c>
      <c r="E91" s="113" t="s">
        <v>658</v>
      </c>
      <c r="F91" s="113" t="s">
        <v>658</v>
      </c>
      <c r="G91" s="113" t="s">
        <v>658</v>
      </c>
      <c r="H91" s="136" t="s">
        <v>231</v>
      </c>
      <c r="I91" s="113" t="s">
        <v>658</v>
      </c>
      <c r="J91" s="113" t="s">
        <v>658</v>
      </c>
      <c r="K91" s="113" t="s">
        <v>658</v>
      </c>
      <c r="L91" s="113" t="s">
        <v>658</v>
      </c>
      <c r="M91" s="113" t="s">
        <v>658</v>
      </c>
      <c r="N91" s="115"/>
    </row>
    <row r="92" spans="1:14" hidden="1" x14ac:dyDescent="0.3">
      <c r="A92" s="177" t="str">
        <f t="shared" ref="A92" si="65">IF(A86="","","(%)")</f>
        <v/>
      </c>
      <c r="B92" s="154"/>
      <c r="C92" s="154" t="s">
        <v>231</v>
      </c>
      <c r="D92" s="154" t="s">
        <v>231</v>
      </c>
      <c r="E92" s="154" t="s">
        <v>231</v>
      </c>
      <c r="F92" s="154" t="s">
        <v>231</v>
      </c>
      <c r="G92" s="154" t="s">
        <v>231</v>
      </c>
      <c r="H92" s="190"/>
      <c r="I92" s="154" t="s">
        <v>231</v>
      </c>
      <c r="J92" s="154" t="s">
        <v>231</v>
      </c>
      <c r="K92" s="154" t="s">
        <v>231</v>
      </c>
      <c r="L92" s="154" t="s">
        <v>231</v>
      </c>
      <c r="M92" s="154" t="s">
        <v>231</v>
      </c>
      <c r="N92" s="115"/>
    </row>
    <row r="93" spans="1:14" hidden="1" x14ac:dyDescent="0.3">
      <c r="A93" s="191" t="s">
        <v>231</v>
      </c>
      <c r="B93" s="113"/>
      <c r="C93" s="113"/>
      <c r="D93" s="113"/>
      <c r="E93" s="113"/>
      <c r="F93" s="113"/>
      <c r="G93" s="113"/>
      <c r="H93" s="136"/>
      <c r="I93" s="113"/>
      <c r="J93" s="113"/>
      <c r="K93" s="113"/>
      <c r="L93" s="113"/>
      <c r="M93" s="113"/>
      <c r="N93" s="115"/>
    </row>
    <row r="94" spans="1:14" hidden="1" x14ac:dyDescent="0.3">
      <c r="A94" s="112" t="str">
        <f t="shared" ref="A94" si="66">IF(A93="","","CENTRAL" )</f>
        <v/>
      </c>
      <c r="B94" s="113" t="s">
        <v>231</v>
      </c>
      <c r="C94" s="113" t="s">
        <v>658</v>
      </c>
      <c r="D94" s="113" t="s">
        <v>658</v>
      </c>
      <c r="E94" s="113" t="s">
        <v>658</v>
      </c>
      <c r="F94" s="113" t="s">
        <v>658</v>
      </c>
      <c r="G94" s="113" t="s">
        <v>658</v>
      </c>
      <c r="H94" s="136" t="s">
        <v>231</v>
      </c>
      <c r="I94" s="113" t="s">
        <v>658</v>
      </c>
      <c r="J94" s="113" t="s">
        <v>658</v>
      </c>
      <c r="K94" s="113" t="s">
        <v>658</v>
      </c>
      <c r="L94" s="113" t="s">
        <v>658</v>
      </c>
      <c r="M94" s="113" t="s">
        <v>658</v>
      </c>
      <c r="N94" s="115"/>
    </row>
    <row r="95" spans="1:14" hidden="1" x14ac:dyDescent="0.3">
      <c r="A95" s="72" t="str">
        <f t="shared" ref="A95" si="67">IF(A93="","","(%)")</f>
        <v/>
      </c>
      <c r="B95" s="113"/>
      <c r="C95" s="113" t="s">
        <v>231</v>
      </c>
      <c r="D95" s="113" t="s">
        <v>231</v>
      </c>
      <c r="E95" s="113" t="s">
        <v>231</v>
      </c>
      <c r="F95" s="113" t="s">
        <v>231</v>
      </c>
      <c r="G95" s="113" t="s">
        <v>231</v>
      </c>
      <c r="H95" s="136"/>
      <c r="I95" s="113" t="s">
        <v>231</v>
      </c>
      <c r="J95" s="113" t="s">
        <v>231</v>
      </c>
      <c r="K95" s="113" t="s">
        <v>231</v>
      </c>
      <c r="L95" s="113" t="s">
        <v>231</v>
      </c>
      <c r="M95" s="113" t="s">
        <v>231</v>
      </c>
      <c r="N95" s="115"/>
    </row>
    <row r="96" spans="1:14" hidden="1" x14ac:dyDescent="0.3">
      <c r="A96" s="112" t="str">
        <f t="shared" ref="A96" si="68">IF(A93="","","STATE")</f>
        <v/>
      </c>
      <c r="B96" s="113" t="s">
        <v>231</v>
      </c>
      <c r="C96" s="113" t="s">
        <v>658</v>
      </c>
      <c r="D96" s="113" t="s">
        <v>658</v>
      </c>
      <c r="E96" s="113" t="s">
        <v>658</v>
      </c>
      <c r="F96" s="113" t="s">
        <v>658</v>
      </c>
      <c r="G96" s="113" t="s">
        <v>658</v>
      </c>
      <c r="H96" s="136" t="s">
        <v>231</v>
      </c>
      <c r="I96" s="113" t="s">
        <v>658</v>
      </c>
      <c r="J96" s="113" t="s">
        <v>658</v>
      </c>
      <c r="K96" s="113" t="s">
        <v>658</v>
      </c>
      <c r="L96" s="113" t="s">
        <v>658</v>
      </c>
      <c r="M96" s="113" t="s">
        <v>658</v>
      </c>
      <c r="N96" s="115"/>
    </row>
    <row r="97" spans="1:14" hidden="1" x14ac:dyDescent="0.3">
      <c r="A97" s="72" t="str">
        <f t="shared" ref="A97" si="69">IF(A93="","","(%)")</f>
        <v/>
      </c>
      <c r="B97" s="113"/>
      <c r="C97" s="113" t="s">
        <v>231</v>
      </c>
      <c r="D97" s="113" t="s">
        <v>231</v>
      </c>
      <c r="E97" s="113" t="s">
        <v>231</v>
      </c>
      <c r="F97" s="113" t="s">
        <v>231</v>
      </c>
      <c r="G97" s="113" t="s">
        <v>231</v>
      </c>
      <c r="H97" s="136"/>
      <c r="I97" s="113" t="s">
        <v>231</v>
      </c>
      <c r="J97" s="113" t="s">
        <v>231</v>
      </c>
      <c r="K97" s="113" t="s">
        <v>231</v>
      </c>
      <c r="L97" s="113" t="s">
        <v>231</v>
      </c>
      <c r="M97" s="113" t="s">
        <v>231</v>
      </c>
      <c r="N97" s="115"/>
    </row>
    <row r="98" spans="1:14" hidden="1" x14ac:dyDescent="0.3">
      <c r="A98" s="112" t="str">
        <f t="shared" ref="A98" si="70">IF(A93="","","POOLED")</f>
        <v/>
      </c>
      <c r="B98" s="113" t="s">
        <v>231</v>
      </c>
      <c r="C98" s="113" t="s">
        <v>658</v>
      </c>
      <c r="D98" s="113" t="s">
        <v>658</v>
      </c>
      <c r="E98" s="113" t="s">
        <v>658</v>
      </c>
      <c r="F98" s="113" t="s">
        <v>658</v>
      </c>
      <c r="G98" s="113" t="s">
        <v>658</v>
      </c>
      <c r="H98" s="136" t="s">
        <v>231</v>
      </c>
      <c r="I98" s="113" t="s">
        <v>658</v>
      </c>
      <c r="J98" s="113" t="s">
        <v>658</v>
      </c>
      <c r="K98" s="113" t="s">
        <v>658</v>
      </c>
      <c r="L98" s="113" t="s">
        <v>658</v>
      </c>
      <c r="M98" s="113" t="s">
        <v>658</v>
      </c>
      <c r="N98" s="115"/>
    </row>
    <row r="99" spans="1:14" hidden="1" x14ac:dyDescent="0.3">
      <c r="A99" s="177" t="str">
        <f t="shared" ref="A99" si="71">IF(A93="","","(%)")</f>
        <v/>
      </c>
      <c r="B99" s="154"/>
      <c r="C99" s="154" t="s">
        <v>231</v>
      </c>
      <c r="D99" s="154" t="s">
        <v>231</v>
      </c>
      <c r="E99" s="154" t="s">
        <v>231</v>
      </c>
      <c r="F99" s="154" t="s">
        <v>231</v>
      </c>
      <c r="G99" s="154" t="s">
        <v>231</v>
      </c>
      <c r="H99" s="190"/>
      <c r="I99" s="154" t="s">
        <v>231</v>
      </c>
      <c r="J99" s="154" t="s">
        <v>231</v>
      </c>
      <c r="K99" s="154" t="s">
        <v>231</v>
      </c>
      <c r="L99" s="154" t="s">
        <v>231</v>
      </c>
      <c r="M99" s="154" t="s">
        <v>231</v>
      </c>
      <c r="N99" s="115"/>
    </row>
    <row r="100" spans="1:14" hidden="1" x14ac:dyDescent="0.3">
      <c r="A100" s="191" t="s">
        <v>231</v>
      </c>
      <c r="B100" s="113"/>
      <c r="C100" s="113"/>
      <c r="D100" s="113"/>
      <c r="E100" s="113"/>
      <c r="F100" s="113"/>
      <c r="G100" s="113"/>
      <c r="H100" s="136"/>
      <c r="I100" s="113"/>
      <c r="J100" s="113"/>
      <c r="K100" s="113"/>
      <c r="L100" s="113"/>
      <c r="M100" s="113"/>
      <c r="N100" s="115"/>
    </row>
    <row r="101" spans="1:14" hidden="1" x14ac:dyDescent="0.3">
      <c r="A101" s="112" t="str">
        <f t="shared" ref="A101" si="72">IF(A100="","","CENTRAL" )</f>
        <v/>
      </c>
      <c r="B101" s="113" t="s">
        <v>231</v>
      </c>
      <c r="C101" s="113" t="s">
        <v>658</v>
      </c>
      <c r="D101" s="113" t="s">
        <v>658</v>
      </c>
      <c r="E101" s="113" t="s">
        <v>658</v>
      </c>
      <c r="F101" s="113" t="s">
        <v>658</v>
      </c>
      <c r="G101" s="113" t="s">
        <v>658</v>
      </c>
      <c r="H101" s="136" t="s">
        <v>231</v>
      </c>
      <c r="I101" s="113" t="s">
        <v>658</v>
      </c>
      <c r="J101" s="113" t="s">
        <v>658</v>
      </c>
      <c r="K101" s="113" t="s">
        <v>658</v>
      </c>
      <c r="L101" s="113" t="s">
        <v>658</v>
      </c>
      <c r="M101" s="113" t="s">
        <v>658</v>
      </c>
      <c r="N101" s="115"/>
    </row>
    <row r="102" spans="1:14" hidden="1" x14ac:dyDescent="0.3">
      <c r="A102" s="72" t="str">
        <f t="shared" ref="A102" si="73">IF(A100="","","(%)")</f>
        <v/>
      </c>
      <c r="B102" s="113"/>
      <c r="C102" s="113" t="s">
        <v>231</v>
      </c>
      <c r="D102" s="113" t="s">
        <v>231</v>
      </c>
      <c r="E102" s="113" t="s">
        <v>231</v>
      </c>
      <c r="F102" s="113" t="s">
        <v>231</v>
      </c>
      <c r="G102" s="113" t="s">
        <v>231</v>
      </c>
      <c r="H102" s="136"/>
      <c r="I102" s="113" t="s">
        <v>231</v>
      </c>
      <c r="J102" s="113" t="s">
        <v>231</v>
      </c>
      <c r="K102" s="113" t="s">
        <v>231</v>
      </c>
      <c r="L102" s="113" t="s">
        <v>231</v>
      </c>
      <c r="M102" s="113" t="s">
        <v>231</v>
      </c>
      <c r="N102" s="115"/>
    </row>
    <row r="103" spans="1:14" hidden="1" x14ac:dyDescent="0.3">
      <c r="A103" s="112" t="str">
        <f t="shared" ref="A103" si="74">IF(A100="","","STATE")</f>
        <v/>
      </c>
      <c r="B103" s="113" t="s">
        <v>231</v>
      </c>
      <c r="C103" s="113" t="s">
        <v>658</v>
      </c>
      <c r="D103" s="113" t="s">
        <v>658</v>
      </c>
      <c r="E103" s="113" t="s">
        <v>658</v>
      </c>
      <c r="F103" s="113" t="s">
        <v>658</v>
      </c>
      <c r="G103" s="113" t="s">
        <v>658</v>
      </c>
      <c r="H103" s="136" t="s">
        <v>231</v>
      </c>
      <c r="I103" s="113" t="s">
        <v>658</v>
      </c>
      <c r="J103" s="113" t="s">
        <v>658</v>
      </c>
      <c r="K103" s="113" t="s">
        <v>658</v>
      </c>
      <c r="L103" s="113" t="s">
        <v>658</v>
      </c>
      <c r="M103" s="113" t="s">
        <v>658</v>
      </c>
      <c r="N103" s="115"/>
    </row>
    <row r="104" spans="1:14" hidden="1" x14ac:dyDescent="0.3">
      <c r="A104" s="72" t="str">
        <f t="shared" ref="A104" si="75">IF(A100="","","(%)")</f>
        <v/>
      </c>
      <c r="B104" s="113"/>
      <c r="C104" s="113" t="s">
        <v>231</v>
      </c>
      <c r="D104" s="113" t="s">
        <v>231</v>
      </c>
      <c r="E104" s="113" t="s">
        <v>231</v>
      </c>
      <c r="F104" s="113" t="s">
        <v>231</v>
      </c>
      <c r="G104" s="113" t="s">
        <v>231</v>
      </c>
      <c r="H104" s="136"/>
      <c r="I104" s="113" t="s">
        <v>231</v>
      </c>
      <c r="J104" s="113" t="s">
        <v>231</v>
      </c>
      <c r="K104" s="113" t="s">
        <v>231</v>
      </c>
      <c r="L104" s="113" t="s">
        <v>231</v>
      </c>
      <c r="M104" s="113" t="s">
        <v>231</v>
      </c>
      <c r="N104" s="115"/>
    </row>
    <row r="105" spans="1:14" hidden="1" x14ac:dyDescent="0.3">
      <c r="A105" s="112" t="str">
        <f t="shared" ref="A105" si="76">IF(A100="","","POOLED")</f>
        <v/>
      </c>
      <c r="B105" s="113" t="s">
        <v>231</v>
      </c>
      <c r="C105" s="113" t="s">
        <v>658</v>
      </c>
      <c r="D105" s="113" t="s">
        <v>658</v>
      </c>
      <c r="E105" s="113" t="s">
        <v>658</v>
      </c>
      <c r="F105" s="113" t="s">
        <v>658</v>
      </c>
      <c r="G105" s="113" t="s">
        <v>658</v>
      </c>
      <c r="H105" s="136" t="s">
        <v>231</v>
      </c>
      <c r="I105" s="113" t="s">
        <v>658</v>
      </c>
      <c r="J105" s="113" t="s">
        <v>658</v>
      </c>
      <c r="K105" s="113" t="s">
        <v>658</v>
      </c>
      <c r="L105" s="113" t="s">
        <v>658</v>
      </c>
      <c r="M105" s="113" t="s">
        <v>658</v>
      </c>
      <c r="N105" s="115"/>
    </row>
    <row r="106" spans="1:14" hidden="1" x14ac:dyDescent="0.3">
      <c r="A106" s="177" t="str">
        <f t="shared" ref="A106" si="77">IF(A100="","","(%)")</f>
        <v/>
      </c>
      <c r="B106" s="154"/>
      <c r="C106" s="154" t="s">
        <v>231</v>
      </c>
      <c r="D106" s="154" t="s">
        <v>231</v>
      </c>
      <c r="E106" s="154" t="s">
        <v>231</v>
      </c>
      <c r="F106" s="154" t="s">
        <v>231</v>
      </c>
      <c r="G106" s="154" t="s">
        <v>231</v>
      </c>
      <c r="H106" s="190"/>
      <c r="I106" s="154" t="s">
        <v>231</v>
      </c>
      <c r="J106" s="154" t="s">
        <v>231</v>
      </c>
      <c r="K106" s="154" t="s">
        <v>231</v>
      </c>
      <c r="L106" s="154" t="s">
        <v>231</v>
      </c>
      <c r="M106" s="154" t="s">
        <v>231</v>
      </c>
      <c r="N106" s="115"/>
    </row>
    <row r="107" spans="1:14" hidden="1" x14ac:dyDescent="0.3">
      <c r="A107" s="191" t="s">
        <v>231</v>
      </c>
      <c r="B107" s="113"/>
      <c r="C107" s="113"/>
      <c r="D107" s="113"/>
      <c r="E107" s="113"/>
      <c r="F107" s="113"/>
      <c r="G107" s="113"/>
      <c r="H107" s="136"/>
      <c r="I107" s="113"/>
      <c r="J107" s="113"/>
      <c r="K107" s="113"/>
      <c r="L107" s="113"/>
      <c r="M107" s="113"/>
      <c r="N107" s="115"/>
    </row>
    <row r="108" spans="1:14" hidden="1" x14ac:dyDescent="0.3">
      <c r="A108" s="112" t="str">
        <f t="shared" ref="A108" si="78">IF(A107="","","CENTRAL" )</f>
        <v/>
      </c>
      <c r="B108" s="113" t="s">
        <v>231</v>
      </c>
      <c r="C108" s="113" t="s">
        <v>658</v>
      </c>
      <c r="D108" s="113" t="s">
        <v>658</v>
      </c>
      <c r="E108" s="113" t="s">
        <v>658</v>
      </c>
      <c r="F108" s="113" t="s">
        <v>658</v>
      </c>
      <c r="G108" s="113" t="s">
        <v>658</v>
      </c>
      <c r="H108" s="136" t="s">
        <v>231</v>
      </c>
      <c r="I108" s="113" t="s">
        <v>658</v>
      </c>
      <c r="J108" s="113" t="s">
        <v>658</v>
      </c>
      <c r="K108" s="113" t="s">
        <v>658</v>
      </c>
      <c r="L108" s="113" t="s">
        <v>658</v>
      </c>
      <c r="M108" s="113" t="s">
        <v>658</v>
      </c>
      <c r="N108" s="115"/>
    </row>
    <row r="109" spans="1:14" hidden="1" x14ac:dyDescent="0.3">
      <c r="A109" s="72" t="str">
        <f t="shared" ref="A109" si="79">IF(A107="","","(%)")</f>
        <v/>
      </c>
      <c r="B109" s="113"/>
      <c r="C109" s="113" t="s">
        <v>231</v>
      </c>
      <c r="D109" s="113" t="s">
        <v>231</v>
      </c>
      <c r="E109" s="113" t="s">
        <v>231</v>
      </c>
      <c r="F109" s="113" t="s">
        <v>231</v>
      </c>
      <c r="G109" s="113" t="s">
        <v>231</v>
      </c>
      <c r="H109" s="136"/>
      <c r="I109" s="113" t="s">
        <v>231</v>
      </c>
      <c r="J109" s="113" t="s">
        <v>231</v>
      </c>
      <c r="K109" s="113" t="s">
        <v>231</v>
      </c>
      <c r="L109" s="113" t="s">
        <v>231</v>
      </c>
      <c r="M109" s="113" t="s">
        <v>231</v>
      </c>
      <c r="N109" s="115"/>
    </row>
    <row r="110" spans="1:14" hidden="1" x14ac:dyDescent="0.3">
      <c r="A110" s="112" t="str">
        <f t="shared" ref="A110" si="80">IF(A107="","","STATE")</f>
        <v/>
      </c>
      <c r="B110" s="113" t="s">
        <v>231</v>
      </c>
      <c r="C110" s="113" t="s">
        <v>658</v>
      </c>
      <c r="D110" s="113" t="s">
        <v>658</v>
      </c>
      <c r="E110" s="113" t="s">
        <v>658</v>
      </c>
      <c r="F110" s="113" t="s">
        <v>658</v>
      </c>
      <c r="G110" s="113" t="s">
        <v>658</v>
      </c>
      <c r="H110" s="136" t="s">
        <v>231</v>
      </c>
      <c r="I110" s="113" t="s">
        <v>658</v>
      </c>
      <c r="J110" s="113" t="s">
        <v>658</v>
      </c>
      <c r="K110" s="113" t="s">
        <v>658</v>
      </c>
      <c r="L110" s="113" t="s">
        <v>658</v>
      </c>
      <c r="M110" s="113" t="s">
        <v>658</v>
      </c>
      <c r="N110" s="115"/>
    </row>
    <row r="111" spans="1:14" hidden="1" x14ac:dyDescent="0.3">
      <c r="A111" s="72" t="str">
        <f t="shared" ref="A111" si="81">IF(A107="","","(%)")</f>
        <v/>
      </c>
      <c r="B111" s="113"/>
      <c r="C111" s="113" t="s">
        <v>231</v>
      </c>
      <c r="D111" s="113" t="s">
        <v>231</v>
      </c>
      <c r="E111" s="113" t="s">
        <v>231</v>
      </c>
      <c r="F111" s="113" t="s">
        <v>231</v>
      </c>
      <c r="G111" s="113" t="s">
        <v>231</v>
      </c>
      <c r="H111" s="136"/>
      <c r="I111" s="113" t="s">
        <v>231</v>
      </c>
      <c r="J111" s="113" t="s">
        <v>231</v>
      </c>
      <c r="K111" s="113" t="s">
        <v>231</v>
      </c>
      <c r="L111" s="113" t="s">
        <v>231</v>
      </c>
      <c r="M111" s="113" t="s">
        <v>231</v>
      </c>
      <c r="N111" s="115"/>
    </row>
    <row r="112" spans="1:14" hidden="1" x14ac:dyDescent="0.3">
      <c r="A112" s="112" t="str">
        <f t="shared" ref="A112" si="82">IF(A107="","","POOLED")</f>
        <v/>
      </c>
      <c r="B112" s="113" t="s">
        <v>231</v>
      </c>
      <c r="C112" s="113" t="s">
        <v>658</v>
      </c>
      <c r="D112" s="113" t="s">
        <v>658</v>
      </c>
      <c r="E112" s="113" t="s">
        <v>658</v>
      </c>
      <c r="F112" s="113" t="s">
        <v>658</v>
      </c>
      <c r="G112" s="113" t="s">
        <v>658</v>
      </c>
      <c r="H112" s="136" t="s">
        <v>231</v>
      </c>
      <c r="I112" s="113" t="s">
        <v>658</v>
      </c>
      <c r="J112" s="113" t="s">
        <v>658</v>
      </c>
      <c r="K112" s="113" t="s">
        <v>658</v>
      </c>
      <c r="L112" s="113" t="s">
        <v>658</v>
      </c>
      <c r="M112" s="113" t="s">
        <v>658</v>
      </c>
      <c r="N112" s="115"/>
    </row>
    <row r="113" spans="1:14" hidden="1" x14ac:dyDescent="0.3">
      <c r="A113" s="177" t="str">
        <f t="shared" ref="A113" si="83">IF(A107="","","(%)")</f>
        <v/>
      </c>
      <c r="B113" s="154"/>
      <c r="C113" s="154" t="s">
        <v>231</v>
      </c>
      <c r="D113" s="154" t="s">
        <v>231</v>
      </c>
      <c r="E113" s="154" t="s">
        <v>231</v>
      </c>
      <c r="F113" s="154" t="s">
        <v>231</v>
      </c>
      <c r="G113" s="154" t="s">
        <v>231</v>
      </c>
      <c r="H113" s="190"/>
      <c r="I113" s="154" t="s">
        <v>231</v>
      </c>
      <c r="J113" s="154" t="s">
        <v>231</v>
      </c>
      <c r="K113" s="154" t="s">
        <v>231</v>
      </c>
      <c r="L113" s="154" t="s">
        <v>231</v>
      </c>
      <c r="M113" s="154" t="s">
        <v>231</v>
      </c>
      <c r="N113" s="115"/>
    </row>
    <row r="114" spans="1:14" ht="9" hidden="1" customHeight="1" x14ac:dyDescent="0.3">
      <c r="A114" s="192"/>
      <c r="B114" s="193"/>
      <c r="C114" s="193"/>
      <c r="D114" s="193"/>
      <c r="E114" s="193"/>
      <c r="F114" s="193"/>
      <c r="G114" s="193"/>
      <c r="H114" s="194"/>
      <c r="I114" s="193"/>
      <c r="J114" s="193"/>
      <c r="K114" s="193"/>
      <c r="L114" s="193"/>
      <c r="M114" s="193"/>
      <c r="N114" s="115"/>
    </row>
    <row r="115" spans="1:14" x14ac:dyDescent="0.3">
      <c r="A115" s="98" t="str">
        <f>year!$E$3</f>
        <v>RABI II</v>
      </c>
      <c r="B115" s="113"/>
      <c r="C115" s="113"/>
      <c r="D115" s="113"/>
      <c r="E115" s="113"/>
      <c r="F115" s="113"/>
      <c r="G115" s="113"/>
      <c r="H115" s="136"/>
      <c r="I115" s="113"/>
      <c r="J115" s="113"/>
      <c r="K115" s="113"/>
      <c r="L115" s="113"/>
      <c r="M115" s="113"/>
      <c r="N115" s="115"/>
    </row>
    <row r="116" spans="1:14" x14ac:dyDescent="0.3">
      <c r="A116" s="111" t="str">
        <f>year!$E$9</f>
        <v>PADDY</v>
      </c>
      <c r="B116" s="113"/>
      <c r="C116" s="113"/>
      <c r="D116" s="113"/>
      <c r="E116" s="113"/>
      <c r="F116" s="113"/>
      <c r="G116" s="113"/>
      <c r="H116" s="136"/>
      <c r="I116" s="113"/>
      <c r="J116" s="113"/>
      <c r="K116" s="113"/>
      <c r="L116" s="113"/>
      <c r="M116" s="113"/>
      <c r="N116" s="115"/>
    </row>
    <row r="117" spans="1:14" x14ac:dyDescent="0.3">
      <c r="A117" s="112" t="str">
        <f>IF(A116="","","CENTRAL" )</f>
        <v>CENTRAL</v>
      </c>
      <c r="B117" s="113">
        <v>10</v>
      </c>
      <c r="C117" s="113" t="s">
        <v>655</v>
      </c>
      <c r="D117" s="113" t="s">
        <v>440</v>
      </c>
      <c r="E117" s="113" t="s">
        <v>440</v>
      </c>
      <c r="F117" s="113" t="s">
        <v>440</v>
      </c>
      <c r="G117" s="113" t="s">
        <v>440</v>
      </c>
      <c r="H117" s="136">
        <v>10</v>
      </c>
      <c r="I117" s="113" t="s">
        <v>655</v>
      </c>
      <c r="J117" s="113" t="s">
        <v>440</v>
      </c>
      <c r="K117" s="113" t="s">
        <v>440</v>
      </c>
      <c r="L117" s="113" t="s">
        <v>440</v>
      </c>
      <c r="M117" s="113" t="s">
        <v>440</v>
      </c>
      <c r="N117" s="115"/>
    </row>
    <row r="118" spans="1:14" x14ac:dyDescent="0.3">
      <c r="A118" s="72" t="str">
        <f>IF(A116="","","(%)")</f>
        <v>(%)</v>
      </c>
      <c r="B118" s="113"/>
      <c r="C118" s="113" t="s">
        <v>657</v>
      </c>
      <c r="D118" s="113" t="s">
        <v>659</v>
      </c>
      <c r="E118" s="113" t="s">
        <v>659</v>
      </c>
      <c r="F118" s="113" t="s">
        <v>659</v>
      </c>
      <c r="G118" s="113" t="s">
        <v>659</v>
      </c>
      <c r="H118" s="136"/>
      <c r="I118" s="113" t="s">
        <v>657</v>
      </c>
      <c r="J118" s="113" t="s">
        <v>659</v>
      </c>
      <c r="K118" s="113" t="s">
        <v>659</v>
      </c>
      <c r="L118" s="113" t="s">
        <v>659</v>
      </c>
      <c r="M118" s="113" t="s">
        <v>659</v>
      </c>
      <c r="N118" s="115"/>
    </row>
    <row r="119" spans="1:14" x14ac:dyDescent="0.3">
      <c r="A119" s="112" t="str">
        <f>IF(A116="","","STATE")</f>
        <v>STATE</v>
      </c>
      <c r="B119" s="113">
        <v>10</v>
      </c>
      <c r="C119" s="113" t="s">
        <v>655</v>
      </c>
      <c r="D119" s="113" t="s">
        <v>440</v>
      </c>
      <c r="E119" s="113" t="s">
        <v>440</v>
      </c>
      <c r="F119" s="113" t="s">
        <v>440</v>
      </c>
      <c r="G119" s="113" t="s">
        <v>440</v>
      </c>
      <c r="H119" s="136">
        <v>10</v>
      </c>
      <c r="I119" s="113" t="s">
        <v>655</v>
      </c>
      <c r="J119" s="113" t="s">
        <v>440</v>
      </c>
      <c r="K119" s="113" t="s">
        <v>440</v>
      </c>
      <c r="L119" s="113" t="s">
        <v>440</v>
      </c>
      <c r="M119" s="113" t="s">
        <v>440</v>
      </c>
      <c r="N119" s="115"/>
    </row>
    <row r="120" spans="1:14" x14ac:dyDescent="0.3">
      <c r="A120" s="72" t="str">
        <f>IF(A116="","","(%)")</f>
        <v>(%)</v>
      </c>
      <c r="B120" s="113"/>
      <c r="C120" s="113" t="s">
        <v>657</v>
      </c>
      <c r="D120" s="113" t="s">
        <v>659</v>
      </c>
      <c r="E120" s="113" t="s">
        <v>659</v>
      </c>
      <c r="F120" s="113" t="s">
        <v>659</v>
      </c>
      <c r="G120" s="113" t="s">
        <v>659</v>
      </c>
      <c r="H120" s="136"/>
      <c r="I120" s="113" t="s">
        <v>657</v>
      </c>
      <c r="J120" s="113" t="s">
        <v>659</v>
      </c>
      <c r="K120" s="113" t="s">
        <v>659</v>
      </c>
      <c r="L120" s="113" t="s">
        <v>659</v>
      </c>
      <c r="M120" s="113" t="s">
        <v>659</v>
      </c>
      <c r="N120" s="115"/>
    </row>
    <row r="121" spans="1:14" x14ac:dyDescent="0.3">
      <c r="A121" s="112" t="str">
        <f>IF(A116="","","POOLED")</f>
        <v>POOLED</v>
      </c>
      <c r="B121" s="113">
        <v>20</v>
      </c>
      <c r="C121" s="113" t="s">
        <v>656</v>
      </c>
      <c r="D121" s="113" t="s">
        <v>440</v>
      </c>
      <c r="E121" s="113" t="s">
        <v>440</v>
      </c>
      <c r="F121" s="113" t="s">
        <v>440</v>
      </c>
      <c r="G121" s="113" t="s">
        <v>440</v>
      </c>
      <c r="H121" s="136">
        <v>20</v>
      </c>
      <c r="I121" s="113" t="s">
        <v>656</v>
      </c>
      <c r="J121" s="113" t="s">
        <v>440</v>
      </c>
      <c r="K121" s="113" t="s">
        <v>440</v>
      </c>
      <c r="L121" s="113" t="s">
        <v>440</v>
      </c>
      <c r="M121" s="113" t="s">
        <v>440</v>
      </c>
      <c r="N121" s="115"/>
    </row>
    <row r="122" spans="1:14" ht="15" thickBot="1" x14ac:dyDescent="0.35">
      <c r="A122" s="86" t="str">
        <f>IF(A116="","","(%)")</f>
        <v>(%)</v>
      </c>
      <c r="B122" s="161"/>
      <c r="C122" s="161" t="s">
        <v>657</v>
      </c>
      <c r="D122" s="161" t="s">
        <v>659</v>
      </c>
      <c r="E122" s="161" t="s">
        <v>659</v>
      </c>
      <c r="F122" s="161" t="s">
        <v>659</v>
      </c>
      <c r="G122" s="161" t="s">
        <v>659</v>
      </c>
      <c r="H122" s="166"/>
      <c r="I122" s="161" t="s">
        <v>657</v>
      </c>
      <c r="J122" s="161" t="s">
        <v>659</v>
      </c>
      <c r="K122" s="161" t="s">
        <v>659</v>
      </c>
      <c r="L122" s="161" t="s">
        <v>659</v>
      </c>
      <c r="M122" s="161" t="s">
        <v>659</v>
      </c>
      <c r="N122" s="115"/>
    </row>
    <row r="123" spans="1:14" hidden="1" x14ac:dyDescent="0.3">
      <c r="A123" s="119" t="s">
        <v>231</v>
      </c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15"/>
    </row>
    <row r="124" spans="1:14" hidden="1" x14ac:dyDescent="0.3">
      <c r="A124" s="112" t="str">
        <f t="shared" ref="A124" si="84">IF(A123="","","CENTRAL" )</f>
        <v/>
      </c>
      <c r="B124" s="134" t="s">
        <v>231</v>
      </c>
      <c r="C124" s="134" t="s">
        <v>658</v>
      </c>
      <c r="D124" s="134" t="s">
        <v>658</v>
      </c>
      <c r="E124" s="134" t="s">
        <v>658</v>
      </c>
      <c r="F124" s="134" t="s">
        <v>658</v>
      </c>
      <c r="G124" s="134" t="s">
        <v>658</v>
      </c>
      <c r="H124" s="134" t="s">
        <v>231</v>
      </c>
      <c r="I124" s="134" t="s">
        <v>658</v>
      </c>
      <c r="J124" s="134" t="s">
        <v>658</v>
      </c>
      <c r="K124" s="134" t="s">
        <v>658</v>
      </c>
      <c r="L124" s="134" t="s">
        <v>658</v>
      </c>
      <c r="M124" s="134" t="s">
        <v>658</v>
      </c>
      <c r="N124" s="115"/>
    </row>
    <row r="125" spans="1:14" hidden="1" x14ac:dyDescent="0.3">
      <c r="A125" s="72" t="str">
        <f t="shared" ref="A125" si="85">IF(A123="","","(%)")</f>
        <v/>
      </c>
      <c r="B125" s="134"/>
      <c r="C125" s="134" t="s">
        <v>231</v>
      </c>
      <c r="D125" s="134" t="s">
        <v>231</v>
      </c>
      <c r="E125" s="134" t="s">
        <v>231</v>
      </c>
      <c r="F125" s="134" t="s">
        <v>231</v>
      </c>
      <c r="G125" s="134" t="s">
        <v>231</v>
      </c>
      <c r="H125" s="134"/>
      <c r="I125" s="134" t="s">
        <v>231</v>
      </c>
      <c r="J125" s="134" t="s">
        <v>231</v>
      </c>
      <c r="K125" s="134" t="s">
        <v>231</v>
      </c>
      <c r="L125" s="134" t="s">
        <v>231</v>
      </c>
      <c r="M125" s="134" t="s">
        <v>231</v>
      </c>
      <c r="N125" s="115"/>
    </row>
    <row r="126" spans="1:14" hidden="1" x14ac:dyDescent="0.3">
      <c r="A126" s="112" t="str">
        <f t="shared" ref="A126" si="86">IF(A123="","","STATE")</f>
        <v/>
      </c>
      <c r="B126" s="134" t="s">
        <v>231</v>
      </c>
      <c r="C126" s="134" t="s">
        <v>658</v>
      </c>
      <c r="D126" s="134" t="s">
        <v>658</v>
      </c>
      <c r="E126" s="134" t="s">
        <v>658</v>
      </c>
      <c r="F126" s="134" t="s">
        <v>658</v>
      </c>
      <c r="G126" s="134" t="s">
        <v>658</v>
      </c>
      <c r="H126" s="134" t="s">
        <v>231</v>
      </c>
      <c r="I126" s="134" t="s">
        <v>658</v>
      </c>
      <c r="J126" s="134" t="s">
        <v>658</v>
      </c>
      <c r="K126" s="134" t="s">
        <v>658</v>
      </c>
      <c r="L126" s="134" t="s">
        <v>658</v>
      </c>
      <c r="M126" s="134" t="s">
        <v>658</v>
      </c>
      <c r="N126" s="115"/>
    </row>
    <row r="127" spans="1:14" hidden="1" x14ac:dyDescent="0.3">
      <c r="A127" s="72" t="str">
        <f t="shared" ref="A127" si="87">IF(A123="","","(%)")</f>
        <v/>
      </c>
      <c r="B127" s="134"/>
      <c r="C127" s="134" t="s">
        <v>231</v>
      </c>
      <c r="D127" s="134" t="s">
        <v>231</v>
      </c>
      <c r="E127" s="134" t="s">
        <v>231</v>
      </c>
      <c r="F127" s="134" t="s">
        <v>231</v>
      </c>
      <c r="G127" s="134" t="s">
        <v>231</v>
      </c>
      <c r="H127" s="134"/>
      <c r="I127" s="134" t="s">
        <v>231</v>
      </c>
      <c r="J127" s="134" t="s">
        <v>231</v>
      </c>
      <c r="K127" s="134" t="s">
        <v>231</v>
      </c>
      <c r="L127" s="134" t="s">
        <v>231</v>
      </c>
      <c r="M127" s="134" t="s">
        <v>231</v>
      </c>
      <c r="N127" s="115"/>
    </row>
    <row r="128" spans="1:14" hidden="1" x14ac:dyDescent="0.3">
      <c r="A128" s="112" t="str">
        <f t="shared" ref="A128" si="88">IF(A123="","","POOLED")</f>
        <v/>
      </c>
      <c r="B128" s="134" t="s">
        <v>231</v>
      </c>
      <c r="C128" s="134" t="s">
        <v>658</v>
      </c>
      <c r="D128" s="134" t="s">
        <v>658</v>
      </c>
      <c r="E128" s="134" t="s">
        <v>658</v>
      </c>
      <c r="F128" s="134" t="s">
        <v>658</v>
      </c>
      <c r="G128" s="134" t="s">
        <v>658</v>
      </c>
      <c r="H128" s="134" t="s">
        <v>231</v>
      </c>
      <c r="I128" s="134" t="s">
        <v>658</v>
      </c>
      <c r="J128" s="134" t="s">
        <v>658</v>
      </c>
      <c r="K128" s="134" t="s">
        <v>658</v>
      </c>
      <c r="L128" s="134" t="s">
        <v>658</v>
      </c>
      <c r="M128" s="134" t="s">
        <v>658</v>
      </c>
      <c r="N128" s="115"/>
    </row>
    <row r="129" spans="1:14" hidden="1" x14ac:dyDescent="0.3">
      <c r="A129" s="177" t="str">
        <f t="shared" ref="A129" si="89">IF(A123="","","(%)")</f>
        <v/>
      </c>
      <c r="B129" s="195"/>
      <c r="C129" s="195" t="s">
        <v>231</v>
      </c>
      <c r="D129" s="195" t="s">
        <v>231</v>
      </c>
      <c r="E129" s="195" t="s">
        <v>231</v>
      </c>
      <c r="F129" s="195" t="s">
        <v>231</v>
      </c>
      <c r="G129" s="195" t="s">
        <v>231</v>
      </c>
      <c r="H129" s="195"/>
      <c r="I129" s="195" t="s">
        <v>231</v>
      </c>
      <c r="J129" s="195" t="s">
        <v>231</v>
      </c>
      <c r="K129" s="195" t="s">
        <v>231</v>
      </c>
      <c r="L129" s="195" t="s">
        <v>231</v>
      </c>
      <c r="M129" s="195" t="s">
        <v>231</v>
      </c>
      <c r="N129" s="115"/>
    </row>
    <row r="130" spans="1:14" hidden="1" x14ac:dyDescent="0.3">
      <c r="A130" s="191" t="s">
        <v>231</v>
      </c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15"/>
    </row>
    <row r="131" spans="1:14" hidden="1" x14ac:dyDescent="0.3">
      <c r="A131" s="112" t="str">
        <f t="shared" ref="A131" si="90">IF(A130="","","CENTRAL" )</f>
        <v/>
      </c>
      <c r="B131" s="134" t="s">
        <v>231</v>
      </c>
      <c r="C131" s="134" t="s">
        <v>658</v>
      </c>
      <c r="D131" s="134" t="s">
        <v>658</v>
      </c>
      <c r="E131" s="134" t="s">
        <v>658</v>
      </c>
      <c r="F131" s="134" t="s">
        <v>658</v>
      </c>
      <c r="G131" s="134" t="s">
        <v>658</v>
      </c>
      <c r="H131" s="134" t="s">
        <v>231</v>
      </c>
      <c r="I131" s="134" t="s">
        <v>658</v>
      </c>
      <c r="J131" s="134" t="s">
        <v>658</v>
      </c>
      <c r="K131" s="134" t="s">
        <v>658</v>
      </c>
      <c r="L131" s="134" t="s">
        <v>658</v>
      </c>
      <c r="M131" s="134" t="s">
        <v>658</v>
      </c>
      <c r="N131" s="115"/>
    </row>
    <row r="132" spans="1:14" hidden="1" x14ac:dyDescent="0.3">
      <c r="A132" s="72" t="str">
        <f t="shared" ref="A132" si="91">IF(A130="","","(%)")</f>
        <v/>
      </c>
      <c r="B132" s="134"/>
      <c r="C132" s="134" t="s">
        <v>231</v>
      </c>
      <c r="D132" s="134" t="s">
        <v>231</v>
      </c>
      <c r="E132" s="134" t="s">
        <v>231</v>
      </c>
      <c r="F132" s="134" t="s">
        <v>231</v>
      </c>
      <c r="G132" s="134" t="s">
        <v>231</v>
      </c>
      <c r="H132" s="134"/>
      <c r="I132" s="134" t="s">
        <v>231</v>
      </c>
      <c r="J132" s="134" t="s">
        <v>231</v>
      </c>
      <c r="K132" s="134" t="s">
        <v>231</v>
      </c>
      <c r="L132" s="134" t="s">
        <v>231</v>
      </c>
      <c r="M132" s="134" t="s">
        <v>231</v>
      </c>
      <c r="N132" s="115"/>
    </row>
    <row r="133" spans="1:14" hidden="1" x14ac:dyDescent="0.3">
      <c r="A133" s="112" t="str">
        <f t="shared" ref="A133" si="92">IF(A130="","","STATE")</f>
        <v/>
      </c>
      <c r="B133" s="134" t="s">
        <v>231</v>
      </c>
      <c r="C133" s="134" t="s">
        <v>658</v>
      </c>
      <c r="D133" s="134" t="s">
        <v>658</v>
      </c>
      <c r="E133" s="134" t="s">
        <v>658</v>
      </c>
      <c r="F133" s="134" t="s">
        <v>658</v>
      </c>
      <c r="G133" s="134" t="s">
        <v>658</v>
      </c>
      <c r="H133" s="134" t="s">
        <v>231</v>
      </c>
      <c r="I133" s="134" t="s">
        <v>658</v>
      </c>
      <c r="J133" s="134" t="s">
        <v>658</v>
      </c>
      <c r="K133" s="134" t="s">
        <v>658</v>
      </c>
      <c r="L133" s="134" t="s">
        <v>658</v>
      </c>
      <c r="M133" s="134" t="s">
        <v>658</v>
      </c>
    </row>
    <row r="134" spans="1:14" hidden="1" x14ac:dyDescent="0.3">
      <c r="A134" s="72" t="str">
        <f t="shared" ref="A134" si="93">IF(A130="","","(%)")</f>
        <v/>
      </c>
      <c r="B134" s="134"/>
      <c r="C134" s="134" t="s">
        <v>231</v>
      </c>
      <c r="D134" s="134" t="s">
        <v>231</v>
      </c>
      <c r="E134" s="134" t="s">
        <v>231</v>
      </c>
      <c r="F134" s="134" t="s">
        <v>231</v>
      </c>
      <c r="G134" s="134" t="s">
        <v>231</v>
      </c>
      <c r="H134" s="134"/>
      <c r="I134" s="134" t="s">
        <v>231</v>
      </c>
      <c r="J134" s="134" t="s">
        <v>231</v>
      </c>
      <c r="K134" s="134" t="s">
        <v>231</v>
      </c>
      <c r="L134" s="134" t="s">
        <v>231</v>
      </c>
      <c r="M134" s="134" t="s">
        <v>231</v>
      </c>
    </row>
    <row r="135" spans="1:14" hidden="1" x14ac:dyDescent="0.3">
      <c r="A135" s="112" t="str">
        <f t="shared" ref="A135" si="94">IF(A130="","","POOLED")</f>
        <v/>
      </c>
      <c r="B135" s="134" t="s">
        <v>231</v>
      </c>
      <c r="C135" s="134" t="s">
        <v>658</v>
      </c>
      <c r="D135" s="134" t="s">
        <v>658</v>
      </c>
      <c r="E135" s="134" t="s">
        <v>658</v>
      </c>
      <c r="F135" s="134" t="s">
        <v>658</v>
      </c>
      <c r="G135" s="134" t="s">
        <v>658</v>
      </c>
      <c r="H135" s="134" t="s">
        <v>231</v>
      </c>
      <c r="I135" s="134" t="s">
        <v>658</v>
      </c>
      <c r="J135" s="134" t="s">
        <v>658</v>
      </c>
      <c r="K135" s="134" t="s">
        <v>658</v>
      </c>
      <c r="L135" s="134" t="s">
        <v>658</v>
      </c>
      <c r="M135" s="134" t="s">
        <v>658</v>
      </c>
    </row>
    <row r="136" spans="1:14" hidden="1" x14ac:dyDescent="0.3">
      <c r="A136" s="177" t="str">
        <f t="shared" ref="A136" si="95">IF(A130="","","(%)")</f>
        <v/>
      </c>
      <c r="B136" s="195"/>
      <c r="C136" s="195" t="s">
        <v>231</v>
      </c>
      <c r="D136" s="195" t="s">
        <v>231</v>
      </c>
      <c r="E136" s="195" t="s">
        <v>231</v>
      </c>
      <c r="F136" s="195" t="s">
        <v>231</v>
      </c>
      <c r="G136" s="195" t="s">
        <v>231</v>
      </c>
      <c r="H136" s="195"/>
      <c r="I136" s="195" t="s">
        <v>231</v>
      </c>
      <c r="J136" s="195" t="s">
        <v>231</v>
      </c>
      <c r="K136" s="195" t="s">
        <v>231</v>
      </c>
      <c r="L136" s="195" t="s">
        <v>231</v>
      </c>
      <c r="M136" s="195" t="s">
        <v>231</v>
      </c>
    </row>
    <row r="137" spans="1:14" hidden="1" x14ac:dyDescent="0.3">
      <c r="A137" s="191" t="s">
        <v>231</v>
      </c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</row>
    <row r="138" spans="1:14" hidden="1" x14ac:dyDescent="0.3">
      <c r="A138" s="112" t="str">
        <f t="shared" ref="A138" si="96">IF(A137="","","CENTRAL" )</f>
        <v/>
      </c>
      <c r="B138" s="134" t="s">
        <v>231</v>
      </c>
      <c r="C138" s="134" t="s">
        <v>658</v>
      </c>
      <c r="D138" s="134" t="s">
        <v>658</v>
      </c>
      <c r="E138" s="134" t="s">
        <v>658</v>
      </c>
      <c r="F138" s="134" t="s">
        <v>658</v>
      </c>
      <c r="G138" s="134" t="s">
        <v>658</v>
      </c>
      <c r="H138" s="134" t="s">
        <v>231</v>
      </c>
      <c r="I138" s="134" t="s">
        <v>658</v>
      </c>
      <c r="J138" s="134" t="s">
        <v>658</v>
      </c>
      <c r="K138" s="134" t="s">
        <v>658</v>
      </c>
      <c r="L138" s="134" t="s">
        <v>658</v>
      </c>
      <c r="M138" s="134" t="s">
        <v>658</v>
      </c>
    </row>
    <row r="139" spans="1:14" hidden="1" x14ac:dyDescent="0.3">
      <c r="A139" s="72" t="str">
        <f t="shared" ref="A139" si="97">IF(A137="","","(%)")</f>
        <v/>
      </c>
      <c r="B139" s="134"/>
      <c r="C139" s="134" t="s">
        <v>231</v>
      </c>
      <c r="D139" s="134" t="s">
        <v>231</v>
      </c>
      <c r="E139" s="134" t="s">
        <v>231</v>
      </c>
      <c r="F139" s="134" t="s">
        <v>231</v>
      </c>
      <c r="G139" s="134" t="s">
        <v>231</v>
      </c>
      <c r="H139" s="134"/>
      <c r="I139" s="134" t="s">
        <v>231</v>
      </c>
      <c r="J139" s="134" t="s">
        <v>231</v>
      </c>
      <c r="K139" s="134" t="s">
        <v>231</v>
      </c>
      <c r="L139" s="134" t="s">
        <v>231</v>
      </c>
      <c r="M139" s="134" t="s">
        <v>231</v>
      </c>
    </row>
    <row r="140" spans="1:14" hidden="1" x14ac:dyDescent="0.3">
      <c r="A140" s="112" t="str">
        <f t="shared" ref="A140" si="98">IF(A137="","","STATE")</f>
        <v/>
      </c>
      <c r="B140" s="134" t="s">
        <v>231</v>
      </c>
      <c r="C140" s="134" t="s">
        <v>658</v>
      </c>
      <c r="D140" s="134" t="s">
        <v>658</v>
      </c>
      <c r="E140" s="134" t="s">
        <v>658</v>
      </c>
      <c r="F140" s="134" t="s">
        <v>658</v>
      </c>
      <c r="G140" s="134" t="s">
        <v>658</v>
      </c>
      <c r="H140" s="134" t="s">
        <v>231</v>
      </c>
      <c r="I140" s="134" t="s">
        <v>658</v>
      </c>
      <c r="J140" s="134" t="s">
        <v>658</v>
      </c>
      <c r="K140" s="134" t="s">
        <v>658</v>
      </c>
      <c r="L140" s="134" t="s">
        <v>658</v>
      </c>
      <c r="M140" s="134" t="s">
        <v>658</v>
      </c>
    </row>
    <row r="141" spans="1:14" hidden="1" x14ac:dyDescent="0.3">
      <c r="A141" s="72" t="str">
        <f t="shared" ref="A141" si="99">IF(A137="","","(%)")</f>
        <v/>
      </c>
      <c r="B141" s="134"/>
      <c r="C141" s="134" t="s">
        <v>231</v>
      </c>
      <c r="D141" s="134" t="s">
        <v>231</v>
      </c>
      <c r="E141" s="134" t="s">
        <v>231</v>
      </c>
      <c r="F141" s="134" t="s">
        <v>231</v>
      </c>
      <c r="G141" s="134" t="s">
        <v>231</v>
      </c>
      <c r="H141" s="134"/>
      <c r="I141" s="134" t="s">
        <v>231</v>
      </c>
      <c r="J141" s="134" t="s">
        <v>231</v>
      </c>
      <c r="K141" s="134" t="s">
        <v>231</v>
      </c>
      <c r="L141" s="134" t="s">
        <v>231</v>
      </c>
      <c r="M141" s="134" t="s">
        <v>231</v>
      </c>
    </row>
    <row r="142" spans="1:14" hidden="1" x14ac:dyDescent="0.3">
      <c r="A142" s="112" t="str">
        <f t="shared" ref="A142" si="100">IF(A137="","","POOLED")</f>
        <v/>
      </c>
      <c r="B142" s="134" t="s">
        <v>231</v>
      </c>
      <c r="C142" s="134" t="s">
        <v>658</v>
      </c>
      <c r="D142" s="134" t="s">
        <v>658</v>
      </c>
      <c r="E142" s="134" t="s">
        <v>658</v>
      </c>
      <c r="F142" s="134" t="s">
        <v>658</v>
      </c>
      <c r="G142" s="134" t="s">
        <v>658</v>
      </c>
      <c r="H142" s="134" t="s">
        <v>231</v>
      </c>
      <c r="I142" s="134" t="s">
        <v>658</v>
      </c>
      <c r="J142" s="134" t="s">
        <v>658</v>
      </c>
      <c r="K142" s="134" t="s">
        <v>658</v>
      </c>
      <c r="L142" s="134" t="s">
        <v>658</v>
      </c>
      <c r="M142" s="134" t="s">
        <v>658</v>
      </c>
    </row>
    <row r="143" spans="1:14" hidden="1" x14ac:dyDescent="0.3">
      <c r="A143" s="177" t="str">
        <f t="shared" ref="A143" si="101">IF(A137="","","(%)")</f>
        <v/>
      </c>
      <c r="B143" s="195"/>
      <c r="C143" s="195" t="s">
        <v>231</v>
      </c>
      <c r="D143" s="195" t="s">
        <v>231</v>
      </c>
      <c r="E143" s="195" t="s">
        <v>231</v>
      </c>
      <c r="F143" s="195" t="s">
        <v>231</v>
      </c>
      <c r="G143" s="195" t="s">
        <v>231</v>
      </c>
      <c r="H143" s="195"/>
      <c r="I143" s="195" t="s">
        <v>231</v>
      </c>
      <c r="J143" s="195" t="s">
        <v>231</v>
      </c>
      <c r="K143" s="195" t="s">
        <v>231</v>
      </c>
      <c r="L143" s="195" t="s">
        <v>231</v>
      </c>
      <c r="M143" s="195" t="s">
        <v>231</v>
      </c>
    </row>
    <row r="144" spans="1:14" hidden="1" x14ac:dyDescent="0.3">
      <c r="A144" s="191" t="s">
        <v>231</v>
      </c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</row>
    <row r="145" spans="1:13" hidden="1" x14ac:dyDescent="0.3">
      <c r="A145" s="112" t="str">
        <f t="shared" ref="A145" si="102">IF(A144="","","CENTRAL" )</f>
        <v/>
      </c>
      <c r="B145" s="134" t="s">
        <v>231</v>
      </c>
      <c r="C145" s="134" t="s">
        <v>658</v>
      </c>
      <c r="D145" s="134" t="s">
        <v>658</v>
      </c>
      <c r="E145" s="134" t="s">
        <v>658</v>
      </c>
      <c r="F145" s="134" t="s">
        <v>658</v>
      </c>
      <c r="G145" s="134" t="s">
        <v>658</v>
      </c>
      <c r="H145" s="134" t="s">
        <v>231</v>
      </c>
      <c r="I145" s="134" t="s">
        <v>658</v>
      </c>
      <c r="J145" s="134" t="s">
        <v>658</v>
      </c>
      <c r="K145" s="134" t="s">
        <v>658</v>
      </c>
      <c r="L145" s="134" t="s">
        <v>658</v>
      </c>
      <c r="M145" s="134" t="s">
        <v>658</v>
      </c>
    </row>
    <row r="146" spans="1:13" hidden="1" x14ac:dyDescent="0.3">
      <c r="A146" s="72" t="str">
        <f t="shared" ref="A146" si="103">IF(A144="","","(%)")</f>
        <v/>
      </c>
      <c r="B146" s="134"/>
      <c r="C146" s="134" t="s">
        <v>231</v>
      </c>
      <c r="D146" s="134" t="s">
        <v>231</v>
      </c>
      <c r="E146" s="134" t="s">
        <v>231</v>
      </c>
      <c r="F146" s="134" t="s">
        <v>231</v>
      </c>
      <c r="G146" s="134" t="s">
        <v>231</v>
      </c>
      <c r="H146" s="134"/>
      <c r="I146" s="134" t="s">
        <v>231</v>
      </c>
      <c r="J146" s="134" t="s">
        <v>231</v>
      </c>
      <c r="K146" s="134" t="s">
        <v>231</v>
      </c>
      <c r="L146" s="134" t="s">
        <v>231</v>
      </c>
      <c r="M146" s="134" t="s">
        <v>231</v>
      </c>
    </row>
    <row r="147" spans="1:13" hidden="1" x14ac:dyDescent="0.3">
      <c r="A147" s="112" t="str">
        <f t="shared" ref="A147" si="104">IF(A144="","","STATE")</f>
        <v/>
      </c>
      <c r="B147" s="134" t="s">
        <v>231</v>
      </c>
      <c r="C147" s="134" t="s">
        <v>658</v>
      </c>
      <c r="D147" s="134" t="s">
        <v>658</v>
      </c>
      <c r="E147" s="134" t="s">
        <v>658</v>
      </c>
      <c r="F147" s="134" t="s">
        <v>658</v>
      </c>
      <c r="G147" s="134" t="s">
        <v>658</v>
      </c>
      <c r="H147" s="134" t="s">
        <v>231</v>
      </c>
      <c r="I147" s="134" t="s">
        <v>658</v>
      </c>
      <c r="J147" s="134" t="s">
        <v>658</v>
      </c>
      <c r="K147" s="134" t="s">
        <v>658</v>
      </c>
      <c r="L147" s="134" t="s">
        <v>658</v>
      </c>
      <c r="M147" s="134" t="s">
        <v>658</v>
      </c>
    </row>
    <row r="148" spans="1:13" hidden="1" x14ac:dyDescent="0.3">
      <c r="A148" s="72" t="str">
        <f t="shared" ref="A148" si="105">IF(A144="","","(%)")</f>
        <v/>
      </c>
      <c r="B148" s="134"/>
      <c r="C148" s="134" t="s">
        <v>231</v>
      </c>
      <c r="D148" s="134" t="s">
        <v>231</v>
      </c>
      <c r="E148" s="134" t="s">
        <v>231</v>
      </c>
      <c r="F148" s="134" t="s">
        <v>231</v>
      </c>
      <c r="G148" s="134" t="s">
        <v>231</v>
      </c>
      <c r="H148" s="134"/>
      <c r="I148" s="134" t="s">
        <v>231</v>
      </c>
      <c r="J148" s="134" t="s">
        <v>231</v>
      </c>
      <c r="K148" s="134" t="s">
        <v>231</v>
      </c>
      <c r="L148" s="134" t="s">
        <v>231</v>
      </c>
      <c r="M148" s="134" t="s">
        <v>231</v>
      </c>
    </row>
    <row r="149" spans="1:13" hidden="1" x14ac:dyDescent="0.3">
      <c r="A149" s="112" t="str">
        <f t="shared" ref="A149" si="106">IF(A144="","","POOLED")</f>
        <v/>
      </c>
      <c r="B149" s="134" t="s">
        <v>231</v>
      </c>
      <c r="C149" s="134" t="s">
        <v>658</v>
      </c>
      <c r="D149" s="134" t="s">
        <v>658</v>
      </c>
      <c r="E149" s="134" t="s">
        <v>658</v>
      </c>
      <c r="F149" s="134" t="s">
        <v>658</v>
      </c>
      <c r="G149" s="134" t="s">
        <v>658</v>
      </c>
      <c r="H149" s="134" t="s">
        <v>231</v>
      </c>
      <c r="I149" s="134" t="s">
        <v>658</v>
      </c>
      <c r="J149" s="134" t="s">
        <v>658</v>
      </c>
      <c r="K149" s="134" t="s">
        <v>658</v>
      </c>
      <c r="L149" s="134" t="s">
        <v>658</v>
      </c>
      <c r="M149" s="134" t="s">
        <v>658</v>
      </c>
    </row>
    <row r="150" spans="1:13" hidden="1" x14ac:dyDescent="0.3">
      <c r="A150" s="177" t="str">
        <f t="shared" ref="A150" si="107">IF(A144="","","(%)")</f>
        <v/>
      </c>
      <c r="B150" s="195"/>
      <c r="C150" s="195" t="s">
        <v>231</v>
      </c>
      <c r="D150" s="195" t="s">
        <v>231</v>
      </c>
      <c r="E150" s="195" t="s">
        <v>231</v>
      </c>
      <c r="F150" s="195" t="s">
        <v>231</v>
      </c>
      <c r="G150" s="195" t="s">
        <v>231</v>
      </c>
      <c r="H150" s="195"/>
      <c r="I150" s="195" t="s">
        <v>231</v>
      </c>
      <c r="J150" s="195" t="s">
        <v>231</v>
      </c>
      <c r="K150" s="195" t="s">
        <v>231</v>
      </c>
      <c r="L150" s="195" t="s">
        <v>231</v>
      </c>
      <c r="M150" s="195" t="s">
        <v>231</v>
      </c>
    </row>
    <row r="151" spans="1:13" hidden="1" x14ac:dyDescent="0.3">
      <c r="A151" s="191" t="s">
        <v>231</v>
      </c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</row>
    <row r="152" spans="1:13" hidden="1" x14ac:dyDescent="0.3">
      <c r="A152" s="112" t="str">
        <f t="shared" ref="A152" si="108">IF(A151="","","CENTRAL" )</f>
        <v/>
      </c>
      <c r="B152" s="134" t="s">
        <v>231</v>
      </c>
      <c r="C152" s="134" t="s">
        <v>658</v>
      </c>
      <c r="D152" s="134" t="s">
        <v>658</v>
      </c>
      <c r="E152" s="134" t="s">
        <v>658</v>
      </c>
      <c r="F152" s="134" t="s">
        <v>658</v>
      </c>
      <c r="G152" s="134" t="s">
        <v>658</v>
      </c>
      <c r="H152" s="134" t="s">
        <v>231</v>
      </c>
      <c r="I152" s="134" t="s">
        <v>658</v>
      </c>
      <c r="J152" s="134" t="s">
        <v>658</v>
      </c>
      <c r="K152" s="134" t="s">
        <v>658</v>
      </c>
      <c r="L152" s="134" t="s">
        <v>658</v>
      </c>
      <c r="M152" s="134" t="s">
        <v>658</v>
      </c>
    </row>
    <row r="153" spans="1:13" hidden="1" x14ac:dyDescent="0.3">
      <c r="A153" s="72" t="str">
        <f t="shared" ref="A153" si="109">IF(A151="","","(%)")</f>
        <v/>
      </c>
      <c r="B153" s="134"/>
      <c r="C153" s="134" t="s">
        <v>231</v>
      </c>
      <c r="D153" s="134" t="s">
        <v>231</v>
      </c>
      <c r="E153" s="134" t="s">
        <v>231</v>
      </c>
      <c r="F153" s="134" t="s">
        <v>231</v>
      </c>
      <c r="G153" s="134" t="s">
        <v>231</v>
      </c>
      <c r="H153" s="134"/>
      <c r="I153" s="134" t="s">
        <v>231</v>
      </c>
      <c r="J153" s="134" t="s">
        <v>231</v>
      </c>
      <c r="K153" s="134" t="s">
        <v>231</v>
      </c>
      <c r="L153" s="134" t="s">
        <v>231</v>
      </c>
      <c r="M153" s="134" t="s">
        <v>231</v>
      </c>
    </row>
    <row r="154" spans="1:13" hidden="1" x14ac:dyDescent="0.3">
      <c r="A154" s="112" t="str">
        <f t="shared" ref="A154" si="110">IF(A151="","","STATE")</f>
        <v/>
      </c>
      <c r="B154" s="134" t="s">
        <v>231</v>
      </c>
      <c r="C154" s="134" t="s">
        <v>658</v>
      </c>
      <c r="D154" s="134" t="s">
        <v>658</v>
      </c>
      <c r="E154" s="134" t="s">
        <v>658</v>
      </c>
      <c r="F154" s="134" t="s">
        <v>658</v>
      </c>
      <c r="G154" s="134" t="s">
        <v>658</v>
      </c>
      <c r="H154" s="134" t="s">
        <v>231</v>
      </c>
      <c r="I154" s="134" t="s">
        <v>658</v>
      </c>
      <c r="J154" s="134" t="s">
        <v>658</v>
      </c>
      <c r="K154" s="134" t="s">
        <v>658</v>
      </c>
      <c r="L154" s="134" t="s">
        <v>658</v>
      </c>
      <c r="M154" s="134" t="s">
        <v>658</v>
      </c>
    </row>
    <row r="155" spans="1:13" hidden="1" x14ac:dyDescent="0.3">
      <c r="A155" s="72" t="str">
        <f t="shared" ref="A155" si="111">IF(A151="","","(%)")</f>
        <v/>
      </c>
      <c r="B155" s="134"/>
      <c r="C155" s="134" t="s">
        <v>231</v>
      </c>
      <c r="D155" s="134" t="s">
        <v>231</v>
      </c>
      <c r="E155" s="134" t="s">
        <v>231</v>
      </c>
      <c r="F155" s="134" t="s">
        <v>231</v>
      </c>
      <c r="G155" s="134" t="s">
        <v>231</v>
      </c>
      <c r="H155" s="134"/>
      <c r="I155" s="134" t="s">
        <v>231</v>
      </c>
      <c r="J155" s="134" t="s">
        <v>231</v>
      </c>
      <c r="K155" s="134" t="s">
        <v>231</v>
      </c>
      <c r="L155" s="134" t="s">
        <v>231</v>
      </c>
      <c r="M155" s="134" t="s">
        <v>231</v>
      </c>
    </row>
    <row r="156" spans="1:13" hidden="1" x14ac:dyDescent="0.3">
      <c r="A156" s="112" t="str">
        <f t="shared" ref="A156" si="112">IF(A151="","","POOLED")</f>
        <v/>
      </c>
      <c r="B156" s="134" t="s">
        <v>231</v>
      </c>
      <c r="C156" s="134" t="s">
        <v>658</v>
      </c>
      <c r="D156" s="134" t="s">
        <v>658</v>
      </c>
      <c r="E156" s="134" t="s">
        <v>658</v>
      </c>
      <c r="F156" s="134" t="s">
        <v>658</v>
      </c>
      <c r="G156" s="134" t="s">
        <v>658</v>
      </c>
      <c r="H156" s="134" t="s">
        <v>231</v>
      </c>
      <c r="I156" s="134" t="s">
        <v>658</v>
      </c>
      <c r="J156" s="134" t="s">
        <v>658</v>
      </c>
      <c r="K156" s="134" t="s">
        <v>658</v>
      </c>
      <c r="L156" s="134" t="s">
        <v>658</v>
      </c>
      <c r="M156" s="134" t="s">
        <v>658</v>
      </c>
    </row>
    <row r="157" spans="1:13" hidden="1" x14ac:dyDescent="0.3">
      <c r="A157" s="177" t="str">
        <f t="shared" ref="A157" si="113">IF(A151="","","(%)")</f>
        <v/>
      </c>
      <c r="B157" s="195"/>
      <c r="C157" s="195" t="s">
        <v>231</v>
      </c>
      <c r="D157" s="195" t="s">
        <v>231</v>
      </c>
      <c r="E157" s="195" t="s">
        <v>231</v>
      </c>
      <c r="F157" s="195" t="s">
        <v>231</v>
      </c>
      <c r="G157" s="195" t="s">
        <v>231</v>
      </c>
      <c r="H157" s="195"/>
      <c r="I157" s="195" t="s">
        <v>231</v>
      </c>
      <c r="J157" s="195" t="s">
        <v>231</v>
      </c>
      <c r="K157" s="195" t="s">
        <v>231</v>
      </c>
      <c r="L157" s="195" t="s">
        <v>231</v>
      </c>
      <c r="M157" s="195" t="s">
        <v>231</v>
      </c>
    </row>
    <row r="158" spans="1:13" hidden="1" x14ac:dyDescent="0.3">
      <c r="A158" s="191" t="s">
        <v>231</v>
      </c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</row>
    <row r="159" spans="1:13" hidden="1" x14ac:dyDescent="0.3">
      <c r="A159" s="112" t="str">
        <f t="shared" ref="A159" si="114">IF(A158="","","CENTRAL" )</f>
        <v/>
      </c>
      <c r="B159" s="134" t="s">
        <v>231</v>
      </c>
      <c r="C159" s="134" t="s">
        <v>658</v>
      </c>
      <c r="D159" s="134" t="s">
        <v>658</v>
      </c>
      <c r="E159" s="134" t="s">
        <v>658</v>
      </c>
      <c r="F159" s="134" t="s">
        <v>658</v>
      </c>
      <c r="G159" s="134" t="s">
        <v>658</v>
      </c>
      <c r="H159" s="134" t="s">
        <v>231</v>
      </c>
      <c r="I159" s="134" t="s">
        <v>658</v>
      </c>
      <c r="J159" s="134" t="s">
        <v>658</v>
      </c>
      <c r="K159" s="134" t="s">
        <v>658</v>
      </c>
      <c r="L159" s="134" t="s">
        <v>658</v>
      </c>
      <c r="M159" s="134" t="s">
        <v>658</v>
      </c>
    </row>
    <row r="160" spans="1:13" hidden="1" x14ac:dyDescent="0.3">
      <c r="A160" s="72" t="str">
        <f t="shared" ref="A160" si="115">IF(A158="","","(%)")</f>
        <v/>
      </c>
      <c r="B160" s="134"/>
      <c r="C160" s="134" t="s">
        <v>231</v>
      </c>
      <c r="D160" s="134" t="s">
        <v>231</v>
      </c>
      <c r="E160" s="134" t="s">
        <v>231</v>
      </c>
      <c r="F160" s="134" t="s">
        <v>231</v>
      </c>
      <c r="G160" s="134" t="s">
        <v>231</v>
      </c>
      <c r="H160" s="134"/>
      <c r="I160" s="134" t="s">
        <v>231</v>
      </c>
      <c r="J160" s="134" t="s">
        <v>231</v>
      </c>
      <c r="K160" s="134" t="s">
        <v>231</v>
      </c>
      <c r="L160" s="134" t="s">
        <v>231</v>
      </c>
      <c r="M160" s="134" t="s">
        <v>231</v>
      </c>
    </row>
    <row r="161" spans="1:13" hidden="1" x14ac:dyDescent="0.3">
      <c r="A161" s="112" t="str">
        <f t="shared" ref="A161" si="116">IF(A158="","","STATE")</f>
        <v/>
      </c>
      <c r="B161" s="134" t="s">
        <v>231</v>
      </c>
      <c r="C161" s="134" t="s">
        <v>658</v>
      </c>
      <c r="D161" s="134" t="s">
        <v>658</v>
      </c>
      <c r="E161" s="134" t="s">
        <v>658</v>
      </c>
      <c r="F161" s="134" t="s">
        <v>658</v>
      </c>
      <c r="G161" s="134" t="s">
        <v>658</v>
      </c>
      <c r="H161" s="134" t="s">
        <v>231</v>
      </c>
      <c r="I161" s="134" t="s">
        <v>658</v>
      </c>
      <c r="J161" s="134" t="s">
        <v>658</v>
      </c>
      <c r="K161" s="134" t="s">
        <v>658</v>
      </c>
      <c r="L161" s="134" t="s">
        <v>658</v>
      </c>
      <c r="M161" s="134" t="s">
        <v>658</v>
      </c>
    </row>
    <row r="162" spans="1:13" hidden="1" x14ac:dyDescent="0.3">
      <c r="A162" s="72" t="str">
        <f t="shared" ref="A162" si="117">IF(A158="","","(%)")</f>
        <v/>
      </c>
      <c r="B162" s="134"/>
      <c r="C162" s="134" t="s">
        <v>231</v>
      </c>
      <c r="D162" s="134" t="s">
        <v>231</v>
      </c>
      <c r="E162" s="134" t="s">
        <v>231</v>
      </c>
      <c r="F162" s="134" t="s">
        <v>231</v>
      </c>
      <c r="G162" s="134" t="s">
        <v>231</v>
      </c>
      <c r="H162" s="134"/>
      <c r="I162" s="134" t="s">
        <v>231</v>
      </c>
      <c r="J162" s="134" t="s">
        <v>231</v>
      </c>
      <c r="K162" s="134" t="s">
        <v>231</v>
      </c>
      <c r="L162" s="134" t="s">
        <v>231</v>
      </c>
      <c r="M162" s="134" t="s">
        <v>231</v>
      </c>
    </row>
    <row r="163" spans="1:13" hidden="1" x14ac:dyDescent="0.3">
      <c r="A163" s="112" t="str">
        <f t="shared" ref="A163" si="118">IF(A158="","","POOLED")</f>
        <v/>
      </c>
      <c r="B163" s="134" t="s">
        <v>231</v>
      </c>
      <c r="C163" s="134" t="s">
        <v>658</v>
      </c>
      <c r="D163" s="134" t="s">
        <v>658</v>
      </c>
      <c r="E163" s="134" t="s">
        <v>658</v>
      </c>
      <c r="F163" s="134" t="s">
        <v>658</v>
      </c>
      <c r="G163" s="134" t="s">
        <v>658</v>
      </c>
      <c r="H163" s="134" t="s">
        <v>231</v>
      </c>
      <c r="I163" s="134" t="s">
        <v>658</v>
      </c>
      <c r="J163" s="134" t="s">
        <v>658</v>
      </c>
      <c r="K163" s="134" t="s">
        <v>658</v>
      </c>
      <c r="L163" s="134" t="s">
        <v>658</v>
      </c>
      <c r="M163" s="134" t="s">
        <v>658</v>
      </c>
    </row>
    <row r="164" spans="1:13" hidden="1" x14ac:dyDescent="0.3">
      <c r="A164" s="177" t="str">
        <f t="shared" ref="A164" si="119">IF(A158="","","(%)")</f>
        <v/>
      </c>
      <c r="B164" s="195"/>
      <c r="C164" s="195" t="s">
        <v>231</v>
      </c>
      <c r="D164" s="195" t="s">
        <v>231</v>
      </c>
      <c r="E164" s="195" t="s">
        <v>231</v>
      </c>
      <c r="F164" s="195" t="s">
        <v>231</v>
      </c>
      <c r="G164" s="195" t="s">
        <v>231</v>
      </c>
      <c r="H164" s="195"/>
      <c r="I164" s="195" t="s">
        <v>231</v>
      </c>
      <c r="J164" s="195" t="s">
        <v>231</v>
      </c>
      <c r="K164" s="195" t="s">
        <v>231</v>
      </c>
      <c r="L164" s="195" t="s">
        <v>231</v>
      </c>
      <c r="M164" s="195" t="s">
        <v>231</v>
      </c>
    </row>
    <row r="165" spans="1:13" hidden="1" x14ac:dyDescent="0.3">
      <c r="A165" s="191" t="s">
        <v>231</v>
      </c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</row>
    <row r="166" spans="1:13" hidden="1" x14ac:dyDescent="0.3">
      <c r="A166" s="112" t="str">
        <f t="shared" ref="A166" si="120">IF(A165="","","CENTRAL" )</f>
        <v/>
      </c>
      <c r="B166" s="134" t="s">
        <v>231</v>
      </c>
      <c r="C166" s="134" t="s">
        <v>658</v>
      </c>
      <c r="D166" s="134" t="s">
        <v>658</v>
      </c>
      <c r="E166" s="134" t="s">
        <v>658</v>
      </c>
      <c r="F166" s="134" t="s">
        <v>658</v>
      </c>
      <c r="G166" s="134" t="s">
        <v>658</v>
      </c>
      <c r="H166" s="134" t="s">
        <v>231</v>
      </c>
      <c r="I166" s="134" t="s">
        <v>658</v>
      </c>
      <c r="J166" s="134" t="s">
        <v>658</v>
      </c>
      <c r="K166" s="134" t="s">
        <v>658</v>
      </c>
      <c r="L166" s="134" t="s">
        <v>658</v>
      </c>
      <c r="M166" s="134" t="s">
        <v>658</v>
      </c>
    </row>
    <row r="167" spans="1:13" hidden="1" x14ac:dyDescent="0.3">
      <c r="A167" s="72" t="str">
        <f t="shared" ref="A167" si="121">IF(A165="","","(%)")</f>
        <v/>
      </c>
      <c r="B167" s="134"/>
      <c r="C167" s="134" t="s">
        <v>231</v>
      </c>
      <c r="D167" s="134" t="s">
        <v>231</v>
      </c>
      <c r="E167" s="134" t="s">
        <v>231</v>
      </c>
      <c r="F167" s="134" t="s">
        <v>231</v>
      </c>
      <c r="G167" s="134" t="s">
        <v>231</v>
      </c>
      <c r="H167" s="134"/>
      <c r="I167" s="134" t="s">
        <v>231</v>
      </c>
      <c r="J167" s="134" t="s">
        <v>231</v>
      </c>
      <c r="K167" s="134" t="s">
        <v>231</v>
      </c>
      <c r="L167" s="134" t="s">
        <v>231</v>
      </c>
      <c r="M167" s="134" t="s">
        <v>231</v>
      </c>
    </row>
    <row r="168" spans="1:13" hidden="1" x14ac:dyDescent="0.3">
      <c r="A168" s="112" t="str">
        <f t="shared" ref="A168" si="122">IF(A165="","","STATE")</f>
        <v/>
      </c>
      <c r="B168" s="134" t="s">
        <v>231</v>
      </c>
      <c r="C168" s="134" t="s">
        <v>658</v>
      </c>
      <c r="D168" s="134" t="s">
        <v>658</v>
      </c>
      <c r="E168" s="134" t="s">
        <v>658</v>
      </c>
      <c r="F168" s="134" t="s">
        <v>658</v>
      </c>
      <c r="G168" s="134" t="s">
        <v>658</v>
      </c>
      <c r="H168" s="134" t="s">
        <v>231</v>
      </c>
      <c r="I168" s="134" t="s">
        <v>658</v>
      </c>
      <c r="J168" s="134" t="s">
        <v>658</v>
      </c>
      <c r="K168" s="134" t="s">
        <v>658</v>
      </c>
      <c r="L168" s="134" t="s">
        <v>658</v>
      </c>
      <c r="M168" s="134" t="s">
        <v>658</v>
      </c>
    </row>
    <row r="169" spans="1:13" hidden="1" x14ac:dyDescent="0.3">
      <c r="A169" s="72" t="str">
        <f t="shared" ref="A169" si="123">IF(A165="","","(%)")</f>
        <v/>
      </c>
      <c r="B169" s="134"/>
      <c r="C169" s="134" t="s">
        <v>231</v>
      </c>
      <c r="D169" s="134" t="s">
        <v>231</v>
      </c>
      <c r="E169" s="134" t="s">
        <v>231</v>
      </c>
      <c r="F169" s="134" t="s">
        <v>231</v>
      </c>
      <c r="G169" s="134" t="s">
        <v>231</v>
      </c>
      <c r="H169" s="134"/>
      <c r="I169" s="134" t="s">
        <v>231</v>
      </c>
      <c r="J169" s="134" t="s">
        <v>231</v>
      </c>
      <c r="K169" s="134" t="s">
        <v>231</v>
      </c>
      <c r="L169" s="134" t="s">
        <v>231</v>
      </c>
      <c r="M169" s="134" t="s">
        <v>231</v>
      </c>
    </row>
    <row r="170" spans="1:13" hidden="1" x14ac:dyDescent="0.3">
      <c r="A170" s="112" t="str">
        <f t="shared" ref="A170" si="124">IF(A165="","","POOLED")</f>
        <v/>
      </c>
      <c r="B170" s="134" t="s">
        <v>231</v>
      </c>
      <c r="C170" s="134" t="s">
        <v>658</v>
      </c>
      <c r="D170" s="134" t="s">
        <v>658</v>
      </c>
      <c r="E170" s="134" t="s">
        <v>658</v>
      </c>
      <c r="F170" s="134" t="s">
        <v>658</v>
      </c>
      <c r="G170" s="134" t="s">
        <v>658</v>
      </c>
      <c r="H170" s="134" t="s">
        <v>231</v>
      </c>
      <c r="I170" s="134" t="s">
        <v>658</v>
      </c>
      <c r="J170" s="134" t="s">
        <v>658</v>
      </c>
      <c r="K170" s="134" t="s">
        <v>658</v>
      </c>
      <c r="L170" s="134" t="s">
        <v>658</v>
      </c>
      <c r="M170" s="134" t="s">
        <v>658</v>
      </c>
    </row>
    <row r="171" spans="1:13" hidden="1" x14ac:dyDescent="0.3">
      <c r="A171" s="177" t="str">
        <f t="shared" ref="A171" si="125">IF(A165="","","(%)")</f>
        <v/>
      </c>
      <c r="B171" s="195"/>
      <c r="C171" s="195" t="s">
        <v>231</v>
      </c>
      <c r="D171" s="195" t="s">
        <v>231</v>
      </c>
      <c r="E171" s="195" t="s">
        <v>231</v>
      </c>
      <c r="F171" s="195" t="s">
        <v>231</v>
      </c>
      <c r="G171" s="195" t="s">
        <v>231</v>
      </c>
      <c r="H171" s="195"/>
      <c r="I171" s="195" t="s">
        <v>231</v>
      </c>
      <c r="J171" s="195" t="s">
        <v>231</v>
      </c>
      <c r="K171" s="195" t="s">
        <v>231</v>
      </c>
      <c r="L171" s="195" t="s">
        <v>231</v>
      </c>
      <c r="M171" s="195" t="s">
        <v>231</v>
      </c>
    </row>
    <row r="172" spans="1:13" hidden="1" x14ac:dyDescent="0.3">
      <c r="A172" s="191" t="s">
        <v>231</v>
      </c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</row>
    <row r="173" spans="1:13" hidden="1" x14ac:dyDescent="0.3">
      <c r="A173" s="112" t="str">
        <f t="shared" ref="A173" si="126">IF(A172="","","CENTRAL" )</f>
        <v/>
      </c>
      <c r="B173" s="134" t="s">
        <v>231</v>
      </c>
      <c r="C173" s="134" t="s">
        <v>658</v>
      </c>
      <c r="D173" s="134" t="s">
        <v>658</v>
      </c>
      <c r="E173" s="134" t="s">
        <v>658</v>
      </c>
      <c r="F173" s="134" t="s">
        <v>658</v>
      </c>
      <c r="G173" s="134" t="s">
        <v>658</v>
      </c>
      <c r="H173" s="134" t="s">
        <v>231</v>
      </c>
      <c r="I173" s="134" t="s">
        <v>658</v>
      </c>
      <c r="J173" s="134" t="s">
        <v>658</v>
      </c>
      <c r="K173" s="134" t="s">
        <v>658</v>
      </c>
      <c r="L173" s="134" t="s">
        <v>658</v>
      </c>
      <c r="M173" s="134" t="s">
        <v>658</v>
      </c>
    </row>
    <row r="174" spans="1:13" hidden="1" x14ac:dyDescent="0.3">
      <c r="A174" s="72" t="str">
        <f t="shared" ref="A174" si="127">IF(A172="","","(%)")</f>
        <v/>
      </c>
      <c r="B174" s="134"/>
      <c r="C174" s="134" t="s">
        <v>231</v>
      </c>
      <c r="D174" s="134" t="s">
        <v>231</v>
      </c>
      <c r="E174" s="134" t="s">
        <v>231</v>
      </c>
      <c r="F174" s="134" t="s">
        <v>231</v>
      </c>
      <c r="G174" s="134" t="s">
        <v>231</v>
      </c>
      <c r="H174" s="134"/>
      <c r="I174" s="134" t="s">
        <v>231</v>
      </c>
      <c r="J174" s="134" t="s">
        <v>231</v>
      </c>
      <c r="K174" s="134" t="s">
        <v>231</v>
      </c>
      <c r="L174" s="134" t="s">
        <v>231</v>
      </c>
      <c r="M174" s="134" t="s">
        <v>231</v>
      </c>
    </row>
    <row r="175" spans="1:13" hidden="1" x14ac:dyDescent="0.3">
      <c r="A175" s="112" t="str">
        <f t="shared" ref="A175" si="128">IF(A172="","","STATE")</f>
        <v/>
      </c>
      <c r="B175" s="134" t="s">
        <v>231</v>
      </c>
      <c r="C175" s="134" t="s">
        <v>658</v>
      </c>
      <c r="D175" s="134" t="s">
        <v>658</v>
      </c>
      <c r="E175" s="134" t="s">
        <v>658</v>
      </c>
      <c r="F175" s="134" t="s">
        <v>658</v>
      </c>
      <c r="G175" s="134" t="s">
        <v>658</v>
      </c>
      <c r="H175" s="134" t="s">
        <v>231</v>
      </c>
      <c r="I175" s="134" t="s">
        <v>658</v>
      </c>
      <c r="J175" s="134" t="s">
        <v>658</v>
      </c>
      <c r="K175" s="134" t="s">
        <v>658</v>
      </c>
      <c r="L175" s="134" t="s">
        <v>658</v>
      </c>
      <c r="M175" s="134" t="s">
        <v>658</v>
      </c>
    </row>
    <row r="176" spans="1:13" hidden="1" x14ac:dyDescent="0.3">
      <c r="A176" s="72" t="str">
        <f t="shared" ref="A176" si="129">IF(A172="","","(%)")</f>
        <v/>
      </c>
      <c r="B176" s="134"/>
      <c r="C176" s="134" t="s">
        <v>231</v>
      </c>
      <c r="D176" s="134" t="s">
        <v>231</v>
      </c>
      <c r="E176" s="134" t="s">
        <v>231</v>
      </c>
      <c r="F176" s="134" t="s">
        <v>231</v>
      </c>
      <c r="G176" s="134" t="s">
        <v>231</v>
      </c>
      <c r="H176" s="134"/>
      <c r="I176" s="134" t="s">
        <v>231</v>
      </c>
      <c r="J176" s="134" t="s">
        <v>231</v>
      </c>
      <c r="K176" s="134" t="s">
        <v>231</v>
      </c>
      <c r="L176" s="134" t="s">
        <v>231</v>
      </c>
      <c r="M176" s="134" t="s">
        <v>231</v>
      </c>
    </row>
    <row r="177" spans="1:13" hidden="1" x14ac:dyDescent="0.3">
      <c r="A177" s="112" t="str">
        <f t="shared" ref="A177" si="130">IF(A172="","","POOLED")</f>
        <v/>
      </c>
      <c r="B177" s="134" t="s">
        <v>231</v>
      </c>
      <c r="C177" s="134" t="s">
        <v>658</v>
      </c>
      <c r="D177" s="134" t="s">
        <v>658</v>
      </c>
      <c r="E177" s="134" t="s">
        <v>658</v>
      </c>
      <c r="F177" s="134" t="s">
        <v>658</v>
      </c>
      <c r="G177" s="134" t="s">
        <v>658</v>
      </c>
      <c r="H177" s="134" t="s">
        <v>231</v>
      </c>
      <c r="I177" s="134" t="s">
        <v>658</v>
      </c>
      <c r="J177" s="134" t="s">
        <v>658</v>
      </c>
      <c r="K177" s="134" t="s">
        <v>658</v>
      </c>
      <c r="L177" s="134" t="s">
        <v>658</v>
      </c>
      <c r="M177" s="134" t="s">
        <v>658</v>
      </c>
    </row>
    <row r="178" spans="1:13" hidden="1" x14ac:dyDescent="0.3">
      <c r="A178" s="177" t="str">
        <f t="shared" ref="A178" si="131">IF(A172="","","(%)")</f>
        <v/>
      </c>
      <c r="B178" s="195"/>
      <c r="C178" s="195" t="s">
        <v>231</v>
      </c>
      <c r="D178" s="195" t="s">
        <v>231</v>
      </c>
      <c r="E178" s="195" t="s">
        <v>231</v>
      </c>
      <c r="F178" s="195" t="s">
        <v>231</v>
      </c>
      <c r="G178" s="195" t="s">
        <v>231</v>
      </c>
      <c r="H178" s="195"/>
      <c r="I178" s="195" t="s">
        <v>231</v>
      </c>
      <c r="J178" s="195" t="s">
        <v>231</v>
      </c>
      <c r="K178" s="195" t="s">
        <v>231</v>
      </c>
      <c r="L178" s="195" t="s">
        <v>231</v>
      </c>
      <c r="M178" s="195" t="s">
        <v>231</v>
      </c>
    </row>
    <row r="179" spans="1:13" hidden="1" x14ac:dyDescent="0.3">
      <c r="A179" s="191" t="s">
        <v>231</v>
      </c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</row>
    <row r="180" spans="1:13" hidden="1" x14ac:dyDescent="0.3">
      <c r="A180" s="112" t="str">
        <f t="shared" ref="A180" si="132">IF(A179="","","CENTRAL" )</f>
        <v/>
      </c>
      <c r="B180" s="134" t="s">
        <v>231</v>
      </c>
      <c r="C180" s="134" t="s">
        <v>658</v>
      </c>
      <c r="D180" s="134" t="s">
        <v>658</v>
      </c>
      <c r="E180" s="134" t="s">
        <v>658</v>
      </c>
      <c r="F180" s="134" t="s">
        <v>658</v>
      </c>
      <c r="G180" s="134" t="s">
        <v>658</v>
      </c>
      <c r="H180" s="134" t="s">
        <v>231</v>
      </c>
      <c r="I180" s="134" t="s">
        <v>658</v>
      </c>
      <c r="J180" s="134" t="s">
        <v>658</v>
      </c>
      <c r="K180" s="134" t="s">
        <v>658</v>
      </c>
      <c r="L180" s="134" t="s">
        <v>658</v>
      </c>
      <c r="M180" s="134" t="s">
        <v>658</v>
      </c>
    </row>
    <row r="181" spans="1:13" hidden="1" x14ac:dyDescent="0.3">
      <c r="A181" s="72" t="str">
        <f t="shared" ref="A181" si="133">IF(A179="","","(%)")</f>
        <v/>
      </c>
      <c r="B181" s="134"/>
      <c r="C181" s="134" t="s">
        <v>231</v>
      </c>
      <c r="D181" s="134" t="s">
        <v>231</v>
      </c>
      <c r="E181" s="134" t="s">
        <v>231</v>
      </c>
      <c r="F181" s="134" t="s">
        <v>231</v>
      </c>
      <c r="G181" s="134" t="s">
        <v>231</v>
      </c>
      <c r="H181" s="134"/>
      <c r="I181" s="134" t="s">
        <v>231</v>
      </c>
      <c r="J181" s="134" t="s">
        <v>231</v>
      </c>
      <c r="K181" s="134" t="s">
        <v>231</v>
      </c>
      <c r="L181" s="134" t="s">
        <v>231</v>
      </c>
      <c r="M181" s="134" t="s">
        <v>231</v>
      </c>
    </row>
    <row r="182" spans="1:13" hidden="1" x14ac:dyDescent="0.3">
      <c r="A182" s="112" t="str">
        <f t="shared" ref="A182" si="134">IF(A179="","","STATE")</f>
        <v/>
      </c>
      <c r="B182" s="134" t="s">
        <v>231</v>
      </c>
      <c r="C182" s="134" t="s">
        <v>658</v>
      </c>
      <c r="D182" s="134" t="s">
        <v>658</v>
      </c>
      <c r="E182" s="134" t="s">
        <v>658</v>
      </c>
      <c r="F182" s="134" t="s">
        <v>658</v>
      </c>
      <c r="G182" s="134" t="s">
        <v>658</v>
      </c>
      <c r="H182" s="134" t="s">
        <v>231</v>
      </c>
      <c r="I182" s="134" t="s">
        <v>658</v>
      </c>
      <c r="J182" s="134" t="s">
        <v>658</v>
      </c>
      <c r="K182" s="134" t="s">
        <v>658</v>
      </c>
      <c r="L182" s="134" t="s">
        <v>658</v>
      </c>
      <c r="M182" s="134" t="s">
        <v>658</v>
      </c>
    </row>
    <row r="183" spans="1:13" hidden="1" x14ac:dyDescent="0.3">
      <c r="A183" s="72" t="str">
        <f t="shared" ref="A183" si="135">IF(A179="","","(%)")</f>
        <v/>
      </c>
      <c r="B183" s="134"/>
      <c r="C183" s="134" t="s">
        <v>231</v>
      </c>
      <c r="D183" s="134" t="s">
        <v>231</v>
      </c>
      <c r="E183" s="134" t="s">
        <v>231</v>
      </c>
      <c r="F183" s="134" t="s">
        <v>231</v>
      </c>
      <c r="G183" s="134" t="s">
        <v>231</v>
      </c>
      <c r="H183" s="134"/>
      <c r="I183" s="134" t="s">
        <v>231</v>
      </c>
      <c r="J183" s="134" t="s">
        <v>231</v>
      </c>
      <c r="K183" s="134" t="s">
        <v>231</v>
      </c>
      <c r="L183" s="134" t="s">
        <v>231</v>
      </c>
      <c r="M183" s="134" t="s">
        <v>231</v>
      </c>
    </row>
    <row r="184" spans="1:13" hidden="1" x14ac:dyDescent="0.3">
      <c r="A184" s="112" t="str">
        <f t="shared" ref="A184" si="136">IF(A179="","","POOLED")</f>
        <v/>
      </c>
      <c r="B184" s="134" t="s">
        <v>231</v>
      </c>
      <c r="C184" s="134" t="s">
        <v>658</v>
      </c>
      <c r="D184" s="134" t="s">
        <v>658</v>
      </c>
      <c r="E184" s="134" t="s">
        <v>658</v>
      </c>
      <c r="F184" s="134" t="s">
        <v>658</v>
      </c>
      <c r="G184" s="134" t="s">
        <v>658</v>
      </c>
      <c r="H184" s="134" t="s">
        <v>231</v>
      </c>
      <c r="I184" s="134" t="s">
        <v>658</v>
      </c>
      <c r="J184" s="134" t="s">
        <v>658</v>
      </c>
      <c r="K184" s="134" t="s">
        <v>658</v>
      </c>
      <c r="L184" s="134" t="s">
        <v>658</v>
      </c>
      <c r="M184" s="134" t="s">
        <v>658</v>
      </c>
    </row>
    <row r="185" spans="1:13" hidden="1" x14ac:dyDescent="0.3">
      <c r="A185" s="177" t="str">
        <f t="shared" ref="A185" si="137">IF(A179="","","(%)")</f>
        <v/>
      </c>
      <c r="B185" s="195"/>
      <c r="C185" s="195" t="s">
        <v>231</v>
      </c>
      <c r="D185" s="195" t="s">
        <v>231</v>
      </c>
      <c r="E185" s="195" t="s">
        <v>231</v>
      </c>
      <c r="F185" s="195" t="s">
        <v>231</v>
      </c>
      <c r="G185" s="195" t="s">
        <v>231</v>
      </c>
      <c r="H185" s="195"/>
      <c r="I185" s="195" t="s">
        <v>231</v>
      </c>
      <c r="J185" s="195" t="s">
        <v>231</v>
      </c>
      <c r="K185" s="195" t="s">
        <v>231</v>
      </c>
      <c r="L185" s="195" t="s">
        <v>231</v>
      </c>
      <c r="M185" s="195" t="s">
        <v>231</v>
      </c>
    </row>
    <row r="186" spans="1:13" hidden="1" x14ac:dyDescent="0.3">
      <c r="A186" s="191" t="s">
        <v>231</v>
      </c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</row>
    <row r="187" spans="1:13" hidden="1" x14ac:dyDescent="0.3">
      <c r="A187" s="112" t="str">
        <f t="shared" ref="A187" si="138">IF(A186="","","CENTRAL" )</f>
        <v/>
      </c>
      <c r="B187" s="134" t="s">
        <v>231</v>
      </c>
      <c r="C187" s="134" t="s">
        <v>658</v>
      </c>
      <c r="D187" s="134" t="s">
        <v>658</v>
      </c>
      <c r="E187" s="134" t="s">
        <v>658</v>
      </c>
      <c r="F187" s="134" t="s">
        <v>658</v>
      </c>
      <c r="G187" s="134" t="s">
        <v>658</v>
      </c>
      <c r="H187" s="134" t="s">
        <v>231</v>
      </c>
      <c r="I187" s="134" t="s">
        <v>658</v>
      </c>
      <c r="J187" s="134" t="s">
        <v>658</v>
      </c>
      <c r="K187" s="134" t="s">
        <v>658</v>
      </c>
      <c r="L187" s="134" t="s">
        <v>658</v>
      </c>
      <c r="M187" s="134" t="s">
        <v>658</v>
      </c>
    </row>
    <row r="188" spans="1:13" hidden="1" x14ac:dyDescent="0.3">
      <c r="A188" s="72" t="str">
        <f t="shared" ref="A188" si="139">IF(A186="","","(%)")</f>
        <v/>
      </c>
      <c r="B188" s="134"/>
      <c r="C188" s="134" t="s">
        <v>231</v>
      </c>
      <c r="D188" s="134" t="s">
        <v>231</v>
      </c>
      <c r="E188" s="134" t="s">
        <v>231</v>
      </c>
      <c r="F188" s="134" t="s">
        <v>231</v>
      </c>
      <c r="G188" s="134" t="s">
        <v>231</v>
      </c>
      <c r="H188" s="134"/>
      <c r="I188" s="134" t="s">
        <v>231</v>
      </c>
      <c r="J188" s="134" t="s">
        <v>231</v>
      </c>
      <c r="K188" s="134" t="s">
        <v>231</v>
      </c>
      <c r="L188" s="134" t="s">
        <v>231</v>
      </c>
      <c r="M188" s="134" t="s">
        <v>231</v>
      </c>
    </row>
    <row r="189" spans="1:13" hidden="1" x14ac:dyDescent="0.3">
      <c r="A189" s="112" t="str">
        <f t="shared" ref="A189" si="140">IF(A186="","","STATE")</f>
        <v/>
      </c>
      <c r="B189" s="134" t="s">
        <v>231</v>
      </c>
      <c r="C189" s="134" t="s">
        <v>658</v>
      </c>
      <c r="D189" s="134" t="s">
        <v>658</v>
      </c>
      <c r="E189" s="134" t="s">
        <v>658</v>
      </c>
      <c r="F189" s="134" t="s">
        <v>658</v>
      </c>
      <c r="G189" s="134" t="s">
        <v>658</v>
      </c>
      <c r="H189" s="134" t="s">
        <v>231</v>
      </c>
      <c r="I189" s="134" t="s">
        <v>658</v>
      </c>
      <c r="J189" s="134" t="s">
        <v>658</v>
      </c>
      <c r="K189" s="134" t="s">
        <v>658</v>
      </c>
      <c r="L189" s="134" t="s">
        <v>658</v>
      </c>
      <c r="M189" s="134" t="s">
        <v>658</v>
      </c>
    </row>
    <row r="190" spans="1:13" hidden="1" x14ac:dyDescent="0.3">
      <c r="A190" s="72" t="str">
        <f t="shared" ref="A190" si="141">IF(A186="","","(%)")</f>
        <v/>
      </c>
      <c r="B190" s="134"/>
      <c r="C190" s="134" t="s">
        <v>231</v>
      </c>
      <c r="D190" s="134" t="s">
        <v>231</v>
      </c>
      <c r="E190" s="134" t="s">
        <v>231</v>
      </c>
      <c r="F190" s="134" t="s">
        <v>231</v>
      </c>
      <c r="G190" s="134" t="s">
        <v>231</v>
      </c>
      <c r="H190" s="134"/>
      <c r="I190" s="134" t="s">
        <v>231</v>
      </c>
      <c r="J190" s="134" t="s">
        <v>231</v>
      </c>
      <c r="K190" s="134" t="s">
        <v>231</v>
      </c>
      <c r="L190" s="134" t="s">
        <v>231</v>
      </c>
      <c r="M190" s="134" t="s">
        <v>231</v>
      </c>
    </row>
    <row r="191" spans="1:13" hidden="1" x14ac:dyDescent="0.3">
      <c r="A191" s="112" t="str">
        <f t="shared" ref="A191" si="142">IF(A186="","","POOLED")</f>
        <v/>
      </c>
      <c r="B191" s="134" t="s">
        <v>231</v>
      </c>
      <c r="C191" s="134" t="s">
        <v>658</v>
      </c>
      <c r="D191" s="134" t="s">
        <v>658</v>
      </c>
      <c r="E191" s="134" t="s">
        <v>658</v>
      </c>
      <c r="F191" s="134" t="s">
        <v>658</v>
      </c>
      <c r="G191" s="134" t="s">
        <v>658</v>
      </c>
      <c r="H191" s="134" t="s">
        <v>231</v>
      </c>
      <c r="I191" s="134" t="s">
        <v>658</v>
      </c>
      <c r="J191" s="134" t="s">
        <v>658</v>
      </c>
      <c r="K191" s="134" t="s">
        <v>658</v>
      </c>
      <c r="L191" s="134" t="s">
        <v>658</v>
      </c>
      <c r="M191" s="134" t="s">
        <v>658</v>
      </c>
    </row>
    <row r="192" spans="1:13" hidden="1" x14ac:dyDescent="0.3">
      <c r="A192" s="177" t="str">
        <f t="shared" ref="A192" si="143">IF(A186="","","(%)")</f>
        <v/>
      </c>
      <c r="B192" s="195"/>
      <c r="C192" s="195" t="s">
        <v>231</v>
      </c>
      <c r="D192" s="195" t="s">
        <v>231</v>
      </c>
      <c r="E192" s="195" t="s">
        <v>231</v>
      </c>
      <c r="F192" s="195" t="s">
        <v>231</v>
      </c>
      <c r="G192" s="195" t="s">
        <v>231</v>
      </c>
      <c r="H192" s="195"/>
      <c r="I192" s="195" t="s">
        <v>231</v>
      </c>
      <c r="J192" s="195" t="s">
        <v>231</v>
      </c>
      <c r="K192" s="195" t="s">
        <v>231</v>
      </c>
      <c r="L192" s="195" t="s">
        <v>231</v>
      </c>
      <c r="M192" s="195" t="s">
        <v>231</v>
      </c>
    </row>
    <row r="193" spans="1:13" hidden="1" x14ac:dyDescent="0.3">
      <c r="A193" s="191" t="s">
        <v>231</v>
      </c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</row>
    <row r="194" spans="1:13" hidden="1" x14ac:dyDescent="0.3">
      <c r="A194" s="112" t="str">
        <f t="shared" ref="A194" si="144">IF(A193="","","CENTRAL" )</f>
        <v/>
      </c>
      <c r="B194" s="134" t="s">
        <v>231</v>
      </c>
      <c r="C194" s="134" t="s">
        <v>658</v>
      </c>
      <c r="D194" s="134" t="s">
        <v>658</v>
      </c>
      <c r="E194" s="134" t="s">
        <v>658</v>
      </c>
      <c r="F194" s="134" t="s">
        <v>658</v>
      </c>
      <c r="G194" s="134" t="s">
        <v>658</v>
      </c>
      <c r="H194" s="134" t="s">
        <v>231</v>
      </c>
      <c r="I194" s="134" t="s">
        <v>658</v>
      </c>
      <c r="J194" s="134" t="s">
        <v>658</v>
      </c>
      <c r="K194" s="134" t="s">
        <v>658</v>
      </c>
      <c r="L194" s="134" t="s">
        <v>658</v>
      </c>
      <c r="M194" s="134" t="s">
        <v>658</v>
      </c>
    </row>
    <row r="195" spans="1:13" hidden="1" x14ac:dyDescent="0.3">
      <c r="A195" s="72" t="str">
        <f t="shared" ref="A195" si="145">IF(A193="","","(%)")</f>
        <v/>
      </c>
      <c r="B195" s="134"/>
      <c r="C195" s="134" t="s">
        <v>231</v>
      </c>
      <c r="D195" s="134" t="s">
        <v>231</v>
      </c>
      <c r="E195" s="134" t="s">
        <v>231</v>
      </c>
      <c r="F195" s="134" t="s">
        <v>231</v>
      </c>
      <c r="G195" s="134" t="s">
        <v>231</v>
      </c>
      <c r="H195" s="134"/>
      <c r="I195" s="134" t="s">
        <v>231</v>
      </c>
      <c r="J195" s="134" t="s">
        <v>231</v>
      </c>
      <c r="K195" s="134" t="s">
        <v>231</v>
      </c>
      <c r="L195" s="134" t="s">
        <v>231</v>
      </c>
      <c r="M195" s="134" t="s">
        <v>231</v>
      </c>
    </row>
    <row r="196" spans="1:13" hidden="1" x14ac:dyDescent="0.3">
      <c r="A196" s="112" t="str">
        <f t="shared" ref="A196" si="146">IF(A193="","","STATE")</f>
        <v/>
      </c>
      <c r="B196" s="134" t="s">
        <v>231</v>
      </c>
      <c r="C196" s="134" t="s">
        <v>658</v>
      </c>
      <c r="D196" s="134" t="s">
        <v>658</v>
      </c>
      <c r="E196" s="134" t="s">
        <v>658</v>
      </c>
      <c r="F196" s="134" t="s">
        <v>658</v>
      </c>
      <c r="G196" s="134" t="s">
        <v>658</v>
      </c>
      <c r="H196" s="134" t="s">
        <v>231</v>
      </c>
      <c r="I196" s="134" t="s">
        <v>658</v>
      </c>
      <c r="J196" s="134" t="s">
        <v>658</v>
      </c>
      <c r="K196" s="134" t="s">
        <v>658</v>
      </c>
      <c r="L196" s="134" t="s">
        <v>658</v>
      </c>
      <c r="M196" s="134" t="s">
        <v>658</v>
      </c>
    </row>
    <row r="197" spans="1:13" hidden="1" x14ac:dyDescent="0.3">
      <c r="A197" s="72" t="str">
        <f t="shared" ref="A197" si="147">IF(A193="","","(%)")</f>
        <v/>
      </c>
      <c r="B197" s="134"/>
      <c r="C197" s="134" t="s">
        <v>231</v>
      </c>
      <c r="D197" s="134" t="s">
        <v>231</v>
      </c>
      <c r="E197" s="134" t="s">
        <v>231</v>
      </c>
      <c r="F197" s="134" t="s">
        <v>231</v>
      </c>
      <c r="G197" s="134" t="s">
        <v>231</v>
      </c>
      <c r="H197" s="134"/>
      <c r="I197" s="134" t="s">
        <v>231</v>
      </c>
      <c r="J197" s="134" t="s">
        <v>231</v>
      </c>
      <c r="K197" s="134" t="s">
        <v>231</v>
      </c>
      <c r="L197" s="134" t="s">
        <v>231</v>
      </c>
      <c r="M197" s="134" t="s">
        <v>231</v>
      </c>
    </row>
    <row r="198" spans="1:13" hidden="1" x14ac:dyDescent="0.3">
      <c r="A198" s="112" t="str">
        <f t="shared" ref="A198" si="148">IF(A193="","","POOLED")</f>
        <v/>
      </c>
      <c r="B198" s="134" t="s">
        <v>231</v>
      </c>
      <c r="C198" s="134" t="s">
        <v>658</v>
      </c>
      <c r="D198" s="134" t="s">
        <v>658</v>
      </c>
      <c r="E198" s="134" t="s">
        <v>658</v>
      </c>
      <c r="F198" s="134" t="s">
        <v>658</v>
      </c>
      <c r="G198" s="134" t="s">
        <v>658</v>
      </c>
      <c r="H198" s="134" t="s">
        <v>231</v>
      </c>
      <c r="I198" s="134" t="s">
        <v>658</v>
      </c>
      <c r="J198" s="134" t="s">
        <v>658</v>
      </c>
      <c r="K198" s="134" t="s">
        <v>658</v>
      </c>
      <c r="L198" s="134" t="s">
        <v>658</v>
      </c>
      <c r="M198" s="134" t="s">
        <v>658</v>
      </c>
    </row>
    <row r="199" spans="1:13" hidden="1" x14ac:dyDescent="0.3">
      <c r="A199" s="177" t="str">
        <f t="shared" ref="A199" si="149">IF(A193="","","(%)")</f>
        <v/>
      </c>
      <c r="B199" s="195"/>
      <c r="C199" s="195" t="s">
        <v>231</v>
      </c>
      <c r="D199" s="195" t="s">
        <v>231</v>
      </c>
      <c r="E199" s="195" t="s">
        <v>231</v>
      </c>
      <c r="F199" s="195" t="s">
        <v>231</v>
      </c>
      <c r="G199" s="195" t="s">
        <v>231</v>
      </c>
      <c r="H199" s="195"/>
      <c r="I199" s="195" t="s">
        <v>231</v>
      </c>
      <c r="J199" s="195" t="s">
        <v>231</v>
      </c>
      <c r="K199" s="195" t="s">
        <v>231</v>
      </c>
      <c r="L199" s="195" t="s">
        <v>231</v>
      </c>
      <c r="M199" s="195" t="s">
        <v>231</v>
      </c>
    </row>
    <row r="200" spans="1:13" hidden="1" x14ac:dyDescent="0.3">
      <c r="A200" s="191" t="s">
        <v>231</v>
      </c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</row>
    <row r="201" spans="1:13" hidden="1" x14ac:dyDescent="0.3">
      <c r="A201" s="112" t="str">
        <f t="shared" ref="A201" si="150">IF(A200="","","CENTRAL" )</f>
        <v/>
      </c>
      <c r="B201" s="134" t="s">
        <v>231</v>
      </c>
      <c r="C201" s="134" t="s">
        <v>658</v>
      </c>
      <c r="D201" s="134" t="s">
        <v>658</v>
      </c>
      <c r="E201" s="134" t="s">
        <v>658</v>
      </c>
      <c r="F201" s="134" t="s">
        <v>658</v>
      </c>
      <c r="G201" s="134" t="s">
        <v>658</v>
      </c>
      <c r="H201" s="134" t="s">
        <v>231</v>
      </c>
      <c r="I201" s="134" t="s">
        <v>658</v>
      </c>
      <c r="J201" s="134" t="s">
        <v>658</v>
      </c>
      <c r="K201" s="134" t="s">
        <v>658</v>
      </c>
      <c r="L201" s="134" t="s">
        <v>658</v>
      </c>
      <c r="M201" s="134" t="s">
        <v>658</v>
      </c>
    </row>
    <row r="202" spans="1:13" hidden="1" x14ac:dyDescent="0.3">
      <c r="A202" s="72" t="str">
        <f t="shared" ref="A202" si="151">IF(A200="","","(%)")</f>
        <v/>
      </c>
      <c r="B202" s="134"/>
      <c r="C202" s="134" t="s">
        <v>231</v>
      </c>
      <c r="D202" s="134" t="s">
        <v>231</v>
      </c>
      <c r="E202" s="134" t="s">
        <v>231</v>
      </c>
      <c r="F202" s="134" t="s">
        <v>231</v>
      </c>
      <c r="G202" s="134" t="s">
        <v>231</v>
      </c>
      <c r="H202" s="134"/>
      <c r="I202" s="134" t="s">
        <v>231</v>
      </c>
      <c r="J202" s="134" t="s">
        <v>231</v>
      </c>
      <c r="K202" s="134" t="s">
        <v>231</v>
      </c>
      <c r="L202" s="134" t="s">
        <v>231</v>
      </c>
      <c r="M202" s="134" t="s">
        <v>231</v>
      </c>
    </row>
    <row r="203" spans="1:13" hidden="1" x14ac:dyDescent="0.3">
      <c r="A203" s="112" t="str">
        <f t="shared" ref="A203" si="152">IF(A200="","","STATE")</f>
        <v/>
      </c>
      <c r="B203" s="134" t="s">
        <v>231</v>
      </c>
      <c r="C203" s="134" t="s">
        <v>658</v>
      </c>
      <c r="D203" s="134" t="s">
        <v>658</v>
      </c>
      <c r="E203" s="134" t="s">
        <v>658</v>
      </c>
      <c r="F203" s="134" t="s">
        <v>658</v>
      </c>
      <c r="G203" s="134" t="s">
        <v>658</v>
      </c>
      <c r="H203" s="134" t="s">
        <v>231</v>
      </c>
      <c r="I203" s="134" t="s">
        <v>658</v>
      </c>
      <c r="J203" s="134" t="s">
        <v>658</v>
      </c>
      <c r="K203" s="134" t="s">
        <v>658</v>
      </c>
      <c r="L203" s="134" t="s">
        <v>658</v>
      </c>
      <c r="M203" s="134" t="s">
        <v>658</v>
      </c>
    </row>
    <row r="204" spans="1:13" hidden="1" x14ac:dyDescent="0.3">
      <c r="A204" s="72" t="str">
        <f t="shared" ref="A204" si="153">IF(A200="","","(%)")</f>
        <v/>
      </c>
      <c r="B204" s="134"/>
      <c r="C204" s="134" t="s">
        <v>231</v>
      </c>
      <c r="D204" s="134" t="s">
        <v>231</v>
      </c>
      <c r="E204" s="134" t="s">
        <v>231</v>
      </c>
      <c r="F204" s="134" t="s">
        <v>231</v>
      </c>
      <c r="G204" s="134" t="s">
        <v>231</v>
      </c>
      <c r="H204" s="134"/>
      <c r="I204" s="134" t="s">
        <v>231</v>
      </c>
      <c r="J204" s="134" t="s">
        <v>231</v>
      </c>
      <c r="K204" s="134" t="s">
        <v>231</v>
      </c>
      <c r="L204" s="134" t="s">
        <v>231</v>
      </c>
      <c r="M204" s="134" t="s">
        <v>231</v>
      </c>
    </row>
    <row r="205" spans="1:13" hidden="1" x14ac:dyDescent="0.3">
      <c r="A205" s="112" t="str">
        <f t="shared" ref="A205" si="154">IF(A200="","","POOLED")</f>
        <v/>
      </c>
      <c r="B205" s="134" t="s">
        <v>231</v>
      </c>
      <c r="C205" s="134" t="s">
        <v>658</v>
      </c>
      <c r="D205" s="134" t="s">
        <v>658</v>
      </c>
      <c r="E205" s="134" t="s">
        <v>658</v>
      </c>
      <c r="F205" s="134" t="s">
        <v>658</v>
      </c>
      <c r="G205" s="134" t="s">
        <v>658</v>
      </c>
      <c r="H205" s="134" t="s">
        <v>231</v>
      </c>
      <c r="I205" s="134" t="s">
        <v>658</v>
      </c>
      <c r="J205" s="134" t="s">
        <v>658</v>
      </c>
      <c r="K205" s="134" t="s">
        <v>658</v>
      </c>
      <c r="L205" s="134" t="s">
        <v>658</v>
      </c>
      <c r="M205" s="134" t="s">
        <v>658</v>
      </c>
    </row>
    <row r="206" spans="1:13" hidden="1" x14ac:dyDescent="0.3">
      <c r="A206" s="177" t="str">
        <f t="shared" ref="A206" si="155">IF(A200="","","(%)")</f>
        <v/>
      </c>
      <c r="B206" s="195"/>
      <c r="C206" s="195" t="s">
        <v>231</v>
      </c>
      <c r="D206" s="195" t="s">
        <v>231</v>
      </c>
      <c r="E206" s="195" t="s">
        <v>231</v>
      </c>
      <c r="F206" s="195" t="s">
        <v>231</v>
      </c>
      <c r="G206" s="195" t="s">
        <v>231</v>
      </c>
      <c r="H206" s="195"/>
      <c r="I206" s="195" t="s">
        <v>231</v>
      </c>
      <c r="J206" s="195" t="s">
        <v>231</v>
      </c>
      <c r="K206" s="195" t="s">
        <v>231</v>
      </c>
      <c r="L206" s="195" t="s">
        <v>231</v>
      </c>
      <c r="M206" s="195" t="s">
        <v>231</v>
      </c>
    </row>
    <row r="207" spans="1:13" hidden="1" x14ac:dyDescent="0.3">
      <c r="A207" s="191" t="s">
        <v>231</v>
      </c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</row>
    <row r="208" spans="1:13" hidden="1" x14ac:dyDescent="0.3">
      <c r="A208" s="112" t="str">
        <f t="shared" ref="A208" si="156">IF(A207="","","CENTRAL" )</f>
        <v/>
      </c>
      <c r="B208" s="134" t="s">
        <v>231</v>
      </c>
      <c r="C208" s="134" t="s">
        <v>658</v>
      </c>
      <c r="D208" s="134" t="s">
        <v>658</v>
      </c>
      <c r="E208" s="134" t="s">
        <v>658</v>
      </c>
      <c r="F208" s="134" t="s">
        <v>658</v>
      </c>
      <c r="G208" s="134" t="s">
        <v>658</v>
      </c>
      <c r="H208" s="134" t="s">
        <v>231</v>
      </c>
      <c r="I208" s="134" t="s">
        <v>658</v>
      </c>
      <c r="J208" s="134" t="s">
        <v>658</v>
      </c>
      <c r="K208" s="134" t="s">
        <v>658</v>
      </c>
      <c r="L208" s="134" t="s">
        <v>658</v>
      </c>
      <c r="M208" s="134" t="s">
        <v>658</v>
      </c>
    </row>
    <row r="209" spans="1:13" hidden="1" x14ac:dyDescent="0.3">
      <c r="A209" s="72" t="str">
        <f t="shared" ref="A209" si="157">IF(A207="","","(%)")</f>
        <v/>
      </c>
      <c r="B209" s="134"/>
      <c r="C209" s="134" t="s">
        <v>231</v>
      </c>
      <c r="D209" s="134" t="s">
        <v>231</v>
      </c>
      <c r="E209" s="134" t="s">
        <v>231</v>
      </c>
      <c r="F209" s="134" t="s">
        <v>231</v>
      </c>
      <c r="G209" s="134" t="s">
        <v>231</v>
      </c>
      <c r="H209" s="134"/>
      <c r="I209" s="134" t="s">
        <v>231</v>
      </c>
      <c r="J209" s="134" t="s">
        <v>231</v>
      </c>
      <c r="K209" s="134" t="s">
        <v>231</v>
      </c>
      <c r="L209" s="134" t="s">
        <v>231</v>
      </c>
      <c r="M209" s="134" t="s">
        <v>231</v>
      </c>
    </row>
    <row r="210" spans="1:13" hidden="1" x14ac:dyDescent="0.3">
      <c r="A210" s="112" t="str">
        <f t="shared" ref="A210" si="158">IF(A207="","","STATE")</f>
        <v/>
      </c>
      <c r="B210" s="134" t="s">
        <v>231</v>
      </c>
      <c r="C210" s="134" t="s">
        <v>658</v>
      </c>
      <c r="D210" s="134" t="s">
        <v>658</v>
      </c>
      <c r="E210" s="134" t="s">
        <v>658</v>
      </c>
      <c r="F210" s="134" t="s">
        <v>658</v>
      </c>
      <c r="G210" s="134" t="s">
        <v>658</v>
      </c>
      <c r="H210" s="134" t="s">
        <v>231</v>
      </c>
      <c r="I210" s="134" t="s">
        <v>658</v>
      </c>
      <c r="J210" s="134" t="s">
        <v>658</v>
      </c>
      <c r="K210" s="134" t="s">
        <v>658</v>
      </c>
      <c r="L210" s="134" t="s">
        <v>658</v>
      </c>
      <c r="M210" s="134" t="s">
        <v>658</v>
      </c>
    </row>
    <row r="211" spans="1:13" hidden="1" x14ac:dyDescent="0.3">
      <c r="A211" s="72" t="str">
        <f t="shared" ref="A211" si="159">IF(A207="","","(%)")</f>
        <v/>
      </c>
      <c r="B211" s="134"/>
      <c r="C211" s="134" t="s">
        <v>231</v>
      </c>
      <c r="D211" s="134" t="s">
        <v>231</v>
      </c>
      <c r="E211" s="134" t="s">
        <v>231</v>
      </c>
      <c r="F211" s="134" t="s">
        <v>231</v>
      </c>
      <c r="G211" s="134" t="s">
        <v>231</v>
      </c>
      <c r="H211" s="134"/>
      <c r="I211" s="134" t="s">
        <v>231</v>
      </c>
      <c r="J211" s="134" t="s">
        <v>231</v>
      </c>
      <c r="K211" s="134" t="s">
        <v>231</v>
      </c>
      <c r="L211" s="134" t="s">
        <v>231</v>
      </c>
      <c r="M211" s="134" t="s">
        <v>231</v>
      </c>
    </row>
    <row r="212" spans="1:13" hidden="1" x14ac:dyDescent="0.3">
      <c r="A212" s="112" t="str">
        <f t="shared" ref="A212" si="160">IF(A207="","","POOLED")</f>
        <v/>
      </c>
      <c r="B212" s="134" t="s">
        <v>231</v>
      </c>
      <c r="C212" s="134" t="s">
        <v>658</v>
      </c>
      <c r="D212" s="134" t="s">
        <v>658</v>
      </c>
      <c r="E212" s="134" t="s">
        <v>658</v>
      </c>
      <c r="F212" s="134" t="s">
        <v>658</v>
      </c>
      <c r="G212" s="134" t="s">
        <v>658</v>
      </c>
      <c r="H212" s="134" t="s">
        <v>231</v>
      </c>
      <c r="I212" s="134" t="s">
        <v>658</v>
      </c>
      <c r="J212" s="134" t="s">
        <v>658</v>
      </c>
      <c r="K212" s="134" t="s">
        <v>658</v>
      </c>
      <c r="L212" s="134" t="s">
        <v>658</v>
      </c>
      <c r="M212" s="134" t="s">
        <v>658</v>
      </c>
    </row>
    <row r="213" spans="1:13" hidden="1" x14ac:dyDescent="0.3">
      <c r="A213" s="177" t="str">
        <f t="shared" ref="A213" si="161">IF(A207="","","(%)")</f>
        <v/>
      </c>
      <c r="B213" s="195"/>
      <c r="C213" s="195" t="s">
        <v>231</v>
      </c>
      <c r="D213" s="195" t="s">
        <v>231</v>
      </c>
      <c r="E213" s="195" t="s">
        <v>231</v>
      </c>
      <c r="F213" s="195" t="s">
        <v>231</v>
      </c>
      <c r="G213" s="195" t="s">
        <v>231</v>
      </c>
      <c r="H213" s="195"/>
      <c r="I213" s="195" t="s">
        <v>231</v>
      </c>
      <c r="J213" s="195" t="s">
        <v>231</v>
      </c>
      <c r="K213" s="195" t="s">
        <v>231</v>
      </c>
      <c r="L213" s="195" t="s">
        <v>231</v>
      </c>
      <c r="M213" s="195" t="s">
        <v>231</v>
      </c>
    </row>
    <row r="214" spans="1:13" hidden="1" x14ac:dyDescent="0.3">
      <c r="A214" s="191" t="s">
        <v>231</v>
      </c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</row>
    <row r="215" spans="1:13" hidden="1" x14ac:dyDescent="0.3">
      <c r="A215" s="112" t="str">
        <f t="shared" ref="A215" si="162">IF(A214="","","CENTRAL" )</f>
        <v/>
      </c>
      <c r="B215" s="134" t="s">
        <v>231</v>
      </c>
      <c r="C215" s="134" t="s">
        <v>658</v>
      </c>
      <c r="D215" s="134" t="s">
        <v>658</v>
      </c>
      <c r="E215" s="134" t="s">
        <v>658</v>
      </c>
      <c r="F215" s="134" t="s">
        <v>658</v>
      </c>
      <c r="G215" s="134" t="s">
        <v>658</v>
      </c>
      <c r="H215" s="134" t="s">
        <v>231</v>
      </c>
      <c r="I215" s="134" t="s">
        <v>658</v>
      </c>
      <c r="J215" s="134" t="s">
        <v>658</v>
      </c>
      <c r="K215" s="134" t="s">
        <v>658</v>
      </c>
      <c r="L215" s="134" t="s">
        <v>658</v>
      </c>
      <c r="M215" s="134" t="s">
        <v>658</v>
      </c>
    </row>
    <row r="216" spans="1:13" hidden="1" x14ac:dyDescent="0.3">
      <c r="A216" s="72" t="str">
        <f t="shared" ref="A216" si="163">IF(A214="","","(%)")</f>
        <v/>
      </c>
      <c r="B216" s="134"/>
      <c r="C216" s="134" t="s">
        <v>231</v>
      </c>
      <c r="D216" s="134" t="s">
        <v>231</v>
      </c>
      <c r="E216" s="134" t="s">
        <v>231</v>
      </c>
      <c r="F216" s="134" t="s">
        <v>231</v>
      </c>
      <c r="G216" s="134" t="s">
        <v>231</v>
      </c>
      <c r="H216" s="134"/>
      <c r="I216" s="134" t="s">
        <v>231</v>
      </c>
      <c r="J216" s="134" t="s">
        <v>231</v>
      </c>
      <c r="K216" s="134" t="s">
        <v>231</v>
      </c>
      <c r="L216" s="134" t="s">
        <v>231</v>
      </c>
      <c r="M216" s="134" t="s">
        <v>231</v>
      </c>
    </row>
    <row r="217" spans="1:13" hidden="1" x14ac:dyDescent="0.3">
      <c r="A217" s="112" t="str">
        <f t="shared" ref="A217" si="164">IF(A214="","","STATE")</f>
        <v/>
      </c>
      <c r="B217" s="134" t="s">
        <v>231</v>
      </c>
      <c r="C217" s="134" t="s">
        <v>658</v>
      </c>
      <c r="D217" s="134" t="s">
        <v>658</v>
      </c>
      <c r="E217" s="134" t="s">
        <v>658</v>
      </c>
      <c r="F217" s="134" t="s">
        <v>658</v>
      </c>
      <c r="G217" s="134" t="s">
        <v>658</v>
      </c>
      <c r="H217" s="134" t="s">
        <v>231</v>
      </c>
      <c r="I217" s="134" t="s">
        <v>658</v>
      </c>
      <c r="J217" s="134" t="s">
        <v>658</v>
      </c>
      <c r="K217" s="134" t="s">
        <v>658</v>
      </c>
      <c r="L217" s="134" t="s">
        <v>658</v>
      </c>
      <c r="M217" s="134" t="s">
        <v>658</v>
      </c>
    </row>
    <row r="218" spans="1:13" hidden="1" x14ac:dyDescent="0.3">
      <c r="A218" s="72" t="str">
        <f t="shared" ref="A218" si="165">IF(A214="","","(%)")</f>
        <v/>
      </c>
      <c r="B218" s="134"/>
      <c r="C218" s="134" t="s">
        <v>231</v>
      </c>
      <c r="D218" s="134" t="s">
        <v>231</v>
      </c>
      <c r="E218" s="134" t="s">
        <v>231</v>
      </c>
      <c r="F218" s="134" t="s">
        <v>231</v>
      </c>
      <c r="G218" s="134" t="s">
        <v>231</v>
      </c>
      <c r="H218" s="134"/>
      <c r="I218" s="134" t="s">
        <v>231</v>
      </c>
      <c r="J218" s="134" t="s">
        <v>231</v>
      </c>
      <c r="K218" s="134" t="s">
        <v>231</v>
      </c>
      <c r="L218" s="134" t="s">
        <v>231</v>
      </c>
      <c r="M218" s="134" t="s">
        <v>231</v>
      </c>
    </row>
    <row r="219" spans="1:13" hidden="1" x14ac:dyDescent="0.3">
      <c r="A219" s="112" t="str">
        <f t="shared" ref="A219" si="166">IF(A214="","","POOLED")</f>
        <v/>
      </c>
      <c r="B219" s="134" t="s">
        <v>231</v>
      </c>
      <c r="C219" s="134" t="s">
        <v>658</v>
      </c>
      <c r="D219" s="134" t="s">
        <v>658</v>
      </c>
      <c r="E219" s="134" t="s">
        <v>658</v>
      </c>
      <c r="F219" s="134" t="s">
        <v>658</v>
      </c>
      <c r="G219" s="134" t="s">
        <v>658</v>
      </c>
      <c r="H219" s="134" t="s">
        <v>231</v>
      </c>
      <c r="I219" s="134" t="s">
        <v>658</v>
      </c>
      <c r="J219" s="134" t="s">
        <v>658</v>
      </c>
      <c r="K219" s="134" t="s">
        <v>658</v>
      </c>
      <c r="L219" s="134" t="s">
        <v>658</v>
      </c>
      <c r="M219" s="134" t="s">
        <v>658</v>
      </c>
    </row>
    <row r="220" spans="1:13" hidden="1" x14ac:dyDescent="0.3">
      <c r="A220" s="177" t="str">
        <f t="shared" ref="A220" si="167">IF(A214="","","(%)")</f>
        <v/>
      </c>
      <c r="B220" s="195"/>
      <c r="C220" s="195" t="s">
        <v>231</v>
      </c>
      <c r="D220" s="195" t="s">
        <v>231</v>
      </c>
      <c r="E220" s="195" t="s">
        <v>231</v>
      </c>
      <c r="F220" s="195" t="s">
        <v>231</v>
      </c>
      <c r="G220" s="195" t="s">
        <v>231</v>
      </c>
      <c r="H220" s="195"/>
      <c r="I220" s="195" t="s">
        <v>231</v>
      </c>
      <c r="J220" s="195" t="s">
        <v>231</v>
      </c>
      <c r="K220" s="195" t="s">
        <v>231</v>
      </c>
      <c r="L220" s="195" t="s">
        <v>231</v>
      </c>
      <c r="M220" s="195" t="s">
        <v>231</v>
      </c>
    </row>
    <row r="221" spans="1:13" ht="9" hidden="1" customHeight="1" x14ac:dyDescent="0.3">
      <c r="A221" s="196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</row>
    <row r="222" spans="1:13" ht="15" thickTop="1" x14ac:dyDescent="0.3"/>
  </sheetData>
  <mergeCells count="8">
    <mergeCell ref="A1:M1"/>
    <mergeCell ref="A2:K2"/>
    <mergeCell ref="L2:M2"/>
    <mergeCell ref="A3:M3"/>
    <mergeCell ref="A4:A6"/>
    <mergeCell ref="B4:M4"/>
    <mergeCell ref="B5:G5"/>
    <mergeCell ref="H5:M5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L82"/>
  <sheetViews>
    <sheetView view="pageBreakPreview" zoomScale="70" zoomScaleNormal="100" zoomScaleSheetLayoutView="70" workbookViewId="0">
      <selection activeCell="N25" sqref="N25"/>
    </sheetView>
  </sheetViews>
  <sheetFormatPr defaultRowHeight="14.4" x14ac:dyDescent="0.3"/>
  <cols>
    <col min="1" max="1" width="10.44140625" customWidth="1"/>
    <col min="2" max="2" width="11.6640625" customWidth="1"/>
    <col min="3" max="6" width="12.33203125" customWidth="1"/>
    <col min="7" max="10" width="13.5546875" customWidth="1"/>
  </cols>
  <sheetData>
    <row r="1" spans="1:12" x14ac:dyDescent="0.3">
      <c r="A1" s="237" t="s">
        <v>214</v>
      </c>
      <c r="B1" s="237"/>
      <c r="C1" s="237"/>
      <c r="D1" s="237"/>
      <c r="E1" s="237"/>
      <c r="F1" s="237"/>
      <c r="G1" s="237"/>
      <c r="H1" s="237"/>
      <c r="I1" s="237"/>
      <c r="J1" s="237"/>
      <c r="K1" s="151"/>
    </row>
    <row r="2" spans="1:12" x14ac:dyDescent="0.3">
      <c r="A2" s="314" t="str">
        <f>year!$H$2</f>
        <v>UT : PUDUCHERRY</v>
      </c>
      <c r="B2" s="314"/>
      <c r="C2" s="314"/>
      <c r="D2" s="314"/>
      <c r="E2" s="314"/>
      <c r="F2" s="314"/>
      <c r="G2" s="314"/>
      <c r="H2" s="314"/>
      <c r="I2" s="238" t="s">
        <v>134</v>
      </c>
      <c r="J2" s="238"/>
      <c r="K2" s="101"/>
      <c r="L2" s="101"/>
    </row>
    <row r="3" spans="1:12" x14ac:dyDescent="0.3">
      <c r="A3" s="319" t="str">
        <f>"SUBSTITUTION OF SAMPLING UNITS DURING "&amp; year!$C$4 &amp;" AND "&amp; year!$C$5 &amp;"(POOLED SAMPLE)."</f>
        <v>SUBSTITUTION OF SAMPLING UNITS DURING 2023-24 AND 2022-23(POOLED SAMPLE).</v>
      </c>
      <c r="B3" s="319"/>
      <c r="C3" s="319"/>
      <c r="D3" s="319"/>
      <c r="E3" s="319"/>
      <c r="F3" s="319"/>
      <c r="G3" s="319"/>
      <c r="H3" s="319"/>
      <c r="I3" s="319"/>
      <c r="J3" s="319"/>
      <c r="K3" s="101"/>
      <c r="L3" s="101"/>
    </row>
    <row r="4" spans="1:12" ht="30" customHeight="1" x14ac:dyDescent="0.3">
      <c r="A4" s="242" t="s">
        <v>267</v>
      </c>
      <c r="B4" s="242" t="s">
        <v>280</v>
      </c>
      <c r="C4" s="243" t="s">
        <v>197</v>
      </c>
      <c r="D4" s="243"/>
      <c r="E4" s="243"/>
      <c r="F4" s="243"/>
      <c r="G4" s="243"/>
      <c r="H4" s="243"/>
      <c r="I4" s="243"/>
      <c r="J4" s="243"/>
      <c r="K4" s="101"/>
      <c r="L4" s="101"/>
    </row>
    <row r="5" spans="1:12" ht="30" customHeight="1" x14ac:dyDescent="0.3">
      <c r="A5" s="243"/>
      <c r="B5" s="243"/>
      <c r="C5" s="243" t="s">
        <v>135</v>
      </c>
      <c r="D5" s="243"/>
      <c r="E5" s="243"/>
      <c r="F5" s="243"/>
      <c r="G5" s="243" t="s">
        <v>136</v>
      </c>
      <c r="H5" s="243"/>
      <c r="I5" s="243"/>
      <c r="J5" s="243"/>
      <c r="K5" s="101"/>
      <c r="L5" s="101"/>
    </row>
    <row r="6" spans="1:12" x14ac:dyDescent="0.3">
      <c r="A6" s="152"/>
      <c r="B6" s="152"/>
      <c r="C6" s="153">
        <v>1</v>
      </c>
      <c r="D6" s="153">
        <v>2</v>
      </c>
      <c r="E6" s="153">
        <v>3</v>
      </c>
      <c r="F6" s="153">
        <v>9</v>
      </c>
      <c r="G6" s="153">
        <v>1</v>
      </c>
      <c r="H6" s="153">
        <v>2</v>
      </c>
      <c r="I6" s="153">
        <v>3</v>
      </c>
      <c r="J6" s="153">
        <v>9</v>
      </c>
      <c r="K6" s="101"/>
      <c r="L6" s="101"/>
    </row>
    <row r="7" spans="1:12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1"/>
      <c r="L7" s="101"/>
    </row>
    <row r="8" spans="1:12" x14ac:dyDescent="0.3">
      <c r="A8" s="319" t="str">
        <f>year!$H$4</f>
        <v>RABI I 2023-24</v>
      </c>
      <c r="B8" s="319"/>
      <c r="C8" s="101"/>
      <c r="D8" s="101"/>
      <c r="E8" s="101"/>
      <c r="F8" s="101"/>
      <c r="G8" s="101"/>
      <c r="H8" s="101"/>
      <c r="I8" s="101"/>
      <c r="J8" s="101"/>
      <c r="K8" s="101"/>
      <c r="L8" s="101"/>
    </row>
    <row r="9" spans="1:12" x14ac:dyDescent="0.3">
      <c r="A9" s="113">
        <f>IF(B9="","",1)</f>
        <v>1</v>
      </c>
      <c r="B9" s="152" t="s">
        <v>308</v>
      </c>
      <c r="C9" s="153" t="s">
        <v>313</v>
      </c>
      <c r="D9" s="153" t="s">
        <v>313</v>
      </c>
      <c r="E9" s="153" t="s">
        <v>313</v>
      </c>
      <c r="F9" s="153" t="s">
        <v>313</v>
      </c>
      <c r="G9" s="153" t="s">
        <v>313</v>
      </c>
      <c r="H9" s="153" t="s">
        <v>313</v>
      </c>
      <c r="I9" s="153" t="s">
        <v>313</v>
      </c>
      <c r="J9" s="153" t="s">
        <v>313</v>
      </c>
      <c r="K9" s="101"/>
      <c r="L9" s="101"/>
    </row>
    <row r="10" spans="1:12" hidden="1" x14ac:dyDescent="0.3">
      <c r="A10" s="113" t="str">
        <f>IF(B10="","",A9+1)</f>
        <v/>
      </c>
      <c r="B10" s="101" t="s">
        <v>231</v>
      </c>
      <c r="C10" s="113" t="s">
        <v>231</v>
      </c>
      <c r="D10" s="113" t="s">
        <v>231</v>
      </c>
      <c r="E10" s="113" t="s">
        <v>231</v>
      </c>
      <c r="F10" s="113" t="s">
        <v>231</v>
      </c>
      <c r="G10" s="113" t="s">
        <v>231</v>
      </c>
      <c r="H10" s="113" t="s">
        <v>231</v>
      </c>
      <c r="I10" s="113" t="s">
        <v>231</v>
      </c>
      <c r="J10" s="113" t="s">
        <v>231</v>
      </c>
      <c r="K10" s="101"/>
      <c r="L10" s="101"/>
    </row>
    <row r="11" spans="1:12" hidden="1" x14ac:dyDescent="0.3">
      <c r="A11" s="154" t="str">
        <f t="shared" ref="A11:A21" si="0">IF(B11="","",A10+1)</f>
        <v/>
      </c>
      <c r="B11" s="101" t="s">
        <v>231</v>
      </c>
      <c r="C11" s="113" t="s">
        <v>231</v>
      </c>
      <c r="D11" s="113" t="s">
        <v>231</v>
      </c>
      <c r="E11" s="113" t="s">
        <v>231</v>
      </c>
      <c r="F11" s="113" t="s">
        <v>231</v>
      </c>
      <c r="G11" s="113" t="s">
        <v>231</v>
      </c>
      <c r="H11" s="113" t="s">
        <v>231</v>
      </c>
      <c r="I11" s="113" t="s">
        <v>231</v>
      </c>
      <c r="J11" s="113" t="s">
        <v>231</v>
      </c>
      <c r="K11" s="101"/>
      <c r="L11" s="101"/>
    </row>
    <row r="12" spans="1:12" hidden="1" x14ac:dyDescent="0.3">
      <c r="A12" s="113" t="str">
        <f t="shared" si="0"/>
        <v/>
      </c>
      <c r="B12" s="101" t="s">
        <v>231</v>
      </c>
      <c r="C12" s="113" t="s">
        <v>231</v>
      </c>
      <c r="D12" s="113" t="s">
        <v>231</v>
      </c>
      <c r="E12" s="113" t="s">
        <v>231</v>
      </c>
      <c r="F12" s="113" t="s">
        <v>231</v>
      </c>
      <c r="G12" s="113" t="s">
        <v>231</v>
      </c>
      <c r="H12" s="113" t="s">
        <v>231</v>
      </c>
      <c r="I12" s="113" t="s">
        <v>231</v>
      </c>
      <c r="J12" s="113" t="s">
        <v>231</v>
      </c>
      <c r="K12" s="101"/>
      <c r="L12" s="101"/>
    </row>
    <row r="13" spans="1:12" hidden="1" x14ac:dyDescent="0.3">
      <c r="A13" s="113" t="str">
        <f t="shared" si="0"/>
        <v/>
      </c>
      <c r="B13" s="101" t="s">
        <v>231</v>
      </c>
      <c r="C13" s="113" t="s">
        <v>231</v>
      </c>
      <c r="D13" s="113" t="s">
        <v>231</v>
      </c>
      <c r="E13" s="113" t="s">
        <v>231</v>
      </c>
      <c r="F13" s="113" t="s">
        <v>231</v>
      </c>
      <c r="G13" s="113" t="s">
        <v>231</v>
      </c>
      <c r="H13" s="113" t="s">
        <v>231</v>
      </c>
      <c r="I13" s="113" t="s">
        <v>231</v>
      </c>
      <c r="J13" s="113" t="s">
        <v>231</v>
      </c>
      <c r="K13" s="101"/>
      <c r="L13" s="101"/>
    </row>
    <row r="14" spans="1:12" hidden="1" x14ac:dyDescent="0.3">
      <c r="A14" s="113" t="str">
        <f t="shared" si="0"/>
        <v/>
      </c>
      <c r="B14" s="101" t="s">
        <v>231</v>
      </c>
      <c r="C14" s="113" t="s">
        <v>231</v>
      </c>
      <c r="D14" s="113" t="s">
        <v>231</v>
      </c>
      <c r="E14" s="113" t="s">
        <v>231</v>
      </c>
      <c r="F14" s="113" t="s">
        <v>231</v>
      </c>
      <c r="G14" s="113" t="s">
        <v>231</v>
      </c>
      <c r="H14" s="113" t="s">
        <v>231</v>
      </c>
      <c r="I14" s="113" t="s">
        <v>231</v>
      </c>
      <c r="J14" s="113" t="s">
        <v>231</v>
      </c>
      <c r="K14" s="101"/>
      <c r="L14" s="101"/>
    </row>
    <row r="15" spans="1:12" hidden="1" x14ac:dyDescent="0.3">
      <c r="A15" s="113" t="str">
        <f t="shared" si="0"/>
        <v/>
      </c>
      <c r="B15" s="101" t="s">
        <v>231</v>
      </c>
      <c r="C15" s="113" t="s">
        <v>231</v>
      </c>
      <c r="D15" s="113" t="s">
        <v>231</v>
      </c>
      <c r="E15" s="113" t="s">
        <v>231</v>
      </c>
      <c r="F15" s="113" t="s">
        <v>231</v>
      </c>
      <c r="G15" s="113" t="s">
        <v>231</v>
      </c>
      <c r="H15" s="113" t="s">
        <v>231</v>
      </c>
      <c r="I15" s="113" t="s">
        <v>231</v>
      </c>
      <c r="J15" s="113" t="s">
        <v>231</v>
      </c>
      <c r="K15" s="101"/>
      <c r="L15" s="101"/>
    </row>
    <row r="16" spans="1:12" hidden="1" x14ac:dyDescent="0.3">
      <c r="A16" s="113" t="str">
        <f t="shared" si="0"/>
        <v/>
      </c>
      <c r="B16" s="101" t="s">
        <v>231</v>
      </c>
      <c r="C16" s="113" t="s">
        <v>231</v>
      </c>
      <c r="D16" s="113" t="s">
        <v>231</v>
      </c>
      <c r="E16" s="113" t="s">
        <v>231</v>
      </c>
      <c r="F16" s="113" t="s">
        <v>231</v>
      </c>
      <c r="G16" s="113" t="s">
        <v>231</v>
      </c>
      <c r="H16" s="113" t="s">
        <v>231</v>
      </c>
      <c r="I16" s="113" t="s">
        <v>231</v>
      </c>
      <c r="J16" s="113" t="s">
        <v>231</v>
      </c>
      <c r="K16" s="101"/>
      <c r="L16" s="101"/>
    </row>
    <row r="17" spans="1:12" hidden="1" x14ac:dyDescent="0.3">
      <c r="A17" s="113" t="str">
        <f t="shared" si="0"/>
        <v/>
      </c>
      <c r="B17" s="101" t="s">
        <v>231</v>
      </c>
      <c r="C17" s="113" t="s">
        <v>231</v>
      </c>
      <c r="D17" s="113" t="s">
        <v>231</v>
      </c>
      <c r="E17" s="113" t="s">
        <v>231</v>
      </c>
      <c r="F17" s="113" t="s">
        <v>231</v>
      </c>
      <c r="G17" s="113" t="s">
        <v>231</v>
      </c>
      <c r="H17" s="113" t="s">
        <v>231</v>
      </c>
      <c r="I17" s="113" t="s">
        <v>231</v>
      </c>
      <c r="J17" s="113" t="s">
        <v>231</v>
      </c>
      <c r="K17" s="101"/>
      <c r="L17" s="101"/>
    </row>
    <row r="18" spans="1:12" hidden="1" x14ac:dyDescent="0.3">
      <c r="A18" s="113" t="str">
        <f t="shared" si="0"/>
        <v/>
      </c>
      <c r="B18" s="101" t="s">
        <v>231</v>
      </c>
      <c r="C18" s="113" t="s">
        <v>231</v>
      </c>
      <c r="D18" s="113" t="s">
        <v>231</v>
      </c>
      <c r="E18" s="113" t="s">
        <v>231</v>
      </c>
      <c r="F18" s="113" t="s">
        <v>231</v>
      </c>
      <c r="G18" s="113" t="s">
        <v>231</v>
      </c>
      <c r="H18" s="113" t="s">
        <v>231</v>
      </c>
      <c r="I18" s="113" t="s">
        <v>231</v>
      </c>
      <c r="J18" s="113" t="s">
        <v>231</v>
      </c>
      <c r="K18" s="101"/>
      <c r="L18" s="101"/>
    </row>
    <row r="19" spans="1:12" hidden="1" x14ac:dyDescent="0.3">
      <c r="A19" s="113" t="str">
        <f t="shared" si="0"/>
        <v/>
      </c>
      <c r="B19" s="101" t="s">
        <v>231</v>
      </c>
      <c r="C19" s="113" t="s">
        <v>231</v>
      </c>
      <c r="D19" s="113" t="s">
        <v>231</v>
      </c>
      <c r="E19" s="113" t="s">
        <v>231</v>
      </c>
      <c r="F19" s="113" t="s">
        <v>231</v>
      </c>
      <c r="G19" s="113" t="s">
        <v>231</v>
      </c>
      <c r="H19" s="113" t="s">
        <v>231</v>
      </c>
      <c r="I19" s="113" t="s">
        <v>231</v>
      </c>
      <c r="J19" s="113" t="s">
        <v>231</v>
      </c>
      <c r="K19" s="101"/>
      <c r="L19" s="101"/>
    </row>
    <row r="20" spans="1:12" hidden="1" x14ac:dyDescent="0.3">
      <c r="A20" s="113" t="str">
        <f t="shared" si="0"/>
        <v/>
      </c>
      <c r="B20" s="101" t="s">
        <v>231</v>
      </c>
      <c r="C20" s="113" t="s">
        <v>231</v>
      </c>
      <c r="D20" s="113" t="s">
        <v>231</v>
      </c>
      <c r="E20" s="113" t="s">
        <v>231</v>
      </c>
      <c r="F20" s="113" t="s">
        <v>231</v>
      </c>
      <c r="G20" s="113" t="s">
        <v>231</v>
      </c>
      <c r="H20" s="113" t="s">
        <v>231</v>
      </c>
      <c r="I20" s="113" t="s">
        <v>231</v>
      </c>
      <c r="J20" s="113" t="s">
        <v>231</v>
      </c>
      <c r="K20" s="101"/>
      <c r="L20" s="101"/>
    </row>
    <row r="21" spans="1:12" hidden="1" x14ac:dyDescent="0.3">
      <c r="A21" s="113" t="str">
        <f t="shared" si="0"/>
        <v/>
      </c>
      <c r="B21" s="101" t="s">
        <v>231</v>
      </c>
      <c r="C21" s="113" t="s">
        <v>231</v>
      </c>
      <c r="D21" s="113" t="s">
        <v>231</v>
      </c>
      <c r="E21" s="113" t="s">
        <v>231</v>
      </c>
      <c r="F21" s="113" t="s">
        <v>231</v>
      </c>
      <c r="G21" s="113" t="s">
        <v>231</v>
      </c>
      <c r="H21" s="113" t="s">
        <v>231</v>
      </c>
      <c r="I21" s="113" t="s">
        <v>231</v>
      </c>
      <c r="J21" s="113" t="s">
        <v>231</v>
      </c>
      <c r="K21" s="101"/>
      <c r="L21" s="101"/>
    </row>
    <row r="22" spans="1:12" hidden="1" x14ac:dyDescent="0.3">
      <c r="A22" s="113" t="str">
        <f>IF(B22="","",A21+1)</f>
        <v/>
      </c>
      <c r="B22" s="101" t="s">
        <v>231</v>
      </c>
      <c r="C22" s="113" t="s">
        <v>231</v>
      </c>
      <c r="D22" s="113" t="s">
        <v>231</v>
      </c>
      <c r="E22" s="113" t="s">
        <v>231</v>
      </c>
      <c r="F22" s="113" t="s">
        <v>231</v>
      </c>
      <c r="G22" s="113" t="s">
        <v>231</v>
      </c>
      <c r="H22" s="113" t="s">
        <v>231</v>
      </c>
      <c r="I22" s="113" t="s">
        <v>231</v>
      </c>
      <c r="J22" s="113" t="s">
        <v>231</v>
      </c>
      <c r="K22" s="101"/>
      <c r="L22" s="101"/>
    </row>
    <row r="23" spans="1:12" hidden="1" x14ac:dyDescent="0.3">
      <c r="A23" s="154" t="str">
        <f t="shared" ref="A23" si="1">IF(B23="","",A22+1)</f>
        <v/>
      </c>
      <c r="B23" s="155" t="s">
        <v>231</v>
      </c>
      <c r="C23" s="154" t="s">
        <v>231</v>
      </c>
      <c r="D23" s="154" t="s">
        <v>231</v>
      </c>
      <c r="E23" s="154" t="s">
        <v>231</v>
      </c>
      <c r="F23" s="154" t="s">
        <v>231</v>
      </c>
      <c r="G23" s="154" t="s">
        <v>231</v>
      </c>
      <c r="H23" s="154" t="s">
        <v>231</v>
      </c>
      <c r="I23" s="154" t="s">
        <v>231</v>
      </c>
      <c r="J23" s="154" t="s">
        <v>231</v>
      </c>
      <c r="K23" s="101"/>
      <c r="L23" s="101"/>
    </row>
    <row r="24" spans="1:12" x14ac:dyDescent="0.3">
      <c r="A24" s="152"/>
      <c r="B24" s="156" t="s">
        <v>39</v>
      </c>
      <c r="C24" s="157" t="s">
        <v>313</v>
      </c>
      <c r="D24" s="157" t="s">
        <v>313</v>
      </c>
      <c r="E24" s="157" t="s">
        <v>313</v>
      </c>
      <c r="F24" s="157" t="s">
        <v>313</v>
      </c>
      <c r="G24" s="157" t="s">
        <v>313</v>
      </c>
      <c r="H24" s="157" t="s">
        <v>313</v>
      </c>
      <c r="I24" s="157" t="s">
        <v>313</v>
      </c>
      <c r="J24" s="157" t="s">
        <v>313</v>
      </c>
      <c r="K24" s="101"/>
      <c r="L24" s="101"/>
    </row>
    <row r="25" spans="1:12" x14ac:dyDescent="0.3">
      <c r="A25" s="319" t="str">
        <f>year!$I$4</f>
        <v>RABI II 2023-24</v>
      </c>
      <c r="B25" s="319"/>
      <c r="C25" s="113"/>
      <c r="D25" s="113"/>
      <c r="E25" s="113"/>
      <c r="F25" s="113"/>
      <c r="G25" s="113"/>
      <c r="H25" s="113"/>
      <c r="I25" s="113"/>
      <c r="J25" s="113"/>
      <c r="K25" s="101"/>
      <c r="L25" s="101"/>
    </row>
    <row r="26" spans="1:12" x14ac:dyDescent="0.3">
      <c r="A26" s="113">
        <f>IF(B26="","",1)</f>
        <v>1</v>
      </c>
      <c r="B26" s="152" t="s">
        <v>308</v>
      </c>
      <c r="C26" s="153" t="s">
        <v>313</v>
      </c>
      <c r="D26" s="153" t="s">
        <v>313</v>
      </c>
      <c r="E26" s="153" t="s">
        <v>313</v>
      </c>
      <c r="F26" s="153" t="s">
        <v>313</v>
      </c>
      <c r="G26" s="153" t="s">
        <v>313</v>
      </c>
      <c r="H26" s="153" t="s">
        <v>313</v>
      </c>
      <c r="I26" s="153" t="s">
        <v>313</v>
      </c>
      <c r="J26" s="153" t="s">
        <v>313</v>
      </c>
      <c r="K26" s="101"/>
      <c r="L26" s="101"/>
    </row>
    <row r="27" spans="1:12" ht="15" hidden="1" customHeight="1" x14ac:dyDescent="0.3">
      <c r="A27" s="113" t="str">
        <f>IF(B27="","",A26+1)</f>
        <v/>
      </c>
      <c r="B27" s="101" t="s">
        <v>231</v>
      </c>
      <c r="C27" s="113" t="s">
        <v>231</v>
      </c>
      <c r="D27" s="113" t="s">
        <v>231</v>
      </c>
      <c r="E27" s="113" t="s">
        <v>231</v>
      </c>
      <c r="F27" s="113" t="s">
        <v>231</v>
      </c>
      <c r="G27" s="113" t="s">
        <v>231</v>
      </c>
      <c r="H27" s="113" t="s">
        <v>231</v>
      </c>
      <c r="I27" s="113" t="s">
        <v>231</v>
      </c>
      <c r="J27" s="113" t="s">
        <v>231</v>
      </c>
      <c r="K27" s="101"/>
      <c r="L27" s="101"/>
    </row>
    <row r="28" spans="1:12" ht="15" hidden="1" customHeight="1" x14ac:dyDescent="0.3">
      <c r="A28" s="113" t="str">
        <f t="shared" ref="A28:A40" si="2">IF(B28="","",A27+1)</f>
        <v/>
      </c>
      <c r="B28" s="101" t="s">
        <v>231</v>
      </c>
      <c r="C28" s="113" t="s">
        <v>231</v>
      </c>
      <c r="D28" s="113" t="s">
        <v>231</v>
      </c>
      <c r="E28" s="113" t="s">
        <v>231</v>
      </c>
      <c r="F28" s="113" t="s">
        <v>231</v>
      </c>
      <c r="G28" s="113" t="s">
        <v>231</v>
      </c>
      <c r="H28" s="113" t="s">
        <v>231</v>
      </c>
      <c r="I28" s="113" t="s">
        <v>231</v>
      </c>
      <c r="J28" s="113" t="s">
        <v>231</v>
      </c>
      <c r="K28" s="101"/>
      <c r="L28" s="101"/>
    </row>
    <row r="29" spans="1:12" ht="15" hidden="1" customHeight="1" x14ac:dyDescent="0.3">
      <c r="A29" s="113" t="str">
        <f t="shared" si="2"/>
        <v/>
      </c>
      <c r="B29" s="101" t="s">
        <v>231</v>
      </c>
      <c r="C29" s="113" t="s">
        <v>231</v>
      </c>
      <c r="D29" s="113" t="s">
        <v>231</v>
      </c>
      <c r="E29" s="113" t="s">
        <v>231</v>
      </c>
      <c r="F29" s="113" t="s">
        <v>231</v>
      </c>
      <c r="G29" s="113" t="s">
        <v>231</v>
      </c>
      <c r="H29" s="113" t="s">
        <v>231</v>
      </c>
      <c r="I29" s="113" t="s">
        <v>231</v>
      </c>
      <c r="J29" s="113" t="s">
        <v>231</v>
      </c>
      <c r="K29" s="101"/>
      <c r="L29" s="101"/>
    </row>
    <row r="30" spans="1:12" ht="15" hidden="1" customHeight="1" x14ac:dyDescent="0.3">
      <c r="A30" s="113" t="str">
        <f t="shared" si="2"/>
        <v/>
      </c>
      <c r="B30" s="101" t="s">
        <v>231</v>
      </c>
      <c r="C30" s="113" t="s">
        <v>231</v>
      </c>
      <c r="D30" s="113" t="s">
        <v>231</v>
      </c>
      <c r="E30" s="113" t="s">
        <v>231</v>
      </c>
      <c r="F30" s="113" t="s">
        <v>231</v>
      </c>
      <c r="G30" s="113" t="s">
        <v>231</v>
      </c>
      <c r="H30" s="113" t="s">
        <v>231</v>
      </c>
      <c r="I30" s="113" t="s">
        <v>231</v>
      </c>
      <c r="J30" s="113" t="s">
        <v>231</v>
      </c>
      <c r="K30" s="101"/>
      <c r="L30" s="101"/>
    </row>
    <row r="31" spans="1:12" ht="15" hidden="1" customHeight="1" x14ac:dyDescent="0.3">
      <c r="A31" s="113" t="str">
        <f t="shared" si="2"/>
        <v/>
      </c>
      <c r="B31" s="101" t="s">
        <v>231</v>
      </c>
      <c r="C31" s="113" t="s">
        <v>231</v>
      </c>
      <c r="D31" s="113" t="s">
        <v>231</v>
      </c>
      <c r="E31" s="113" t="s">
        <v>231</v>
      </c>
      <c r="F31" s="113" t="s">
        <v>231</v>
      </c>
      <c r="G31" s="113" t="s">
        <v>231</v>
      </c>
      <c r="H31" s="113" t="s">
        <v>231</v>
      </c>
      <c r="I31" s="113" t="s">
        <v>231</v>
      </c>
      <c r="J31" s="113" t="s">
        <v>231</v>
      </c>
      <c r="K31" s="101"/>
      <c r="L31" s="101"/>
    </row>
    <row r="32" spans="1:12" ht="15" hidden="1" customHeight="1" x14ac:dyDescent="0.3">
      <c r="A32" s="113" t="str">
        <f t="shared" si="2"/>
        <v/>
      </c>
      <c r="B32" s="101" t="s">
        <v>231</v>
      </c>
      <c r="C32" s="113" t="s">
        <v>231</v>
      </c>
      <c r="D32" s="113" t="s">
        <v>231</v>
      </c>
      <c r="E32" s="113" t="s">
        <v>231</v>
      </c>
      <c r="F32" s="113" t="s">
        <v>231</v>
      </c>
      <c r="G32" s="113" t="s">
        <v>231</v>
      </c>
      <c r="H32" s="113" t="s">
        <v>231</v>
      </c>
      <c r="I32" s="113" t="s">
        <v>231</v>
      </c>
      <c r="J32" s="113" t="s">
        <v>231</v>
      </c>
      <c r="K32" s="101"/>
      <c r="L32" s="101"/>
    </row>
    <row r="33" spans="1:12" ht="15" hidden="1" customHeight="1" x14ac:dyDescent="0.3">
      <c r="A33" s="113" t="str">
        <f t="shared" si="2"/>
        <v/>
      </c>
      <c r="B33" s="101" t="s">
        <v>231</v>
      </c>
      <c r="C33" s="113" t="s">
        <v>231</v>
      </c>
      <c r="D33" s="113" t="s">
        <v>231</v>
      </c>
      <c r="E33" s="113" t="s">
        <v>231</v>
      </c>
      <c r="F33" s="113" t="s">
        <v>231</v>
      </c>
      <c r="G33" s="113" t="s">
        <v>231</v>
      </c>
      <c r="H33" s="113" t="s">
        <v>231</v>
      </c>
      <c r="I33" s="113" t="s">
        <v>231</v>
      </c>
      <c r="J33" s="113" t="s">
        <v>231</v>
      </c>
      <c r="K33" s="101"/>
      <c r="L33" s="101"/>
    </row>
    <row r="34" spans="1:12" ht="15" hidden="1" customHeight="1" x14ac:dyDescent="0.3">
      <c r="A34" s="113" t="str">
        <f t="shared" si="2"/>
        <v/>
      </c>
      <c r="B34" s="101" t="s">
        <v>231</v>
      </c>
      <c r="C34" s="113" t="s">
        <v>231</v>
      </c>
      <c r="D34" s="113" t="s">
        <v>231</v>
      </c>
      <c r="E34" s="113" t="s">
        <v>231</v>
      </c>
      <c r="F34" s="113" t="s">
        <v>231</v>
      </c>
      <c r="G34" s="113" t="s">
        <v>231</v>
      </c>
      <c r="H34" s="113" t="s">
        <v>231</v>
      </c>
      <c r="I34" s="113" t="s">
        <v>231</v>
      </c>
      <c r="J34" s="113" t="s">
        <v>231</v>
      </c>
      <c r="K34" s="101"/>
      <c r="L34" s="101"/>
    </row>
    <row r="35" spans="1:12" ht="15" hidden="1" customHeight="1" x14ac:dyDescent="0.3">
      <c r="A35" s="113" t="str">
        <f t="shared" si="2"/>
        <v/>
      </c>
      <c r="B35" s="101" t="s">
        <v>231</v>
      </c>
      <c r="C35" s="113" t="s">
        <v>231</v>
      </c>
      <c r="D35" s="113" t="s">
        <v>231</v>
      </c>
      <c r="E35" s="113" t="s">
        <v>231</v>
      </c>
      <c r="F35" s="113" t="s">
        <v>231</v>
      </c>
      <c r="G35" s="113" t="s">
        <v>231</v>
      </c>
      <c r="H35" s="113" t="s">
        <v>231</v>
      </c>
      <c r="I35" s="113" t="s">
        <v>231</v>
      </c>
      <c r="J35" s="113" t="s">
        <v>231</v>
      </c>
      <c r="K35" s="101"/>
      <c r="L35" s="101"/>
    </row>
    <row r="36" spans="1:12" ht="15" hidden="1" customHeight="1" x14ac:dyDescent="0.3">
      <c r="A36" s="113" t="str">
        <f t="shared" si="2"/>
        <v/>
      </c>
      <c r="B36" s="101" t="s">
        <v>231</v>
      </c>
      <c r="C36" s="113" t="s">
        <v>231</v>
      </c>
      <c r="D36" s="113" t="s">
        <v>231</v>
      </c>
      <c r="E36" s="113" t="s">
        <v>231</v>
      </c>
      <c r="F36" s="113" t="s">
        <v>231</v>
      </c>
      <c r="G36" s="113" t="s">
        <v>231</v>
      </c>
      <c r="H36" s="113" t="s">
        <v>231</v>
      </c>
      <c r="I36" s="113" t="s">
        <v>231</v>
      </c>
      <c r="J36" s="113" t="s">
        <v>231</v>
      </c>
      <c r="K36" s="101"/>
      <c r="L36" s="101"/>
    </row>
    <row r="37" spans="1:12" ht="15" hidden="1" customHeight="1" x14ac:dyDescent="0.3">
      <c r="A37" s="113" t="str">
        <f t="shared" si="2"/>
        <v/>
      </c>
      <c r="B37" s="101" t="s">
        <v>231</v>
      </c>
      <c r="C37" s="113" t="s">
        <v>231</v>
      </c>
      <c r="D37" s="113" t="s">
        <v>231</v>
      </c>
      <c r="E37" s="113" t="s">
        <v>231</v>
      </c>
      <c r="F37" s="113" t="s">
        <v>231</v>
      </c>
      <c r="G37" s="113" t="s">
        <v>231</v>
      </c>
      <c r="H37" s="113" t="s">
        <v>231</v>
      </c>
      <c r="I37" s="113" t="s">
        <v>231</v>
      </c>
      <c r="J37" s="113" t="s">
        <v>231</v>
      </c>
      <c r="K37" s="101"/>
      <c r="L37" s="101"/>
    </row>
    <row r="38" spans="1:12" ht="15" hidden="1" customHeight="1" x14ac:dyDescent="0.3">
      <c r="A38" s="113" t="str">
        <f t="shared" si="2"/>
        <v/>
      </c>
      <c r="B38" s="101" t="s">
        <v>231</v>
      </c>
      <c r="C38" s="113" t="s">
        <v>231</v>
      </c>
      <c r="D38" s="113" t="s">
        <v>231</v>
      </c>
      <c r="E38" s="113" t="s">
        <v>231</v>
      </c>
      <c r="F38" s="113" t="s">
        <v>231</v>
      </c>
      <c r="G38" s="113" t="s">
        <v>231</v>
      </c>
      <c r="H38" s="113" t="s">
        <v>231</v>
      </c>
      <c r="I38" s="113" t="s">
        <v>231</v>
      </c>
      <c r="J38" s="113" t="s">
        <v>231</v>
      </c>
      <c r="K38" s="101"/>
      <c r="L38" s="101"/>
    </row>
    <row r="39" spans="1:12" ht="15" hidden="1" customHeight="1" x14ac:dyDescent="0.3">
      <c r="A39" s="113" t="str">
        <f>IF(B39="","",A38+1)</f>
        <v/>
      </c>
      <c r="B39" s="101" t="s">
        <v>231</v>
      </c>
      <c r="C39" s="113" t="s">
        <v>231</v>
      </c>
      <c r="D39" s="113" t="s">
        <v>231</v>
      </c>
      <c r="E39" s="113" t="s">
        <v>231</v>
      </c>
      <c r="F39" s="113" t="s">
        <v>231</v>
      </c>
      <c r="G39" s="113" t="s">
        <v>231</v>
      </c>
      <c r="H39" s="113" t="s">
        <v>231</v>
      </c>
      <c r="I39" s="113" t="s">
        <v>231</v>
      </c>
      <c r="J39" s="113" t="s">
        <v>231</v>
      </c>
      <c r="K39" s="101"/>
      <c r="L39" s="101"/>
    </row>
    <row r="40" spans="1:12" ht="15" hidden="1" customHeight="1" x14ac:dyDescent="0.3">
      <c r="A40" s="113" t="str">
        <f t="shared" si="2"/>
        <v/>
      </c>
      <c r="B40" s="155" t="s">
        <v>231</v>
      </c>
      <c r="C40" s="154" t="s">
        <v>231</v>
      </c>
      <c r="D40" s="154" t="s">
        <v>231</v>
      </c>
      <c r="E40" s="154" t="s">
        <v>231</v>
      </c>
      <c r="F40" s="154" t="s">
        <v>231</v>
      </c>
      <c r="G40" s="154" t="s">
        <v>231</v>
      </c>
      <c r="H40" s="154" t="s">
        <v>231</v>
      </c>
      <c r="I40" s="154" t="s">
        <v>231</v>
      </c>
      <c r="J40" s="154" t="s">
        <v>231</v>
      </c>
      <c r="K40" s="101"/>
      <c r="L40" s="101"/>
    </row>
    <row r="41" spans="1:12" x14ac:dyDescent="0.3">
      <c r="A41" s="152"/>
      <c r="B41" s="156" t="s">
        <v>39</v>
      </c>
      <c r="C41" s="153" t="s">
        <v>313</v>
      </c>
      <c r="D41" s="153" t="s">
        <v>313</v>
      </c>
      <c r="E41" s="153" t="s">
        <v>313</v>
      </c>
      <c r="F41" s="153" t="s">
        <v>313</v>
      </c>
      <c r="G41" s="153" t="s">
        <v>313</v>
      </c>
      <c r="H41" s="153" t="s">
        <v>313</v>
      </c>
      <c r="I41" s="153" t="s">
        <v>313</v>
      </c>
      <c r="J41" s="153" t="s">
        <v>313</v>
      </c>
      <c r="K41" s="101"/>
      <c r="L41" s="101"/>
    </row>
    <row r="42" spans="1:12" x14ac:dyDescent="0.3">
      <c r="A42" s="319" t="str">
        <f>year!$H$5</f>
        <v>RABI I 2022-23</v>
      </c>
      <c r="B42" s="319"/>
      <c r="C42" s="113"/>
      <c r="D42" s="113"/>
      <c r="E42" s="113"/>
      <c r="F42" s="113"/>
      <c r="G42" s="113"/>
      <c r="H42" s="113"/>
      <c r="I42" s="113"/>
      <c r="J42" s="113"/>
      <c r="K42" s="101"/>
      <c r="L42" s="101"/>
    </row>
    <row r="43" spans="1:12" x14ac:dyDescent="0.3">
      <c r="A43" s="113">
        <f>IF(B43="","",1)</f>
        <v>1</v>
      </c>
      <c r="B43" s="152" t="s">
        <v>308</v>
      </c>
      <c r="C43" s="153" t="s">
        <v>313</v>
      </c>
      <c r="D43" s="153" t="s">
        <v>313</v>
      </c>
      <c r="E43" s="153" t="s">
        <v>313</v>
      </c>
      <c r="F43" s="153" t="s">
        <v>313</v>
      </c>
      <c r="G43" s="153" t="s">
        <v>660</v>
      </c>
      <c r="H43" s="153" t="s">
        <v>313</v>
      </c>
      <c r="I43" s="153" t="s">
        <v>313</v>
      </c>
      <c r="J43" s="153" t="s">
        <v>313</v>
      </c>
      <c r="K43" s="101"/>
      <c r="L43" s="101"/>
    </row>
    <row r="44" spans="1:12" ht="15.75" hidden="1" customHeight="1" x14ac:dyDescent="0.3">
      <c r="A44" s="113" t="str">
        <f>IF(B44="","",A43+1)</f>
        <v/>
      </c>
      <c r="B44" s="101" t="s">
        <v>231</v>
      </c>
      <c r="C44" s="113" t="s">
        <v>231</v>
      </c>
      <c r="D44" s="113" t="s">
        <v>231</v>
      </c>
      <c r="E44" s="113" t="s">
        <v>231</v>
      </c>
      <c r="F44" s="113" t="s">
        <v>231</v>
      </c>
      <c r="G44" s="113" t="s">
        <v>231</v>
      </c>
      <c r="H44" s="113" t="s">
        <v>231</v>
      </c>
      <c r="I44" s="113" t="s">
        <v>231</v>
      </c>
      <c r="J44" s="113" t="s">
        <v>231</v>
      </c>
      <c r="K44" s="101"/>
      <c r="L44" s="101"/>
    </row>
    <row r="45" spans="1:12" hidden="1" x14ac:dyDescent="0.3">
      <c r="A45" s="113" t="str">
        <f t="shared" ref="A45:A54" si="3">IF(B45="","",A44+1)</f>
        <v/>
      </c>
      <c r="B45" s="101" t="s">
        <v>231</v>
      </c>
      <c r="C45" s="113" t="s">
        <v>231</v>
      </c>
      <c r="D45" s="113" t="s">
        <v>231</v>
      </c>
      <c r="E45" s="113" t="s">
        <v>231</v>
      </c>
      <c r="F45" s="113" t="s">
        <v>231</v>
      </c>
      <c r="G45" s="113" t="s">
        <v>231</v>
      </c>
      <c r="H45" s="113" t="s">
        <v>231</v>
      </c>
      <c r="I45" s="113" t="s">
        <v>231</v>
      </c>
      <c r="J45" s="113" t="s">
        <v>231</v>
      </c>
      <c r="K45" s="101"/>
      <c r="L45" s="101"/>
    </row>
    <row r="46" spans="1:12" hidden="1" x14ac:dyDescent="0.3">
      <c r="A46" s="113" t="str">
        <f t="shared" si="3"/>
        <v/>
      </c>
      <c r="B46" s="101" t="s">
        <v>231</v>
      </c>
      <c r="C46" s="113" t="s">
        <v>231</v>
      </c>
      <c r="D46" s="113" t="s">
        <v>231</v>
      </c>
      <c r="E46" s="113" t="s">
        <v>231</v>
      </c>
      <c r="F46" s="113" t="s">
        <v>231</v>
      </c>
      <c r="G46" s="113" t="s">
        <v>231</v>
      </c>
      <c r="H46" s="113" t="s">
        <v>231</v>
      </c>
      <c r="I46" s="113" t="s">
        <v>231</v>
      </c>
      <c r="J46" s="113" t="s">
        <v>231</v>
      </c>
      <c r="K46" s="101"/>
      <c r="L46" s="101"/>
    </row>
    <row r="47" spans="1:12" hidden="1" x14ac:dyDescent="0.3">
      <c r="A47" s="113" t="str">
        <f t="shared" si="3"/>
        <v/>
      </c>
      <c r="B47" s="101" t="s">
        <v>231</v>
      </c>
      <c r="C47" s="113" t="s">
        <v>231</v>
      </c>
      <c r="D47" s="113" t="s">
        <v>231</v>
      </c>
      <c r="E47" s="113" t="s">
        <v>231</v>
      </c>
      <c r="F47" s="113" t="s">
        <v>231</v>
      </c>
      <c r="G47" s="113" t="s">
        <v>231</v>
      </c>
      <c r="H47" s="113" t="s">
        <v>231</v>
      </c>
      <c r="I47" s="113" t="s">
        <v>231</v>
      </c>
      <c r="J47" s="113" t="s">
        <v>231</v>
      </c>
      <c r="K47" s="101"/>
      <c r="L47" s="101"/>
    </row>
    <row r="48" spans="1:12" hidden="1" x14ac:dyDescent="0.3">
      <c r="A48" s="113" t="str">
        <f t="shared" si="3"/>
        <v/>
      </c>
      <c r="B48" s="101" t="s">
        <v>231</v>
      </c>
      <c r="C48" s="113" t="s">
        <v>231</v>
      </c>
      <c r="D48" s="113" t="s">
        <v>231</v>
      </c>
      <c r="E48" s="113" t="s">
        <v>231</v>
      </c>
      <c r="F48" s="113" t="s">
        <v>231</v>
      </c>
      <c r="G48" s="113" t="s">
        <v>231</v>
      </c>
      <c r="H48" s="113" t="s">
        <v>231</v>
      </c>
      <c r="I48" s="113" t="s">
        <v>231</v>
      </c>
      <c r="J48" s="113" t="s">
        <v>231</v>
      </c>
      <c r="K48" s="101"/>
      <c r="L48" s="101"/>
    </row>
    <row r="49" spans="1:12" hidden="1" x14ac:dyDescent="0.3">
      <c r="A49" s="113" t="str">
        <f t="shared" si="3"/>
        <v/>
      </c>
      <c r="B49" s="101" t="s">
        <v>231</v>
      </c>
      <c r="C49" s="113" t="s">
        <v>231</v>
      </c>
      <c r="D49" s="113" t="s">
        <v>231</v>
      </c>
      <c r="E49" s="113" t="s">
        <v>231</v>
      </c>
      <c r="F49" s="113" t="s">
        <v>231</v>
      </c>
      <c r="G49" s="113" t="s">
        <v>231</v>
      </c>
      <c r="H49" s="113" t="s">
        <v>231</v>
      </c>
      <c r="I49" s="113" t="s">
        <v>231</v>
      </c>
      <c r="J49" s="113" t="s">
        <v>231</v>
      </c>
      <c r="K49" s="101"/>
      <c r="L49" s="101"/>
    </row>
    <row r="50" spans="1:12" hidden="1" x14ac:dyDescent="0.3">
      <c r="A50" s="113" t="str">
        <f t="shared" si="3"/>
        <v/>
      </c>
      <c r="B50" s="101" t="s">
        <v>231</v>
      </c>
      <c r="C50" s="113" t="s">
        <v>231</v>
      </c>
      <c r="D50" s="113" t="s">
        <v>231</v>
      </c>
      <c r="E50" s="113" t="s">
        <v>231</v>
      </c>
      <c r="F50" s="113" t="s">
        <v>231</v>
      </c>
      <c r="G50" s="113" t="s">
        <v>231</v>
      </c>
      <c r="H50" s="113" t="s">
        <v>231</v>
      </c>
      <c r="I50" s="113" t="s">
        <v>231</v>
      </c>
      <c r="J50" s="113" t="s">
        <v>231</v>
      </c>
      <c r="K50" s="101"/>
      <c r="L50" s="101"/>
    </row>
    <row r="51" spans="1:12" hidden="1" x14ac:dyDescent="0.3">
      <c r="A51" s="113" t="str">
        <f t="shared" si="3"/>
        <v/>
      </c>
      <c r="B51" s="101" t="s">
        <v>231</v>
      </c>
      <c r="C51" s="113" t="s">
        <v>231</v>
      </c>
      <c r="D51" s="113" t="s">
        <v>231</v>
      </c>
      <c r="E51" s="113" t="s">
        <v>231</v>
      </c>
      <c r="F51" s="113" t="s">
        <v>231</v>
      </c>
      <c r="G51" s="113" t="s">
        <v>231</v>
      </c>
      <c r="H51" s="113" t="s">
        <v>231</v>
      </c>
      <c r="I51" s="113" t="s">
        <v>231</v>
      </c>
      <c r="J51" s="113" t="s">
        <v>231</v>
      </c>
      <c r="K51" s="101"/>
      <c r="L51" s="101"/>
    </row>
    <row r="52" spans="1:12" hidden="1" x14ac:dyDescent="0.3">
      <c r="A52" s="113" t="str">
        <f t="shared" si="3"/>
        <v/>
      </c>
      <c r="B52" s="101" t="s">
        <v>231</v>
      </c>
      <c r="C52" s="113" t="s">
        <v>231</v>
      </c>
      <c r="D52" s="113" t="s">
        <v>231</v>
      </c>
      <c r="E52" s="113" t="s">
        <v>231</v>
      </c>
      <c r="F52" s="113" t="s">
        <v>231</v>
      </c>
      <c r="G52" s="113" t="s">
        <v>231</v>
      </c>
      <c r="H52" s="113" t="s">
        <v>231</v>
      </c>
      <c r="I52" s="113" t="s">
        <v>231</v>
      </c>
      <c r="J52" s="113" t="s">
        <v>231</v>
      </c>
      <c r="K52" s="101"/>
      <c r="L52" s="101"/>
    </row>
    <row r="53" spans="1:12" hidden="1" x14ac:dyDescent="0.3">
      <c r="A53" s="113" t="str">
        <f t="shared" si="3"/>
        <v/>
      </c>
      <c r="B53" s="101" t="s">
        <v>231</v>
      </c>
      <c r="C53" s="113" t="s">
        <v>231</v>
      </c>
      <c r="D53" s="113" t="s">
        <v>231</v>
      </c>
      <c r="E53" s="113" t="s">
        <v>231</v>
      </c>
      <c r="F53" s="113" t="s">
        <v>231</v>
      </c>
      <c r="G53" s="113" t="s">
        <v>231</v>
      </c>
      <c r="H53" s="113" t="s">
        <v>231</v>
      </c>
      <c r="I53" s="113" t="s">
        <v>231</v>
      </c>
      <c r="J53" s="113" t="s">
        <v>231</v>
      </c>
      <c r="K53" s="101"/>
      <c r="L53" s="101"/>
    </row>
    <row r="54" spans="1:12" hidden="1" x14ac:dyDescent="0.3">
      <c r="A54" s="113" t="str">
        <f t="shared" si="3"/>
        <v/>
      </c>
      <c r="B54" s="101" t="s">
        <v>231</v>
      </c>
      <c r="C54" s="113" t="s">
        <v>231</v>
      </c>
      <c r="D54" s="113" t="s">
        <v>231</v>
      </c>
      <c r="E54" s="113" t="s">
        <v>231</v>
      </c>
      <c r="F54" s="113" t="s">
        <v>231</v>
      </c>
      <c r="G54" s="113" t="s">
        <v>231</v>
      </c>
      <c r="H54" s="113" t="s">
        <v>231</v>
      </c>
      <c r="I54" s="113" t="s">
        <v>231</v>
      </c>
      <c r="J54" s="113" t="s">
        <v>231</v>
      </c>
      <c r="K54" s="101"/>
      <c r="L54" s="101"/>
    </row>
    <row r="55" spans="1:12" hidden="1" x14ac:dyDescent="0.3">
      <c r="A55" s="113" t="str">
        <f>IF(B55="","",A54+1)</f>
        <v/>
      </c>
      <c r="B55" s="101" t="s">
        <v>231</v>
      </c>
      <c r="C55" s="113" t="s">
        <v>231</v>
      </c>
      <c r="D55" s="113" t="s">
        <v>231</v>
      </c>
      <c r="E55" s="113" t="s">
        <v>231</v>
      </c>
      <c r="F55" s="113" t="s">
        <v>231</v>
      </c>
      <c r="G55" s="113" t="s">
        <v>231</v>
      </c>
      <c r="H55" s="113" t="s">
        <v>231</v>
      </c>
      <c r="I55" s="113" t="s">
        <v>231</v>
      </c>
      <c r="J55" s="113" t="s">
        <v>231</v>
      </c>
      <c r="K55" s="101"/>
      <c r="L55" s="101"/>
    </row>
    <row r="56" spans="1:12" hidden="1" x14ac:dyDescent="0.3">
      <c r="A56" s="113" t="str">
        <f t="shared" ref="A56:A57" si="4">IF(B56="","",A55+1)</f>
        <v/>
      </c>
      <c r="B56" s="101" t="s">
        <v>231</v>
      </c>
      <c r="C56" s="113" t="s">
        <v>231</v>
      </c>
      <c r="D56" s="113" t="s">
        <v>231</v>
      </c>
      <c r="E56" s="113" t="s">
        <v>231</v>
      </c>
      <c r="F56" s="113" t="s">
        <v>231</v>
      </c>
      <c r="G56" s="113" t="s">
        <v>231</v>
      </c>
      <c r="H56" s="113" t="s">
        <v>231</v>
      </c>
      <c r="I56" s="113" t="s">
        <v>231</v>
      </c>
      <c r="J56" s="113" t="s">
        <v>231</v>
      </c>
      <c r="K56" s="101"/>
      <c r="L56" s="101"/>
    </row>
    <row r="57" spans="1:12" hidden="1" x14ac:dyDescent="0.3">
      <c r="A57" s="113" t="str">
        <f t="shared" si="4"/>
        <v/>
      </c>
      <c r="B57" s="155" t="s">
        <v>231</v>
      </c>
      <c r="C57" s="154" t="s">
        <v>231</v>
      </c>
      <c r="D57" s="154" t="s">
        <v>231</v>
      </c>
      <c r="E57" s="154" t="s">
        <v>231</v>
      </c>
      <c r="F57" s="154" t="s">
        <v>231</v>
      </c>
      <c r="G57" s="154" t="s">
        <v>231</v>
      </c>
      <c r="H57" s="154" t="s">
        <v>231</v>
      </c>
      <c r="I57" s="154" t="s">
        <v>231</v>
      </c>
      <c r="J57" s="154" t="s">
        <v>231</v>
      </c>
      <c r="K57" s="101"/>
      <c r="L57" s="101"/>
    </row>
    <row r="58" spans="1:12" x14ac:dyDescent="0.3">
      <c r="A58" s="152"/>
      <c r="B58" s="156" t="s">
        <v>39</v>
      </c>
      <c r="C58" s="157" t="s">
        <v>313</v>
      </c>
      <c r="D58" s="157" t="s">
        <v>313</v>
      </c>
      <c r="E58" s="157" t="s">
        <v>313</v>
      </c>
      <c r="F58" s="157" t="s">
        <v>313</v>
      </c>
      <c r="G58" s="157" t="s">
        <v>660</v>
      </c>
      <c r="H58" s="157" t="s">
        <v>313</v>
      </c>
      <c r="I58" s="157" t="s">
        <v>313</v>
      </c>
      <c r="J58" s="157" t="s">
        <v>313</v>
      </c>
      <c r="K58" s="101"/>
      <c r="L58" s="101"/>
    </row>
    <row r="59" spans="1:12" x14ac:dyDescent="0.3">
      <c r="A59" s="319" t="str">
        <f>year!$I$5</f>
        <v>RABI II 2022-23</v>
      </c>
      <c r="B59" s="319"/>
      <c r="C59" s="113"/>
      <c r="D59" s="113"/>
      <c r="E59" s="113"/>
      <c r="F59" s="113"/>
      <c r="G59" s="113"/>
      <c r="H59" s="113"/>
      <c r="I59" s="113"/>
      <c r="J59" s="113"/>
      <c r="K59" s="101"/>
      <c r="L59" s="101"/>
    </row>
    <row r="60" spans="1:12" x14ac:dyDescent="0.3">
      <c r="A60" s="113">
        <f>IF(B60="","",1)</f>
        <v>1</v>
      </c>
      <c r="B60" s="152" t="s">
        <v>308</v>
      </c>
      <c r="C60" s="153" t="s">
        <v>313</v>
      </c>
      <c r="D60" s="153" t="s">
        <v>313</v>
      </c>
      <c r="E60" s="153" t="s">
        <v>313</v>
      </c>
      <c r="F60" s="153" t="s">
        <v>313</v>
      </c>
      <c r="G60" s="153" t="s">
        <v>313</v>
      </c>
      <c r="H60" s="153" t="s">
        <v>313</v>
      </c>
      <c r="I60" s="153" t="s">
        <v>313</v>
      </c>
      <c r="J60" s="153" t="s">
        <v>313</v>
      </c>
      <c r="K60" s="101"/>
      <c r="L60" s="101"/>
    </row>
    <row r="61" spans="1:12" hidden="1" x14ac:dyDescent="0.3">
      <c r="A61" s="113" t="str">
        <f>IF(B61="","",A60+1)</f>
        <v/>
      </c>
      <c r="B61" s="101" t="s">
        <v>231</v>
      </c>
      <c r="C61" s="113" t="s">
        <v>231</v>
      </c>
      <c r="D61" s="113" t="s">
        <v>231</v>
      </c>
      <c r="E61" s="113" t="s">
        <v>231</v>
      </c>
      <c r="F61" s="113" t="s">
        <v>231</v>
      </c>
      <c r="G61" s="113" t="s">
        <v>231</v>
      </c>
      <c r="H61" s="113" t="s">
        <v>231</v>
      </c>
      <c r="I61" s="113" t="s">
        <v>231</v>
      </c>
      <c r="J61" s="113" t="s">
        <v>231</v>
      </c>
      <c r="K61" s="101"/>
      <c r="L61" s="101"/>
    </row>
    <row r="62" spans="1:12" hidden="1" x14ac:dyDescent="0.3">
      <c r="A62" s="113" t="str">
        <f t="shared" ref="A62:A74" si="5">IF(B62="","",A61+1)</f>
        <v/>
      </c>
      <c r="B62" s="101" t="s">
        <v>231</v>
      </c>
      <c r="C62" s="113" t="s">
        <v>231</v>
      </c>
      <c r="D62" s="113" t="s">
        <v>231</v>
      </c>
      <c r="E62" s="113" t="s">
        <v>231</v>
      </c>
      <c r="F62" s="113" t="s">
        <v>231</v>
      </c>
      <c r="G62" s="113" t="s">
        <v>231</v>
      </c>
      <c r="H62" s="113" t="s">
        <v>231</v>
      </c>
      <c r="I62" s="113" t="s">
        <v>231</v>
      </c>
      <c r="J62" s="113" t="s">
        <v>231</v>
      </c>
      <c r="K62" s="101"/>
      <c r="L62" s="101"/>
    </row>
    <row r="63" spans="1:12" hidden="1" x14ac:dyDescent="0.3">
      <c r="A63" s="113" t="str">
        <f t="shared" si="5"/>
        <v/>
      </c>
      <c r="B63" s="101" t="s">
        <v>231</v>
      </c>
      <c r="C63" s="113" t="s">
        <v>231</v>
      </c>
      <c r="D63" s="113" t="s">
        <v>231</v>
      </c>
      <c r="E63" s="113" t="s">
        <v>231</v>
      </c>
      <c r="F63" s="113" t="s">
        <v>231</v>
      </c>
      <c r="G63" s="113" t="s">
        <v>231</v>
      </c>
      <c r="H63" s="113" t="s">
        <v>231</v>
      </c>
      <c r="I63" s="113" t="s">
        <v>231</v>
      </c>
      <c r="J63" s="113" t="s">
        <v>231</v>
      </c>
      <c r="K63" s="101"/>
      <c r="L63" s="101"/>
    </row>
    <row r="64" spans="1:12" hidden="1" x14ac:dyDescent="0.3">
      <c r="A64" s="113" t="str">
        <f t="shared" si="5"/>
        <v/>
      </c>
      <c r="B64" s="101" t="s">
        <v>231</v>
      </c>
      <c r="C64" s="113" t="s">
        <v>231</v>
      </c>
      <c r="D64" s="113" t="s">
        <v>231</v>
      </c>
      <c r="E64" s="113" t="s">
        <v>231</v>
      </c>
      <c r="F64" s="113" t="s">
        <v>231</v>
      </c>
      <c r="G64" s="113" t="s">
        <v>231</v>
      </c>
      <c r="H64" s="113" t="s">
        <v>231</v>
      </c>
      <c r="I64" s="113" t="s">
        <v>231</v>
      </c>
      <c r="J64" s="113" t="s">
        <v>231</v>
      </c>
      <c r="K64" s="101"/>
      <c r="L64" s="101"/>
    </row>
    <row r="65" spans="1:12" hidden="1" x14ac:dyDescent="0.3">
      <c r="A65" s="113" t="str">
        <f t="shared" si="5"/>
        <v/>
      </c>
      <c r="B65" s="101" t="s">
        <v>231</v>
      </c>
      <c r="C65" s="113" t="s">
        <v>231</v>
      </c>
      <c r="D65" s="113" t="s">
        <v>231</v>
      </c>
      <c r="E65" s="113" t="s">
        <v>231</v>
      </c>
      <c r="F65" s="113" t="s">
        <v>231</v>
      </c>
      <c r="G65" s="113" t="s">
        <v>231</v>
      </c>
      <c r="H65" s="113" t="s">
        <v>231</v>
      </c>
      <c r="I65" s="113" t="s">
        <v>231</v>
      </c>
      <c r="J65" s="113" t="s">
        <v>231</v>
      </c>
      <c r="K65" s="101"/>
      <c r="L65" s="101"/>
    </row>
    <row r="66" spans="1:12" hidden="1" x14ac:dyDescent="0.3">
      <c r="A66" s="113" t="str">
        <f t="shared" si="5"/>
        <v/>
      </c>
      <c r="B66" s="101" t="s">
        <v>231</v>
      </c>
      <c r="C66" s="113" t="s">
        <v>231</v>
      </c>
      <c r="D66" s="113" t="s">
        <v>231</v>
      </c>
      <c r="E66" s="113" t="s">
        <v>231</v>
      </c>
      <c r="F66" s="113" t="s">
        <v>231</v>
      </c>
      <c r="G66" s="113" t="s">
        <v>231</v>
      </c>
      <c r="H66" s="113" t="s">
        <v>231</v>
      </c>
      <c r="I66" s="113" t="s">
        <v>231</v>
      </c>
      <c r="J66" s="113" t="s">
        <v>231</v>
      </c>
      <c r="K66" s="101"/>
      <c r="L66" s="101"/>
    </row>
    <row r="67" spans="1:12" hidden="1" x14ac:dyDescent="0.3">
      <c r="A67" s="113" t="str">
        <f t="shared" si="5"/>
        <v/>
      </c>
      <c r="B67" s="101" t="s">
        <v>231</v>
      </c>
      <c r="C67" s="113" t="s">
        <v>231</v>
      </c>
      <c r="D67" s="113" t="s">
        <v>231</v>
      </c>
      <c r="E67" s="113" t="s">
        <v>231</v>
      </c>
      <c r="F67" s="113" t="s">
        <v>231</v>
      </c>
      <c r="G67" s="113" t="s">
        <v>231</v>
      </c>
      <c r="H67" s="113" t="s">
        <v>231</v>
      </c>
      <c r="I67" s="113" t="s">
        <v>231</v>
      </c>
      <c r="J67" s="113" t="s">
        <v>231</v>
      </c>
      <c r="K67" s="101"/>
      <c r="L67" s="101"/>
    </row>
    <row r="68" spans="1:12" hidden="1" x14ac:dyDescent="0.3">
      <c r="A68" s="113" t="str">
        <f t="shared" si="5"/>
        <v/>
      </c>
      <c r="B68" s="101" t="s">
        <v>231</v>
      </c>
      <c r="C68" s="113" t="s">
        <v>231</v>
      </c>
      <c r="D68" s="113" t="s">
        <v>231</v>
      </c>
      <c r="E68" s="113" t="s">
        <v>231</v>
      </c>
      <c r="F68" s="113" t="s">
        <v>231</v>
      </c>
      <c r="G68" s="113" t="s">
        <v>231</v>
      </c>
      <c r="H68" s="113" t="s">
        <v>231</v>
      </c>
      <c r="I68" s="113" t="s">
        <v>231</v>
      </c>
      <c r="J68" s="113" t="s">
        <v>231</v>
      </c>
      <c r="K68" s="101"/>
      <c r="L68" s="101"/>
    </row>
    <row r="69" spans="1:12" hidden="1" x14ac:dyDescent="0.3">
      <c r="A69" s="113" t="str">
        <f t="shared" si="5"/>
        <v/>
      </c>
      <c r="B69" s="101" t="s">
        <v>231</v>
      </c>
      <c r="C69" s="113" t="s">
        <v>231</v>
      </c>
      <c r="D69" s="113" t="s">
        <v>231</v>
      </c>
      <c r="E69" s="113" t="s">
        <v>231</v>
      </c>
      <c r="F69" s="113" t="s">
        <v>231</v>
      </c>
      <c r="G69" s="113" t="s">
        <v>231</v>
      </c>
      <c r="H69" s="113" t="s">
        <v>231</v>
      </c>
      <c r="I69" s="113" t="s">
        <v>231</v>
      </c>
      <c r="J69" s="113" t="s">
        <v>231</v>
      </c>
      <c r="K69" s="101"/>
      <c r="L69" s="101"/>
    </row>
    <row r="70" spans="1:12" hidden="1" x14ac:dyDescent="0.3">
      <c r="A70" s="113" t="str">
        <f t="shared" si="5"/>
        <v/>
      </c>
      <c r="B70" s="101" t="s">
        <v>231</v>
      </c>
      <c r="C70" s="113" t="s">
        <v>231</v>
      </c>
      <c r="D70" s="113" t="s">
        <v>231</v>
      </c>
      <c r="E70" s="113" t="s">
        <v>231</v>
      </c>
      <c r="F70" s="113" t="s">
        <v>231</v>
      </c>
      <c r="G70" s="113" t="s">
        <v>231</v>
      </c>
      <c r="H70" s="113" t="s">
        <v>231</v>
      </c>
      <c r="I70" s="113" t="s">
        <v>231</v>
      </c>
      <c r="J70" s="113" t="s">
        <v>231</v>
      </c>
      <c r="K70" s="101"/>
      <c r="L70" s="101"/>
    </row>
    <row r="71" spans="1:12" hidden="1" x14ac:dyDescent="0.3">
      <c r="A71" s="113" t="str">
        <f t="shared" si="5"/>
        <v/>
      </c>
      <c r="B71" s="101" t="s">
        <v>231</v>
      </c>
      <c r="C71" s="113" t="s">
        <v>231</v>
      </c>
      <c r="D71" s="113" t="s">
        <v>231</v>
      </c>
      <c r="E71" s="113" t="s">
        <v>231</v>
      </c>
      <c r="F71" s="113" t="s">
        <v>231</v>
      </c>
      <c r="G71" s="113" t="s">
        <v>231</v>
      </c>
      <c r="H71" s="113" t="s">
        <v>231</v>
      </c>
      <c r="I71" s="113" t="s">
        <v>231</v>
      </c>
      <c r="J71" s="113" t="s">
        <v>231</v>
      </c>
      <c r="K71" s="101"/>
      <c r="L71" s="101"/>
    </row>
    <row r="72" spans="1:12" hidden="1" x14ac:dyDescent="0.3">
      <c r="A72" s="113" t="str">
        <f>IF(B72="","",A71+1)</f>
        <v/>
      </c>
      <c r="B72" s="101" t="s">
        <v>231</v>
      </c>
      <c r="C72" s="113" t="s">
        <v>231</v>
      </c>
      <c r="D72" s="113" t="s">
        <v>231</v>
      </c>
      <c r="E72" s="113" t="s">
        <v>231</v>
      </c>
      <c r="F72" s="113" t="s">
        <v>231</v>
      </c>
      <c r="G72" s="113" t="s">
        <v>231</v>
      </c>
      <c r="H72" s="113" t="s">
        <v>231</v>
      </c>
      <c r="I72" s="113" t="s">
        <v>231</v>
      </c>
      <c r="J72" s="113" t="s">
        <v>231</v>
      </c>
      <c r="K72" s="101"/>
      <c r="L72" s="101"/>
    </row>
    <row r="73" spans="1:12" hidden="1" x14ac:dyDescent="0.3">
      <c r="A73" s="113" t="str">
        <f t="shared" si="5"/>
        <v/>
      </c>
      <c r="B73" s="101" t="s">
        <v>231</v>
      </c>
      <c r="C73" s="113" t="s">
        <v>231</v>
      </c>
      <c r="D73" s="113" t="s">
        <v>231</v>
      </c>
      <c r="E73" s="113" t="s">
        <v>231</v>
      </c>
      <c r="F73" s="113" t="s">
        <v>231</v>
      </c>
      <c r="G73" s="113" t="s">
        <v>231</v>
      </c>
      <c r="H73" s="113" t="s">
        <v>231</v>
      </c>
      <c r="I73" s="113" t="s">
        <v>231</v>
      </c>
      <c r="J73" s="113" t="s">
        <v>231</v>
      </c>
      <c r="K73" s="101"/>
      <c r="L73" s="101"/>
    </row>
    <row r="74" spans="1:12" hidden="1" x14ac:dyDescent="0.3">
      <c r="A74" s="113" t="str">
        <f t="shared" si="5"/>
        <v/>
      </c>
      <c r="B74" s="155" t="s">
        <v>231</v>
      </c>
      <c r="C74" s="154" t="s">
        <v>231</v>
      </c>
      <c r="D74" s="154" t="s">
        <v>231</v>
      </c>
      <c r="E74" s="154" t="s">
        <v>231</v>
      </c>
      <c r="F74" s="154" t="s">
        <v>231</v>
      </c>
      <c r="G74" s="154" t="s">
        <v>231</v>
      </c>
      <c r="H74" s="154" t="s">
        <v>231</v>
      </c>
      <c r="I74" s="154" t="s">
        <v>231</v>
      </c>
      <c r="J74" s="154" t="s">
        <v>231</v>
      </c>
      <c r="K74" s="101"/>
      <c r="L74" s="101"/>
    </row>
    <row r="75" spans="1:12" ht="15" thickBot="1" x14ac:dyDescent="0.35">
      <c r="A75" s="158"/>
      <c r="B75" s="159" t="s">
        <v>39</v>
      </c>
      <c r="C75" s="160" t="s">
        <v>313</v>
      </c>
      <c r="D75" s="160" t="s">
        <v>313</v>
      </c>
      <c r="E75" s="160" t="s">
        <v>313</v>
      </c>
      <c r="F75" s="160" t="s">
        <v>313</v>
      </c>
      <c r="G75" s="160" t="s">
        <v>313</v>
      </c>
      <c r="H75" s="160" t="s">
        <v>313</v>
      </c>
      <c r="I75" s="160" t="s">
        <v>313</v>
      </c>
      <c r="J75" s="160" t="s">
        <v>313</v>
      </c>
      <c r="K75" s="101"/>
      <c r="L75" s="101"/>
    </row>
    <row r="76" spans="1:12" ht="9" customHeight="1" thickTop="1" x14ac:dyDescent="0.3">
      <c r="A76" s="101"/>
      <c r="B76" s="101"/>
      <c r="C76" s="134"/>
      <c r="D76" s="134"/>
      <c r="E76" s="134"/>
      <c r="F76" s="134"/>
      <c r="G76" s="134"/>
      <c r="H76" s="134"/>
      <c r="I76" s="134"/>
      <c r="J76" s="134"/>
      <c r="K76" s="101"/>
      <c r="L76" s="101"/>
    </row>
    <row r="77" spans="1:12" x14ac:dyDescent="0.3">
      <c r="A77" s="317" t="s">
        <v>185</v>
      </c>
      <c r="B77" s="317"/>
      <c r="C77" s="317"/>
      <c r="D77" s="101"/>
      <c r="E77" s="101"/>
      <c r="F77" s="318" t="s">
        <v>137</v>
      </c>
      <c r="G77" s="318"/>
      <c r="H77" s="318"/>
      <c r="I77" s="101"/>
      <c r="J77" s="101"/>
      <c r="L77" s="101"/>
    </row>
    <row r="78" spans="1:12" x14ac:dyDescent="0.3">
      <c r="A78" s="76">
        <v>1</v>
      </c>
      <c r="B78" s="112" t="s">
        <v>217</v>
      </c>
      <c r="C78" s="112"/>
      <c r="D78" s="112"/>
      <c r="E78" s="112"/>
      <c r="F78" s="76">
        <v>1</v>
      </c>
      <c r="G78" s="112" t="s">
        <v>138</v>
      </c>
      <c r="H78" s="112"/>
      <c r="I78" s="112"/>
      <c r="J78" s="112"/>
      <c r="L78" s="101"/>
    </row>
    <row r="79" spans="1:12" x14ac:dyDescent="0.3">
      <c r="A79" s="76">
        <v>2</v>
      </c>
      <c r="B79" s="112" t="s">
        <v>268</v>
      </c>
      <c r="C79" s="112"/>
      <c r="D79" s="112"/>
      <c r="E79" s="112"/>
      <c r="F79" s="76">
        <v>2</v>
      </c>
      <c r="G79" s="112" t="s">
        <v>269</v>
      </c>
      <c r="H79" s="112"/>
      <c r="I79" s="112"/>
      <c r="J79" s="112"/>
      <c r="L79" s="101"/>
    </row>
    <row r="80" spans="1:12" ht="29.25" customHeight="1" x14ac:dyDescent="0.3">
      <c r="A80" s="76">
        <v>3</v>
      </c>
      <c r="B80" s="112" t="s">
        <v>139</v>
      </c>
      <c r="C80" s="112"/>
      <c r="D80" s="112"/>
      <c r="E80" s="112"/>
      <c r="F80" s="76">
        <v>3</v>
      </c>
      <c r="G80" s="240" t="s">
        <v>186</v>
      </c>
      <c r="H80" s="240"/>
      <c r="I80" s="240"/>
      <c r="J80" s="240"/>
      <c r="L80" s="101"/>
    </row>
    <row r="81" spans="1:12" x14ac:dyDescent="0.3">
      <c r="A81" s="76">
        <v>9</v>
      </c>
      <c r="B81" s="112" t="s">
        <v>140</v>
      </c>
      <c r="C81" s="112"/>
      <c r="D81" s="112"/>
      <c r="E81" s="112"/>
      <c r="F81" s="76">
        <v>9</v>
      </c>
      <c r="G81" s="112" t="s">
        <v>140</v>
      </c>
      <c r="H81" s="112"/>
      <c r="I81" s="112"/>
      <c r="J81" s="112"/>
      <c r="L81" s="101"/>
    </row>
    <row r="82" spans="1:12" x14ac:dyDescent="0.3">
      <c r="A82" s="138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</row>
  </sheetData>
  <mergeCells count="16">
    <mergeCell ref="A1:J1"/>
    <mergeCell ref="A2:H2"/>
    <mergeCell ref="I2:J2"/>
    <mergeCell ref="A3:J3"/>
    <mergeCell ref="A4:A5"/>
    <mergeCell ref="B4:B5"/>
    <mergeCell ref="C4:J4"/>
    <mergeCell ref="C5:F5"/>
    <mergeCell ref="G5:J5"/>
    <mergeCell ref="A77:C77"/>
    <mergeCell ref="F77:H77"/>
    <mergeCell ref="G80:J80"/>
    <mergeCell ref="A8:B8"/>
    <mergeCell ref="A25:B25"/>
    <mergeCell ref="A42:B42"/>
    <mergeCell ref="A59:B59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I90"/>
  <sheetViews>
    <sheetView view="pageBreakPreview" zoomScale="60" zoomScaleNormal="70" workbookViewId="0">
      <selection activeCell="I9" sqref="I9"/>
    </sheetView>
  </sheetViews>
  <sheetFormatPr defaultRowHeight="14.4" x14ac:dyDescent="0.3"/>
  <cols>
    <col min="1" max="1" width="5.88671875" customWidth="1"/>
    <col min="2" max="2" width="108.88671875" customWidth="1"/>
    <col min="3" max="8" width="14.5546875" customWidth="1"/>
  </cols>
  <sheetData>
    <row r="1" spans="1:9" x14ac:dyDescent="0.3">
      <c r="A1" s="237" t="s">
        <v>216</v>
      </c>
      <c r="B1" s="237"/>
      <c r="C1" s="237"/>
      <c r="D1" s="237"/>
      <c r="E1" s="237"/>
      <c r="F1" s="237"/>
      <c r="G1" s="237"/>
      <c r="H1" s="237"/>
      <c r="I1" s="151"/>
    </row>
    <row r="2" spans="1:9" x14ac:dyDescent="0.3">
      <c r="A2" s="314" t="str">
        <f>year!$H$2</f>
        <v>UT : PUDUCHERRY</v>
      </c>
      <c r="B2" s="314"/>
      <c r="C2" s="314"/>
      <c r="D2" s="314"/>
      <c r="E2" s="314"/>
      <c r="F2" s="314"/>
      <c r="G2" s="238" t="s">
        <v>294</v>
      </c>
      <c r="H2" s="238"/>
      <c r="I2" s="115"/>
    </row>
    <row r="3" spans="1:9" x14ac:dyDescent="0.3">
      <c r="A3" s="241" t="str">
        <f>"DEPARTURE FROM PRESCRIBED PROCEDURE IN EXPERIMENTS AND DISCREPANCIES IN REPORTING ANCILLARY INFORMATION DURING "&amp; year!$C$4 &amp;" AND "&amp; year!$C$5 &amp; "."</f>
        <v>DEPARTURE FROM PRESCRIBED PROCEDURE IN EXPERIMENTS AND DISCREPANCIES IN REPORTING ANCILLARY INFORMATION DURING 2023-24 AND 2022-23.</v>
      </c>
      <c r="B3" s="241"/>
      <c r="C3" s="241"/>
      <c r="D3" s="241"/>
      <c r="E3" s="241"/>
      <c r="F3" s="241"/>
      <c r="G3" s="241"/>
      <c r="H3" s="241"/>
      <c r="I3" s="115"/>
    </row>
    <row r="4" spans="1:9" x14ac:dyDescent="0.3">
      <c r="A4" s="320" t="str">
        <f>year!$H$3</f>
        <v>SEASON : RABI I</v>
      </c>
      <c r="B4" s="320"/>
      <c r="C4" s="321"/>
      <c r="D4" s="321"/>
      <c r="E4" s="321"/>
      <c r="F4" s="321"/>
      <c r="G4" s="321"/>
      <c r="H4" s="321"/>
      <c r="I4" s="115"/>
    </row>
    <row r="5" spans="1:9" x14ac:dyDescent="0.3">
      <c r="A5" s="242" t="s">
        <v>199</v>
      </c>
      <c r="B5" s="242"/>
      <c r="C5" s="322" t="str">
        <f>year!$J$4</f>
        <v>YEAR 2023-24</v>
      </c>
      <c r="D5" s="322"/>
      <c r="E5" s="322"/>
      <c r="F5" s="323" t="str">
        <f>year!$J$5</f>
        <v>YEAR 2022-23</v>
      </c>
      <c r="G5" s="324"/>
      <c r="H5" s="324"/>
      <c r="I5" s="115"/>
    </row>
    <row r="6" spans="1:9" x14ac:dyDescent="0.3">
      <c r="A6" s="243"/>
      <c r="B6" s="243"/>
      <c r="C6" s="153" t="s">
        <v>120</v>
      </c>
      <c r="D6" s="153" t="s">
        <v>17</v>
      </c>
      <c r="E6" s="153" t="s">
        <v>18</v>
      </c>
      <c r="F6" s="165" t="s">
        <v>120</v>
      </c>
      <c r="G6" s="153" t="s">
        <v>17</v>
      </c>
      <c r="H6" s="153" t="s">
        <v>18</v>
      </c>
      <c r="I6" s="115"/>
    </row>
    <row r="7" spans="1:9" x14ac:dyDescent="0.3">
      <c r="A7" s="325" t="s">
        <v>8</v>
      </c>
      <c r="B7" s="325"/>
      <c r="C7" s="153" t="s">
        <v>9</v>
      </c>
      <c r="D7" s="153" t="s">
        <v>10</v>
      </c>
      <c r="E7" s="153" t="s">
        <v>11</v>
      </c>
      <c r="F7" s="165" t="s">
        <v>12</v>
      </c>
      <c r="G7" s="153" t="s">
        <v>13</v>
      </c>
      <c r="H7" s="153" t="s">
        <v>14</v>
      </c>
      <c r="I7" s="115"/>
    </row>
    <row r="8" spans="1:9" x14ac:dyDescent="0.3">
      <c r="A8" s="189" t="s">
        <v>141</v>
      </c>
      <c r="B8" s="110" t="s">
        <v>142</v>
      </c>
      <c r="C8" s="72" t="s">
        <v>655</v>
      </c>
      <c r="D8" s="72" t="s">
        <v>655</v>
      </c>
      <c r="E8" s="72" t="s">
        <v>656</v>
      </c>
      <c r="F8" s="73" t="s">
        <v>655</v>
      </c>
      <c r="G8" s="72" t="s">
        <v>655</v>
      </c>
      <c r="H8" s="72" t="s">
        <v>656</v>
      </c>
      <c r="I8" s="115"/>
    </row>
    <row r="9" spans="1:9" x14ac:dyDescent="0.3">
      <c r="A9" s="326" t="s">
        <v>143</v>
      </c>
      <c r="B9" s="274" t="s">
        <v>144</v>
      </c>
      <c r="C9" s="72" t="s">
        <v>661</v>
      </c>
      <c r="D9" s="72" t="s">
        <v>655</v>
      </c>
      <c r="E9" s="72" t="s">
        <v>468</v>
      </c>
      <c r="F9" s="73" t="s">
        <v>517</v>
      </c>
      <c r="G9" s="72" t="s">
        <v>662</v>
      </c>
      <c r="H9" s="72" t="s">
        <v>532</v>
      </c>
      <c r="I9" s="115"/>
    </row>
    <row r="10" spans="1:9" x14ac:dyDescent="0.3">
      <c r="A10" s="326"/>
      <c r="B10" s="274"/>
      <c r="C10" s="72" t="s">
        <v>663</v>
      </c>
      <c r="D10" s="72" t="s">
        <v>657</v>
      </c>
      <c r="E10" s="72" t="s">
        <v>505</v>
      </c>
      <c r="F10" s="73" t="s">
        <v>505</v>
      </c>
      <c r="G10" s="72" t="s">
        <v>664</v>
      </c>
      <c r="H10" s="72" t="s">
        <v>665</v>
      </c>
      <c r="I10" s="115"/>
    </row>
    <row r="11" spans="1:9" ht="28.8" x14ac:dyDescent="0.3">
      <c r="A11" s="189" t="s">
        <v>145</v>
      </c>
      <c r="B11" s="110" t="s">
        <v>200</v>
      </c>
      <c r="C11" s="72">
        <v>0</v>
      </c>
      <c r="D11" s="72">
        <v>0</v>
      </c>
      <c r="E11" s="72">
        <v>0</v>
      </c>
      <c r="F11" s="73">
        <v>0</v>
      </c>
      <c r="G11" s="72">
        <v>0</v>
      </c>
      <c r="H11" s="72">
        <v>0</v>
      </c>
      <c r="I11" s="115"/>
    </row>
    <row r="12" spans="1:9" x14ac:dyDescent="0.3">
      <c r="A12" s="237" t="s">
        <v>107</v>
      </c>
      <c r="B12" s="274" t="s">
        <v>146</v>
      </c>
      <c r="C12" s="72" t="s">
        <v>440</v>
      </c>
      <c r="D12" s="72" t="s">
        <v>440</v>
      </c>
      <c r="E12" s="72" t="s">
        <v>440</v>
      </c>
      <c r="F12" s="73" t="s">
        <v>440</v>
      </c>
      <c r="G12" s="72" t="s">
        <v>440</v>
      </c>
      <c r="H12" s="72" t="s">
        <v>440</v>
      </c>
      <c r="I12" s="115"/>
    </row>
    <row r="13" spans="1:9" x14ac:dyDescent="0.3">
      <c r="A13" s="237"/>
      <c r="B13" s="274"/>
      <c r="C13" s="72" t="s">
        <v>659</v>
      </c>
      <c r="D13" s="72" t="s">
        <v>659</v>
      </c>
      <c r="E13" s="72" t="s">
        <v>659</v>
      </c>
      <c r="F13" s="73" t="s">
        <v>659</v>
      </c>
      <c r="G13" s="72" t="s">
        <v>659</v>
      </c>
      <c r="H13" s="72" t="s">
        <v>659</v>
      </c>
      <c r="I13" s="115"/>
    </row>
    <row r="14" spans="1:9" x14ac:dyDescent="0.3">
      <c r="A14" s="237" t="s">
        <v>147</v>
      </c>
      <c r="B14" s="274" t="s">
        <v>148</v>
      </c>
      <c r="C14" s="72" t="s">
        <v>440</v>
      </c>
      <c r="D14" s="72" t="s">
        <v>440</v>
      </c>
      <c r="E14" s="72" t="s">
        <v>440</v>
      </c>
      <c r="F14" s="73" t="s">
        <v>440</v>
      </c>
      <c r="G14" s="72" t="s">
        <v>440</v>
      </c>
      <c r="H14" s="72" t="s">
        <v>440</v>
      </c>
      <c r="I14" s="115"/>
    </row>
    <row r="15" spans="1:9" x14ac:dyDescent="0.3">
      <c r="A15" s="237"/>
      <c r="B15" s="274"/>
      <c r="C15" s="72" t="s">
        <v>659</v>
      </c>
      <c r="D15" s="72" t="s">
        <v>659</v>
      </c>
      <c r="E15" s="72" t="s">
        <v>659</v>
      </c>
      <c r="F15" s="73" t="s">
        <v>659</v>
      </c>
      <c r="G15" s="72" t="s">
        <v>659</v>
      </c>
      <c r="H15" s="72" t="s">
        <v>659</v>
      </c>
      <c r="I15" s="115"/>
    </row>
    <row r="16" spans="1:9" x14ac:dyDescent="0.3">
      <c r="A16" s="237" t="s">
        <v>149</v>
      </c>
      <c r="B16" s="274" t="s">
        <v>270</v>
      </c>
      <c r="C16" s="72" t="s">
        <v>440</v>
      </c>
      <c r="D16" s="72" t="s">
        <v>440</v>
      </c>
      <c r="E16" s="72" t="s">
        <v>440</v>
      </c>
      <c r="F16" s="73" t="s">
        <v>440</v>
      </c>
      <c r="G16" s="72" t="s">
        <v>440</v>
      </c>
      <c r="H16" s="72" t="s">
        <v>440</v>
      </c>
      <c r="I16" s="115"/>
    </row>
    <row r="17" spans="1:9" x14ac:dyDescent="0.3">
      <c r="A17" s="237"/>
      <c r="B17" s="274"/>
      <c r="C17" s="72" t="s">
        <v>659</v>
      </c>
      <c r="D17" s="72" t="s">
        <v>659</v>
      </c>
      <c r="E17" s="72" t="s">
        <v>659</v>
      </c>
      <c r="F17" s="73" t="s">
        <v>659</v>
      </c>
      <c r="G17" s="72" t="s">
        <v>659</v>
      </c>
      <c r="H17" s="72" t="s">
        <v>659</v>
      </c>
      <c r="I17" s="115"/>
    </row>
    <row r="18" spans="1:9" x14ac:dyDescent="0.3">
      <c r="A18" s="237" t="s">
        <v>150</v>
      </c>
      <c r="B18" s="274" t="s">
        <v>151</v>
      </c>
      <c r="C18" s="72" t="s">
        <v>440</v>
      </c>
      <c r="D18" s="72" t="s">
        <v>440</v>
      </c>
      <c r="E18" s="72" t="s">
        <v>440</v>
      </c>
      <c r="F18" s="73" t="s">
        <v>440</v>
      </c>
      <c r="G18" s="72" t="s">
        <v>440</v>
      </c>
      <c r="H18" s="72" t="s">
        <v>440</v>
      </c>
      <c r="I18" s="115"/>
    </row>
    <row r="19" spans="1:9" x14ac:dyDescent="0.3">
      <c r="A19" s="237"/>
      <c r="B19" s="274"/>
      <c r="C19" s="72" t="s">
        <v>659</v>
      </c>
      <c r="D19" s="72" t="s">
        <v>659</v>
      </c>
      <c r="E19" s="72" t="s">
        <v>659</v>
      </c>
      <c r="F19" s="73" t="s">
        <v>659</v>
      </c>
      <c r="G19" s="72" t="s">
        <v>659</v>
      </c>
      <c r="H19" s="72" t="s">
        <v>659</v>
      </c>
      <c r="I19" s="115"/>
    </row>
    <row r="20" spans="1:9" x14ac:dyDescent="0.3">
      <c r="A20" s="237" t="s">
        <v>152</v>
      </c>
      <c r="B20" s="274" t="s">
        <v>153</v>
      </c>
      <c r="C20" s="72" t="s">
        <v>440</v>
      </c>
      <c r="D20" s="72" t="s">
        <v>440</v>
      </c>
      <c r="E20" s="72" t="s">
        <v>440</v>
      </c>
      <c r="F20" s="73" t="s">
        <v>440</v>
      </c>
      <c r="G20" s="72" t="s">
        <v>440</v>
      </c>
      <c r="H20" s="72" t="s">
        <v>440</v>
      </c>
      <c r="I20" s="115"/>
    </row>
    <row r="21" spans="1:9" x14ac:dyDescent="0.3">
      <c r="A21" s="237"/>
      <c r="B21" s="274"/>
      <c r="C21" s="72" t="s">
        <v>659</v>
      </c>
      <c r="D21" s="72" t="s">
        <v>659</v>
      </c>
      <c r="E21" s="72" t="s">
        <v>659</v>
      </c>
      <c r="F21" s="73" t="s">
        <v>659</v>
      </c>
      <c r="G21" s="72" t="s">
        <v>659</v>
      </c>
      <c r="H21" s="72" t="s">
        <v>659</v>
      </c>
      <c r="I21" s="115"/>
    </row>
    <row r="22" spans="1:9" x14ac:dyDescent="0.3">
      <c r="A22" s="237" t="s">
        <v>154</v>
      </c>
      <c r="B22" s="274" t="s">
        <v>202</v>
      </c>
      <c r="C22" s="72" t="s">
        <v>440</v>
      </c>
      <c r="D22" s="72" t="s">
        <v>440</v>
      </c>
      <c r="E22" s="72" t="s">
        <v>440</v>
      </c>
      <c r="F22" s="73" t="s">
        <v>440</v>
      </c>
      <c r="G22" s="72" t="s">
        <v>440</v>
      </c>
      <c r="H22" s="72" t="s">
        <v>440</v>
      </c>
      <c r="I22" s="115"/>
    </row>
    <row r="23" spans="1:9" x14ac:dyDescent="0.3">
      <c r="A23" s="237"/>
      <c r="B23" s="274"/>
      <c r="C23" s="72" t="s">
        <v>659</v>
      </c>
      <c r="D23" s="72" t="s">
        <v>659</v>
      </c>
      <c r="E23" s="72" t="s">
        <v>659</v>
      </c>
      <c r="F23" s="73" t="s">
        <v>659</v>
      </c>
      <c r="G23" s="72" t="s">
        <v>659</v>
      </c>
      <c r="H23" s="72" t="s">
        <v>659</v>
      </c>
      <c r="I23" s="115"/>
    </row>
    <row r="24" spans="1:9" x14ac:dyDescent="0.3">
      <c r="A24" s="237" t="s">
        <v>155</v>
      </c>
      <c r="B24" s="274" t="s">
        <v>156</v>
      </c>
      <c r="C24" s="72" t="s">
        <v>440</v>
      </c>
      <c r="D24" s="72" t="s">
        <v>440</v>
      </c>
      <c r="E24" s="72" t="s">
        <v>440</v>
      </c>
      <c r="F24" s="73" t="s">
        <v>440</v>
      </c>
      <c r="G24" s="72" t="s">
        <v>440</v>
      </c>
      <c r="H24" s="72" t="s">
        <v>440</v>
      </c>
      <c r="I24" s="115"/>
    </row>
    <row r="25" spans="1:9" x14ac:dyDescent="0.3">
      <c r="A25" s="237"/>
      <c r="B25" s="274"/>
      <c r="C25" s="72" t="s">
        <v>659</v>
      </c>
      <c r="D25" s="72" t="s">
        <v>659</v>
      </c>
      <c r="E25" s="72" t="s">
        <v>659</v>
      </c>
      <c r="F25" s="73" t="s">
        <v>659</v>
      </c>
      <c r="G25" s="72" t="s">
        <v>659</v>
      </c>
      <c r="H25" s="72" t="s">
        <v>659</v>
      </c>
      <c r="I25" s="115"/>
    </row>
    <row r="26" spans="1:9" x14ac:dyDescent="0.3">
      <c r="A26" s="189" t="s">
        <v>157</v>
      </c>
      <c r="B26" s="110" t="s">
        <v>158</v>
      </c>
      <c r="C26" s="72">
        <v>0</v>
      </c>
      <c r="D26" s="72">
        <v>0</v>
      </c>
      <c r="E26" s="72">
        <v>0</v>
      </c>
      <c r="F26" s="73">
        <v>0</v>
      </c>
      <c r="G26" s="72">
        <v>0</v>
      </c>
      <c r="H26" s="72">
        <v>0</v>
      </c>
      <c r="I26" s="115"/>
    </row>
    <row r="27" spans="1:9" x14ac:dyDescent="0.3">
      <c r="A27" s="237" t="s">
        <v>107</v>
      </c>
      <c r="B27" s="274" t="s">
        <v>159</v>
      </c>
      <c r="C27" s="72" t="s">
        <v>440</v>
      </c>
      <c r="D27" s="72" t="s">
        <v>440</v>
      </c>
      <c r="E27" s="72" t="s">
        <v>440</v>
      </c>
      <c r="F27" s="73" t="s">
        <v>440</v>
      </c>
      <c r="G27" s="72" t="s">
        <v>440</v>
      </c>
      <c r="H27" s="72" t="s">
        <v>440</v>
      </c>
      <c r="I27" s="115"/>
    </row>
    <row r="28" spans="1:9" x14ac:dyDescent="0.3">
      <c r="A28" s="237"/>
      <c r="B28" s="274"/>
      <c r="C28" s="72" t="s">
        <v>659</v>
      </c>
      <c r="D28" s="72" t="s">
        <v>659</v>
      </c>
      <c r="E28" s="72" t="s">
        <v>659</v>
      </c>
      <c r="F28" s="73" t="s">
        <v>659</v>
      </c>
      <c r="G28" s="72" t="s">
        <v>659</v>
      </c>
      <c r="H28" s="72" t="s">
        <v>659</v>
      </c>
      <c r="I28" s="115"/>
    </row>
    <row r="29" spans="1:9" x14ac:dyDescent="0.3">
      <c r="A29" s="237" t="s">
        <v>147</v>
      </c>
      <c r="B29" s="274" t="s">
        <v>160</v>
      </c>
      <c r="C29" s="72" t="s">
        <v>440</v>
      </c>
      <c r="D29" s="72" t="s">
        <v>440</v>
      </c>
      <c r="E29" s="72" t="s">
        <v>440</v>
      </c>
      <c r="F29" s="73" t="s">
        <v>440</v>
      </c>
      <c r="G29" s="72" t="s">
        <v>439</v>
      </c>
      <c r="H29" s="72" t="s">
        <v>439</v>
      </c>
      <c r="I29" s="115"/>
    </row>
    <row r="30" spans="1:9" x14ac:dyDescent="0.3">
      <c r="A30" s="237"/>
      <c r="B30" s="274"/>
      <c r="C30" s="72" t="s">
        <v>659</v>
      </c>
      <c r="D30" s="72" t="s">
        <v>659</v>
      </c>
      <c r="E30" s="72" t="s">
        <v>659</v>
      </c>
      <c r="F30" s="73" t="s">
        <v>659</v>
      </c>
      <c r="G30" s="72" t="s">
        <v>666</v>
      </c>
      <c r="H30" s="72" t="s">
        <v>667</v>
      </c>
      <c r="I30" s="115"/>
    </row>
    <row r="31" spans="1:9" x14ac:dyDescent="0.3">
      <c r="A31" s="237" t="s">
        <v>149</v>
      </c>
      <c r="B31" s="274" t="s">
        <v>203</v>
      </c>
      <c r="C31" s="72" t="s">
        <v>440</v>
      </c>
      <c r="D31" s="72" t="s">
        <v>440</v>
      </c>
      <c r="E31" s="72" t="s">
        <v>440</v>
      </c>
      <c r="F31" s="73" t="s">
        <v>440</v>
      </c>
      <c r="G31" s="72" t="s">
        <v>440</v>
      </c>
      <c r="H31" s="72" t="s">
        <v>440</v>
      </c>
      <c r="I31" s="115"/>
    </row>
    <row r="32" spans="1:9" x14ac:dyDescent="0.3">
      <c r="A32" s="237"/>
      <c r="B32" s="274"/>
      <c r="C32" s="72" t="s">
        <v>659</v>
      </c>
      <c r="D32" s="72" t="s">
        <v>659</v>
      </c>
      <c r="E32" s="72" t="s">
        <v>659</v>
      </c>
      <c r="F32" s="73" t="s">
        <v>659</v>
      </c>
      <c r="G32" s="72" t="s">
        <v>659</v>
      </c>
      <c r="H32" s="72" t="s">
        <v>659</v>
      </c>
      <c r="I32" s="115"/>
    </row>
    <row r="33" spans="1:9" x14ac:dyDescent="0.3">
      <c r="A33" s="237" t="s">
        <v>150</v>
      </c>
      <c r="B33" s="274" t="s">
        <v>161</v>
      </c>
      <c r="C33" s="72" t="s">
        <v>440</v>
      </c>
      <c r="D33" s="72" t="s">
        <v>440</v>
      </c>
      <c r="E33" s="72" t="s">
        <v>440</v>
      </c>
      <c r="F33" s="73" t="s">
        <v>440</v>
      </c>
      <c r="G33" s="72" t="s">
        <v>440</v>
      </c>
      <c r="H33" s="72" t="s">
        <v>440</v>
      </c>
      <c r="I33" s="115"/>
    </row>
    <row r="34" spans="1:9" x14ac:dyDescent="0.3">
      <c r="A34" s="237"/>
      <c r="B34" s="274"/>
      <c r="C34" s="72" t="s">
        <v>659</v>
      </c>
      <c r="D34" s="72" t="s">
        <v>659</v>
      </c>
      <c r="E34" s="72" t="s">
        <v>659</v>
      </c>
      <c r="F34" s="73" t="s">
        <v>659</v>
      </c>
      <c r="G34" s="72" t="s">
        <v>659</v>
      </c>
      <c r="H34" s="72" t="s">
        <v>659</v>
      </c>
      <c r="I34" s="115"/>
    </row>
    <row r="35" spans="1:9" x14ac:dyDescent="0.3">
      <c r="A35" s="237" t="s">
        <v>152</v>
      </c>
      <c r="B35" s="274" t="s">
        <v>162</v>
      </c>
      <c r="C35" s="72" t="s">
        <v>440</v>
      </c>
      <c r="D35" s="72" t="s">
        <v>440</v>
      </c>
      <c r="E35" s="72" t="s">
        <v>440</v>
      </c>
      <c r="F35" s="73" t="s">
        <v>439</v>
      </c>
      <c r="G35" s="72" t="s">
        <v>440</v>
      </c>
      <c r="H35" s="72" t="s">
        <v>439</v>
      </c>
      <c r="I35" s="115"/>
    </row>
    <row r="36" spans="1:9" x14ac:dyDescent="0.3">
      <c r="A36" s="237"/>
      <c r="B36" s="274"/>
      <c r="C36" s="72" t="s">
        <v>659</v>
      </c>
      <c r="D36" s="72" t="s">
        <v>659</v>
      </c>
      <c r="E36" s="72" t="s">
        <v>659</v>
      </c>
      <c r="F36" s="73" t="s">
        <v>666</v>
      </c>
      <c r="G36" s="72" t="s">
        <v>659</v>
      </c>
      <c r="H36" s="72" t="s">
        <v>667</v>
      </c>
      <c r="I36" s="115"/>
    </row>
    <row r="37" spans="1:9" x14ac:dyDescent="0.3">
      <c r="A37" s="237" t="s">
        <v>154</v>
      </c>
      <c r="B37" s="274" t="s">
        <v>163</v>
      </c>
      <c r="C37" s="72" t="s">
        <v>440</v>
      </c>
      <c r="D37" s="72" t="s">
        <v>440</v>
      </c>
      <c r="E37" s="72" t="s">
        <v>440</v>
      </c>
      <c r="F37" s="73" t="s">
        <v>440</v>
      </c>
      <c r="G37" s="72" t="s">
        <v>440</v>
      </c>
      <c r="H37" s="72" t="s">
        <v>440</v>
      </c>
      <c r="I37" s="115"/>
    </row>
    <row r="38" spans="1:9" x14ac:dyDescent="0.3">
      <c r="A38" s="237"/>
      <c r="B38" s="274"/>
      <c r="C38" s="72" t="s">
        <v>659</v>
      </c>
      <c r="D38" s="72" t="s">
        <v>659</v>
      </c>
      <c r="E38" s="72" t="s">
        <v>659</v>
      </c>
      <c r="F38" s="73" t="s">
        <v>659</v>
      </c>
      <c r="G38" s="72" t="s">
        <v>659</v>
      </c>
      <c r="H38" s="72" t="s">
        <v>659</v>
      </c>
      <c r="I38" s="115"/>
    </row>
    <row r="39" spans="1:9" x14ac:dyDescent="0.3">
      <c r="A39" s="326" t="s">
        <v>164</v>
      </c>
      <c r="B39" s="274" t="s">
        <v>271</v>
      </c>
      <c r="C39" s="72" t="s">
        <v>440</v>
      </c>
      <c r="D39" s="72" t="s">
        <v>440</v>
      </c>
      <c r="E39" s="72" t="s">
        <v>440</v>
      </c>
      <c r="F39" s="73" t="s">
        <v>440</v>
      </c>
      <c r="G39" s="72" t="s">
        <v>440</v>
      </c>
      <c r="H39" s="72" t="s">
        <v>440</v>
      </c>
      <c r="I39" s="115"/>
    </row>
    <row r="40" spans="1:9" x14ac:dyDescent="0.3">
      <c r="A40" s="326"/>
      <c r="B40" s="274"/>
      <c r="C40" s="72" t="s">
        <v>659</v>
      </c>
      <c r="D40" s="72" t="s">
        <v>659</v>
      </c>
      <c r="E40" s="72" t="s">
        <v>659</v>
      </c>
      <c r="F40" s="73" t="s">
        <v>659</v>
      </c>
      <c r="G40" s="72" t="s">
        <v>659</v>
      </c>
      <c r="H40" s="72" t="s">
        <v>659</v>
      </c>
      <c r="I40" s="115"/>
    </row>
    <row r="41" spans="1:9" x14ac:dyDescent="0.3">
      <c r="A41" s="326" t="s">
        <v>166</v>
      </c>
      <c r="B41" s="274" t="s">
        <v>204</v>
      </c>
      <c r="C41" s="72" t="s">
        <v>440</v>
      </c>
      <c r="D41" s="72" t="s">
        <v>440</v>
      </c>
      <c r="E41" s="72" t="s">
        <v>440</v>
      </c>
      <c r="F41" s="73" t="s">
        <v>440</v>
      </c>
      <c r="G41" s="72" t="s">
        <v>440</v>
      </c>
      <c r="H41" s="72" t="s">
        <v>440</v>
      </c>
      <c r="I41" s="115"/>
    </row>
    <row r="42" spans="1:9" x14ac:dyDescent="0.3">
      <c r="A42" s="326"/>
      <c r="B42" s="274"/>
      <c r="C42" s="72" t="s">
        <v>659</v>
      </c>
      <c r="D42" s="72" t="s">
        <v>659</v>
      </c>
      <c r="E42" s="72" t="s">
        <v>659</v>
      </c>
      <c r="F42" s="73" t="s">
        <v>659</v>
      </c>
      <c r="G42" s="72" t="s">
        <v>659</v>
      </c>
      <c r="H42" s="72" t="s">
        <v>659</v>
      </c>
      <c r="I42" s="115"/>
    </row>
    <row r="43" spans="1:9" x14ac:dyDescent="0.3">
      <c r="A43" s="326" t="s">
        <v>167</v>
      </c>
      <c r="B43" s="274" t="s">
        <v>168</v>
      </c>
      <c r="C43" s="72" t="s">
        <v>523</v>
      </c>
      <c r="D43" s="72" t="s">
        <v>440</v>
      </c>
      <c r="E43" s="72" t="s">
        <v>523</v>
      </c>
      <c r="F43" s="73" t="s">
        <v>442</v>
      </c>
      <c r="G43" s="72" t="s">
        <v>440</v>
      </c>
      <c r="H43" s="72" t="s">
        <v>442</v>
      </c>
      <c r="I43" s="115"/>
    </row>
    <row r="44" spans="1:9" ht="15" thickBot="1" x14ac:dyDescent="0.35">
      <c r="A44" s="327"/>
      <c r="B44" s="328"/>
      <c r="C44" s="86" t="s">
        <v>668</v>
      </c>
      <c r="D44" s="86" t="s">
        <v>659</v>
      </c>
      <c r="E44" s="86" t="s">
        <v>669</v>
      </c>
      <c r="F44" s="87" t="s">
        <v>669</v>
      </c>
      <c r="G44" s="86" t="s">
        <v>659</v>
      </c>
      <c r="H44" s="86" t="s">
        <v>666</v>
      </c>
      <c r="I44" s="115"/>
    </row>
    <row r="45" spans="1:9" ht="15" thickTop="1" x14ac:dyDescent="0.3">
      <c r="A45" s="138"/>
      <c r="B45" s="101"/>
      <c r="C45" s="101"/>
      <c r="D45" s="101"/>
      <c r="E45" s="101"/>
      <c r="F45" s="101"/>
      <c r="G45" s="101"/>
      <c r="H45" s="101"/>
      <c r="I45" s="115"/>
    </row>
    <row r="46" spans="1:9" x14ac:dyDescent="0.3">
      <c r="A46" s="237" t="s">
        <v>116</v>
      </c>
      <c r="B46" s="237"/>
      <c r="C46" s="237"/>
      <c r="D46" s="237"/>
      <c r="E46" s="237"/>
      <c r="F46" s="237"/>
      <c r="G46" s="237"/>
      <c r="H46" s="237"/>
      <c r="I46" s="115"/>
    </row>
    <row r="47" spans="1:9" x14ac:dyDescent="0.3">
      <c r="A47" s="314" t="s">
        <v>580</v>
      </c>
      <c r="B47" s="314"/>
      <c r="C47" s="314"/>
      <c r="D47" s="314"/>
      <c r="E47" s="314"/>
      <c r="F47" s="314"/>
      <c r="G47" s="238" t="s">
        <v>653</v>
      </c>
      <c r="H47" s="238"/>
      <c r="I47" s="115"/>
    </row>
    <row r="48" spans="1:9" x14ac:dyDescent="0.3">
      <c r="A48" s="241" t="str">
        <f>$A$3</f>
        <v>DEPARTURE FROM PRESCRIBED PROCEDURE IN EXPERIMENTS AND DISCREPANCIES IN REPORTING ANCILLARY INFORMATION DURING 2023-24 AND 2022-23.</v>
      </c>
      <c r="B48" s="241"/>
      <c r="C48" s="241"/>
      <c r="D48" s="241"/>
      <c r="E48" s="241"/>
      <c r="F48" s="241"/>
      <c r="G48" s="241"/>
      <c r="H48" s="241"/>
      <c r="I48" s="115"/>
    </row>
    <row r="49" spans="1:9" x14ac:dyDescent="0.3">
      <c r="A49" s="320" t="str">
        <f>year!$I$3</f>
        <v>SEASON : RABI II</v>
      </c>
      <c r="B49" s="320"/>
      <c r="C49" s="321"/>
      <c r="D49" s="321"/>
      <c r="E49" s="321"/>
      <c r="F49" s="321"/>
      <c r="G49" s="321"/>
      <c r="H49" s="321"/>
      <c r="I49" s="115"/>
    </row>
    <row r="50" spans="1:9" x14ac:dyDescent="0.3">
      <c r="A50" s="242" t="s">
        <v>654</v>
      </c>
      <c r="B50" s="242"/>
      <c r="C50" s="322" t="str">
        <f>year!$J$4</f>
        <v>YEAR 2023-24</v>
      </c>
      <c r="D50" s="322"/>
      <c r="E50" s="322"/>
      <c r="F50" s="323" t="str">
        <f>year!$J$5</f>
        <v>YEAR 2022-23</v>
      </c>
      <c r="G50" s="324"/>
      <c r="H50" s="324"/>
      <c r="I50" s="115"/>
    </row>
    <row r="51" spans="1:9" x14ac:dyDescent="0.3">
      <c r="A51" s="243"/>
      <c r="B51" s="243"/>
      <c r="C51" s="153" t="s">
        <v>120</v>
      </c>
      <c r="D51" s="153" t="s">
        <v>17</v>
      </c>
      <c r="E51" s="153" t="s">
        <v>18</v>
      </c>
      <c r="F51" s="165" t="s">
        <v>120</v>
      </c>
      <c r="G51" s="153" t="s">
        <v>17</v>
      </c>
      <c r="H51" s="153" t="s">
        <v>18</v>
      </c>
      <c r="I51" s="115"/>
    </row>
    <row r="52" spans="1:9" x14ac:dyDescent="0.3">
      <c r="A52" s="325" t="s">
        <v>8</v>
      </c>
      <c r="B52" s="325"/>
      <c r="C52" s="153" t="s">
        <v>9</v>
      </c>
      <c r="D52" s="153" t="s">
        <v>10</v>
      </c>
      <c r="E52" s="153" t="s">
        <v>11</v>
      </c>
      <c r="F52" s="165" t="s">
        <v>12</v>
      </c>
      <c r="G52" s="153" t="s">
        <v>13</v>
      </c>
      <c r="H52" s="153" t="s">
        <v>14</v>
      </c>
      <c r="I52" s="115"/>
    </row>
    <row r="53" spans="1:9" x14ac:dyDescent="0.3">
      <c r="A53" s="189" t="s">
        <v>141</v>
      </c>
      <c r="B53" s="110" t="s">
        <v>142</v>
      </c>
      <c r="C53" s="72" t="s">
        <v>655</v>
      </c>
      <c r="D53" s="72" t="s">
        <v>655</v>
      </c>
      <c r="E53" s="72" t="s">
        <v>656</v>
      </c>
      <c r="F53" s="73" t="s">
        <v>655</v>
      </c>
      <c r="G53" s="72" t="s">
        <v>655</v>
      </c>
      <c r="H53" s="72" t="s">
        <v>656</v>
      </c>
      <c r="I53" s="115"/>
    </row>
    <row r="54" spans="1:9" x14ac:dyDescent="0.3">
      <c r="A54" s="326" t="s">
        <v>143</v>
      </c>
      <c r="B54" s="274" t="s">
        <v>144</v>
      </c>
      <c r="C54" s="72" t="s">
        <v>517</v>
      </c>
      <c r="D54" s="72" t="s">
        <v>655</v>
      </c>
      <c r="E54" s="72" t="s">
        <v>473</v>
      </c>
      <c r="F54" s="73" t="s">
        <v>655</v>
      </c>
      <c r="G54" s="72" t="s">
        <v>662</v>
      </c>
      <c r="H54" s="72" t="s">
        <v>670</v>
      </c>
      <c r="I54" s="115"/>
    </row>
    <row r="55" spans="1:9" x14ac:dyDescent="0.3">
      <c r="A55" s="326"/>
      <c r="B55" s="274"/>
      <c r="C55" s="72" t="s">
        <v>505</v>
      </c>
      <c r="D55" s="72" t="s">
        <v>657</v>
      </c>
      <c r="E55" s="72" t="s">
        <v>664</v>
      </c>
      <c r="F55" s="73" t="s">
        <v>657</v>
      </c>
      <c r="G55" s="72" t="s">
        <v>664</v>
      </c>
      <c r="H55" s="72" t="s">
        <v>671</v>
      </c>
      <c r="I55" s="115"/>
    </row>
    <row r="56" spans="1:9" ht="28.8" x14ac:dyDescent="0.3">
      <c r="A56" s="189" t="s">
        <v>145</v>
      </c>
      <c r="B56" s="110" t="s">
        <v>200</v>
      </c>
      <c r="C56" s="72">
        <v>0</v>
      </c>
      <c r="D56" s="72">
        <v>0</v>
      </c>
      <c r="E56" s="72">
        <v>0</v>
      </c>
      <c r="F56" s="73">
        <v>0</v>
      </c>
      <c r="G56" s="72">
        <v>0</v>
      </c>
      <c r="H56" s="72">
        <v>0</v>
      </c>
      <c r="I56" s="115"/>
    </row>
    <row r="57" spans="1:9" x14ac:dyDescent="0.3">
      <c r="A57" s="237" t="s">
        <v>107</v>
      </c>
      <c r="B57" s="274" t="s">
        <v>146</v>
      </c>
      <c r="C57" s="72" t="s">
        <v>440</v>
      </c>
      <c r="D57" s="72" t="s">
        <v>440</v>
      </c>
      <c r="E57" s="72" t="s">
        <v>440</v>
      </c>
      <c r="F57" s="73" t="s">
        <v>440</v>
      </c>
      <c r="G57" s="72" t="s">
        <v>440</v>
      </c>
      <c r="H57" s="72" t="s">
        <v>440</v>
      </c>
      <c r="I57" s="115"/>
    </row>
    <row r="58" spans="1:9" x14ac:dyDescent="0.3">
      <c r="A58" s="237"/>
      <c r="B58" s="274"/>
      <c r="C58" s="72" t="s">
        <v>659</v>
      </c>
      <c r="D58" s="72" t="s">
        <v>659</v>
      </c>
      <c r="E58" s="72" t="s">
        <v>659</v>
      </c>
      <c r="F58" s="73" t="s">
        <v>659</v>
      </c>
      <c r="G58" s="72" t="s">
        <v>659</v>
      </c>
      <c r="H58" s="72" t="s">
        <v>659</v>
      </c>
      <c r="I58" s="115"/>
    </row>
    <row r="59" spans="1:9" x14ac:dyDescent="0.3">
      <c r="A59" s="237" t="s">
        <v>147</v>
      </c>
      <c r="B59" s="274" t="s">
        <v>148</v>
      </c>
      <c r="C59" s="72" t="s">
        <v>440</v>
      </c>
      <c r="D59" s="72" t="s">
        <v>440</v>
      </c>
      <c r="E59" s="72" t="s">
        <v>440</v>
      </c>
      <c r="F59" s="73" t="s">
        <v>440</v>
      </c>
      <c r="G59" s="72" t="s">
        <v>440</v>
      </c>
      <c r="H59" s="72" t="s">
        <v>440</v>
      </c>
      <c r="I59" s="115"/>
    </row>
    <row r="60" spans="1:9" x14ac:dyDescent="0.3">
      <c r="A60" s="237"/>
      <c r="B60" s="274"/>
      <c r="C60" s="72" t="s">
        <v>659</v>
      </c>
      <c r="D60" s="72" t="s">
        <v>659</v>
      </c>
      <c r="E60" s="72" t="s">
        <v>659</v>
      </c>
      <c r="F60" s="73" t="s">
        <v>659</v>
      </c>
      <c r="G60" s="72" t="s">
        <v>659</v>
      </c>
      <c r="H60" s="72" t="s">
        <v>659</v>
      </c>
      <c r="I60" s="115"/>
    </row>
    <row r="61" spans="1:9" x14ac:dyDescent="0.3">
      <c r="A61" s="237" t="s">
        <v>149</v>
      </c>
      <c r="B61" s="274" t="s">
        <v>201</v>
      </c>
      <c r="C61" s="72" t="s">
        <v>440</v>
      </c>
      <c r="D61" s="72" t="s">
        <v>440</v>
      </c>
      <c r="E61" s="72" t="s">
        <v>440</v>
      </c>
      <c r="F61" s="73" t="s">
        <v>440</v>
      </c>
      <c r="G61" s="72" t="s">
        <v>440</v>
      </c>
      <c r="H61" s="72" t="s">
        <v>440</v>
      </c>
      <c r="I61" s="115"/>
    </row>
    <row r="62" spans="1:9" x14ac:dyDescent="0.3">
      <c r="A62" s="237"/>
      <c r="B62" s="274"/>
      <c r="C62" s="72" t="s">
        <v>659</v>
      </c>
      <c r="D62" s="72" t="s">
        <v>659</v>
      </c>
      <c r="E62" s="72" t="s">
        <v>659</v>
      </c>
      <c r="F62" s="73" t="s">
        <v>659</v>
      </c>
      <c r="G62" s="72" t="s">
        <v>659</v>
      </c>
      <c r="H62" s="72" t="s">
        <v>659</v>
      </c>
      <c r="I62" s="115"/>
    </row>
    <row r="63" spans="1:9" x14ac:dyDescent="0.3">
      <c r="A63" s="237" t="s">
        <v>150</v>
      </c>
      <c r="B63" s="274" t="s">
        <v>151</v>
      </c>
      <c r="C63" s="72" t="s">
        <v>440</v>
      </c>
      <c r="D63" s="72" t="s">
        <v>440</v>
      </c>
      <c r="E63" s="72" t="s">
        <v>440</v>
      </c>
      <c r="F63" s="73" t="s">
        <v>440</v>
      </c>
      <c r="G63" s="72" t="s">
        <v>440</v>
      </c>
      <c r="H63" s="72" t="s">
        <v>440</v>
      </c>
      <c r="I63" s="115"/>
    </row>
    <row r="64" spans="1:9" x14ac:dyDescent="0.3">
      <c r="A64" s="237"/>
      <c r="B64" s="274"/>
      <c r="C64" s="72" t="s">
        <v>659</v>
      </c>
      <c r="D64" s="72" t="s">
        <v>659</v>
      </c>
      <c r="E64" s="72" t="s">
        <v>659</v>
      </c>
      <c r="F64" s="73" t="s">
        <v>659</v>
      </c>
      <c r="G64" s="72" t="s">
        <v>659</v>
      </c>
      <c r="H64" s="72" t="s">
        <v>659</v>
      </c>
      <c r="I64" s="115"/>
    </row>
    <row r="65" spans="1:9" x14ac:dyDescent="0.3">
      <c r="A65" s="237" t="s">
        <v>152</v>
      </c>
      <c r="B65" s="274" t="s">
        <v>153</v>
      </c>
      <c r="C65" s="72" t="s">
        <v>440</v>
      </c>
      <c r="D65" s="72" t="s">
        <v>440</v>
      </c>
      <c r="E65" s="72" t="s">
        <v>440</v>
      </c>
      <c r="F65" s="73" t="s">
        <v>440</v>
      </c>
      <c r="G65" s="72" t="s">
        <v>440</v>
      </c>
      <c r="H65" s="72" t="s">
        <v>440</v>
      </c>
      <c r="I65" s="115"/>
    </row>
    <row r="66" spans="1:9" x14ac:dyDescent="0.3">
      <c r="A66" s="237"/>
      <c r="B66" s="274"/>
      <c r="C66" s="72" t="s">
        <v>659</v>
      </c>
      <c r="D66" s="72" t="s">
        <v>659</v>
      </c>
      <c r="E66" s="72" t="s">
        <v>659</v>
      </c>
      <c r="F66" s="73" t="s">
        <v>659</v>
      </c>
      <c r="G66" s="72" t="s">
        <v>659</v>
      </c>
      <c r="H66" s="72" t="s">
        <v>659</v>
      </c>
      <c r="I66" s="115"/>
    </row>
    <row r="67" spans="1:9" x14ac:dyDescent="0.3">
      <c r="A67" s="237" t="s">
        <v>154</v>
      </c>
      <c r="B67" s="274" t="s">
        <v>202</v>
      </c>
      <c r="C67" s="72" t="s">
        <v>440</v>
      </c>
      <c r="D67" s="72" t="s">
        <v>440</v>
      </c>
      <c r="E67" s="72" t="s">
        <v>440</v>
      </c>
      <c r="F67" s="73" t="s">
        <v>440</v>
      </c>
      <c r="G67" s="72" t="s">
        <v>440</v>
      </c>
      <c r="H67" s="72" t="s">
        <v>440</v>
      </c>
      <c r="I67" s="115"/>
    </row>
    <row r="68" spans="1:9" x14ac:dyDescent="0.3">
      <c r="A68" s="237"/>
      <c r="B68" s="274"/>
      <c r="C68" s="72" t="s">
        <v>659</v>
      </c>
      <c r="D68" s="72" t="s">
        <v>659</v>
      </c>
      <c r="E68" s="72" t="s">
        <v>659</v>
      </c>
      <c r="F68" s="73" t="s">
        <v>659</v>
      </c>
      <c r="G68" s="72" t="s">
        <v>659</v>
      </c>
      <c r="H68" s="72" t="s">
        <v>659</v>
      </c>
      <c r="I68" s="115"/>
    </row>
    <row r="69" spans="1:9" x14ac:dyDescent="0.3">
      <c r="A69" s="237" t="s">
        <v>155</v>
      </c>
      <c r="B69" s="274" t="s">
        <v>156</v>
      </c>
      <c r="C69" s="72" t="s">
        <v>440</v>
      </c>
      <c r="D69" s="72" t="s">
        <v>440</v>
      </c>
      <c r="E69" s="72" t="s">
        <v>440</v>
      </c>
      <c r="F69" s="73" t="s">
        <v>440</v>
      </c>
      <c r="G69" s="72" t="s">
        <v>439</v>
      </c>
      <c r="H69" s="72" t="s">
        <v>439</v>
      </c>
      <c r="I69" s="115"/>
    </row>
    <row r="70" spans="1:9" x14ac:dyDescent="0.3">
      <c r="A70" s="237"/>
      <c r="B70" s="274"/>
      <c r="C70" s="72" t="s">
        <v>659</v>
      </c>
      <c r="D70" s="72" t="s">
        <v>659</v>
      </c>
      <c r="E70" s="72" t="s">
        <v>659</v>
      </c>
      <c r="F70" s="73" t="s">
        <v>659</v>
      </c>
      <c r="G70" s="72" t="s">
        <v>666</v>
      </c>
      <c r="H70" s="72" t="s">
        <v>667</v>
      </c>
      <c r="I70" s="115"/>
    </row>
    <row r="71" spans="1:9" x14ac:dyDescent="0.3">
      <c r="A71" s="189" t="s">
        <v>157</v>
      </c>
      <c r="B71" s="110" t="s">
        <v>158</v>
      </c>
      <c r="C71" s="72">
        <v>0</v>
      </c>
      <c r="D71" s="72">
        <v>0</v>
      </c>
      <c r="E71" s="72">
        <v>0</v>
      </c>
      <c r="F71" s="73">
        <v>0</v>
      </c>
      <c r="G71" s="72">
        <v>0</v>
      </c>
      <c r="H71" s="72">
        <v>0</v>
      </c>
      <c r="I71" s="115"/>
    </row>
    <row r="72" spans="1:9" x14ac:dyDescent="0.3">
      <c r="A72" s="237" t="s">
        <v>107</v>
      </c>
      <c r="B72" s="274" t="s">
        <v>159</v>
      </c>
      <c r="C72" s="72" t="s">
        <v>440</v>
      </c>
      <c r="D72" s="72" t="s">
        <v>440</v>
      </c>
      <c r="E72" s="72" t="s">
        <v>440</v>
      </c>
      <c r="F72" s="73" t="s">
        <v>440</v>
      </c>
      <c r="G72" s="72" t="s">
        <v>440</v>
      </c>
      <c r="H72" s="72" t="s">
        <v>440</v>
      </c>
      <c r="I72" s="115"/>
    </row>
    <row r="73" spans="1:9" x14ac:dyDescent="0.3">
      <c r="A73" s="237"/>
      <c r="B73" s="274"/>
      <c r="C73" s="72" t="s">
        <v>659</v>
      </c>
      <c r="D73" s="72" t="s">
        <v>659</v>
      </c>
      <c r="E73" s="72" t="s">
        <v>659</v>
      </c>
      <c r="F73" s="73" t="s">
        <v>659</v>
      </c>
      <c r="G73" s="72" t="s">
        <v>659</v>
      </c>
      <c r="H73" s="72" t="s">
        <v>659</v>
      </c>
      <c r="I73" s="115"/>
    </row>
    <row r="74" spans="1:9" x14ac:dyDescent="0.3">
      <c r="A74" s="237" t="s">
        <v>147</v>
      </c>
      <c r="B74" s="274" t="s">
        <v>160</v>
      </c>
      <c r="C74" s="72" t="s">
        <v>440</v>
      </c>
      <c r="D74" s="72" t="s">
        <v>440</v>
      </c>
      <c r="E74" s="72" t="s">
        <v>440</v>
      </c>
      <c r="F74" s="73" t="s">
        <v>440</v>
      </c>
      <c r="G74" s="72" t="s">
        <v>440</v>
      </c>
      <c r="H74" s="72" t="s">
        <v>440</v>
      </c>
      <c r="I74" s="115"/>
    </row>
    <row r="75" spans="1:9" x14ac:dyDescent="0.3">
      <c r="A75" s="237"/>
      <c r="B75" s="274"/>
      <c r="C75" s="72" t="s">
        <v>659</v>
      </c>
      <c r="D75" s="72" t="s">
        <v>659</v>
      </c>
      <c r="E75" s="72" t="s">
        <v>659</v>
      </c>
      <c r="F75" s="73" t="s">
        <v>659</v>
      </c>
      <c r="G75" s="72" t="s">
        <v>659</v>
      </c>
      <c r="H75" s="72" t="s">
        <v>659</v>
      </c>
      <c r="I75" s="115"/>
    </row>
    <row r="76" spans="1:9" x14ac:dyDescent="0.3">
      <c r="A76" s="237" t="s">
        <v>149</v>
      </c>
      <c r="B76" s="274" t="s">
        <v>203</v>
      </c>
      <c r="C76" s="72" t="s">
        <v>440</v>
      </c>
      <c r="D76" s="72" t="s">
        <v>440</v>
      </c>
      <c r="E76" s="72" t="s">
        <v>440</v>
      </c>
      <c r="F76" s="73" t="s">
        <v>440</v>
      </c>
      <c r="G76" s="72" t="s">
        <v>440</v>
      </c>
      <c r="H76" s="72" t="s">
        <v>440</v>
      </c>
      <c r="I76" s="115"/>
    </row>
    <row r="77" spans="1:9" x14ac:dyDescent="0.3">
      <c r="A77" s="237"/>
      <c r="B77" s="274"/>
      <c r="C77" s="72" t="s">
        <v>659</v>
      </c>
      <c r="D77" s="72" t="s">
        <v>659</v>
      </c>
      <c r="E77" s="72" t="s">
        <v>659</v>
      </c>
      <c r="F77" s="73" t="s">
        <v>659</v>
      </c>
      <c r="G77" s="72" t="s">
        <v>659</v>
      </c>
      <c r="H77" s="72" t="s">
        <v>659</v>
      </c>
      <c r="I77" s="115"/>
    </row>
    <row r="78" spans="1:9" x14ac:dyDescent="0.3">
      <c r="A78" s="237" t="s">
        <v>150</v>
      </c>
      <c r="B78" s="274" t="s">
        <v>161</v>
      </c>
      <c r="C78" s="72" t="s">
        <v>440</v>
      </c>
      <c r="D78" s="72" t="s">
        <v>440</v>
      </c>
      <c r="E78" s="72" t="s">
        <v>440</v>
      </c>
      <c r="F78" s="73" t="s">
        <v>440</v>
      </c>
      <c r="G78" s="72" t="s">
        <v>440</v>
      </c>
      <c r="H78" s="72" t="s">
        <v>440</v>
      </c>
      <c r="I78" s="115"/>
    </row>
    <row r="79" spans="1:9" x14ac:dyDescent="0.3">
      <c r="A79" s="237"/>
      <c r="B79" s="274"/>
      <c r="C79" s="72" t="s">
        <v>659</v>
      </c>
      <c r="D79" s="72" t="s">
        <v>659</v>
      </c>
      <c r="E79" s="72" t="s">
        <v>659</v>
      </c>
      <c r="F79" s="73" t="s">
        <v>659</v>
      </c>
      <c r="G79" s="72" t="s">
        <v>659</v>
      </c>
      <c r="H79" s="72" t="s">
        <v>659</v>
      </c>
      <c r="I79" s="115"/>
    </row>
    <row r="80" spans="1:9" x14ac:dyDescent="0.3">
      <c r="A80" s="237" t="s">
        <v>152</v>
      </c>
      <c r="B80" s="274" t="s">
        <v>162</v>
      </c>
      <c r="C80" s="72" t="s">
        <v>439</v>
      </c>
      <c r="D80" s="72" t="s">
        <v>440</v>
      </c>
      <c r="E80" s="72" t="s">
        <v>439</v>
      </c>
      <c r="F80" s="73" t="s">
        <v>440</v>
      </c>
      <c r="G80" s="72" t="s">
        <v>440</v>
      </c>
      <c r="H80" s="72" t="s">
        <v>440</v>
      </c>
      <c r="I80" s="115"/>
    </row>
    <row r="81" spans="1:9" x14ac:dyDescent="0.3">
      <c r="A81" s="237"/>
      <c r="B81" s="274"/>
      <c r="C81" s="72" t="s">
        <v>666</v>
      </c>
      <c r="D81" s="72" t="s">
        <v>659</v>
      </c>
      <c r="E81" s="72" t="s">
        <v>667</v>
      </c>
      <c r="F81" s="73" t="s">
        <v>659</v>
      </c>
      <c r="G81" s="72" t="s">
        <v>659</v>
      </c>
      <c r="H81" s="72" t="s">
        <v>659</v>
      </c>
      <c r="I81" s="115"/>
    </row>
    <row r="82" spans="1:9" x14ac:dyDescent="0.3">
      <c r="A82" s="237" t="s">
        <v>154</v>
      </c>
      <c r="B82" s="274" t="s">
        <v>163</v>
      </c>
      <c r="C82" s="72" t="s">
        <v>442</v>
      </c>
      <c r="D82" s="72" t="s">
        <v>440</v>
      </c>
      <c r="E82" s="72" t="s">
        <v>442</v>
      </c>
      <c r="F82" s="73" t="s">
        <v>440</v>
      </c>
      <c r="G82" s="72" t="s">
        <v>440</v>
      </c>
      <c r="H82" s="72" t="s">
        <v>440</v>
      </c>
      <c r="I82" s="115"/>
    </row>
    <row r="83" spans="1:9" x14ac:dyDescent="0.3">
      <c r="A83" s="237"/>
      <c r="B83" s="274"/>
      <c r="C83" s="72" t="s">
        <v>669</v>
      </c>
      <c r="D83" s="72" t="s">
        <v>659</v>
      </c>
      <c r="E83" s="72" t="s">
        <v>666</v>
      </c>
      <c r="F83" s="73" t="s">
        <v>659</v>
      </c>
      <c r="G83" s="72" t="s">
        <v>659</v>
      </c>
      <c r="H83" s="72" t="s">
        <v>659</v>
      </c>
    </row>
    <row r="84" spans="1:9" x14ac:dyDescent="0.3">
      <c r="A84" s="326" t="s">
        <v>164</v>
      </c>
      <c r="B84" s="274" t="s">
        <v>165</v>
      </c>
      <c r="C84" s="72" t="s">
        <v>440</v>
      </c>
      <c r="D84" s="72" t="s">
        <v>440</v>
      </c>
      <c r="E84" s="72" t="s">
        <v>440</v>
      </c>
      <c r="F84" s="73" t="s">
        <v>440</v>
      </c>
      <c r="G84" s="72" t="s">
        <v>440</v>
      </c>
      <c r="H84" s="72" t="s">
        <v>440</v>
      </c>
    </row>
    <row r="85" spans="1:9" x14ac:dyDescent="0.3">
      <c r="A85" s="326"/>
      <c r="B85" s="274"/>
      <c r="C85" s="72" t="s">
        <v>659</v>
      </c>
      <c r="D85" s="72" t="s">
        <v>659</v>
      </c>
      <c r="E85" s="72" t="s">
        <v>659</v>
      </c>
      <c r="F85" s="73" t="s">
        <v>659</v>
      </c>
      <c r="G85" s="72" t="s">
        <v>659</v>
      </c>
      <c r="H85" s="72" t="s">
        <v>659</v>
      </c>
    </row>
    <row r="86" spans="1:9" x14ac:dyDescent="0.3">
      <c r="A86" s="326" t="s">
        <v>166</v>
      </c>
      <c r="B86" s="274" t="s">
        <v>204</v>
      </c>
      <c r="C86" s="72" t="s">
        <v>440</v>
      </c>
      <c r="D86" s="72" t="s">
        <v>440</v>
      </c>
      <c r="E86" s="72" t="s">
        <v>440</v>
      </c>
      <c r="F86" s="73" t="s">
        <v>440</v>
      </c>
      <c r="G86" s="72" t="s">
        <v>440</v>
      </c>
      <c r="H86" s="72" t="s">
        <v>440</v>
      </c>
    </row>
    <row r="87" spans="1:9" x14ac:dyDescent="0.3">
      <c r="A87" s="326"/>
      <c r="B87" s="274"/>
      <c r="C87" s="72" t="s">
        <v>659</v>
      </c>
      <c r="D87" s="72" t="s">
        <v>659</v>
      </c>
      <c r="E87" s="72" t="s">
        <v>659</v>
      </c>
      <c r="F87" s="73" t="s">
        <v>659</v>
      </c>
      <c r="G87" s="72" t="s">
        <v>659</v>
      </c>
      <c r="H87" s="72" t="s">
        <v>659</v>
      </c>
    </row>
    <row r="88" spans="1:9" x14ac:dyDescent="0.3">
      <c r="A88" s="326" t="s">
        <v>167</v>
      </c>
      <c r="B88" s="274" t="s">
        <v>168</v>
      </c>
      <c r="C88" s="72" t="s">
        <v>439</v>
      </c>
      <c r="D88" s="72" t="s">
        <v>440</v>
      </c>
      <c r="E88" s="72" t="s">
        <v>439</v>
      </c>
      <c r="F88" s="73" t="s">
        <v>440</v>
      </c>
      <c r="G88" s="72" t="s">
        <v>440</v>
      </c>
      <c r="H88" s="72" t="s">
        <v>440</v>
      </c>
    </row>
    <row r="89" spans="1:9" ht="15" thickBot="1" x14ac:dyDescent="0.35">
      <c r="A89" s="327"/>
      <c r="B89" s="328"/>
      <c r="C89" s="86" t="s">
        <v>666</v>
      </c>
      <c r="D89" s="86" t="s">
        <v>659</v>
      </c>
      <c r="E89" s="86" t="s">
        <v>667</v>
      </c>
      <c r="F89" s="87" t="s">
        <v>659</v>
      </c>
      <c r="G89" s="86" t="s">
        <v>659</v>
      </c>
      <c r="H89" s="86" t="s">
        <v>659</v>
      </c>
    </row>
    <row r="90" spans="1:9" ht="15" thickTop="1" x14ac:dyDescent="0.3">
      <c r="A90" s="138"/>
      <c r="B90" s="101"/>
      <c r="C90" s="101"/>
      <c r="D90" s="101"/>
      <c r="E90" s="101"/>
      <c r="F90" s="101"/>
      <c r="G90" s="101"/>
      <c r="H90" s="101"/>
      <c r="I90" s="115"/>
    </row>
  </sheetData>
  <mergeCells count="88">
    <mergeCell ref="A86:A87"/>
    <mergeCell ref="B86:B87"/>
    <mergeCell ref="A88:A89"/>
    <mergeCell ref="B88:B89"/>
    <mergeCell ref="A80:A81"/>
    <mergeCell ref="B80:B81"/>
    <mergeCell ref="A82:A83"/>
    <mergeCell ref="B82:B83"/>
    <mergeCell ref="A84:A85"/>
    <mergeCell ref="B84:B85"/>
    <mergeCell ref="A74:A75"/>
    <mergeCell ref="B74:B75"/>
    <mergeCell ref="A76:A77"/>
    <mergeCell ref="B76:B77"/>
    <mergeCell ref="A78:A79"/>
    <mergeCell ref="B78:B79"/>
    <mergeCell ref="A67:A68"/>
    <mergeCell ref="B67:B68"/>
    <mergeCell ref="A69:A70"/>
    <mergeCell ref="B69:B70"/>
    <mergeCell ref="A72:A73"/>
    <mergeCell ref="B72:B73"/>
    <mergeCell ref="A61:A62"/>
    <mergeCell ref="B61:B62"/>
    <mergeCell ref="A63:A64"/>
    <mergeCell ref="B63:B64"/>
    <mergeCell ref="A65:A66"/>
    <mergeCell ref="B65:B66"/>
    <mergeCell ref="A54:A55"/>
    <mergeCell ref="B54:B55"/>
    <mergeCell ref="A57:A58"/>
    <mergeCell ref="B57:B58"/>
    <mergeCell ref="A59:A60"/>
    <mergeCell ref="B59:B60"/>
    <mergeCell ref="A52:B52"/>
    <mergeCell ref="A43:A44"/>
    <mergeCell ref="B43:B44"/>
    <mergeCell ref="A46:H46"/>
    <mergeCell ref="A47:F47"/>
    <mergeCell ref="G47:H47"/>
    <mergeCell ref="A48:H48"/>
    <mergeCell ref="A50:B51"/>
    <mergeCell ref="C50:E50"/>
    <mergeCell ref="F50:H50"/>
    <mergeCell ref="C49:H49"/>
    <mergeCell ref="A49:B49"/>
    <mergeCell ref="A37:A38"/>
    <mergeCell ref="B37:B38"/>
    <mergeCell ref="A39:A40"/>
    <mergeCell ref="B39:B40"/>
    <mergeCell ref="A41:A42"/>
    <mergeCell ref="B41:B42"/>
    <mergeCell ref="A31:A32"/>
    <mergeCell ref="B31:B32"/>
    <mergeCell ref="A33:A34"/>
    <mergeCell ref="B33:B34"/>
    <mergeCell ref="A35:A36"/>
    <mergeCell ref="B35:B36"/>
    <mergeCell ref="A24:A25"/>
    <mergeCell ref="B24:B25"/>
    <mergeCell ref="A27:A28"/>
    <mergeCell ref="B27:B28"/>
    <mergeCell ref="A29:A30"/>
    <mergeCell ref="B29:B30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5:B6"/>
    <mergeCell ref="C5:E5"/>
    <mergeCell ref="F5:H5"/>
    <mergeCell ref="A7:B7"/>
    <mergeCell ref="A9:A10"/>
    <mergeCell ref="B9:B10"/>
    <mergeCell ref="A1:H1"/>
    <mergeCell ref="A2:F2"/>
    <mergeCell ref="G2:H2"/>
    <mergeCell ref="A3:H3"/>
    <mergeCell ref="A4:B4"/>
    <mergeCell ref="C4:H4"/>
  </mergeCells>
  <printOptions horizontalCentered="1"/>
  <pageMargins left="0" right="0" top="0.78740157480314965" bottom="0" header="0.31496062992125984" footer="0.31496062992125984"/>
  <pageSetup paperSize="9" scale="70" orientation="landscape" r:id="rId1"/>
  <rowBreaks count="1" manualBreakCount="1">
    <brk id="4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J63"/>
  <sheetViews>
    <sheetView view="pageBreakPreview" zoomScale="70" zoomScaleNormal="100" zoomScaleSheetLayoutView="70" workbookViewId="0">
      <selection activeCell="A4" sqref="A4:A6"/>
    </sheetView>
  </sheetViews>
  <sheetFormatPr defaultRowHeight="14.4" x14ac:dyDescent="0.3"/>
  <cols>
    <col min="1" max="1" width="20" customWidth="1"/>
    <col min="2" max="9" width="13.5546875" customWidth="1"/>
  </cols>
  <sheetData>
    <row r="1" spans="1:10" x14ac:dyDescent="0.3">
      <c r="A1" s="237" t="s">
        <v>126</v>
      </c>
      <c r="B1" s="237"/>
      <c r="C1" s="237"/>
      <c r="D1" s="237"/>
      <c r="E1" s="237"/>
      <c r="F1" s="237"/>
      <c r="G1" s="237"/>
      <c r="H1" s="237"/>
      <c r="I1" s="237"/>
      <c r="J1" s="115"/>
    </row>
    <row r="2" spans="1:10" x14ac:dyDescent="0.3">
      <c r="A2" s="314" t="str">
        <f>year!$H$2</f>
        <v>UT : PUDUCHERRY</v>
      </c>
      <c r="B2" s="314"/>
      <c r="C2" s="314"/>
      <c r="D2" s="314"/>
      <c r="E2" s="314"/>
      <c r="F2" s="314"/>
      <c r="G2" s="314"/>
      <c r="H2" s="238" t="s">
        <v>169</v>
      </c>
      <c r="I2" s="238"/>
      <c r="J2" s="115"/>
    </row>
    <row r="3" spans="1:10" x14ac:dyDescent="0.3">
      <c r="A3" s="241" t="str">
        <f>"SUPPLY AND USE OF EQUIPMENTS FOR THE CONDUCT OF CROP CUTTING EXPERIMENTS DURING "&amp; year!$C$4 &amp;" AND "&amp; year!$C$5 &amp; "."</f>
        <v>SUPPLY AND USE OF EQUIPMENTS FOR THE CONDUCT OF CROP CUTTING EXPERIMENTS DURING 2023-24 AND 2022-23.</v>
      </c>
      <c r="B3" s="241"/>
      <c r="C3" s="241"/>
      <c r="D3" s="241"/>
      <c r="E3" s="241"/>
      <c r="F3" s="241"/>
      <c r="G3" s="241"/>
      <c r="H3" s="241"/>
      <c r="I3" s="241"/>
      <c r="J3" s="115"/>
    </row>
    <row r="4" spans="1:10" x14ac:dyDescent="0.3">
      <c r="A4" s="240" t="s">
        <v>293</v>
      </c>
      <c r="B4" s="245" t="s">
        <v>170</v>
      </c>
      <c r="C4" s="245"/>
      <c r="D4" s="245"/>
      <c r="E4" s="245"/>
      <c r="F4" s="245"/>
      <c r="G4" s="245"/>
      <c r="H4" s="245"/>
      <c r="I4" s="245"/>
      <c r="J4" s="115"/>
    </row>
    <row r="5" spans="1:10" ht="37.200000000000003" customHeight="1" x14ac:dyDescent="0.3">
      <c r="A5" s="240"/>
      <c r="B5" s="243" t="s">
        <v>212</v>
      </c>
      <c r="C5" s="243"/>
      <c r="D5" s="243"/>
      <c r="E5" s="243"/>
      <c r="F5" s="243" t="s">
        <v>171</v>
      </c>
      <c r="G5" s="243"/>
      <c r="H5" s="243"/>
      <c r="I5" s="243"/>
      <c r="J5" s="115"/>
    </row>
    <row r="6" spans="1:10" x14ac:dyDescent="0.3">
      <c r="A6" s="241"/>
      <c r="B6" s="74" t="s">
        <v>172</v>
      </c>
      <c r="C6" s="74" t="s">
        <v>173</v>
      </c>
      <c r="D6" s="74" t="s">
        <v>174</v>
      </c>
      <c r="E6" s="74" t="s">
        <v>175</v>
      </c>
      <c r="F6" s="74" t="s">
        <v>172</v>
      </c>
      <c r="G6" s="74" t="s">
        <v>173</v>
      </c>
      <c r="H6" s="74" t="s">
        <v>174</v>
      </c>
      <c r="I6" s="74" t="s">
        <v>175</v>
      </c>
      <c r="J6" s="115"/>
    </row>
    <row r="7" spans="1:10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15"/>
    </row>
    <row r="8" spans="1:10" ht="20.399999999999999" customHeight="1" x14ac:dyDescent="0.3">
      <c r="A8" s="98" t="str">
        <f>year!$H$4</f>
        <v>RABI I 2023-24</v>
      </c>
      <c r="B8" s="78"/>
      <c r="C8" s="101"/>
      <c r="D8" s="101"/>
      <c r="E8" s="101"/>
      <c r="F8" s="101"/>
      <c r="G8" s="101"/>
      <c r="H8" s="101"/>
      <c r="I8" s="101"/>
      <c r="J8" s="115"/>
    </row>
    <row r="9" spans="1:10" ht="20.399999999999999" customHeight="1" x14ac:dyDescent="0.3">
      <c r="A9" s="112" t="s">
        <v>120</v>
      </c>
      <c r="B9" s="113" t="s">
        <v>313</v>
      </c>
      <c r="C9" s="113" t="s">
        <v>313</v>
      </c>
      <c r="D9" s="113" t="s">
        <v>313</v>
      </c>
      <c r="E9" s="113" t="s">
        <v>313</v>
      </c>
      <c r="F9" s="113" t="s">
        <v>313</v>
      </c>
      <c r="G9" s="113" t="s">
        <v>313</v>
      </c>
      <c r="H9" s="113" t="s">
        <v>313</v>
      </c>
      <c r="I9" s="113" t="s">
        <v>313</v>
      </c>
      <c r="J9" s="115"/>
    </row>
    <row r="10" spans="1:10" ht="20.399999999999999" customHeight="1" x14ac:dyDescent="0.3">
      <c r="A10" s="112" t="s">
        <v>17</v>
      </c>
      <c r="B10" s="113" t="s">
        <v>313</v>
      </c>
      <c r="C10" s="113" t="s">
        <v>313</v>
      </c>
      <c r="D10" s="113" t="s">
        <v>313</v>
      </c>
      <c r="E10" s="113" t="s">
        <v>313</v>
      </c>
      <c r="F10" s="113" t="s">
        <v>313</v>
      </c>
      <c r="G10" s="113" t="s">
        <v>313</v>
      </c>
      <c r="H10" s="113" t="s">
        <v>313</v>
      </c>
      <c r="I10" s="113" t="s">
        <v>313</v>
      </c>
      <c r="J10" s="115"/>
    </row>
    <row r="11" spans="1:10" ht="20.399999999999999" customHeight="1" x14ac:dyDescent="0.3">
      <c r="A11" s="112" t="s">
        <v>18</v>
      </c>
      <c r="B11" s="113" t="s">
        <v>313</v>
      </c>
      <c r="C11" s="113" t="s">
        <v>313</v>
      </c>
      <c r="D11" s="113" t="s">
        <v>313</v>
      </c>
      <c r="E11" s="113" t="s">
        <v>313</v>
      </c>
      <c r="F11" s="113" t="s">
        <v>313</v>
      </c>
      <c r="G11" s="113" t="s">
        <v>313</v>
      </c>
      <c r="H11" s="113" t="s">
        <v>313</v>
      </c>
      <c r="I11" s="113" t="s">
        <v>313</v>
      </c>
      <c r="J11" s="115"/>
    </row>
    <row r="12" spans="1:10" ht="20.399999999999999" customHeight="1" x14ac:dyDescent="0.3">
      <c r="A12" s="98" t="str">
        <f>year!$I$4</f>
        <v>RABI II 2023-24</v>
      </c>
      <c r="B12" s="72"/>
      <c r="C12" s="113"/>
      <c r="D12" s="113"/>
      <c r="E12" s="113"/>
      <c r="F12" s="113"/>
      <c r="G12" s="113"/>
      <c r="H12" s="113"/>
      <c r="I12" s="113"/>
      <c r="J12" s="115"/>
    </row>
    <row r="13" spans="1:10" ht="20.399999999999999" customHeight="1" x14ac:dyDescent="0.3">
      <c r="A13" s="112" t="str">
        <f>IF(A12="","","CENTRAL")</f>
        <v>CENTRAL</v>
      </c>
      <c r="B13" s="113" t="s">
        <v>313</v>
      </c>
      <c r="C13" s="113" t="s">
        <v>313</v>
      </c>
      <c r="D13" s="113" t="s">
        <v>313</v>
      </c>
      <c r="E13" s="113" t="s">
        <v>313</v>
      </c>
      <c r="F13" s="113" t="s">
        <v>313</v>
      </c>
      <c r="G13" s="113" t="s">
        <v>313</v>
      </c>
      <c r="H13" s="113" t="s">
        <v>313</v>
      </c>
      <c r="I13" s="113" t="s">
        <v>313</v>
      </c>
      <c r="J13" s="115"/>
    </row>
    <row r="14" spans="1:10" ht="20.399999999999999" customHeight="1" x14ac:dyDescent="0.3">
      <c r="A14" s="112" t="str">
        <f>IF(A13="","","STATE")</f>
        <v>STATE</v>
      </c>
      <c r="B14" s="113" t="s">
        <v>313</v>
      </c>
      <c r="C14" s="113" t="s">
        <v>313</v>
      </c>
      <c r="D14" s="113" t="s">
        <v>313</v>
      </c>
      <c r="E14" s="113" t="s">
        <v>313</v>
      </c>
      <c r="F14" s="113" t="s">
        <v>313</v>
      </c>
      <c r="G14" s="113" t="s">
        <v>313</v>
      </c>
      <c r="H14" s="113" t="s">
        <v>313</v>
      </c>
      <c r="I14" s="113" t="s">
        <v>313</v>
      </c>
      <c r="J14" s="115"/>
    </row>
    <row r="15" spans="1:10" ht="20.399999999999999" customHeight="1" x14ac:dyDescent="0.3">
      <c r="A15" s="111" t="str">
        <f>IF(A14="","","POOLED")</f>
        <v>POOLED</v>
      </c>
      <c r="B15" s="153" t="s">
        <v>313</v>
      </c>
      <c r="C15" s="153" t="s">
        <v>313</v>
      </c>
      <c r="D15" s="153" t="s">
        <v>313</v>
      </c>
      <c r="E15" s="153" t="s">
        <v>313</v>
      </c>
      <c r="F15" s="153" t="s">
        <v>313</v>
      </c>
      <c r="G15" s="153" t="s">
        <v>313</v>
      </c>
      <c r="H15" s="153" t="s">
        <v>313</v>
      </c>
      <c r="I15" s="153" t="s">
        <v>313</v>
      </c>
      <c r="J15" s="115"/>
    </row>
    <row r="16" spans="1:10" ht="20.399999999999999" customHeight="1" x14ac:dyDescent="0.3">
      <c r="A16" s="98" t="str">
        <f>year!$H$5</f>
        <v>RABI I 2022-23</v>
      </c>
      <c r="B16" s="72"/>
      <c r="C16" s="113"/>
      <c r="D16" s="113"/>
      <c r="E16" s="113"/>
      <c r="F16" s="113"/>
      <c r="G16" s="113"/>
      <c r="H16" s="113"/>
      <c r="I16" s="113"/>
      <c r="J16" s="115"/>
    </row>
    <row r="17" spans="1:10" ht="20.399999999999999" customHeight="1" x14ac:dyDescent="0.3">
      <c r="A17" s="112" t="s">
        <v>120</v>
      </c>
      <c r="B17" s="113" t="s">
        <v>313</v>
      </c>
      <c r="C17" s="113" t="s">
        <v>313</v>
      </c>
      <c r="D17" s="113" t="s">
        <v>313</v>
      </c>
      <c r="E17" s="113" t="s">
        <v>672</v>
      </c>
      <c r="F17" s="113" t="s">
        <v>313</v>
      </c>
      <c r="G17" s="113" t="s">
        <v>313</v>
      </c>
      <c r="H17" s="113" t="s">
        <v>313</v>
      </c>
      <c r="I17" s="113" t="s">
        <v>313</v>
      </c>
      <c r="J17" s="115"/>
    </row>
    <row r="18" spans="1:10" ht="20.399999999999999" customHeight="1" x14ac:dyDescent="0.3">
      <c r="A18" s="112" t="s">
        <v>17</v>
      </c>
      <c r="B18" s="113" t="s">
        <v>313</v>
      </c>
      <c r="C18" s="113" t="s">
        <v>313</v>
      </c>
      <c r="D18" s="113" t="s">
        <v>313</v>
      </c>
      <c r="E18" s="113" t="s">
        <v>313</v>
      </c>
      <c r="F18" s="113" t="s">
        <v>313</v>
      </c>
      <c r="G18" s="113" t="s">
        <v>313</v>
      </c>
      <c r="H18" s="113" t="s">
        <v>313</v>
      </c>
      <c r="I18" s="113" t="s">
        <v>313</v>
      </c>
      <c r="J18" s="115"/>
    </row>
    <row r="19" spans="1:10" ht="20.399999999999999" customHeight="1" x14ac:dyDescent="0.3">
      <c r="A19" s="112" t="s">
        <v>18</v>
      </c>
      <c r="B19" s="113" t="s">
        <v>313</v>
      </c>
      <c r="C19" s="113" t="s">
        <v>313</v>
      </c>
      <c r="D19" s="113" t="s">
        <v>313</v>
      </c>
      <c r="E19" s="113" t="s">
        <v>673</v>
      </c>
      <c r="F19" s="113" t="s">
        <v>313</v>
      </c>
      <c r="G19" s="113" t="s">
        <v>313</v>
      </c>
      <c r="H19" s="113" t="s">
        <v>313</v>
      </c>
      <c r="I19" s="113" t="s">
        <v>313</v>
      </c>
      <c r="J19" s="115"/>
    </row>
    <row r="20" spans="1:10" ht="20.399999999999999" customHeight="1" x14ac:dyDescent="0.3">
      <c r="A20" s="98" t="str">
        <f>year!$I$5</f>
        <v>RABI II 2022-23</v>
      </c>
      <c r="B20" s="72"/>
      <c r="C20" s="113"/>
      <c r="D20" s="113"/>
      <c r="E20" s="113"/>
      <c r="F20" s="113"/>
      <c r="G20" s="113"/>
      <c r="H20" s="113"/>
      <c r="I20" s="113"/>
      <c r="J20" s="115"/>
    </row>
    <row r="21" spans="1:10" ht="20.399999999999999" customHeight="1" x14ac:dyDescent="0.3">
      <c r="A21" s="112" t="str">
        <f>IF(A20="","","CENTRAL")</f>
        <v>CENTRAL</v>
      </c>
      <c r="B21" s="113" t="s">
        <v>313</v>
      </c>
      <c r="C21" s="113" t="s">
        <v>313</v>
      </c>
      <c r="D21" s="113" t="s">
        <v>313</v>
      </c>
      <c r="E21" s="113" t="s">
        <v>313</v>
      </c>
      <c r="F21" s="113" t="s">
        <v>313</v>
      </c>
      <c r="G21" s="113" t="s">
        <v>313</v>
      </c>
      <c r="H21" s="113" t="s">
        <v>313</v>
      </c>
      <c r="I21" s="113" t="s">
        <v>313</v>
      </c>
      <c r="J21" s="115"/>
    </row>
    <row r="22" spans="1:10" ht="20.399999999999999" customHeight="1" x14ac:dyDescent="0.3">
      <c r="A22" s="112" t="str">
        <f>IF(A21="","","STATE")</f>
        <v>STATE</v>
      </c>
      <c r="B22" s="113" t="s">
        <v>313</v>
      </c>
      <c r="C22" s="113" t="s">
        <v>313</v>
      </c>
      <c r="D22" s="113" t="s">
        <v>313</v>
      </c>
      <c r="E22" s="113" t="s">
        <v>313</v>
      </c>
      <c r="F22" s="113" t="s">
        <v>313</v>
      </c>
      <c r="G22" s="113" t="s">
        <v>313</v>
      </c>
      <c r="H22" s="113" t="s">
        <v>313</v>
      </c>
      <c r="I22" s="113" t="s">
        <v>313</v>
      </c>
      <c r="J22" s="115"/>
    </row>
    <row r="23" spans="1:10" ht="20.399999999999999" customHeight="1" thickBot="1" x14ac:dyDescent="0.35">
      <c r="A23" s="114" t="str">
        <f>IF(A22="","","POOLED")</f>
        <v>POOLED</v>
      </c>
      <c r="B23" s="161" t="s">
        <v>313</v>
      </c>
      <c r="C23" s="161" t="s">
        <v>313</v>
      </c>
      <c r="D23" s="161" t="s">
        <v>313</v>
      </c>
      <c r="E23" s="161" t="s">
        <v>313</v>
      </c>
      <c r="F23" s="161" t="s">
        <v>313</v>
      </c>
      <c r="G23" s="161" t="s">
        <v>313</v>
      </c>
      <c r="H23" s="161" t="s">
        <v>313</v>
      </c>
      <c r="I23" s="161" t="s">
        <v>313</v>
      </c>
      <c r="J23" s="115"/>
    </row>
    <row r="24" spans="1:10" ht="15" thickTop="1" x14ac:dyDescent="0.3">
      <c r="A24" s="138"/>
      <c r="B24" s="101"/>
      <c r="C24" s="101"/>
      <c r="D24" s="101"/>
      <c r="E24" s="101"/>
      <c r="F24" s="101"/>
      <c r="G24" s="101"/>
      <c r="H24" s="101"/>
      <c r="I24" s="101"/>
      <c r="J24" s="115"/>
    </row>
    <row r="25" spans="1:10" x14ac:dyDescent="0.3">
      <c r="A25" s="115"/>
      <c r="B25" s="115"/>
      <c r="C25" s="115"/>
      <c r="D25" s="115"/>
      <c r="E25" s="115"/>
      <c r="F25" s="115"/>
      <c r="G25" s="115"/>
      <c r="H25" s="115"/>
      <c r="I25" s="115"/>
      <c r="J25" s="115"/>
    </row>
    <row r="26" spans="1:10" x14ac:dyDescent="0.3">
      <c r="A26" s="115"/>
      <c r="B26" s="115"/>
      <c r="C26" s="115"/>
      <c r="D26" s="115"/>
      <c r="E26" s="115"/>
      <c r="F26" s="115"/>
      <c r="G26" s="115"/>
      <c r="H26" s="115"/>
      <c r="I26" s="115"/>
      <c r="J26" s="115"/>
    </row>
    <row r="27" spans="1:10" x14ac:dyDescent="0.3">
      <c r="A27" s="115"/>
      <c r="B27" s="115"/>
      <c r="C27" s="115"/>
      <c r="D27" s="115"/>
      <c r="E27" s="115"/>
      <c r="F27" s="115"/>
      <c r="G27" s="115"/>
      <c r="H27" s="115"/>
      <c r="I27" s="115"/>
      <c r="J27" s="115"/>
    </row>
    <row r="28" spans="1:10" x14ac:dyDescent="0.3">
      <c r="A28" s="115"/>
      <c r="B28" s="115"/>
      <c r="C28" s="115"/>
      <c r="D28" s="115"/>
      <c r="E28" s="115"/>
      <c r="F28" s="115"/>
      <c r="G28" s="115"/>
      <c r="H28" s="115"/>
      <c r="I28" s="115"/>
      <c r="J28" s="115"/>
    </row>
    <row r="29" spans="1:10" x14ac:dyDescent="0.3">
      <c r="A29" s="115"/>
      <c r="B29" s="115"/>
      <c r="C29" s="115"/>
      <c r="D29" s="115"/>
      <c r="E29" s="115"/>
      <c r="F29" s="115"/>
      <c r="G29" s="115"/>
      <c r="H29" s="115"/>
      <c r="I29" s="115"/>
      <c r="J29" s="115"/>
    </row>
    <row r="30" spans="1:10" x14ac:dyDescent="0.3">
      <c r="A30" s="115"/>
      <c r="B30" s="115"/>
      <c r="C30" s="115"/>
      <c r="D30" s="115"/>
      <c r="E30" s="115"/>
      <c r="F30" s="115"/>
      <c r="G30" s="115"/>
      <c r="H30" s="115"/>
      <c r="I30" s="115"/>
      <c r="J30" s="115"/>
    </row>
    <row r="31" spans="1:10" x14ac:dyDescent="0.3">
      <c r="A31" s="115"/>
      <c r="B31" s="115"/>
      <c r="C31" s="115"/>
      <c r="D31" s="115"/>
      <c r="E31" s="115"/>
      <c r="F31" s="115"/>
      <c r="G31" s="115"/>
      <c r="H31" s="115"/>
      <c r="I31" s="115"/>
      <c r="J31" s="115"/>
    </row>
    <row r="32" spans="1:10" x14ac:dyDescent="0.3">
      <c r="A32" s="115"/>
      <c r="B32" s="115"/>
      <c r="C32" s="115"/>
      <c r="D32" s="115"/>
      <c r="E32" s="115"/>
      <c r="F32" s="115"/>
      <c r="G32" s="115"/>
      <c r="H32" s="115"/>
      <c r="I32" s="115"/>
      <c r="J32" s="115"/>
    </row>
    <row r="33" spans="1:10" x14ac:dyDescent="0.3">
      <c r="A33" s="115"/>
      <c r="B33" s="115"/>
      <c r="C33" s="115"/>
      <c r="D33" s="115"/>
      <c r="E33" s="115"/>
      <c r="F33" s="115"/>
      <c r="G33" s="115"/>
      <c r="H33" s="115"/>
      <c r="I33" s="115"/>
      <c r="J33" s="115"/>
    </row>
    <row r="34" spans="1:10" x14ac:dyDescent="0.3">
      <c r="A34" s="115"/>
      <c r="B34" s="115"/>
      <c r="C34" s="115"/>
      <c r="D34" s="115"/>
      <c r="E34" s="115"/>
      <c r="F34" s="115"/>
      <c r="G34" s="115"/>
      <c r="H34" s="115"/>
      <c r="I34" s="115"/>
      <c r="J34" s="115"/>
    </row>
    <row r="35" spans="1:10" x14ac:dyDescent="0.3">
      <c r="A35" s="115"/>
      <c r="B35" s="115"/>
      <c r="C35" s="115"/>
      <c r="D35" s="115"/>
      <c r="E35" s="115"/>
      <c r="F35" s="115"/>
      <c r="G35" s="115"/>
      <c r="H35" s="115"/>
      <c r="I35" s="115"/>
      <c r="J35" s="115"/>
    </row>
    <row r="36" spans="1:10" x14ac:dyDescent="0.3">
      <c r="A36" s="115"/>
      <c r="B36" s="115"/>
      <c r="C36" s="115"/>
      <c r="D36" s="115"/>
      <c r="E36" s="115"/>
      <c r="F36" s="115"/>
      <c r="G36" s="115"/>
      <c r="H36" s="115"/>
      <c r="I36" s="115"/>
      <c r="J36" s="115"/>
    </row>
    <row r="37" spans="1:10" x14ac:dyDescent="0.3">
      <c r="A37" s="115"/>
      <c r="B37" s="115"/>
      <c r="C37" s="115"/>
      <c r="D37" s="115"/>
      <c r="E37" s="115"/>
      <c r="F37" s="115"/>
      <c r="G37" s="115"/>
      <c r="H37" s="115"/>
      <c r="I37" s="115"/>
      <c r="J37" s="115"/>
    </row>
    <row r="38" spans="1:10" x14ac:dyDescent="0.3">
      <c r="A38" s="115"/>
      <c r="B38" s="115"/>
      <c r="C38" s="115"/>
      <c r="D38" s="115"/>
      <c r="E38" s="115"/>
      <c r="F38" s="115"/>
      <c r="G38" s="115"/>
      <c r="H38" s="115"/>
      <c r="I38" s="115"/>
      <c r="J38" s="115"/>
    </row>
    <row r="39" spans="1:10" x14ac:dyDescent="0.3">
      <c r="A39" s="115"/>
      <c r="B39" s="115"/>
      <c r="C39" s="115"/>
      <c r="D39" s="115"/>
      <c r="E39" s="115"/>
      <c r="F39" s="115"/>
      <c r="G39" s="115"/>
      <c r="H39" s="115"/>
      <c r="I39" s="115"/>
      <c r="J39" s="115"/>
    </row>
    <row r="40" spans="1:10" x14ac:dyDescent="0.3">
      <c r="A40" s="115"/>
      <c r="B40" s="115"/>
      <c r="C40" s="115"/>
      <c r="D40" s="115"/>
      <c r="E40" s="115"/>
      <c r="F40" s="115"/>
      <c r="G40" s="115"/>
      <c r="H40" s="115"/>
      <c r="I40" s="115"/>
      <c r="J40" s="115"/>
    </row>
    <row r="41" spans="1:10" x14ac:dyDescent="0.3">
      <c r="A41" s="115"/>
      <c r="B41" s="115"/>
      <c r="C41" s="115"/>
      <c r="D41" s="115"/>
      <c r="E41" s="115"/>
      <c r="F41" s="115"/>
      <c r="G41" s="115"/>
      <c r="H41" s="115"/>
      <c r="I41" s="115"/>
      <c r="J41" s="115"/>
    </row>
    <row r="42" spans="1:10" x14ac:dyDescent="0.3">
      <c r="A42" s="115"/>
      <c r="B42" s="115"/>
      <c r="C42" s="115"/>
      <c r="D42" s="115"/>
      <c r="E42" s="115"/>
      <c r="F42" s="115"/>
      <c r="G42" s="115"/>
      <c r="H42" s="115"/>
      <c r="I42" s="115"/>
      <c r="J42" s="115"/>
    </row>
    <row r="43" spans="1:10" x14ac:dyDescent="0.3">
      <c r="A43" s="115"/>
      <c r="B43" s="115"/>
      <c r="C43" s="115"/>
      <c r="D43" s="115"/>
      <c r="E43" s="115"/>
      <c r="F43" s="115"/>
      <c r="G43" s="115"/>
      <c r="H43" s="115"/>
      <c r="I43" s="115"/>
      <c r="J43" s="115"/>
    </row>
    <row r="44" spans="1:10" x14ac:dyDescent="0.3">
      <c r="A44" s="115"/>
      <c r="B44" s="115"/>
      <c r="C44" s="115"/>
      <c r="D44" s="115"/>
      <c r="E44" s="115"/>
      <c r="F44" s="115"/>
      <c r="G44" s="115"/>
      <c r="H44" s="115"/>
      <c r="I44" s="115"/>
      <c r="J44" s="115"/>
    </row>
    <row r="45" spans="1:10" x14ac:dyDescent="0.3">
      <c r="A45" s="115"/>
      <c r="B45" s="115"/>
      <c r="C45" s="115"/>
      <c r="D45" s="115"/>
      <c r="E45" s="115"/>
      <c r="F45" s="115"/>
      <c r="G45" s="115"/>
      <c r="H45" s="115"/>
      <c r="I45" s="115"/>
      <c r="J45" s="115"/>
    </row>
    <row r="46" spans="1:10" x14ac:dyDescent="0.3">
      <c r="A46" s="115"/>
      <c r="B46" s="115"/>
      <c r="C46" s="115"/>
      <c r="D46" s="115"/>
      <c r="E46" s="115"/>
      <c r="F46" s="115"/>
      <c r="G46" s="115"/>
      <c r="H46" s="115"/>
      <c r="I46" s="115"/>
      <c r="J46" s="115"/>
    </row>
    <row r="47" spans="1:10" x14ac:dyDescent="0.3">
      <c r="A47" s="115"/>
      <c r="B47" s="115"/>
      <c r="C47" s="115"/>
      <c r="D47" s="115"/>
      <c r="E47" s="115"/>
      <c r="F47" s="115"/>
      <c r="G47" s="115"/>
      <c r="H47" s="115"/>
      <c r="I47" s="115"/>
      <c r="J47" s="115"/>
    </row>
    <row r="48" spans="1:10" x14ac:dyDescent="0.3">
      <c r="A48" s="115"/>
      <c r="B48" s="115"/>
      <c r="C48" s="115"/>
      <c r="D48" s="115"/>
      <c r="E48" s="115"/>
      <c r="F48" s="115"/>
      <c r="G48" s="115"/>
      <c r="H48" s="115"/>
      <c r="I48" s="115"/>
      <c r="J48" s="115"/>
    </row>
    <row r="49" spans="1:10" x14ac:dyDescent="0.3">
      <c r="A49" s="115"/>
      <c r="B49" s="115"/>
      <c r="C49" s="115"/>
      <c r="D49" s="115"/>
      <c r="E49" s="115"/>
      <c r="F49" s="115"/>
      <c r="G49" s="115"/>
      <c r="H49" s="115"/>
      <c r="I49" s="115"/>
      <c r="J49" s="115"/>
    </row>
    <row r="50" spans="1:10" x14ac:dyDescent="0.3">
      <c r="A50" s="115"/>
      <c r="B50" s="115"/>
      <c r="C50" s="115"/>
      <c r="D50" s="115"/>
      <c r="E50" s="115"/>
      <c r="F50" s="115"/>
      <c r="G50" s="115"/>
      <c r="H50" s="115"/>
      <c r="I50" s="115"/>
      <c r="J50" s="115"/>
    </row>
    <row r="51" spans="1:10" x14ac:dyDescent="0.3">
      <c r="A51" s="115"/>
      <c r="B51" s="115"/>
      <c r="C51" s="115"/>
      <c r="D51" s="115"/>
      <c r="E51" s="115"/>
      <c r="F51" s="115"/>
      <c r="G51" s="115"/>
      <c r="H51" s="115"/>
      <c r="I51" s="115"/>
      <c r="J51" s="115"/>
    </row>
    <row r="52" spans="1:10" x14ac:dyDescent="0.3">
      <c r="A52" s="115"/>
      <c r="B52" s="115"/>
      <c r="C52" s="115"/>
      <c r="D52" s="115"/>
      <c r="E52" s="115"/>
      <c r="F52" s="115"/>
      <c r="G52" s="115"/>
      <c r="H52" s="115"/>
      <c r="I52" s="115"/>
    </row>
    <row r="53" spans="1:10" x14ac:dyDescent="0.3">
      <c r="A53" s="115"/>
      <c r="B53" s="115"/>
      <c r="C53" s="115"/>
      <c r="D53" s="115"/>
      <c r="E53" s="115"/>
      <c r="F53" s="115"/>
      <c r="G53" s="115"/>
      <c r="H53" s="115"/>
      <c r="I53" s="115"/>
    </row>
    <row r="54" spans="1:10" x14ac:dyDescent="0.3">
      <c r="A54" s="115"/>
      <c r="B54" s="115"/>
      <c r="C54" s="115"/>
      <c r="D54" s="115"/>
      <c r="E54" s="115"/>
      <c r="F54" s="115"/>
      <c r="G54" s="115"/>
      <c r="H54" s="115"/>
      <c r="I54" s="115"/>
    </row>
    <row r="55" spans="1:10" x14ac:dyDescent="0.3">
      <c r="A55" s="115"/>
      <c r="B55" s="115"/>
      <c r="C55" s="115"/>
      <c r="D55" s="115"/>
      <c r="E55" s="115"/>
      <c r="F55" s="115"/>
      <c r="G55" s="115"/>
      <c r="H55" s="115"/>
      <c r="I55" s="115"/>
    </row>
    <row r="56" spans="1:10" x14ac:dyDescent="0.3">
      <c r="A56" s="115"/>
      <c r="B56" s="115"/>
      <c r="C56" s="115"/>
      <c r="D56" s="115"/>
      <c r="E56" s="115"/>
      <c r="F56" s="115"/>
      <c r="G56" s="115"/>
      <c r="H56" s="115"/>
      <c r="I56" s="115"/>
    </row>
    <row r="57" spans="1:10" x14ac:dyDescent="0.3">
      <c r="A57" s="115"/>
      <c r="B57" s="115"/>
      <c r="C57" s="115"/>
      <c r="D57" s="115"/>
      <c r="E57" s="115"/>
      <c r="F57" s="115"/>
      <c r="G57" s="115"/>
      <c r="H57" s="115"/>
      <c r="I57" s="115"/>
    </row>
    <row r="58" spans="1:10" x14ac:dyDescent="0.3">
      <c r="A58" s="115"/>
      <c r="B58" s="115"/>
      <c r="C58" s="115"/>
      <c r="D58" s="115"/>
      <c r="E58" s="115"/>
      <c r="F58" s="115"/>
      <c r="G58" s="115"/>
      <c r="H58" s="115"/>
      <c r="I58" s="115"/>
    </row>
    <row r="59" spans="1:10" x14ac:dyDescent="0.3">
      <c r="A59" s="115"/>
      <c r="B59" s="115"/>
      <c r="C59" s="115"/>
      <c r="D59" s="115"/>
      <c r="E59" s="115"/>
      <c r="F59" s="115"/>
      <c r="G59" s="115"/>
      <c r="H59" s="115"/>
      <c r="I59" s="115"/>
    </row>
    <row r="60" spans="1:10" x14ac:dyDescent="0.3">
      <c r="A60" s="115"/>
      <c r="B60" s="115"/>
      <c r="C60" s="115"/>
      <c r="D60" s="115"/>
      <c r="E60" s="115"/>
      <c r="F60" s="115"/>
      <c r="G60" s="115"/>
      <c r="H60" s="115"/>
      <c r="I60" s="115"/>
    </row>
    <row r="61" spans="1:10" x14ac:dyDescent="0.3">
      <c r="A61" s="115"/>
      <c r="B61" s="115"/>
      <c r="C61" s="115"/>
      <c r="D61" s="115"/>
      <c r="E61" s="115"/>
      <c r="F61" s="115"/>
      <c r="G61" s="115"/>
      <c r="H61" s="115"/>
      <c r="I61" s="115"/>
    </row>
    <row r="62" spans="1:10" x14ac:dyDescent="0.3">
      <c r="A62" s="115"/>
      <c r="B62" s="115"/>
      <c r="C62" s="115"/>
      <c r="D62" s="115"/>
      <c r="E62" s="115"/>
      <c r="F62" s="115"/>
      <c r="G62" s="115"/>
      <c r="H62" s="115"/>
      <c r="I62" s="115"/>
    </row>
    <row r="63" spans="1:10" x14ac:dyDescent="0.3">
      <c r="A63" s="115"/>
      <c r="B63" s="115"/>
      <c r="C63" s="115"/>
      <c r="D63" s="115"/>
      <c r="E63" s="115"/>
      <c r="F63" s="115"/>
      <c r="G63" s="115"/>
      <c r="H63" s="115"/>
      <c r="I63" s="115"/>
    </row>
  </sheetData>
  <mergeCells count="8">
    <mergeCell ref="A1:I1"/>
    <mergeCell ref="A2:G2"/>
    <mergeCell ref="H2:I2"/>
    <mergeCell ref="A3:I3"/>
    <mergeCell ref="A4:A6"/>
    <mergeCell ref="B4:I4"/>
    <mergeCell ref="B5:E5"/>
    <mergeCell ref="F5:I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P135"/>
  <sheetViews>
    <sheetView view="pageBreakPreview" zoomScale="70" zoomScaleNormal="85" zoomScaleSheetLayoutView="70" workbookViewId="0">
      <selection activeCell="Q6" sqref="Q6"/>
    </sheetView>
  </sheetViews>
  <sheetFormatPr defaultRowHeight="13.8" x14ac:dyDescent="0.3"/>
  <cols>
    <col min="1" max="2" width="8.88671875" style="12"/>
    <col min="3" max="14" width="11.6640625" style="12" customWidth="1"/>
    <col min="15" max="15" width="9.109375" style="12" customWidth="1"/>
    <col min="16" max="16384" width="8.88671875" style="12"/>
  </cols>
  <sheetData>
    <row r="1" spans="1:14" x14ac:dyDescent="0.3">
      <c r="A1" s="246" t="s">
        <v>198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4" x14ac:dyDescent="0.3">
      <c r="A2" s="267" t="str">
        <f>year!$H$2</f>
        <v>UT : PUDUCHERRY</v>
      </c>
      <c r="B2" s="267"/>
      <c r="C2" s="267"/>
      <c r="D2" s="267"/>
      <c r="E2" s="95"/>
      <c r="F2" s="95"/>
      <c r="G2" s="95"/>
      <c r="H2" s="95"/>
      <c r="I2" s="285" t="s">
        <v>176</v>
      </c>
      <c r="J2" s="285"/>
      <c r="K2" s="285"/>
      <c r="L2" s="285"/>
      <c r="M2" s="285"/>
      <c r="N2" s="285"/>
    </row>
    <row r="3" spans="1:14" ht="15" customHeight="1" x14ac:dyDescent="0.3">
      <c r="A3" s="269" t="str">
        <f>"ICS SCHEME:- DELEGATION OF WORK AND CONDUCT OF CROP CUTTING  EXPERIMENTS BY UNTRAINED WORKERS DURING "&amp; year!$C$4 &amp;" AND "&amp; year!$C$5 &amp; "."</f>
        <v>ICS SCHEME:- DELEGATION OF WORK AND CONDUCT OF CROP CUTTING  EXPERIMENTS BY UNTRAINED WORKERS DURING 2023-24 AND 2022-23.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</row>
    <row r="4" spans="1:14" ht="15" customHeight="1" x14ac:dyDescent="0.3">
      <c r="A4" s="332" t="s">
        <v>47</v>
      </c>
      <c r="B4" s="265" t="s">
        <v>281</v>
      </c>
      <c r="C4" s="270" t="str">
        <f>year!$J$4</f>
        <v>YEAR 2023-24</v>
      </c>
      <c r="D4" s="270"/>
      <c r="E4" s="270"/>
      <c r="F4" s="270"/>
      <c r="G4" s="270"/>
      <c r="H4" s="270"/>
      <c r="I4" s="329" t="str">
        <f>year!$J$5</f>
        <v>YEAR 2022-23</v>
      </c>
      <c r="J4" s="330"/>
      <c r="K4" s="330"/>
      <c r="L4" s="330"/>
      <c r="M4" s="330"/>
      <c r="N4" s="330"/>
    </row>
    <row r="5" spans="1:14" ht="28.5" customHeight="1" x14ac:dyDescent="0.3">
      <c r="A5" s="332"/>
      <c r="B5" s="265"/>
      <c r="C5" s="266" t="s">
        <v>177</v>
      </c>
      <c r="D5" s="266"/>
      <c r="E5" s="266" t="s">
        <v>177</v>
      </c>
      <c r="F5" s="266"/>
      <c r="G5" s="266" t="s">
        <v>177</v>
      </c>
      <c r="H5" s="266"/>
      <c r="I5" s="331" t="s">
        <v>178</v>
      </c>
      <c r="J5" s="266"/>
      <c r="K5" s="266" t="s">
        <v>178</v>
      </c>
      <c r="L5" s="266"/>
      <c r="M5" s="266" t="s">
        <v>178</v>
      </c>
      <c r="N5" s="266"/>
    </row>
    <row r="6" spans="1:14" ht="151.80000000000001" x14ac:dyDescent="0.3">
      <c r="A6" s="270"/>
      <c r="B6" s="266"/>
      <c r="C6" s="96" t="s">
        <v>179</v>
      </c>
      <c r="D6" s="96" t="s">
        <v>180</v>
      </c>
      <c r="E6" s="96" t="s">
        <v>181</v>
      </c>
      <c r="F6" s="96" t="s">
        <v>182</v>
      </c>
      <c r="G6" s="96" t="s">
        <v>183</v>
      </c>
      <c r="H6" s="96" t="s">
        <v>180</v>
      </c>
      <c r="I6" s="145" t="s">
        <v>179</v>
      </c>
      <c r="J6" s="96" t="s">
        <v>180</v>
      </c>
      <c r="K6" s="96" t="s">
        <v>181</v>
      </c>
      <c r="L6" s="96" t="s">
        <v>182</v>
      </c>
      <c r="M6" s="96" t="s">
        <v>183</v>
      </c>
      <c r="N6" s="96" t="s">
        <v>180</v>
      </c>
    </row>
    <row r="7" spans="1:14" x14ac:dyDescent="0.3">
      <c r="A7" s="103" t="s">
        <v>8</v>
      </c>
      <c r="B7" s="103" t="s">
        <v>9</v>
      </c>
      <c r="C7" s="103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46" t="s">
        <v>75</v>
      </c>
      <c r="J7" s="103" t="s">
        <v>76</v>
      </c>
      <c r="K7" s="103" t="s">
        <v>77</v>
      </c>
      <c r="L7" s="103" t="s">
        <v>90</v>
      </c>
      <c r="M7" s="103" t="s">
        <v>91</v>
      </c>
      <c r="N7" s="103" t="s">
        <v>92</v>
      </c>
    </row>
    <row r="8" spans="1:14" ht="21" customHeight="1" x14ac:dyDescent="0.3">
      <c r="A8" s="104" t="str">
        <f>year!$C$3</f>
        <v>RABI I</v>
      </c>
      <c r="B8" s="21"/>
      <c r="C8" s="105"/>
      <c r="D8" s="105"/>
      <c r="E8" s="105"/>
      <c r="F8" s="105"/>
      <c r="G8" s="105"/>
      <c r="H8" s="105"/>
      <c r="I8" s="139"/>
      <c r="J8" s="105"/>
      <c r="K8" s="105"/>
      <c r="L8" s="105"/>
      <c r="M8" s="105"/>
      <c r="N8" s="105"/>
    </row>
    <row r="9" spans="1:14" ht="21" customHeight="1" x14ac:dyDescent="0.3">
      <c r="A9" s="105">
        <f>IF(B9="","",1)</f>
        <v>1</v>
      </c>
      <c r="B9" s="149" t="s">
        <v>308</v>
      </c>
      <c r="C9" s="105"/>
      <c r="D9" s="105"/>
      <c r="E9" s="105"/>
      <c r="F9" s="105"/>
      <c r="G9" s="105"/>
      <c r="H9" s="105"/>
      <c r="I9" s="139"/>
      <c r="J9" s="105"/>
      <c r="K9" s="105"/>
      <c r="L9" s="105"/>
      <c r="M9" s="105"/>
      <c r="N9" s="105"/>
    </row>
    <row r="10" spans="1:14" ht="21" customHeight="1" x14ac:dyDescent="0.3">
      <c r="A10" s="124"/>
      <c r="B10" s="124" t="str">
        <f>IF(B9="","","CENTRAL")</f>
        <v>CENTRAL</v>
      </c>
      <c r="C10" s="141" t="s">
        <v>313</v>
      </c>
      <c r="D10" s="141" t="s">
        <v>313</v>
      </c>
      <c r="E10" s="141" t="s">
        <v>313</v>
      </c>
      <c r="F10" s="141" t="s">
        <v>313</v>
      </c>
      <c r="G10" s="141" t="s">
        <v>674</v>
      </c>
      <c r="H10" s="141" t="s">
        <v>313</v>
      </c>
      <c r="I10" s="142" t="s">
        <v>313</v>
      </c>
      <c r="J10" s="141" t="s">
        <v>313</v>
      </c>
      <c r="K10" s="141" t="s">
        <v>313</v>
      </c>
      <c r="L10" s="141" t="s">
        <v>313</v>
      </c>
      <c r="M10" s="141" t="s">
        <v>674</v>
      </c>
      <c r="N10" s="141" t="s">
        <v>313</v>
      </c>
    </row>
    <row r="11" spans="1:14" ht="21" customHeight="1" x14ac:dyDescent="0.3">
      <c r="A11" s="124"/>
      <c r="B11" s="124" t="str">
        <f>IF(B10="","","STATE")</f>
        <v>STATE</v>
      </c>
      <c r="C11" s="141" t="s">
        <v>313</v>
      </c>
      <c r="D11" s="141" t="s">
        <v>313</v>
      </c>
      <c r="E11" s="141" t="s">
        <v>313</v>
      </c>
      <c r="F11" s="141" t="s">
        <v>313</v>
      </c>
      <c r="G11" s="141" t="s">
        <v>674</v>
      </c>
      <c r="H11" s="141" t="s">
        <v>313</v>
      </c>
      <c r="I11" s="142" t="s">
        <v>313</v>
      </c>
      <c r="J11" s="141" t="s">
        <v>313</v>
      </c>
      <c r="K11" s="141" t="s">
        <v>313</v>
      </c>
      <c r="L11" s="141" t="s">
        <v>313</v>
      </c>
      <c r="M11" s="141" t="s">
        <v>674</v>
      </c>
      <c r="N11" s="141" t="s">
        <v>313</v>
      </c>
    </row>
    <row r="12" spans="1:14" ht="21" customHeight="1" x14ac:dyDescent="0.3">
      <c r="A12" s="124"/>
      <c r="B12" s="123" t="str">
        <f>IF(B11="","","POOLED")</f>
        <v>POOLED</v>
      </c>
      <c r="C12" s="60" t="s">
        <v>313</v>
      </c>
      <c r="D12" s="60" t="s">
        <v>313</v>
      </c>
      <c r="E12" s="60" t="s">
        <v>313</v>
      </c>
      <c r="F12" s="60" t="s">
        <v>313</v>
      </c>
      <c r="G12" s="60" t="s">
        <v>675</v>
      </c>
      <c r="H12" s="60" t="s">
        <v>313</v>
      </c>
      <c r="I12" s="61" t="s">
        <v>313</v>
      </c>
      <c r="J12" s="60" t="s">
        <v>313</v>
      </c>
      <c r="K12" s="60" t="s">
        <v>313</v>
      </c>
      <c r="L12" s="60" t="s">
        <v>313</v>
      </c>
      <c r="M12" s="60" t="s">
        <v>675</v>
      </c>
      <c r="N12" s="60" t="s">
        <v>313</v>
      </c>
    </row>
    <row r="13" spans="1:14" hidden="1" x14ac:dyDescent="0.3">
      <c r="A13" s="105" t="str">
        <f>IF(B13="","",A9+1)</f>
        <v/>
      </c>
      <c r="B13" s="150" t="s">
        <v>231</v>
      </c>
      <c r="C13" s="141"/>
      <c r="D13" s="141"/>
      <c r="E13" s="141"/>
      <c r="F13" s="141"/>
      <c r="G13" s="141"/>
      <c r="H13" s="141"/>
      <c r="I13" s="142"/>
      <c r="J13" s="141"/>
      <c r="K13" s="141"/>
      <c r="L13" s="141"/>
      <c r="M13" s="141"/>
      <c r="N13" s="141"/>
    </row>
    <row r="14" spans="1:14" hidden="1" x14ac:dyDescent="0.3">
      <c r="A14" s="124"/>
      <c r="B14" s="124" t="str">
        <f>IF(B13="","","CENTRAL")</f>
        <v/>
      </c>
      <c r="C14" s="141" t="s">
        <v>231</v>
      </c>
      <c r="D14" s="141" t="s">
        <v>231</v>
      </c>
      <c r="E14" s="141" t="s">
        <v>231</v>
      </c>
      <c r="F14" s="141" t="s">
        <v>231</v>
      </c>
      <c r="G14" s="141" t="s">
        <v>231</v>
      </c>
      <c r="H14" s="141" t="s">
        <v>231</v>
      </c>
      <c r="I14" s="142" t="s">
        <v>231</v>
      </c>
      <c r="J14" s="141" t="s">
        <v>231</v>
      </c>
      <c r="K14" s="141" t="s">
        <v>231</v>
      </c>
      <c r="L14" s="141" t="s">
        <v>231</v>
      </c>
      <c r="M14" s="141" t="s">
        <v>231</v>
      </c>
      <c r="N14" s="141" t="s">
        <v>231</v>
      </c>
    </row>
    <row r="15" spans="1:14" hidden="1" x14ac:dyDescent="0.3">
      <c r="A15" s="124"/>
      <c r="B15" s="124" t="str">
        <f>IF(B14="","","STATE")</f>
        <v/>
      </c>
      <c r="C15" s="141" t="s">
        <v>231</v>
      </c>
      <c r="D15" s="141" t="s">
        <v>231</v>
      </c>
      <c r="E15" s="141" t="s">
        <v>231</v>
      </c>
      <c r="F15" s="141" t="s">
        <v>231</v>
      </c>
      <c r="G15" s="141" t="s">
        <v>231</v>
      </c>
      <c r="H15" s="141" t="s">
        <v>231</v>
      </c>
      <c r="I15" s="142" t="s">
        <v>231</v>
      </c>
      <c r="J15" s="141" t="s">
        <v>231</v>
      </c>
      <c r="K15" s="141" t="s">
        <v>231</v>
      </c>
      <c r="L15" s="141" t="s">
        <v>231</v>
      </c>
      <c r="M15" s="141" t="s">
        <v>231</v>
      </c>
      <c r="N15" s="141" t="s">
        <v>231</v>
      </c>
    </row>
    <row r="16" spans="1:14" hidden="1" x14ac:dyDescent="0.3">
      <c r="A16" s="124"/>
      <c r="B16" s="124" t="str">
        <f>IF(B15="","","POOLED")</f>
        <v/>
      </c>
      <c r="C16" s="141" t="s">
        <v>231</v>
      </c>
      <c r="D16" s="141" t="s">
        <v>231</v>
      </c>
      <c r="E16" s="141" t="s">
        <v>231</v>
      </c>
      <c r="F16" s="141" t="s">
        <v>231</v>
      </c>
      <c r="G16" s="141" t="s">
        <v>231</v>
      </c>
      <c r="H16" s="141" t="s">
        <v>231</v>
      </c>
      <c r="I16" s="142" t="s">
        <v>231</v>
      </c>
      <c r="J16" s="141" t="s">
        <v>231</v>
      </c>
      <c r="K16" s="141" t="s">
        <v>231</v>
      </c>
      <c r="L16" s="141" t="s">
        <v>231</v>
      </c>
      <c r="M16" s="141" t="s">
        <v>231</v>
      </c>
      <c r="N16" s="141" t="s">
        <v>231</v>
      </c>
    </row>
    <row r="17" spans="1:14" ht="21.6" hidden="1" customHeight="1" x14ac:dyDescent="0.3">
      <c r="A17" s="105" t="str">
        <f>IF(B17="","",A13+1)</f>
        <v/>
      </c>
      <c r="B17" s="105" t="s">
        <v>231</v>
      </c>
      <c r="C17" s="141"/>
      <c r="D17" s="141"/>
      <c r="E17" s="141"/>
      <c r="F17" s="141"/>
      <c r="G17" s="141"/>
      <c r="H17" s="141"/>
      <c r="I17" s="142"/>
      <c r="J17" s="141"/>
      <c r="K17" s="141"/>
      <c r="L17" s="141"/>
      <c r="M17" s="141"/>
      <c r="N17" s="141"/>
    </row>
    <row r="18" spans="1:14" hidden="1" x14ac:dyDescent="0.3">
      <c r="A18" s="124"/>
      <c r="B18" s="124" t="str">
        <f>IF(B17="","","CENTRAL")</f>
        <v/>
      </c>
      <c r="C18" s="141" t="s">
        <v>231</v>
      </c>
      <c r="D18" s="141" t="s">
        <v>231</v>
      </c>
      <c r="E18" s="141" t="s">
        <v>231</v>
      </c>
      <c r="F18" s="141" t="s">
        <v>231</v>
      </c>
      <c r="G18" s="141" t="s">
        <v>231</v>
      </c>
      <c r="H18" s="141" t="s">
        <v>231</v>
      </c>
      <c r="I18" s="142" t="s">
        <v>231</v>
      </c>
      <c r="J18" s="141" t="s">
        <v>231</v>
      </c>
      <c r="K18" s="141" t="s">
        <v>231</v>
      </c>
      <c r="L18" s="141" t="s">
        <v>231</v>
      </c>
      <c r="M18" s="141" t="s">
        <v>231</v>
      </c>
      <c r="N18" s="141" t="s">
        <v>231</v>
      </c>
    </row>
    <row r="19" spans="1:14" hidden="1" x14ac:dyDescent="0.3">
      <c r="A19" s="124"/>
      <c r="B19" s="124" t="str">
        <f>IF(B18="","","STATE")</f>
        <v/>
      </c>
      <c r="C19" s="141" t="s">
        <v>231</v>
      </c>
      <c r="D19" s="141" t="s">
        <v>231</v>
      </c>
      <c r="E19" s="141" t="s">
        <v>231</v>
      </c>
      <c r="F19" s="141" t="s">
        <v>231</v>
      </c>
      <c r="G19" s="141" t="s">
        <v>231</v>
      </c>
      <c r="H19" s="141" t="s">
        <v>231</v>
      </c>
      <c r="I19" s="142" t="s">
        <v>231</v>
      </c>
      <c r="J19" s="141" t="s">
        <v>231</v>
      </c>
      <c r="K19" s="141" t="s">
        <v>231</v>
      </c>
      <c r="L19" s="141" t="s">
        <v>231</v>
      </c>
      <c r="M19" s="141" t="s">
        <v>231</v>
      </c>
      <c r="N19" s="141" t="s">
        <v>231</v>
      </c>
    </row>
    <row r="20" spans="1:14" hidden="1" x14ac:dyDescent="0.3">
      <c r="A20" s="124"/>
      <c r="B20" s="124" t="str">
        <f>IF(B19="","","POOLED")</f>
        <v/>
      </c>
      <c r="C20" s="141" t="s">
        <v>231</v>
      </c>
      <c r="D20" s="141" t="s">
        <v>231</v>
      </c>
      <c r="E20" s="141" t="s">
        <v>231</v>
      </c>
      <c r="F20" s="141" t="s">
        <v>231</v>
      </c>
      <c r="G20" s="141" t="s">
        <v>231</v>
      </c>
      <c r="H20" s="141" t="s">
        <v>231</v>
      </c>
      <c r="I20" s="142" t="s">
        <v>231</v>
      </c>
      <c r="J20" s="141" t="s">
        <v>231</v>
      </c>
      <c r="K20" s="141" t="s">
        <v>231</v>
      </c>
      <c r="L20" s="141" t="s">
        <v>231</v>
      </c>
      <c r="M20" s="141" t="s">
        <v>231</v>
      </c>
      <c r="N20" s="141" t="s">
        <v>231</v>
      </c>
    </row>
    <row r="21" spans="1:14" ht="21.6" hidden="1" customHeight="1" x14ac:dyDescent="0.3">
      <c r="A21" s="105" t="str">
        <f>IF(B21="","",A17+1)</f>
        <v/>
      </c>
      <c r="B21" s="105" t="s">
        <v>231</v>
      </c>
      <c r="C21" s="141"/>
      <c r="D21" s="141"/>
      <c r="E21" s="141"/>
      <c r="F21" s="141"/>
      <c r="G21" s="141"/>
      <c r="H21" s="141"/>
      <c r="I21" s="142"/>
      <c r="J21" s="141"/>
      <c r="K21" s="141"/>
      <c r="L21" s="141"/>
      <c r="M21" s="141"/>
      <c r="N21" s="141"/>
    </row>
    <row r="22" spans="1:14" hidden="1" x14ac:dyDescent="0.3">
      <c r="A22" s="124"/>
      <c r="B22" s="124" t="str">
        <f>IF(B21="","","CENTRAL")</f>
        <v/>
      </c>
      <c r="C22" s="141" t="s">
        <v>231</v>
      </c>
      <c r="D22" s="141" t="s">
        <v>231</v>
      </c>
      <c r="E22" s="141" t="s">
        <v>231</v>
      </c>
      <c r="F22" s="141" t="s">
        <v>231</v>
      </c>
      <c r="G22" s="141" t="s">
        <v>231</v>
      </c>
      <c r="H22" s="141" t="s">
        <v>231</v>
      </c>
      <c r="I22" s="142" t="s">
        <v>231</v>
      </c>
      <c r="J22" s="141" t="s">
        <v>231</v>
      </c>
      <c r="K22" s="141" t="s">
        <v>231</v>
      </c>
      <c r="L22" s="141" t="s">
        <v>231</v>
      </c>
      <c r="M22" s="141" t="s">
        <v>231</v>
      </c>
      <c r="N22" s="141" t="s">
        <v>231</v>
      </c>
    </row>
    <row r="23" spans="1:14" hidden="1" x14ac:dyDescent="0.3">
      <c r="A23" s="124"/>
      <c r="B23" s="124" t="str">
        <f>IF(B22="","","STATE")</f>
        <v/>
      </c>
      <c r="C23" s="141" t="s">
        <v>231</v>
      </c>
      <c r="D23" s="141" t="s">
        <v>231</v>
      </c>
      <c r="E23" s="141" t="s">
        <v>231</v>
      </c>
      <c r="F23" s="141" t="s">
        <v>231</v>
      </c>
      <c r="G23" s="141" t="s">
        <v>231</v>
      </c>
      <c r="H23" s="141" t="s">
        <v>231</v>
      </c>
      <c r="I23" s="142" t="s">
        <v>231</v>
      </c>
      <c r="J23" s="141" t="s">
        <v>231</v>
      </c>
      <c r="K23" s="141" t="s">
        <v>231</v>
      </c>
      <c r="L23" s="141" t="s">
        <v>231</v>
      </c>
      <c r="M23" s="141" t="s">
        <v>231</v>
      </c>
      <c r="N23" s="141" t="s">
        <v>231</v>
      </c>
    </row>
    <row r="24" spans="1:14" hidden="1" x14ac:dyDescent="0.3">
      <c r="A24" s="124"/>
      <c r="B24" s="124" t="str">
        <f>IF(B23="","","POOLED")</f>
        <v/>
      </c>
      <c r="C24" s="141" t="s">
        <v>231</v>
      </c>
      <c r="D24" s="141" t="s">
        <v>231</v>
      </c>
      <c r="E24" s="141" t="s">
        <v>231</v>
      </c>
      <c r="F24" s="141" t="s">
        <v>231</v>
      </c>
      <c r="G24" s="141" t="s">
        <v>231</v>
      </c>
      <c r="H24" s="141" t="s">
        <v>231</v>
      </c>
      <c r="I24" s="142" t="s">
        <v>231</v>
      </c>
      <c r="J24" s="141" t="s">
        <v>231</v>
      </c>
      <c r="K24" s="141" t="s">
        <v>231</v>
      </c>
      <c r="L24" s="141" t="s">
        <v>231</v>
      </c>
      <c r="M24" s="141" t="s">
        <v>231</v>
      </c>
      <c r="N24" s="141" t="s">
        <v>231</v>
      </c>
    </row>
    <row r="25" spans="1:14" hidden="1" x14ac:dyDescent="0.3">
      <c r="A25" s="105" t="str">
        <f>IF(B25="","",A21+1)</f>
        <v/>
      </c>
      <c r="B25" s="105" t="s">
        <v>231</v>
      </c>
      <c r="C25" s="141"/>
      <c r="D25" s="141"/>
      <c r="E25" s="141"/>
      <c r="F25" s="141"/>
      <c r="G25" s="141"/>
      <c r="H25" s="141"/>
      <c r="I25" s="142"/>
      <c r="J25" s="141"/>
      <c r="K25" s="141"/>
      <c r="L25" s="141"/>
      <c r="M25" s="141"/>
      <c r="N25" s="141"/>
    </row>
    <row r="26" spans="1:14" hidden="1" x14ac:dyDescent="0.3">
      <c r="A26" s="124"/>
      <c r="B26" s="124" t="str">
        <f>IF(B25="","","CENTRAL")</f>
        <v/>
      </c>
      <c r="C26" s="141" t="s">
        <v>231</v>
      </c>
      <c r="D26" s="141" t="s">
        <v>231</v>
      </c>
      <c r="E26" s="141" t="s">
        <v>231</v>
      </c>
      <c r="F26" s="141" t="s">
        <v>231</v>
      </c>
      <c r="G26" s="141" t="s">
        <v>231</v>
      </c>
      <c r="H26" s="141" t="s">
        <v>231</v>
      </c>
      <c r="I26" s="142" t="s">
        <v>231</v>
      </c>
      <c r="J26" s="141" t="s">
        <v>231</v>
      </c>
      <c r="K26" s="141" t="s">
        <v>231</v>
      </c>
      <c r="L26" s="141" t="s">
        <v>231</v>
      </c>
      <c r="M26" s="141" t="s">
        <v>231</v>
      </c>
      <c r="N26" s="141" t="s">
        <v>231</v>
      </c>
    </row>
    <row r="27" spans="1:14" hidden="1" x14ac:dyDescent="0.3">
      <c r="A27" s="124"/>
      <c r="B27" s="124" t="str">
        <f>IF(B26="","","STATE")</f>
        <v/>
      </c>
      <c r="C27" s="141" t="s">
        <v>231</v>
      </c>
      <c r="D27" s="141" t="s">
        <v>231</v>
      </c>
      <c r="E27" s="141" t="s">
        <v>231</v>
      </c>
      <c r="F27" s="141" t="s">
        <v>231</v>
      </c>
      <c r="G27" s="141" t="s">
        <v>231</v>
      </c>
      <c r="H27" s="141" t="s">
        <v>231</v>
      </c>
      <c r="I27" s="142" t="s">
        <v>231</v>
      </c>
      <c r="J27" s="141" t="s">
        <v>231</v>
      </c>
      <c r="K27" s="141" t="s">
        <v>231</v>
      </c>
      <c r="L27" s="141" t="s">
        <v>231</v>
      </c>
      <c r="M27" s="141" t="s">
        <v>231</v>
      </c>
      <c r="N27" s="141" t="s">
        <v>231</v>
      </c>
    </row>
    <row r="28" spans="1:14" hidden="1" x14ac:dyDescent="0.3">
      <c r="A28" s="124"/>
      <c r="B28" s="124" t="str">
        <f>IF(B27="","","POOLED")</f>
        <v/>
      </c>
      <c r="C28" s="141" t="s">
        <v>231</v>
      </c>
      <c r="D28" s="141" t="s">
        <v>231</v>
      </c>
      <c r="E28" s="141" t="s">
        <v>231</v>
      </c>
      <c r="F28" s="141" t="s">
        <v>231</v>
      </c>
      <c r="G28" s="141" t="s">
        <v>231</v>
      </c>
      <c r="H28" s="141" t="s">
        <v>231</v>
      </c>
      <c r="I28" s="142" t="s">
        <v>231</v>
      </c>
      <c r="J28" s="141" t="s">
        <v>231</v>
      </c>
      <c r="K28" s="141" t="s">
        <v>231</v>
      </c>
      <c r="L28" s="141" t="s">
        <v>231</v>
      </c>
      <c r="M28" s="141" t="s">
        <v>231</v>
      </c>
      <c r="N28" s="141" t="s">
        <v>231</v>
      </c>
    </row>
    <row r="29" spans="1:14" hidden="1" x14ac:dyDescent="0.3">
      <c r="A29" s="105" t="str">
        <f>IF(B29="","",A25+1)</f>
        <v/>
      </c>
      <c r="B29" s="105" t="s">
        <v>231</v>
      </c>
      <c r="C29" s="141"/>
      <c r="D29" s="141"/>
      <c r="E29" s="141"/>
      <c r="F29" s="141"/>
      <c r="G29" s="141"/>
      <c r="H29" s="141"/>
      <c r="I29" s="142"/>
      <c r="J29" s="141"/>
      <c r="K29" s="141"/>
      <c r="L29" s="141"/>
      <c r="M29" s="141"/>
      <c r="N29" s="141"/>
    </row>
    <row r="30" spans="1:14" hidden="1" x14ac:dyDescent="0.3">
      <c r="A30" s="124"/>
      <c r="B30" s="124" t="str">
        <f>IF(B29="","","CENTRAL")</f>
        <v/>
      </c>
      <c r="C30" s="141" t="s">
        <v>231</v>
      </c>
      <c r="D30" s="141" t="s">
        <v>231</v>
      </c>
      <c r="E30" s="141" t="s">
        <v>231</v>
      </c>
      <c r="F30" s="141" t="s">
        <v>231</v>
      </c>
      <c r="G30" s="141" t="s">
        <v>231</v>
      </c>
      <c r="H30" s="141" t="s">
        <v>231</v>
      </c>
      <c r="I30" s="142" t="s">
        <v>231</v>
      </c>
      <c r="J30" s="141" t="s">
        <v>231</v>
      </c>
      <c r="K30" s="141" t="s">
        <v>231</v>
      </c>
      <c r="L30" s="141" t="s">
        <v>231</v>
      </c>
      <c r="M30" s="141" t="s">
        <v>231</v>
      </c>
      <c r="N30" s="141" t="s">
        <v>231</v>
      </c>
    </row>
    <row r="31" spans="1:14" hidden="1" x14ac:dyDescent="0.3">
      <c r="A31" s="124"/>
      <c r="B31" s="124" t="str">
        <f>IF(B30="","","STATE")</f>
        <v/>
      </c>
      <c r="C31" s="141" t="s">
        <v>231</v>
      </c>
      <c r="D31" s="141" t="s">
        <v>231</v>
      </c>
      <c r="E31" s="141" t="s">
        <v>231</v>
      </c>
      <c r="F31" s="141" t="s">
        <v>231</v>
      </c>
      <c r="G31" s="141" t="s">
        <v>231</v>
      </c>
      <c r="H31" s="141" t="s">
        <v>231</v>
      </c>
      <c r="I31" s="142" t="s">
        <v>231</v>
      </c>
      <c r="J31" s="141" t="s">
        <v>231</v>
      </c>
      <c r="K31" s="141" t="s">
        <v>231</v>
      </c>
      <c r="L31" s="141" t="s">
        <v>231</v>
      </c>
      <c r="M31" s="141" t="s">
        <v>231</v>
      </c>
      <c r="N31" s="141" t="s">
        <v>231</v>
      </c>
    </row>
    <row r="32" spans="1:14" hidden="1" x14ac:dyDescent="0.3">
      <c r="A32" s="124"/>
      <c r="B32" s="124" t="str">
        <f>IF(B31="","","POOLED")</f>
        <v/>
      </c>
      <c r="C32" s="141" t="s">
        <v>231</v>
      </c>
      <c r="D32" s="141" t="s">
        <v>231</v>
      </c>
      <c r="E32" s="141" t="s">
        <v>231</v>
      </c>
      <c r="F32" s="141" t="s">
        <v>231</v>
      </c>
      <c r="G32" s="141" t="s">
        <v>231</v>
      </c>
      <c r="H32" s="141" t="s">
        <v>231</v>
      </c>
      <c r="I32" s="142" t="s">
        <v>231</v>
      </c>
      <c r="J32" s="141" t="s">
        <v>231</v>
      </c>
      <c r="K32" s="141" t="s">
        <v>231</v>
      </c>
      <c r="L32" s="141" t="s">
        <v>231</v>
      </c>
      <c r="M32" s="141" t="s">
        <v>231</v>
      </c>
      <c r="N32" s="141" t="s">
        <v>231</v>
      </c>
    </row>
    <row r="33" spans="1:14" hidden="1" x14ac:dyDescent="0.3">
      <c r="A33" s="105" t="str">
        <f>IF(B33="","",A29+1)</f>
        <v/>
      </c>
      <c r="B33" s="105" t="s">
        <v>231</v>
      </c>
      <c r="C33" s="141"/>
      <c r="D33" s="141"/>
      <c r="E33" s="141"/>
      <c r="F33" s="141"/>
      <c r="G33" s="141"/>
      <c r="H33" s="141"/>
      <c r="I33" s="142"/>
      <c r="J33" s="141"/>
      <c r="K33" s="141"/>
      <c r="L33" s="141"/>
      <c r="M33" s="141"/>
      <c r="N33" s="141"/>
    </row>
    <row r="34" spans="1:14" hidden="1" x14ac:dyDescent="0.3">
      <c r="A34" s="124"/>
      <c r="B34" s="124" t="str">
        <f>IF(B33="","","CENTRAL")</f>
        <v/>
      </c>
      <c r="C34" s="141" t="s">
        <v>231</v>
      </c>
      <c r="D34" s="141" t="s">
        <v>231</v>
      </c>
      <c r="E34" s="141" t="s">
        <v>231</v>
      </c>
      <c r="F34" s="141" t="s">
        <v>231</v>
      </c>
      <c r="G34" s="141" t="s">
        <v>231</v>
      </c>
      <c r="H34" s="141" t="s">
        <v>231</v>
      </c>
      <c r="I34" s="142" t="s">
        <v>231</v>
      </c>
      <c r="J34" s="141" t="s">
        <v>231</v>
      </c>
      <c r="K34" s="141" t="s">
        <v>231</v>
      </c>
      <c r="L34" s="141" t="s">
        <v>231</v>
      </c>
      <c r="M34" s="141" t="s">
        <v>231</v>
      </c>
      <c r="N34" s="141" t="s">
        <v>231</v>
      </c>
    </row>
    <row r="35" spans="1:14" hidden="1" x14ac:dyDescent="0.3">
      <c r="A35" s="124"/>
      <c r="B35" s="124" t="str">
        <f>IF(B34="","","STATE")</f>
        <v/>
      </c>
      <c r="C35" s="141" t="s">
        <v>231</v>
      </c>
      <c r="D35" s="141" t="s">
        <v>231</v>
      </c>
      <c r="E35" s="141" t="s">
        <v>231</v>
      </c>
      <c r="F35" s="141" t="s">
        <v>231</v>
      </c>
      <c r="G35" s="141" t="s">
        <v>231</v>
      </c>
      <c r="H35" s="141" t="s">
        <v>231</v>
      </c>
      <c r="I35" s="142" t="s">
        <v>231</v>
      </c>
      <c r="J35" s="141" t="s">
        <v>231</v>
      </c>
      <c r="K35" s="141" t="s">
        <v>231</v>
      </c>
      <c r="L35" s="141" t="s">
        <v>231</v>
      </c>
      <c r="M35" s="141" t="s">
        <v>231</v>
      </c>
      <c r="N35" s="141" t="s">
        <v>231</v>
      </c>
    </row>
    <row r="36" spans="1:14" hidden="1" x14ac:dyDescent="0.3">
      <c r="A36" s="124"/>
      <c r="B36" s="124" t="str">
        <f>IF(B35="","","POOLED")</f>
        <v/>
      </c>
      <c r="C36" s="141" t="s">
        <v>231</v>
      </c>
      <c r="D36" s="141" t="s">
        <v>231</v>
      </c>
      <c r="E36" s="141" t="s">
        <v>231</v>
      </c>
      <c r="F36" s="141" t="s">
        <v>231</v>
      </c>
      <c r="G36" s="141" t="s">
        <v>231</v>
      </c>
      <c r="H36" s="141" t="s">
        <v>231</v>
      </c>
      <c r="I36" s="142" t="s">
        <v>231</v>
      </c>
      <c r="J36" s="141" t="s">
        <v>231</v>
      </c>
      <c r="K36" s="141" t="s">
        <v>231</v>
      </c>
      <c r="L36" s="141" t="s">
        <v>231</v>
      </c>
      <c r="M36" s="141" t="s">
        <v>231</v>
      </c>
      <c r="N36" s="141" t="s">
        <v>231</v>
      </c>
    </row>
    <row r="37" spans="1:14" hidden="1" x14ac:dyDescent="0.3">
      <c r="A37" s="105" t="str">
        <f>IF(B37="","",A33+1)</f>
        <v/>
      </c>
      <c r="B37" s="105" t="s">
        <v>231</v>
      </c>
      <c r="C37" s="141"/>
      <c r="D37" s="141"/>
      <c r="E37" s="141"/>
      <c r="F37" s="141"/>
      <c r="G37" s="141"/>
      <c r="H37" s="141"/>
      <c r="I37" s="142"/>
      <c r="J37" s="141"/>
      <c r="K37" s="141"/>
      <c r="L37" s="141"/>
      <c r="M37" s="141"/>
      <c r="N37" s="141"/>
    </row>
    <row r="38" spans="1:14" hidden="1" x14ac:dyDescent="0.3">
      <c r="A38" s="124"/>
      <c r="B38" s="124" t="str">
        <f>IF(B37="","","CENTRAL")</f>
        <v/>
      </c>
      <c r="C38" s="141" t="s">
        <v>231</v>
      </c>
      <c r="D38" s="141" t="s">
        <v>231</v>
      </c>
      <c r="E38" s="141" t="s">
        <v>231</v>
      </c>
      <c r="F38" s="141" t="s">
        <v>231</v>
      </c>
      <c r="G38" s="141" t="s">
        <v>231</v>
      </c>
      <c r="H38" s="141" t="s">
        <v>231</v>
      </c>
      <c r="I38" s="142" t="s">
        <v>231</v>
      </c>
      <c r="J38" s="141" t="s">
        <v>231</v>
      </c>
      <c r="K38" s="141" t="s">
        <v>231</v>
      </c>
      <c r="L38" s="141" t="s">
        <v>231</v>
      </c>
      <c r="M38" s="141" t="s">
        <v>231</v>
      </c>
      <c r="N38" s="141" t="s">
        <v>231</v>
      </c>
    </row>
    <row r="39" spans="1:14" hidden="1" x14ac:dyDescent="0.3">
      <c r="A39" s="124"/>
      <c r="B39" s="124" t="str">
        <f>IF(B38="","","STATE")</f>
        <v/>
      </c>
      <c r="C39" s="141" t="s">
        <v>231</v>
      </c>
      <c r="D39" s="141" t="s">
        <v>231</v>
      </c>
      <c r="E39" s="141" t="s">
        <v>231</v>
      </c>
      <c r="F39" s="141" t="s">
        <v>231</v>
      </c>
      <c r="G39" s="141" t="s">
        <v>231</v>
      </c>
      <c r="H39" s="141" t="s">
        <v>231</v>
      </c>
      <c r="I39" s="142" t="s">
        <v>231</v>
      </c>
      <c r="J39" s="141" t="s">
        <v>231</v>
      </c>
      <c r="K39" s="141" t="s">
        <v>231</v>
      </c>
      <c r="L39" s="141" t="s">
        <v>231</v>
      </c>
      <c r="M39" s="141" t="s">
        <v>231</v>
      </c>
      <c r="N39" s="141" t="s">
        <v>231</v>
      </c>
    </row>
    <row r="40" spans="1:14" hidden="1" x14ac:dyDescent="0.3">
      <c r="A40" s="124"/>
      <c r="B40" s="124" t="str">
        <f>IF(B39="","","POOLED")</f>
        <v/>
      </c>
      <c r="C40" s="141" t="s">
        <v>231</v>
      </c>
      <c r="D40" s="141" t="s">
        <v>231</v>
      </c>
      <c r="E40" s="141" t="s">
        <v>231</v>
      </c>
      <c r="F40" s="141" t="s">
        <v>231</v>
      </c>
      <c r="G40" s="141" t="s">
        <v>231</v>
      </c>
      <c r="H40" s="141" t="s">
        <v>231</v>
      </c>
      <c r="I40" s="142" t="s">
        <v>231</v>
      </c>
      <c r="J40" s="141" t="s">
        <v>231</v>
      </c>
      <c r="K40" s="141" t="s">
        <v>231</v>
      </c>
      <c r="L40" s="141" t="s">
        <v>231</v>
      </c>
      <c r="M40" s="141" t="s">
        <v>231</v>
      </c>
      <c r="N40" s="141" t="s">
        <v>231</v>
      </c>
    </row>
    <row r="41" spans="1:14" hidden="1" x14ac:dyDescent="0.3">
      <c r="A41" s="105" t="str">
        <f>IF(B41="","",A37+1)</f>
        <v/>
      </c>
      <c r="B41" s="105" t="s">
        <v>231</v>
      </c>
      <c r="C41" s="141"/>
      <c r="D41" s="141"/>
      <c r="E41" s="141"/>
      <c r="F41" s="141"/>
      <c r="G41" s="141"/>
      <c r="H41" s="141"/>
      <c r="I41" s="142"/>
      <c r="J41" s="141"/>
      <c r="K41" s="141"/>
      <c r="L41" s="141"/>
      <c r="M41" s="141"/>
      <c r="N41" s="141"/>
    </row>
    <row r="42" spans="1:14" hidden="1" x14ac:dyDescent="0.3">
      <c r="A42" s="124"/>
      <c r="B42" s="124" t="str">
        <f>IF(B41="","","CENTRAL")</f>
        <v/>
      </c>
      <c r="C42" s="141" t="s">
        <v>231</v>
      </c>
      <c r="D42" s="141" t="s">
        <v>231</v>
      </c>
      <c r="E42" s="141" t="s">
        <v>231</v>
      </c>
      <c r="F42" s="141" t="s">
        <v>231</v>
      </c>
      <c r="G42" s="141" t="s">
        <v>231</v>
      </c>
      <c r="H42" s="141" t="s">
        <v>231</v>
      </c>
      <c r="I42" s="142" t="s">
        <v>231</v>
      </c>
      <c r="J42" s="141" t="s">
        <v>231</v>
      </c>
      <c r="K42" s="141" t="s">
        <v>231</v>
      </c>
      <c r="L42" s="141" t="s">
        <v>231</v>
      </c>
      <c r="M42" s="141" t="s">
        <v>231</v>
      </c>
      <c r="N42" s="141" t="s">
        <v>231</v>
      </c>
    </row>
    <row r="43" spans="1:14" hidden="1" x14ac:dyDescent="0.3">
      <c r="A43" s="124"/>
      <c r="B43" s="124" t="str">
        <f>IF(B42="","","STATE")</f>
        <v/>
      </c>
      <c r="C43" s="141" t="s">
        <v>231</v>
      </c>
      <c r="D43" s="141" t="s">
        <v>231</v>
      </c>
      <c r="E43" s="141" t="s">
        <v>231</v>
      </c>
      <c r="F43" s="141" t="s">
        <v>231</v>
      </c>
      <c r="G43" s="141" t="s">
        <v>231</v>
      </c>
      <c r="H43" s="141" t="s">
        <v>231</v>
      </c>
      <c r="I43" s="142" t="s">
        <v>231</v>
      </c>
      <c r="J43" s="141" t="s">
        <v>231</v>
      </c>
      <c r="K43" s="141" t="s">
        <v>231</v>
      </c>
      <c r="L43" s="141" t="s">
        <v>231</v>
      </c>
      <c r="M43" s="141" t="s">
        <v>231</v>
      </c>
      <c r="N43" s="141" t="s">
        <v>231</v>
      </c>
    </row>
    <row r="44" spans="1:14" hidden="1" x14ac:dyDescent="0.3">
      <c r="A44" s="124"/>
      <c r="B44" s="124" t="str">
        <f>IF(B43="","","POOLED")</f>
        <v/>
      </c>
      <c r="C44" s="141" t="s">
        <v>231</v>
      </c>
      <c r="D44" s="141" t="s">
        <v>231</v>
      </c>
      <c r="E44" s="141" t="s">
        <v>231</v>
      </c>
      <c r="F44" s="141" t="s">
        <v>231</v>
      </c>
      <c r="G44" s="141" t="s">
        <v>231</v>
      </c>
      <c r="H44" s="141" t="s">
        <v>231</v>
      </c>
      <c r="I44" s="142" t="s">
        <v>231</v>
      </c>
      <c r="J44" s="141" t="s">
        <v>231</v>
      </c>
      <c r="K44" s="141" t="s">
        <v>231</v>
      </c>
      <c r="L44" s="141" t="s">
        <v>231</v>
      </c>
      <c r="M44" s="141" t="s">
        <v>231</v>
      </c>
      <c r="N44" s="141" t="s">
        <v>231</v>
      </c>
    </row>
    <row r="45" spans="1:14" hidden="1" x14ac:dyDescent="0.3">
      <c r="A45" s="105" t="str">
        <f>IF(B45="","",A41+1)</f>
        <v/>
      </c>
      <c r="B45" s="105" t="s">
        <v>231</v>
      </c>
      <c r="C45" s="141"/>
      <c r="D45" s="141"/>
      <c r="E45" s="141"/>
      <c r="F45" s="141"/>
      <c r="G45" s="141"/>
      <c r="H45" s="141"/>
      <c r="I45" s="142"/>
      <c r="J45" s="141"/>
      <c r="K45" s="141"/>
      <c r="L45" s="141"/>
      <c r="M45" s="141"/>
      <c r="N45" s="141"/>
    </row>
    <row r="46" spans="1:14" hidden="1" x14ac:dyDescent="0.3">
      <c r="A46" s="124"/>
      <c r="B46" s="124" t="str">
        <f>IF(B45="","","CENTRAL")</f>
        <v/>
      </c>
      <c r="C46" s="141" t="s">
        <v>231</v>
      </c>
      <c r="D46" s="141" t="s">
        <v>231</v>
      </c>
      <c r="E46" s="141" t="s">
        <v>231</v>
      </c>
      <c r="F46" s="141" t="s">
        <v>231</v>
      </c>
      <c r="G46" s="141" t="s">
        <v>231</v>
      </c>
      <c r="H46" s="141" t="s">
        <v>231</v>
      </c>
      <c r="I46" s="142" t="s">
        <v>231</v>
      </c>
      <c r="J46" s="141" t="s">
        <v>231</v>
      </c>
      <c r="K46" s="141" t="s">
        <v>231</v>
      </c>
      <c r="L46" s="141" t="s">
        <v>231</v>
      </c>
      <c r="M46" s="141" t="s">
        <v>231</v>
      </c>
      <c r="N46" s="141" t="s">
        <v>231</v>
      </c>
    </row>
    <row r="47" spans="1:14" hidden="1" x14ac:dyDescent="0.3">
      <c r="A47" s="124"/>
      <c r="B47" s="124" t="str">
        <f>IF(B46="","","STATE")</f>
        <v/>
      </c>
      <c r="C47" s="141" t="s">
        <v>231</v>
      </c>
      <c r="D47" s="141" t="s">
        <v>231</v>
      </c>
      <c r="E47" s="141" t="s">
        <v>231</v>
      </c>
      <c r="F47" s="141" t="s">
        <v>231</v>
      </c>
      <c r="G47" s="141" t="s">
        <v>231</v>
      </c>
      <c r="H47" s="141" t="s">
        <v>231</v>
      </c>
      <c r="I47" s="142" t="s">
        <v>231</v>
      </c>
      <c r="J47" s="141" t="s">
        <v>231</v>
      </c>
      <c r="K47" s="141" t="s">
        <v>231</v>
      </c>
      <c r="L47" s="141" t="s">
        <v>231</v>
      </c>
      <c r="M47" s="141" t="s">
        <v>231</v>
      </c>
      <c r="N47" s="141" t="s">
        <v>231</v>
      </c>
    </row>
    <row r="48" spans="1:14" hidden="1" x14ac:dyDescent="0.3">
      <c r="A48" s="124"/>
      <c r="B48" s="124" t="str">
        <f>IF(B47="","","POOLED")</f>
        <v/>
      </c>
      <c r="C48" s="141" t="s">
        <v>231</v>
      </c>
      <c r="D48" s="141" t="s">
        <v>231</v>
      </c>
      <c r="E48" s="141" t="s">
        <v>231</v>
      </c>
      <c r="F48" s="141" t="s">
        <v>231</v>
      </c>
      <c r="G48" s="141" t="s">
        <v>231</v>
      </c>
      <c r="H48" s="141" t="s">
        <v>231</v>
      </c>
      <c r="I48" s="142" t="s">
        <v>231</v>
      </c>
      <c r="J48" s="141" t="s">
        <v>231</v>
      </c>
      <c r="K48" s="141" t="s">
        <v>231</v>
      </c>
      <c r="L48" s="141" t="s">
        <v>231</v>
      </c>
      <c r="M48" s="141" t="s">
        <v>231</v>
      </c>
      <c r="N48" s="141" t="s">
        <v>231</v>
      </c>
    </row>
    <row r="49" spans="1:14" hidden="1" x14ac:dyDescent="0.3">
      <c r="A49" s="105" t="str">
        <f>IF(B49="","",A45+1)</f>
        <v/>
      </c>
      <c r="B49" s="105" t="s">
        <v>231</v>
      </c>
      <c r="C49" s="141"/>
      <c r="D49" s="141"/>
      <c r="E49" s="141"/>
      <c r="F49" s="141"/>
      <c r="G49" s="141"/>
      <c r="H49" s="141"/>
      <c r="I49" s="142"/>
      <c r="J49" s="141"/>
      <c r="K49" s="141"/>
      <c r="L49" s="141"/>
      <c r="M49" s="141"/>
      <c r="N49" s="141"/>
    </row>
    <row r="50" spans="1:14" hidden="1" x14ac:dyDescent="0.3">
      <c r="A50" s="124"/>
      <c r="B50" s="124" t="str">
        <f>IF(B49="","","CENTRAL")</f>
        <v/>
      </c>
      <c r="C50" s="141" t="s">
        <v>231</v>
      </c>
      <c r="D50" s="141" t="s">
        <v>231</v>
      </c>
      <c r="E50" s="141" t="s">
        <v>231</v>
      </c>
      <c r="F50" s="141" t="s">
        <v>231</v>
      </c>
      <c r="G50" s="141" t="s">
        <v>231</v>
      </c>
      <c r="H50" s="141" t="s">
        <v>231</v>
      </c>
      <c r="I50" s="142" t="s">
        <v>231</v>
      </c>
      <c r="J50" s="141" t="s">
        <v>231</v>
      </c>
      <c r="K50" s="141" t="s">
        <v>231</v>
      </c>
      <c r="L50" s="141" t="s">
        <v>231</v>
      </c>
      <c r="M50" s="141" t="s">
        <v>231</v>
      </c>
      <c r="N50" s="141" t="s">
        <v>231</v>
      </c>
    </row>
    <row r="51" spans="1:14" hidden="1" x14ac:dyDescent="0.3">
      <c r="A51" s="124"/>
      <c r="B51" s="124" t="str">
        <f>IF(B50="","","STATE")</f>
        <v/>
      </c>
      <c r="C51" s="141" t="s">
        <v>231</v>
      </c>
      <c r="D51" s="141" t="s">
        <v>231</v>
      </c>
      <c r="E51" s="141" t="s">
        <v>231</v>
      </c>
      <c r="F51" s="141" t="s">
        <v>231</v>
      </c>
      <c r="G51" s="141" t="s">
        <v>231</v>
      </c>
      <c r="H51" s="141" t="s">
        <v>231</v>
      </c>
      <c r="I51" s="142" t="s">
        <v>231</v>
      </c>
      <c r="J51" s="141" t="s">
        <v>231</v>
      </c>
      <c r="K51" s="141" t="s">
        <v>231</v>
      </c>
      <c r="L51" s="141" t="s">
        <v>231</v>
      </c>
      <c r="M51" s="141" t="s">
        <v>231</v>
      </c>
      <c r="N51" s="141" t="s">
        <v>231</v>
      </c>
    </row>
    <row r="52" spans="1:14" hidden="1" x14ac:dyDescent="0.3">
      <c r="A52" s="124"/>
      <c r="B52" s="124" t="str">
        <f>IF(B51="","","POOLED")</f>
        <v/>
      </c>
      <c r="C52" s="141" t="s">
        <v>231</v>
      </c>
      <c r="D52" s="141" t="s">
        <v>231</v>
      </c>
      <c r="E52" s="141" t="s">
        <v>231</v>
      </c>
      <c r="F52" s="141" t="s">
        <v>231</v>
      </c>
      <c r="G52" s="141" t="s">
        <v>231</v>
      </c>
      <c r="H52" s="141" t="s">
        <v>231</v>
      </c>
      <c r="I52" s="142" t="s">
        <v>231</v>
      </c>
      <c r="J52" s="141" t="s">
        <v>231</v>
      </c>
      <c r="K52" s="141" t="s">
        <v>231</v>
      </c>
      <c r="L52" s="141" t="s">
        <v>231</v>
      </c>
      <c r="M52" s="141" t="s">
        <v>231</v>
      </c>
      <c r="N52" s="141" t="s">
        <v>231</v>
      </c>
    </row>
    <row r="53" spans="1:14" hidden="1" x14ac:dyDescent="0.3">
      <c r="A53" s="105" t="str">
        <f>IF(B53="","",A49+1)</f>
        <v/>
      </c>
      <c r="B53" s="105" t="s">
        <v>231</v>
      </c>
      <c r="C53" s="141"/>
      <c r="D53" s="141"/>
      <c r="E53" s="141"/>
      <c r="F53" s="141"/>
      <c r="G53" s="141"/>
      <c r="H53" s="141"/>
      <c r="I53" s="142"/>
      <c r="J53" s="141"/>
      <c r="K53" s="141"/>
      <c r="L53" s="141"/>
      <c r="M53" s="141"/>
      <c r="N53" s="141"/>
    </row>
    <row r="54" spans="1:14" hidden="1" x14ac:dyDescent="0.3">
      <c r="A54" s="124"/>
      <c r="B54" s="124" t="str">
        <f>IF(B53="","","CENTRAL")</f>
        <v/>
      </c>
      <c r="C54" s="141" t="s">
        <v>231</v>
      </c>
      <c r="D54" s="141" t="s">
        <v>231</v>
      </c>
      <c r="E54" s="141" t="s">
        <v>231</v>
      </c>
      <c r="F54" s="141" t="s">
        <v>231</v>
      </c>
      <c r="G54" s="141" t="s">
        <v>231</v>
      </c>
      <c r="H54" s="141" t="s">
        <v>231</v>
      </c>
      <c r="I54" s="142" t="s">
        <v>231</v>
      </c>
      <c r="J54" s="141" t="s">
        <v>231</v>
      </c>
      <c r="K54" s="141" t="s">
        <v>231</v>
      </c>
      <c r="L54" s="141" t="s">
        <v>231</v>
      </c>
      <c r="M54" s="141" t="s">
        <v>231</v>
      </c>
      <c r="N54" s="141" t="s">
        <v>231</v>
      </c>
    </row>
    <row r="55" spans="1:14" hidden="1" x14ac:dyDescent="0.3">
      <c r="A55" s="124"/>
      <c r="B55" s="124" t="str">
        <f>IF(B54="","","STATE")</f>
        <v/>
      </c>
      <c r="C55" s="141" t="s">
        <v>231</v>
      </c>
      <c r="D55" s="141" t="s">
        <v>231</v>
      </c>
      <c r="E55" s="141" t="s">
        <v>231</v>
      </c>
      <c r="F55" s="141" t="s">
        <v>231</v>
      </c>
      <c r="G55" s="141" t="s">
        <v>231</v>
      </c>
      <c r="H55" s="141" t="s">
        <v>231</v>
      </c>
      <c r="I55" s="142" t="s">
        <v>231</v>
      </c>
      <c r="J55" s="141" t="s">
        <v>231</v>
      </c>
      <c r="K55" s="141" t="s">
        <v>231</v>
      </c>
      <c r="L55" s="141" t="s">
        <v>231</v>
      </c>
      <c r="M55" s="141" t="s">
        <v>231</v>
      </c>
      <c r="N55" s="141" t="s">
        <v>231</v>
      </c>
    </row>
    <row r="56" spans="1:14" hidden="1" x14ac:dyDescent="0.3">
      <c r="A56" s="124"/>
      <c r="B56" s="124" t="str">
        <f>IF(B55="","","POOLED")</f>
        <v/>
      </c>
      <c r="C56" s="141" t="s">
        <v>231</v>
      </c>
      <c r="D56" s="141" t="s">
        <v>231</v>
      </c>
      <c r="E56" s="141" t="s">
        <v>231</v>
      </c>
      <c r="F56" s="141" t="s">
        <v>231</v>
      </c>
      <c r="G56" s="141" t="s">
        <v>231</v>
      </c>
      <c r="H56" s="141" t="s">
        <v>231</v>
      </c>
      <c r="I56" s="142" t="s">
        <v>231</v>
      </c>
      <c r="J56" s="141" t="s">
        <v>231</v>
      </c>
      <c r="K56" s="141" t="s">
        <v>231</v>
      </c>
      <c r="L56" s="141" t="s">
        <v>231</v>
      </c>
      <c r="M56" s="141" t="s">
        <v>231</v>
      </c>
      <c r="N56" s="141" t="s">
        <v>231</v>
      </c>
    </row>
    <row r="57" spans="1:14" hidden="1" x14ac:dyDescent="0.3">
      <c r="A57" s="105" t="str">
        <f>IF(B57="","",A53+1)</f>
        <v/>
      </c>
      <c r="B57" s="105" t="s">
        <v>231</v>
      </c>
      <c r="C57" s="141"/>
      <c r="D57" s="141"/>
      <c r="E57" s="141"/>
      <c r="F57" s="141"/>
      <c r="G57" s="141"/>
      <c r="H57" s="141"/>
      <c r="I57" s="142"/>
      <c r="J57" s="141"/>
      <c r="K57" s="141"/>
      <c r="L57" s="141"/>
      <c r="M57" s="141"/>
      <c r="N57" s="141"/>
    </row>
    <row r="58" spans="1:14" hidden="1" x14ac:dyDescent="0.3">
      <c r="A58" s="124"/>
      <c r="B58" s="124" t="str">
        <f>IF(B57="","","CENTRAL")</f>
        <v/>
      </c>
      <c r="C58" s="141" t="s">
        <v>231</v>
      </c>
      <c r="D58" s="141" t="s">
        <v>231</v>
      </c>
      <c r="E58" s="141" t="s">
        <v>231</v>
      </c>
      <c r="F58" s="141" t="s">
        <v>231</v>
      </c>
      <c r="G58" s="141" t="s">
        <v>231</v>
      </c>
      <c r="H58" s="141" t="s">
        <v>231</v>
      </c>
      <c r="I58" s="142" t="s">
        <v>231</v>
      </c>
      <c r="J58" s="141" t="s">
        <v>231</v>
      </c>
      <c r="K58" s="141" t="s">
        <v>231</v>
      </c>
      <c r="L58" s="141" t="s">
        <v>231</v>
      </c>
      <c r="M58" s="141" t="s">
        <v>231</v>
      </c>
      <c r="N58" s="141" t="s">
        <v>231</v>
      </c>
    </row>
    <row r="59" spans="1:14" hidden="1" x14ac:dyDescent="0.3">
      <c r="A59" s="124"/>
      <c r="B59" s="124" t="str">
        <f>IF(B58="","","STATE")</f>
        <v/>
      </c>
      <c r="C59" s="141" t="s">
        <v>231</v>
      </c>
      <c r="D59" s="141" t="s">
        <v>231</v>
      </c>
      <c r="E59" s="141" t="s">
        <v>231</v>
      </c>
      <c r="F59" s="141" t="s">
        <v>231</v>
      </c>
      <c r="G59" s="141" t="s">
        <v>231</v>
      </c>
      <c r="H59" s="141" t="s">
        <v>231</v>
      </c>
      <c r="I59" s="142" t="s">
        <v>231</v>
      </c>
      <c r="J59" s="141" t="s">
        <v>231</v>
      </c>
      <c r="K59" s="141" t="s">
        <v>231</v>
      </c>
      <c r="L59" s="141" t="s">
        <v>231</v>
      </c>
      <c r="M59" s="141" t="s">
        <v>231</v>
      </c>
      <c r="N59" s="141" t="s">
        <v>231</v>
      </c>
    </row>
    <row r="60" spans="1:14" hidden="1" x14ac:dyDescent="0.3">
      <c r="A60" s="124"/>
      <c r="B60" s="124" t="str">
        <f>IF(B59="","","POOLED")</f>
        <v/>
      </c>
      <c r="C60" s="141" t="s">
        <v>231</v>
      </c>
      <c r="D60" s="141" t="s">
        <v>231</v>
      </c>
      <c r="E60" s="141" t="s">
        <v>231</v>
      </c>
      <c r="F60" s="141" t="s">
        <v>231</v>
      </c>
      <c r="G60" s="141" t="s">
        <v>231</v>
      </c>
      <c r="H60" s="141" t="s">
        <v>231</v>
      </c>
      <c r="I60" s="142" t="s">
        <v>231</v>
      </c>
      <c r="J60" s="141" t="s">
        <v>231</v>
      </c>
      <c r="K60" s="141" t="s">
        <v>231</v>
      </c>
      <c r="L60" s="141" t="s">
        <v>231</v>
      </c>
      <c r="M60" s="141" t="s">
        <v>231</v>
      </c>
      <c r="N60" s="141" t="s">
        <v>231</v>
      </c>
    </row>
    <row r="61" spans="1:14" hidden="1" x14ac:dyDescent="0.3">
      <c r="A61" s="105" t="str">
        <f>IF(B61="","",A57+1)</f>
        <v/>
      </c>
      <c r="B61" s="105" t="s">
        <v>231</v>
      </c>
      <c r="C61" s="141"/>
      <c r="D61" s="141"/>
      <c r="E61" s="141"/>
      <c r="F61" s="141"/>
      <c r="G61" s="141"/>
      <c r="H61" s="141"/>
      <c r="I61" s="142"/>
      <c r="J61" s="141"/>
      <c r="K61" s="141"/>
      <c r="L61" s="141"/>
      <c r="M61" s="141"/>
      <c r="N61" s="141"/>
    </row>
    <row r="62" spans="1:14" hidden="1" x14ac:dyDescent="0.3">
      <c r="A62" s="124"/>
      <c r="B62" s="124" t="str">
        <f>IF(B61="","","CENTRAL")</f>
        <v/>
      </c>
      <c r="C62" s="141" t="s">
        <v>231</v>
      </c>
      <c r="D62" s="141" t="s">
        <v>231</v>
      </c>
      <c r="E62" s="141" t="s">
        <v>231</v>
      </c>
      <c r="F62" s="141" t="s">
        <v>231</v>
      </c>
      <c r="G62" s="141" t="s">
        <v>231</v>
      </c>
      <c r="H62" s="141" t="s">
        <v>231</v>
      </c>
      <c r="I62" s="142" t="s">
        <v>231</v>
      </c>
      <c r="J62" s="141" t="s">
        <v>231</v>
      </c>
      <c r="K62" s="141" t="s">
        <v>231</v>
      </c>
      <c r="L62" s="141" t="s">
        <v>231</v>
      </c>
      <c r="M62" s="141" t="s">
        <v>231</v>
      </c>
      <c r="N62" s="141" t="s">
        <v>231</v>
      </c>
    </row>
    <row r="63" spans="1:14" hidden="1" x14ac:dyDescent="0.3">
      <c r="A63" s="124"/>
      <c r="B63" s="124" t="str">
        <f>IF(B62="","","STATE")</f>
        <v/>
      </c>
      <c r="C63" s="141" t="s">
        <v>231</v>
      </c>
      <c r="D63" s="141" t="s">
        <v>231</v>
      </c>
      <c r="E63" s="141" t="s">
        <v>231</v>
      </c>
      <c r="F63" s="141" t="s">
        <v>231</v>
      </c>
      <c r="G63" s="141" t="s">
        <v>231</v>
      </c>
      <c r="H63" s="141" t="s">
        <v>231</v>
      </c>
      <c r="I63" s="142" t="s">
        <v>231</v>
      </c>
      <c r="J63" s="141" t="s">
        <v>231</v>
      </c>
      <c r="K63" s="141" t="s">
        <v>231</v>
      </c>
      <c r="L63" s="141" t="s">
        <v>231</v>
      </c>
      <c r="M63" s="141" t="s">
        <v>231</v>
      </c>
      <c r="N63" s="141" t="s">
        <v>231</v>
      </c>
    </row>
    <row r="64" spans="1:14" hidden="1" x14ac:dyDescent="0.3">
      <c r="A64" s="124"/>
      <c r="B64" s="124" t="str">
        <f>IF(B63="","","POOLED")</f>
        <v/>
      </c>
      <c r="C64" s="141" t="s">
        <v>231</v>
      </c>
      <c r="D64" s="141" t="s">
        <v>231</v>
      </c>
      <c r="E64" s="141" t="s">
        <v>231</v>
      </c>
      <c r="F64" s="141" t="s">
        <v>231</v>
      </c>
      <c r="G64" s="141" t="s">
        <v>231</v>
      </c>
      <c r="H64" s="141" t="s">
        <v>231</v>
      </c>
      <c r="I64" s="142" t="s">
        <v>231</v>
      </c>
      <c r="J64" s="141" t="s">
        <v>231</v>
      </c>
      <c r="K64" s="141" t="s">
        <v>231</v>
      </c>
      <c r="L64" s="141" t="s">
        <v>231</v>
      </c>
      <c r="M64" s="141" t="s">
        <v>231</v>
      </c>
      <c r="N64" s="141" t="s">
        <v>231</v>
      </c>
    </row>
    <row r="65" spans="1:14" hidden="1" x14ac:dyDescent="0.3">
      <c r="A65" s="105" t="str">
        <f>IF(B65="","",A61+1)</f>
        <v/>
      </c>
      <c r="B65" s="105" t="s">
        <v>231</v>
      </c>
      <c r="C65" s="141"/>
      <c r="D65" s="141"/>
      <c r="E65" s="141"/>
      <c r="F65" s="141"/>
      <c r="G65" s="141"/>
      <c r="H65" s="141"/>
      <c r="I65" s="142"/>
      <c r="J65" s="141"/>
      <c r="K65" s="141"/>
      <c r="L65" s="141"/>
      <c r="M65" s="141"/>
      <c r="N65" s="141"/>
    </row>
    <row r="66" spans="1:14" hidden="1" x14ac:dyDescent="0.3">
      <c r="A66" s="124"/>
      <c r="B66" s="124" t="str">
        <f>IF(B65="","","CENTRAL")</f>
        <v/>
      </c>
      <c r="C66" s="141" t="s">
        <v>231</v>
      </c>
      <c r="D66" s="141" t="s">
        <v>231</v>
      </c>
      <c r="E66" s="141" t="s">
        <v>231</v>
      </c>
      <c r="F66" s="141" t="s">
        <v>231</v>
      </c>
      <c r="G66" s="141" t="s">
        <v>231</v>
      </c>
      <c r="H66" s="141" t="s">
        <v>231</v>
      </c>
      <c r="I66" s="142" t="s">
        <v>231</v>
      </c>
      <c r="J66" s="141" t="s">
        <v>231</v>
      </c>
      <c r="K66" s="141" t="s">
        <v>231</v>
      </c>
      <c r="L66" s="141" t="s">
        <v>231</v>
      </c>
      <c r="M66" s="141" t="s">
        <v>231</v>
      </c>
      <c r="N66" s="141" t="s">
        <v>231</v>
      </c>
    </row>
    <row r="67" spans="1:14" hidden="1" x14ac:dyDescent="0.3">
      <c r="A67" s="124"/>
      <c r="B67" s="124" t="str">
        <f>IF(B66="","","STATE")</f>
        <v/>
      </c>
      <c r="C67" s="141" t="s">
        <v>231</v>
      </c>
      <c r="D67" s="141" t="s">
        <v>231</v>
      </c>
      <c r="E67" s="141" t="s">
        <v>231</v>
      </c>
      <c r="F67" s="141" t="s">
        <v>231</v>
      </c>
      <c r="G67" s="141" t="s">
        <v>231</v>
      </c>
      <c r="H67" s="141" t="s">
        <v>231</v>
      </c>
      <c r="I67" s="142" t="s">
        <v>231</v>
      </c>
      <c r="J67" s="141" t="s">
        <v>231</v>
      </c>
      <c r="K67" s="141" t="s">
        <v>231</v>
      </c>
      <c r="L67" s="141" t="s">
        <v>231</v>
      </c>
      <c r="M67" s="141" t="s">
        <v>231</v>
      </c>
      <c r="N67" s="141" t="s">
        <v>231</v>
      </c>
    </row>
    <row r="68" spans="1:14" hidden="1" x14ac:dyDescent="0.3">
      <c r="A68" s="124"/>
      <c r="B68" s="124" t="str">
        <f>IF(B67="","","POOLED")</f>
        <v/>
      </c>
      <c r="C68" s="141" t="s">
        <v>231</v>
      </c>
      <c r="D68" s="141" t="s">
        <v>231</v>
      </c>
      <c r="E68" s="141" t="s">
        <v>231</v>
      </c>
      <c r="F68" s="141" t="s">
        <v>231</v>
      </c>
      <c r="G68" s="141" t="s">
        <v>231</v>
      </c>
      <c r="H68" s="141" t="s">
        <v>231</v>
      </c>
      <c r="I68" s="142" t="s">
        <v>231</v>
      </c>
      <c r="J68" s="141" t="s">
        <v>231</v>
      </c>
      <c r="K68" s="141" t="s">
        <v>231</v>
      </c>
      <c r="L68" s="141" t="s">
        <v>231</v>
      </c>
      <c r="M68" s="141" t="s">
        <v>231</v>
      </c>
      <c r="N68" s="141" t="s">
        <v>231</v>
      </c>
    </row>
    <row r="69" spans="1:14" hidden="1" x14ac:dyDescent="0.3">
      <c r="A69" s="143" t="s">
        <v>19</v>
      </c>
      <c r="B69" s="105"/>
      <c r="C69" s="141"/>
      <c r="D69" s="141"/>
      <c r="E69" s="141"/>
      <c r="F69" s="141"/>
      <c r="G69" s="141"/>
      <c r="H69" s="141"/>
      <c r="I69" s="142"/>
      <c r="J69" s="141"/>
      <c r="K69" s="141"/>
      <c r="L69" s="141"/>
      <c r="M69" s="141"/>
      <c r="N69" s="141"/>
    </row>
    <row r="70" spans="1:14" ht="21" customHeight="1" x14ac:dyDescent="0.3">
      <c r="A70" s="104" t="str">
        <f>year!$E$3</f>
        <v>RABI II</v>
      </c>
      <c r="B70" s="21"/>
      <c r="C70" s="141"/>
      <c r="D70" s="141"/>
      <c r="E70" s="141"/>
      <c r="F70" s="141"/>
      <c r="G70" s="141"/>
      <c r="H70" s="141"/>
      <c r="I70" s="142"/>
      <c r="J70" s="141"/>
      <c r="K70" s="141"/>
      <c r="L70" s="141"/>
      <c r="M70" s="141"/>
      <c r="N70" s="141"/>
    </row>
    <row r="71" spans="1:14" ht="21" customHeight="1" x14ac:dyDescent="0.3">
      <c r="A71" s="105">
        <f>IF(B71="","",A67+1)</f>
        <v>1</v>
      </c>
      <c r="B71" s="149" t="s">
        <v>308</v>
      </c>
      <c r="C71" s="141"/>
      <c r="D71" s="141"/>
      <c r="E71" s="141"/>
      <c r="F71" s="141"/>
      <c r="G71" s="141"/>
      <c r="H71" s="141"/>
      <c r="I71" s="142"/>
      <c r="J71" s="141"/>
      <c r="K71" s="141"/>
      <c r="L71" s="141"/>
      <c r="M71" s="141"/>
      <c r="N71" s="141"/>
    </row>
    <row r="72" spans="1:14" ht="21" customHeight="1" x14ac:dyDescent="0.3">
      <c r="A72" s="124"/>
      <c r="B72" s="124" t="str">
        <f>IF(B71="","","CENTRAL")</f>
        <v>CENTRAL</v>
      </c>
      <c r="C72" s="141" t="s">
        <v>672</v>
      </c>
      <c r="D72" s="141" t="s">
        <v>313</v>
      </c>
      <c r="E72" s="141" t="s">
        <v>313</v>
      </c>
      <c r="F72" s="141" t="s">
        <v>313</v>
      </c>
      <c r="G72" s="141" t="s">
        <v>676</v>
      </c>
      <c r="H72" s="141" t="s">
        <v>676</v>
      </c>
      <c r="I72" s="142" t="s">
        <v>313</v>
      </c>
      <c r="J72" s="141" t="s">
        <v>313</v>
      </c>
      <c r="K72" s="141" t="s">
        <v>313</v>
      </c>
      <c r="L72" s="141" t="s">
        <v>313</v>
      </c>
      <c r="M72" s="141" t="s">
        <v>674</v>
      </c>
      <c r="N72" s="141" t="s">
        <v>313</v>
      </c>
    </row>
    <row r="73" spans="1:14" ht="21" customHeight="1" x14ac:dyDescent="0.3">
      <c r="A73" s="124"/>
      <c r="B73" s="124" t="str">
        <f>IF(B72="","","STATE")</f>
        <v>STATE</v>
      </c>
      <c r="C73" s="141" t="s">
        <v>313</v>
      </c>
      <c r="D73" s="141" t="s">
        <v>313</v>
      </c>
      <c r="E73" s="141" t="s">
        <v>313</v>
      </c>
      <c r="F73" s="141" t="s">
        <v>313</v>
      </c>
      <c r="G73" s="141" t="s">
        <v>674</v>
      </c>
      <c r="H73" s="141" t="s">
        <v>674</v>
      </c>
      <c r="I73" s="142" t="s">
        <v>313</v>
      </c>
      <c r="J73" s="141" t="s">
        <v>313</v>
      </c>
      <c r="K73" s="141" t="s">
        <v>313</v>
      </c>
      <c r="L73" s="141" t="s">
        <v>313</v>
      </c>
      <c r="M73" s="141" t="s">
        <v>674</v>
      </c>
      <c r="N73" s="141" t="s">
        <v>313</v>
      </c>
    </row>
    <row r="74" spans="1:14" ht="21" customHeight="1" x14ac:dyDescent="0.3">
      <c r="A74" s="123"/>
      <c r="B74" s="123" t="str">
        <f>IF(B73="","","POOLED")</f>
        <v>POOLED</v>
      </c>
      <c r="C74" s="60" t="s">
        <v>673</v>
      </c>
      <c r="D74" s="60" t="s">
        <v>313</v>
      </c>
      <c r="E74" s="60" t="s">
        <v>313</v>
      </c>
      <c r="F74" s="60" t="s">
        <v>313</v>
      </c>
      <c r="G74" s="60" t="s">
        <v>677</v>
      </c>
      <c r="H74" s="60" t="s">
        <v>677</v>
      </c>
      <c r="I74" s="61" t="s">
        <v>313</v>
      </c>
      <c r="J74" s="60" t="s">
        <v>313</v>
      </c>
      <c r="K74" s="60" t="s">
        <v>313</v>
      </c>
      <c r="L74" s="60" t="s">
        <v>313</v>
      </c>
      <c r="M74" s="60" t="s">
        <v>675</v>
      </c>
      <c r="N74" s="60" t="s">
        <v>313</v>
      </c>
    </row>
    <row r="75" spans="1:14" hidden="1" x14ac:dyDescent="0.3">
      <c r="A75" s="105" t="str">
        <f>IF(B75="","",A71+1)</f>
        <v/>
      </c>
      <c r="B75" s="150" t="s">
        <v>231</v>
      </c>
      <c r="C75" s="141"/>
      <c r="D75" s="141"/>
      <c r="E75" s="141"/>
      <c r="F75" s="141"/>
      <c r="G75" s="141"/>
      <c r="H75" s="141"/>
      <c r="I75" s="142"/>
      <c r="J75" s="141"/>
      <c r="K75" s="141"/>
      <c r="L75" s="141"/>
      <c r="M75" s="141"/>
      <c r="N75" s="141"/>
    </row>
    <row r="76" spans="1:14" hidden="1" x14ac:dyDescent="0.3">
      <c r="A76" s="124"/>
      <c r="B76" s="124" t="str">
        <f>IF(B75="","","CENTRAL")</f>
        <v/>
      </c>
      <c r="C76" s="141" t="s">
        <v>231</v>
      </c>
      <c r="D76" s="141" t="s">
        <v>231</v>
      </c>
      <c r="E76" s="141" t="s">
        <v>231</v>
      </c>
      <c r="F76" s="141" t="s">
        <v>231</v>
      </c>
      <c r="G76" s="141" t="s">
        <v>231</v>
      </c>
      <c r="H76" s="141" t="s">
        <v>231</v>
      </c>
      <c r="I76" s="142" t="s">
        <v>231</v>
      </c>
      <c r="J76" s="141" t="s">
        <v>231</v>
      </c>
      <c r="K76" s="141" t="s">
        <v>231</v>
      </c>
      <c r="L76" s="141" t="s">
        <v>231</v>
      </c>
      <c r="M76" s="141" t="s">
        <v>231</v>
      </c>
      <c r="N76" s="141" t="s">
        <v>231</v>
      </c>
    </row>
    <row r="77" spans="1:14" hidden="1" x14ac:dyDescent="0.3">
      <c r="A77" s="124"/>
      <c r="B77" s="124" t="str">
        <f>IF(B76="","","STATE")</f>
        <v/>
      </c>
      <c r="C77" s="141" t="s">
        <v>231</v>
      </c>
      <c r="D77" s="141" t="s">
        <v>231</v>
      </c>
      <c r="E77" s="141" t="s">
        <v>231</v>
      </c>
      <c r="F77" s="141" t="s">
        <v>231</v>
      </c>
      <c r="G77" s="141" t="s">
        <v>231</v>
      </c>
      <c r="H77" s="141" t="s">
        <v>231</v>
      </c>
      <c r="I77" s="142" t="s">
        <v>231</v>
      </c>
      <c r="J77" s="141" t="s">
        <v>231</v>
      </c>
      <c r="K77" s="141" t="s">
        <v>231</v>
      </c>
      <c r="L77" s="141" t="s">
        <v>231</v>
      </c>
      <c r="M77" s="141" t="s">
        <v>231</v>
      </c>
      <c r="N77" s="141" t="s">
        <v>231</v>
      </c>
    </row>
    <row r="78" spans="1:14" hidden="1" x14ac:dyDescent="0.3">
      <c r="A78" s="124"/>
      <c r="B78" s="124" t="str">
        <f>IF(B77="","","POOLED")</f>
        <v/>
      </c>
      <c r="C78" s="141" t="s">
        <v>231</v>
      </c>
      <c r="D78" s="141" t="s">
        <v>231</v>
      </c>
      <c r="E78" s="141" t="s">
        <v>231</v>
      </c>
      <c r="F78" s="141" t="s">
        <v>231</v>
      </c>
      <c r="G78" s="141" t="s">
        <v>231</v>
      </c>
      <c r="H78" s="141" t="s">
        <v>231</v>
      </c>
      <c r="I78" s="142" t="s">
        <v>231</v>
      </c>
      <c r="J78" s="141" t="s">
        <v>231</v>
      </c>
      <c r="K78" s="141" t="s">
        <v>231</v>
      </c>
      <c r="L78" s="141" t="s">
        <v>231</v>
      </c>
      <c r="M78" s="141" t="s">
        <v>231</v>
      </c>
      <c r="N78" s="141" t="s">
        <v>231</v>
      </c>
    </row>
    <row r="79" spans="1:14" hidden="1" x14ac:dyDescent="0.3">
      <c r="A79" s="105" t="str">
        <f>IF(B79="","",A75+1)</f>
        <v/>
      </c>
      <c r="B79" s="105" t="s">
        <v>231</v>
      </c>
      <c r="C79" s="141"/>
      <c r="D79" s="141"/>
      <c r="E79" s="141"/>
      <c r="F79" s="141"/>
      <c r="G79" s="141"/>
      <c r="H79" s="141"/>
      <c r="I79" s="142"/>
      <c r="J79" s="141"/>
      <c r="K79" s="141"/>
      <c r="L79" s="141"/>
      <c r="M79" s="141"/>
      <c r="N79" s="141"/>
    </row>
    <row r="80" spans="1:14" hidden="1" x14ac:dyDescent="0.3">
      <c r="A80" s="124"/>
      <c r="B80" s="124" t="str">
        <f>IF(B79="","","CENTRAL")</f>
        <v/>
      </c>
      <c r="C80" s="141" t="s">
        <v>231</v>
      </c>
      <c r="D80" s="141" t="s">
        <v>231</v>
      </c>
      <c r="E80" s="141" t="s">
        <v>231</v>
      </c>
      <c r="F80" s="141" t="s">
        <v>231</v>
      </c>
      <c r="G80" s="141" t="s">
        <v>231</v>
      </c>
      <c r="H80" s="141" t="s">
        <v>231</v>
      </c>
      <c r="I80" s="142" t="s">
        <v>231</v>
      </c>
      <c r="J80" s="141" t="s">
        <v>231</v>
      </c>
      <c r="K80" s="141" t="s">
        <v>231</v>
      </c>
      <c r="L80" s="141" t="s">
        <v>231</v>
      </c>
      <c r="M80" s="141" t="s">
        <v>231</v>
      </c>
      <c r="N80" s="141" t="s">
        <v>231</v>
      </c>
    </row>
    <row r="81" spans="1:14" hidden="1" x14ac:dyDescent="0.3">
      <c r="A81" s="124"/>
      <c r="B81" s="124" t="str">
        <f>IF(B80="","","STATE")</f>
        <v/>
      </c>
      <c r="C81" s="141" t="s">
        <v>231</v>
      </c>
      <c r="D81" s="141" t="s">
        <v>231</v>
      </c>
      <c r="E81" s="141" t="s">
        <v>231</v>
      </c>
      <c r="F81" s="141" t="s">
        <v>231</v>
      </c>
      <c r="G81" s="141" t="s">
        <v>231</v>
      </c>
      <c r="H81" s="141" t="s">
        <v>231</v>
      </c>
      <c r="I81" s="142" t="s">
        <v>231</v>
      </c>
      <c r="J81" s="141" t="s">
        <v>231</v>
      </c>
      <c r="K81" s="141" t="s">
        <v>231</v>
      </c>
      <c r="L81" s="141" t="s">
        <v>231</v>
      </c>
      <c r="M81" s="141" t="s">
        <v>231</v>
      </c>
      <c r="N81" s="141" t="s">
        <v>231</v>
      </c>
    </row>
    <row r="82" spans="1:14" hidden="1" x14ac:dyDescent="0.3">
      <c r="A82" s="124"/>
      <c r="B82" s="124" t="str">
        <f>IF(B81="","","POOLED")</f>
        <v/>
      </c>
      <c r="C82" s="141" t="s">
        <v>231</v>
      </c>
      <c r="D82" s="141" t="s">
        <v>231</v>
      </c>
      <c r="E82" s="141" t="s">
        <v>231</v>
      </c>
      <c r="F82" s="141" t="s">
        <v>231</v>
      </c>
      <c r="G82" s="141" t="s">
        <v>231</v>
      </c>
      <c r="H82" s="141" t="s">
        <v>231</v>
      </c>
      <c r="I82" s="142" t="s">
        <v>231</v>
      </c>
      <c r="J82" s="141" t="s">
        <v>231</v>
      </c>
      <c r="K82" s="141" t="s">
        <v>231</v>
      </c>
      <c r="L82" s="141" t="s">
        <v>231</v>
      </c>
      <c r="M82" s="141" t="s">
        <v>231</v>
      </c>
      <c r="N82" s="141" t="s">
        <v>231</v>
      </c>
    </row>
    <row r="83" spans="1:14" hidden="1" x14ac:dyDescent="0.3">
      <c r="A83" s="105" t="str">
        <f>IF(B83="","",A79+1)</f>
        <v/>
      </c>
      <c r="B83" s="105" t="s">
        <v>231</v>
      </c>
      <c r="C83" s="141"/>
      <c r="D83" s="141"/>
      <c r="E83" s="141"/>
      <c r="F83" s="141"/>
      <c r="G83" s="141"/>
      <c r="H83" s="141"/>
      <c r="I83" s="142"/>
      <c r="J83" s="141"/>
      <c r="K83" s="141"/>
      <c r="L83" s="141"/>
      <c r="M83" s="141"/>
      <c r="N83" s="141"/>
    </row>
    <row r="84" spans="1:14" hidden="1" x14ac:dyDescent="0.3">
      <c r="A84" s="124"/>
      <c r="B84" s="124" t="str">
        <f>IF(B83="","","CENTRAL")</f>
        <v/>
      </c>
      <c r="C84" s="141" t="s">
        <v>231</v>
      </c>
      <c r="D84" s="141" t="s">
        <v>231</v>
      </c>
      <c r="E84" s="141" t="s">
        <v>231</v>
      </c>
      <c r="F84" s="141" t="s">
        <v>231</v>
      </c>
      <c r="G84" s="141" t="s">
        <v>231</v>
      </c>
      <c r="H84" s="141" t="s">
        <v>231</v>
      </c>
      <c r="I84" s="142" t="s">
        <v>231</v>
      </c>
      <c r="J84" s="141" t="s">
        <v>231</v>
      </c>
      <c r="K84" s="141" t="s">
        <v>231</v>
      </c>
      <c r="L84" s="141" t="s">
        <v>231</v>
      </c>
      <c r="M84" s="141" t="s">
        <v>231</v>
      </c>
      <c r="N84" s="141" t="s">
        <v>231</v>
      </c>
    </row>
    <row r="85" spans="1:14" hidden="1" x14ac:dyDescent="0.3">
      <c r="A85" s="124"/>
      <c r="B85" s="124" t="str">
        <f>IF(B84="","","STATE")</f>
        <v/>
      </c>
      <c r="C85" s="141" t="s">
        <v>231</v>
      </c>
      <c r="D85" s="141" t="s">
        <v>231</v>
      </c>
      <c r="E85" s="141" t="s">
        <v>231</v>
      </c>
      <c r="F85" s="141" t="s">
        <v>231</v>
      </c>
      <c r="G85" s="141" t="s">
        <v>231</v>
      </c>
      <c r="H85" s="141" t="s">
        <v>231</v>
      </c>
      <c r="I85" s="142" t="s">
        <v>231</v>
      </c>
      <c r="J85" s="141" t="s">
        <v>231</v>
      </c>
      <c r="K85" s="141" t="s">
        <v>231</v>
      </c>
      <c r="L85" s="141" t="s">
        <v>231</v>
      </c>
      <c r="M85" s="141" t="s">
        <v>231</v>
      </c>
      <c r="N85" s="141" t="s">
        <v>231</v>
      </c>
    </row>
    <row r="86" spans="1:14" hidden="1" x14ac:dyDescent="0.3">
      <c r="A86" s="124"/>
      <c r="B86" s="124" t="str">
        <f>IF(B85="","","POOLED")</f>
        <v/>
      </c>
      <c r="C86" s="141" t="s">
        <v>231</v>
      </c>
      <c r="D86" s="141" t="s">
        <v>231</v>
      </c>
      <c r="E86" s="141" t="s">
        <v>231</v>
      </c>
      <c r="F86" s="141" t="s">
        <v>231</v>
      </c>
      <c r="G86" s="141" t="s">
        <v>231</v>
      </c>
      <c r="H86" s="141" t="s">
        <v>231</v>
      </c>
      <c r="I86" s="142" t="s">
        <v>231</v>
      </c>
      <c r="J86" s="141" t="s">
        <v>231</v>
      </c>
      <c r="K86" s="141" t="s">
        <v>231</v>
      </c>
      <c r="L86" s="141" t="s">
        <v>231</v>
      </c>
      <c r="M86" s="141" t="s">
        <v>231</v>
      </c>
      <c r="N86" s="141" t="s">
        <v>231</v>
      </c>
    </row>
    <row r="87" spans="1:14" hidden="1" x14ac:dyDescent="0.3">
      <c r="A87" s="105" t="str">
        <f>IF(B87="","",A83+1)</f>
        <v/>
      </c>
      <c r="B87" s="105" t="s">
        <v>231</v>
      </c>
      <c r="C87" s="141"/>
      <c r="D87" s="141"/>
      <c r="E87" s="141"/>
      <c r="F87" s="141"/>
      <c r="G87" s="141"/>
      <c r="H87" s="141"/>
      <c r="I87" s="142"/>
      <c r="J87" s="141"/>
      <c r="K87" s="141"/>
      <c r="L87" s="141"/>
      <c r="M87" s="141"/>
      <c r="N87" s="141"/>
    </row>
    <row r="88" spans="1:14" hidden="1" x14ac:dyDescent="0.3">
      <c r="A88" s="124"/>
      <c r="B88" s="124" t="str">
        <f>IF(B87="","","CENTRAL")</f>
        <v/>
      </c>
      <c r="C88" s="141" t="s">
        <v>231</v>
      </c>
      <c r="D88" s="141" t="s">
        <v>231</v>
      </c>
      <c r="E88" s="141" t="s">
        <v>231</v>
      </c>
      <c r="F88" s="141" t="s">
        <v>231</v>
      </c>
      <c r="G88" s="141" t="s">
        <v>231</v>
      </c>
      <c r="H88" s="141" t="s">
        <v>231</v>
      </c>
      <c r="I88" s="142" t="s">
        <v>231</v>
      </c>
      <c r="J88" s="141" t="s">
        <v>231</v>
      </c>
      <c r="K88" s="141" t="s">
        <v>231</v>
      </c>
      <c r="L88" s="141" t="s">
        <v>231</v>
      </c>
      <c r="M88" s="141" t="s">
        <v>231</v>
      </c>
      <c r="N88" s="141" t="s">
        <v>231</v>
      </c>
    </row>
    <row r="89" spans="1:14" hidden="1" x14ac:dyDescent="0.3">
      <c r="A89" s="124"/>
      <c r="B89" s="124" t="str">
        <f>IF(B88="","","STATE")</f>
        <v/>
      </c>
      <c r="C89" s="141" t="s">
        <v>231</v>
      </c>
      <c r="D89" s="141" t="s">
        <v>231</v>
      </c>
      <c r="E89" s="141" t="s">
        <v>231</v>
      </c>
      <c r="F89" s="141" t="s">
        <v>231</v>
      </c>
      <c r="G89" s="141" t="s">
        <v>231</v>
      </c>
      <c r="H89" s="141" t="s">
        <v>231</v>
      </c>
      <c r="I89" s="142" t="s">
        <v>231</v>
      </c>
      <c r="J89" s="141" t="s">
        <v>231</v>
      </c>
      <c r="K89" s="141" t="s">
        <v>231</v>
      </c>
      <c r="L89" s="141" t="s">
        <v>231</v>
      </c>
      <c r="M89" s="141" t="s">
        <v>231</v>
      </c>
      <c r="N89" s="141" t="s">
        <v>231</v>
      </c>
    </row>
    <row r="90" spans="1:14" hidden="1" x14ac:dyDescent="0.3">
      <c r="A90" s="124"/>
      <c r="B90" s="124" t="str">
        <f>IF(B89="","","POOLED")</f>
        <v/>
      </c>
      <c r="C90" s="141" t="s">
        <v>231</v>
      </c>
      <c r="D90" s="141" t="s">
        <v>231</v>
      </c>
      <c r="E90" s="141" t="s">
        <v>231</v>
      </c>
      <c r="F90" s="141" t="s">
        <v>231</v>
      </c>
      <c r="G90" s="141" t="s">
        <v>231</v>
      </c>
      <c r="H90" s="141" t="s">
        <v>231</v>
      </c>
      <c r="I90" s="142" t="s">
        <v>231</v>
      </c>
      <c r="J90" s="141" t="s">
        <v>231</v>
      </c>
      <c r="K90" s="141" t="s">
        <v>231</v>
      </c>
      <c r="L90" s="141" t="s">
        <v>231</v>
      </c>
      <c r="M90" s="141" t="s">
        <v>231</v>
      </c>
      <c r="N90" s="141" t="s">
        <v>231</v>
      </c>
    </row>
    <row r="91" spans="1:14" hidden="1" x14ac:dyDescent="0.3">
      <c r="A91" s="105" t="str">
        <f>IF(B91="","",A87+1)</f>
        <v/>
      </c>
      <c r="B91" s="105" t="s">
        <v>231</v>
      </c>
      <c r="C91" s="141"/>
      <c r="D91" s="141"/>
      <c r="E91" s="141"/>
      <c r="F91" s="141"/>
      <c r="G91" s="141"/>
      <c r="H91" s="141"/>
      <c r="I91" s="142"/>
      <c r="J91" s="141"/>
      <c r="K91" s="141"/>
      <c r="L91" s="141"/>
      <c r="M91" s="141"/>
      <c r="N91" s="141"/>
    </row>
    <row r="92" spans="1:14" hidden="1" x14ac:dyDescent="0.3">
      <c r="A92" s="124"/>
      <c r="B92" s="124" t="str">
        <f>IF(B91="","","CENTRAL")</f>
        <v/>
      </c>
      <c r="C92" s="141" t="s">
        <v>231</v>
      </c>
      <c r="D92" s="141" t="s">
        <v>231</v>
      </c>
      <c r="E92" s="141" t="s">
        <v>231</v>
      </c>
      <c r="F92" s="141" t="s">
        <v>231</v>
      </c>
      <c r="G92" s="141" t="s">
        <v>231</v>
      </c>
      <c r="H92" s="141" t="s">
        <v>231</v>
      </c>
      <c r="I92" s="142" t="s">
        <v>231</v>
      </c>
      <c r="J92" s="141" t="s">
        <v>231</v>
      </c>
      <c r="K92" s="141" t="s">
        <v>231</v>
      </c>
      <c r="L92" s="141" t="s">
        <v>231</v>
      </c>
      <c r="M92" s="141" t="s">
        <v>231</v>
      </c>
      <c r="N92" s="141" t="s">
        <v>231</v>
      </c>
    </row>
    <row r="93" spans="1:14" hidden="1" x14ac:dyDescent="0.3">
      <c r="A93" s="124"/>
      <c r="B93" s="124" t="str">
        <f>IF(B92="","","STATE")</f>
        <v/>
      </c>
      <c r="C93" s="141" t="s">
        <v>231</v>
      </c>
      <c r="D93" s="141" t="s">
        <v>231</v>
      </c>
      <c r="E93" s="141" t="s">
        <v>231</v>
      </c>
      <c r="F93" s="141" t="s">
        <v>231</v>
      </c>
      <c r="G93" s="141" t="s">
        <v>231</v>
      </c>
      <c r="H93" s="141" t="s">
        <v>231</v>
      </c>
      <c r="I93" s="142" t="s">
        <v>231</v>
      </c>
      <c r="J93" s="141" t="s">
        <v>231</v>
      </c>
      <c r="K93" s="141" t="s">
        <v>231</v>
      </c>
      <c r="L93" s="141" t="s">
        <v>231</v>
      </c>
      <c r="M93" s="141" t="s">
        <v>231</v>
      </c>
      <c r="N93" s="141" t="s">
        <v>231</v>
      </c>
    </row>
    <row r="94" spans="1:14" hidden="1" x14ac:dyDescent="0.3">
      <c r="A94" s="124"/>
      <c r="B94" s="124" t="str">
        <f>IF(B93="","","POOLED")</f>
        <v/>
      </c>
      <c r="C94" s="141" t="s">
        <v>231</v>
      </c>
      <c r="D94" s="141" t="s">
        <v>231</v>
      </c>
      <c r="E94" s="141" t="s">
        <v>231</v>
      </c>
      <c r="F94" s="141" t="s">
        <v>231</v>
      </c>
      <c r="G94" s="141" t="s">
        <v>231</v>
      </c>
      <c r="H94" s="141" t="s">
        <v>231</v>
      </c>
      <c r="I94" s="142" t="s">
        <v>231</v>
      </c>
      <c r="J94" s="141" t="s">
        <v>231</v>
      </c>
      <c r="K94" s="141" t="s">
        <v>231</v>
      </c>
      <c r="L94" s="141" t="s">
        <v>231</v>
      </c>
      <c r="M94" s="141" t="s">
        <v>231</v>
      </c>
      <c r="N94" s="141" t="s">
        <v>231</v>
      </c>
    </row>
    <row r="95" spans="1:14" hidden="1" x14ac:dyDescent="0.3">
      <c r="A95" s="105" t="str">
        <f>IF(B95="","",A91+1)</f>
        <v/>
      </c>
      <c r="B95" s="105" t="s">
        <v>231</v>
      </c>
      <c r="C95" s="141"/>
      <c r="D95" s="141"/>
      <c r="E95" s="141"/>
      <c r="F95" s="141"/>
      <c r="G95" s="141"/>
      <c r="H95" s="141"/>
      <c r="I95" s="142"/>
      <c r="J95" s="141"/>
      <c r="K95" s="141"/>
      <c r="L95" s="141"/>
      <c r="M95" s="141"/>
      <c r="N95" s="141"/>
    </row>
    <row r="96" spans="1:14" hidden="1" x14ac:dyDescent="0.3">
      <c r="A96" s="124"/>
      <c r="B96" s="124" t="str">
        <f>IF(B95="","","CENTRAL")</f>
        <v/>
      </c>
      <c r="C96" s="141" t="s">
        <v>231</v>
      </c>
      <c r="D96" s="141" t="s">
        <v>231</v>
      </c>
      <c r="E96" s="141" t="s">
        <v>231</v>
      </c>
      <c r="F96" s="141" t="s">
        <v>231</v>
      </c>
      <c r="G96" s="141" t="s">
        <v>231</v>
      </c>
      <c r="H96" s="141" t="s">
        <v>231</v>
      </c>
      <c r="I96" s="142" t="s">
        <v>231</v>
      </c>
      <c r="J96" s="141" t="s">
        <v>231</v>
      </c>
      <c r="K96" s="141" t="s">
        <v>231</v>
      </c>
      <c r="L96" s="141" t="s">
        <v>231</v>
      </c>
      <c r="M96" s="141" t="s">
        <v>231</v>
      </c>
      <c r="N96" s="141" t="s">
        <v>231</v>
      </c>
    </row>
    <row r="97" spans="1:14" hidden="1" x14ac:dyDescent="0.3">
      <c r="A97" s="124"/>
      <c r="B97" s="124" t="str">
        <f>IF(B96="","","STATE")</f>
        <v/>
      </c>
      <c r="C97" s="141" t="s">
        <v>231</v>
      </c>
      <c r="D97" s="141" t="s">
        <v>231</v>
      </c>
      <c r="E97" s="141" t="s">
        <v>231</v>
      </c>
      <c r="F97" s="141" t="s">
        <v>231</v>
      </c>
      <c r="G97" s="141" t="s">
        <v>231</v>
      </c>
      <c r="H97" s="141" t="s">
        <v>231</v>
      </c>
      <c r="I97" s="142" t="s">
        <v>231</v>
      </c>
      <c r="J97" s="141" t="s">
        <v>231</v>
      </c>
      <c r="K97" s="141" t="s">
        <v>231</v>
      </c>
      <c r="L97" s="141" t="s">
        <v>231</v>
      </c>
      <c r="M97" s="141" t="s">
        <v>231</v>
      </c>
      <c r="N97" s="141" t="s">
        <v>231</v>
      </c>
    </row>
    <row r="98" spans="1:14" hidden="1" x14ac:dyDescent="0.3">
      <c r="A98" s="124"/>
      <c r="B98" s="124" t="str">
        <f>IF(B97="","","POOLED")</f>
        <v/>
      </c>
      <c r="C98" s="141" t="s">
        <v>231</v>
      </c>
      <c r="D98" s="141" t="s">
        <v>231</v>
      </c>
      <c r="E98" s="141" t="s">
        <v>231</v>
      </c>
      <c r="F98" s="141" t="s">
        <v>231</v>
      </c>
      <c r="G98" s="141" t="s">
        <v>231</v>
      </c>
      <c r="H98" s="141" t="s">
        <v>231</v>
      </c>
      <c r="I98" s="142" t="s">
        <v>231</v>
      </c>
      <c r="J98" s="141" t="s">
        <v>231</v>
      </c>
      <c r="K98" s="141" t="s">
        <v>231</v>
      </c>
      <c r="L98" s="141" t="s">
        <v>231</v>
      </c>
      <c r="M98" s="141" t="s">
        <v>231</v>
      </c>
      <c r="N98" s="141" t="s">
        <v>231</v>
      </c>
    </row>
    <row r="99" spans="1:14" hidden="1" x14ac:dyDescent="0.3">
      <c r="A99" s="105" t="str">
        <f>IF(B99="","",A95+1)</f>
        <v/>
      </c>
      <c r="B99" s="105" t="s">
        <v>231</v>
      </c>
      <c r="C99" s="141"/>
      <c r="D99" s="141"/>
      <c r="E99" s="141"/>
      <c r="F99" s="141"/>
      <c r="G99" s="141"/>
      <c r="H99" s="141"/>
      <c r="I99" s="142"/>
      <c r="J99" s="141"/>
      <c r="K99" s="141"/>
      <c r="L99" s="141"/>
      <c r="M99" s="141"/>
      <c r="N99" s="141"/>
    </row>
    <row r="100" spans="1:14" hidden="1" x14ac:dyDescent="0.3">
      <c r="A100" s="124"/>
      <c r="B100" s="124" t="str">
        <f>IF(B99="","","CENTRAL")</f>
        <v/>
      </c>
      <c r="C100" s="141" t="s">
        <v>231</v>
      </c>
      <c r="D100" s="141" t="s">
        <v>231</v>
      </c>
      <c r="E100" s="141" t="s">
        <v>231</v>
      </c>
      <c r="F100" s="141" t="s">
        <v>231</v>
      </c>
      <c r="G100" s="141" t="s">
        <v>231</v>
      </c>
      <c r="H100" s="141" t="s">
        <v>231</v>
      </c>
      <c r="I100" s="142" t="s">
        <v>231</v>
      </c>
      <c r="J100" s="141" t="s">
        <v>231</v>
      </c>
      <c r="K100" s="141" t="s">
        <v>231</v>
      </c>
      <c r="L100" s="141" t="s">
        <v>231</v>
      </c>
      <c r="M100" s="141" t="s">
        <v>231</v>
      </c>
      <c r="N100" s="141" t="s">
        <v>231</v>
      </c>
    </row>
    <row r="101" spans="1:14" hidden="1" x14ac:dyDescent="0.3">
      <c r="A101" s="124"/>
      <c r="B101" s="124" t="str">
        <f>IF(B100="","","STATE")</f>
        <v/>
      </c>
      <c r="C101" s="141" t="s">
        <v>231</v>
      </c>
      <c r="D101" s="141" t="s">
        <v>231</v>
      </c>
      <c r="E101" s="141" t="s">
        <v>231</v>
      </c>
      <c r="F101" s="141" t="s">
        <v>231</v>
      </c>
      <c r="G101" s="141" t="s">
        <v>231</v>
      </c>
      <c r="H101" s="141" t="s">
        <v>231</v>
      </c>
      <c r="I101" s="142" t="s">
        <v>231</v>
      </c>
      <c r="J101" s="141" t="s">
        <v>231</v>
      </c>
      <c r="K101" s="141" t="s">
        <v>231</v>
      </c>
      <c r="L101" s="141" t="s">
        <v>231</v>
      </c>
      <c r="M101" s="141" t="s">
        <v>231</v>
      </c>
      <c r="N101" s="141" t="s">
        <v>231</v>
      </c>
    </row>
    <row r="102" spans="1:14" hidden="1" x14ac:dyDescent="0.3">
      <c r="A102" s="124"/>
      <c r="B102" s="124" t="str">
        <f>IF(B101="","","POOLED")</f>
        <v/>
      </c>
      <c r="C102" s="141" t="s">
        <v>231</v>
      </c>
      <c r="D102" s="141" t="s">
        <v>231</v>
      </c>
      <c r="E102" s="141" t="s">
        <v>231</v>
      </c>
      <c r="F102" s="141" t="s">
        <v>231</v>
      </c>
      <c r="G102" s="141" t="s">
        <v>231</v>
      </c>
      <c r="H102" s="141" t="s">
        <v>231</v>
      </c>
      <c r="I102" s="142" t="s">
        <v>231</v>
      </c>
      <c r="J102" s="141" t="s">
        <v>231</v>
      </c>
      <c r="K102" s="141" t="s">
        <v>231</v>
      </c>
      <c r="L102" s="141" t="s">
        <v>231</v>
      </c>
      <c r="M102" s="141" t="s">
        <v>231</v>
      </c>
      <c r="N102" s="141" t="s">
        <v>231</v>
      </c>
    </row>
    <row r="103" spans="1:14" hidden="1" x14ac:dyDescent="0.3">
      <c r="A103" s="105" t="str">
        <f>IF(B103="","",A99+1)</f>
        <v/>
      </c>
      <c r="B103" s="105" t="s">
        <v>231</v>
      </c>
      <c r="C103" s="141"/>
      <c r="D103" s="141"/>
      <c r="E103" s="141"/>
      <c r="F103" s="141"/>
      <c r="G103" s="141"/>
      <c r="H103" s="141"/>
      <c r="I103" s="142"/>
      <c r="J103" s="141"/>
      <c r="K103" s="141"/>
      <c r="L103" s="141"/>
      <c r="M103" s="141"/>
      <c r="N103" s="141"/>
    </row>
    <row r="104" spans="1:14" hidden="1" x14ac:dyDescent="0.3">
      <c r="A104" s="124"/>
      <c r="B104" s="124" t="str">
        <f>IF(B103="","","CENTRAL")</f>
        <v/>
      </c>
      <c r="C104" s="141" t="s">
        <v>231</v>
      </c>
      <c r="D104" s="141" t="s">
        <v>231</v>
      </c>
      <c r="E104" s="141" t="s">
        <v>231</v>
      </c>
      <c r="F104" s="141" t="s">
        <v>231</v>
      </c>
      <c r="G104" s="141" t="s">
        <v>231</v>
      </c>
      <c r="H104" s="141" t="s">
        <v>231</v>
      </c>
      <c r="I104" s="142" t="s">
        <v>231</v>
      </c>
      <c r="J104" s="141" t="s">
        <v>231</v>
      </c>
      <c r="K104" s="141" t="s">
        <v>231</v>
      </c>
      <c r="L104" s="141" t="s">
        <v>231</v>
      </c>
      <c r="M104" s="141" t="s">
        <v>231</v>
      </c>
      <c r="N104" s="141" t="s">
        <v>231</v>
      </c>
    </row>
    <row r="105" spans="1:14" hidden="1" x14ac:dyDescent="0.3">
      <c r="A105" s="124"/>
      <c r="B105" s="124" t="str">
        <f>IF(B104="","","STATE")</f>
        <v/>
      </c>
      <c r="C105" s="141" t="s">
        <v>231</v>
      </c>
      <c r="D105" s="141" t="s">
        <v>231</v>
      </c>
      <c r="E105" s="141" t="s">
        <v>231</v>
      </c>
      <c r="F105" s="141" t="s">
        <v>231</v>
      </c>
      <c r="G105" s="141" t="s">
        <v>231</v>
      </c>
      <c r="H105" s="141" t="s">
        <v>231</v>
      </c>
      <c r="I105" s="142" t="s">
        <v>231</v>
      </c>
      <c r="J105" s="141" t="s">
        <v>231</v>
      </c>
      <c r="K105" s="141" t="s">
        <v>231</v>
      </c>
      <c r="L105" s="141" t="s">
        <v>231</v>
      </c>
      <c r="M105" s="141" t="s">
        <v>231</v>
      </c>
      <c r="N105" s="141" t="s">
        <v>231</v>
      </c>
    </row>
    <row r="106" spans="1:14" hidden="1" x14ac:dyDescent="0.3">
      <c r="A106" s="124"/>
      <c r="B106" s="124" t="str">
        <f>IF(B105="","","POOLED")</f>
        <v/>
      </c>
      <c r="C106" s="141" t="s">
        <v>231</v>
      </c>
      <c r="D106" s="141" t="s">
        <v>231</v>
      </c>
      <c r="E106" s="141" t="s">
        <v>231</v>
      </c>
      <c r="F106" s="141" t="s">
        <v>231</v>
      </c>
      <c r="G106" s="141" t="s">
        <v>231</v>
      </c>
      <c r="H106" s="141" t="s">
        <v>231</v>
      </c>
      <c r="I106" s="142" t="s">
        <v>231</v>
      </c>
      <c r="J106" s="141" t="s">
        <v>231</v>
      </c>
      <c r="K106" s="141" t="s">
        <v>231</v>
      </c>
      <c r="L106" s="141" t="s">
        <v>231</v>
      </c>
      <c r="M106" s="141" t="s">
        <v>231</v>
      </c>
      <c r="N106" s="141" t="s">
        <v>231</v>
      </c>
    </row>
    <row r="107" spans="1:14" hidden="1" x14ac:dyDescent="0.3">
      <c r="A107" s="105" t="str">
        <f>IF(B107="","",A103+1)</f>
        <v/>
      </c>
      <c r="B107" s="105" t="s">
        <v>231</v>
      </c>
      <c r="C107" s="141"/>
      <c r="D107" s="141"/>
      <c r="E107" s="141"/>
      <c r="F107" s="141"/>
      <c r="G107" s="141"/>
      <c r="H107" s="141"/>
      <c r="I107" s="142"/>
      <c r="J107" s="141"/>
      <c r="K107" s="141"/>
      <c r="L107" s="141"/>
      <c r="M107" s="141"/>
      <c r="N107" s="141"/>
    </row>
    <row r="108" spans="1:14" hidden="1" x14ac:dyDescent="0.3">
      <c r="A108" s="124"/>
      <c r="B108" s="124" t="str">
        <f>IF(B107="","","CENTRAL")</f>
        <v/>
      </c>
      <c r="C108" s="141" t="s">
        <v>231</v>
      </c>
      <c r="D108" s="141" t="s">
        <v>231</v>
      </c>
      <c r="E108" s="141" t="s">
        <v>231</v>
      </c>
      <c r="F108" s="141" t="s">
        <v>231</v>
      </c>
      <c r="G108" s="141" t="s">
        <v>231</v>
      </c>
      <c r="H108" s="141" t="s">
        <v>231</v>
      </c>
      <c r="I108" s="142" t="s">
        <v>231</v>
      </c>
      <c r="J108" s="141" t="s">
        <v>231</v>
      </c>
      <c r="K108" s="141" t="s">
        <v>231</v>
      </c>
      <c r="L108" s="141" t="s">
        <v>231</v>
      </c>
      <c r="M108" s="141" t="s">
        <v>231</v>
      </c>
      <c r="N108" s="141" t="s">
        <v>231</v>
      </c>
    </row>
    <row r="109" spans="1:14" hidden="1" x14ac:dyDescent="0.3">
      <c r="A109" s="124"/>
      <c r="B109" s="124" t="str">
        <f>IF(B108="","","STATE")</f>
        <v/>
      </c>
      <c r="C109" s="141" t="s">
        <v>231</v>
      </c>
      <c r="D109" s="141" t="s">
        <v>231</v>
      </c>
      <c r="E109" s="141" t="s">
        <v>231</v>
      </c>
      <c r="F109" s="141" t="s">
        <v>231</v>
      </c>
      <c r="G109" s="141" t="s">
        <v>231</v>
      </c>
      <c r="H109" s="141" t="s">
        <v>231</v>
      </c>
      <c r="I109" s="142" t="s">
        <v>231</v>
      </c>
      <c r="J109" s="141" t="s">
        <v>231</v>
      </c>
      <c r="K109" s="141" t="s">
        <v>231</v>
      </c>
      <c r="L109" s="141" t="s">
        <v>231</v>
      </c>
      <c r="M109" s="141" t="s">
        <v>231</v>
      </c>
      <c r="N109" s="141" t="s">
        <v>231</v>
      </c>
    </row>
    <row r="110" spans="1:14" hidden="1" x14ac:dyDescent="0.3">
      <c r="A110" s="124"/>
      <c r="B110" s="124" t="str">
        <f>IF(B109="","","POOLED")</f>
        <v/>
      </c>
      <c r="C110" s="141" t="s">
        <v>231</v>
      </c>
      <c r="D110" s="141" t="s">
        <v>231</v>
      </c>
      <c r="E110" s="141" t="s">
        <v>231</v>
      </c>
      <c r="F110" s="141" t="s">
        <v>231</v>
      </c>
      <c r="G110" s="141" t="s">
        <v>231</v>
      </c>
      <c r="H110" s="141" t="s">
        <v>231</v>
      </c>
      <c r="I110" s="142" t="s">
        <v>231</v>
      </c>
      <c r="J110" s="141" t="s">
        <v>231</v>
      </c>
      <c r="K110" s="141" t="s">
        <v>231</v>
      </c>
      <c r="L110" s="141" t="s">
        <v>231</v>
      </c>
      <c r="M110" s="141" t="s">
        <v>231</v>
      </c>
      <c r="N110" s="141" t="s">
        <v>231</v>
      </c>
    </row>
    <row r="111" spans="1:14" hidden="1" x14ac:dyDescent="0.3">
      <c r="A111" s="105" t="str">
        <f>IF(B111="","",A107+1)</f>
        <v/>
      </c>
      <c r="B111" s="105" t="s">
        <v>231</v>
      </c>
      <c r="C111" s="141"/>
      <c r="D111" s="141"/>
      <c r="E111" s="141"/>
      <c r="F111" s="141"/>
      <c r="G111" s="141"/>
      <c r="H111" s="141"/>
      <c r="I111" s="142"/>
      <c r="J111" s="141"/>
      <c r="K111" s="141"/>
      <c r="L111" s="141"/>
      <c r="M111" s="141"/>
      <c r="N111" s="141"/>
    </row>
    <row r="112" spans="1:14" hidden="1" x14ac:dyDescent="0.3">
      <c r="A112" s="124"/>
      <c r="B112" s="124" t="str">
        <f>IF(B111="","","CENTRAL")</f>
        <v/>
      </c>
      <c r="C112" s="141" t="s">
        <v>231</v>
      </c>
      <c r="D112" s="141" t="s">
        <v>231</v>
      </c>
      <c r="E112" s="141" t="s">
        <v>231</v>
      </c>
      <c r="F112" s="141" t="s">
        <v>231</v>
      </c>
      <c r="G112" s="141" t="s">
        <v>231</v>
      </c>
      <c r="H112" s="141" t="s">
        <v>231</v>
      </c>
      <c r="I112" s="142" t="s">
        <v>231</v>
      </c>
      <c r="J112" s="141" t="s">
        <v>231</v>
      </c>
      <c r="K112" s="141" t="s">
        <v>231</v>
      </c>
      <c r="L112" s="141" t="s">
        <v>231</v>
      </c>
      <c r="M112" s="141" t="s">
        <v>231</v>
      </c>
      <c r="N112" s="141" t="s">
        <v>231</v>
      </c>
    </row>
    <row r="113" spans="1:14" hidden="1" x14ac:dyDescent="0.3">
      <c r="A113" s="124"/>
      <c r="B113" s="124" t="str">
        <f>IF(B112="","","STATE")</f>
        <v/>
      </c>
      <c r="C113" s="141" t="s">
        <v>231</v>
      </c>
      <c r="D113" s="141" t="s">
        <v>231</v>
      </c>
      <c r="E113" s="141" t="s">
        <v>231</v>
      </c>
      <c r="F113" s="141" t="s">
        <v>231</v>
      </c>
      <c r="G113" s="141" t="s">
        <v>231</v>
      </c>
      <c r="H113" s="141" t="s">
        <v>231</v>
      </c>
      <c r="I113" s="142" t="s">
        <v>231</v>
      </c>
      <c r="J113" s="141" t="s">
        <v>231</v>
      </c>
      <c r="K113" s="141" t="s">
        <v>231</v>
      </c>
      <c r="L113" s="141" t="s">
        <v>231</v>
      </c>
      <c r="M113" s="141" t="s">
        <v>231</v>
      </c>
      <c r="N113" s="141" t="s">
        <v>231</v>
      </c>
    </row>
    <row r="114" spans="1:14" hidden="1" x14ac:dyDescent="0.3">
      <c r="A114" s="124"/>
      <c r="B114" s="124" t="str">
        <f>IF(B113="","","POOLED")</f>
        <v/>
      </c>
      <c r="C114" s="141" t="s">
        <v>231</v>
      </c>
      <c r="D114" s="141" t="s">
        <v>231</v>
      </c>
      <c r="E114" s="141" t="s">
        <v>231</v>
      </c>
      <c r="F114" s="141" t="s">
        <v>231</v>
      </c>
      <c r="G114" s="141" t="s">
        <v>231</v>
      </c>
      <c r="H114" s="141" t="s">
        <v>231</v>
      </c>
      <c r="I114" s="142" t="s">
        <v>231</v>
      </c>
      <c r="J114" s="141" t="s">
        <v>231</v>
      </c>
      <c r="K114" s="141" t="s">
        <v>231</v>
      </c>
      <c r="L114" s="141" t="s">
        <v>231</v>
      </c>
      <c r="M114" s="141" t="s">
        <v>231</v>
      </c>
      <c r="N114" s="141" t="s">
        <v>231</v>
      </c>
    </row>
    <row r="115" spans="1:14" hidden="1" x14ac:dyDescent="0.3">
      <c r="A115" s="105" t="str">
        <f>IF(B115="","",A111+1)</f>
        <v/>
      </c>
      <c r="B115" s="105" t="s">
        <v>231</v>
      </c>
      <c r="C115" s="141"/>
      <c r="D115" s="141"/>
      <c r="E115" s="141"/>
      <c r="F115" s="141"/>
      <c r="G115" s="141"/>
      <c r="H115" s="141"/>
      <c r="I115" s="142"/>
      <c r="J115" s="141"/>
      <c r="K115" s="141"/>
      <c r="L115" s="141"/>
      <c r="M115" s="141"/>
      <c r="N115" s="141"/>
    </row>
    <row r="116" spans="1:14" hidden="1" x14ac:dyDescent="0.3">
      <c r="A116" s="124"/>
      <c r="B116" s="124" t="str">
        <f>IF(B115="","","CENTRAL")</f>
        <v/>
      </c>
      <c r="C116" s="141" t="s">
        <v>231</v>
      </c>
      <c r="D116" s="141" t="s">
        <v>231</v>
      </c>
      <c r="E116" s="141" t="s">
        <v>231</v>
      </c>
      <c r="F116" s="141" t="s">
        <v>231</v>
      </c>
      <c r="G116" s="141" t="s">
        <v>231</v>
      </c>
      <c r="H116" s="141" t="s">
        <v>231</v>
      </c>
      <c r="I116" s="142" t="s">
        <v>231</v>
      </c>
      <c r="J116" s="141" t="s">
        <v>231</v>
      </c>
      <c r="K116" s="141" t="s">
        <v>231</v>
      </c>
      <c r="L116" s="141" t="s">
        <v>231</v>
      </c>
      <c r="M116" s="141" t="s">
        <v>231</v>
      </c>
      <c r="N116" s="141" t="s">
        <v>231</v>
      </c>
    </row>
    <row r="117" spans="1:14" hidden="1" x14ac:dyDescent="0.3">
      <c r="A117" s="124"/>
      <c r="B117" s="124" t="str">
        <f>IF(B116="","","STATE")</f>
        <v/>
      </c>
      <c r="C117" s="141" t="s">
        <v>231</v>
      </c>
      <c r="D117" s="141" t="s">
        <v>231</v>
      </c>
      <c r="E117" s="141" t="s">
        <v>231</v>
      </c>
      <c r="F117" s="141" t="s">
        <v>231</v>
      </c>
      <c r="G117" s="141" t="s">
        <v>231</v>
      </c>
      <c r="H117" s="141" t="s">
        <v>231</v>
      </c>
      <c r="I117" s="142" t="s">
        <v>231</v>
      </c>
      <c r="J117" s="141" t="s">
        <v>231</v>
      </c>
      <c r="K117" s="141" t="s">
        <v>231</v>
      </c>
      <c r="L117" s="141" t="s">
        <v>231</v>
      </c>
      <c r="M117" s="141" t="s">
        <v>231</v>
      </c>
      <c r="N117" s="141" t="s">
        <v>231</v>
      </c>
    </row>
    <row r="118" spans="1:14" hidden="1" x14ac:dyDescent="0.3">
      <c r="A118" s="124"/>
      <c r="B118" s="124" t="str">
        <f>IF(B117="","","POOLED")</f>
        <v/>
      </c>
      <c r="C118" s="141" t="s">
        <v>231</v>
      </c>
      <c r="D118" s="141" t="s">
        <v>231</v>
      </c>
      <c r="E118" s="141" t="s">
        <v>231</v>
      </c>
      <c r="F118" s="141" t="s">
        <v>231</v>
      </c>
      <c r="G118" s="141" t="s">
        <v>231</v>
      </c>
      <c r="H118" s="141" t="s">
        <v>231</v>
      </c>
      <c r="I118" s="142" t="s">
        <v>231</v>
      </c>
      <c r="J118" s="141" t="s">
        <v>231</v>
      </c>
      <c r="K118" s="141" t="s">
        <v>231</v>
      </c>
      <c r="L118" s="141" t="s">
        <v>231</v>
      </c>
      <c r="M118" s="141" t="s">
        <v>231</v>
      </c>
      <c r="N118" s="141" t="s">
        <v>231</v>
      </c>
    </row>
    <row r="119" spans="1:14" hidden="1" x14ac:dyDescent="0.3">
      <c r="A119" s="105" t="str">
        <f>IF(B119="","",A115+1)</f>
        <v/>
      </c>
      <c r="B119" s="105" t="s">
        <v>231</v>
      </c>
      <c r="C119" s="141"/>
      <c r="D119" s="141"/>
      <c r="E119" s="141"/>
      <c r="F119" s="141"/>
      <c r="G119" s="141"/>
      <c r="H119" s="141"/>
      <c r="I119" s="142"/>
      <c r="J119" s="141"/>
      <c r="K119" s="141"/>
      <c r="L119" s="141"/>
      <c r="M119" s="141"/>
      <c r="N119" s="141"/>
    </row>
    <row r="120" spans="1:14" hidden="1" x14ac:dyDescent="0.3">
      <c r="A120" s="124"/>
      <c r="B120" s="124" t="str">
        <f>IF(B119="","","CENTRAL")</f>
        <v/>
      </c>
      <c r="C120" s="141" t="s">
        <v>231</v>
      </c>
      <c r="D120" s="141" t="s">
        <v>231</v>
      </c>
      <c r="E120" s="141" t="s">
        <v>231</v>
      </c>
      <c r="F120" s="141" t="s">
        <v>231</v>
      </c>
      <c r="G120" s="141" t="s">
        <v>231</v>
      </c>
      <c r="H120" s="141" t="s">
        <v>231</v>
      </c>
      <c r="I120" s="142" t="s">
        <v>231</v>
      </c>
      <c r="J120" s="141" t="s">
        <v>231</v>
      </c>
      <c r="K120" s="141" t="s">
        <v>231</v>
      </c>
      <c r="L120" s="141" t="s">
        <v>231</v>
      </c>
      <c r="M120" s="141" t="s">
        <v>231</v>
      </c>
      <c r="N120" s="141" t="s">
        <v>231</v>
      </c>
    </row>
    <row r="121" spans="1:14" hidden="1" x14ac:dyDescent="0.3">
      <c r="A121" s="124"/>
      <c r="B121" s="124" t="str">
        <f>IF(B120="","","STATE")</f>
        <v/>
      </c>
      <c r="C121" s="141" t="s">
        <v>231</v>
      </c>
      <c r="D121" s="141" t="s">
        <v>231</v>
      </c>
      <c r="E121" s="141" t="s">
        <v>231</v>
      </c>
      <c r="F121" s="141" t="s">
        <v>231</v>
      </c>
      <c r="G121" s="141" t="s">
        <v>231</v>
      </c>
      <c r="H121" s="141" t="s">
        <v>231</v>
      </c>
      <c r="I121" s="142" t="s">
        <v>231</v>
      </c>
      <c r="J121" s="141" t="s">
        <v>231</v>
      </c>
      <c r="K121" s="141" t="s">
        <v>231</v>
      </c>
      <c r="L121" s="141" t="s">
        <v>231</v>
      </c>
      <c r="M121" s="141" t="s">
        <v>231</v>
      </c>
      <c r="N121" s="141" t="s">
        <v>231</v>
      </c>
    </row>
    <row r="122" spans="1:14" hidden="1" x14ac:dyDescent="0.3">
      <c r="A122" s="124"/>
      <c r="B122" s="124" t="str">
        <f>IF(B121="","","POOLED")</f>
        <v/>
      </c>
      <c r="C122" s="141" t="s">
        <v>231</v>
      </c>
      <c r="D122" s="141" t="s">
        <v>231</v>
      </c>
      <c r="E122" s="141" t="s">
        <v>231</v>
      </c>
      <c r="F122" s="141" t="s">
        <v>231</v>
      </c>
      <c r="G122" s="141" t="s">
        <v>231</v>
      </c>
      <c r="H122" s="141" t="s">
        <v>231</v>
      </c>
      <c r="I122" s="142" t="s">
        <v>231</v>
      </c>
      <c r="J122" s="141" t="s">
        <v>231</v>
      </c>
      <c r="K122" s="141" t="s">
        <v>231</v>
      </c>
      <c r="L122" s="141" t="s">
        <v>231</v>
      </c>
      <c r="M122" s="141" t="s">
        <v>231</v>
      </c>
      <c r="N122" s="141" t="s">
        <v>231</v>
      </c>
    </row>
    <row r="123" spans="1:14" hidden="1" x14ac:dyDescent="0.3">
      <c r="A123" s="105" t="str">
        <f>IF(B123="","",A119+1)</f>
        <v/>
      </c>
      <c r="B123" s="105" t="s">
        <v>231</v>
      </c>
      <c r="C123" s="141"/>
      <c r="D123" s="141"/>
      <c r="E123" s="141"/>
      <c r="F123" s="141"/>
      <c r="G123" s="141"/>
      <c r="H123" s="141"/>
      <c r="I123" s="142"/>
      <c r="J123" s="141"/>
      <c r="K123" s="141"/>
      <c r="L123" s="141"/>
      <c r="M123" s="141"/>
      <c r="N123" s="141"/>
    </row>
    <row r="124" spans="1:14" hidden="1" x14ac:dyDescent="0.3">
      <c r="A124" s="124"/>
      <c r="B124" s="124" t="str">
        <f>IF(B123="","","CENTRAL")</f>
        <v/>
      </c>
      <c r="C124" s="141" t="s">
        <v>231</v>
      </c>
      <c r="D124" s="141" t="s">
        <v>231</v>
      </c>
      <c r="E124" s="141" t="s">
        <v>231</v>
      </c>
      <c r="F124" s="141" t="s">
        <v>231</v>
      </c>
      <c r="G124" s="141" t="s">
        <v>231</v>
      </c>
      <c r="H124" s="141" t="s">
        <v>231</v>
      </c>
      <c r="I124" s="142" t="s">
        <v>231</v>
      </c>
      <c r="J124" s="141" t="s">
        <v>231</v>
      </c>
      <c r="K124" s="141" t="s">
        <v>231</v>
      </c>
      <c r="L124" s="141" t="s">
        <v>231</v>
      </c>
      <c r="M124" s="141" t="s">
        <v>231</v>
      </c>
      <c r="N124" s="141" t="s">
        <v>231</v>
      </c>
    </row>
    <row r="125" spans="1:14" hidden="1" x14ac:dyDescent="0.3">
      <c r="A125" s="124"/>
      <c r="B125" s="124" t="str">
        <f>IF(B124="","","STATE")</f>
        <v/>
      </c>
      <c r="C125" s="141" t="s">
        <v>231</v>
      </c>
      <c r="D125" s="141" t="s">
        <v>231</v>
      </c>
      <c r="E125" s="141" t="s">
        <v>231</v>
      </c>
      <c r="F125" s="141" t="s">
        <v>231</v>
      </c>
      <c r="G125" s="141" t="s">
        <v>231</v>
      </c>
      <c r="H125" s="141" t="s">
        <v>231</v>
      </c>
      <c r="I125" s="142" t="s">
        <v>231</v>
      </c>
      <c r="J125" s="141" t="s">
        <v>231</v>
      </c>
      <c r="K125" s="141" t="s">
        <v>231</v>
      </c>
      <c r="L125" s="141" t="s">
        <v>231</v>
      </c>
      <c r="M125" s="141" t="s">
        <v>231</v>
      </c>
      <c r="N125" s="141" t="s">
        <v>231</v>
      </c>
    </row>
    <row r="126" spans="1:14" hidden="1" x14ac:dyDescent="0.3">
      <c r="A126" s="124"/>
      <c r="B126" s="124" t="str">
        <f>IF(B125="","","POOLED")</f>
        <v/>
      </c>
      <c r="C126" s="141" t="s">
        <v>231</v>
      </c>
      <c r="D126" s="141" t="s">
        <v>231</v>
      </c>
      <c r="E126" s="141" t="s">
        <v>231</v>
      </c>
      <c r="F126" s="141" t="s">
        <v>231</v>
      </c>
      <c r="G126" s="141" t="s">
        <v>231</v>
      </c>
      <c r="H126" s="141" t="s">
        <v>231</v>
      </c>
      <c r="I126" s="142" t="s">
        <v>231</v>
      </c>
      <c r="J126" s="141" t="s">
        <v>231</v>
      </c>
      <c r="K126" s="141" t="s">
        <v>231</v>
      </c>
      <c r="L126" s="141" t="s">
        <v>231</v>
      </c>
      <c r="M126" s="141" t="s">
        <v>231</v>
      </c>
      <c r="N126" s="141" t="s">
        <v>231</v>
      </c>
    </row>
    <row r="127" spans="1:14" hidden="1" x14ac:dyDescent="0.3">
      <c r="A127" s="105" t="str">
        <f>IF(B127="","",A123+1)</f>
        <v/>
      </c>
      <c r="B127" s="105" t="s">
        <v>231</v>
      </c>
      <c r="C127" s="141"/>
      <c r="D127" s="141"/>
      <c r="E127" s="141"/>
      <c r="F127" s="141"/>
      <c r="G127" s="141"/>
      <c r="H127" s="141"/>
      <c r="I127" s="142"/>
      <c r="J127" s="141"/>
      <c r="K127" s="141"/>
      <c r="L127" s="141"/>
      <c r="M127" s="141"/>
      <c r="N127" s="141"/>
    </row>
    <row r="128" spans="1:14" hidden="1" x14ac:dyDescent="0.3">
      <c r="A128" s="124"/>
      <c r="B128" s="124" t="str">
        <f>IF(B127="","","CENTRAL")</f>
        <v/>
      </c>
      <c r="C128" s="141" t="s">
        <v>231</v>
      </c>
      <c r="D128" s="141" t="s">
        <v>231</v>
      </c>
      <c r="E128" s="141" t="s">
        <v>231</v>
      </c>
      <c r="F128" s="141" t="s">
        <v>231</v>
      </c>
      <c r="G128" s="141" t="s">
        <v>231</v>
      </c>
      <c r="H128" s="141" t="s">
        <v>231</v>
      </c>
      <c r="I128" s="142" t="s">
        <v>231</v>
      </c>
      <c r="J128" s="141" t="s">
        <v>231</v>
      </c>
      <c r="K128" s="141" t="s">
        <v>231</v>
      </c>
      <c r="L128" s="141" t="s">
        <v>231</v>
      </c>
      <c r="M128" s="141" t="s">
        <v>231</v>
      </c>
      <c r="N128" s="141" t="s">
        <v>231</v>
      </c>
    </row>
    <row r="129" spans="1:16" hidden="1" x14ac:dyDescent="0.3">
      <c r="A129" s="124"/>
      <c r="B129" s="124" t="str">
        <f>IF(B128="","","STATE")</f>
        <v/>
      </c>
      <c r="C129" s="141" t="s">
        <v>231</v>
      </c>
      <c r="D129" s="141" t="s">
        <v>231</v>
      </c>
      <c r="E129" s="141" t="s">
        <v>231</v>
      </c>
      <c r="F129" s="141" t="s">
        <v>231</v>
      </c>
      <c r="G129" s="141" t="s">
        <v>231</v>
      </c>
      <c r="H129" s="141" t="s">
        <v>231</v>
      </c>
      <c r="I129" s="142" t="s">
        <v>231</v>
      </c>
      <c r="J129" s="141" t="s">
        <v>231</v>
      </c>
      <c r="K129" s="141" t="s">
        <v>231</v>
      </c>
      <c r="L129" s="141" t="s">
        <v>231</v>
      </c>
      <c r="M129" s="141" t="s">
        <v>231</v>
      </c>
      <c r="N129" s="141" t="s">
        <v>231</v>
      </c>
    </row>
    <row r="130" spans="1:16" hidden="1" x14ac:dyDescent="0.3">
      <c r="A130" s="123"/>
      <c r="B130" s="123" t="str">
        <f>IF(B129="","","POOLED")</f>
        <v/>
      </c>
      <c r="C130" s="60" t="s">
        <v>231</v>
      </c>
      <c r="D130" s="60" t="s">
        <v>231</v>
      </c>
      <c r="E130" s="60" t="s">
        <v>231</v>
      </c>
      <c r="F130" s="60" t="s">
        <v>231</v>
      </c>
      <c r="G130" s="60" t="s">
        <v>231</v>
      </c>
      <c r="H130" s="60" t="s">
        <v>231</v>
      </c>
      <c r="I130" s="61" t="s">
        <v>231</v>
      </c>
      <c r="J130" s="60" t="s">
        <v>231</v>
      </c>
      <c r="K130" s="60" t="s">
        <v>231</v>
      </c>
      <c r="L130" s="60" t="s">
        <v>231</v>
      </c>
      <c r="M130" s="60" t="s">
        <v>231</v>
      </c>
      <c r="N130" s="60" t="s">
        <v>231</v>
      </c>
    </row>
    <row r="131" spans="1:16" ht="21" customHeight="1" x14ac:dyDescent="0.3">
      <c r="A131" s="143"/>
      <c r="B131" s="97" t="s">
        <v>39</v>
      </c>
      <c r="C131" s="141"/>
      <c r="D131" s="141"/>
      <c r="E131" s="141"/>
      <c r="F131" s="141"/>
      <c r="G131" s="141"/>
      <c r="H131" s="141"/>
      <c r="I131" s="142"/>
      <c r="J131" s="141"/>
      <c r="K131" s="141"/>
      <c r="L131" s="141"/>
      <c r="M131" s="141"/>
      <c r="N131" s="141"/>
      <c r="O131" s="140"/>
      <c r="P131" s="140"/>
    </row>
    <row r="132" spans="1:16" ht="21" customHeight="1" x14ac:dyDescent="0.3">
      <c r="B132" s="227" t="s">
        <v>120</v>
      </c>
      <c r="C132" s="141" t="s">
        <v>673</v>
      </c>
      <c r="D132" s="141" t="s">
        <v>313</v>
      </c>
      <c r="E132" s="141" t="s">
        <v>313</v>
      </c>
      <c r="F132" s="141" t="s">
        <v>313</v>
      </c>
      <c r="G132" s="141" t="s">
        <v>677</v>
      </c>
      <c r="H132" s="141" t="s">
        <v>678</v>
      </c>
      <c r="I132" s="142" t="s">
        <v>313</v>
      </c>
      <c r="J132" s="141" t="s">
        <v>313</v>
      </c>
      <c r="K132" s="141" t="s">
        <v>313</v>
      </c>
      <c r="L132" s="141" t="s">
        <v>313</v>
      </c>
      <c r="M132" s="141" t="s">
        <v>675</v>
      </c>
      <c r="N132" s="141" t="s">
        <v>313</v>
      </c>
      <c r="O132" s="140"/>
      <c r="P132" s="140"/>
    </row>
    <row r="133" spans="1:16" ht="21" customHeight="1" x14ac:dyDescent="0.3">
      <c r="B133" s="227" t="s">
        <v>17</v>
      </c>
      <c r="C133" s="141" t="s">
        <v>313</v>
      </c>
      <c r="D133" s="141" t="s">
        <v>313</v>
      </c>
      <c r="E133" s="141" t="s">
        <v>313</v>
      </c>
      <c r="F133" s="141" t="s">
        <v>313</v>
      </c>
      <c r="G133" s="141" t="s">
        <v>675</v>
      </c>
      <c r="H133" s="141" t="s">
        <v>679</v>
      </c>
      <c r="I133" s="142" t="s">
        <v>313</v>
      </c>
      <c r="J133" s="141" t="s">
        <v>313</v>
      </c>
      <c r="K133" s="141" t="s">
        <v>313</v>
      </c>
      <c r="L133" s="141" t="s">
        <v>313</v>
      </c>
      <c r="M133" s="141" t="s">
        <v>675</v>
      </c>
      <c r="N133" s="141" t="s">
        <v>313</v>
      </c>
      <c r="O133" s="140"/>
      <c r="P133" s="140"/>
    </row>
    <row r="134" spans="1:16" ht="21" customHeight="1" thickBot="1" x14ac:dyDescent="0.35">
      <c r="A134" s="228"/>
      <c r="B134" s="229" t="s">
        <v>18</v>
      </c>
      <c r="C134" s="147" t="s">
        <v>680</v>
      </c>
      <c r="D134" s="147" t="s">
        <v>313</v>
      </c>
      <c r="E134" s="147" t="s">
        <v>313</v>
      </c>
      <c r="F134" s="147" t="s">
        <v>313</v>
      </c>
      <c r="G134" s="147" t="s">
        <v>681</v>
      </c>
      <c r="H134" s="147" t="s">
        <v>682</v>
      </c>
      <c r="I134" s="148" t="s">
        <v>313</v>
      </c>
      <c r="J134" s="147" t="s">
        <v>313</v>
      </c>
      <c r="K134" s="147" t="s">
        <v>313</v>
      </c>
      <c r="L134" s="147" t="s">
        <v>313</v>
      </c>
      <c r="M134" s="147" t="s">
        <v>683</v>
      </c>
      <c r="N134" s="147" t="s">
        <v>313</v>
      </c>
      <c r="O134" s="140"/>
      <c r="P134" s="140"/>
    </row>
    <row r="135" spans="1:16" ht="14.4" thickTop="1" x14ac:dyDescent="0.3">
      <c r="B135" s="124"/>
    </row>
  </sheetData>
  <mergeCells count="14">
    <mergeCell ref="I5:J5"/>
    <mergeCell ref="K5:L5"/>
    <mergeCell ref="M5:N5"/>
    <mergeCell ref="A4:A6"/>
    <mergeCell ref="B4:B6"/>
    <mergeCell ref="C5:D5"/>
    <mergeCell ref="E5:F5"/>
    <mergeCell ref="G5:H5"/>
    <mergeCell ref="A2:D2"/>
    <mergeCell ref="C4:H4"/>
    <mergeCell ref="I4:N4"/>
    <mergeCell ref="A3:N3"/>
    <mergeCell ref="A1:N1"/>
    <mergeCell ref="I2:N2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L193"/>
  <sheetViews>
    <sheetView view="pageBreakPreview" zoomScale="70" zoomScaleNormal="85" zoomScaleSheetLayoutView="70" workbookViewId="0">
      <selection activeCell="F195" sqref="F195"/>
    </sheetView>
  </sheetViews>
  <sheetFormatPr defaultRowHeight="14.4" x14ac:dyDescent="0.3"/>
  <cols>
    <col min="1" max="1" width="11.6640625" customWidth="1"/>
    <col min="2" max="2" width="10" bestFit="1" customWidth="1"/>
    <col min="3" max="12" width="11.6640625" customWidth="1"/>
    <col min="13" max="256" width="9.109375"/>
    <col min="257" max="268" width="11.6640625" customWidth="1"/>
    <col min="269" max="512" width="9.109375"/>
    <col min="513" max="524" width="11.6640625" customWidth="1"/>
    <col min="525" max="768" width="9.109375"/>
    <col min="769" max="780" width="11.6640625" customWidth="1"/>
    <col min="781" max="1024" width="9.109375"/>
    <col min="1025" max="1036" width="11.6640625" customWidth="1"/>
    <col min="1037" max="1280" width="9.109375"/>
    <col min="1281" max="1292" width="11.6640625" customWidth="1"/>
    <col min="1293" max="1536" width="9.109375"/>
    <col min="1537" max="1548" width="11.6640625" customWidth="1"/>
    <col min="1549" max="1792" width="9.109375"/>
    <col min="1793" max="1804" width="11.6640625" customWidth="1"/>
    <col min="1805" max="2048" width="9.109375"/>
    <col min="2049" max="2060" width="11.6640625" customWidth="1"/>
    <col min="2061" max="2304" width="9.109375"/>
    <col min="2305" max="2316" width="11.6640625" customWidth="1"/>
    <col min="2317" max="2560" width="9.109375"/>
    <col min="2561" max="2572" width="11.6640625" customWidth="1"/>
    <col min="2573" max="2816" width="9.109375"/>
    <col min="2817" max="2828" width="11.6640625" customWidth="1"/>
    <col min="2829" max="3072" width="9.109375"/>
    <col min="3073" max="3084" width="11.6640625" customWidth="1"/>
    <col min="3085" max="3328" width="9.109375"/>
    <col min="3329" max="3340" width="11.6640625" customWidth="1"/>
    <col min="3341" max="3584" width="9.109375"/>
    <col min="3585" max="3596" width="11.6640625" customWidth="1"/>
    <col min="3597" max="3840" width="9.109375"/>
    <col min="3841" max="3852" width="11.6640625" customWidth="1"/>
    <col min="3853" max="4096" width="9.109375"/>
    <col min="4097" max="4108" width="11.6640625" customWidth="1"/>
    <col min="4109" max="4352" width="9.109375"/>
    <col min="4353" max="4364" width="11.6640625" customWidth="1"/>
    <col min="4365" max="4608" width="9.109375"/>
    <col min="4609" max="4620" width="11.6640625" customWidth="1"/>
    <col min="4621" max="4864" width="9.109375"/>
    <col min="4865" max="4876" width="11.6640625" customWidth="1"/>
    <col min="4877" max="5120" width="9.109375"/>
    <col min="5121" max="5132" width="11.6640625" customWidth="1"/>
    <col min="5133" max="5376" width="9.109375"/>
    <col min="5377" max="5388" width="11.6640625" customWidth="1"/>
    <col min="5389" max="5632" width="9.109375"/>
    <col min="5633" max="5644" width="11.6640625" customWidth="1"/>
    <col min="5645" max="5888" width="9.109375"/>
    <col min="5889" max="5900" width="11.6640625" customWidth="1"/>
    <col min="5901" max="6144" width="9.109375"/>
    <col min="6145" max="6156" width="11.6640625" customWidth="1"/>
    <col min="6157" max="6400" width="9.109375"/>
    <col min="6401" max="6412" width="11.6640625" customWidth="1"/>
    <col min="6413" max="6656" width="9.109375"/>
    <col min="6657" max="6668" width="11.6640625" customWidth="1"/>
    <col min="6669" max="6912" width="9.109375"/>
    <col min="6913" max="6924" width="11.6640625" customWidth="1"/>
    <col min="6925" max="7168" width="9.109375"/>
    <col min="7169" max="7180" width="11.6640625" customWidth="1"/>
    <col min="7181" max="7424" width="9.109375"/>
    <col min="7425" max="7436" width="11.6640625" customWidth="1"/>
    <col min="7437" max="7680" width="9.109375"/>
    <col min="7681" max="7692" width="11.6640625" customWidth="1"/>
    <col min="7693" max="7936" width="9.109375"/>
    <col min="7937" max="7948" width="11.6640625" customWidth="1"/>
    <col min="7949" max="8192" width="9.109375"/>
    <col min="8193" max="8204" width="11.6640625" customWidth="1"/>
    <col min="8205" max="8448" width="9.109375"/>
    <col min="8449" max="8460" width="11.6640625" customWidth="1"/>
    <col min="8461" max="8704" width="9.109375"/>
    <col min="8705" max="8716" width="11.6640625" customWidth="1"/>
    <col min="8717" max="8960" width="9.109375"/>
    <col min="8961" max="8972" width="11.6640625" customWidth="1"/>
    <col min="8973" max="9216" width="9.109375"/>
    <col min="9217" max="9228" width="11.6640625" customWidth="1"/>
    <col min="9229" max="9472" width="9.109375"/>
    <col min="9473" max="9484" width="11.6640625" customWidth="1"/>
    <col min="9485" max="9728" width="9.109375"/>
    <col min="9729" max="9740" width="11.6640625" customWidth="1"/>
    <col min="9741" max="9984" width="9.109375"/>
    <col min="9985" max="9996" width="11.6640625" customWidth="1"/>
    <col min="9997" max="10240" width="9.109375"/>
    <col min="10241" max="10252" width="11.6640625" customWidth="1"/>
    <col min="10253" max="10496" width="9.109375"/>
    <col min="10497" max="10508" width="11.6640625" customWidth="1"/>
    <col min="10509" max="10752" width="9.109375"/>
    <col min="10753" max="10764" width="11.6640625" customWidth="1"/>
    <col min="10765" max="11008" width="9.109375"/>
    <col min="11009" max="11020" width="11.6640625" customWidth="1"/>
    <col min="11021" max="11264" width="9.109375"/>
    <col min="11265" max="11276" width="11.6640625" customWidth="1"/>
    <col min="11277" max="11520" width="9.109375"/>
    <col min="11521" max="11532" width="11.6640625" customWidth="1"/>
    <col min="11533" max="11776" width="9.109375"/>
    <col min="11777" max="11788" width="11.6640625" customWidth="1"/>
    <col min="11789" max="12032" width="9.109375"/>
    <col min="12033" max="12044" width="11.6640625" customWidth="1"/>
    <col min="12045" max="12288" width="9.109375"/>
    <col min="12289" max="12300" width="11.6640625" customWidth="1"/>
    <col min="12301" max="12544" width="9.109375"/>
    <col min="12545" max="12556" width="11.6640625" customWidth="1"/>
    <col min="12557" max="12800" width="9.109375"/>
    <col min="12801" max="12812" width="11.6640625" customWidth="1"/>
    <col min="12813" max="13056" width="9.109375"/>
    <col min="13057" max="13068" width="11.6640625" customWidth="1"/>
    <col min="13069" max="13312" width="9.109375"/>
    <col min="13313" max="13324" width="11.6640625" customWidth="1"/>
    <col min="13325" max="13568" width="9.109375"/>
    <col min="13569" max="13580" width="11.6640625" customWidth="1"/>
    <col min="13581" max="13824" width="9.109375"/>
    <col min="13825" max="13836" width="11.6640625" customWidth="1"/>
    <col min="13837" max="14080" width="9.109375"/>
    <col min="14081" max="14092" width="11.6640625" customWidth="1"/>
    <col min="14093" max="14336" width="9.109375"/>
    <col min="14337" max="14348" width="11.6640625" customWidth="1"/>
    <col min="14349" max="14592" width="9.109375"/>
    <col min="14593" max="14604" width="11.6640625" customWidth="1"/>
    <col min="14605" max="14848" width="9.109375"/>
    <col min="14849" max="14860" width="11.6640625" customWidth="1"/>
    <col min="14861" max="15104" width="9.109375"/>
    <col min="15105" max="15116" width="11.6640625" customWidth="1"/>
    <col min="15117" max="15360" width="9.109375"/>
    <col min="15361" max="15372" width="11.6640625" customWidth="1"/>
    <col min="15373" max="15616" width="9.109375"/>
    <col min="15617" max="15628" width="11.6640625" customWidth="1"/>
    <col min="15629" max="15872" width="9.109375"/>
    <col min="15873" max="15884" width="11.6640625" customWidth="1"/>
    <col min="15885" max="16128" width="9.109375"/>
    <col min="16129" max="16140" width="11.6640625" customWidth="1"/>
    <col min="16141" max="16384" width="9.109375"/>
  </cols>
  <sheetData>
    <row r="1" spans="1:12" x14ac:dyDescent="0.3">
      <c r="A1" s="237" t="s">
        <v>224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x14ac:dyDescent="0.3">
      <c r="A2" s="62" t="str">
        <f>year!$H$2</f>
        <v>UT : PUDUCHERRY</v>
      </c>
      <c r="B2" s="62"/>
      <c r="C2" s="62"/>
      <c r="D2" s="62"/>
      <c r="E2" s="62"/>
      <c r="F2" s="62"/>
      <c r="G2" s="62"/>
      <c r="H2" s="238"/>
      <c r="I2" s="238"/>
      <c r="J2" s="238" t="s">
        <v>225</v>
      </c>
      <c r="K2" s="238"/>
      <c r="L2" s="238"/>
    </row>
    <row r="3" spans="1:12" x14ac:dyDescent="0.3">
      <c r="A3" s="298" t="str">
        <f>"COMPARISON OF ESTIMATES OF AVERAGE YIELD OF CROPS COVERED UNDER ICS WITH CES DURING "&amp; year!$C$8&amp; " TO "&amp;year!$C$4 &amp; "."</f>
        <v>COMPARISON OF ESTIMATES OF AVERAGE YIELD OF CROPS COVERED UNDER ICS WITH CES DURING 2019-20 TO 2023-24.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</row>
    <row r="4" spans="1:12" ht="14.4" customHeight="1" x14ac:dyDescent="0.3">
      <c r="A4" s="339" t="s">
        <v>226</v>
      </c>
      <c r="B4" s="342" t="s">
        <v>227</v>
      </c>
      <c r="C4" s="308" t="s">
        <v>228</v>
      </c>
      <c r="D4" s="308"/>
      <c r="E4" s="308" t="s">
        <v>229</v>
      </c>
      <c r="F4" s="308"/>
      <c r="G4" s="343" t="s">
        <v>288</v>
      </c>
      <c r="H4" s="307" t="s">
        <v>228</v>
      </c>
      <c r="I4" s="308"/>
      <c r="J4" s="308" t="s">
        <v>229</v>
      </c>
      <c r="K4" s="308"/>
      <c r="L4" s="343" t="s">
        <v>288</v>
      </c>
    </row>
    <row r="5" spans="1:12" ht="14.4" customHeight="1" x14ac:dyDescent="0.3">
      <c r="A5" s="340"/>
      <c r="B5" s="310"/>
      <c r="C5" s="344" t="s">
        <v>287</v>
      </c>
      <c r="D5" s="310" t="s">
        <v>230</v>
      </c>
      <c r="E5" s="344" t="s">
        <v>287</v>
      </c>
      <c r="F5" s="310" t="s">
        <v>230</v>
      </c>
      <c r="G5" s="301"/>
      <c r="H5" s="344" t="s">
        <v>287</v>
      </c>
      <c r="I5" s="310" t="s">
        <v>230</v>
      </c>
      <c r="J5" s="344" t="s">
        <v>287</v>
      </c>
      <c r="K5" s="310" t="s">
        <v>230</v>
      </c>
      <c r="L5" s="301"/>
    </row>
    <row r="6" spans="1:12" x14ac:dyDescent="0.3">
      <c r="A6" s="340"/>
      <c r="B6" s="310"/>
      <c r="C6" s="344"/>
      <c r="D6" s="310"/>
      <c r="E6" s="344"/>
      <c r="F6" s="310"/>
      <c r="G6" s="301"/>
      <c r="H6" s="344"/>
      <c r="I6" s="310"/>
      <c r="J6" s="344"/>
      <c r="K6" s="310"/>
      <c r="L6" s="301"/>
    </row>
    <row r="7" spans="1:12" x14ac:dyDescent="0.3">
      <c r="A7" s="341"/>
      <c r="B7" s="300"/>
      <c r="C7" s="345"/>
      <c r="D7" s="300"/>
      <c r="E7" s="345"/>
      <c r="F7" s="300"/>
      <c r="G7" s="309"/>
      <c r="H7" s="345"/>
      <c r="I7" s="300"/>
      <c r="J7" s="345"/>
      <c r="K7" s="300"/>
      <c r="L7" s="309"/>
    </row>
    <row r="8" spans="1:12" x14ac:dyDescent="0.3">
      <c r="A8" s="66">
        <f>-(1)</f>
        <v>-1</v>
      </c>
      <c r="B8" s="65">
        <v>-2</v>
      </c>
      <c r="C8" s="65">
        <v>-3</v>
      </c>
      <c r="D8" s="65">
        <v>-4</v>
      </c>
      <c r="E8" s="65">
        <v>-5</v>
      </c>
      <c r="F8" s="65">
        <v>-6</v>
      </c>
      <c r="G8" s="65">
        <v>-7</v>
      </c>
      <c r="H8" s="66">
        <v>-8</v>
      </c>
      <c r="I8" s="65">
        <v>-9</v>
      </c>
      <c r="J8" s="65">
        <v>-10</v>
      </c>
      <c r="K8" s="65">
        <v>-11</v>
      </c>
      <c r="L8" s="167">
        <v>-12</v>
      </c>
    </row>
    <row r="9" spans="1:12" ht="16.8" customHeight="1" x14ac:dyDescent="0.3">
      <c r="A9" s="168"/>
      <c r="B9" s="68"/>
      <c r="C9" s="338" t="str">
        <f>year!$J$4</f>
        <v>YEAR 2023-24</v>
      </c>
      <c r="D9" s="338"/>
      <c r="E9" s="338"/>
      <c r="F9" s="338"/>
      <c r="G9" s="338"/>
      <c r="H9" s="338" t="str">
        <f>year!$J$5</f>
        <v>YEAR 2022-23</v>
      </c>
      <c r="I9" s="338"/>
      <c r="J9" s="338"/>
      <c r="K9" s="338"/>
      <c r="L9" s="338"/>
    </row>
    <row r="10" spans="1:12" ht="16.8" customHeight="1" x14ac:dyDescent="0.3">
      <c r="A10" s="337" t="str">
        <f>year!$C$3&amp;"
RICE-II"</f>
        <v>RABI I
RICE-II</v>
      </c>
      <c r="B10" s="169" t="s">
        <v>16</v>
      </c>
      <c r="C10" s="170">
        <v>2649</v>
      </c>
      <c r="D10" s="170">
        <v>3.61</v>
      </c>
      <c r="E10" s="170"/>
      <c r="F10" s="170"/>
      <c r="G10" s="162"/>
      <c r="H10" s="170">
        <v>3373</v>
      </c>
      <c r="I10" s="170">
        <v>5.36</v>
      </c>
      <c r="J10" s="171"/>
      <c r="K10" s="171"/>
      <c r="L10" s="171"/>
    </row>
    <row r="11" spans="1:12" ht="16.8" customHeight="1" x14ac:dyDescent="0.3">
      <c r="A11" s="337"/>
      <c r="B11" s="172" t="s">
        <v>17</v>
      </c>
      <c r="C11" s="170">
        <v>2919</v>
      </c>
      <c r="D11" s="352">
        <v>11.2</v>
      </c>
      <c r="E11" s="170"/>
      <c r="F11" s="170"/>
      <c r="G11" s="162"/>
      <c r="H11" s="170">
        <v>3299</v>
      </c>
      <c r="I11" s="170">
        <v>7.53</v>
      </c>
      <c r="J11" s="171"/>
      <c r="K11" s="171"/>
      <c r="L11" s="171"/>
    </row>
    <row r="12" spans="1:12" ht="16.8" customHeight="1" x14ac:dyDescent="0.3">
      <c r="A12" s="337"/>
      <c r="B12" s="169" t="s">
        <v>18</v>
      </c>
      <c r="C12" s="170">
        <v>2670</v>
      </c>
      <c r="D12" s="170">
        <v>3.44</v>
      </c>
      <c r="E12" s="170">
        <v>2831</v>
      </c>
      <c r="F12" s="352">
        <v>1.8</v>
      </c>
      <c r="G12" s="353" t="s">
        <v>693</v>
      </c>
      <c r="H12" s="170">
        <v>3347</v>
      </c>
      <c r="I12" s="170">
        <v>4.37</v>
      </c>
      <c r="J12" s="171">
        <v>2902</v>
      </c>
      <c r="K12" s="171">
        <v>1.87</v>
      </c>
      <c r="L12" s="171">
        <v>15.33</v>
      </c>
    </row>
    <row r="13" spans="1:12" ht="16.8" customHeight="1" x14ac:dyDescent="0.3">
      <c r="A13" s="337" t="str">
        <f>year!$E$3&amp;"
RICE-III"</f>
        <v>RABI II
RICE-III</v>
      </c>
      <c r="B13" s="169" t="s">
        <v>16</v>
      </c>
      <c r="C13" s="170">
        <v>3078</v>
      </c>
      <c r="D13" s="170">
        <v>11.33</v>
      </c>
      <c r="E13" s="170"/>
      <c r="F13" s="170"/>
      <c r="G13" s="162"/>
      <c r="H13" s="170">
        <v>3189</v>
      </c>
      <c r="I13" s="170">
        <v>4.7</v>
      </c>
      <c r="J13" s="171"/>
      <c r="K13" s="171"/>
      <c r="L13" s="171"/>
    </row>
    <row r="14" spans="1:12" ht="16.8" customHeight="1" x14ac:dyDescent="0.3">
      <c r="A14" s="337"/>
      <c r="B14" s="172" t="s">
        <v>17</v>
      </c>
      <c r="C14" s="170">
        <v>2868</v>
      </c>
      <c r="D14" s="170">
        <v>6.87</v>
      </c>
      <c r="E14" s="170"/>
      <c r="F14" s="170"/>
      <c r="G14" s="162"/>
      <c r="H14" s="170">
        <v>3759</v>
      </c>
      <c r="I14" s="170">
        <v>2.48</v>
      </c>
      <c r="J14" s="171"/>
      <c r="K14" s="171"/>
      <c r="L14" s="171"/>
    </row>
    <row r="15" spans="1:12" ht="16.8" customHeight="1" x14ac:dyDescent="0.3">
      <c r="A15" s="337"/>
      <c r="B15" s="169" t="s">
        <v>18</v>
      </c>
      <c r="C15" s="170">
        <v>2919</v>
      </c>
      <c r="D15" s="170">
        <v>5.87</v>
      </c>
      <c r="E15" s="170">
        <v>2909</v>
      </c>
      <c r="F15" s="170">
        <v>2.88</v>
      </c>
      <c r="G15" s="353">
        <v>0.34376074252320388</v>
      </c>
      <c r="H15" s="170">
        <v>3600</v>
      </c>
      <c r="I15" s="170">
        <v>2.2000000000000002</v>
      </c>
      <c r="J15" s="171">
        <v>3395</v>
      </c>
      <c r="K15" s="171">
        <v>1.67</v>
      </c>
      <c r="L15" s="171">
        <v>6.03</v>
      </c>
    </row>
    <row r="16" spans="1:12" hidden="1" x14ac:dyDescent="0.3">
      <c r="A16" s="336" t="str">
        <f>'Annex-XXIV'!B13</f>
        <v/>
      </c>
      <c r="B16" s="68" t="s">
        <v>16</v>
      </c>
      <c r="C16" s="72"/>
      <c r="D16" s="72"/>
      <c r="E16" s="72"/>
      <c r="F16" s="72"/>
      <c r="G16" s="72"/>
      <c r="H16" s="73"/>
      <c r="I16" s="72"/>
      <c r="J16" s="173"/>
      <c r="K16" s="173"/>
      <c r="L16" s="174"/>
    </row>
    <row r="17" spans="1:12" hidden="1" x14ac:dyDescent="0.3">
      <c r="A17" s="336"/>
      <c r="B17" s="78" t="s">
        <v>17</v>
      </c>
      <c r="C17" s="72"/>
      <c r="D17" s="72"/>
      <c r="E17" s="72"/>
      <c r="F17" s="72"/>
      <c r="G17" s="72"/>
      <c r="H17" s="73"/>
      <c r="I17" s="72"/>
      <c r="J17" s="173"/>
      <c r="K17" s="173"/>
      <c r="L17" s="174"/>
    </row>
    <row r="18" spans="1:12" hidden="1" x14ac:dyDescent="0.3">
      <c r="A18" s="336"/>
      <c r="B18" s="68" t="s">
        <v>18</v>
      </c>
      <c r="C18" s="72"/>
      <c r="D18" s="72"/>
      <c r="E18" s="72"/>
      <c r="F18" s="72"/>
      <c r="G18" s="72"/>
      <c r="H18" s="73"/>
      <c r="I18" s="72"/>
      <c r="J18" s="173"/>
      <c r="K18" s="173"/>
      <c r="L18" s="174"/>
    </row>
    <row r="19" spans="1:12" hidden="1" x14ac:dyDescent="0.3">
      <c r="A19" s="335" t="s">
        <v>231</v>
      </c>
      <c r="B19" s="333"/>
      <c r="C19" s="72"/>
      <c r="D19" s="72"/>
      <c r="E19" s="72"/>
      <c r="F19" s="72"/>
      <c r="G19" s="72"/>
      <c r="H19" s="73"/>
      <c r="I19" s="72"/>
      <c r="J19" s="173"/>
      <c r="K19" s="173"/>
      <c r="L19" s="174"/>
    </row>
    <row r="20" spans="1:12" hidden="1" x14ac:dyDescent="0.3">
      <c r="A20" s="336" t="str">
        <f>'Annex-XXIV'!B17</f>
        <v/>
      </c>
      <c r="B20" s="68" t="s">
        <v>16</v>
      </c>
      <c r="C20" s="72"/>
      <c r="D20" s="72"/>
      <c r="E20" s="72"/>
      <c r="F20" s="72"/>
      <c r="G20" s="72"/>
      <c r="H20" s="73"/>
      <c r="I20" s="72"/>
      <c r="J20" s="173"/>
      <c r="K20" s="173"/>
      <c r="L20" s="174"/>
    </row>
    <row r="21" spans="1:12" hidden="1" x14ac:dyDescent="0.3">
      <c r="A21" s="336"/>
      <c r="B21" s="78" t="s">
        <v>17</v>
      </c>
      <c r="C21" s="72"/>
      <c r="D21" s="72"/>
      <c r="E21" s="72"/>
      <c r="F21" s="72"/>
      <c r="G21" s="72"/>
      <c r="H21" s="73"/>
      <c r="I21" s="72"/>
      <c r="J21" s="173"/>
      <c r="K21" s="173"/>
      <c r="L21" s="174"/>
    </row>
    <row r="22" spans="1:12" hidden="1" x14ac:dyDescent="0.3">
      <c r="A22" s="336"/>
      <c r="B22" s="68" t="s">
        <v>18</v>
      </c>
      <c r="C22" s="72"/>
      <c r="D22" s="72"/>
      <c r="E22" s="72"/>
      <c r="F22" s="72"/>
      <c r="G22" s="72"/>
      <c r="H22" s="73"/>
      <c r="I22" s="72"/>
      <c r="J22" s="173"/>
      <c r="K22" s="173"/>
      <c r="L22" s="174"/>
    </row>
    <row r="23" spans="1:12" hidden="1" x14ac:dyDescent="0.3">
      <c r="A23" s="335" t="s">
        <v>231</v>
      </c>
      <c r="B23" s="333"/>
      <c r="C23" s="72"/>
      <c r="D23" s="72"/>
      <c r="E23" s="72"/>
      <c r="F23" s="72"/>
      <c r="G23" s="72"/>
      <c r="H23" s="73"/>
      <c r="I23" s="72"/>
      <c r="J23" s="173"/>
      <c r="K23" s="173"/>
      <c r="L23" s="174"/>
    </row>
    <row r="24" spans="1:12" hidden="1" x14ac:dyDescent="0.3">
      <c r="A24" s="336" t="str">
        <f>'Annex-XXIV'!B21</f>
        <v/>
      </c>
      <c r="B24" s="68" t="s">
        <v>16</v>
      </c>
      <c r="C24" s="72"/>
      <c r="D24" s="72"/>
      <c r="E24" s="72"/>
      <c r="F24" s="72"/>
      <c r="G24" s="72"/>
      <c r="H24" s="73"/>
      <c r="I24" s="72"/>
      <c r="J24" s="173"/>
      <c r="K24" s="173"/>
      <c r="L24" s="174"/>
    </row>
    <row r="25" spans="1:12" hidden="1" x14ac:dyDescent="0.3">
      <c r="A25" s="336"/>
      <c r="B25" s="78" t="s">
        <v>17</v>
      </c>
      <c r="C25" s="72"/>
      <c r="D25" s="72"/>
      <c r="E25" s="72"/>
      <c r="F25" s="72"/>
      <c r="G25" s="72"/>
      <c r="H25" s="73"/>
      <c r="I25" s="72"/>
      <c r="J25" s="173"/>
      <c r="K25" s="173"/>
      <c r="L25" s="174"/>
    </row>
    <row r="26" spans="1:12" hidden="1" x14ac:dyDescent="0.3">
      <c r="A26" s="336"/>
      <c r="B26" s="68" t="s">
        <v>18</v>
      </c>
      <c r="C26" s="72"/>
      <c r="D26" s="72"/>
      <c r="E26" s="72"/>
      <c r="F26" s="72"/>
      <c r="G26" s="72"/>
      <c r="H26" s="73"/>
      <c r="I26" s="72"/>
      <c r="J26" s="173"/>
      <c r="K26" s="173"/>
      <c r="L26" s="174"/>
    </row>
    <row r="27" spans="1:12" hidden="1" x14ac:dyDescent="0.3">
      <c r="A27" s="335" t="s">
        <v>231</v>
      </c>
      <c r="B27" s="333"/>
      <c r="C27" s="72"/>
      <c r="D27" s="72"/>
      <c r="E27" s="72"/>
      <c r="F27" s="72"/>
      <c r="G27" s="72"/>
      <c r="H27" s="73"/>
      <c r="I27" s="72"/>
      <c r="J27" s="173"/>
      <c r="K27" s="173"/>
      <c r="L27" s="174"/>
    </row>
    <row r="28" spans="1:12" hidden="1" x14ac:dyDescent="0.3">
      <c r="A28" s="336" t="str">
        <f>'Annex-XXIV'!B25</f>
        <v/>
      </c>
      <c r="B28" s="68" t="s">
        <v>16</v>
      </c>
      <c r="C28" s="72"/>
      <c r="D28" s="72"/>
      <c r="E28" s="72"/>
      <c r="F28" s="72"/>
      <c r="G28" s="72"/>
      <c r="H28" s="73"/>
      <c r="I28" s="72"/>
      <c r="J28" s="173"/>
      <c r="K28" s="173"/>
      <c r="L28" s="174"/>
    </row>
    <row r="29" spans="1:12" hidden="1" x14ac:dyDescent="0.3">
      <c r="A29" s="336"/>
      <c r="B29" s="78" t="s">
        <v>17</v>
      </c>
      <c r="C29" s="72"/>
      <c r="D29" s="72"/>
      <c r="E29" s="72"/>
      <c r="F29" s="72"/>
      <c r="G29" s="72"/>
      <c r="H29" s="73"/>
      <c r="I29" s="72"/>
      <c r="J29" s="173"/>
      <c r="K29" s="173"/>
      <c r="L29" s="174"/>
    </row>
    <row r="30" spans="1:12" hidden="1" x14ac:dyDescent="0.3">
      <c r="A30" s="336"/>
      <c r="B30" s="68" t="s">
        <v>18</v>
      </c>
      <c r="C30" s="72"/>
      <c r="D30" s="72"/>
      <c r="E30" s="72"/>
      <c r="F30" s="72"/>
      <c r="G30" s="72"/>
      <c r="H30" s="73"/>
      <c r="I30" s="72"/>
      <c r="J30" s="173"/>
      <c r="K30" s="173"/>
      <c r="L30" s="174"/>
    </row>
    <row r="31" spans="1:12" hidden="1" x14ac:dyDescent="0.3">
      <c r="A31" s="335" t="s">
        <v>231</v>
      </c>
      <c r="B31" s="333"/>
      <c r="C31" s="72"/>
      <c r="D31" s="72"/>
      <c r="E31" s="72"/>
      <c r="F31" s="72"/>
      <c r="G31" s="72"/>
      <c r="H31" s="73"/>
      <c r="I31" s="72"/>
      <c r="J31" s="173"/>
      <c r="K31" s="173"/>
      <c r="L31" s="174"/>
    </row>
    <row r="32" spans="1:12" hidden="1" x14ac:dyDescent="0.3">
      <c r="A32" s="336" t="str">
        <f>'Annex-XXIV'!B29</f>
        <v/>
      </c>
      <c r="B32" s="68" t="s">
        <v>16</v>
      </c>
      <c r="C32" s="72"/>
      <c r="D32" s="72"/>
      <c r="E32" s="72"/>
      <c r="F32" s="72"/>
      <c r="G32" s="72"/>
      <c r="H32" s="73"/>
      <c r="I32" s="72"/>
      <c r="J32" s="173"/>
      <c r="K32" s="173"/>
      <c r="L32" s="174"/>
    </row>
    <row r="33" spans="1:12" hidden="1" x14ac:dyDescent="0.3">
      <c r="A33" s="336"/>
      <c r="B33" s="78" t="s">
        <v>17</v>
      </c>
      <c r="C33" s="72"/>
      <c r="D33" s="72"/>
      <c r="E33" s="72"/>
      <c r="F33" s="72"/>
      <c r="G33" s="72"/>
      <c r="H33" s="73"/>
      <c r="I33" s="72"/>
      <c r="J33" s="173"/>
      <c r="K33" s="173"/>
      <c r="L33" s="174"/>
    </row>
    <row r="34" spans="1:12" hidden="1" x14ac:dyDescent="0.3">
      <c r="A34" s="336"/>
      <c r="B34" s="68" t="s">
        <v>18</v>
      </c>
      <c r="C34" s="72"/>
      <c r="D34" s="72"/>
      <c r="E34" s="72"/>
      <c r="F34" s="72"/>
      <c r="G34" s="72"/>
      <c r="H34" s="73"/>
      <c r="I34" s="72"/>
      <c r="J34" s="173"/>
      <c r="K34" s="173"/>
      <c r="L34" s="174"/>
    </row>
    <row r="35" spans="1:12" hidden="1" x14ac:dyDescent="0.3">
      <c r="A35" s="335" t="s">
        <v>231</v>
      </c>
      <c r="B35" s="333"/>
      <c r="C35" s="72"/>
      <c r="D35" s="72"/>
      <c r="E35" s="72"/>
      <c r="F35" s="72"/>
      <c r="G35" s="72"/>
      <c r="H35" s="73"/>
      <c r="I35" s="72"/>
      <c r="J35" s="173"/>
      <c r="K35" s="173"/>
      <c r="L35" s="174"/>
    </row>
    <row r="36" spans="1:12" hidden="1" x14ac:dyDescent="0.3">
      <c r="A36" s="336" t="str">
        <f>'Annex-XXIV'!B33</f>
        <v/>
      </c>
      <c r="B36" s="68" t="s">
        <v>16</v>
      </c>
      <c r="C36" s="72"/>
      <c r="D36" s="72"/>
      <c r="E36" s="72"/>
      <c r="F36" s="72"/>
      <c r="G36" s="72"/>
      <c r="H36" s="73"/>
      <c r="I36" s="72"/>
      <c r="J36" s="173"/>
      <c r="K36" s="173"/>
      <c r="L36" s="174"/>
    </row>
    <row r="37" spans="1:12" hidden="1" x14ac:dyDescent="0.3">
      <c r="A37" s="336"/>
      <c r="B37" s="78" t="s">
        <v>17</v>
      </c>
      <c r="C37" s="72"/>
      <c r="D37" s="72"/>
      <c r="E37" s="72"/>
      <c r="F37" s="72"/>
      <c r="G37" s="72"/>
      <c r="H37" s="73"/>
      <c r="I37" s="72"/>
      <c r="J37" s="173"/>
      <c r="K37" s="173"/>
      <c r="L37" s="174"/>
    </row>
    <row r="38" spans="1:12" hidden="1" x14ac:dyDescent="0.3">
      <c r="A38" s="336"/>
      <c r="B38" s="68" t="s">
        <v>18</v>
      </c>
      <c r="C38" s="72"/>
      <c r="D38" s="72"/>
      <c r="E38" s="72"/>
      <c r="F38" s="72"/>
      <c r="G38" s="72"/>
      <c r="H38" s="73"/>
      <c r="I38" s="72"/>
      <c r="J38" s="173"/>
      <c r="K38" s="173"/>
      <c r="L38" s="174"/>
    </row>
    <row r="39" spans="1:12" hidden="1" x14ac:dyDescent="0.3">
      <c r="A39" s="335" t="s">
        <v>231</v>
      </c>
      <c r="B39" s="333"/>
      <c r="C39" s="72"/>
      <c r="D39" s="72"/>
      <c r="E39" s="72"/>
      <c r="F39" s="72"/>
      <c r="G39" s="72"/>
      <c r="H39" s="73"/>
      <c r="I39" s="72"/>
      <c r="J39" s="173"/>
      <c r="K39" s="173"/>
      <c r="L39" s="174"/>
    </row>
    <row r="40" spans="1:12" hidden="1" x14ac:dyDescent="0.3">
      <c r="A40" s="336" t="str">
        <f>'Annex-XXIV'!B37</f>
        <v/>
      </c>
      <c r="B40" s="68" t="s">
        <v>16</v>
      </c>
      <c r="C40" s="72"/>
      <c r="D40" s="72"/>
      <c r="E40" s="72"/>
      <c r="F40" s="72"/>
      <c r="G40" s="72"/>
      <c r="H40" s="73"/>
      <c r="I40" s="72"/>
      <c r="J40" s="173"/>
      <c r="K40" s="173"/>
      <c r="L40" s="174"/>
    </row>
    <row r="41" spans="1:12" hidden="1" x14ac:dyDescent="0.3">
      <c r="A41" s="336"/>
      <c r="B41" s="78" t="s">
        <v>17</v>
      </c>
      <c r="C41" s="72"/>
      <c r="D41" s="72"/>
      <c r="E41" s="72"/>
      <c r="F41" s="72"/>
      <c r="G41" s="72"/>
      <c r="H41" s="73"/>
      <c r="I41" s="72"/>
      <c r="J41" s="173"/>
      <c r="K41" s="173"/>
      <c r="L41" s="174"/>
    </row>
    <row r="42" spans="1:12" hidden="1" x14ac:dyDescent="0.3">
      <c r="A42" s="336"/>
      <c r="B42" s="68" t="s">
        <v>18</v>
      </c>
      <c r="C42" s="72"/>
      <c r="D42" s="72"/>
      <c r="E42" s="72"/>
      <c r="F42" s="72"/>
      <c r="G42" s="72"/>
      <c r="H42" s="73"/>
      <c r="I42" s="72"/>
      <c r="J42" s="173"/>
      <c r="K42" s="173"/>
      <c r="L42" s="174"/>
    </row>
    <row r="43" spans="1:12" hidden="1" x14ac:dyDescent="0.3">
      <c r="A43" s="335" t="s">
        <v>231</v>
      </c>
      <c r="B43" s="333"/>
      <c r="C43" s="72"/>
      <c r="D43" s="72"/>
      <c r="E43" s="72"/>
      <c r="F43" s="72"/>
      <c r="G43" s="72"/>
      <c r="H43" s="73"/>
      <c r="I43" s="72"/>
      <c r="J43" s="173"/>
      <c r="K43" s="173"/>
      <c r="L43" s="174"/>
    </row>
    <row r="44" spans="1:12" hidden="1" x14ac:dyDescent="0.3">
      <c r="A44" s="336" t="str">
        <f>'Annex-XXIV'!B41</f>
        <v/>
      </c>
      <c r="B44" s="68" t="s">
        <v>16</v>
      </c>
      <c r="C44" s="72"/>
      <c r="D44" s="72"/>
      <c r="E44" s="72"/>
      <c r="F44" s="72"/>
      <c r="G44" s="72"/>
      <c r="H44" s="73"/>
      <c r="I44" s="72"/>
      <c r="J44" s="173"/>
      <c r="K44" s="173"/>
      <c r="L44" s="174"/>
    </row>
    <row r="45" spans="1:12" hidden="1" x14ac:dyDescent="0.3">
      <c r="A45" s="336"/>
      <c r="B45" s="78" t="s">
        <v>17</v>
      </c>
      <c r="C45" s="72"/>
      <c r="D45" s="72"/>
      <c r="E45" s="72"/>
      <c r="F45" s="72"/>
      <c r="G45" s="72"/>
      <c r="H45" s="73"/>
      <c r="I45" s="72"/>
      <c r="J45" s="173"/>
      <c r="K45" s="173"/>
      <c r="L45" s="174"/>
    </row>
    <row r="46" spans="1:12" hidden="1" x14ac:dyDescent="0.3">
      <c r="A46" s="336"/>
      <c r="B46" s="68" t="s">
        <v>18</v>
      </c>
      <c r="C46" s="72"/>
      <c r="D46" s="72"/>
      <c r="E46" s="72"/>
      <c r="F46" s="72"/>
      <c r="G46" s="72"/>
      <c r="H46" s="73"/>
      <c r="I46" s="72"/>
      <c r="J46" s="173"/>
      <c r="K46" s="173"/>
      <c r="L46" s="174"/>
    </row>
    <row r="47" spans="1:12" hidden="1" x14ac:dyDescent="0.3">
      <c r="A47" s="335" t="s">
        <v>231</v>
      </c>
      <c r="B47" s="333"/>
      <c r="C47" s="72"/>
      <c r="D47" s="72"/>
      <c r="E47" s="72"/>
      <c r="F47" s="72"/>
      <c r="G47" s="72"/>
      <c r="H47" s="73"/>
      <c r="I47" s="72"/>
      <c r="J47" s="173"/>
      <c r="K47" s="173"/>
      <c r="L47" s="174"/>
    </row>
    <row r="48" spans="1:12" hidden="1" x14ac:dyDescent="0.3">
      <c r="A48" s="336" t="str">
        <f>'Annex-XXIV'!B45</f>
        <v/>
      </c>
      <c r="B48" s="68" t="s">
        <v>16</v>
      </c>
      <c r="C48" s="72"/>
      <c r="D48" s="72"/>
      <c r="E48" s="72"/>
      <c r="F48" s="72"/>
      <c r="G48" s="72"/>
      <c r="H48" s="73"/>
      <c r="I48" s="72"/>
      <c r="J48" s="173"/>
      <c r="K48" s="173"/>
      <c r="L48" s="174"/>
    </row>
    <row r="49" spans="1:12" hidden="1" x14ac:dyDescent="0.3">
      <c r="A49" s="336"/>
      <c r="B49" s="78" t="s">
        <v>17</v>
      </c>
      <c r="C49" s="72"/>
      <c r="D49" s="72"/>
      <c r="E49" s="72"/>
      <c r="F49" s="72"/>
      <c r="G49" s="72"/>
      <c r="H49" s="73"/>
      <c r="I49" s="72"/>
      <c r="J49" s="173"/>
      <c r="K49" s="173"/>
      <c r="L49" s="174"/>
    </row>
    <row r="50" spans="1:12" hidden="1" x14ac:dyDescent="0.3">
      <c r="A50" s="336"/>
      <c r="B50" s="68" t="s">
        <v>18</v>
      </c>
      <c r="C50" s="72"/>
      <c r="D50" s="72"/>
      <c r="E50" s="72"/>
      <c r="F50" s="72"/>
      <c r="G50" s="72"/>
      <c r="H50" s="73"/>
      <c r="I50" s="72"/>
      <c r="J50" s="173"/>
      <c r="K50" s="173"/>
      <c r="L50" s="174"/>
    </row>
    <row r="51" spans="1:12" hidden="1" x14ac:dyDescent="0.3">
      <c r="A51" s="335" t="s">
        <v>231</v>
      </c>
      <c r="B51" s="333"/>
      <c r="C51" s="72"/>
      <c r="D51" s="72"/>
      <c r="E51" s="72"/>
      <c r="F51" s="72"/>
      <c r="G51" s="72"/>
      <c r="H51" s="73"/>
      <c r="I51" s="72"/>
      <c r="J51" s="173"/>
      <c r="K51" s="173"/>
      <c r="L51" s="174"/>
    </row>
    <row r="52" spans="1:12" hidden="1" x14ac:dyDescent="0.3">
      <c r="A52" s="336" t="str">
        <f>'Annex-XXIV'!B49</f>
        <v/>
      </c>
      <c r="B52" s="68" t="s">
        <v>16</v>
      </c>
      <c r="C52" s="72"/>
      <c r="D52" s="72"/>
      <c r="E52" s="72"/>
      <c r="F52" s="72"/>
      <c r="G52" s="72"/>
      <c r="H52" s="73"/>
      <c r="I52" s="72"/>
      <c r="J52" s="173"/>
      <c r="K52" s="173"/>
      <c r="L52" s="174"/>
    </row>
    <row r="53" spans="1:12" hidden="1" x14ac:dyDescent="0.3">
      <c r="A53" s="336"/>
      <c r="B53" s="78" t="s">
        <v>17</v>
      </c>
      <c r="C53" s="72"/>
      <c r="D53" s="72"/>
      <c r="E53" s="72"/>
      <c r="F53" s="72"/>
      <c r="G53" s="72"/>
      <c r="H53" s="73"/>
      <c r="I53" s="72"/>
      <c r="J53" s="173"/>
      <c r="K53" s="173"/>
      <c r="L53" s="174"/>
    </row>
    <row r="54" spans="1:12" hidden="1" x14ac:dyDescent="0.3">
      <c r="A54" s="336"/>
      <c r="B54" s="68" t="s">
        <v>18</v>
      </c>
      <c r="C54" s="72"/>
      <c r="D54" s="72"/>
      <c r="E54" s="72"/>
      <c r="F54" s="72"/>
      <c r="G54" s="72"/>
      <c r="H54" s="73"/>
      <c r="I54" s="72"/>
      <c r="J54" s="173"/>
      <c r="K54" s="173"/>
      <c r="L54" s="174"/>
    </row>
    <row r="55" spans="1:12" hidden="1" x14ac:dyDescent="0.3">
      <c r="A55" s="335" t="s">
        <v>231</v>
      </c>
      <c r="B55" s="333"/>
      <c r="C55" s="72"/>
      <c r="D55" s="72"/>
      <c r="E55" s="72"/>
      <c r="F55" s="72"/>
      <c r="G55" s="72"/>
      <c r="H55" s="73"/>
      <c r="I55" s="72"/>
      <c r="J55" s="173"/>
      <c r="K55" s="173"/>
      <c r="L55" s="174"/>
    </row>
    <row r="56" spans="1:12" hidden="1" x14ac:dyDescent="0.3">
      <c r="A56" s="336" t="str">
        <f>'Annex-XXIV'!B53</f>
        <v/>
      </c>
      <c r="B56" s="68" t="s">
        <v>16</v>
      </c>
      <c r="C56" s="72"/>
      <c r="D56" s="72"/>
      <c r="E56" s="72"/>
      <c r="F56" s="72"/>
      <c r="G56" s="72"/>
      <c r="H56" s="73"/>
      <c r="I56" s="72"/>
      <c r="J56" s="173"/>
      <c r="K56" s="173"/>
      <c r="L56" s="174"/>
    </row>
    <row r="57" spans="1:12" hidden="1" x14ac:dyDescent="0.3">
      <c r="A57" s="336"/>
      <c r="B57" s="78" t="s">
        <v>17</v>
      </c>
      <c r="C57" s="72"/>
      <c r="D57" s="72"/>
      <c r="E57" s="72"/>
      <c r="F57" s="72"/>
      <c r="G57" s="72"/>
      <c r="H57" s="73"/>
      <c r="I57" s="72"/>
      <c r="J57" s="173"/>
      <c r="K57" s="173"/>
      <c r="L57" s="174"/>
    </row>
    <row r="58" spans="1:12" hidden="1" x14ac:dyDescent="0.3">
      <c r="A58" s="336"/>
      <c r="B58" s="68" t="s">
        <v>18</v>
      </c>
      <c r="C58" s="72"/>
      <c r="D58" s="72"/>
      <c r="E58" s="72"/>
      <c r="F58" s="72"/>
      <c r="G58" s="72"/>
      <c r="H58" s="73"/>
      <c r="I58" s="72"/>
      <c r="J58" s="173"/>
      <c r="K58" s="173"/>
      <c r="L58" s="174"/>
    </row>
    <row r="59" spans="1:12" hidden="1" x14ac:dyDescent="0.3">
      <c r="A59" s="335" t="s">
        <v>231</v>
      </c>
      <c r="B59" s="333"/>
      <c r="C59" s="72"/>
      <c r="D59" s="72"/>
      <c r="E59" s="72"/>
      <c r="F59" s="72"/>
      <c r="G59" s="72"/>
      <c r="H59" s="73"/>
      <c r="I59" s="72"/>
      <c r="J59" s="173"/>
      <c r="K59" s="173"/>
      <c r="L59" s="174"/>
    </row>
    <row r="60" spans="1:12" hidden="1" x14ac:dyDescent="0.3">
      <c r="A60" s="336" t="str">
        <f>'Annex-XXIV'!B57</f>
        <v/>
      </c>
      <c r="B60" s="68" t="s">
        <v>16</v>
      </c>
      <c r="C60" s="72"/>
      <c r="D60" s="72"/>
      <c r="E60" s="72"/>
      <c r="F60" s="72"/>
      <c r="G60" s="72"/>
      <c r="H60" s="73"/>
      <c r="I60" s="72"/>
      <c r="J60" s="173"/>
      <c r="K60" s="173"/>
      <c r="L60" s="174"/>
    </row>
    <row r="61" spans="1:12" hidden="1" x14ac:dyDescent="0.3">
      <c r="A61" s="336"/>
      <c r="B61" s="78" t="s">
        <v>17</v>
      </c>
      <c r="C61" s="72"/>
      <c r="D61" s="72"/>
      <c r="E61" s="72"/>
      <c r="F61" s="72"/>
      <c r="G61" s="72"/>
      <c r="H61" s="73"/>
      <c r="I61" s="72"/>
      <c r="J61" s="173"/>
      <c r="K61" s="173"/>
      <c r="L61" s="174"/>
    </row>
    <row r="62" spans="1:12" hidden="1" x14ac:dyDescent="0.3">
      <c r="A62" s="336"/>
      <c r="B62" s="68" t="s">
        <v>18</v>
      </c>
      <c r="C62" s="72"/>
      <c r="D62" s="72"/>
      <c r="E62" s="72"/>
      <c r="F62" s="72"/>
      <c r="G62" s="72"/>
      <c r="H62" s="73"/>
      <c r="I62" s="72"/>
      <c r="J62" s="173"/>
      <c r="K62" s="173"/>
      <c r="L62" s="174"/>
    </row>
    <row r="63" spans="1:12" hidden="1" x14ac:dyDescent="0.3">
      <c r="A63" s="335" t="s">
        <v>231</v>
      </c>
      <c r="B63" s="333"/>
      <c r="C63" s="72"/>
      <c r="D63" s="72"/>
      <c r="E63" s="72"/>
      <c r="F63" s="72"/>
      <c r="G63" s="72"/>
      <c r="H63" s="73"/>
      <c r="I63" s="72"/>
      <c r="J63" s="173"/>
      <c r="K63" s="173"/>
      <c r="L63" s="174"/>
    </row>
    <row r="64" spans="1:12" hidden="1" x14ac:dyDescent="0.3">
      <c r="A64" s="336" t="str">
        <f>'Annex-XXIV'!B61</f>
        <v/>
      </c>
      <c r="B64" s="68" t="s">
        <v>16</v>
      </c>
      <c r="C64" s="72"/>
      <c r="D64" s="72"/>
      <c r="E64" s="72"/>
      <c r="F64" s="72"/>
      <c r="G64" s="72"/>
      <c r="H64" s="73"/>
      <c r="I64" s="72"/>
      <c r="J64" s="173"/>
      <c r="K64" s="173"/>
      <c r="L64" s="174"/>
    </row>
    <row r="65" spans="1:12" hidden="1" x14ac:dyDescent="0.3">
      <c r="A65" s="336"/>
      <c r="B65" s="78" t="s">
        <v>17</v>
      </c>
      <c r="C65" s="72"/>
      <c r="D65" s="72"/>
      <c r="E65" s="72"/>
      <c r="F65" s="72"/>
      <c r="G65" s="72"/>
      <c r="H65" s="73"/>
      <c r="I65" s="72"/>
      <c r="J65" s="173"/>
      <c r="K65" s="173"/>
      <c r="L65" s="174"/>
    </row>
    <row r="66" spans="1:12" hidden="1" x14ac:dyDescent="0.3">
      <c r="A66" s="336"/>
      <c r="B66" s="68" t="s">
        <v>18</v>
      </c>
      <c r="C66" s="72"/>
      <c r="D66" s="72"/>
      <c r="E66" s="72"/>
      <c r="F66" s="72"/>
      <c r="G66" s="72"/>
      <c r="H66" s="73"/>
      <c r="I66" s="72"/>
      <c r="J66" s="173"/>
      <c r="K66" s="173"/>
      <c r="L66" s="174"/>
    </row>
    <row r="67" spans="1:12" hidden="1" x14ac:dyDescent="0.3">
      <c r="A67" s="335"/>
      <c r="B67" s="333"/>
      <c r="C67" s="72"/>
      <c r="D67" s="72"/>
      <c r="E67" s="72"/>
      <c r="F67" s="72"/>
      <c r="G67" s="72"/>
      <c r="H67" s="73"/>
      <c r="I67" s="72"/>
      <c r="J67" s="173"/>
      <c r="K67" s="173"/>
      <c r="L67" s="174"/>
    </row>
    <row r="68" spans="1:12" hidden="1" x14ac:dyDescent="0.3">
      <c r="A68" s="336" t="str">
        <f>'Annex-XXIV'!B65</f>
        <v/>
      </c>
      <c r="B68" s="68" t="s">
        <v>16</v>
      </c>
      <c r="C68" s="72"/>
      <c r="D68" s="72"/>
      <c r="E68" s="72"/>
      <c r="F68" s="72"/>
      <c r="G68" s="72"/>
      <c r="H68" s="73"/>
      <c r="I68" s="72"/>
      <c r="J68" s="173"/>
      <c r="K68" s="173"/>
      <c r="L68" s="174"/>
    </row>
    <row r="69" spans="1:12" hidden="1" x14ac:dyDescent="0.3">
      <c r="A69" s="336"/>
      <c r="B69" s="78" t="s">
        <v>17</v>
      </c>
      <c r="C69" s="72"/>
      <c r="D69" s="72"/>
      <c r="E69" s="72"/>
      <c r="F69" s="72"/>
      <c r="G69" s="72"/>
      <c r="H69" s="73"/>
      <c r="I69" s="72"/>
      <c r="J69" s="173"/>
      <c r="K69" s="173"/>
      <c r="L69" s="174"/>
    </row>
    <row r="70" spans="1:12" hidden="1" x14ac:dyDescent="0.3">
      <c r="A70" s="336"/>
      <c r="B70" s="68" t="s">
        <v>18</v>
      </c>
      <c r="C70" s="72"/>
      <c r="D70" s="72"/>
      <c r="E70" s="72"/>
      <c r="F70" s="72"/>
      <c r="G70" s="72"/>
      <c r="H70" s="73"/>
      <c r="I70" s="72"/>
      <c r="J70" s="173"/>
      <c r="K70" s="173"/>
      <c r="L70" s="174"/>
    </row>
    <row r="71" spans="1:12" ht="16.8" customHeight="1" x14ac:dyDescent="0.3">
      <c r="A71" s="347" t="s">
        <v>231</v>
      </c>
      <c r="B71" s="348"/>
      <c r="C71" s="338" t="str">
        <f>year!$J$6</f>
        <v>YEAR 2021-22</v>
      </c>
      <c r="D71" s="338"/>
      <c r="E71" s="338"/>
      <c r="F71" s="338"/>
      <c r="G71" s="338"/>
      <c r="H71" s="338" t="str">
        <f>year!$J$7</f>
        <v>YEAR 2020-21</v>
      </c>
      <c r="I71" s="338"/>
      <c r="J71" s="338"/>
      <c r="K71" s="338"/>
      <c r="L71" s="338"/>
    </row>
    <row r="72" spans="1:12" ht="16.8" customHeight="1" x14ac:dyDescent="0.3">
      <c r="A72" s="337" t="str">
        <f>A10</f>
        <v>RABI I
RICE-II</v>
      </c>
      <c r="B72" s="169" t="s">
        <v>16</v>
      </c>
      <c r="C72" s="170">
        <v>2351</v>
      </c>
      <c r="D72" s="170">
        <v>1.94</v>
      </c>
      <c r="E72" s="170"/>
      <c r="F72" s="170"/>
      <c r="G72" s="162"/>
      <c r="H72" s="170"/>
      <c r="I72" s="170"/>
      <c r="J72" s="171"/>
      <c r="K72" s="171"/>
      <c r="L72" s="171"/>
    </row>
    <row r="73" spans="1:12" ht="16.8" customHeight="1" x14ac:dyDescent="0.3">
      <c r="A73" s="337"/>
      <c r="B73" s="172" t="s">
        <v>17</v>
      </c>
      <c r="C73" s="170">
        <v>2750</v>
      </c>
      <c r="D73" s="170">
        <v>1.96</v>
      </c>
      <c r="E73" s="170"/>
      <c r="F73" s="170"/>
      <c r="G73" s="162"/>
      <c r="H73" s="170">
        <v>2554</v>
      </c>
      <c r="I73" s="170">
        <v>9.02</v>
      </c>
      <c r="J73" s="171"/>
      <c r="K73" s="171"/>
      <c r="L73" s="171"/>
    </row>
    <row r="74" spans="1:12" ht="16.8" customHeight="1" x14ac:dyDescent="0.3">
      <c r="A74" s="337"/>
      <c r="B74" s="169" t="s">
        <v>18</v>
      </c>
      <c r="C74" s="170">
        <v>2518</v>
      </c>
      <c r="D74" s="170">
        <v>1.38</v>
      </c>
      <c r="E74" s="170">
        <v>2475</v>
      </c>
      <c r="F74" s="170">
        <v>2.48</v>
      </c>
      <c r="G74" s="162">
        <v>0.02</v>
      </c>
      <c r="H74" s="170">
        <v>2245</v>
      </c>
      <c r="I74" s="170">
        <v>8.3699999999999992</v>
      </c>
      <c r="J74" s="171"/>
      <c r="K74" s="171"/>
      <c r="L74" s="171"/>
    </row>
    <row r="75" spans="1:12" ht="16.8" customHeight="1" x14ac:dyDescent="0.3">
      <c r="A75" s="337" t="str">
        <f>A13</f>
        <v>RABI II
RICE-III</v>
      </c>
      <c r="B75" s="169" t="s">
        <v>16</v>
      </c>
      <c r="C75" s="170">
        <v>3190</v>
      </c>
      <c r="D75" s="170">
        <v>5.1100000000000003</v>
      </c>
      <c r="E75" s="170"/>
      <c r="F75" s="170"/>
      <c r="G75" s="162"/>
      <c r="H75" s="170">
        <v>2368</v>
      </c>
      <c r="I75" s="170">
        <v>6.15</v>
      </c>
      <c r="J75" s="171">
        <v>2012</v>
      </c>
      <c r="K75" s="171">
        <v>3.42</v>
      </c>
      <c r="L75" s="171">
        <v>17.690000000000001</v>
      </c>
    </row>
    <row r="76" spans="1:12" ht="16.8" customHeight="1" x14ac:dyDescent="0.3">
      <c r="A76" s="337"/>
      <c r="B76" s="172" t="s">
        <v>17</v>
      </c>
      <c r="C76" s="170">
        <v>3652</v>
      </c>
      <c r="D76" s="170">
        <v>7.22</v>
      </c>
      <c r="E76" s="170"/>
      <c r="F76" s="170"/>
      <c r="G76" s="162"/>
      <c r="H76" s="170">
        <v>3137</v>
      </c>
      <c r="I76" s="170">
        <v>7.13</v>
      </c>
      <c r="J76" s="171"/>
      <c r="K76" s="171"/>
      <c r="L76" s="171"/>
    </row>
    <row r="77" spans="1:12" ht="16.8" customHeight="1" x14ac:dyDescent="0.3">
      <c r="A77" s="337"/>
      <c r="B77" s="169" t="s">
        <v>18</v>
      </c>
      <c r="C77" s="170">
        <v>3318</v>
      </c>
      <c r="D77" s="170">
        <v>4.18</v>
      </c>
      <c r="E77" s="170">
        <v>3296</v>
      </c>
      <c r="F77" s="170">
        <v>2.58</v>
      </c>
      <c r="G77" s="162">
        <v>7.0000000000000007E-2</v>
      </c>
      <c r="H77" s="170">
        <v>3181</v>
      </c>
      <c r="I77" s="170">
        <v>10.3</v>
      </c>
      <c r="J77" s="171"/>
      <c r="K77" s="171"/>
      <c r="L77" s="171"/>
    </row>
    <row r="78" spans="1:12" hidden="1" x14ac:dyDescent="0.3">
      <c r="A78" s="335" t="s">
        <v>231</v>
      </c>
      <c r="B78" s="333"/>
      <c r="C78" s="72"/>
      <c r="D78" s="72"/>
      <c r="E78" s="72"/>
      <c r="F78" s="72"/>
      <c r="G78" s="72"/>
      <c r="H78" s="73">
        <v>3151</v>
      </c>
      <c r="I78" s="72">
        <v>5.86</v>
      </c>
      <c r="J78" s="173">
        <v>3027</v>
      </c>
      <c r="K78" s="173">
        <v>3.31</v>
      </c>
      <c r="L78" s="174">
        <v>4.0999999999999996</v>
      </c>
    </row>
    <row r="79" spans="1:12" hidden="1" x14ac:dyDescent="0.3">
      <c r="A79" s="336" t="str">
        <f>A16</f>
        <v/>
      </c>
      <c r="B79" s="68" t="s">
        <v>16</v>
      </c>
      <c r="C79" s="72"/>
      <c r="D79" s="72"/>
      <c r="E79" s="72"/>
      <c r="F79" s="72"/>
      <c r="G79" s="72"/>
      <c r="H79" s="73"/>
      <c r="I79" s="72"/>
      <c r="J79" s="173"/>
      <c r="K79" s="173"/>
      <c r="L79" s="174"/>
    </row>
    <row r="80" spans="1:12" hidden="1" x14ac:dyDescent="0.3">
      <c r="A80" s="336"/>
      <c r="B80" s="78" t="s">
        <v>17</v>
      </c>
      <c r="C80" s="72"/>
      <c r="D80" s="72"/>
      <c r="E80" s="72"/>
      <c r="F80" s="72"/>
      <c r="G80" s="72"/>
      <c r="H80" s="73"/>
      <c r="I80" s="72"/>
      <c r="J80" s="173"/>
      <c r="K80" s="173"/>
      <c r="L80" s="174"/>
    </row>
    <row r="81" spans="1:12" hidden="1" x14ac:dyDescent="0.3">
      <c r="A81" s="336"/>
      <c r="B81" s="68" t="s">
        <v>18</v>
      </c>
      <c r="C81" s="72"/>
      <c r="D81" s="72"/>
      <c r="E81" s="72"/>
      <c r="F81" s="72"/>
      <c r="G81" s="72"/>
      <c r="H81" s="73"/>
      <c r="I81" s="72"/>
      <c r="J81" s="173"/>
      <c r="K81" s="173"/>
      <c r="L81" s="174"/>
    </row>
    <row r="82" spans="1:12" hidden="1" x14ac:dyDescent="0.3">
      <c r="A82" s="335" t="s">
        <v>231</v>
      </c>
      <c r="B82" s="333"/>
      <c r="C82" s="72"/>
      <c r="D82" s="72"/>
      <c r="E82" s="72"/>
      <c r="F82" s="72"/>
      <c r="G82" s="72"/>
      <c r="H82" s="73"/>
      <c r="I82" s="72"/>
      <c r="J82" s="173"/>
      <c r="K82" s="173"/>
      <c r="L82" s="174"/>
    </row>
    <row r="83" spans="1:12" hidden="1" x14ac:dyDescent="0.3">
      <c r="A83" s="336" t="str">
        <f>A20</f>
        <v/>
      </c>
      <c r="B83" s="68" t="s">
        <v>16</v>
      </c>
      <c r="C83" s="72"/>
      <c r="D83" s="72"/>
      <c r="E83" s="72"/>
      <c r="F83" s="72"/>
      <c r="G83" s="72"/>
      <c r="H83" s="73"/>
      <c r="I83" s="72"/>
      <c r="J83" s="173"/>
      <c r="K83" s="173"/>
      <c r="L83" s="174"/>
    </row>
    <row r="84" spans="1:12" hidden="1" x14ac:dyDescent="0.3">
      <c r="A84" s="336"/>
      <c r="B84" s="78" t="s">
        <v>17</v>
      </c>
      <c r="C84" s="72"/>
      <c r="D84" s="72"/>
      <c r="E84" s="72"/>
      <c r="F84" s="72"/>
      <c r="G84" s="72"/>
      <c r="H84" s="73"/>
      <c r="I84" s="72"/>
      <c r="J84" s="173"/>
      <c r="K84" s="173"/>
      <c r="L84" s="174"/>
    </row>
    <row r="85" spans="1:12" hidden="1" x14ac:dyDescent="0.3">
      <c r="A85" s="336"/>
      <c r="B85" s="68" t="s">
        <v>18</v>
      </c>
      <c r="C85" s="72"/>
      <c r="D85" s="72"/>
      <c r="E85" s="72"/>
      <c r="F85" s="72"/>
      <c r="G85" s="72"/>
      <c r="H85" s="73"/>
      <c r="I85" s="72"/>
      <c r="J85" s="173"/>
      <c r="K85" s="173"/>
      <c r="L85" s="174"/>
    </row>
    <row r="86" spans="1:12" hidden="1" x14ac:dyDescent="0.3">
      <c r="A86" s="335" t="s">
        <v>231</v>
      </c>
      <c r="B86" s="333"/>
      <c r="C86" s="72"/>
      <c r="D86" s="72"/>
      <c r="E86" s="72"/>
      <c r="F86" s="72"/>
      <c r="G86" s="72"/>
      <c r="H86" s="73"/>
      <c r="I86" s="72"/>
      <c r="J86" s="173"/>
      <c r="K86" s="173"/>
      <c r="L86" s="174"/>
    </row>
    <row r="87" spans="1:12" hidden="1" x14ac:dyDescent="0.3">
      <c r="A87" s="336" t="str">
        <f>A24</f>
        <v/>
      </c>
      <c r="B87" s="68" t="s">
        <v>16</v>
      </c>
      <c r="C87" s="72"/>
      <c r="D87" s="72"/>
      <c r="E87" s="72"/>
      <c r="F87" s="72"/>
      <c r="G87" s="72"/>
      <c r="H87" s="73"/>
      <c r="I87" s="72"/>
      <c r="J87" s="173"/>
      <c r="K87" s="173"/>
      <c r="L87" s="174"/>
    </row>
    <row r="88" spans="1:12" hidden="1" x14ac:dyDescent="0.3">
      <c r="A88" s="336"/>
      <c r="B88" s="78" t="s">
        <v>17</v>
      </c>
      <c r="C88" s="72"/>
      <c r="D88" s="72"/>
      <c r="E88" s="72"/>
      <c r="F88" s="72"/>
      <c r="G88" s="72"/>
      <c r="H88" s="73"/>
      <c r="I88" s="72"/>
      <c r="J88" s="173"/>
      <c r="K88" s="173"/>
      <c r="L88" s="174"/>
    </row>
    <row r="89" spans="1:12" hidden="1" x14ac:dyDescent="0.3">
      <c r="A89" s="336"/>
      <c r="B89" s="68" t="s">
        <v>18</v>
      </c>
      <c r="C89" s="72"/>
      <c r="D89" s="72"/>
      <c r="E89" s="72"/>
      <c r="F89" s="72"/>
      <c r="G89" s="72"/>
      <c r="H89" s="73"/>
      <c r="I89" s="72"/>
      <c r="J89" s="173"/>
      <c r="K89" s="173"/>
      <c r="L89" s="174"/>
    </row>
    <row r="90" spans="1:12" hidden="1" x14ac:dyDescent="0.3">
      <c r="A90" s="335" t="s">
        <v>231</v>
      </c>
      <c r="B90" s="333"/>
      <c r="C90" s="72"/>
      <c r="D90" s="72"/>
      <c r="E90" s="72"/>
      <c r="F90" s="72"/>
      <c r="G90" s="72"/>
      <c r="H90" s="73"/>
      <c r="I90" s="72"/>
      <c r="J90" s="173"/>
      <c r="K90" s="173"/>
      <c r="L90" s="174"/>
    </row>
    <row r="91" spans="1:12" hidden="1" x14ac:dyDescent="0.3">
      <c r="A91" s="336" t="str">
        <f>A28</f>
        <v/>
      </c>
      <c r="B91" s="68" t="s">
        <v>16</v>
      </c>
      <c r="C91" s="72"/>
      <c r="D91" s="72"/>
      <c r="E91" s="72"/>
      <c r="F91" s="72"/>
      <c r="G91" s="72"/>
      <c r="H91" s="73"/>
      <c r="I91" s="72"/>
      <c r="J91" s="173"/>
      <c r="K91" s="173"/>
      <c r="L91" s="174"/>
    </row>
    <row r="92" spans="1:12" hidden="1" x14ac:dyDescent="0.3">
      <c r="A92" s="336"/>
      <c r="B92" s="78" t="s">
        <v>17</v>
      </c>
      <c r="C92" s="72"/>
      <c r="D92" s="72"/>
      <c r="E92" s="72"/>
      <c r="F92" s="72"/>
      <c r="G92" s="72"/>
      <c r="H92" s="73"/>
      <c r="I92" s="72"/>
      <c r="J92" s="173"/>
      <c r="K92" s="173"/>
      <c r="L92" s="174"/>
    </row>
    <row r="93" spans="1:12" hidden="1" x14ac:dyDescent="0.3">
      <c r="A93" s="336"/>
      <c r="B93" s="68" t="s">
        <v>18</v>
      </c>
      <c r="C93" s="72"/>
      <c r="D93" s="72"/>
      <c r="E93" s="72"/>
      <c r="F93" s="72"/>
      <c r="G93" s="72"/>
      <c r="H93" s="73"/>
      <c r="I93" s="72"/>
      <c r="J93" s="173"/>
      <c r="K93" s="173"/>
      <c r="L93" s="174"/>
    </row>
    <row r="94" spans="1:12" hidden="1" x14ac:dyDescent="0.3">
      <c r="A94" s="335" t="s">
        <v>231</v>
      </c>
      <c r="B94" s="333"/>
      <c r="C94" s="72"/>
      <c r="D94" s="72"/>
      <c r="E94" s="72"/>
      <c r="F94" s="72"/>
      <c r="G94" s="72"/>
      <c r="H94" s="73"/>
      <c r="I94" s="72"/>
      <c r="J94" s="173"/>
      <c r="K94" s="173"/>
      <c r="L94" s="174"/>
    </row>
    <row r="95" spans="1:12" hidden="1" x14ac:dyDescent="0.3">
      <c r="A95" s="336" t="str">
        <f>A32</f>
        <v/>
      </c>
      <c r="B95" s="68" t="s">
        <v>16</v>
      </c>
      <c r="C95" s="72"/>
      <c r="D95" s="72"/>
      <c r="E95" s="72"/>
      <c r="F95" s="72"/>
      <c r="G95" s="72"/>
      <c r="H95" s="73"/>
      <c r="I95" s="72"/>
      <c r="J95" s="173"/>
      <c r="K95" s="173"/>
      <c r="L95" s="174"/>
    </row>
    <row r="96" spans="1:12" hidden="1" x14ac:dyDescent="0.3">
      <c r="A96" s="336"/>
      <c r="B96" s="78" t="s">
        <v>17</v>
      </c>
      <c r="C96" s="72"/>
      <c r="D96" s="72"/>
      <c r="E96" s="72"/>
      <c r="F96" s="72"/>
      <c r="G96" s="72"/>
      <c r="H96" s="73"/>
      <c r="I96" s="72"/>
      <c r="J96" s="173"/>
      <c r="K96" s="173"/>
      <c r="L96" s="174"/>
    </row>
    <row r="97" spans="1:12" hidden="1" x14ac:dyDescent="0.3">
      <c r="A97" s="336"/>
      <c r="B97" s="68" t="s">
        <v>18</v>
      </c>
      <c r="C97" s="72"/>
      <c r="D97" s="72"/>
      <c r="E97" s="72"/>
      <c r="F97" s="72"/>
      <c r="G97" s="72"/>
      <c r="H97" s="73"/>
      <c r="I97" s="72"/>
      <c r="J97" s="173"/>
      <c r="K97" s="173"/>
      <c r="L97" s="174"/>
    </row>
    <row r="98" spans="1:12" hidden="1" x14ac:dyDescent="0.3">
      <c r="A98" s="335" t="s">
        <v>231</v>
      </c>
      <c r="B98" s="333"/>
      <c r="C98" s="72"/>
      <c r="D98" s="72"/>
      <c r="E98" s="72"/>
      <c r="F98" s="72"/>
      <c r="G98" s="72"/>
      <c r="H98" s="73"/>
      <c r="I98" s="72"/>
      <c r="J98" s="173"/>
      <c r="K98" s="173"/>
      <c r="L98" s="174"/>
    </row>
    <row r="99" spans="1:12" hidden="1" x14ac:dyDescent="0.3">
      <c r="A99" s="336" t="str">
        <f>A36</f>
        <v/>
      </c>
      <c r="B99" s="68" t="s">
        <v>16</v>
      </c>
      <c r="C99" s="72"/>
      <c r="D99" s="72"/>
      <c r="E99" s="72"/>
      <c r="F99" s="72"/>
      <c r="G99" s="72"/>
      <c r="H99" s="73"/>
      <c r="I99" s="72"/>
      <c r="J99" s="173"/>
      <c r="K99" s="173"/>
      <c r="L99" s="174"/>
    </row>
    <row r="100" spans="1:12" hidden="1" x14ac:dyDescent="0.3">
      <c r="A100" s="336"/>
      <c r="B100" s="78" t="s">
        <v>17</v>
      </c>
      <c r="C100" s="72"/>
      <c r="D100" s="72"/>
      <c r="E100" s="72"/>
      <c r="F100" s="72"/>
      <c r="G100" s="72"/>
      <c r="H100" s="73"/>
      <c r="I100" s="72"/>
      <c r="J100" s="173"/>
      <c r="K100" s="173"/>
      <c r="L100" s="174"/>
    </row>
    <row r="101" spans="1:12" hidden="1" x14ac:dyDescent="0.3">
      <c r="A101" s="336"/>
      <c r="B101" s="68" t="s">
        <v>18</v>
      </c>
      <c r="C101" s="72"/>
      <c r="D101" s="72"/>
      <c r="E101" s="72"/>
      <c r="F101" s="72"/>
      <c r="G101" s="72"/>
      <c r="H101" s="73"/>
      <c r="I101" s="72"/>
      <c r="J101" s="173"/>
      <c r="K101" s="173"/>
      <c r="L101" s="174"/>
    </row>
    <row r="102" spans="1:12" hidden="1" x14ac:dyDescent="0.3">
      <c r="A102" s="335" t="s">
        <v>231</v>
      </c>
      <c r="B102" s="333"/>
      <c r="C102" s="72"/>
      <c r="D102" s="72"/>
      <c r="E102" s="72"/>
      <c r="F102" s="72"/>
      <c r="G102" s="72"/>
      <c r="H102" s="73"/>
      <c r="I102" s="72"/>
      <c r="J102" s="173"/>
      <c r="K102" s="173"/>
      <c r="L102" s="174"/>
    </row>
    <row r="103" spans="1:12" hidden="1" x14ac:dyDescent="0.3">
      <c r="A103" s="336" t="str">
        <f>A40</f>
        <v/>
      </c>
      <c r="B103" s="68" t="s">
        <v>16</v>
      </c>
      <c r="C103" s="72"/>
      <c r="D103" s="72"/>
      <c r="E103" s="72"/>
      <c r="F103" s="72"/>
      <c r="G103" s="72"/>
      <c r="H103" s="73"/>
      <c r="I103" s="72"/>
      <c r="J103" s="173"/>
      <c r="K103" s="173"/>
      <c r="L103" s="174"/>
    </row>
    <row r="104" spans="1:12" hidden="1" x14ac:dyDescent="0.3">
      <c r="A104" s="336"/>
      <c r="B104" s="78" t="s">
        <v>17</v>
      </c>
      <c r="C104" s="72"/>
      <c r="D104" s="72"/>
      <c r="E104" s="72"/>
      <c r="F104" s="72"/>
      <c r="G104" s="72"/>
      <c r="H104" s="73"/>
      <c r="I104" s="72"/>
      <c r="J104" s="173"/>
      <c r="K104" s="173"/>
      <c r="L104" s="174"/>
    </row>
    <row r="105" spans="1:12" hidden="1" x14ac:dyDescent="0.3">
      <c r="A105" s="336"/>
      <c r="B105" s="68" t="s">
        <v>18</v>
      </c>
      <c r="C105" s="72"/>
      <c r="D105" s="72"/>
      <c r="E105" s="72"/>
      <c r="F105" s="72"/>
      <c r="G105" s="72"/>
      <c r="H105" s="73"/>
      <c r="I105" s="72"/>
      <c r="J105" s="173"/>
      <c r="K105" s="173"/>
      <c r="L105" s="174"/>
    </row>
    <row r="106" spans="1:12" hidden="1" x14ac:dyDescent="0.3">
      <c r="A106" s="335" t="s">
        <v>231</v>
      </c>
      <c r="B106" s="333"/>
      <c r="C106" s="72"/>
      <c r="D106" s="72"/>
      <c r="E106" s="72"/>
      <c r="F106" s="72"/>
      <c r="G106" s="72"/>
      <c r="H106" s="73"/>
      <c r="I106" s="72"/>
      <c r="J106" s="173"/>
      <c r="K106" s="173"/>
      <c r="L106" s="174"/>
    </row>
    <row r="107" spans="1:12" hidden="1" x14ac:dyDescent="0.3">
      <c r="A107" s="336" t="str">
        <f>A44</f>
        <v/>
      </c>
      <c r="B107" s="68" t="s">
        <v>16</v>
      </c>
      <c r="C107" s="72"/>
      <c r="D107" s="72"/>
      <c r="E107" s="72"/>
      <c r="F107" s="72"/>
      <c r="G107" s="72"/>
      <c r="H107" s="73"/>
      <c r="I107" s="72"/>
      <c r="J107" s="173"/>
      <c r="K107" s="173"/>
      <c r="L107" s="174"/>
    </row>
    <row r="108" spans="1:12" hidden="1" x14ac:dyDescent="0.3">
      <c r="A108" s="336"/>
      <c r="B108" s="78" t="s">
        <v>17</v>
      </c>
      <c r="C108" s="72"/>
      <c r="D108" s="72"/>
      <c r="E108" s="72"/>
      <c r="F108" s="72"/>
      <c r="G108" s="72"/>
      <c r="H108" s="73"/>
      <c r="I108" s="72"/>
      <c r="J108" s="173"/>
      <c r="K108" s="173"/>
      <c r="L108" s="174"/>
    </row>
    <row r="109" spans="1:12" hidden="1" x14ac:dyDescent="0.3">
      <c r="A109" s="336"/>
      <c r="B109" s="68" t="s">
        <v>18</v>
      </c>
      <c r="C109" s="72"/>
      <c r="D109" s="72"/>
      <c r="E109" s="72"/>
      <c r="F109" s="72"/>
      <c r="G109" s="72"/>
      <c r="H109" s="73"/>
      <c r="I109" s="72"/>
      <c r="J109" s="173"/>
      <c r="K109" s="173"/>
      <c r="L109" s="174"/>
    </row>
    <row r="110" spans="1:12" hidden="1" x14ac:dyDescent="0.3">
      <c r="A110" s="335" t="s">
        <v>231</v>
      </c>
      <c r="B110" s="333"/>
      <c r="C110" s="72"/>
      <c r="D110" s="72"/>
      <c r="E110" s="72"/>
      <c r="F110" s="72"/>
      <c r="G110" s="72"/>
      <c r="H110" s="73"/>
      <c r="I110" s="72"/>
      <c r="J110" s="173"/>
      <c r="K110" s="173"/>
      <c r="L110" s="174"/>
    </row>
    <row r="111" spans="1:12" hidden="1" x14ac:dyDescent="0.3">
      <c r="A111" s="336" t="str">
        <f>A48</f>
        <v/>
      </c>
      <c r="B111" s="68" t="s">
        <v>16</v>
      </c>
      <c r="C111" s="72"/>
      <c r="D111" s="72"/>
      <c r="E111" s="72"/>
      <c r="F111" s="72"/>
      <c r="G111" s="72"/>
      <c r="H111" s="73"/>
      <c r="I111" s="72"/>
      <c r="J111" s="173"/>
      <c r="K111" s="173"/>
      <c r="L111" s="174"/>
    </row>
    <row r="112" spans="1:12" hidden="1" x14ac:dyDescent="0.3">
      <c r="A112" s="336"/>
      <c r="B112" s="78" t="s">
        <v>17</v>
      </c>
      <c r="C112" s="72"/>
      <c r="D112" s="72"/>
      <c r="E112" s="72"/>
      <c r="F112" s="72"/>
      <c r="G112" s="72"/>
      <c r="H112" s="73"/>
      <c r="I112" s="72"/>
      <c r="J112" s="173"/>
      <c r="K112" s="173"/>
      <c r="L112" s="174"/>
    </row>
    <row r="113" spans="1:12" hidden="1" x14ac:dyDescent="0.3">
      <c r="A113" s="336"/>
      <c r="B113" s="68" t="s">
        <v>18</v>
      </c>
      <c r="C113" s="72"/>
      <c r="D113" s="72"/>
      <c r="E113" s="72"/>
      <c r="F113" s="72"/>
      <c r="G113" s="72"/>
      <c r="H113" s="73"/>
      <c r="I113" s="72"/>
      <c r="J113" s="173"/>
      <c r="K113" s="173"/>
      <c r="L113" s="174"/>
    </row>
    <row r="114" spans="1:12" hidden="1" x14ac:dyDescent="0.3">
      <c r="A114" s="335" t="s">
        <v>231</v>
      </c>
      <c r="B114" s="333"/>
      <c r="C114" s="72"/>
      <c r="D114" s="72"/>
      <c r="E114" s="72"/>
      <c r="F114" s="72"/>
      <c r="G114" s="72"/>
      <c r="H114" s="73"/>
      <c r="I114" s="72"/>
      <c r="J114" s="173"/>
      <c r="K114" s="173"/>
      <c r="L114" s="174"/>
    </row>
    <row r="115" spans="1:12" hidden="1" x14ac:dyDescent="0.3">
      <c r="A115" s="336" t="str">
        <f>A52</f>
        <v/>
      </c>
      <c r="B115" s="68" t="s">
        <v>16</v>
      </c>
      <c r="C115" s="72"/>
      <c r="D115" s="72"/>
      <c r="E115" s="72"/>
      <c r="F115" s="72"/>
      <c r="G115" s="72"/>
      <c r="H115" s="73"/>
      <c r="I115" s="72"/>
      <c r="J115" s="173"/>
      <c r="K115" s="173"/>
      <c r="L115" s="174"/>
    </row>
    <row r="116" spans="1:12" hidden="1" x14ac:dyDescent="0.3">
      <c r="A116" s="336"/>
      <c r="B116" s="78" t="s">
        <v>17</v>
      </c>
      <c r="C116" s="72"/>
      <c r="D116" s="72"/>
      <c r="E116" s="72"/>
      <c r="F116" s="72"/>
      <c r="G116" s="72"/>
      <c r="H116" s="73"/>
      <c r="I116" s="72"/>
      <c r="J116" s="173"/>
      <c r="K116" s="173"/>
      <c r="L116" s="174"/>
    </row>
    <row r="117" spans="1:12" hidden="1" x14ac:dyDescent="0.3">
      <c r="A117" s="336"/>
      <c r="B117" s="68" t="s">
        <v>18</v>
      </c>
      <c r="C117" s="72"/>
      <c r="D117" s="72"/>
      <c r="E117" s="72"/>
      <c r="F117" s="72"/>
      <c r="G117" s="72"/>
      <c r="H117" s="73"/>
      <c r="I117" s="72"/>
      <c r="J117" s="173"/>
      <c r="K117" s="173"/>
      <c r="L117" s="174"/>
    </row>
    <row r="118" spans="1:12" hidden="1" x14ac:dyDescent="0.3">
      <c r="A118" s="335" t="s">
        <v>231</v>
      </c>
      <c r="B118" s="333"/>
      <c r="C118" s="72"/>
      <c r="D118" s="72"/>
      <c r="E118" s="72"/>
      <c r="F118" s="72"/>
      <c r="G118" s="72"/>
      <c r="H118" s="73"/>
      <c r="I118" s="72"/>
      <c r="J118" s="173"/>
      <c r="K118" s="173"/>
      <c r="L118" s="174"/>
    </row>
    <row r="119" spans="1:12" hidden="1" x14ac:dyDescent="0.3">
      <c r="A119" s="336" t="str">
        <f>A56</f>
        <v/>
      </c>
      <c r="B119" s="68" t="s">
        <v>16</v>
      </c>
      <c r="C119" s="72"/>
      <c r="D119" s="72"/>
      <c r="E119" s="72"/>
      <c r="F119" s="72"/>
      <c r="G119" s="72"/>
      <c r="H119" s="73"/>
      <c r="I119" s="72"/>
      <c r="J119" s="173"/>
      <c r="K119" s="173"/>
      <c r="L119" s="174"/>
    </row>
    <row r="120" spans="1:12" hidden="1" x14ac:dyDescent="0.3">
      <c r="A120" s="336"/>
      <c r="B120" s="78" t="s">
        <v>17</v>
      </c>
      <c r="C120" s="72"/>
      <c r="D120" s="72"/>
      <c r="E120" s="72"/>
      <c r="F120" s="72"/>
      <c r="G120" s="72"/>
      <c r="H120" s="73"/>
      <c r="I120" s="72"/>
      <c r="J120" s="173"/>
      <c r="K120" s="173"/>
      <c r="L120" s="174"/>
    </row>
    <row r="121" spans="1:12" hidden="1" x14ac:dyDescent="0.3">
      <c r="A121" s="336"/>
      <c r="B121" s="68" t="s">
        <v>18</v>
      </c>
      <c r="C121" s="72"/>
      <c r="D121" s="72"/>
      <c r="E121" s="72"/>
      <c r="F121" s="72"/>
      <c r="G121" s="72"/>
      <c r="H121" s="73"/>
      <c r="I121" s="72"/>
      <c r="J121" s="173"/>
      <c r="K121" s="173"/>
      <c r="L121" s="174"/>
    </row>
    <row r="122" spans="1:12" hidden="1" x14ac:dyDescent="0.3">
      <c r="A122" s="335" t="s">
        <v>231</v>
      </c>
      <c r="B122" s="333"/>
      <c r="C122" s="72"/>
      <c r="D122" s="72"/>
      <c r="E122" s="72"/>
      <c r="F122" s="72"/>
      <c r="G122" s="72"/>
      <c r="H122" s="73"/>
      <c r="I122" s="72"/>
      <c r="J122" s="173"/>
      <c r="K122" s="173"/>
      <c r="L122" s="174"/>
    </row>
    <row r="123" spans="1:12" hidden="1" x14ac:dyDescent="0.3">
      <c r="A123" s="336" t="str">
        <f>A60</f>
        <v/>
      </c>
      <c r="B123" s="68" t="s">
        <v>16</v>
      </c>
      <c r="C123" s="72"/>
      <c r="D123" s="72"/>
      <c r="E123" s="72"/>
      <c r="F123" s="72"/>
      <c r="G123" s="72"/>
      <c r="H123" s="73"/>
      <c r="I123" s="72"/>
      <c r="J123" s="173"/>
      <c r="K123" s="173"/>
      <c r="L123" s="174"/>
    </row>
    <row r="124" spans="1:12" hidden="1" x14ac:dyDescent="0.3">
      <c r="A124" s="336"/>
      <c r="B124" s="78" t="s">
        <v>17</v>
      </c>
      <c r="C124" s="72"/>
      <c r="D124" s="72"/>
      <c r="E124" s="72"/>
      <c r="F124" s="72"/>
      <c r="G124" s="72"/>
      <c r="H124" s="73"/>
      <c r="I124" s="72"/>
      <c r="J124" s="173"/>
      <c r="K124" s="173"/>
      <c r="L124" s="174"/>
    </row>
    <row r="125" spans="1:12" hidden="1" x14ac:dyDescent="0.3">
      <c r="A125" s="336"/>
      <c r="B125" s="68" t="s">
        <v>18</v>
      </c>
      <c r="C125" s="72"/>
      <c r="D125" s="72"/>
      <c r="E125" s="72"/>
      <c r="F125" s="72"/>
      <c r="G125" s="72"/>
      <c r="H125" s="73"/>
      <c r="I125" s="72"/>
      <c r="J125" s="173"/>
      <c r="K125" s="173"/>
      <c r="L125" s="174"/>
    </row>
    <row r="126" spans="1:12" hidden="1" x14ac:dyDescent="0.3">
      <c r="A126" s="335"/>
      <c r="B126" s="333"/>
      <c r="C126" s="72"/>
      <c r="D126" s="72"/>
      <c r="E126" s="72"/>
      <c r="F126" s="72"/>
      <c r="G126" s="72"/>
      <c r="H126" s="73"/>
      <c r="I126" s="72"/>
      <c r="J126" s="173"/>
      <c r="K126" s="173"/>
      <c r="L126" s="174"/>
    </row>
    <row r="127" spans="1:12" hidden="1" x14ac:dyDescent="0.3">
      <c r="A127" s="336" t="str">
        <f>A64</f>
        <v/>
      </c>
      <c r="B127" s="68" t="s">
        <v>16</v>
      </c>
      <c r="C127" s="72"/>
      <c r="D127" s="72"/>
      <c r="E127" s="72"/>
      <c r="F127" s="72"/>
      <c r="G127" s="72"/>
      <c r="H127" s="73"/>
      <c r="I127" s="72"/>
      <c r="J127" s="173"/>
      <c r="K127" s="173"/>
      <c r="L127" s="174"/>
    </row>
    <row r="128" spans="1:12" hidden="1" x14ac:dyDescent="0.3">
      <c r="A128" s="336"/>
      <c r="B128" s="78" t="s">
        <v>17</v>
      </c>
      <c r="C128" s="72"/>
      <c r="D128" s="72"/>
      <c r="E128" s="72"/>
      <c r="F128" s="72"/>
      <c r="G128" s="72"/>
      <c r="H128" s="73"/>
      <c r="I128" s="72"/>
      <c r="J128" s="173"/>
      <c r="K128" s="173"/>
      <c r="L128" s="174"/>
    </row>
    <row r="129" spans="1:12" hidden="1" x14ac:dyDescent="0.3">
      <c r="A129" s="336"/>
      <c r="B129" s="68" t="s">
        <v>18</v>
      </c>
      <c r="C129" s="72"/>
      <c r="D129" s="72"/>
      <c r="E129" s="72"/>
      <c r="F129" s="72"/>
      <c r="G129" s="72"/>
      <c r="H129" s="73"/>
      <c r="I129" s="72"/>
      <c r="J129" s="173"/>
      <c r="K129" s="173"/>
      <c r="L129" s="174"/>
    </row>
    <row r="130" spans="1:12" hidden="1" x14ac:dyDescent="0.3">
      <c r="A130" s="335"/>
      <c r="B130" s="333"/>
      <c r="C130" s="72"/>
      <c r="D130" s="72"/>
      <c r="E130" s="72"/>
      <c r="F130" s="72"/>
      <c r="G130" s="72"/>
      <c r="H130" s="73"/>
      <c r="I130" s="72"/>
      <c r="J130" s="173"/>
      <c r="K130" s="173"/>
      <c r="L130" s="174"/>
    </row>
    <row r="131" spans="1:12" hidden="1" x14ac:dyDescent="0.3">
      <c r="A131" s="336" t="str">
        <f>A68</f>
        <v/>
      </c>
      <c r="B131" s="68" t="s">
        <v>16</v>
      </c>
      <c r="C131" s="72"/>
      <c r="D131" s="72"/>
      <c r="E131" s="72"/>
      <c r="F131" s="72"/>
      <c r="G131" s="72"/>
      <c r="H131" s="73"/>
      <c r="I131" s="72"/>
      <c r="J131" s="173"/>
      <c r="K131" s="173"/>
      <c r="L131" s="174"/>
    </row>
    <row r="132" spans="1:12" hidden="1" x14ac:dyDescent="0.3">
      <c r="A132" s="336"/>
      <c r="B132" s="78" t="s">
        <v>17</v>
      </c>
      <c r="C132" s="72"/>
      <c r="D132" s="72"/>
      <c r="E132" s="72"/>
      <c r="F132" s="72"/>
      <c r="G132" s="72"/>
      <c r="H132" s="73"/>
      <c r="I132" s="72"/>
      <c r="J132" s="173"/>
      <c r="K132" s="173"/>
      <c r="L132" s="174"/>
    </row>
    <row r="133" spans="1:12" hidden="1" x14ac:dyDescent="0.3">
      <c r="A133" s="336"/>
      <c r="B133" s="175" t="s">
        <v>18</v>
      </c>
      <c r="C133" s="72"/>
      <c r="D133" s="72"/>
      <c r="E133" s="72"/>
      <c r="F133" s="72"/>
      <c r="G133" s="72"/>
      <c r="H133" s="176"/>
      <c r="I133" s="177"/>
      <c r="J133" s="178"/>
      <c r="K133" s="178"/>
      <c r="L133" s="179"/>
    </row>
    <row r="134" spans="1:12" ht="16.8" customHeight="1" x14ac:dyDescent="0.3">
      <c r="A134" s="180"/>
      <c r="B134" s="76"/>
      <c r="C134" s="338" t="str">
        <f>year!$J$8</f>
        <v>YEAR 2019-20</v>
      </c>
      <c r="D134" s="338"/>
      <c r="E134" s="338"/>
      <c r="F134" s="338"/>
      <c r="G134" s="338"/>
      <c r="H134" s="73"/>
      <c r="I134" s="72"/>
      <c r="J134" s="72"/>
      <c r="K134" s="72"/>
      <c r="L134" s="181"/>
    </row>
    <row r="135" spans="1:12" ht="16.8" customHeight="1" x14ac:dyDescent="0.3">
      <c r="A135" s="337" t="str">
        <f>A10</f>
        <v>RABI I
RICE-II</v>
      </c>
      <c r="B135" s="169" t="s">
        <v>16</v>
      </c>
      <c r="C135" s="170">
        <v>3118</v>
      </c>
      <c r="D135" s="170">
        <v>11.3</v>
      </c>
      <c r="E135" s="170"/>
      <c r="F135" s="170"/>
      <c r="G135" s="170"/>
      <c r="H135" s="72"/>
      <c r="I135" s="72"/>
      <c r="J135" s="173"/>
      <c r="K135" s="173"/>
      <c r="L135" s="174"/>
    </row>
    <row r="136" spans="1:12" ht="16.8" customHeight="1" x14ac:dyDescent="0.3">
      <c r="A136" s="337"/>
      <c r="B136" s="172" t="s">
        <v>17</v>
      </c>
      <c r="C136" s="170">
        <v>2544</v>
      </c>
      <c r="D136" s="170">
        <v>13.9</v>
      </c>
      <c r="E136" s="170"/>
      <c r="F136" s="170"/>
      <c r="G136" s="170"/>
      <c r="H136" s="72"/>
      <c r="I136" s="72"/>
      <c r="J136" s="173"/>
      <c r="K136" s="173"/>
      <c r="L136" s="174"/>
    </row>
    <row r="137" spans="1:12" ht="16.8" customHeight="1" x14ac:dyDescent="0.3">
      <c r="A137" s="337"/>
      <c r="B137" s="169" t="s">
        <v>18</v>
      </c>
      <c r="C137" s="170">
        <v>2833</v>
      </c>
      <c r="D137" s="170">
        <v>8.7899999999999991</v>
      </c>
      <c r="E137" s="170">
        <v>2732</v>
      </c>
      <c r="F137" s="170">
        <v>3.15</v>
      </c>
      <c r="G137" s="170">
        <v>3.7</v>
      </c>
      <c r="H137" s="72"/>
      <c r="I137" s="72"/>
      <c r="J137" s="173"/>
      <c r="K137" s="173"/>
      <c r="L137" s="174"/>
    </row>
    <row r="138" spans="1:12" ht="16.8" customHeight="1" x14ac:dyDescent="0.3">
      <c r="A138" s="337" t="str">
        <f>A13</f>
        <v>RABI II
RICE-III</v>
      </c>
      <c r="B138" s="169" t="s">
        <v>16</v>
      </c>
      <c r="C138" s="170">
        <v>3356</v>
      </c>
      <c r="D138" s="170">
        <v>8.56</v>
      </c>
      <c r="E138" s="170"/>
      <c r="F138" s="170"/>
      <c r="G138" s="170"/>
      <c r="H138" s="72"/>
      <c r="I138" s="72"/>
      <c r="J138" s="173"/>
      <c r="K138" s="173"/>
      <c r="L138" s="174"/>
    </row>
    <row r="139" spans="1:12" ht="16.8" customHeight="1" x14ac:dyDescent="0.3">
      <c r="A139" s="337"/>
      <c r="B139" s="172" t="s">
        <v>17</v>
      </c>
      <c r="C139" s="170">
        <v>3150</v>
      </c>
      <c r="D139" s="170">
        <v>4.43</v>
      </c>
      <c r="E139" s="170"/>
      <c r="F139" s="170"/>
      <c r="G139" s="170"/>
      <c r="H139" s="72"/>
      <c r="I139" s="72"/>
      <c r="J139" s="173"/>
      <c r="K139" s="173"/>
      <c r="L139" s="174"/>
    </row>
    <row r="140" spans="1:12" ht="16.8" customHeight="1" x14ac:dyDescent="0.3">
      <c r="A140" s="337"/>
      <c r="B140" s="169" t="s">
        <v>18</v>
      </c>
      <c r="C140" s="170">
        <v>3189</v>
      </c>
      <c r="D140" s="170">
        <v>3.39</v>
      </c>
      <c r="E140" s="170">
        <v>3328</v>
      </c>
      <c r="F140" s="170">
        <v>2.2999999999999998</v>
      </c>
      <c r="G140" s="170" t="s">
        <v>692</v>
      </c>
      <c r="H140" s="74"/>
      <c r="I140" s="74"/>
      <c r="J140" s="182"/>
      <c r="K140" s="182"/>
      <c r="L140" s="183"/>
    </row>
    <row r="141" spans="1:12" ht="15" customHeight="1" thickBot="1" x14ac:dyDescent="0.35">
      <c r="A141" s="346"/>
      <c r="B141" s="346"/>
      <c r="C141" s="346"/>
      <c r="D141" s="346"/>
      <c r="E141" s="346"/>
      <c r="F141" s="346"/>
      <c r="G141" s="346"/>
      <c r="H141" s="346"/>
      <c r="I141" s="346"/>
      <c r="J141" s="346"/>
      <c r="K141" s="346"/>
      <c r="L141" s="346"/>
    </row>
    <row r="142" spans="1:12" hidden="1" x14ac:dyDescent="0.3">
      <c r="A142" s="242" t="str">
        <f>A16</f>
        <v/>
      </c>
      <c r="B142" s="68" t="s">
        <v>16</v>
      </c>
      <c r="C142" s="76"/>
      <c r="D142" s="76"/>
      <c r="E142" s="76"/>
      <c r="F142" s="76"/>
      <c r="G142" s="76"/>
      <c r="H142" s="184"/>
      <c r="I142" s="78"/>
      <c r="J142" s="91"/>
      <c r="K142" s="91"/>
      <c r="L142" s="91"/>
    </row>
    <row r="143" spans="1:12" hidden="1" x14ac:dyDescent="0.3">
      <c r="A143" s="242"/>
      <c r="B143" s="78" t="s">
        <v>17</v>
      </c>
      <c r="C143" s="76"/>
      <c r="D143" s="76"/>
      <c r="E143" s="76"/>
      <c r="F143" s="76"/>
      <c r="G143" s="76"/>
      <c r="H143" s="184"/>
      <c r="I143" s="78"/>
      <c r="J143" s="91"/>
      <c r="K143" s="91"/>
      <c r="L143" s="91"/>
    </row>
    <row r="144" spans="1:12" hidden="1" x14ac:dyDescent="0.3">
      <c r="A144" s="242"/>
      <c r="B144" s="68" t="s">
        <v>18</v>
      </c>
      <c r="C144" s="76"/>
      <c r="D144" s="76"/>
      <c r="E144" s="76"/>
      <c r="F144" s="76"/>
      <c r="G144" s="76"/>
      <c r="H144" s="184"/>
      <c r="I144" s="78"/>
      <c r="J144" s="91"/>
      <c r="K144" s="91"/>
      <c r="L144" s="91"/>
    </row>
    <row r="145" spans="1:12" hidden="1" x14ac:dyDescent="0.3">
      <c r="A145" s="333" t="s">
        <v>231</v>
      </c>
      <c r="B145" s="333"/>
      <c r="C145" s="78"/>
      <c r="D145" s="78"/>
      <c r="E145" s="78"/>
      <c r="F145" s="78"/>
      <c r="G145" s="78"/>
      <c r="H145" s="184"/>
      <c r="I145" s="78"/>
      <c r="J145" s="91"/>
      <c r="K145" s="91"/>
      <c r="L145" s="91"/>
    </row>
    <row r="146" spans="1:12" hidden="1" x14ac:dyDescent="0.3">
      <c r="A146" s="242" t="str">
        <f>A20</f>
        <v/>
      </c>
      <c r="B146" s="68" t="s">
        <v>16</v>
      </c>
      <c r="C146" s="78"/>
      <c r="D146" s="78"/>
      <c r="E146" s="78"/>
      <c r="F146" s="78"/>
      <c r="G146" s="78"/>
      <c r="H146" s="184"/>
      <c r="I146" s="78"/>
      <c r="J146" s="91"/>
      <c r="K146" s="91"/>
      <c r="L146" s="91"/>
    </row>
    <row r="147" spans="1:12" hidden="1" x14ac:dyDescent="0.3">
      <c r="A147" s="242"/>
      <c r="B147" s="78" t="s">
        <v>17</v>
      </c>
      <c r="C147" s="78"/>
      <c r="D147" s="78"/>
      <c r="E147" s="78"/>
      <c r="F147" s="78"/>
      <c r="G147" s="78"/>
      <c r="H147" s="184"/>
      <c r="I147" s="78"/>
      <c r="J147" s="91"/>
      <c r="K147" s="91"/>
      <c r="L147" s="91"/>
    </row>
    <row r="148" spans="1:12" hidden="1" x14ac:dyDescent="0.3">
      <c r="A148" s="242"/>
      <c r="B148" s="68" t="s">
        <v>18</v>
      </c>
      <c r="C148" s="78"/>
      <c r="D148" s="78"/>
      <c r="E148" s="78"/>
      <c r="F148" s="78"/>
      <c r="G148" s="78"/>
      <c r="H148" s="184"/>
      <c r="I148" s="78"/>
      <c r="J148" s="91"/>
      <c r="K148" s="91"/>
      <c r="L148" s="91"/>
    </row>
    <row r="149" spans="1:12" hidden="1" x14ac:dyDescent="0.3">
      <c r="A149" s="333" t="s">
        <v>231</v>
      </c>
      <c r="B149" s="333"/>
      <c r="C149" s="78"/>
      <c r="D149" s="78"/>
      <c r="E149" s="78"/>
      <c r="F149" s="78"/>
      <c r="G149" s="78"/>
      <c r="H149" s="184"/>
      <c r="I149" s="78"/>
      <c r="J149" s="91"/>
      <c r="K149" s="91"/>
      <c r="L149" s="91"/>
    </row>
    <row r="150" spans="1:12" hidden="1" x14ac:dyDescent="0.3">
      <c r="A150" s="242" t="str">
        <f>A24</f>
        <v/>
      </c>
      <c r="B150" s="68" t="s">
        <v>16</v>
      </c>
      <c r="C150" s="78"/>
      <c r="D150" s="78"/>
      <c r="E150" s="78"/>
      <c r="F150" s="78"/>
      <c r="G150" s="78"/>
      <c r="H150" s="184"/>
      <c r="I150" s="78"/>
      <c r="J150" s="91"/>
      <c r="K150" s="91"/>
      <c r="L150" s="91"/>
    </row>
    <row r="151" spans="1:12" hidden="1" x14ac:dyDescent="0.3">
      <c r="A151" s="242"/>
      <c r="B151" s="78" t="s">
        <v>17</v>
      </c>
      <c r="C151" s="78"/>
      <c r="D151" s="78"/>
      <c r="E151" s="78"/>
      <c r="F151" s="78"/>
      <c r="G151" s="78"/>
      <c r="H151" s="184"/>
      <c r="I151" s="78"/>
      <c r="J151" s="91"/>
      <c r="K151" s="91"/>
      <c r="L151" s="91"/>
    </row>
    <row r="152" spans="1:12" hidden="1" x14ac:dyDescent="0.3">
      <c r="A152" s="242"/>
      <c r="B152" s="68" t="s">
        <v>18</v>
      </c>
      <c r="C152" s="78"/>
      <c r="D152" s="78"/>
      <c r="E152" s="78"/>
      <c r="F152" s="78"/>
      <c r="G152" s="78"/>
      <c r="H152" s="184"/>
      <c r="I152" s="78"/>
      <c r="J152" s="91"/>
      <c r="K152" s="91"/>
      <c r="L152" s="91"/>
    </row>
    <row r="153" spans="1:12" hidden="1" x14ac:dyDescent="0.3">
      <c r="A153" s="333" t="s">
        <v>231</v>
      </c>
      <c r="B153" s="333"/>
      <c r="C153" s="78"/>
      <c r="D153" s="78"/>
      <c r="E153" s="78"/>
      <c r="F153" s="78"/>
      <c r="G153" s="78"/>
      <c r="H153" s="184"/>
      <c r="I153" s="78"/>
      <c r="J153" s="91"/>
      <c r="K153" s="91"/>
      <c r="L153" s="91"/>
    </row>
    <row r="154" spans="1:12" hidden="1" x14ac:dyDescent="0.3">
      <c r="A154" s="242" t="str">
        <f>A28</f>
        <v/>
      </c>
      <c r="B154" s="68" t="s">
        <v>16</v>
      </c>
      <c r="C154" s="78"/>
      <c r="D154" s="78"/>
      <c r="E154" s="78"/>
      <c r="F154" s="78"/>
      <c r="G154" s="78"/>
      <c r="H154" s="184"/>
      <c r="I154" s="78"/>
      <c r="J154" s="91"/>
      <c r="K154" s="91"/>
      <c r="L154" s="91"/>
    </row>
    <row r="155" spans="1:12" hidden="1" x14ac:dyDescent="0.3">
      <c r="A155" s="242"/>
      <c r="B155" s="78" t="s">
        <v>17</v>
      </c>
      <c r="C155" s="78"/>
      <c r="D155" s="78"/>
      <c r="E155" s="78"/>
      <c r="F155" s="78"/>
      <c r="G155" s="78"/>
      <c r="H155" s="184"/>
      <c r="I155" s="78"/>
      <c r="J155" s="91"/>
      <c r="K155" s="91"/>
      <c r="L155" s="91"/>
    </row>
    <row r="156" spans="1:12" hidden="1" x14ac:dyDescent="0.3">
      <c r="A156" s="242"/>
      <c r="B156" s="68" t="s">
        <v>18</v>
      </c>
      <c r="C156" s="78"/>
      <c r="D156" s="78"/>
      <c r="E156" s="78"/>
      <c r="F156" s="78"/>
      <c r="G156" s="78"/>
      <c r="H156" s="184"/>
      <c r="I156" s="78"/>
      <c r="J156" s="91"/>
      <c r="K156" s="91"/>
      <c r="L156" s="91"/>
    </row>
    <row r="157" spans="1:12" hidden="1" x14ac:dyDescent="0.3">
      <c r="A157" s="333" t="s">
        <v>231</v>
      </c>
      <c r="B157" s="333"/>
      <c r="C157" s="78"/>
      <c r="D157" s="78"/>
      <c r="E157" s="78"/>
      <c r="F157" s="78"/>
      <c r="G157" s="78"/>
      <c r="H157" s="184"/>
      <c r="I157" s="78"/>
      <c r="J157" s="91"/>
      <c r="K157" s="91"/>
      <c r="L157" s="91"/>
    </row>
    <row r="158" spans="1:12" hidden="1" x14ac:dyDescent="0.3">
      <c r="A158" s="242" t="str">
        <f>A32</f>
        <v/>
      </c>
      <c r="B158" s="68" t="s">
        <v>16</v>
      </c>
      <c r="C158" s="78"/>
      <c r="D158" s="78"/>
      <c r="E158" s="78"/>
      <c r="F158" s="78"/>
      <c r="G158" s="78"/>
      <c r="H158" s="184"/>
      <c r="I158" s="78"/>
      <c r="J158" s="91"/>
      <c r="K158" s="91"/>
      <c r="L158" s="91"/>
    </row>
    <row r="159" spans="1:12" hidden="1" x14ac:dyDescent="0.3">
      <c r="A159" s="242"/>
      <c r="B159" s="78" t="s">
        <v>17</v>
      </c>
      <c r="C159" s="78"/>
      <c r="D159" s="78"/>
      <c r="E159" s="78"/>
      <c r="F159" s="78"/>
      <c r="G159" s="78"/>
      <c r="H159" s="184"/>
      <c r="I159" s="78"/>
      <c r="J159" s="91"/>
      <c r="K159" s="91"/>
      <c r="L159" s="91"/>
    </row>
    <row r="160" spans="1:12" hidden="1" x14ac:dyDescent="0.3">
      <c r="A160" s="242"/>
      <c r="B160" s="68" t="s">
        <v>18</v>
      </c>
      <c r="C160" s="78"/>
      <c r="D160" s="78"/>
      <c r="E160" s="78"/>
      <c r="F160" s="78"/>
      <c r="G160" s="78"/>
      <c r="H160" s="184"/>
      <c r="I160" s="78"/>
      <c r="J160" s="91"/>
      <c r="K160" s="91"/>
      <c r="L160" s="91"/>
    </row>
    <row r="161" spans="1:12" hidden="1" x14ac:dyDescent="0.3">
      <c r="A161" s="333" t="s">
        <v>231</v>
      </c>
      <c r="B161" s="333"/>
      <c r="C161" s="78"/>
      <c r="D161" s="78"/>
      <c r="E161" s="78"/>
      <c r="F161" s="78"/>
      <c r="G161" s="78"/>
      <c r="H161" s="184"/>
      <c r="I161" s="78"/>
      <c r="J161" s="91"/>
      <c r="K161" s="91"/>
      <c r="L161" s="91"/>
    </row>
    <row r="162" spans="1:12" hidden="1" x14ac:dyDescent="0.3">
      <c r="A162" s="242" t="str">
        <f>A36</f>
        <v/>
      </c>
      <c r="B162" s="68" t="s">
        <v>16</v>
      </c>
      <c r="C162" s="78"/>
      <c r="D162" s="78"/>
      <c r="E162" s="78"/>
      <c r="F162" s="78"/>
      <c r="G162" s="78"/>
      <c r="H162" s="184"/>
      <c r="I162" s="78"/>
      <c r="J162" s="91"/>
      <c r="K162" s="91"/>
      <c r="L162" s="91"/>
    </row>
    <row r="163" spans="1:12" hidden="1" x14ac:dyDescent="0.3">
      <c r="A163" s="242"/>
      <c r="B163" s="78" t="s">
        <v>17</v>
      </c>
      <c r="C163" s="78"/>
      <c r="D163" s="78"/>
      <c r="E163" s="78"/>
      <c r="F163" s="78"/>
      <c r="G163" s="78"/>
      <c r="H163" s="184"/>
      <c r="I163" s="78"/>
      <c r="J163" s="91"/>
      <c r="K163" s="91"/>
      <c r="L163" s="91"/>
    </row>
    <row r="164" spans="1:12" hidden="1" x14ac:dyDescent="0.3">
      <c r="A164" s="242"/>
      <c r="B164" s="68" t="s">
        <v>18</v>
      </c>
      <c r="C164" s="78"/>
      <c r="D164" s="78"/>
      <c r="E164" s="78"/>
      <c r="F164" s="78"/>
      <c r="G164" s="78"/>
      <c r="H164" s="184"/>
      <c r="I164" s="78"/>
      <c r="J164" s="91"/>
      <c r="K164" s="91"/>
      <c r="L164" s="91"/>
    </row>
    <row r="165" spans="1:12" hidden="1" x14ac:dyDescent="0.3">
      <c r="A165" s="333" t="s">
        <v>231</v>
      </c>
      <c r="B165" s="333"/>
      <c r="C165" s="78"/>
      <c r="D165" s="78"/>
      <c r="E165" s="78"/>
      <c r="F165" s="78"/>
      <c r="G165" s="78"/>
      <c r="H165" s="184"/>
      <c r="I165" s="78"/>
      <c r="J165" s="91"/>
      <c r="K165" s="91"/>
      <c r="L165" s="91"/>
    </row>
    <row r="166" spans="1:12" hidden="1" x14ac:dyDescent="0.3">
      <c r="A166" s="242" t="str">
        <f>A40</f>
        <v/>
      </c>
      <c r="B166" s="68" t="s">
        <v>16</v>
      </c>
      <c r="C166" s="78"/>
      <c r="D166" s="78"/>
      <c r="E166" s="78"/>
      <c r="F166" s="78"/>
      <c r="G166" s="78"/>
      <c r="H166" s="184"/>
      <c r="I166" s="78"/>
      <c r="J166" s="91"/>
      <c r="K166" s="91"/>
      <c r="L166" s="91"/>
    </row>
    <row r="167" spans="1:12" hidden="1" x14ac:dyDescent="0.3">
      <c r="A167" s="242"/>
      <c r="B167" s="78" t="s">
        <v>17</v>
      </c>
      <c r="C167" s="78"/>
      <c r="D167" s="78"/>
      <c r="E167" s="78"/>
      <c r="F167" s="78"/>
      <c r="G167" s="78"/>
      <c r="H167" s="184"/>
      <c r="I167" s="78"/>
      <c r="J167" s="91"/>
      <c r="K167" s="91"/>
      <c r="L167" s="91"/>
    </row>
    <row r="168" spans="1:12" hidden="1" x14ac:dyDescent="0.3">
      <c r="A168" s="242"/>
      <c r="B168" s="68" t="s">
        <v>18</v>
      </c>
      <c r="C168" s="78"/>
      <c r="D168" s="78"/>
      <c r="E168" s="78"/>
      <c r="F168" s="78"/>
      <c r="G168" s="78"/>
      <c r="H168" s="184"/>
      <c r="I168" s="78"/>
      <c r="J168" s="91"/>
      <c r="K168" s="91"/>
      <c r="L168" s="91"/>
    </row>
    <row r="169" spans="1:12" hidden="1" x14ac:dyDescent="0.3">
      <c r="A169" s="333" t="s">
        <v>231</v>
      </c>
      <c r="B169" s="333"/>
      <c r="C169" s="78"/>
      <c r="D169" s="78"/>
      <c r="E169" s="78"/>
      <c r="F169" s="78"/>
      <c r="G169" s="78"/>
      <c r="H169" s="184"/>
      <c r="I169" s="78"/>
      <c r="J169" s="91"/>
      <c r="K169" s="91"/>
      <c r="L169" s="91"/>
    </row>
    <row r="170" spans="1:12" hidden="1" x14ac:dyDescent="0.3">
      <c r="A170" s="242" t="str">
        <f>A44</f>
        <v/>
      </c>
      <c r="B170" s="68" t="s">
        <v>16</v>
      </c>
      <c r="C170" s="78"/>
      <c r="D170" s="78"/>
      <c r="E170" s="78"/>
      <c r="F170" s="78"/>
      <c r="G170" s="78"/>
      <c r="H170" s="184"/>
      <c r="I170" s="78"/>
      <c r="J170" s="91"/>
      <c r="K170" s="91"/>
      <c r="L170" s="91"/>
    </row>
    <row r="171" spans="1:12" hidden="1" x14ac:dyDescent="0.3">
      <c r="A171" s="242"/>
      <c r="B171" s="78" t="s">
        <v>17</v>
      </c>
      <c r="C171" s="78"/>
      <c r="D171" s="78"/>
      <c r="E171" s="78"/>
      <c r="F171" s="78"/>
      <c r="G171" s="78"/>
      <c r="H171" s="184"/>
      <c r="I171" s="78"/>
      <c r="J171" s="91"/>
      <c r="K171" s="91"/>
      <c r="L171" s="91"/>
    </row>
    <row r="172" spans="1:12" hidden="1" x14ac:dyDescent="0.3">
      <c r="A172" s="242"/>
      <c r="B172" s="68" t="s">
        <v>18</v>
      </c>
      <c r="C172" s="78"/>
      <c r="D172" s="78"/>
      <c r="E172" s="78"/>
      <c r="F172" s="78"/>
      <c r="G172" s="78"/>
      <c r="H172" s="184"/>
      <c r="I172" s="78"/>
      <c r="J172" s="91"/>
      <c r="K172" s="91"/>
      <c r="L172" s="91"/>
    </row>
    <row r="173" spans="1:12" hidden="1" x14ac:dyDescent="0.3">
      <c r="A173" s="333" t="s">
        <v>231</v>
      </c>
      <c r="B173" s="333"/>
      <c r="C173" s="78"/>
      <c r="D173" s="78"/>
      <c r="E173" s="78"/>
      <c r="F173" s="78"/>
      <c r="G173" s="78"/>
      <c r="H173" s="184"/>
      <c r="I173" s="78"/>
      <c r="J173" s="91"/>
      <c r="K173" s="91"/>
      <c r="L173" s="91"/>
    </row>
    <row r="174" spans="1:12" hidden="1" x14ac:dyDescent="0.3">
      <c r="A174" s="242" t="str">
        <f>A48</f>
        <v/>
      </c>
      <c r="B174" s="68" t="s">
        <v>16</v>
      </c>
      <c r="C174" s="78"/>
      <c r="D174" s="78"/>
      <c r="E174" s="78"/>
      <c r="F174" s="78"/>
      <c r="G174" s="78"/>
      <c r="H174" s="184"/>
      <c r="I174" s="78"/>
      <c r="J174" s="91"/>
      <c r="K174" s="91"/>
      <c r="L174" s="91"/>
    </row>
    <row r="175" spans="1:12" hidden="1" x14ac:dyDescent="0.3">
      <c r="A175" s="242"/>
      <c r="B175" s="78" t="s">
        <v>17</v>
      </c>
      <c r="C175" s="78"/>
      <c r="D175" s="78"/>
      <c r="E175" s="78"/>
      <c r="F175" s="78"/>
      <c r="G175" s="78"/>
      <c r="H175" s="184"/>
      <c r="I175" s="78"/>
      <c r="J175" s="91"/>
      <c r="K175" s="91"/>
      <c r="L175" s="91"/>
    </row>
    <row r="176" spans="1:12" hidden="1" x14ac:dyDescent="0.3">
      <c r="A176" s="242"/>
      <c r="B176" s="68" t="s">
        <v>18</v>
      </c>
      <c r="C176" s="78"/>
      <c r="D176" s="78"/>
      <c r="E176" s="78"/>
      <c r="F176" s="78"/>
      <c r="G176" s="78"/>
      <c r="H176" s="184"/>
      <c r="I176" s="78"/>
      <c r="J176" s="91"/>
      <c r="K176" s="91"/>
      <c r="L176" s="91"/>
    </row>
    <row r="177" spans="1:12" hidden="1" x14ac:dyDescent="0.3">
      <c r="A177" s="333" t="s">
        <v>231</v>
      </c>
      <c r="B177" s="333"/>
      <c r="C177" s="78"/>
      <c r="D177" s="78"/>
      <c r="E177" s="78"/>
      <c r="F177" s="78"/>
      <c r="G177" s="78"/>
      <c r="H177" s="184"/>
      <c r="I177" s="78"/>
      <c r="J177" s="91"/>
      <c r="K177" s="91"/>
      <c r="L177" s="91"/>
    </row>
    <row r="178" spans="1:12" hidden="1" x14ac:dyDescent="0.3">
      <c r="A178" s="242" t="str">
        <f>A52</f>
        <v/>
      </c>
      <c r="B178" s="68" t="s">
        <v>16</v>
      </c>
      <c r="C178" s="78"/>
      <c r="D178" s="78"/>
      <c r="E178" s="78"/>
      <c r="F178" s="78"/>
      <c r="G178" s="78"/>
      <c r="H178" s="184"/>
      <c r="I178" s="78"/>
      <c r="J178" s="91"/>
      <c r="K178" s="91"/>
      <c r="L178" s="91"/>
    </row>
    <row r="179" spans="1:12" hidden="1" x14ac:dyDescent="0.3">
      <c r="A179" s="242"/>
      <c r="B179" s="78" t="s">
        <v>17</v>
      </c>
      <c r="C179" s="78"/>
      <c r="D179" s="78"/>
      <c r="E179" s="78"/>
      <c r="F179" s="78"/>
      <c r="G179" s="78"/>
      <c r="H179" s="185"/>
      <c r="I179" s="76"/>
      <c r="J179" s="91"/>
      <c r="K179" s="91"/>
      <c r="L179" s="91"/>
    </row>
    <row r="180" spans="1:12" hidden="1" x14ac:dyDescent="0.3">
      <c r="A180" s="242"/>
      <c r="B180" s="68" t="s">
        <v>18</v>
      </c>
      <c r="C180" s="78"/>
      <c r="D180" s="78"/>
      <c r="E180" s="78"/>
      <c r="F180" s="78"/>
      <c r="G180" s="78"/>
      <c r="H180" s="185"/>
      <c r="I180" s="76"/>
      <c r="J180" s="91"/>
      <c r="K180" s="91"/>
      <c r="L180" s="91"/>
    </row>
    <row r="181" spans="1:12" hidden="1" x14ac:dyDescent="0.3">
      <c r="A181" s="333" t="s">
        <v>231</v>
      </c>
      <c r="B181" s="333"/>
      <c r="C181" s="78"/>
      <c r="D181" s="78"/>
      <c r="E181" s="78"/>
      <c r="F181" s="78"/>
      <c r="G181" s="78"/>
      <c r="H181" s="185"/>
      <c r="I181" s="76"/>
      <c r="J181" s="91"/>
      <c r="K181" s="91"/>
      <c r="L181" s="91"/>
    </row>
    <row r="182" spans="1:12" hidden="1" x14ac:dyDescent="0.3">
      <c r="A182" s="242" t="str">
        <f>A56</f>
        <v/>
      </c>
      <c r="B182" s="68" t="s">
        <v>16</v>
      </c>
      <c r="C182" s="76"/>
      <c r="D182" s="76"/>
      <c r="E182" s="76"/>
      <c r="F182" s="76"/>
      <c r="G182" s="76"/>
      <c r="H182" s="184"/>
      <c r="I182" s="78"/>
      <c r="J182" s="91"/>
      <c r="K182" s="91"/>
      <c r="L182" s="91"/>
    </row>
    <row r="183" spans="1:12" hidden="1" x14ac:dyDescent="0.3">
      <c r="A183" s="242"/>
      <c r="B183" s="78" t="s">
        <v>17</v>
      </c>
      <c r="C183" s="76"/>
      <c r="D183" s="76"/>
      <c r="E183" s="76"/>
      <c r="F183" s="76"/>
      <c r="G183" s="76"/>
      <c r="H183" s="185"/>
      <c r="I183" s="76"/>
      <c r="J183" s="91"/>
      <c r="K183" s="91"/>
      <c r="L183" s="91"/>
    </row>
    <row r="184" spans="1:12" hidden="1" x14ac:dyDescent="0.3">
      <c r="A184" s="242"/>
      <c r="B184" s="68" t="s">
        <v>18</v>
      </c>
      <c r="C184" s="76"/>
      <c r="D184" s="76"/>
      <c r="E184" s="76"/>
      <c r="F184" s="76"/>
      <c r="G184" s="76"/>
      <c r="H184" s="185"/>
      <c r="I184" s="76"/>
      <c r="J184" s="91"/>
      <c r="K184" s="91"/>
      <c r="L184" s="91"/>
    </row>
    <row r="185" spans="1:12" hidden="1" x14ac:dyDescent="0.3">
      <c r="A185" s="333"/>
      <c r="B185" s="333"/>
      <c r="C185" s="78"/>
      <c r="D185" s="78"/>
      <c r="E185" s="78"/>
      <c r="F185" s="78"/>
      <c r="G185" s="78"/>
      <c r="H185" s="185"/>
      <c r="I185" s="76"/>
      <c r="J185" s="91"/>
      <c r="K185" s="91"/>
      <c r="L185" s="91"/>
    </row>
    <row r="186" spans="1:12" hidden="1" x14ac:dyDescent="0.3">
      <c r="A186" s="242" t="str">
        <f>A60</f>
        <v/>
      </c>
      <c r="B186" s="68" t="s">
        <v>16</v>
      </c>
      <c r="C186" s="76"/>
      <c r="D186" s="76"/>
      <c r="E186" s="76"/>
      <c r="F186" s="76"/>
      <c r="G186" s="76"/>
      <c r="H186" s="184"/>
      <c r="I186" s="78"/>
      <c r="J186" s="91"/>
      <c r="K186" s="91"/>
      <c r="L186" s="91"/>
    </row>
    <row r="187" spans="1:12" hidden="1" x14ac:dyDescent="0.3">
      <c r="A187" s="242"/>
      <c r="B187" s="78" t="s">
        <v>17</v>
      </c>
      <c r="C187" s="76"/>
      <c r="D187" s="76"/>
      <c r="E187" s="76"/>
      <c r="F187" s="76"/>
      <c r="G187" s="76"/>
      <c r="H187" s="185"/>
      <c r="I187" s="76"/>
      <c r="J187" s="91"/>
      <c r="K187" s="91"/>
      <c r="L187" s="91"/>
    </row>
    <row r="188" spans="1:12" hidden="1" x14ac:dyDescent="0.3">
      <c r="A188" s="242"/>
      <c r="B188" s="68" t="s">
        <v>18</v>
      </c>
      <c r="C188" s="76"/>
      <c r="D188" s="76"/>
      <c r="E188" s="76"/>
      <c r="F188" s="76"/>
      <c r="G188" s="76"/>
      <c r="H188" s="185"/>
      <c r="I188" s="76"/>
      <c r="J188" s="91"/>
      <c r="K188" s="91"/>
      <c r="L188" s="91"/>
    </row>
    <row r="189" spans="1:12" hidden="1" x14ac:dyDescent="0.3">
      <c r="A189" s="333"/>
      <c r="B189" s="333"/>
      <c r="C189" s="78"/>
      <c r="D189" s="78"/>
      <c r="E189" s="78"/>
      <c r="F189" s="78"/>
      <c r="G189" s="78"/>
      <c r="H189" s="186"/>
      <c r="I189" s="187"/>
      <c r="J189" s="188"/>
      <c r="K189" s="188"/>
      <c r="L189" s="188"/>
    </row>
    <row r="190" spans="1:12" hidden="1" x14ac:dyDescent="0.3">
      <c r="A190" s="242" t="str">
        <f>A64</f>
        <v/>
      </c>
      <c r="B190" s="68" t="s">
        <v>16</v>
      </c>
      <c r="C190" s="76"/>
      <c r="D190" s="76"/>
      <c r="E190" s="76"/>
      <c r="F190" s="76"/>
      <c r="G190" s="76"/>
    </row>
    <row r="191" spans="1:12" hidden="1" x14ac:dyDescent="0.3">
      <c r="A191" s="242"/>
      <c r="B191" s="78" t="s">
        <v>17</v>
      </c>
      <c r="C191" s="76"/>
      <c r="D191" s="76"/>
      <c r="E191" s="76"/>
      <c r="F191" s="76"/>
      <c r="G191" s="76"/>
    </row>
    <row r="192" spans="1:12" hidden="1" x14ac:dyDescent="0.3">
      <c r="A192" s="334"/>
      <c r="B192" s="175" t="s">
        <v>18</v>
      </c>
      <c r="C192" s="187"/>
      <c r="D192" s="187"/>
      <c r="E192" s="187"/>
      <c r="F192" s="187"/>
      <c r="G192" s="187"/>
    </row>
    <row r="193" ht="15" thickTop="1" x14ac:dyDescent="0.3"/>
  </sheetData>
  <mergeCells count="113">
    <mergeCell ref="A13:A15"/>
    <mergeCell ref="A75:A77"/>
    <mergeCell ref="A138:A140"/>
    <mergeCell ref="A141:L141"/>
    <mergeCell ref="H5:H7"/>
    <mergeCell ref="I5:I7"/>
    <mergeCell ref="J5:J7"/>
    <mergeCell ref="K5:K7"/>
    <mergeCell ref="H71:L71"/>
    <mergeCell ref="C9:G9"/>
    <mergeCell ref="H9:L9"/>
    <mergeCell ref="A10:A12"/>
    <mergeCell ref="A16:A18"/>
    <mergeCell ref="A28:A30"/>
    <mergeCell ref="A31:B31"/>
    <mergeCell ref="A32:A34"/>
    <mergeCell ref="A19:B19"/>
    <mergeCell ref="A68:A70"/>
    <mergeCell ref="A71:B71"/>
    <mergeCell ref="A60:A62"/>
    <mergeCell ref="A63:B63"/>
    <mergeCell ref="A56:A58"/>
    <mergeCell ref="A59:B59"/>
    <mergeCell ref="C71:G71"/>
    <mergeCell ref="A1:L1"/>
    <mergeCell ref="H2:I2"/>
    <mergeCell ref="J2:L2"/>
    <mergeCell ref="A3:L3"/>
    <mergeCell ref="A4:A7"/>
    <mergeCell ref="B4:B7"/>
    <mergeCell ref="C4:D4"/>
    <mergeCell ref="E4:F4"/>
    <mergeCell ref="G4:G7"/>
    <mergeCell ref="H4:I4"/>
    <mergeCell ref="J4:K4"/>
    <mergeCell ref="L4:L7"/>
    <mergeCell ref="C5:C7"/>
    <mergeCell ref="D5:D7"/>
    <mergeCell ref="E5:E7"/>
    <mergeCell ref="F5:F7"/>
    <mergeCell ref="A64:A66"/>
    <mergeCell ref="A67:B67"/>
    <mergeCell ref="A20:A22"/>
    <mergeCell ref="A23:B23"/>
    <mergeCell ref="A24:A26"/>
    <mergeCell ref="A27:B27"/>
    <mergeCell ref="A72:A74"/>
    <mergeCell ref="A35:B35"/>
    <mergeCell ref="A36:A38"/>
    <mergeCell ref="A39:B39"/>
    <mergeCell ref="A40:A42"/>
    <mergeCell ref="A43:B43"/>
    <mergeCell ref="A44:A46"/>
    <mergeCell ref="A47:B47"/>
    <mergeCell ref="A48:A50"/>
    <mergeCell ref="A51:B51"/>
    <mergeCell ref="A52:A54"/>
    <mergeCell ref="A55:B55"/>
    <mergeCell ref="A78:B78"/>
    <mergeCell ref="A79:A81"/>
    <mergeCell ref="A130:B130"/>
    <mergeCell ref="A131:A133"/>
    <mergeCell ref="C134:G134"/>
    <mergeCell ref="A82:B82"/>
    <mergeCell ref="A83:A85"/>
    <mergeCell ref="A86:B86"/>
    <mergeCell ref="A87:A89"/>
    <mergeCell ref="A90:B90"/>
    <mergeCell ref="A91:A93"/>
    <mergeCell ref="A94:B94"/>
    <mergeCell ref="A95:A97"/>
    <mergeCell ref="A98:B98"/>
    <mergeCell ref="A99:A101"/>
    <mergeCell ref="A102:B102"/>
    <mergeCell ref="A114:B114"/>
    <mergeCell ref="A115:A117"/>
    <mergeCell ref="A118:B118"/>
    <mergeCell ref="A119:A121"/>
    <mergeCell ref="A122:B122"/>
    <mergeCell ref="A103:A105"/>
    <mergeCell ref="A106:B106"/>
    <mergeCell ref="A107:A109"/>
    <mergeCell ref="A110:B110"/>
    <mergeCell ref="A111:A113"/>
    <mergeCell ref="A142:A144"/>
    <mergeCell ref="A145:B145"/>
    <mergeCell ref="A146:A148"/>
    <mergeCell ref="A182:A184"/>
    <mergeCell ref="A162:A164"/>
    <mergeCell ref="A165:B165"/>
    <mergeCell ref="A185:B185"/>
    <mergeCell ref="A153:B153"/>
    <mergeCell ref="A154:A156"/>
    <mergeCell ref="A157:B157"/>
    <mergeCell ref="A158:A160"/>
    <mergeCell ref="A161:B161"/>
    <mergeCell ref="A149:B149"/>
    <mergeCell ref="A150:A152"/>
    <mergeCell ref="A135:A137"/>
    <mergeCell ref="A123:A125"/>
    <mergeCell ref="A126:B126"/>
    <mergeCell ref="A127:A129"/>
    <mergeCell ref="A186:A188"/>
    <mergeCell ref="A189:B189"/>
    <mergeCell ref="A190:A192"/>
    <mergeCell ref="A173:B173"/>
    <mergeCell ref="A174:A176"/>
    <mergeCell ref="A177:B177"/>
    <mergeCell ref="A178:A180"/>
    <mergeCell ref="A181:B181"/>
    <mergeCell ref="A166:A168"/>
    <mergeCell ref="A169:B169"/>
    <mergeCell ref="A170:A172"/>
  </mergeCells>
  <printOptions horizontalCentere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10</vt:i4>
      </vt:variant>
    </vt:vector>
  </HeadingPairs>
  <TitlesOfParts>
    <vt:vector size="35" baseType="lpstr">
      <vt:lpstr>year</vt:lpstr>
      <vt:lpstr>Annex-I</vt:lpstr>
      <vt:lpstr>Annex-II</vt:lpstr>
      <vt:lpstr>Annex-III</vt:lpstr>
      <vt:lpstr>Annex-IV(a)</vt:lpstr>
      <vt:lpstr>Annex-IV(b)</vt:lpstr>
      <vt:lpstr>Annex-V</vt:lpstr>
      <vt:lpstr>Annex-VI</vt:lpstr>
      <vt:lpstr>Annex-VII(a)</vt:lpstr>
      <vt:lpstr>Annex-VII(b)</vt:lpstr>
      <vt:lpstr>Annex-VIII</vt:lpstr>
      <vt:lpstr>Annex-IX</vt:lpstr>
      <vt:lpstr>Annex-X</vt:lpstr>
      <vt:lpstr>Annex-XI</vt:lpstr>
      <vt:lpstr>Annex-XII</vt:lpstr>
      <vt:lpstr>Annex-XVI</vt:lpstr>
      <vt:lpstr>Annex-XVII</vt:lpstr>
      <vt:lpstr>Annex-XVIII</vt:lpstr>
      <vt:lpstr>Annex-XIX</vt:lpstr>
      <vt:lpstr>Annex-XX</vt:lpstr>
      <vt:lpstr>Annex-XXI</vt:lpstr>
      <vt:lpstr>Annex-XXII</vt:lpstr>
      <vt:lpstr>Annex-XXIII</vt:lpstr>
      <vt:lpstr>Annex-XXIV</vt:lpstr>
      <vt:lpstr>Annex-XXV</vt:lpstr>
      <vt:lpstr>'Annex-III'!Print_Area</vt:lpstr>
      <vt:lpstr>'Annex-IV(b)'!Print_Area</vt:lpstr>
      <vt:lpstr>'Annex-VIII'!Print_Area</vt:lpstr>
      <vt:lpstr>'Annex-X'!Print_Area</vt:lpstr>
      <vt:lpstr>'Annex-XII'!Print_Area</vt:lpstr>
      <vt:lpstr>'Annex-XVI'!Print_Area</vt:lpstr>
      <vt:lpstr>'Annex-XVII'!Print_Area</vt:lpstr>
      <vt:lpstr>'Annex-XVIII'!Print_Area</vt:lpstr>
      <vt:lpstr>'Annex-XXI'!Print_Area</vt:lpstr>
      <vt:lpstr>'Annex-XXV'!Print_Area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2025-11-14T06:24:33Z</dcterms:modified>
</cp:coreProperties>
</file>
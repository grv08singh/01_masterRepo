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78895373-3B87-4AB2-A512-A65392B56683}" xr6:coauthVersionLast="47" xr6:coauthVersionMax="47" xr10:uidLastSave="{00000000-0000-0000-0000-000000000000}"/>
  <bookViews>
    <workbookView xWindow="-108" yWindow="-108" windowWidth="23256" windowHeight="12456" tabRatio="910" xr2:uid="{00000000-000D-0000-FFFF-FFFF00000000}"/>
  </bookViews>
  <sheets>
    <sheet name="common" sheetId="27" r:id="rId1"/>
    <sheet name="Annex-I" sheetId="1" r:id="rId2"/>
    <sheet name="Annex-II" sheetId="2" state="hidden" r:id="rId3"/>
    <sheet name="Annex-III" sheetId="3" state="hidden" r:id="rId4"/>
    <sheet name="Annex-IV(a)" sheetId="4" state="hidden" r:id="rId5"/>
    <sheet name="Annex-IV(b)" sheetId="5" state="hidden" r:id="rId6"/>
    <sheet name="Annex-V" sheetId="6" r:id="rId7"/>
    <sheet name="Annex-VI" sheetId="7" r:id="rId8"/>
    <sheet name="Annex-VII(a)" sheetId="8" r:id="rId9"/>
    <sheet name="Annex-VII(b)" sheetId="9" r:id="rId10"/>
    <sheet name="Annex-VIII" sheetId="10" r:id="rId11"/>
    <sheet name="Annex-IX" sheetId="11" r:id="rId12"/>
    <sheet name="Annex-X" sheetId="12" r:id="rId13"/>
    <sheet name="Annex-XI" sheetId="13" r:id="rId14"/>
    <sheet name="Annex-XII" sheetId="14" r:id="rId15"/>
    <sheet name="Annex-XVI" sheetId="21" state="hidden" r:id="rId16"/>
    <sheet name="Annex-XVII" sheetId="22" r:id="rId17"/>
    <sheet name="Annex-XVIII" sheetId="23" r:id="rId18"/>
    <sheet name="Annex-XIX" sheetId="15" r:id="rId19"/>
    <sheet name="Annex-XX" sheetId="16" r:id="rId20"/>
    <sheet name="Annex-XXI" sheetId="17" r:id="rId21"/>
    <sheet name="Annex-XXII" sheetId="18" r:id="rId22"/>
    <sheet name="Annex-XXIII" sheetId="19" r:id="rId23"/>
    <sheet name="Annex-XXIV" sheetId="20" r:id="rId24"/>
    <sheet name="Annex-XXV" sheetId="24" r:id="rId25"/>
  </sheets>
  <externalReferences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3">'Annex-III'!$A$1:$E$8</definedName>
    <definedName name="_xlnm.Print_Area" localSheetId="5">'Annex-IV(b)'!$A$1:$H$30</definedName>
    <definedName name="_xlnm.Print_Area" localSheetId="10">'Annex-VIII'!$A$1:$H$79</definedName>
    <definedName name="_xlnm.Print_Area" localSheetId="12">'Annex-X'!$A$1:$K$72</definedName>
    <definedName name="_xlnm.Print_Area" localSheetId="14">'Annex-XII'!$A$1:$K$79</definedName>
    <definedName name="_xlnm.Print_Area" localSheetId="15">'Annex-XVI'!$A$1:$H$13</definedName>
    <definedName name="_xlnm.Print_Area" localSheetId="16">'Annex-XVII'!$A$1:$I$30</definedName>
    <definedName name="_xlnm.Print_Area" localSheetId="17">'Annex-XVIII'!$A$1:$G$13</definedName>
    <definedName name="_xlnm.Print_Area" localSheetId="20">'Annex-XXI'!$A$1:$J$81</definedName>
    <definedName name="_xlnm.Print_Area" localSheetId="24">'Annex-XXV'!$A$1:$L$189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9" i="16" l="1"/>
  <c r="L219" i="16"/>
  <c r="K219" i="16"/>
  <c r="J219" i="16"/>
  <c r="I219" i="16"/>
  <c r="H219" i="16"/>
  <c r="G219" i="16"/>
  <c r="F219" i="16"/>
  <c r="E219" i="16"/>
  <c r="D219" i="16"/>
  <c r="C219" i="16"/>
  <c r="B219" i="16"/>
  <c r="M217" i="16"/>
  <c r="L217" i="16"/>
  <c r="K217" i="16"/>
  <c r="J217" i="16"/>
  <c r="I217" i="16"/>
  <c r="H217" i="16"/>
  <c r="G217" i="16"/>
  <c r="F217" i="16"/>
  <c r="E217" i="16"/>
  <c r="D217" i="16"/>
  <c r="C217" i="16"/>
  <c r="B217" i="16"/>
  <c r="M215" i="16"/>
  <c r="L215" i="16"/>
  <c r="K215" i="16"/>
  <c r="J215" i="16"/>
  <c r="I215" i="16"/>
  <c r="H215" i="16"/>
  <c r="G215" i="16"/>
  <c r="F215" i="16"/>
  <c r="E215" i="16"/>
  <c r="D215" i="16"/>
  <c r="C215" i="16"/>
  <c r="B215" i="16"/>
  <c r="M212" i="16"/>
  <c r="L212" i="16"/>
  <c r="K212" i="16"/>
  <c r="J212" i="16"/>
  <c r="I212" i="16"/>
  <c r="H212" i="16"/>
  <c r="G212" i="16"/>
  <c r="F212" i="16"/>
  <c r="E212" i="16"/>
  <c r="D212" i="16"/>
  <c r="C212" i="16"/>
  <c r="B212" i="16"/>
  <c r="M210" i="16"/>
  <c r="L210" i="16"/>
  <c r="K210" i="16"/>
  <c r="J210" i="16"/>
  <c r="I210" i="16"/>
  <c r="H210" i="16"/>
  <c r="G210" i="16"/>
  <c r="F210" i="16"/>
  <c r="E210" i="16"/>
  <c r="D210" i="16"/>
  <c r="C210" i="16"/>
  <c r="B210" i="16"/>
  <c r="M208" i="16"/>
  <c r="L208" i="16"/>
  <c r="K208" i="16"/>
  <c r="J208" i="16"/>
  <c r="I208" i="16"/>
  <c r="H208" i="16"/>
  <c r="G208" i="16"/>
  <c r="F208" i="16"/>
  <c r="E208" i="16"/>
  <c r="D208" i="16"/>
  <c r="C208" i="16"/>
  <c r="B208" i="16"/>
  <c r="M205" i="16"/>
  <c r="L205" i="16"/>
  <c r="K205" i="16"/>
  <c r="J205" i="16"/>
  <c r="I205" i="16"/>
  <c r="H205" i="16"/>
  <c r="G205" i="16"/>
  <c r="F205" i="16"/>
  <c r="E205" i="16"/>
  <c r="D205" i="16"/>
  <c r="C205" i="16"/>
  <c r="B205" i="16"/>
  <c r="M203" i="16"/>
  <c r="L203" i="16"/>
  <c r="K203" i="16"/>
  <c r="J203" i="16"/>
  <c r="I203" i="16"/>
  <c r="H203" i="16"/>
  <c r="G203" i="16"/>
  <c r="F203" i="16"/>
  <c r="E203" i="16"/>
  <c r="D203" i="16"/>
  <c r="C203" i="16"/>
  <c r="B203" i="16"/>
  <c r="M201" i="16"/>
  <c r="L201" i="16"/>
  <c r="K201" i="16"/>
  <c r="J201" i="16"/>
  <c r="I201" i="16"/>
  <c r="H201" i="16"/>
  <c r="G201" i="16"/>
  <c r="F201" i="16"/>
  <c r="E201" i="16"/>
  <c r="D201" i="16"/>
  <c r="C201" i="16"/>
  <c r="B201" i="16"/>
  <c r="M198" i="16"/>
  <c r="L198" i="16"/>
  <c r="K198" i="16"/>
  <c r="J198" i="16"/>
  <c r="I198" i="16"/>
  <c r="H198" i="16"/>
  <c r="G198" i="16"/>
  <c r="F198" i="16"/>
  <c r="E198" i="16"/>
  <c r="D198" i="16"/>
  <c r="C198" i="16"/>
  <c r="B198" i="16"/>
  <c r="M196" i="16"/>
  <c r="L196" i="16"/>
  <c r="K196" i="16"/>
  <c r="J196" i="16"/>
  <c r="I196" i="16"/>
  <c r="H196" i="16"/>
  <c r="G196" i="16"/>
  <c r="F196" i="16"/>
  <c r="E196" i="16"/>
  <c r="D196" i="16"/>
  <c r="C196" i="16"/>
  <c r="B196" i="16"/>
  <c r="M194" i="16"/>
  <c r="L194" i="16"/>
  <c r="K194" i="16"/>
  <c r="J194" i="16"/>
  <c r="I194" i="16"/>
  <c r="H194" i="16"/>
  <c r="G194" i="16"/>
  <c r="F194" i="16"/>
  <c r="E194" i="16"/>
  <c r="D194" i="16"/>
  <c r="C194" i="16"/>
  <c r="B194" i="16"/>
  <c r="M191" i="16"/>
  <c r="L191" i="16"/>
  <c r="K191" i="16"/>
  <c r="J191" i="16"/>
  <c r="I191" i="16"/>
  <c r="H191" i="16"/>
  <c r="G191" i="16"/>
  <c r="F191" i="16"/>
  <c r="E191" i="16"/>
  <c r="D191" i="16"/>
  <c r="C191" i="16"/>
  <c r="B191" i="16"/>
  <c r="M189" i="16"/>
  <c r="L189" i="16"/>
  <c r="K189" i="16"/>
  <c r="J189" i="16"/>
  <c r="I189" i="16"/>
  <c r="H189" i="16"/>
  <c r="G189" i="16"/>
  <c r="F189" i="16"/>
  <c r="E189" i="16"/>
  <c r="D189" i="16"/>
  <c r="C189" i="16"/>
  <c r="B189" i="16"/>
  <c r="M187" i="16"/>
  <c r="L187" i="16"/>
  <c r="K187" i="16"/>
  <c r="J187" i="16"/>
  <c r="I187" i="16"/>
  <c r="H187" i="16"/>
  <c r="G187" i="16"/>
  <c r="F187" i="16"/>
  <c r="E187" i="16"/>
  <c r="D187" i="16"/>
  <c r="C187" i="16"/>
  <c r="B187" i="16"/>
  <c r="M184" i="16"/>
  <c r="L184" i="16"/>
  <c r="K184" i="16"/>
  <c r="J184" i="16"/>
  <c r="I184" i="16"/>
  <c r="H184" i="16"/>
  <c r="G184" i="16"/>
  <c r="F184" i="16"/>
  <c r="E184" i="16"/>
  <c r="D184" i="16"/>
  <c r="C184" i="16"/>
  <c r="B184" i="16"/>
  <c r="M182" i="16"/>
  <c r="L182" i="16"/>
  <c r="K182" i="16"/>
  <c r="J182" i="16"/>
  <c r="I182" i="16"/>
  <c r="H182" i="16"/>
  <c r="G182" i="16"/>
  <c r="F182" i="16"/>
  <c r="E182" i="16"/>
  <c r="D182" i="16"/>
  <c r="C182" i="16"/>
  <c r="B182" i="16"/>
  <c r="M180" i="16"/>
  <c r="L180" i="16"/>
  <c r="K180" i="16"/>
  <c r="J180" i="16"/>
  <c r="I180" i="16"/>
  <c r="H180" i="16"/>
  <c r="G180" i="16"/>
  <c r="F180" i="16"/>
  <c r="E180" i="16"/>
  <c r="D180" i="16"/>
  <c r="C180" i="16"/>
  <c r="B180" i="16"/>
  <c r="M177" i="16"/>
  <c r="L177" i="16"/>
  <c r="K177" i="16"/>
  <c r="J177" i="16"/>
  <c r="I177" i="16"/>
  <c r="H177" i="16"/>
  <c r="G177" i="16"/>
  <c r="F177" i="16"/>
  <c r="E177" i="16"/>
  <c r="D177" i="16"/>
  <c r="C177" i="16"/>
  <c r="B177" i="16"/>
  <c r="M175" i="16"/>
  <c r="L175" i="16"/>
  <c r="K175" i="16"/>
  <c r="J175" i="16"/>
  <c r="I175" i="16"/>
  <c r="H175" i="16"/>
  <c r="G175" i="16"/>
  <c r="F175" i="16"/>
  <c r="E175" i="16"/>
  <c r="D175" i="16"/>
  <c r="C175" i="16"/>
  <c r="B175" i="16"/>
  <c r="M173" i="16"/>
  <c r="L173" i="16"/>
  <c r="K173" i="16"/>
  <c r="J173" i="16"/>
  <c r="I173" i="16"/>
  <c r="H173" i="16"/>
  <c r="G173" i="16"/>
  <c r="F173" i="16"/>
  <c r="E173" i="16"/>
  <c r="D173" i="16"/>
  <c r="C173" i="16"/>
  <c r="B173" i="16"/>
  <c r="M170" i="16"/>
  <c r="L170" i="16"/>
  <c r="K170" i="16"/>
  <c r="J170" i="16"/>
  <c r="I170" i="16"/>
  <c r="H170" i="16"/>
  <c r="G170" i="16"/>
  <c r="F170" i="16"/>
  <c r="E170" i="16"/>
  <c r="D170" i="16"/>
  <c r="C170" i="16"/>
  <c r="B170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M166" i="16"/>
  <c r="L166" i="16"/>
  <c r="K166" i="16"/>
  <c r="J166" i="16"/>
  <c r="I166" i="16"/>
  <c r="H166" i="16"/>
  <c r="G166" i="16"/>
  <c r="F166" i="16"/>
  <c r="E166" i="16"/>
  <c r="D166" i="16"/>
  <c r="C166" i="16"/>
  <c r="B166" i="16"/>
  <c r="M163" i="16"/>
  <c r="L163" i="16"/>
  <c r="K163" i="16"/>
  <c r="J163" i="16"/>
  <c r="I163" i="16"/>
  <c r="H163" i="16"/>
  <c r="G163" i="16"/>
  <c r="F163" i="16"/>
  <c r="E163" i="16"/>
  <c r="D163" i="16"/>
  <c r="C163" i="16"/>
  <c r="B163" i="16"/>
  <c r="M161" i="16"/>
  <c r="L161" i="16"/>
  <c r="K161" i="16"/>
  <c r="J161" i="16"/>
  <c r="I161" i="16"/>
  <c r="H161" i="16"/>
  <c r="G161" i="16"/>
  <c r="F161" i="16"/>
  <c r="E161" i="16"/>
  <c r="D161" i="16"/>
  <c r="C161" i="16"/>
  <c r="B161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M135" i="16"/>
  <c r="L135" i="16"/>
  <c r="K135" i="16"/>
  <c r="J135" i="16"/>
  <c r="I135" i="16"/>
  <c r="H135" i="16"/>
  <c r="G135" i="16"/>
  <c r="F135" i="16"/>
  <c r="E135" i="16"/>
  <c r="D135" i="16"/>
  <c r="C135" i="16"/>
  <c r="B135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M124" i="16"/>
  <c r="L124" i="16"/>
  <c r="K124" i="16"/>
  <c r="J124" i="16"/>
  <c r="I124" i="16"/>
  <c r="H124" i="16"/>
  <c r="G124" i="16"/>
  <c r="F124" i="16"/>
  <c r="E124" i="16"/>
  <c r="D124" i="16"/>
  <c r="C124" i="16"/>
  <c r="B124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M103" i="16"/>
  <c r="L103" i="16"/>
  <c r="K103" i="16"/>
  <c r="J103" i="16"/>
  <c r="I103" i="16"/>
  <c r="H103" i="16"/>
  <c r="G103" i="16"/>
  <c r="F103" i="16"/>
  <c r="E103" i="16"/>
  <c r="D103" i="16"/>
  <c r="C103" i="16"/>
  <c r="B103" i="16"/>
  <c r="M101" i="16"/>
  <c r="L101" i="16"/>
  <c r="K101" i="16"/>
  <c r="J101" i="16"/>
  <c r="I101" i="16"/>
  <c r="H101" i="16"/>
  <c r="G101" i="16"/>
  <c r="F101" i="16"/>
  <c r="E101" i="16"/>
  <c r="D101" i="16"/>
  <c r="C101" i="16"/>
  <c r="B101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H89" i="18"/>
  <c r="G89" i="18"/>
  <c r="F89" i="18"/>
  <c r="E89" i="18"/>
  <c r="D89" i="18"/>
  <c r="C89" i="18"/>
  <c r="H88" i="18"/>
  <c r="G88" i="18"/>
  <c r="F88" i="18"/>
  <c r="E88" i="18"/>
  <c r="D88" i="18"/>
  <c r="C88" i="18"/>
  <c r="H87" i="18"/>
  <c r="G87" i="18"/>
  <c r="F87" i="18"/>
  <c r="E87" i="18"/>
  <c r="D87" i="18"/>
  <c r="C87" i="18"/>
  <c r="H86" i="18"/>
  <c r="G86" i="18"/>
  <c r="F86" i="18"/>
  <c r="E86" i="18"/>
  <c r="D86" i="18"/>
  <c r="C86" i="18"/>
  <c r="H85" i="18"/>
  <c r="G85" i="18"/>
  <c r="F85" i="18"/>
  <c r="E85" i="18"/>
  <c r="D85" i="18"/>
  <c r="C85" i="18"/>
  <c r="H84" i="18"/>
  <c r="G84" i="18"/>
  <c r="F84" i="18"/>
  <c r="E84" i="18"/>
  <c r="D84" i="18"/>
  <c r="C84" i="18"/>
  <c r="H83" i="18"/>
  <c r="G83" i="18"/>
  <c r="F83" i="18"/>
  <c r="E83" i="18"/>
  <c r="D83" i="18"/>
  <c r="C83" i="18"/>
  <c r="H82" i="18"/>
  <c r="G82" i="18"/>
  <c r="F82" i="18"/>
  <c r="E82" i="18"/>
  <c r="D82" i="18"/>
  <c r="C82" i="18"/>
  <c r="H81" i="18"/>
  <c r="G81" i="18"/>
  <c r="F81" i="18"/>
  <c r="E81" i="18"/>
  <c r="D81" i="18"/>
  <c r="C81" i="18"/>
  <c r="H80" i="18"/>
  <c r="G80" i="18"/>
  <c r="F80" i="18"/>
  <c r="E80" i="18"/>
  <c r="D80" i="18"/>
  <c r="C80" i="18"/>
  <c r="H79" i="18"/>
  <c r="G79" i="18"/>
  <c r="F79" i="18"/>
  <c r="E79" i="18"/>
  <c r="D79" i="18"/>
  <c r="C79" i="18"/>
  <c r="H78" i="18"/>
  <c r="G78" i="18"/>
  <c r="F78" i="18"/>
  <c r="E78" i="18"/>
  <c r="D78" i="18"/>
  <c r="C78" i="18"/>
  <c r="H77" i="18"/>
  <c r="G77" i="18"/>
  <c r="F77" i="18"/>
  <c r="E77" i="18"/>
  <c r="D77" i="18"/>
  <c r="C77" i="18"/>
  <c r="H76" i="18"/>
  <c r="G76" i="18"/>
  <c r="F76" i="18"/>
  <c r="E76" i="18"/>
  <c r="D76" i="18"/>
  <c r="C76" i="18"/>
  <c r="H75" i="18"/>
  <c r="G75" i="18"/>
  <c r="F75" i="18"/>
  <c r="E75" i="18"/>
  <c r="D75" i="18"/>
  <c r="C75" i="18"/>
  <c r="H74" i="18"/>
  <c r="G74" i="18"/>
  <c r="F74" i="18"/>
  <c r="E74" i="18"/>
  <c r="D74" i="18"/>
  <c r="C74" i="18"/>
  <c r="H73" i="18"/>
  <c r="G73" i="18"/>
  <c r="F73" i="18"/>
  <c r="E73" i="18"/>
  <c r="D73" i="18"/>
  <c r="C73" i="18"/>
  <c r="H72" i="18"/>
  <c r="G72" i="18"/>
  <c r="F72" i="18"/>
  <c r="E72" i="18"/>
  <c r="D72" i="18"/>
  <c r="C72" i="18"/>
  <c r="H71" i="18"/>
  <c r="G71" i="18"/>
  <c r="F71" i="18"/>
  <c r="E71" i="18"/>
  <c r="D71" i="18"/>
  <c r="C71" i="18"/>
  <c r="H70" i="18"/>
  <c r="G70" i="18"/>
  <c r="F70" i="18"/>
  <c r="E70" i="18"/>
  <c r="D70" i="18"/>
  <c r="C70" i="18"/>
  <c r="H69" i="18"/>
  <c r="G69" i="18"/>
  <c r="F69" i="18"/>
  <c r="E69" i="18"/>
  <c r="D69" i="18"/>
  <c r="C69" i="18"/>
  <c r="H68" i="18"/>
  <c r="G68" i="18"/>
  <c r="F68" i="18"/>
  <c r="E68" i="18"/>
  <c r="D68" i="18"/>
  <c r="C68" i="18"/>
  <c r="H67" i="18"/>
  <c r="G67" i="18"/>
  <c r="F67" i="18"/>
  <c r="E67" i="18"/>
  <c r="D67" i="18"/>
  <c r="C67" i="18"/>
  <c r="H66" i="18"/>
  <c r="G66" i="18"/>
  <c r="F66" i="18"/>
  <c r="E66" i="18"/>
  <c r="D66" i="18"/>
  <c r="C66" i="18"/>
  <c r="H65" i="18"/>
  <c r="G65" i="18"/>
  <c r="F65" i="18"/>
  <c r="E65" i="18"/>
  <c r="D65" i="18"/>
  <c r="C65" i="18"/>
  <c r="H64" i="18"/>
  <c r="G64" i="18"/>
  <c r="F64" i="18"/>
  <c r="E64" i="18"/>
  <c r="D64" i="18"/>
  <c r="C64" i="18"/>
  <c r="H63" i="18"/>
  <c r="G63" i="18"/>
  <c r="F63" i="18"/>
  <c r="E63" i="18"/>
  <c r="D63" i="18"/>
  <c r="C63" i="18"/>
  <c r="H62" i="18"/>
  <c r="G62" i="18"/>
  <c r="F62" i="18"/>
  <c r="E62" i="18"/>
  <c r="D62" i="18"/>
  <c r="C62" i="18"/>
  <c r="H61" i="18"/>
  <c r="G61" i="18"/>
  <c r="F61" i="18"/>
  <c r="E61" i="18"/>
  <c r="D61" i="18"/>
  <c r="C61" i="18"/>
  <c r="H60" i="18"/>
  <c r="G60" i="18"/>
  <c r="F60" i="18"/>
  <c r="E60" i="18"/>
  <c r="D60" i="18"/>
  <c r="C60" i="18"/>
  <c r="H59" i="18"/>
  <c r="G59" i="18"/>
  <c r="F59" i="18"/>
  <c r="E59" i="18"/>
  <c r="D59" i="18"/>
  <c r="C59" i="18"/>
  <c r="H58" i="18"/>
  <c r="G58" i="18"/>
  <c r="F58" i="18"/>
  <c r="E58" i="18"/>
  <c r="D58" i="18"/>
  <c r="C58" i="18"/>
  <c r="H57" i="18"/>
  <c r="G57" i="18"/>
  <c r="F57" i="18"/>
  <c r="E57" i="18"/>
  <c r="D57" i="18"/>
  <c r="C57" i="18"/>
  <c r="H56" i="18"/>
  <c r="G56" i="18"/>
  <c r="F56" i="18"/>
  <c r="E56" i="18"/>
  <c r="D56" i="18"/>
  <c r="C56" i="18"/>
  <c r="H55" i="18"/>
  <c r="G55" i="18"/>
  <c r="F55" i="18"/>
  <c r="E55" i="18"/>
  <c r="D55" i="18"/>
  <c r="C55" i="18"/>
  <c r="H54" i="18"/>
  <c r="G54" i="18"/>
  <c r="F54" i="18"/>
  <c r="E54" i="18"/>
  <c r="D54" i="18"/>
  <c r="C54" i="18"/>
  <c r="H53" i="18"/>
  <c r="G53" i="18"/>
  <c r="F53" i="18"/>
  <c r="E53" i="18"/>
  <c r="D53" i="18"/>
  <c r="C53" i="18"/>
  <c r="H44" i="18"/>
  <c r="G44" i="18"/>
  <c r="F44" i="18"/>
  <c r="E44" i="18"/>
  <c r="D44" i="18"/>
  <c r="C44" i="18"/>
  <c r="H43" i="18"/>
  <c r="G43" i="18"/>
  <c r="F43" i="18"/>
  <c r="E43" i="18"/>
  <c r="D43" i="18"/>
  <c r="C43" i="18"/>
  <c r="H42" i="18"/>
  <c r="G42" i="18"/>
  <c r="F42" i="18"/>
  <c r="E42" i="18"/>
  <c r="D42" i="18"/>
  <c r="C42" i="18"/>
  <c r="H41" i="18"/>
  <c r="G41" i="18"/>
  <c r="F41" i="18"/>
  <c r="E41" i="18"/>
  <c r="D41" i="18"/>
  <c r="C41" i="18"/>
  <c r="H40" i="18"/>
  <c r="G40" i="18"/>
  <c r="F40" i="18"/>
  <c r="E40" i="18"/>
  <c r="D40" i="18"/>
  <c r="C40" i="18"/>
  <c r="H39" i="18"/>
  <c r="G39" i="18"/>
  <c r="F39" i="18"/>
  <c r="E39" i="18"/>
  <c r="D39" i="18"/>
  <c r="C39" i="18"/>
  <c r="H38" i="18"/>
  <c r="G38" i="18"/>
  <c r="F38" i="18"/>
  <c r="E38" i="18"/>
  <c r="D38" i="18"/>
  <c r="C38" i="18"/>
  <c r="H37" i="18"/>
  <c r="G37" i="18"/>
  <c r="F37" i="18"/>
  <c r="E37" i="18"/>
  <c r="D37" i="18"/>
  <c r="C37" i="18"/>
  <c r="H36" i="18"/>
  <c r="G36" i="18"/>
  <c r="F36" i="18"/>
  <c r="E36" i="18"/>
  <c r="D36" i="18"/>
  <c r="C36" i="18"/>
  <c r="H35" i="18"/>
  <c r="G35" i="18"/>
  <c r="F35" i="18"/>
  <c r="E35" i="18"/>
  <c r="D35" i="18"/>
  <c r="C35" i="18"/>
  <c r="H34" i="18"/>
  <c r="G34" i="18"/>
  <c r="F34" i="18"/>
  <c r="E34" i="18"/>
  <c r="D34" i="18"/>
  <c r="C34" i="18"/>
  <c r="H33" i="18"/>
  <c r="G33" i="18"/>
  <c r="F33" i="18"/>
  <c r="E33" i="18"/>
  <c r="D33" i="18"/>
  <c r="C33" i="18"/>
  <c r="H32" i="18"/>
  <c r="G32" i="18"/>
  <c r="F32" i="18"/>
  <c r="E32" i="18"/>
  <c r="D32" i="18"/>
  <c r="C32" i="18"/>
  <c r="H31" i="18"/>
  <c r="G31" i="18"/>
  <c r="F31" i="18"/>
  <c r="E31" i="18"/>
  <c r="D31" i="18"/>
  <c r="C31" i="18"/>
  <c r="H30" i="18"/>
  <c r="G30" i="18"/>
  <c r="F30" i="18"/>
  <c r="E30" i="18"/>
  <c r="D30" i="18"/>
  <c r="C30" i="18"/>
  <c r="H29" i="18"/>
  <c r="G29" i="18"/>
  <c r="F29" i="18"/>
  <c r="E29" i="18"/>
  <c r="D29" i="18"/>
  <c r="C29" i="18"/>
  <c r="H28" i="18"/>
  <c r="G28" i="18"/>
  <c r="F28" i="18"/>
  <c r="E28" i="18"/>
  <c r="D28" i="18"/>
  <c r="C28" i="18"/>
  <c r="H27" i="18"/>
  <c r="G27" i="18"/>
  <c r="F27" i="18"/>
  <c r="E27" i="18"/>
  <c r="D27" i="18"/>
  <c r="C27" i="18"/>
  <c r="H26" i="18"/>
  <c r="G26" i="18"/>
  <c r="F26" i="18"/>
  <c r="E26" i="18"/>
  <c r="D26" i="18"/>
  <c r="C26" i="18"/>
  <c r="H25" i="18"/>
  <c r="G25" i="18"/>
  <c r="F25" i="18"/>
  <c r="E25" i="18"/>
  <c r="D25" i="18"/>
  <c r="C25" i="18"/>
  <c r="H24" i="18"/>
  <c r="G24" i="18"/>
  <c r="F24" i="18"/>
  <c r="E24" i="18"/>
  <c r="D24" i="18"/>
  <c r="C24" i="18"/>
  <c r="H23" i="18"/>
  <c r="G23" i="18"/>
  <c r="F23" i="18"/>
  <c r="E23" i="18"/>
  <c r="D23" i="18"/>
  <c r="C23" i="18"/>
  <c r="H22" i="18"/>
  <c r="G22" i="18"/>
  <c r="F22" i="18"/>
  <c r="E22" i="18"/>
  <c r="D22" i="18"/>
  <c r="C22" i="18"/>
  <c r="H21" i="18"/>
  <c r="G21" i="18"/>
  <c r="F21" i="18"/>
  <c r="E21" i="18"/>
  <c r="D21" i="18"/>
  <c r="C21" i="18"/>
  <c r="H20" i="18"/>
  <c r="G20" i="18"/>
  <c r="F20" i="18"/>
  <c r="E20" i="18"/>
  <c r="D20" i="18"/>
  <c r="C20" i="18"/>
  <c r="H19" i="18"/>
  <c r="G19" i="18"/>
  <c r="F19" i="18"/>
  <c r="E19" i="18"/>
  <c r="D19" i="18"/>
  <c r="C19" i="18"/>
  <c r="H18" i="18"/>
  <c r="G18" i="18"/>
  <c r="F18" i="18"/>
  <c r="E18" i="18"/>
  <c r="D18" i="18"/>
  <c r="C18" i="18"/>
  <c r="H17" i="18"/>
  <c r="G17" i="18"/>
  <c r="F17" i="18"/>
  <c r="E17" i="18"/>
  <c r="D17" i="18"/>
  <c r="C17" i="18"/>
  <c r="H16" i="18"/>
  <c r="G16" i="18"/>
  <c r="F16" i="18"/>
  <c r="E16" i="18"/>
  <c r="D16" i="18"/>
  <c r="C16" i="18"/>
  <c r="H15" i="18"/>
  <c r="G15" i="18"/>
  <c r="F15" i="18"/>
  <c r="E15" i="18"/>
  <c r="D15" i="18"/>
  <c r="C15" i="18"/>
  <c r="H14" i="18"/>
  <c r="G14" i="18"/>
  <c r="F14" i="18"/>
  <c r="E14" i="18"/>
  <c r="D14" i="18"/>
  <c r="C14" i="18"/>
  <c r="H13" i="18"/>
  <c r="G13" i="18"/>
  <c r="F13" i="18"/>
  <c r="E13" i="18"/>
  <c r="D13" i="18"/>
  <c r="C13" i="18"/>
  <c r="H12" i="18"/>
  <c r="G12" i="18"/>
  <c r="F12" i="18"/>
  <c r="E12" i="18"/>
  <c r="D12" i="18"/>
  <c r="C12" i="18"/>
  <c r="H11" i="18"/>
  <c r="G11" i="18"/>
  <c r="F11" i="18"/>
  <c r="E11" i="18"/>
  <c r="D11" i="18"/>
  <c r="C11" i="18"/>
  <c r="H10" i="18"/>
  <c r="G10" i="18"/>
  <c r="F10" i="18"/>
  <c r="E10" i="18"/>
  <c r="D10" i="18"/>
  <c r="C10" i="18"/>
  <c r="H9" i="18"/>
  <c r="G9" i="18"/>
  <c r="F9" i="18"/>
  <c r="E9" i="18"/>
  <c r="D9" i="18"/>
  <c r="C9" i="18"/>
  <c r="H8" i="18"/>
  <c r="G8" i="18"/>
  <c r="F8" i="18"/>
  <c r="E8" i="18"/>
  <c r="D8" i="18"/>
  <c r="C8" i="18"/>
  <c r="H32" i="15"/>
  <c r="G32" i="15"/>
  <c r="F32" i="15"/>
  <c r="E32" i="15"/>
  <c r="D32" i="15"/>
  <c r="C32" i="15"/>
  <c r="H31" i="15"/>
  <c r="G31" i="15"/>
  <c r="F31" i="15"/>
  <c r="E31" i="15"/>
  <c r="D31" i="15"/>
  <c r="C31" i="15"/>
  <c r="H30" i="15"/>
  <c r="G30" i="15"/>
  <c r="F30" i="15"/>
  <c r="E30" i="15"/>
  <c r="D30" i="15"/>
  <c r="C30" i="15"/>
  <c r="H29" i="15"/>
  <c r="G29" i="15"/>
  <c r="F29" i="15"/>
  <c r="E29" i="15"/>
  <c r="D29" i="15"/>
  <c r="C29" i="15"/>
  <c r="H28" i="15"/>
  <c r="G28" i="15"/>
  <c r="F28" i="15"/>
  <c r="E28" i="15"/>
  <c r="D28" i="15"/>
  <c r="C28" i="15"/>
  <c r="H27" i="15"/>
  <c r="G27" i="15"/>
  <c r="F27" i="15"/>
  <c r="E27" i="15"/>
  <c r="D27" i="15"/>
  <c r="C27" i="15"/>
  <c r="H26" i="15"/>
  <c r="G26" i="15"/>
  <c r="F26" i="15"/>
  <c r="E26" i="15"/>
  <c r="D26" i="15"/>
  <c r="C26" i="15"/>
  <c r="H25" i="15"/>
  <c r="G25" i="15"/>
  <c r="F25" i="15"/>
  <c r="E25" i="15"/>
  <c r="D25" i="15"/>
  <c r="C25" i="15"/>
  <c r="H24" i="15"/>
  <c r="G24" i="15"/>
  <c r="F24" i="15"/>
  <c r="E24" i="15"/>
  <c r="D24" i="15"/>
  <c r="C24" i="15"/>
  <c r="H23" i="15"/>
  <c r="G23" i="15"/>
  <c r="F23" i="15"/>
  <c r="E23" i="15"/>
  <c r="D23" i="15"/>
  <c r="C23" i="15"/>
  <c r="H22" i="15"/>
  <c r="G22" i="15"/>
  <c r="F22" i="15"/>
  <c r="E22" i="15"/>
  <c r="D22" i="15"/>
  <c r="C22" i="15"/>
  <c r="H20" i="15"/>
  <c r="G20" i="15"/>
  <c r="F20" i="15"/>
  <c r="E20" i="15"/>
  <c r="D20" i="15"/>
  <c r="C20" i="15"/>
  <c r="H19" i="15"/>
  <c r="G19" i="15"/>
  <c r="F19" i="15"/>
  <c r="E19" i="15"/>
  <c r="D19" i="15"/>
  <c r="C19" i="15"/>
  <c r="H18" i="15"/>
  <c r="G18" i="15"/>
  <c r="F18" i="15"/>
  <c r="E18" i="15"/>
  <c r="D18" i="15"/>
  <c r="C18" i="15"/>
  <c r="H17" i="15"/>
  <c r="G17" i="15"/>
  <c r="F17" i="15"/>
  <c r="E17" i="15"/>
  <c r="D17" i="15"/>
  <c r="C17" i="15"/>
  <c r="H16" i="15"/>
  <c r="G16" i="15"/>
  <c r="F16" i="15"/>
  <c r="E16" i="15"/>
  <c r="D16" i="15"/>
  <c r="C16" i="15"/>
  <c r="H15" i="15"/>
  <c r="G15" i="15"/>
  <c r="F15" i="15"/>
  <c r="E15" i="15"/>
  <c r="D15" i="15"/>
  <c r="C15" i="15"/>
  <c r="H14" i="15"/>
  <c r="G14" i="15"/>
  <c r="F14" i="15"/>
  <c r="E14" i="15"/>
  <c r="D14" i="15"/>
  <c r="C14" i="15"/>
  <c r="H13" i="15"/>
  <c r="G13" i="15"/>
  <c r="F13" i="15"/>
  <c r="E13" i="15"/>
  <c r="D13" i="15"/>
  <c r="C13" i="15"/>
  <c r="H12" i="15"/>
  <c r="G12" i="15"/>
  <c r="F12" i="15"/>
  <c r="E12" i="15"/>
  <c r="D12" i="15"/>
  <c r="C12" i="15"/>
  <c r="H11" i="15"/>
  <c r="G11" i="15"/>
  <c r="F11" i="15"/>
  <c r="E11" i="15"/>
  <c r="D11" i="15"/>
  <c r="C11" i="15"/>
  <c r="H10" i="15"/>
  <c r="G10" i="15"/>
  <c r="F10" i="15"/>
  <c r="E10" i="15"/>
  <c r="D10" i="15"/>
  <c r="C10" i="15"/>
  <c r="E13" i="8"/>
  <c r="D13" i="8"/>
  <c r="C13" i="8"/>
  <c r="B13" i="8"/>
  <c r="E12" i="8"/>
  <c r="D12" i="8"/>
  <c r="C12" i="8"/>
  <c r="B12" i="8"/>
  <c r="E10" i="8"/>
  <c r="D10" i="8"/>
  <c r="C10" i="8"/>
  <c r="B10" i="8"/>
  <c r="E9" i="8"/>
  <c r="D9" i="8"/>
  <c r="C9" i="8"/>
  <c r="B9" i="8"/>
  <c r="B9" i="17"/>
  <c r="C10" i="7"/>
  <c r="D10" i="27"/>
  <c r="E10" i="27"/>
  <c r="F10" i="27"/>
  <c r="D11" i="27"/>
  <c r="E11" i="27"/>
  <c r="F11" i="27"/>
  <c r="D12" i="27"/>
  <c r="E12" i="27"/>
  <c r="F12" i="27"/>
  <c r="D13" i="27"/>
  <c r="E13" i="27"/>
  <c r="F13" i="27"/>
  <c r="D14" i="27"/>
  <c r="E14" i="27"/>
  <c r="F14" i="27"/>
  <c r="D15" i="27"/>
  <c r="E15" i="27"/>
  <c r="F15" i="27"/>
  <c r="D16" i="27"/>
  <c r="E16" i="27"/>
  <c r="F16" i="27"/>
  <c r="D17" i="27"/>
  <c r="E17" i="27"/>
  <c r="F17" i="27"/>
  <c r="D18" i="27"/>
  <c r="E18" i="27"/>
  <c r="F18" i="27"/>
  <c r="D9" i="27"/>
  <c r="E9" i="27"/>
  <c r="A26" i="22" s="1"/>
  <c r="F9" i="27"/>
  <c r="C10" i="27"/>
  <c r="C11" i="27"/>
  <c r="C12" i="27"/>
  <c r="C13" i="27"/>
  <c r="C14" i="27"/>
  <c r="C15" i="27"/>
  <c r="C16" i="27"/>
  <c r="C17" i="27"/>
  <c r="C18" i="27"/>
  <c r="C9" i="27"/>
  <c r="A9" i="16" s="1"/>
  <c r="D3" i="27"/>
  <c r="E3" i="27"/>
  <c r="I3" i="27" s="1"/>
  <c r="A25" i="22" s="1"/>
  <c r="F3" i="27"/>
  <c r="C3" i="27"/>
  <c r="A8" i="20" s="1"/>
  <c r="A10" i="24" l="1"/>
  <c r="A13" i="24"/>
  <c r="A11" i="21"/>
  <c r="A9" i="23"/>
  <c r="A11" i="23"/>
  <c r="A10" i="23"/>
  <c r="A12" i="23"/>
  <c r="A10" i="22"/>
  <c r="A49" i="18"/>
  <c r="C6" i="15"/>
  <c r="A8" i="16"/>
  <c r="A115" i="16"/>
  <c r="F6" i="15"/>
  <c r="A70" i="20"/>
  <c r="A116" i="16"/>
  <c r="C4" i="27"/>
  <c r="C2" i="27"/>
  <c r="N134" i="20"/>
  <c r="M134" i="20"/>
  <c r="L134" i="20"/>
  <c r="K134" i="20"/>
  <c r="J134" i="20"/>
  <c r="I134" i="20"/>
  <c r="H134" i="20"/>
  <c r="G134" i="20"/>
  <c r="F134" i="20"/>
  <c r="E134" i="20"/>
  <c r="D134" i="20"/>
  <c r="C134" i="20"/>
  <c r="B134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131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I23" i="19"/>
  <c r="H23" i="19"/>
  <c r="G23" i="19"/>
  <c r="F23" i="19"/>
  <c r="E23" i="19"/>
  <c r="D23" i="19"/>
  <c r="C23" i="19"/>
  <c r="B23" i="19"/>
  <c r="I22" i="19"/>
  <c r="H22" i="19"/>
  <c r="G22" i="19"/>
  <c r="F22" i="19"/>
  <c r="E22" i="19"/>
  <c r="D22" i="19"/>
  <c r="C22" i="19"/>
  <c r="B22" i="19"/>
  <c r="I21" i="19"/>
  <c r="H21" i="19"/>
  <c r="G21" i="19"/>
  <c r="F21" i="19"/>
  <c r="E21" i="19"/>
  <c r="D21" i="19"/>
  <c r="C21" i="19"/>
  <c r="B21" i="19"/>
  <c r="I19" i="19"/>
  <c r="H19" i="19"/>
  <c r="G19" i="19"/>
  <c r="F19" i="19"/>
  <c r="E19" i="19"/>
  <c r="D19" i="19"/>
  <c r="C19" i="19"/>
  <c r="B19" i="19"/>
  <c r="I18" i="19"/>
  <c r="H18" i="19"/>
  <c r="G18" i="19"/>
  <c r="F18" i="19"/>
  <c r="E18" i="19"/>
  <c r="D18" i="19"/>
  <c r="C18" i="19"/>
  <c r="B18" i="19"/>
  <c r="I17" i="19"/>
  <c r="H17" i="19"/>
  <c r="G17" i="19"/>
  <c r="F17" i="19"/>
  <c r="E17" i="19"/>
  <c r="D17" i="19"/>
  <c r="C17" i="19"/>
  <c r="B17" i="19"/>
  <c r="I15" i="19"/>
  <c r="H15" i="19"/>
  <c r="G15" i="19"/>
  <c r="F15" i="19"/>
  <c r="E15" i="19"/>
  <c r="D15" i="19"/>
  <c r="C15" i="19"/>
  <c r="B15" i="19"/>
  <c r="I14" i="19"/>
  <c r="H14" i="19"/>
  <c r="G14" i="19"/>
  <c r="F14" i="19"/>
  <c r="E14" i="19"/>
  <c r="D14" i="19"/>
  <c r="C14" i="19"/>
  <c r="B14" i="19"/>
  <c r="I13" i="19"/>
  <c r="H13" i="19"/>
  <c r="G13" i="19"/>
  <c r="F13" i="19"/>
  <c r="E13" i="19"/>
  <c r="D13" i="19"/>
  <c r="C13" i="19"/>
  <c r="B13" i="19"/>
  <c r="I11" i="19"/>
  <c r="H11" i="19"/>
  <c r="G11" i="19"/>
  <c r="F11" i="19"/>
  <c r="E11" i="19"/>
  <c r="D11" i="19"/>
  <c r="C11" i="19"/>
  <c r="B11" i="19"/>
  <c r="I10" i="19"/>
  <c r="H10" i="19"/>
  <c r="G10" i="19"/>
  <c r="F10" i="19"/>
  <c r="E10" i="19"/>
  <c r="D10" i="19"/>
  <c r="C10" i="19"/>
  <c r="B10" i="19"/>
  <c r="I9" i="19"/>
  <c r="H9" i="19"/>
  <c r="G9" i="19"/>
  <c r="F9" i="19"/>
  <c r="E9" i="19"/>
  <c r="D9" i="19"/>
  <c r="C9" i="19"/>
  <c r="B9" i="19"/>
  <c r="J75" i="17"/>
  <c r="I75" i="17"/>
  <c r="H75" i="17"/>
  <c r="G75" i="17"/>
  <c r="F75" i="17"/>
  <c r="E75" i="17"/>
  <c r="D75" i="17"/>
  <c r="C75" i="17"/>
  <c r="J74" i="17"/>
  <c r="I74" i="17"/>
  <c r="H74" i="17"/>
  <c r="G74" i="17"/>
  <c r="F74" i="17"/>
  <c r="E74" i="17"/>
  <c r="D74" i="17"/>
  <c r="C74" i="17"/>
  <c r="J73" i="17"/>
  <c r="I73" i="17"/>
  <c r="H73" i="17"/>
  <c r="G73" i="17"/>
  <c r="F73" i="17"/>
  <c r="E73" i="17"/>
  <c r="D73" i="17"/>
  <c r="C73" i="17"/>
  <c r="J72" i="17"/>
  <c r="I72" i="17"/>
  <c r="H72" i="17"/>
  <c r="G72" i="17"/>
  <c r="F72" i="17"/>
  <c r="E72" i="17"/>
  <c r="D72" i="17"/>
  <c r="C72" i="17"/>
  <c r="J71" i="17"/>
  <c r="I71" i="17"/>
  <c r="H71" i="17"/>
  <c r="G71" i="17"/>
  <c r="F71" i="17"/>
  <c r="E71" i="17"/>
  <c r="D71" i="17"/>
  <c r="C71" i="17"/>
  <c r="J70" i="17"/>
  <c r="I70" i="17"/>
  <c r="H70" i="17"/>
  <c r="G70" i="17"/>
  <c r="F70" i="17"/>
  <c r="E70" i="17"/>
  <c r="D70" i="17"/>
  <c r="C70" i="17"/>
  <c r="J69" i="17"/>
  <c r="I69" i="17"/>
  <c r="H69" i="17"/>
  <c r="G69" i="17"/>
  <c r="F69" i="17"/>
  <c r="E69" i="17"/>
  <c r="D69" i="17"/>
  <c r="C69" i="17"/>
  <c r="J68" i="17"/>
  <c r="I68" i="17"/>
  <c r="H68" i="17"/>
  <c r="G68" i="17"/>
  <c r="F68" i="17"/>
  <c r="E68" i="17"/>
  <c r="D68" i="17"/>
  <c r="C68" i="17"/>
  <c r="J67" i="17"/>
  <c r="I67" i="17"/>
  <c r="H67" i="17"/>
  <c r="G67" i="17"/>
  <c r="F67" i="17"/>
  <c r="E67" i="17"/>
  <c r="D67" i="17"/>
  <c r="C67" i="17"/>
  <c r="J66" i="17"/>
  <c r="I66" i="17"/>
  <c r="H66" i="17"/>
  <c r="G66" i="17"/>
  <c r="F66" i="17"/>
  <c r="E66" i="17"/>
  <c r="D66" i="17"/>
  <c r="C66" i="17"/>
  <c r="J65" i="17"/>
  <c r="I65" i="17"/>
  <c r="H65" i="17"/>
  <c r="G65" i="17"/>
  <c r="F65" i="17"/>
  <c r="E65" i="17"/>
  <c r="D65" i="17"/>
  <c r="C65" i="17"/>
  <c r="J64" i="17"/>
  <c r="I64" i="17"/>
  <c r="H64" i="17"/>
  <c r="G64" i="17"/>
  <c r="F64" i="17"/>
  <c r="E64" i="17"/>
  <c r="D64" i="17"/>
  <c r="C64" i="17"/>
  <c r="J63" i="17"/>
  <c r="I63" i="17"/>
  <c r="H63" i="17"/>
  <c r="G63" i="17"/>
  <c r="F63" i="17"/>
  <c r="E63" i="17"/>
  <c r="D63" i="17"/>
  <c r="C63" i="17"/>
  <c r="J62" i="17"/>
  <c r="I62" i="17"/>
  <c r="H62" i="17"/>
  <c r="G62" i="17"/>
  <c r="F62" i="17"/>
  <c r="E62" i="17"/>
  <c r="D62" i="17"/>
  <c r="C62" i="17"/>
  <c r="J61" i="17"/>
  <c r="I61" i="17"/>
  <c r="H61" i="17"/>
  <c r="G61" i="17"/>
  <c r="F61" i="17"/>
  <c r="E61" i="17"/>
  <c r="D61" i="17"/>
  <c r="C61" i="17"/>
  <c r="J60" i="17"/>
  <c r="I60" i="17"/>
  <c r="H60" i="17"/>
  <c r="G60" i="17"/>
  <c r="F60" i="17"/>
  <c r="E60" i="17"/>
  <c r="D60" i="17"/>
  <c r="C60" i="17"/>
  <c r="J58" i="17"/>
  <c r="I58" i="17"/>
  <c r="H58" i="17"/>
  <c r="G58" i="17"/>
  <c r="F58" i="17"/>
  <c r="E58" i="17"/>
  <c r="D58" i="17"/>
  <c r="C58" i="17"/>
  <c r="J57" i="17"/>
  <c r="I57" i="17"/>
  <c r="H57" i="17"/>
  <c r="G57" i="17"/>
  <c r="F57" i="17"/>
  <c r="E57" i="17"/>
  <c r="D57" i="17"/>
  <c r="C57" i="17"/>
  <c r="J56" i="17"/>
  <c r="I56" i="17"/>
  <c r="H56" i="17"/>
  <c r="G56" i="17"/>
  <c r="F56" i="17"/>
  <c r="E56" i="17"/>
  <c r="D56" i="17"/>
  <c r="C56" i="17"/>
  <c r="J55" i="17"/>
  <c r="I55" i="17"/>
  <c r="H55" i="17"/>
  <c r="G55" i="17"/>
  <c r="F55" i="17"/>
  <c r="E55" i="17"/>
  <c r="D55" i="17"/>
  <c r="C55" i="17"/>
  <c r="J54" i="17"/>
  <c r="I54" i="17"/>
  <c r="H54" i="17"/>
  <c r="G54" i="17"/>
  <c r="F54" i="17"/>
  <c r="E54" i="17"/>
  <c r="D54" i="17"/>
  <c r="C54" i="17"/>
  <c r="J53" i="17"/>
  <c r="I53" i="17"/>
  <c r="H53" i="17"/>
  <c r="G53" i="17"/>
  <c r="F53" i="17"/>
  <c r="E53" i="17"/>
  <c r="D53" i="17"/>
  <c r="C53" i="17"/>
  <c r="J52" i="17"/>
  <c r="I52" i="17"/>
  <c r="H52" i="17"/>
  <c r="G52" i="17"/>
  <c r="F52" i="17"/>
  <c r="E52" i="17"/>
  <c r="D52" i="17"/>
  <c r="C52" i="17"/>
  <c r="J51" i="17"/>
  <c r="I51" i="17"/>
  <c r="H51" i="17"/>
  <c r="G51" i="17"/>
  <c r="F51" i="17"/>
  <c r="E51" i="17"/>
  <c r="D51" i="17"/>
  <c r="C51" i="17"/>
  <c r="J50" i="17"/>
  <c r="I50" i="17"/>
  <c r="H50" i="17"/>
  <c r="G50" i="17"/>
  <c r="F50" i="17"/>
  <c r="E50" i="17"/>
  <c r="D50" i="17"/>
  <c r="C50" i="17"/>
  <c r="J49" i="17"/>
  <c r="I49" i="17"/>
  <c r="H49" i="17"/>
  <c r="G49" i="17"/>
  <c r="F49" i="17"/>
  <c r="E49" i="17"/>
  <c r="D49" i="17"/>
  <c r="C49" i="17"/>
  <c r="J48" i="17"/>
  <c r="I48" i="17"/>
  <c r="H48" i="17"/>
  <c r="G48" i="17"/>
  <c r="F48" i="17"/>
  <c r="E48" i="17"/>
  <c r="D48" i="17"/>
  <c r="C48" i="17"/>
  <c r="J47" i="17"/>
  <c r="I47" i="17"/>
  <c r="H47" i="17"/>
  <c r="G47" i="17"/>
  <c r="F47" i="17"/>
  <c r="E47" i="17"/>
  <c r="D47" i="17"/>
  <c r="C47" i="17"/>
  <c r="J46" i="17"/>
  <c r="I46" i="17"/>
  <c r="H46" i="17"/>
  <c r="G46" i="17"/>
  <c r="F46" i="17"/>
  <c r="E46" i="17"/>
  <c r="D46" i="17"/>
  <c r="C46" i="17"/>
  <c r="J45" i="17"/>
  <c r="I45" i="17"/>
  <c r="H45" i="17"/>
  <c r="G45" i="17"/>
  <c r="F45" i="17"/>
  <c r="E45" i="17"/>
  <c r="D45" i="17"/>
  <c r="C45" i="17"/>
  <c r="J44" i="17"/>
  <c r="I44" i="17"/>
  <c r="H44" i="17"/>
  <c r="G44" i="17"/>
  <c r="F44" i="17"/>
  <c r="E44" i="17"/>
  <c r="D44" i="17"/>
  <c r="C44" i="17"/>
  <c r="J43" i="17"/>
  <c r="I43" i="17"/>
  <c r="H43" i="17"/>
  <c r="G43" i="17"/>
  <c r="F43" i="17"/>
  <c r="E43" i="17"/>
  <c r="D43" i="17"/>
  <c r="C43" i="17"/>
  <c r="J41" i="17"/>
  <c r="I41" i="17"/>
  <c r="H41" i="17"/>
  <c r="G41" i="17"/>
  <c r="F41" i="17"/>
  <c r="E41" i="17"/>
  <c r="D41" i="17"/>
  <c r="C41" i="17"/>
  <c r="J40" i="17"/>
  <c r="I40" i="17"/>
  <c r="H40" i="17"/>
  <c r="G40" i="17"/>
  <c r="F40" i="17"/>
  <c r="E40" i="17"/>
  <c r="D40" i="17"/>
  <c r="C40" i="17"/>
  <c r="J39" i="17"/>
  <c r="I39" i="17"/>
  <c r="H39" i="17"/>
  <c r="G39" i="17"/>
  <c r="F39" i="17"/>
  <c r="E39" i="17"/>
  <c r="D39" i="17"/>
  <c r="C39" i="17"/>
  <c r="J38" i="17"/>
  <c r="I38" i="17"/>
  <c r="H38" i="17"/>
  <c r="G38" i="17"/>
  <c r="F38" i="17"/>
  <c r="E38" i="17"/>
  <c r="D38" i="17"/>
  <c r="C38" i="17"/>
  <c r="J37" i="17"/>
  <c r="I37" i="17"/>
  <c r="H37" i="17"/>
  <c r="G37" i="17"/>
  <c r="F37" i="17"/>
  <c r="E37" i="17"/>
  <c r="D37" i="17"/>
  <c r="C37" i="17"/>
  <c r="J36" i="17"/>
  <c r="I36" i="17"/>
  <c r="H36" i="17"/>
  <c r="G36" i="17"/>
  <c r="F36" i="17"/>
  <c r="E36" i="17"/>
  <c r="D36" i="17"/>
  <c r="C36" i="17"/>
  <c r="J35" i="17"/>
  <c r="I35" i="17"/>
  <c r="H35" i="17"/>
  <c r="G35" i="17"/>
  <c r="F35" i="17"/>
  <c r="E35" i="17"/>
  <c r="D35" i="17"/>
  <c r="C35" i="17"/>
  <c r="J34" i="17"/>
  <c r="I34" i="17"/>
  <c r="H34" i="17"/>
  <c r="G34" i="17"/>
  <c r="F34" i="17"/>
  <c r="E34" i="17"/>
  <c r="D34" i="17"/>
  <c r="C34" i="17"/>
  <c r="J33" i="17"/>
  <c r="I33" i="17"/>
  <c r="H33" i="17"/>
  <c r="G33" i="17"/>
  <c r="F33" i="17"/>
  <c r="E33" i="17"/>
  <c r="D33" i="17"/>
  <c r="C33" i="17"/>
  <c r="J32" i="17"/>
  <c r="I32" i="17"/>
  <c r="H32" i="17"/>
  <c r="G32" i="17"/>
  <c r="F32" i="17"/>
  <c r="E32" i="17"/>
  <c r="D32" i="17"/>
  <c r="C32" i="17"/>
  <c r="J31" i="17"/>
  <c r="I31" i="17"/>
  <c r="H31" i="17"/>
  <c r="G31" i="17"/>
  <c r="F31" i="17"/>
  <c r="E31" i="17"/>
  <c r="D31" i="17"/>
  <c r="C31" i="17"/>
  <c r="J30" i="17"/>
  <c r="I30" i="17"/>
  <c r="H30" i="17"/>
  <c r="G30" i="17"/>
  <c r="F30" i="17"/>
  <c r="E30" i="17"/>
  <c r="D30" i="17"/>
  <c r="C30" i="17"/>
  <c r="J29" i="17"/>
  <c r="I29" i="17"/>
  <c r="H29" i="17"/>
  <c r="G29" i="17"/>
  <c r="F29" i="17"/>
  <c r="E29" i="17"/>
  <c r="D29" i="17"/>
  <c r="C29" i="17"/>
  <c r="J28" i="17"/>
  <c r="I28" i="17"/>
  <c r="H28" i="17"/>
  <c r="G28" i="17"/>
  <c r="F28" i="17"/>
  <c r="E28" i="17"/>
  <c r="D28" i="17"/>
  <c r="C28" i="17"/>
  <c r="J27" i="17"/>
  <c r="I27" i="17"/>
  <c r="H27" i="17"/>
  <c r="G27" i="17"/>
  <c r="F27" i="17"/>
  <c r="E27" i="17"/>
  <c r="D27" i="17"/>
  <c r="C27" i="17"/>
  <c r="J26" i="17"/>
  <c r="I26" i="17"/>
  <c r="H26" i="17"/>
  <c r="G26" i="17"/>
  <c r="F26" i="17"/>
  <c r="E26" i="17"/>
  <c r="D26" i="17"/>
  <c r="C26" i="17"/>
  <c r="J24" i="17"/>
  <c r="I24" i="17"/>
  <c r="H24" i="17"/>
  <c r="G24" i="17"/>
  <c r="F24" i="17"/>
  <c r="E24" i="17"/>
  <c r="D24" i="17"/>
  <c r="C24" i="17"/>
  <c r="J23" i="17"/>
  <c r="I23" i="17"/>
  <c r="H23" i="17"/>
  <c r="G23" i="17"/>
  <c r="F23" i="17"/>
  <c r="E23" i="17"/>
  <c r="D23" i="17"/>
  <c r="C23" i="17"/>
  <c r="J22" i="17"/>
  <c r="I22" i="17"/>
  <c r="H22" i="17"/>
  <c r="G22" i="17"/>
  <c r="F22" i="17"/>
  <c r="E22" i="17"/>
  <c r="D22" i="17"/>
  <c r="C22" i="17"/>
  <c r="J21" i="17"/>
  <c r="I21" i="17"/>
  <c r="H21" i="17"/>
  <c r="G21" i="17"/>
  <c r="F21" i="17"/>
  <c r="E21" i="17"/>
  <c r="D21" i="17"/>
  <c r="C21" i="17"/>
  <c r="J20" i="17"/>
  <c r="I20" i="17"/>
  <c r="H20" i="17"/>
  <c r="G20" i="17"/>
  <c r="F20" i="17"/>
  <c r="E20" i="17"/>
  <c r="D20" i="17"/>
  <c r="C20" i="17"/>
  <c r="J19" i="17"/>
  <c r="I19" i="17"/>
  <c r="H19" i="17"/>
  <c r="G19" i="17"/>
  <c r="F19" i="17"/>
  <c r="E19" i="17"/>
  <c r="D19" i="17"/>
  <c r="C19" i="17"/>
  <c r="J18" i="17"/>
  <c r="I18" i="17"/>
  <c r="H18" i="17"/>
  <c r="G18" i="17"/>
  <c r="F18" i="17"/>
  <c r="E18" i="17"/>
  <c r="D18" i="17"/>
  <c r="C18" i="17"/>
  <c r="J17" i="17"/>
  <c r="I17" i="17"/>
  <c r="H17" i="17"/>
  <c r="G17" i="17"/>
  <c r="F17" i="17"/>
  <c r="E17" i="17"/>
  <c r="D17" i="17"/>
  <c r="C17" i="17"/>
  <c r="J16" i="17"/>
  <c r="I16" i="17"/>
  <c r="H16" i="17"/>
  <c r="G16" i="17"/>
  <c r="F16" i="17"/>
  <c r="E16" i="17"/>
  <c r="D16" i="17"/>
  <c r="C16" i="17"/>
  <c r="J15" i="17"/>
  <c r="I15" i="17"/>
  <c r="H15" i="17"/>
  <c r="G15" i="17"/>
  <c r="F15" i="17"/>
  <c r="E15" i="17"/>
  <c r="D15" i="17"/>
  <c r="C15" i="17"/>
  <c r="J14" i="17"/>
  <c r="I14" i="17"/>
  <c r="H14" i="17"/>
  <c r="G14" i="17"/>
  <c r="F14" i="17"/>
  <c r="E14" i="17"/>
  <c r="D14" i="17"/>
  <c r="C14" i="17"/>
  <c r="J13" i="17"/>
  <c r="I13" i="17"/>
  <c r="H13" i="17"/>
  <c r="G13" i="17"/>
  <c r="F13" i="17"/>
  <c r="E13" i="17"/>
  <c r="D13" i="17"/>
  <c r="C13" i="17"/>
  <c r="J12" i="17"/>
  <c r="I12" i="17"/>
  <c r="H12" i="17"/>
  <c r="G12" i="17"/>
  <c r="F12" i="17"/>
  <c r="E12" i="17"/>
  <c r="D12" i="17"/>
  <c r="C12" i="17"/>
  <c r="J11" i="17"/>
  <c r="I11" i="17"/>
  <c r="H11" i="17"/>
  <c r="G11" i="17"/>
  <c r="F11" i="17"/>
  <c r="E11" i="17"/>
  <c r="D11" i="17"/>
  <c r="C11" i="17"/>
  <c r="J10" i="17"/>
  <c r="I10" i="17"/>
  <c r="H10" i="17"/>
  <c r="G10" i="17"/>
  <c r="F10" i="17"/>
  <c r="E10" i="17"/>
  <c r="D10" i="17"/>
  <c r="C10" i="17"/>
  <c r="J9" i="17"/>
  <c r="I9" i="17"/>
  <c r="H9" i="17"/>
  <c r="G9" i="17"/>
  <c r="F9" i="17"/>
  <c r="E9" i="17"/>
  <c r="D9" i="17"/>
  <c r="C9" i="17"/>
  <c r="M220" i="16"/>
  <c r="L220" i="16"/>
  <c r="K220" i="16"/>
  <c r="J220" i="16"/>
  <c r="I220" i="16"/>
  <c r="G220" i="16"/>
  <c r="F220" i="16"/>
  <c r="E220" i="16"/>
  <c r="D220" i="16"/>
  <c r="C220" i="16"/>
  <c r="M218" i="16"/>
  <c r="L218" i="16"/>
  <c r="K218" i="16"/>
  <c r="J218" i="16"/>
  <c r="I218" i="16"/>
  <c r="G218" i="16"/>
  <c r="F218" i="16"/>
  <c r="E218" i="16"/>
  <c r="D218" i="16"/>
  <c r="C218" i="16"/>
  <c r="M216" i="16"/>
  <c r="L216" i="16"/>
  <c r="K216" i="16"/>
  <c r="J216" i="16"/>
  <c r="I216" i="16"/>
  <c r="G216" i="16"/>
  <c r="F216" i="16"/>
  <c r="E216" i="16"/>
  <c r="D216" i="16"/>
  <c r="C216" i="16"/>
  <c r="M213" i="16"/>
  <c r="L213" i="16"/>
  <c r="K213" i="16"/>
  <c r="J213" i="16"/>
  <c r="I213" i="16"/>
  <c r="G213" i="16"/>
  <c r="F213" i="16"/>
  <c r="E213" i="16"/>
  <c r="D213" i="16"/>
  <c r="C213" i="16"/>
  <c r="M211" i="16"/>
  <c r="L211" i="16"/>
  <c r="K211" i="16"/>
  <c r="J211" i="16"/>
  <c r="I211" i="16"/>
  <c r="G211" i="16"/>
  <c r="F211" i="16"/>
  <c r="E211" i="16"/>
  <c r="D211" i="16"/>
  <c r="C211" i="16"/>
  <c r="M209" i="16"/>
  <c r="L209" i="16"/>
  <c r="K209" i="16"/>
  <c r="J209" i="16"/>
  <c r="I209" i="16"/>
  <c r="G209" i="16"/>
  <c r="F209" i="16"/>
  <c r="E209" i="16"/>
  <c r="D209" i="16"/>
  <c r="C209" i="16"/>
  <c r="M206" i="16"/>
  <c r="L206" i="16"/>
  <c r="K206" i="16"/>
  <c r="J206" i="16"/>
  <c r="I206" i="16"/>
  <c r="G206" i="16"/>
  <c r="F206" i="16"/>
  <c r="E206" i="16"/>
  <c r="D206" i="16"/>
  <c r="C206" i="16"/>
  <c r="M204" i="16"/>
  <c r="L204" i="16"/>
  <c r="K204" i="16"/>
  <c r="J204" i="16"/>
  <c r="I204" i="16"/>
  <c r="G204" i="16"/>
  <c r="F204" i="16"/>
  <c r="E204" i="16"/>
  <c r="D204" i="16"/>
  <c r="C204" i="16"/>
  <c r="M202" i="16"/>
  <c r="L202" i="16"/>
  <c r="K202" i="16"/>
  <c r="J202" i="16"/>
  <c r="I202" i="16"/>
  <c r="G202" i="16"/>
  <c r="F202" i="16"/>
  <c r="E202" i="16"/>
  <c r="D202" i="16"/>
  <c r="C202" i="16"/>
  <c r="M199" i="16"/>
  <c r="L199" i="16"/>
  <c r="K199" i="16"/>
  <c r="J199" i="16"/>
  <c r="I199" i="16"/>
  <c r="G199" i="16"/>
  <c r="F199" i="16"/>
  <c r="E199" i="16"/>
  <c r="D199" i="16"/>
  <c r="C199" i="16"/>
  <c r="M197" i="16"/>
  <c r="L197" i="16"/>
  <c r="K197" i="16"/>
  <c r="J197" i="16"/>
  <c r="I197" i="16"/>
  <c r="G197" i="16"/>
  <c r="F197" i="16"/>
  <c r="E197" i="16"/>
  <c r="D197" i="16"/>
  <c r="C197" i="16"/>
  <c r="M195" i="16"/>
  <c r="L195" i="16"/>
  <c r="K195" i="16"/>
  <c r="J195" i="16"/>
  <c r="I195" i="16"/>
  <c r="G195" i="16"/>
  <c r="F195" i="16"/>
  <c r="E195" i="16"/>
  <c r="D195" i="16"/>
  <c r="C195" i="16"/>
  <c r="M192" i="16"/>
  <c r="L192" i="16"/>
  <c r="K192" i="16"/>
  <c r="J192" i="16"/>
  <c r="I192" i="16"/>
  <c r="G192" i="16"/>
  <c r="F192" i="16"/>
  <c r="E192" i="16"/>
  <c r="D192" i="16"/>
  <c r="C192" i="16"/>
  <c r="M190" i="16"/>
  <c r="L190" i="16"/>
  <c r="K190" i="16"/>
  <c r="J190" i="16"/>
  <c r="I190" i="16"/>
  <c r="G190" i="16"/>
  <c r="F190" i="16"/>
  <c r="E190" i="16"/>
  <c r="D190" i="16"/>
  <c r="C190" i="16"/>
  <c r="M188" i="16"/>
  <c r="L188" i="16"/>
  <c r="K188" i="16"/>
  <c r="J188" i="16"/>
  <c r="I188" i="16"/>
  <c r="G188" i="16"/>
  <c r="F188" i="16"/>
  <c r="E188" i="16"/>
  <c r="D188" i="16"/>
  <c r="C188" i="16"/>
  <c r="M185" i="16"/>
  <c r="L185" i="16"/>
  <c r="K185" i="16"/>
  <c r="J185" i="16"/>
  <c r="I185" i="16"/>
  <c r="G185" i="16"/>
  <c r="F185" i="16"/>
  <c r="E185" i="16"/>
  <c r="D185" i="16"/>
  <c r="C185" i="16"/>
  <c r="M183" i="16"/>
  <c r="L183" i="16"/>
  <c r="K183" i="16"/>
  <c r="J183" i="16"/>
  <c r="I183" i="16"/>
  <c r="G183" i="16"/>
  <c r="F183" i="16"/>
  <c r="E183" i="16"/>
  <c r="D183" i="16"/>
  <c r="C183" i="16"/>
  <c r="M181" i="16"/>
  <c r="L181" i="16"/>
  <c r="K181" i="16"/>
  <c r="J181" i="16"/>
  <c r="I181" i="16"/>
  <c r="G181" i="16"/>
  <c r="F181" i="16"/>
  <c r="E181" i="16"/>
  <c r="D181" i="16"/>
  <c r="C181" i="16"/>
  <c r="M178" i="16"/>
  <c r="L178" i="16"/>
  <c r="K178" i="16"/>
  <c r="J178" i="16"/>
  <c r="I178" i="16"/>
  <c r="G178" i="16"/>
  <c r="F178" i="16"/>
  <c r="E178" i="16"/>
  <c r="D178" i="16"/>
  <c r="C178" i="16"/>
  <c r="M176" i="16"/>
  <c r="L176" i="16"/>
  <c r="K176" i="16"/>
  <c r="J176" i="16"/>
  <c r="I176" i="16"/>
  <c r="G176" i="16"/>
  <c r="F176" i="16"/>
  <c r="E176" i="16"/>
  <c r="D176" i="16"/>
  <c r="C176" i="16"/>
  <c r="M174" i="16"/>
  <c r="L174" i="16"/>
  <c r="K174" i="16"/>
  <c r="J174" i="16"/>
  <c r="I174" i="16"/>
  <c r="G174" i="16"/>
  <c r="F174" i="16"/>
  <c r="E174" i="16"/>
  <c r="D174" i="16"/>
  <c r="C174" i="16"/>
  <c r="M171" i="16"/>
  <c r="L171" i="16"/>
  <c r="K171" i="16"/>
  <c r="J171" i="16"/>
  <c r="I171" i="16"/>
  <c r="G171" i="16"/>
  <c r="F171" i="16"/>
  <c r="E171" i="16"/>
  <c r="D171" i="16"/>
  <c r="C171" i="16"/>
  <c r="M169" i="16"/>
  <c r="L169" i="16"/>
  <c r="K169" i="16"/>
  <c r="J169" i="16"/>
  <c r="I169" i="16"/>
  <c r="G169" i="16"/>
  <c r="F169" i="16"/>
  <c r="E169" i="16"/>
  <c r="D169" i="16"/>
  <c r="C169" i="16"/>
  <c r="M167" i="16"/>
  <c r="L167" i="16"/>
  <c r="K167" i="16"/>
  <c r="J167" i="16"/>
  <c r="I167" i="16"/>
  <c r="G167" i="16"/>
  <c r="F167" i="16"/>
  <c r="E167" i="16"/>
  <c r="D167" i="16"/>
  <c r="C167" i="16"/>
  <c r="M164" i="16"/>
  <c r="L164" i="16"/>
  <c r="K164" i="16"/>
  <c r="J164" i="16"/>
  <c r="I164" i="16"/>
  <c r="G164" i="16"/>
  <c r="F164" i="16"/>
  <c r="E164" i="16"/>
  <c r="D164" i="16"/>
  <c r="C164" i="16"/>
  <c r="M162" i="16"/>
  <c r="L162" i="16"/>
  <c r="K162" i="16"/>
  <c r="J162" i="16"/>
  <c r="I162" i="16"/>
  <c r="G162" i="16"/>
  <c r="F162" i="16"/>
  <c r="E162" i="16"/>
  <c r="D162" i="16"/>
  <c r="C162" i="16"/>
  <c r="M160" i="16"/>
  <c r="L160" i="16"/>
  <c r="K160" i="16"/>
  <c r="J160" i="16"/>
  <c r="I160" i="16"/>
  <c r="G160" i="16"/>
  <c r="F160" i="16"/>
  <c r="E160" i="16"/>
  <c r="D160" i="16"/>
  <c r="C160" i="16"/>
  <c r="M157" i="16"/>
  <c r="L157" i="16"/>
  <c r="K157" i="16"/>
  <c r="J157" i="16"/>
  <c r="I157" i="16"/>
  <c r="G157" i="16"/>
  <c r="F157" i="16"/>
  <c r="E157" i="16"/>
  <c r="D157" i="16"/>
  <c r="C157" i="16"/>
  <c r="M155" i="16"/>
  <c r="L155" i="16"/>
  <c r="K155" i="16"/>
  <c r="J155" i="16"/>
  <c r="I155" i="16"/>
  <c r="G155" i="16"/>
  <c r="F155" i="16"/>
  <c r="E155" i="16"/>
  <c r="D155" i="16"/>
  <c r="C155" i="16"/>
  <c r="M153" i="16"/>
  <c r="L153" i="16"/>
  <c r="K153" i="16"/>
  <c r="J153" i="16"/>
  <c r="I153" i="16"/>
  <c r="G153" i="16"/>
  <c r="F153" i="16"/>
  <c r="E153" i="16"/>
  <c r="D153" i="16"/>
  <c r="C153" i="16"/>
  <c r="M150" i="16"/>
  <c r="L150" i="16"/>
  <c r="K150" i="16"/>
  <c r="J150" i="16"/>
  <c r="I150" i="16"/>
  <c r="G150" i="16"/>
  <c r="F150" i="16"/>
  <c r="E150" i="16"/>
  <c r="D150" i="16"/>
  <c r="C150" i="16"/>
  <c r="M148" i="16"/>
  <c r="L148" i="16"/>
  <c r="K148" i="16"/>
  <c r="J148" i="16"/>
  <c r="I148" i="16"/>
  <c r="G148" i="16"/>
  <c r="F148" i="16"/>
  <c r="E148" i="16"/>
  <c r="D148" i="16"/>
  <c r="C148" i="16"/>
  <c r="M146" i="16"/>
  <c r="L146" i="16"/>
  <c r="K146" i="16"/>
  <c r="J146" i="16"/>
  <c r="I146" i="16"/>
  <c r="G146" i="16"/>
  <c r="F146" i="16"/>
  <c r="E146" i="16"/>
  <c r="D146" i="16"/>
  <c r="C146" i="16"/>
  <c r="M143" i="16"/>
  <c r="L143" i="16"/>
  <c r="K143" i="16"/>
  <c r="J143" i="16"/>
  <c r="I143" i="16"/>
  <c r="G143" i="16"/>
  <c r="F143" i="16"/>
  <c r="E143" i="16"/>
  <c r="D143" i="16"/>
  <c r="C143" i="16"/>
  <c r="M141" i="16"/>
  <c r="L141" i="16"/>
  <c r="K141" i="16"/>
  <c r="J141" i="16"/>
  <c r="I141" i="16"/>
  <c r="G141" i="16"/>
  <c r="F141" i="16"/>
  <c r="E141" i="16"/>
  <c r="D141" i="16"/>
  <c r="C141" i="16"/>
  <c r="M139" i="16"/>
  <c r="L139" i="16"/>
  <c r="K139" i="16"/>
  <c r="J139" i="16"/>
  <c r="I139" i="16"/>
  <c r="G139" i="16"/>
  <c r="F139" i="16"/>
  <c r="E139" i="16"/>
  <c r="D139" i="16"/>
  <c r="C139" i="16"/>
  <c r="M136" i="16"/>
  <c r="L136" i="16"/>
  <c r="K136" i="16"/>
  <c r="J136" i="16"/>
  <c r="I136" i="16"/>
  <c r="G136" i="16"/>
  <c r="F136" i="16"/>
  <c r="E136" i="16"/>
  <c r="D136" i="16"/>
  <c r="C136" i="16"/>
  <c r="M134" i="16"/>
  <c r="L134" i="16"/>
  <c r="K134" i="16"/>
  <c r="J134" i="16"/>
  <c r="I134" i="16"/>
  <c r="G134" i="16"/>
  <c r="F134" i="16"/>
  <c r="E134" i="16"/>
  <c r="D134" i="16"/>
  <c r="C134" i="16"/>
  <c r="M132" i="16"/>
  <c r="L132" i="16"/>
  <c r="K132" i="16"/>
  <c r="J132" i="16"/>
  <c r="I132" i="16"/>
  <c r="G132" i="16"/>
  <c r="F132" i="16"/>
  <c r="E132" i="16"/>
  <c r="D132" i="16"/>
  <c r="C132" i="16"/>
  <c r="M129" i="16"/>
  <c r="L129" i="16"/>
  <c r="K129" i="16"/>
  <c r="J129" i="16"/>
  <c r="I129" i="16"/>
  <c r="G129" i="16"/>
  <c r="F129" i="16"/>
  <c r="E129" i="16"/>
  <c r="D129" i="16"/>
  <c r="C129" i="16"/>
  <c r="M127" i="16"/>
  <c r="L127" i="16"/>
  <c r="K127" i="16"/>
  <c r="J127" i="16"/>
  <c r="I127" i="16"/>
  <c r="G127" i="16"/>
  <c r="F127" i="16"/>
  <c r="E127" i="16"/>
  <c r="D127" i="16"/>
  <c r="C127" i="16"/>
  <c r="M125" i="16"/>
  <c r="L125" i="16"/>
  <c r="K125" i="16"/>
  <c r="J125" i="16"/>
  <c r="I125" i="16"/>
  <c r="G125" i="16"/>
  <c r="F125" i="16"/>
  <c r="E125" i="16"/>
  <c r="D125" i="16"/>
  <c r="C125" i="16"/>
  <c r="M122" i="16"/>
  <c r="L122" i="16"/>
  <c r="K122" i="16"/>
  <c r="J122" i="16"/>
  <c r="I122" i="16"/>
  <c r="G122" i="16"/>
  <c r="F122" i="16"/>
  <c r="E122" i="16"/>
  <c r="D122" i="16"/>
  <c r="C122" i="16"/>
  <c r="M120" i="16"/>
  <c r="L120" i="16"/>
  <c r="K120" i="16"/>
  <c r="J120" i="16"/>
  <c r="I120" i="16"/>
  <c r="G120" i="16"/>
  <c r="F120" i="16"/>
  <c r="E120" i="16"/>
  <c r="D120" i="16"/>
  <c r="C120" i="16"/>
  <c r="M118" i="16"/>
  <c r="L118" i="16"/>
  <c r="K118" i="16"/>
  <c r="J118" i="16"/>
  <c r="I118" i="16"/>
  <c r="G118" i="16"/>
  <c r="F118" i="16"/>
  <c r="E118" i="16"/>
  <c r="D118" i="16"/>
  <c r="C118" i="16"/>
  <c r="M113" i="16"/>
  <c r="L113" i="16"/>
  <c r="K113" i="16"/>
  <c r="J113" i="16"/>
  <c r="I113" i="16"/>
  <c r="G113" i="16"/>
  <c r="F113" i="16"/>
  <c r="E113" i="16"/>
  <c r="D113" i="16"/>
  <c r="C113" i="16"/>
  <c r="M111" i="16"/>
  <c r="L111" i="16"/>
  <c r="K111" i="16"/>
  <c r="J111" i="16"/>
  <c r="I111" i="16"/>
  <c r="G111" i="16"/>
  <c r="F111" i="16"/>
  <c r="E111" i="16"/>
  <c r="D111" i="16"/>
  <c r="C111" i="16"/>
  <c r="M109" i="16"/>
  <c r="L109" i="16"/>
  <c r="K109" i="16"/>
  <c r="J109" i="16"/>
  <c r="I109" i="16"/>
  <c r="G109" i="16"/>
  <c r="F109" i="16"/>
  <c r="E109" i="16"/>
  <c r="D109" i="16"/>
  <c r="C109" i="16"/>
  <c r="M106" i="16"/>
  <c r="L106" i="16"/>
  <c r="K106" i="16"/>
  <c r="J106" i="16"/>
  <c r="I106" i="16"/>
  <c r="G106" i="16"/>
  <c r="F106" i="16"/>
  <c r="E106" i="16"/>
  <c r="D106" i="16"/>
  <c r="C106" i="16"/>
  <c r="M104" i="16"/>
  <c r="L104" i="16"/>
  <c r="K104" i="16"/>
  <c r="J104" i="16"/>
  <c r="I104" i="16"/>
  <c r="G104" i="16"/>
  <c r="F104" i="16"/>
  <c r="E104" i="16"/>
  <c r="D104" i="16"/>
  <c r="C104" i="16"/>
  <c r="M102" i="16"/>
  <c r="L102" i="16"/>
  <c r="K102" i="16"/>
  <c r="J102" i="16"/>
  <c r="I102" i="16"/>
  <c r="G102" i="16"/>
  <c r="F102" i="16"/>
  <c r="E102" i="16"/>
  <c r="D102" i="16"/>
  <c r="C102" i="16"/>
  <c r="M99" i="16"/>
  <c r="L99" i="16"/>
  <c r="K99" i="16"/>
  <c r="J99" i="16"/>
  <c r="I99" i="16"/>
  <c r="G99" i="16"/>
  <c r="F99" i="16"/>
  <c r="E99" i="16"/>
  <c r="D99" i="16"/>
  <c r="C99" i="16"/>
  <c r="M97" i="16"/>
  <c r="L97" i="16"/>
  <c r="K97" i="16"/>
  <c r="J97" i="16"/>
  <c r="I97" i="16"/>
  <c r="G97" i="16"/>
  <c r="F97" i="16"/>
  <c r="E97" i="16"/>
  <c r="D97" i="16"/>
  <c r="C97" i="16"/>
  <c r="M95" i="16"/>
  <c r="L95" i="16"/>
  <c r="K95" i="16"/>
  <c r="J95" i="16"/>
  <c r="I95" i="16"/>
  <c r="G95" i="16"/>
  <c r="F95" i="16"/>
  <c r="E95" i="16"/>
  <c r="D95" i="16"/>
  <c r="C95" i="16"/>
  <c r="M92" i="16"/>
  <c r="L92" i="16"/>
  <c r="K92" i="16"/>
  <c r="J92" i="16"/>
  <c r="I92" i="16"/>
  <c r="G92" i="16"/>
  <c r="F92" i="16"/>
  <c r="E92" i="16"/>
  <c r="D92" i="16"/>
  <c r="C92" i="16"/>
  <c r="M90" i="16"/>
  <c r="L90" i="16"/>
  <c r="K90" i="16"/>
  <c r="J90" i="16"/>
  <c r="I90" i="16"/>
  <c r="G90" i="16"/>
  <c r="F90" i="16"/>
  <c r="E90" i="16"/>
  <c r="D90" i="16"/>
  <c r="C90" i="16"/>
  <c r="M88" i="16"/>
  <c r="L88" i="16"/>
  <c r="K88" i="16"/>
  <c r="J88" i="16"/>
  <c r="I88" i="16"/>
  <c r="G88" i="16"/>
  <c r="F88" i="16"/>
  <c r="E88" i="16"/>
  <c r="D88" i="16"/>
  <c r="C88" i="16"/>
  <c r="M85" i="16"/>
  <c r="L85" i="16"/>
  <c r="K85" i="16"/>
  <c r="J85" i="16"/>
  <c r="I85" i="16"/>
  <c r="G85" i="16"/>
  <c r="F85" i="16"/>
  <c r="E85" i="16"/>
  <c r="D85" i="16"/>
  <c r="C85" i="16"/>
  <c r="M83" i="16"/>
  <c r="L83" i="16"/>
  <c r="K83" i="16"/>
  <c r="J83" i="16"/>
  <c r="I83" i="16"/>
  <c r="G83" i="16"/>
  <c r="F83" i="16"/>
  <c r="E83" i="16"/>
  <c r="D83" i="16"/>
  <c r="C83" i="16"/>
  <c r="M81" i="16"/>
  <c r="L81" i="16"/>
  <c r="K81" i="16"/>
  <c r="J81" i="16"/>
  <c r="I81" i="16"/>
  <c r="G81" i="16"/>
  <c r="F81" i="16"/>
  <c r="E81" i="16"/>
  <c r="D81" i="16"/>
  <c r="C81" i="16"/>
  <c r="M78" i="16"/>
  <c r="L78" i="16"/>
  <c r="K78" i="16"/>
  <c r="J78" i="16"/>
  <c r="I78" i="16"/>
  <c r="G78" i="16"/>
  <c r="F78" i="16"/>
  <c r="E78" i="16"/>
  <c r="D78" i="16"/>
  <c r="C78" i="16"/>
  <c r="M76" i="16"/>
  <c r="L76" i="16"/>
  <c r="K76" i="16"/>
  <c r="J76" i="16"/>
  <c r="I76" i="16"/>
  <c r="G76" i="16"/>
  <c r="F76" i="16"/>
  <c r="E76" i="16"/>
  <c r="D76" i="16"/>
  <c r="C76" i="16"/>
  <c r="M74" i="16"/>
  <c r="L74" i="16"/>
  <c r="K74" i="16"/>
  <c r="J74" i="16"/>
  <c r="I74" i="16"/>
  <c r="G74" i="16"/>
  <c r="F74" i="16"/>
  <c r="E74" i="16"/>
  <c r="D74" i="16"/>
  <c r="C74" i="16"/>
  <c r="M71" i="16"/>
  <c r="L71" i="16"/>
  <c r="K71" i="16"/>
  <c r="J71" i="16"/>
  <c r="I71" i="16"/>
  <c r="G71" i="16"/>
  <c r="F71" i="16"/>
  <c r="E71" i="16"/>
  <c r="D71" i="16"/>
  <c r="C71" i="16"/>
  <c r="M69" i="16"/>
  <c r="L69" i="16"/>
  <c r="K69" i="16"/>
  <c r="J69" i="16"/>
  <c r="I69" i="16"/>
  <c r="G69" i="16"/>
  <c r="F69" i="16"/>
  <c r="E69" i="16"/>
  <c r="D69" i="16"/>
  <c r="C69" i="16"/>
  <c r="M67" i="16"/>
  <c r="L67" i="16"/>
  <c r="K67" i="16"/>
  <c r="J67" i="16"/>
  <c r="I67" i="16"/>
  <c r="G67" i="16"/>
  <c r="F67" i="16"/>
  <c r="E67" i="16"/>
  <c r="D67" i="16"/>
  <c r="C67" i="16"/>
  <c r="M64" i="16"/>
  <c r="L64" i="16"/>
  <c r="K64" i="16"/>
  <c r="J64" i="16"/>
  <c r="I64" i="16"/>
  <c r="G64" i="16"/>
  <c r="F64" i="16"/>
  <c r="E64" i="16"/>
  <c r="D64" i="16"/>
  <c r="C64" i="16"/>
  <c r="M62" i="16"/>
  <c r="L62" i="16"/>
  <c r="K62" i="16"/>
  <c r="J62" i="16"/>
  <c r="I62" i="16"/>
  <c r="G62" i="16"/>
  <c r="F62" i="16"/>
  <c r="E62" i="16"/>
  <c r="D62" i="16"/>
  <c r="C62" i="16"/>
  <c r="M60" i="16"/>
  <c r="L60" i="16"/>
  <c r="K60" i="16"/>
  <c r="J60" i="16"/>
  <c r="I60" i="16"/>
  <c r="G60" i="16"/>
  <c r="F60" i="16"/>
  <c r="E60" i="16"/>
  <c r="D60" i="16"/>
  <c r="C60" i="16"/>
  <c r="M57" i="16"/>
  <c r="L57" i="16"/>
  <c r="K57" i="16"/>
  <c r="J57" i="16"/>
  <c r="I57" i="16"/>
  <c r="G57" i="16"/>
  <c r="F57" i="16"/>
  <c r="E57" i="16"/>
  <c r="D57" i="16"/>
  <c r="C57" i="16"/>
  <c r="M55" i="16"/>
  <c r="L55" i="16"/>
  <c r="K55" i="16"/>
  <c r="J55" i="16"/>
  <c r="I55" i="16"/>
  <c r="G55" i="16"/>
  <c r="F55" i="16"/>
  <c r="E55" i="16"/>
  <c r="D55" i="16"/>
  <c r="C55" i="16"/>
  <c r="M53" i="16"/>
  <c r="L53" i="16"/>
  <c r="K53" i="16"/>
  <c r="J53" i="16"/>
  <c r="I53" i="16"/>
  <c r="G53" i="16"/>
  <c r="F53" i="16"/>
  <c r="E53" i="16"/>
  <c r="D53" i="16"/>
  <c r="C53" i="16"/>
  <c r="M50" i="16"/>
  <c r="L50" i="16"/>
  <c r="K50" i="16"/>
  <c r="J50" i="16"/>
  <c r="I50" i="16"/>
  <c r="G50" i="16"/>
  <c r="F50" i="16"/>
  <c r="E50" i="16"/>
  <c r="D50" i="16"/>
  <c r="C50" i="16"/>
  <c r="M48" i="16"/>
  <c r="L48" i="16"/>
  <c r="K48" i="16"/>
  <c r="J48" i="16"/>
  <c r="I48" i="16"/>
  <c r="G48" i="16"/>
  <c r="F48" i="16"/>
  <c r="E48" i="16"/>
  <c r="D48" i="16"/>
  <c r="C48" i="16"/>
  <c r="M46" i="16"/>
  <c r="L46" i="16"/>
  <c r="K46" i="16"/>
  <c r="J46" i="16"/>
  <c r="I46" i="16"/>
  <c r="G46" i="16"/>
  <c r="F46" i="16"/>
  <c r="E46" i="16"/>
  <c r="D46" i="16"/>
  <c r="C46" i="16"/>
  <c r="M43" i="16"/>
  <c r="L43" i="16"/>
  <c r="K43" i="16"/>
  <c r="J43" i="16"/>
  <c r="I43" i="16"/>
  <c r="G43" i="16"/>
  <c r="F43" i="16"/>
  <c r="E43" i="16"/>
  <c r="D43" i="16"/>
  <c r="C43" i="16"/>
  <c r="M41" i="16"/>
  <c r="L41" i="16"/>
  <c r="K41" i="16"/>
  <c r="J41" i="16"/>
  <c r="I41" i="16"/>
  <c r="G41" i="16"/>
  <c r="F41" i="16"/>
  <c r="E41" i="16"/>
  <c r="D41" i="16"/>
  <c r="C41" i="16"/>
  <c r="M39" i="16"/>
  <c r="L39" i="16"/>
  <c r="K39" i="16"/>
  <c r="J39" i="16"/>
  <c r="I39" i="16"/>
  <c r="G39" i="16"/>
  <c r="F39" i="16"/>
  <c r="E39" i="16"/>
  <c r="D39" i="16"/>
  <c r="C39" i="16"/>
  <c r="M36" i="16"/>
  <c r="L36" i="16"/>
  <c r="K36" i="16"/>
  <c r="J36" i="16"/>
  <c r="I36" i="16"/>
  <c r="G36" i="16"/>
  <c r="F36" i="16"/>
  <c r="E36" i="16"/>
  <c r="D36" i="16"/>
  <c r="C36" i="16"/>
  <c r="M34" i="16"/>
  <c r="L34" i="16"/>
  <c r="K34" i="16"/>
  <c r="J34" i="16"/>
  <c r="I34" i="16"/>
  <c r="G34" i="16"/>
  <c r="F34" i="16"/>
  <c r="E34" i="16"/>
  <c r="D34" i="16"/>
  <c r="C34" i="16"/>
  <c r="M32" i="16"/>
  <c r="L32" i="16"/>
  <c r="K32" i="16"/>
  <c r="J32" i="16"/>
  <c r="I32" i="16"/>
  <c r="G32" i="16"/>
  <c r="F32" i="16"/>
  <c r="E32" i="16"/>
  <c r="D32" i="16"/>
  <c r="C32" i="16"/>
  <c r="M29" i="16"/>
  <c r="L29" i="16"/>
  <c r="K29" i="16"/>
  <c r="J29" i="16"/>
  <c r="I29" i="16"/>
  <c r="G29" i="16"/>
  <c r="F29" i="16"/>
  <c r="E29" i="16"/>
  <c r="D29" i="16"/>
  <c r="C29" i="16"/>
  <c r="M27" i="16"/>
  <c r="L27" i="16"/>
  <c r="K27" i="16"/>
  <c r="J27" i="16"/>
  <c r="I27" i="16"/>
  <c r="G27" i="16"/>
  <c r="F27" i="16"/>
  <c r="E27" i="16"/>
  <c r="D27" i="16"/>
  <c r="C27" i="16"/>
  <c r="M25" i="16"/>
  <c r="L25" i="16"/>
  <c r="K25" i="16"/>
  <c r="J25" i="16"/>
  <c r="I25" i="16"/>
  <c r="G25" i="16"/>
  <c r="F25" i="16"/>
  <c r="E25" i="16"/>
  <c r="D25" i="16"/>
  <c r="C25" i="16"/>
  <c r="M22" i="16"/>
  <c r="L22" i="16"/>
  <c r="K22" i="16"/>
  <c r="J22" i="16"/>
  <c r="I22" i="16"/>
  <c r="G22" i="16"/>
  <c r="F22" i="16"/>
  <c r="E22" i="16"/>
  <c r="D22" i="16"/>
  <c r="C22" i="16"/>
  <c r="M20" i="16"/>
  <c r="L20" i="16"/>
  <c r="K20" i="16"/>
  <c r="J20" i="16"/>
  <c r="I20" i="16"/>
  <c r="G20" i="16"/>
  <c r="F20" i="16"/>
  <c r="E20" i="16"/>
  <c r="D20" i="16"/>
  <c r="C20" i="16"/>
  <c r="M18" i="16"/>
  <c r="L18" i="16"/>
  <c r="K18" i="16"/>
  <c r="J18" i="16"/>
  <c r="I18" i="16"/>
  <c r="G18" i="16"/>
  <c r="F18" i="16"/>
  <c r="E18" i="16"/>
  <c r="D18" i="16"/>
  <c r="C18" i="16"/>
  <c r="M15" i="16"/>
  <c r="L15" i="16"/>
  <c r="K15" i="16"/>
  <c r="J15" i="16"/>
  <c r="I15" i="16"/>
  <c r="G15" i="16"/>
  <c r="F15" i="16"/>
  <c r="E15" i="16"/>
  <c r="D15" i="16"/>
  <c r="C15" i="16"/>
  <c r="M13" i="16"/>
  <c r="L13" i="16"/>
  <c r="K13" i="16"/>
  <c r="J13" i="16"/>
  <c r="I13" i="16"/>
  <c r="G13" i="16"/>
  <c r="F13" i="16"/>
  <c r="E13" i="16"/>
  <c r="D13" i="16"/>
  <c r="C13" i="16"/>
  <c r="M11" i="16"/>
  <c r="L11" i="16"/>
  <c r="K11" i="16"/>
  <c r="J11" i="16"/>
  <c r="I11" i="16"/>
  <c r="G11" i="16"/>
  <c r="F11" i="16"/>
  <c r="E11" i="16"/>
  <c r="D11" i="16"/>
  <c r="C11" i="16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127" i="20"/>
  <c r="B123" i="20"/>
  <c r="B119" i="20"/>
  <c r="B115" i="20"/>
  <c r="B111" i="20"/>
  <c r="B107" i="20"/>
  <c r="B103" i="20"/>
  <c r="B99" i="20"/>
  <c r="B95" i="20"/>
  <c r="B91" i="20"/>
  <c r="B87" i="20"/>
  <c r="B83" i="20"/>
  <c r="B79" i="20"/>
  <c r="B75" i="20"/>
  <c r="B71" i="20"/>
  <c r="B65" i="20"/>
  <c r="B61" i="20"/>
  <c r="B57" i="20"/>
  <c r="B53" i="20"/>
  <c r="B49" i="20"/>
  <c r="B45" i="20"/>
  <c r="B41" i="20"/>
  <c r="B37" i="20"/>
  <c r="B33" i="20"/>
  <c r="B29" i="20"/>
  <c r="B25" i="20"/>
  <c r="B21" i="20"/>
  <c r="B17" i="20"/>
  <c r="B13" i="20"/>
  <c r="B9" i="20"/>
  <c r="A88" i="18"/>
  <c r="A86" i="18"/>
  <c r="A84" i="18"/>
  <c r="A82" i="18"/>
  <c r="A80" i="18"/>
  <c r="A78" i="18"/>
  <c r="A76" i="18"/>
  <c r="A74" i="18"/>
  <c r="A72" i="18"/>
  <c r="A71" i="18"/>
  <c r="A69" i="18"/>
  <c r="A67" i="18"/>
  <c r="A65" i="18"/>
  <c r="A63" i="18"/>
  <c r="A61" i="18"/>
  <c r="A59" i="18"/>
  <c r="A57" i="18"/>
  <c r="A56" i="18"/>
  <c r="A54" i="18"/>
  <c r="A53" i="18"/>
  <c r="H52" i="18"/>
  <c r="G52" i="18"/>
  <c r="F52" i="18"/>
  <c r="E52" i="18"/>
  <c r="D52" i="18"/>
  <c r="C52" i="18"/>
  <c r="A52" i="18"/>
  <c r="H51" i="18"/>
  <c r="G51" i="18"/>
  <c r="F51" i="18"/>
  <c r="E51" i="18"/>
  <c r="D51" i="18"/>
  <c r="C51" i="18"/>
  <c r="A50" i="18"/>
  <c r="G47" i="18"/>
  <c r="A47" i="18"/>
  <c r="H7" i="18"/>
  <c r="G7" i="18"/>
  <c r="F7" i="18"/>
  <c r="E7" i="18"/>
  <c r="D7" i="18"/>
  <c r="C7" i="18"/>
  <c r="A7" i="18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A214" i="16"/>
  <c r="A207" i="16"/>
  <c r="A200" i="16"/>
  <c r="A193" i="16"/>
  <c r="A186" i="16"/>
  <c r="A179" i="16"/>
  <c r="A172" i="16"/>
  <c r="A165" i="16"/>
  <c r="A158" i="16"/>
  <c r="A151" i="16"/>
  <c r="A144" i="16"/>
  <c r="A137" i="16"/>
  <c r="A130" i="16"/>
  <c r="A123" i="16"/>
  <c r="A107" i="16"/>
  <c r="A100" i="16"/>
  <c r="A93" i="16"/>
  <c r="A86" i="16"/>
  <c r="A79" i="16"/>
  <c r="A72" i="16"/>
  <c r="A65" i="16"/>
  <c r="A58" i="16"/>
  <c r="A51" i="16"/>
  <c r="A44" i="16"/>
  <c r="A37" i="16"/>
  <c r="A30" i="16"/>
  <c r="A23" i="16"/>
  <c r="A16" i="16"/>
  <c r="C5" i="15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A35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A33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A31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A28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A26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24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A21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A19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A17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14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A12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A10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2" i="13"/>
  <c r="A3" i="13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A35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A33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A31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A28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A26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A24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A21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A19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A17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14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12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10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O2" i="11"/>
  <c r="A3" i="11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F2" i="9"/>
  <c r="A3" i="9"/>
  <c r="K79" i="14"/>
  <c r="J79" i="14"/>
  <c r="I79" i="14"/>
  <c r="H79" i="14"/>
  <c r="G79" i="14"/>
  <c r="F79" i="14"/>
  <c r="E79" i="14"/>
  <c r="D79" i="14"/>
  <c r="C79" i="14"/>
  <c r="B79" i="14"/>
  <c r="K78" i="14"/>
  <c r="J78" i="14"/>
  <c r="I78" i="14"/>
  <c r="H78" i="14"/>
  <c r="G78" i="14"/>
  <c r="F78" i="14"/>
  <c r="E78" i="14"/>
  <c r="D78" i="14"/>
  <c r="C78" i="14"/>
  <c r="B78" i="14"/>
  <c r="K77" i="14"/>
  <c r="J77" i="14"/>
  <c r="I77" i="14"/>
  <c r="H77" i="14"/>
  <c r="G77" i="14"/>
  <c r="F77" i="14"/>
  <c r="E77" i="14"/>
  <c r="D77" i="14"/>
  <c r="C77" i="14"/>
  <c r="B77" i="14"/>
  <c r="K76" i="14"/>
  <c r="J76" i="14"/>
  <c r="I76" i="14"/>
  <c r="H76" i="14"/>
  <c r="G76" i="14"/>
  <c r="F76" i="14"/>
  <c r="E76" i="14"/>
  <c r="D76" i="14"/>
  <c r="C76" i="14"/>
  <c r="B76" i="14"/>
  <c r="K75" i="14"/>
  <c r="J75" i="14"/>
  <c r="I75" i="14"/>
  <c r="H75" i="14"/>
  <c r="G75" i="14"/>
  <c r="F75" i="14"/>
  <c r="E75" i="14"/>
  <c r="D75" i="14"/>
  <c r="C75" i="14"/>
  <c r="B75" i="14"/>
  <c r="K74" i="14"/>
  <c r="J74" i="14"/>
  <c r="I74" i="14"/>
  <c r="H74" i="14"/>
  <c r="G74" i="14"/>
  <c r="F74" i="14"/>
  <c r="E74" i="14"/>
  <c r="D74" i="14"/>
  <c r="C74" i="14"/>
  <c r="B74" i="14"/>
  <c r="K73" i="14"/>
  <c r="J73" i="14"/>
  <c r="I73" i="14"/>
  <c r="H73" i="14"/>
  <c r="G73" i="14"/>
  <c r="F73" i="14"/>
  <c r="E73" i="14"/>
  <c r="D73" i="14"/>
  <c r="C73" i="14"/>
  <c r="B73" i="14"/>
  <c r="K72" i="14"/>
  <c r="J72" i="14"/>
  <c r="I72" i="14"/>
  <c r="H72" i="14"/>
  <c r="G72" i="14"/>
  <c r="F72" i="14"/>
  <c r="E72" i="14"/>
  <c r="D72" i="14"/>
  <c r="C72" i="14"/>
  <c r="B72" i="14"/>
  <c r="K71" i="14"/>
  <c r="J71" i="14"/>
  <c r="I71" i="14"/>
  <c r="H71" i="14"/>
  <c r="G71" i="14"/>
  <c r="F71" i="14"/>
  <c r="E71" i="14"/>
  <c r="D71" i="14"/>
  <c r="C71" i="14"/>
  <c r="B71" i="14"/>
  <c r="K70" i="14"/>
  <c r="J70" i="14"/>
  <c r="I70" i="14"/>
  <c r="H70" i="14"/>
  <c r="G70" i="14"/>
  <c r="F70" i="14"/>
  <c r="E70" i="14"/>
  <c r="D70" i="14"/>
  <c r="C70" i="14"/>
  <c r="B70" i="14"/>
  <c r="K69" i="14"/>
  <c r="J69" i="14"/>
  <c r="I69" i="14"/>
  <c r="H69" i="14"/>
  <c r="G69" i="14"/>
  <c r="F69" i="14"/>
  <c r="E69" i="14"/>
  <c r="D69" i="14"/>
  <c r="C69" i="14"/>
  <c r="B69" i="14"/>
  <c r="K68" i="14"/>
  <c r="J68" i="14"/>
  <c r="I68" i="14"/>
  <c r="H68" i="14"/>
  <c r="G68" i="14"/>
  <c r="F68" i="14"/>
  <c r="E68" i="14"/>
  <c r="D68" i="14"/>
  <c r="C68" i="14"/>
  <c r="B68" i="14"/>
  <c r="K67" i="14"/>
  <c r="J67" i="14"/>
  <c r="I67" i="14"/>
  <c r="H67" i="14"/>
  <c r="G67" i="14"/>
  <c r="F67" i="14"/>
  <c r="E67" i="14"/>
  <c r="D67" i="14"/>
  <c r="C67" i="14"/>
  <c r="B67" i="14"/>
  <c r="K66" i="14"/>
  <c r="J66" i="14"/>
  <c r="I66" i="14"/>
  <c r="H66" i="14"/>
  <c r="G66" i="14"/>
  <c r="F66" i="14"/>
  <c r="E66" i="14"/>
  <c r="D66" i="14"/>
  <c r="C66" i="14"/>
  <c r="B66" i="14"/>
  <c r="K65" i="14"/>
  <c r="J65" i="14"/>
  <c r="I65" i="14"/>
  <c r="H65" i="14"/>
  <c r="G65" i="14"/>
  <c r="F65" i="14"/>
  <c r="E65" i="14"/>
  <c r="D65" i="14"/>
  <c r="C65" i="14"/>
  <c r="B65" i="14"/>
  <c r="K63" i="14"/>
  <c r="J63" i="14"/>
  <c r="I63" i="14"/>
  <c r="H63" i="14"/>
  <c r="G63" i="14"/>
  <c r="F63" i="14"/>
  <c r="E63" i="14"/>
  <c r="D63" i="14"/>
  <c r="C63" i="14"/>
  <c r="B63" i="14"/>
  <c r="K62" i="14"/>
  <c r="J62" i="14"/>
  <c r="I62" i="14"/>
  <c r="H62" i="14"/>
  <c r="G62" i="14"/>
  <c r="F62" i="14"/>
  <c r="E62" i="14"/>
  <c r="D62" i="14"/>
  <c r="C62" i="14"/>
  <c r="B62" i="14"/>
  <c r="K61" i="14"/>
  <c r="J61" i="14"/>
  <c r="I61" i="14"/>
  <c r="H61" i="14"/>
  <c r="G61" i="14"/>
  <c r="F61" i="14"/>
  <c r="E61" i="14"/>
  <c r="D61" i="14"/>
  <c r="C61" i="14"/>
  <c r="B61" i="14"/>
  <c r="K60" i="14"/>
  <c r="J60" i="14"/>
  <c r="I60" i="14"/>
  <c r="H60" i="14"/>
  <c r="G60" i="14"/>
  <c r="F60" i="14"/>
  <c r="E60" i="14"/>
  <c r="D60" i="14"/>
  <c r="C60" i="14"/>
  <c r="B60" i="14"/>
  <c r="K59" i="14"/>
  <c r="J59" i="14"/>
  <c r="I59" i="14"/>
  <c r="H59" i="14"/>
  <c r="G59" i="14"/>
  <c r="F59" i="14"/>
  <c r="E59" i="14"/>
  <c r="D59" i="14"/>
  <c r="C59" i="14"/>
  <c r="B59" i="14"/>
  <c r="K58" i="14"/>
  <c r="J58" i="14"/>
  <c r="I58" i="14"/>
  <c r="H58" i="14"/>
  <c r="G58" i="14"/>
  <c r="F58" i="14"/>
  <c r="E58" i="14"/>
  <c r="D58" i="14"/>
  <c r="C58" i="14"/>
  <c r="B58" i="14"/>
  <c r="K57" i="14"/>
  <c r="J57" i="14"/>
  <c r="I57" i="14"/>
  <c r="H57" i="14"/>
  <c r="G57" i="14"/>
  <c r="F57" i="14"/>
  <c r="E57" i="14"/>
  <c r="D57" i="14"/>
  <c r="C57" i="14"/>
  <c r="B57" i="14"/>
  <c r="K56" i="14"/>
  <c r="J56" i="14"/>
  <c r="I56" i="14"/>
  <c r="H56" i="14"/>
  <c r="G56" i="14"/>
  <c r="F56" i="14"/>
  <c r="E56" i="14"/>
  <c r="D56" i="14"/>
  <c r="C56" i="14"/>
  <c r="B56" i="14"/>
  <c r="K55" i="14"/>
  <c r="J55" i="14"/>
  <c r="I55" i="14"/>
  <c r="H55" i="14"/>
  <c r="G55" i="14"/>
  <c r="F55" i="14"/>
  <c r="E55" i="14"/>
  <c r="D55" i="14"/>
  <c r="C55" i="14"/>
  <c r="B55" i="14"/>
  <c r="K54" i="14"/>
  <c r="J54" i="14"/>
  <c r="I54" i="14"/>
  <c r="H54" i="14"/>
  <c r="G54" i="14"/>
  <c r="F54" i="14"/>
  <c r="E54" i="14"/>
  <c r="D54" i="14"/>
  <c r="C54" i="14"/>
  <c r="B54" i="14"/>
  <c r="K53" i="14"/>
  <c r="J53" i="14"/>
  <c r="I53" i="14"/>
  <c r="H53" i="14"/>
  <c r="G53" i="14"/>
  <c r="F53" i="14"/>
  <c r="E53" i="14"/>
  <c r="D53" i="14"/>
  <c r="C53" i="14"/>
  <c r="B53" i="14"/>
  <c r="K52" i="14"/>
  <c r="J52" i="14"/>
  <c r="I52" i="14"/>
  <c r="H52" i="14"/>
  <c r="G52" i="14"/>
  <c r="F52" i="14"/>
  <c r="E52" i="14"/>
  <c r="D52" i="14"/>
  <c r="C52" i="14"/>
  <c r="B52" i="14"/>
  <c r="K51" i="14"/>
  <c r="J51" i="14"/>
  <c r="I51" i="14"/>
  <c r="H51" i="14"/>
  <c r="G51" i="14"/>
  <c r="F51" i="14"/>
  <c r="E51" i="14"/>
  <c r="D51" i="14"/>
  <c r="C51" i="14"/>
  <c r="B51" i="14"/>
  <c r="K50" i="14"/>
  <c r="J50" i="14"/>
  <c r="I50" i="14"/>
  <c r="H50" i="14"/>
  <c r="G50" i="14"/>
  <c r="F50" i="14"/>
  <c r="E50" i="14"/>
  <c r="D50" i="14"/>
  <c r="C50" i="14"/>
  <c r="B50" i="14"/>
  <c r="K49" i="14"/>
  <c r="J49" i="14"/>
  <c r="I49" i="14"/>
  <c r="H49" i="14"/>
  <c r="G49" i="14"/>
  <c r="F49" i="14"/>
  <c r="E49" i="14"/>
  <c r="D49" i="14"/>
  <c r="C49" i="14"/>
  <c r="B49" i="14"/>
  <c r="K47" i="14"/>
  <c r="J47" i="14"/>
  <c r="I47" i="14"/>
  <c r="H47" i="14"/>
  <c r="G47" i="14"/>
  <c r="F47" i="14"/>
  <c r="E47" i="14"/>
  <c r="D47" i="14"/>
  <c r="C47" i="14"/>
  <c r="B47" i="14"/>
  <c r="A47" i="14"/>
  <c r="J42" i="14"/>
  <c r="K7" i="14"/>
  <c r="J7" i="14"/>
  <c r="I7" i="14"/>
  <c r="H7" i="14"/>
  <c r="G7" i="14"/>
  <c r="F7" i="14"/>
  <c r="E7" i="14"/>
  <c r="D7" i="14"/>
  <c r="C7" i="14"/>
  <c r="B7" i="14"/>
  <c r="A7" i="14"/>
  <c r="J2" i="14"/>
  <c r="K79" i="12"/>
  <c r="J79" i="12"/>
  <c r="I79" i="12"/>
  <c r="H79" i="12"/>
  <c r="G79" i="12"/>
  <c r="F79" i="12"/>
  <c r="E79" i="12"/>
  <c r="D79" i="12"/>
  <c r="C79" i="12"/>
  <c r="B79" i="12"/>
  <c r="K78" i="12"/>
  <c r="J78" i="12"/>
  <c r="I78" i="12"/>
  <c r="H78" i="12"/>
  <c r="G78" i="12"/>
  <c r="F78" i="12"/>
  <c r="E78" i="12"/>
  <c r="D78" i="12"/>
  <c r="C78" i="12"/>
  <c r="B78" i="12"/>
  <c r="K77" i="12"/>
  <c r="J77" i="12"/>
  <c r="I77" i="12"/>
  <c r="H77" i="12"/>
  <c r="G77" i="12"/>
  <c r="F77" i="12"/>
  <c r="E77" i="12"/>
  <c r="D77" i="12"/>
  <c r="C77" i="12"/>
  <c r="B77" i="12"/>
  <c r="K76" i="12"/>
  <c r="J76" i="12"/>
  <c r="I76" i="12"/>
  <c r="H76" i="12"/>
  <c r="G76" i="12"/>
  <c r="F76" i="12"/>
  <c r="E76" i="12"/>
  <c r="D76" i="12"/>
  <c r="C76" i="12"/>
  <c r="B76" i="12"/>
  <c r="K75" i="12"/>
  <c r="J75" i="12"/>
  <c r="I75" i="12"/>
  <c r="H75" i="12"/>
  <c r="G75" i="12"/>
  <c r="F75" i="12"/>
  <c r="E75" i="12"/>
  <c r="D75" i="12"/>
  <c r="C75" i="12"/>
  <c r="B75" i="12"/>
  <c r="K74" i="12"/>
  <c r="J74" i="12"/>
  <c r="I74" i="12"/>
  <c r="H74" i="12"/>
  <c r="G74" i="12"/>
  <c r="F74" i="12"/>
  <c r="E74" i="12"/>
  <c r="D74" i="12"/>
  <c r="C74" i="12"/>
  <c r="B74" i="12"/>
  <c r="K73" i="12"/>
  <c r="J73" i="12"/>
  <c r="I73" i="12"/>
  <c r="H73" i="12"/>
  <c r="G73" i="12"/>
  <c r="F73" i="12"/>
  <c r="E73" i="12"/>
  <c r="D73" i="12"/>
  <c r="C73" i="12"/>
  <c r="B73" i="12"/>
  <c r="K72" i="12"/>
  <c r="J72" i="12"/>
  <c r="I72" i="12"/>
  <c r="H72" i="12"/>
  <c r="G72" i="12"/>
  <c r="F72" i="12"/>
  <c r="E72" i="12"/>
  <c r="D72" i="12"/>
  <c r="C72" i="12"/>
  <c r="B72" i="12"/>
  <c r="K71" i="12"/>
  <c r="J71" i="12"/>
  <c r="I71" i="12"/>
  <c r="H71" i="12"/>
  <c r="G71" i="12"/>
  <c r="F71" i="12"/>
  <c r="E71" i="12"/>
  <c r="D71" i="12"/>
  <c r="C71" i="12"/>
  <c r="B71" i="12"/>
  <c r="K70" i="12"/>
  <c r="J70" i="12"/>
  <c r="I70" i="12"/>
  <c r="H70" i="12"/>
  <c r="G70" i="12"/>
  <c r="F70" i="12"/>
  <c r="E70" i="12"/>
  <c r="D70" i="12"/>
  <c r="C70" i="12"/>
  <c r="B70" i="12"/>
  <c r="K69" i="12"/>
  <c r="J69" i="12"/>
  <c r="I69" i="12"/>
  <c r="H69" i="12"/>
  <c r="G69" i="12"/>
  <c r="F69" i="12"/>
  <c r="E69" i="12"/>
  <c r="D69" i="12"/>
  <c r="C69" i="12"/>
  <c r="B69" i="12"/>
  <c r="K68" i="12"/>
  <c r="J68" i="12"/>
  <c r="I68" i="12"/>
  <c r="H68" i="12"/>
  <c r="G68" i="12"/>
  <c r="F68" i="12"/>
  <c r="E68" i="12"/>
  <c r="D68" i="12"/>
  <c r="C68" i="12"/>
  <c r="B68" i="12"/>
  <c r="K67" i="12"/>
  <c r="J67" i="12"/>
  <c r="I67" i="12"/>
  <c r="H67" i="12"/>
  <c r="G67" i="12"/>
  <c r="F67" i="12"/>
  <c r="E67" i="12"/>
  <c r="D67" i="12"/>
  <c r="C67" i="12"/>
  <c r="B67" i="12"/>
  <c r="K66" i="12"/>
  <c r="J66" i="12"/>
  <c r="I66" i="12"/>
  <c r="H66" i="12"/>
  <c r="G66" i="12"/>
  <c r="F66" i="12"/>
  <c r="E66" i="12"/>
  <c r="D66" i="12"/>
  <c r="C66" i="12"/>
  <c r="B66" i="12"/>
  <c r="K65" i="12"/>
  <c r="J65" i="12"/>
  <c r="I65" i="12"/>
  <c r="H65" i="12"/>
  <c r="G65" i="12"/>
  <c r="F65" i="12"/>
  <c r="E65" i="12"/>
  <c r="D65" i="12"/>
  <c r="C65" i="12"/>
  <c r="B65" i="12"/>
  <c r="K63" i="12"/>
  <c r="J63" i="12"/>
  <c r="I63" i="12"/>
  <c r="H63" i="12"/>
  <c r="G63" i="12"/>
  <c r="F63" i="12"/>
  <c r="E63" i="12"/>
  <c r="D63" i="12"/>
  <c r="C63" i="12"/>
  <c r="B63" i="12"/>
  <c r="K62" i="12"/>
  <c r="J62" i="12"/>
  <c r="I62" i="12"/>
  <c r="H62" i="12"/>
  <c r="G62" i="12"/>
  <c r="F62" i="12"/>
  <c r="E62" i="12"/>
  <c r="D62" i="12"/>
  <c r="C62" i="12"/>
  <c r="B62" i="12"/>
  <c r="K61" i="12"/>
  <c r="J61" i="12"/>
  <c r="I61" i="12"/>
  <c r="H61" i="12"/>
  <c r="G61" i="12"/>
  <c r="F61" i="12"/>
  <c r="E61" i="12"/>
  <c r="D61" i="12"/>
  <c r="C61" i="12"/>
  <c r="B61" i="12"/>
  <c r="K60" i="12"/>
  <c r="J60" i="12"/>
  <c r="I60" i="12"/>
  <c r="H60" i="12"/>
  <c r="G60" i="12"/>
  <c r="F60" i="12"/>
  <c r="E60" i="12"/>
  <c r="D60" i="12"/>
  <c r="C60" i="12"/>
  <c r="B60" i="12"/>
  <c r="K59" i="12"/>
  <c r="J59" i="12"/>
  <c r="I59" i="12"/>
  <c r="H59" i="12"/>
  <c r="G59" i="12"/>
  <c r="F59" i="12"/>
  <c r="E59" i="12"/>
  <c r="D59" i="12"/>
  <c r="C59" i="12"/>
  <c r="B59" i="12"/>
  <c r="K58" i="12"/>
  <c r="J58" i="12"/>
  <c r="I58" i="12"/>
  <c r="H58" i="12"/>
  <c r="G58" i="12"/>
  <c r="F58" i="12"/>
  <c r="E58" i="12"/>
  <c r="D58" i="12"/>
  <c r="C58" i="12"/>
  <c r="B58" i="12"/>
  <c r="K57" i="12"/>
  <c r="J57" i="12"/>
  <c r="I57" i="12"/>
  <c r="H57" i="12"/>
  <c r="G57" i="12"/>
  <c r="F57" i="12"/>
  <c r="E57" i="12"/>
  <c r="D57" i="12"/>
  <c r="C57" i="12"/>
  <c r="B57" i="12"/>
  <c r="K56" i="12"/>
  <c r="J56" i="12"/>
  <c r="I56" i="12"/>
  <c r="H56" i="12"/>
  <c r="G56" i="12"/>
  <c r="F56" i="12"/>
  <c r="E56" i="12"/>
  <c r="D56" i="12"/>
  <c r="C56" i="12"/>
  <c r="B56" i="12"/>
  <c r="K55" i="12"/>
  <c r="J55" i="12"/>
  <c r="I55" i="12"/>
  <c r="H55" i="12"/>
  <c r="G55" i="12"/>
  <c r="F55" i="12"/>
  <c r="E55" i="12"/>
  <c r="D55" i="12"/>
  <c r="C55" i="12"/>
  <c r="B55" i="12"/>
  <c r="K54" i="12"/>
  <c r="J54" i="12"/>
  <c r="I54" i="12"/>
  <c r="H54" i="12"/>
  <c r="G54" i="12"/>
  <c r="F54" i="12"/>
  <c r="E54" i="12"/>
  <c r="D54" i="12"/>
  <c r="C54" i="12"/>
  <c r="B54" i="12"/>
  <c r="K53" i="12"/>
  <c r="J53" i="12"/>
  <c r="I53" i="12"/>
  <c r="H53" i="12"/>
  <c r="G53" i="12"/>
  <c r="F53" i="12"/>
  <c r="E53" i="12"/>
  <c r="D53" i="12"/>
  <c r="C53" i="12"/>
  <c r="B53" i="12"/>
  <c r="K52" i="12"/>
  <c r="J52" i="12"/>
  <c r="I52" i="12"/>
  <c r="H52" i="12"/>
  <c r="G52" i="12"/>
  <c r="F52" i="12"/>
  <c r="E52" i="12"/>
  <c r="D52" i="12"/>
  <c r="C52" i="12"/>
  <c r="B52" i="12"/>
  <c r="K51" i="12"/>
  <c r="J51" i="12"/>
  <c r="I51" i="12"/>
  <c r="H51" i="12"/>
  <c r="G51" i="12"/>
  <c r="F51" i="12"/>
  <c r="E51" i="12"/>
  <c r="D51" i="12"/>
  <c r="C51" i="12"/>
  <c r="B51" i="12"/>
  <c r="K50" i="12"/>
  <c r="J50" i="12"/>
  <c r="I50" i="12"/>
  <c r="H50" i="12"/>
  <c r="G50" i="12"/>
  <c r="F50" i="12"/>
  <c r="E50" i="12"/>
  <c r="D50" i="12"/>
  <c r="C50" i="12"/>
  <c r="B50" i="12"/>
  <c r="K49" i="12"/>
  <c r="J49" i="12"/>
  <c r="I49" i="12"/>
  <c r="H49" i="12"/>
  <c r="G49" i="12"/>
  <c r="F49" i="12"/>
  <c r="E49" i="12"/>
  <c r="D49" i="12"/>
  <c r="C49" i="12"/>
  <c r="B49" i="12"/>
  <c r="K47" i="12"/>
  <c r="J47" i="12"/>
  <c r="I47" i="12"/>
  <c r="H47" i="12"/>
  <c r="G47" i="12"/>
  <c r="F47" i="12"/>
  <c r="E47" i="12"/>
  <c r="D47" i="12"/>
  <c r="C47" i="12"/>
  <c r="B47" i="12"/>
  <c r="A47" i="12"/>
  <c r="J42" i="12"/>
  <c r="K7" i="12"/>
  <c r="J7" i="12"/>
  <c r="I7" i="12"/>
  <c r="H7" i="12"/>
  <c r="G7" i="12"/>
  <c r="F7" i="12"/>
  <c r="E7" i="12"/>
  <c r="D7" i="12"/>
  <c r="C7" i="12"/>
  <c r="B7" i="12"/>
  <c r="A7" i="12"/>
  <c r="J2" i="12"/>
  <c r="H79" i="10"/>
  <c r="G79" i="10"/>
  <c r="F79" i="10"/>
  <c r="E79" i="10"/>
  <c r="D79" i="10"/>
  <c r="C79" i="10"/>
  <c r="B79" i="10"/>
  <c r="H78" i="10"/>
  <c r="G78" i="10"/>
  <c r="F78" i="10"/>
  <c r="E78" i="10"/>
  <c r="D78" i="10"/>
  <c r="C78" i="10"/>
  <c r="B78" i="10"/>
  <c r="H77" i="10"/>
  <c r="G77" i="10"/>
  <c r="F77" i="10"/>
  <c r="E77" i="10"/>
  <c r="D77" i="10"/>
  <c r="C77" i="10"/>
  <c r="B77" i="10"/>
  <c r="H76" i="10"/>
  <c r="G76" i="10"/>
  <c r="F76" i="10"/>
  <c r="E76" i="10"/>
  <c r="D76" i="10"/>
  <c r="C76" i="10"/>
  <c r="B76" i="10"/>
  <c r="H75" i="10"/>
  <c r="G75" i="10"/>
  <c r="F75" i="10"/>
  <c r="E75" i="10"/>
  <c r="D75" i="10"/>
  <c r="C75" i="10"/>
  <c r="B75" i="10"/>
  <c r="H74" i="10"/>
  <c r="G74" i="10"/>
  <c r="F74" i="10"/>
  <c r="E74" i="10"/>
  <c r="D74" i="10"/>
  <c r="C74" i="10"/>
  <c r="B74" i="10"/>
  <c r="H73" i="10"/>
  <c r="G73" i="10"/>
  <c r="F73" i="10"/>
  <c r="E73" i="10"/>
  <c r="D73" i="10"/>
  <c r="C73" i="10"/>
  <c r="B73" i="10"/>
  <c r="H72" i="10"/>
  <c r="G72" i="10"/>
  <c r="F72" i="10"/>
  <c r="E72" i="10"/>
  <c r="D72" i="10"/>
  <c r="C72" i="10"/>
  <c r="B72" i="10"/>
  <c r="H71" i="10"/>
  <c r="G71" i="10"/>
  <c r="F71" i="10"/>
  <c r="E71" i="10"/>
  <c r="D71" i="10"/>
  <c r="C71" i="10"/>
  <c r="B71" i="10"/>
  <c r="H70" i="10"/>
  <c r="G70" i="10"/>
  <c r="F70" i="10"/>
  <c r="E70" i="10"/>
  <c r="D70" i="10"/>
  <c r="C70" i="10"/>
  <c r="B70" i="10"/>
  <c r="H69" i="10"/>
  <c r="G69" i="10"/>
  <c r="F69" i="10"/>
  <c r="E69" i="10"/>
  <c r="D69" i="10"/>
  <c r="C69" i="10"/>
  <c r="B69" i="10"/>
  <c r="H68" i="10"/>
  <c r="G68" i="10"/>
  <c r="F68" i="10"/>
  <c r="E68" i="10"/>
  <c r="D68" i="10"/>
  <c r="C68" i="10"/>
  <c r="B68" i="10"/>
  <c r="H67" i="10"/>
  <c r="G67" i="10"/>
  <c r="F67" i="10"/>
  <c r="E67" i="10"/>
  <c r="D67" i="10"/>
  <c r="C67" i="10"/>
  <c r="B67" i="10"/>
  <c r="H66" i="10"/>
  <c r="G66" i="10"/>
  <c r="F66" i="10"/>
  <c r="E66" i="10"/>
  <c r="D66" i="10"/>
  <c r="C66" i="10"/>
  <c r="B66" i="10"/>
  <c r="H65" i="10"/>
  <c r="G65" i="10"/>
  <c r="F65" i="10"/>
  <c r="E65" i="10"/>
  <c r="D65" i="10"/>
  <c r="C65" i="10"/>
  <c r="B65" i="10"/>
  <c r="H63" i="10"/>
  <c r="G63" i="10"/>
  <c r="F63" i="10"/>
  <c r="E63" i="10"/>
  <c r="D63" i="10"/>
  <c r="C63" i="10"/>
  <c r="B63" i="10"/>
  <c r="H62" i="10"/>
  <c r="G62" i="10"/>
  <c r="F62" i="10"/>
  <c r="E62" i="10"/>
  <c r="D62" i="10"/>
  <c r="C62" i="10"/>
  <c r="B62" i="10"/>
  <c r="H61" i="10"/>
  <c r="G61" i="10"/>
  <c r="F61" i="10"/>
  <c r="E61" i="10"/>
  <c r="D61" i="10"/>
  <c r="C61" i="10"/>
  <c r="B61" i="10"/>
  <c r="H60" i="10"/>
  <c r="G60" i="10"/>
  <c r="F60" i="10"/>
  <c r="E60" i="10"/>
  <c r="D60" i="10"/>
  <c r="C60" i="10"/>
  <c r="B60" i="10"/>
  <c r="H59" i="10"/>
  <c r="G59" i="10"/>
  <c r="F59" i="10"/>
  <c r="E59" i="10"/>
  <c r="D59" i="10"/>
  <c r="C59" i="10"/>
  <c r="B59" i="10"/>
  <c r="H58" i="10"/>
  <c r="G58" i="10"/>
  <c r="F58" i="10"/>
  <c r="E58" i="10"/>
  <c r="D58" i="10"/>
  <c r="C58" i="10"/>
  <c r="B58" i="10"/>
  <c r="H57" i="10"/>
  <c r="G57" i="10"/>
  <c r="F57" i="10"/>
  <c r="E57" i="10"/>
  <c r="D57" i="10"/>
  <c r="C57" i="10"/>
  <c r="B57" i="10"/>
  <c r="H56" i="10"/>
  <c r="G56" i="10"/>
  <c r="F56" i="10"/>
  <c r="E56" i="10"/>
  <c r="D56" i="10"/>
  <c r="C56" i="10"/>
  <c r="B56" i="10"/>
  <c r="H55" i="10"/>
  <c r="G55" i="10"/>
  <c r="F55" i="10"/>
  <c r="E55" i="10"/>
  <c r="D55" i="10"/>
  <c r="C55" i="10"/>
  <c r="B55" i="10"/>
  <c r="H54" i="10"/>
  <c r="G54" i="10"/>
  <c r="F54" i="10"/>
  <c r="E54" i="10"/>
  <c r="D54" i="10"/>
  <c r="C54" i="10"/>
  <c r="B54" i="10"/>
  <c r="H53" i="10"/>
  <c r="G53" i="10"/>
  <c r="F53" i="10"/>
  <c r="E53" i="10"/>
  <c r="D53" i="10"/>
  <c r="C53" i="10"/>
  <c r="B53" i="10"/>
  <c r="H52" i="10"/>
  <c r="G52" i="10"/>
  <c r="F52" i="10"/>
  <c r="E52" i="10"/>
  <c r="D52" i="10"/>
  <c r="C52" i="10"/>
  <c r="B52" i="10"/>
  <c r="H51" i="10"/>
  <c r="G51" i="10"/>
  <c r="F51" i="10"/>
  <c r="E51" i="10"/>
  <c r="D51" i="10"/>
  <c r="C51" i="10"/>
  <c r="B51" i="10"/>
  <c r="H50" i="10"/>
  <c r="G50" i="10"/>
  <c r="F50" i="10"/>
  <c r="E50" i="10"/>
  <c r="D50" i="10"/>
  <c r="C50" i="10"/>
  <c r="B50" i="10"/>
  <c r="H49" i="10"/>
  <c r="G49" i="10"/>
  <c r="F49" i="10"/>
  <c r="E49" i="10"/>
  <c r="D49" i="10"/>
  <c r="C49" i="10"/>
  <c r="B49" i="10"/>
  <c r="H47" i="10"/>
  <c r="G47" i="10"/>
  <c r="F47" i="10"/>
  <c r="E47" i="10"/>
  <c r="D47" i="10"/>
  <c r="C47" i="10"/>
  <c r="B47" i="10"/>
  <c r="A47" i="10"/>
  <c r="E46" i="10"/>
  <c r="D46" i="10"/>
  <c r="C46" i="10"/>
  <c r="B46" i="10"/>
  <c r="F45" i="10"/>
  <c r="D45" i="10"/>
  <c r="B45" i="10"/>
  <c r="B44" i="10"/>
  <c r="A44" i="10"/>
  <c r="G42" i="10"/>
  <c r="A40" i="10"/>
  <c r="H7" i="10"/>
  <c r="G7" i="10"/>
  <c r="F7" i="10"/>
  <c r="E7" i="10"/>
  <c r="D7" i="10"/>
  <c r="C7" i="10"/>
  <c r="B7" i="10"/>
  <c r="A7" i="10"/>
  <c r="G2" i="10"/>
  <c r="A13" i="8"/>
  <c r="A12" i="8"/>
  <c r="A10" i="8"/>
  <c r="A9" i="8"/>
  <c r="A3" i="8"/>
  <c r="D2" i="8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B10" i="7"/>
  <c r="O2" i="7"/>
  <c r="A3" i="7"/>
  <c r="K23" i="6"/>
  <c r="J23" i="6"/>
  <c r="I23" i="6"/>
  <c r="H23" i="6"/>
  <c r="G23" i="6"/>
  <c r="F23" i="6"/>
  <c r="E23" i="6"/>
  <c r="D23" i="6"/>
  <c r="C23" i="6"/>
  <c r="B23" i="6"/>
  <c r="K22" i="6"/>
  <c r="J22" i="6"/>
  <c r="I22" i="6"/>
  <c r="H22" i="6"/>
  <c r="G22" i="6"/>
  <c r="F22" i="6"/>
  <c r="E22" i="6"/>
  <c r="D22" i="6"/>
  <c r="C22" i="6"/>
  <c r="B22" i="6"/>
  <c r="K21" i="6"/>
  <c r="J21" i="6"/>
  <c r="I21" i="6"/>
  <c r="H21" i="6"/>
  <c r="G21" i="6"/>
  <c r="F21" i="6"/>
  <c r="E21" i="6"/>
  <c r="D21" i="6"/>
  <c r="C21" i="6"/>
  <c r="B21" i="6"/>
  <c r="K19" i="6"/>
  <c r="J19" i="6"/>
  <c r="I19" i="6"/>
  <c r="H19" i="6"/>
  <c r="G19" i="6"/>
  <c r="F19" i="6"/>
  <c r="E19" i="6"/>
  <c r="D19" i="6"/>
  <c r="C19" i="6"/>
  <c r="B19" i="6"/>
  <c r="K18" i="6"/>
  <c r="J18" i="6"/>
  <c r="I18" i="6"/>
  <c r="H18" i="6"/>
  <c r="G18" i="6"/>
  <c r="F18" i="6"/>
  <c r="E18" i="6"/>
  <c r="D18" i="6"/>
  <c r="C18" i="6"/>
  <c r="B18" i="6"/>
  <c r="K17" i="6"/>
  <c r="J17" i="6"/>
  <c r="I17" i="6"/>
  <c r="H17" i="6"/>
  <c r="G17" i="6"/>
  <c r="F17" i="6"/>
  <c r="E17" i="6"/>
  <c r="D17" i="6"/>
  <c r="C17" i="6"/>
  <c r="B17" i="6"/>
  <c r="K15" i="6"/>
  <c r="J15" i="6"/>
  <c r="I15" i="6"/>
  <c r="H15" i="6"/>
  <c r="G15" i="6"/>
  <c r="F15" i="6"/>
  <c r="E15" i="6"/>
  <c r="D15" i="6"/>
  <c r="C15" i="6"/>
  <c r="B15" i="6"/>
  <c r="K14" i="6"/>
  <c r="J14" i="6"/>
  <c r="I14" i="6"/>
  <c r="H14" i="6"/>
  <c r="G14" i="6"/>
  <c r="F14" i="6"/>
  <c r="E14" i="6"/>
  <c r="D14" i="6"/>
  <c r="C14" i="6"/>
  <c r="B14" i="6"/>
  <c r="K13" i="6"/>
  <c r="J13" i="6"/>
  <c r="I13" i="6"/>
  <c r="H13" i="6"/>
  <c r="G13" i="6"/>
  <c r="F13" i="6"/>
  <c r="E13" i="6"/>
  <c r="D13" i="6"/>
  <c r="C13" i="6"/>
  <c r="B13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9" i="6"/>
  <c r="J9" i="6"/>
  <c r="I9" i="6"/>
  <c r="H9" i="6"/>
  <c r="G9" i="6"/>
  <c r="F9" i="6"/>
  <c r="E9" i="6"/>
  <c r="D9" i="6"/>
  <c r="C9" i="6"/>
  <c r="B9" i="6"/>
  <c r="J2" i="6"/>
  <c r="A3" i="6"/>
  <c r="H30" i="5"/>
  <c r="G30" i="5"/>
  <c r="D30" i="5"/>
  <c r="C30" i="5"/>
  <c r="H29" i="5"/>
  <c r="G29" i="5"/>
  <c r="D29" i="5"/>
  <c r="C29" i="5"/>
  <c r="H28" i="5"/>
  <c r="G28" i="5"/>
  <c r="D28" i="5"/>
  <c r="C28" i="5"/>
  <c r="H27" i="5"/>
  <c r="G27" i="5"/>
  <c r="D27" i="5"/>
  <c r="C27" i="5"/>
  <c r="H26" i="5"/>
  <c r="G26" i="5"/>
  <c r="D26" i="5"/>
  <c r="C26" i="5"/>
  <c r="H25" i="5"/>
  <c r="G25" i="5"/>
  <c r="D25" i="5"/>
  <c r="C25" i="5"/>
  <c r="H24" i="5"/>
  <c r="G24" i="5"/>
  <c r="D24" i="5"/>
  <c r="C24" i="5"/>
  <c r="H23" i="5"/>
  <c r="G23" i="5"/>
  <c r="D23" i="5"/>
  <c r="C23" i="5"/>
  <c r="H22" i="5"/>
  <c r="G22" i="5"/>
  <c r="D22" i="5"/>
  <c r="C22" i="5"/>
  <c r="H21" i="5"/>
  <c r="G21" i="5"/>
  <c r="D21" i="5"/>
  <c r="C21" i="5"/>
  <c r="H20" i="5"/>
  <c r="G20" i="5"/>
  <c r="D20" i="5"/>
  <c r="C20" i="5"/>
  <c r="H18" i="5"/>
  <c r="G18" i="5"/>
  <c r="D18" i="5"/>
  <c r="C18" i="5"/>
  <c r="H17" i="5"/>
  <c r="G17" i="5"/>
  <c r="D17" i="5"/>
  <c r="C17" i="5"/>
  <c r="H16" i="5"/>
  <c r="G16" i="5"/>
  <c r="D16" i="5"/>
  <c r="C16" i="5"/>
  <c r="H15" i="5"/>
  <c r="G15" i="5"/>
  <c r="D15" i="5"/>
  <c r="C15" i="5"/>
  <c r="H14" i="5"/>
  <c r="G14" i="5"/>
  <c r="D14" i="5"/>
  <c r="C14" i="5"/>
  <c r="H13" i="5"/>
  <c r="G13" i="5"/>
  <c r="D13" i="5"/>
  <c r="C13" i="5"/>
  <c r="H12" i="5"/>
  <c r="G12" i="5"/>
  <c r="D12" i="5"/>
  <c r="C12" i="5"/>
  <c r="H11" i="5"/>
  <c r="G11" i="5"/>
  <c r="D11" i="5"/>
  <c r="C11" i="5"/>
  <c r="H10" i="5"/>
  <c r="G10" i="5"/>
  <c r="D10" i="5"/>
  <c r="C10" i="5"/>
  <c r="H9" i="5"/>
  <c r="G9" i="5"/>
  <c r="D9" i="5"/>
  <c r="C9" i="5"/>
  <c r="H8" i="5"/>
  <c r="G8" i="5"/>
  <c r="D8" i="5"/>
  <c r="C8" i="5"/>
  <c r="G2" i="5"/>
  <c r="A3" i="5"/>
  <c r="H22" i="4"/>
  <c r="G22" i="4"/>
  <c r="D22" i="4"/>
  <c r="C22" i="4"/>
  <c r="H21" i="4"/>
  <c r="G21" i="4"/>
  <c r="H20" i="4"/>
  <c r="G20" i="4"/>
  <c r="D20" i="4"/>
  <c r="C20" i="4"/>
  <c r="H19" i="4"/>
  <c r="G19" i="4"/>
  <c r="D19" i="4"/>
  <c r="C19" i="4"/>
  <c r="H18" i="4"/>
  <c r="G18" i="4"/>
  <c r="D18" i="4"/>
  <c r="C18" i="4"/>
  <c r="H17" i="4"/>
  <c r="G17" i="4"/>
  <c r="D17" i="4"/>
  <c r="C17" i="4"/>
  <c r="H16" i="4"/>
  <c r="G16" i="4"/>
  <c r="D16" i="4"/>
  <c r="C16" i="4"/>
  <c r="H14" i="4"/>
  <c r="G14" i="4"/>
  <c r="D14" i="4"/>
  <c r="C14" i="4"/>
  <c r="H13" i="4"/>
  <c r="G13" i="4"/>
  <c r="H12" i="4"/>
  <c r="G12" i="4"/>
  <c r="D12" i="4"/>
  <c r="C12" i="4"/>
  <c r="H11" i="4"/>
  <c r="G11" i="4"/>
  <c r="D11" i="4"/>
  <c r="C11" i="4"/>
  <c r="H10" i="4"/>
  <c r="G10" i="4"/>
  <c r="D10" i="4"/>
  <c r="C10" i="4"/>
  <c r="H9" i="4"/>
  <c r="G9" i="4"/>
  <c r="D9" i="4"/>
  <c r="C9" i="4"/>
  <c r="H8" i="4"/>
  <c r="G8" i="4"/>
  <c r="D8" i="4"/>
  <c r="C8" i="4"/>
  <c r="G2" i="4"/>
  <c r="A3" i="4"/>
  <c r="E8" i="3"/>
  <c r="D8" i="3"/>
  <c r="C8" i="3"/>
  <c r="B8" i="3"/>
  <c r="E7" i="3"/>
  <c r="D7" i="3"/>
  <c r="C7" i="3"/>
  <c r="B7" i="3"/>
  <c r="E2" i="3"/>
  <c r="A3" i="3"/>
  <c r="C15" i="2"/>
  <c r="B15" i="2"/>
  <c r="C14" i="2"/>
  <c r="B14" i="2"/>
  <c r="C13" i="2"/>
  <c r="B13" i="2"/>
  <c r="C12" i="2"/>
  <c r="B12" i="2"/>
  <c r="C10" i="2"/>
  <c r="B10" i="2"/>
  <c r="C9" i="2"/>
  <c r="B9" i="2"/>
  <c r="C8" i="2"/>
  <c r="B8" i="2"/>
  <c r="C7" i="2"/>
  <c r="B7" i="2"/>
  <c r="C6" i="2"/>
  <c r="B6" i="2"/>
  <c r="A3" i="2"/>
  <c r="C2" i="2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G2" i="1"/>
  <c r="A3" i="1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138" i="24" l="1"/>
  <c r="A75" i="24"/>
  <c r="A135" i="24"/>
  <c r="A72" i="24"/>
  <c r="C5" i="23"/>
  <c r="E4" i="22"/>
  <c r="D4" i="22"/>
  <c r="C4" i="22"/>
  <c r="B4" i="22"/>
  <c r="D5" i="23"/>
  <c r="B5" i="23"/>
  <c r="A12" i="21"/>
  <c r="A7" i="3"/>
  <c r="J4" i="27"/>
  <c r="B5" i="2"/>
  <c r="I4" i="27"/>
  <c r="H2" i="27"/>
  <c r="H3" i="27"/>
  <c r="A8" i="21" s="1"/>
  <c r="H4" i="27"/>
  <c r="C5" i="27"/>
  <c r="A13" i="21" s="1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65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50" i="10"/>
  <c r="A49" i="10"/>
  <c r="A7" i="21"/>
  <c r="A8" i="22"/>
  <c r="A8" i="23"/>
  <c r="A8" i="24"/>
  <c r="A68" i="24"/>
  <c r="A131" i="24" s="1"/>
  <c r="A64" i="24"/>
  <c r="A190" i="24" s="1"/>
  <c r="A60" i="24"/>
  <c r="A123" i="24" s="1"/>
  <c r="A56" i="24"/>
  <c r="A52" i="24"/>
  <c r="A48" i="24"/>
  <c r="A174" i="24" s="1"/>
  <c r="A44" i="24"/>
  <c r="A170" i="24" s="1"/>
  <c r="A40" i="24"/>
  <c r="A166" i="24" s="1"/>
  <c r="A36" i="24"/>
  <c r="A162" i="24" s="1"/>
  <c r="A32" i="24"/>
  <c r="A158" i="24" s="1"/>
  <c r="A28" i="24"/>
  <c r="A91" i="24" s="1"/>
  <c r="A24" i="24"/>
  <c r="A20" i="24"/>
  <c r="A16" i="24"/>
  <c r="A142" i="24" s="1"/>
  <c r="A3" i="21" l="1"/>
  <c r="A8" i="17"/>
  <c r="A8" i="19"/>
  <c r="A4" i="18"/>
  <c r="A9" i="22"/>
  <c r="A25" i="17"/>
  <c r="A12" i="19"/>
  <c r="A3" i="20"/>
  <c r="A3" i="16"/>
  <c r="C4" i="20"/>
  <c r="B5" i="16"/>
  <c r="A9" i="15"/>
  <c r="C5" i="18"/>
  <c r="C50" i="18"/>
  <c r="C9" i="24"/>
  <c r="A3" i="17"/>
  <c r="A3" i="18"/>
  <c r="A48" i="18" s="1"/>
  <c r="A2" i="19"/>
  <c r="A2" i="17"/>
  <c r="A2" i="16"/>
  <c r="A2" i="15"/>
  <c r="A2" i="24"/>
  <c r="A2" i="20"/>
  <c r="A2" i="18"/>
  <c r="A3" i="19"/>
  <c r="A3" i="15"/>
  <c r="A2" i="23"/>
  <c r="A2" i="22"/>
  <c r="A2" i="21"/>
  <c r="G2" i="14"/>
  <c r="I2" i="13"/>
  <c r="F42" i="12"/>
  <c r="C2" i="12"/>
  <c r="E2" i="11"/>
  <c r="D2" i="9"/>
  <c r="G2" i="7"/>
  <c r="D2" i="6"/>
  <c r="C2" i="3"/>
  <c r="E2" i="14"/>
  <c r="G2" i="13"/>
  <c r="D42" i="12"/>
  <c r="A2" i="12"/>
  <c r="C2" i="11"/>
  <c r="B2" i="9"/>
  <c r="E2" i="7"/>
  <c r="B2" i="6"/>
  <c r="A2" i="3"/>
  <c r="N2" i="11"/>
  <c r="D2" i="7"/>
  <c r="I42" i="14"/>
  <c r="F2" i="14"/>
  <c r="H2" i="13"/>
  <c r="E42" i="12"/>
  <c r="B2" i="12"/>
  <c r="D2" i="11"/>
  <c r="C2" i="9"/>
  <c r="F2" i="7"/>
  <c r="C2" i="6"/>
  <c r="B2" i="3"/>
  <c r="H42" i="14"/>
  <c r="G42" i="14"/>
  <c r="F42" i="14"/>
  <c r="C2" i="14"/>
  <c r="E2" i="13"/>
  <c r="B42" i="12"/>
  <c r="M2" i="11"/>
  <c r="A2" i="11"/>
  <c r="A2" i="8"/>
  <c r="C2" i="7"/>
  <c r="A2" i="5"/>
  <c r="A2" i="1"/>
  <c r="B2" i="14"/>
  <c r="D2" i="13"/>
  <c r="A42" i="12"/>
  <c r="L2" i="11"/>
  <c r="F2" i="10"/>
  <c r="N2" i="7"/>
  <c r="B2" i="7"/>
  <c r="F2" i="4"/>
  <c r="F2" i="13"/>
  <c r="E42" i="14"/>
  <c r="D42" i="14"/>
  <c r="A2" i="14"/>
  <c r="C2" i="13"/>
  <c r="I2" i="12"/>
  <c r="K2" i="11"/>
  <c r="E2" i="10"/>
  <c r="M2" i="7"/>
  <c r="A2" i="7"/>
  <c r="E2" i="4"/>
  <c r="G2" i="11"/>
  <c r="E2" i="6"/>
  <c r="A2" i="9"/>
  <c r="C42" i="14"/>
  <c r="N2" i="13"/>
  <c r="B2" i="13"/>
  <c r="H2" i="12"/>
  <c r="J2" i="11"/>
  <c r="D2" i="10"/>
  <c r="L2" i="7"/>
  <c r="I2" i="6"/>
  <c r="D2" i="4"/>
  <c r="I2" i="14"/>
  <c r="A2" i="4"/>
  <c r="J2" i="13"/>
  <c r="E2" i="9"/>
  <c r="B2" i="11"/>
  <c r="B42" i="14"/>
  <c r="M2" i="13"/>
  <c r="A2" i="13"/>
  <c r="G2" i="12"/>
  <c r="I2" i="11"/>
  <c r="C2" i="10"/>
  <c r="K2" i="7"/>
  <c r="H2" i="6"/>
  <c r="C2" i="4"/>
  <c r="H42" i="12"/>
  <c r="I2" i="7"/>
  <c r="H2" i="14"/>
  <c r="D2" i="12"/>
  <c r="H2" i="7"/>
  <c r="D2" i="14"/>
  <c r="A2" i="6"/>
  <c r="A42" i="14"/>
  <c r="L2" i="13"/>
  <c r="I42" i="12"/>
  <c r="F2" i="12"/>
  <c r="H2" i="11"/>
  <c r="B2" i="10"/>
  <c r="J2" i="7"/>
  <c r="G2" i="6"/>
  <c r="B2" i="4"/>
  <c r="K2" i="13"/>
  <c r="E2" i="12"/>
  <c r="A2" i="10"/>
  <c r="F2" i="6"/>
  <c r="G42" i="12"/>
  <c r="F2" i="11"/>
  <c r="D2" i="3"/>
  <c r="C42" i="12"/>
  <c r="A2" i="2"/>
  <c r="G5" i="23"/>
  <c r="F5" i="23"/>
  <c r="E5" i="23"/>
  <c r="A3" i="23" s="1"/>
  <c r="I4" i="22"/>
  <c r="H4" i="22"/>
  <c r="G4" i="22"/>
  <c r="F4" i="22"/>
  <c r="A3" i="22" s="1"/>
  <c r="A8" i="3"/>
  <c r="A8" i="8"/>
  <c r="A7" i="4"/>
  <c r="A7" i="5"/>
  <c r="H5" i="27"/>
  <c r="C5" i="2"/>
  <c r="I5" i="27"/>
  <c r="A9" i="7"/>
  <c r="A8" i="6"/>
  <c r="A8" i="1"/>
  <c r="A8" i="9"/>
  <c r="A8" i="14"/>
  <c r="A8" i="13"/>
  <c r="A8" i="12"/>
  <c r="A8" i="11"/>
  <c r="A8" i="10"/>
  <c r="A15" i="11"/>
  <c r="A24" i="10"/>
  <c r="A12" i="9"/>
  <c r="A13" i="7"/>
  <c r="A12" i="6"/>
  <c r="A12" i="1"/>
  <c r="A24" i="14"/>
  <c r="A15" i="13"/>
  <c r="A24" i="12"/>
  <c r="C6" i="27"/>
  <c r="J5" i="27"/>
  <c r="A150" i="24"/>
  <c r="A87" i="24"/>
  <c r="A182" i="24"/>
  <c r="A119" i="24"/>
  <c r="A146" i="24"/>
  <c r="A83" i="24"/>
  <c r="A178" i="24"/>
  <c r="A115" i="24"/>
  <c r="A79" i="24"/>
  <c r="A111" i="24"/>
  <c r="A107" i="24"/>
  <c r="A103" i="24"/>
  <c r="A99" i="24"/>
  <c r="A154" i="24"/>
  <c r="A95" i="24"/>
  <c r="A127" i="24"/>
  <c r="A186" i="24"/>
  <c r="F7" i="15"/>
  <c r="A42" i="17" l="1"/>
  <c r="A16" i="19"/>
  <c r="A21" i="15"/>
  <c r="H9" i="24"/>
  <c r="F50" i="18"/>
  <c r="I4" i="20"/>
  <c r="F5" i="18"/>
  <c r="H5" i="16"/>
  <c r="A59" i="17"/>
  <c r="A20" i="19"/>
  <c r="A15" i="4"/>
  <c r="A11" i="8"/>
  <c r="A19" i="5"/>
  <c r="A22" i="13"/>
  <c r="A48" i="12"/>
  <c r="A22" i="11"/>
  <c r="A48" i="10"/>
  <c r="A16" i="9"/>
  <c r="A17" i="7"/>
  <c r="A16" i="6"/>
  <c r="A16" i="1"/>
  <c r="A48" i="14"/>
  <c r="I6" i="27"/>
  <c r="A64" i="14"/>
  <c r="A29" i="13"/>
  <c r="A64" i="12"/>
  <c r="A29" i="11"/>
  <c r="A64" i="10"/>
  <c r="A20" i="1"/>
  <c r="A20" i="9"/>
  <c r="A21" i="7"/>
  <c r="A20" i="6"/>
  <c r="C7" i="27"/>
  <c r="J6" i="27"/>
  <c r="C71" i="24" s="1"/>
  <c r="H6" i="27"/>
  <c r="A26" i="17"/>
  <c r="A21" i="17"/>
  <c r="A39" i="17"/>
  <c r="F8" i="15"/>
  <c r="H7" i="15" s="1"/>
  <c r="H8" i="15" s="1"/>
  <c r="G7" i="15"/>
  <c r="G8" i="15" s="1"/>
  <c r="A22" i="17"/>
  <c r="A23" i="17"/>
  <c r="A38" i="17"/>
  <c r="A40" i="17"/>
  <c r="I7" i="27" l="1"/>
  <c r="J7" i="27"/>
  <c r="H71" i="24" s="1"/>
  <c r="C8" i="27"/>
  <c r="A3" i="24" s="1"/>
  <c r="H7" i="27"/>
  <c r="A27" i="17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219" i="16"/>
  <c r="A216" i="16"/>
  <c r="A217" i="16"/>
  <c r="A220" i="16"/>
  <c r="A218" i="16"/>
  <c r="A215" i="16"/>
  <c r="A178" i="16"/>
  <c r="A176" i="16"/>
  <c r="A174" i="16"/>
  <c r="A175" i="16"/>
  <c r="A177" i="16"/>
  <c r="A173" i="16"/>
  <c r="A105" i="16"/>
  <c r="A103" i="16"/>
  <c r="A106" i="16"/>
  <c r="A104" i="16"/>
  <c r="A102" i="16"/>
  <c r="A101" i="16"/>
  <c r="B128" i="20"/>
  <c r="B129" i="20" s="1"/>
  <c r="B130" i="20" s="1"/>
  <c r="A127" i="20"/>
  <c r="B104" i="20"/>
  <c r="B105" i="20" s="1"/>
  <c r="B106" i="20" s="1"/>
  <c r="A89" i="16"/>
  <c r="A92" i="16"/>
  <c r="A91" i="16"/>
  <c r="A88" i="16"/>
  <c r="A87" i="16"/>
  <c r="A90" i="16"/>
  <c r="A143" i="16"/>
  <c r="A140" i="16"/>
  <c r="A139" i="16"/>
  <c r="A138" i="16"/>
  <c r="A142" i="16"/>
  <c r="A141" i="16"/>
  <c r="A61" i="20"/>
  <c r="B62" i="20"/>
  <c r="B63" i="20" s="1"/>
  <c r="B64" i="20" s="1"/>
  <c r="A163" i="16"/>
  <c r="A159" i="16"/>
  <c r="A160" i="16"/>
  <c r="A162" i="16"/>
  <c r="A164" i="16"/>
  <c r="A161" i="16"/>
  <c r="A129" i="16"/>
  <c r="A127" i="16"/>
  <c r="A128" i="16"/>
  <c r="A126" i="16"/>
  <c r="A124" i="16"/>
  <c r="A125" i="16"/>
  <c r="A185" i="16"/>
  <c r="A182" i="16"/>
  <c r="A183" i="16"/>
  <c r="A181" i="16"/>
  <c r="A180" i="16"/>
  <c r="A184" i="16"/>
  <c r="A99" i="16"/>
  <c r="A95" i="16"/>
  <c r="A98" i="16"/>
  <c r="A96" i="16"/>
  <c r="A94" i="16"/>
  <c r="A97" i="16"/>
  <c r="A80" i="16"/>
  <c r="A85" i="16"/>
  <c r="A84" i="16"/>
  <c r="A83" i="16"/>
  <c r="A81" i="16"/>
  <c r="A82" i="16"/>
  <c r="B116" i="20"/>
  <c r="B117" i="20" s="1"/>
  <c r="B118" i="20" s="1"/>
  <c r="B96" i="20"/>
  <c r="B97" i="20" s="1"/>
  <c r="B98" i="20" s="1"/>
  <c r="B76" i="20"/>
  <c r="B77" i="20" s="1"/>
  <c r="B78" i="20" s="1"/>
  <c r="B108" i="20"/>
  <c r="B109" i="20" s="1"/>
  <c r="B110" i="20" s="1"/>
  <c r="A57" i="20"/>
  <c r="B58" i="20"/>
  <c r="B59" i="20" s="1"/>
  <c r="B60" i="20" s="1"/>
  <c r="B50" i="20"/>
  <c r="B51" i="20" s="1"/>
  <c r="B52" i="20" s="1"/>
  <c r="A150" i="16"/>
  <c r="A147" i="16"/>
  <c r="A149" i="16"/>
  <c r="A145" i="16"/>
  <c r="A146" i="16"/>
  <c r="A148" i="16"/>
  <c r="A206" i="16"/>
  <c r="A201" i="16"/>
  <c r="A204" i="16"/>
  <c r="A205" i="16"/>
  <c r="A202" i="16"/>
  <c r="A203" i="16"/>
  <c r="A109" i="16"/>
  <c r="A108" i="16"/>
  <c r="A113" i="16"/>
  <c r="A112" i="16"/>
  <c r="A110" i="16"/>
  <c r="A111" i="16"/>
  <c r="A170" i="16"/>
  <c r="A168" i="16"/>
  <c r="A166" i="16"/>
  <c r="A171" i="16"/>
  <c r="A167" i="16"/>
  <c r="A169" i="16"/>
  <c r="A119" i="20"/>
  <c r="B120" i="20"/>
  <c r="B121" i="20" s="1"/>
  <c r="B122" i="20" s="1"/>
  <c r="B66" i="20"/>
  <c r="B67" i="20" s="1"/>
  <c r="B68" i="20" s="1"/>
  <c r="A65" i="20"/>
  <c r="B100" i="20"/>
  <c r="B101" i="20" s="1"/>
  <c r="B102" i="20" s="1"/>
  <c r="A132" i="16"/>
  <c r="A131" i="16"/>
  <c r="A135" i="16"/>
  <c r="A134" i="16"/>
  <c r="A136" i="16"/>
  <c r="A133" i="16"/>
  <c r="A192" i="16"/>
  <c r="A188" i="16"/>
  <c r="A191" i="16"/>
  <c r="A187" i="16"/>
  <c r="A189" i="16"/>
  <c r="A190" i="16"/>
  <c r="A157" i="16"/>
  <c r="A153" i="16"/>
  <c r="A156" i="16"/>
  <c r="A154" i="16"/>
  <c r="A155" i="16"/>
  <c r="A152" i="16"/>
  <c r="A212" i="16"/>
  <c r="A211" i="16"/>
  <c r="A208" i="16"/>
  <c r="A213" i="16"/>
  <c r="A210" i="16"/>
  <c r="A209" i="16"/>
  <c r="A122" i="16"/>
  <c r="A118" i="16"/>
  <c r="A119" i="16"/>
  <c r="A121" i="16"/>
  <c r="A117" i="16"/>
  <c r="A120" i="16"/>
  <c r="B88" i="20"/>
  <c r="B89" i="20" s="1"/>
  <c r="B90" i="20" s="1"/>
  <c r="A199" i="16"/>
  <c r="A197" i="16"/>
  <c r="A194" i="16"/>
  <c r="A196" i="16"/>
  <c r="A195" i="16"/>
  <c r="A198" i="16"/>
  <c r="B54" i="20"/>
  <c r="B55" i="20" s="1"/>
  <c r="B56" i="20" s="1"/>
  <c r="B84" i="20"/>
  <c r="B85" i="20" s="1"/>
  <c r="B86" i="20" s="1"/>
  <c r="B80" i="20"/>
  <c r="B81" i="20" s="1"/>
  <c r="B82" i="20" s="1"/>
  <c r="B112" i="20"/>
  <c r="B113" i="20" s="1"/>
  <c r="B114" i="20" s="1"/>
  <c r="B92" i="20"/>
  <c r="B93" i="20" s="1"/>
  <c r="B94" i="20" s="1"/>
  <c r="B124" i="20"/>
  <c r="B125" i="20" s="1"/>
  <c r="B126" i="20" s="1"/>
  <c r="A123" i="20"/>
  <c r="A71" i="20"/>
  <c r="A75" i="20" s="1"/>
  <c r="A79" i="20" s="1"/>
  <c r="A83" i="20" s="1"/>
  <c r="A87" i="20" s="1"/>
  <c r="A91" i="20" s="1"/>
  <c r="A95" i="20" s="1"/>
  <c r="A99" i="20" s="1"/>
  <c r="A103" i="20" s="1"/>
  <c r="A107" i="20" s="1"/>
  <c r="A111" i="20" s="1"/>
  <c r="A115" i="20" s="1"/>
  <c r="B72" i="20"/>
  <c r="B73" i="20" s="1"/>
  <c r="B74" i="20" s="1"/>
  <c r="A55" i="17"/>
  <c r="A72" i="17"/>
  <c r="A56" i="17"/>
  <c r="A73" i="17"/>
  <c r="A57" i="17"/>
  <c r="A74" i="17"/>
  <c r="A60" i="17"/>
  <c r="A43" i="17"/>
  <c r="I8" i="27" l="1"/>
  <c r="J8" i="27"/>
  <c r="C134" i="24" s="1"/>
  <c r="H8" i="27"/>
  <c r="A44" i="17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61" i="17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B38" i="20"/>
  <c r="B39" i="20" s="1"/>
  <c r="B40" i="20" s="1"/>
  <c r="B30" i="20"/>
  <c r="B31" i="20" s="1"/>
  <c r="B32" i="20" s="1"/>
  <c r="B22" i="20"/>
  <c r="B23" i="20" s="1"/>
  <c r="B24" i="20" s="1"/>
  <c r="B46" i="20"/>
  <c r="B47" i="20" s="1"/>
  <c r="B48" i="20" s="1"/>
  <c r="B14" i="20"/>
  <c r="B15" i="20" s="1"/>
  <c r="B16" i="20" s="1"/>
  <c r="B42" i="20"/>
  <c r="B43" i="20" s="1"/>
  <c r="B44" i="20" s="1"/>
  <c r="B26" i="20"/>
  <c r="B27" i="20" s="1"/>
  <c r="B28" i="20" s="1"/>
  <c r="B34" i="20"/>
  <c r="B35" i="20" s="1"/>
  <c r="B36" i="20" s="1"/>
  <c r="B18" i="20"/>
  <c r="B19" i="20" s="1"/>
  <c r="B20" i="20" s="1"/>
  <c r="A9" i="17"/>
  <c r="A10" i="17" l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6" i="16"/>
  <c r="A29" i="16"/>
  <c r="A27" i="16"/>
  <c r="A28" i="16"/>
  <c r="A24" i="16"/>
  <c r="A25" i="16"/>
  <c r="A63" i="16"/>
  <c r="A62" i="16"/>
  <c r="A61" i="16"/>
  <c r="A60" i="16"/>
  <c r="A59" i="16"/>
  <c r="A64" i="16"/>
  <c r="A71" i="16"/>
  <c r="A70" i="16"/>
  <c r="A66" i="16"/>
  <c r="A69" i="16"/>
  <c r="A67" i="16"/>
  <c r="A68" i="16"/>
  <c r="A78" i="16"/>
  <c r="A74" i="16"/>
  <c r="A75" i="16"/>
  <c r="A73" i="16"/>
  <c r="A76" i="16"/>
  <c r="A77" i="16"/>
  <c r="A34" i="16"/>
  <c r="A32" i="16"/>
  <c r="A35" i="16"/>
  <c r="A33" i="16"/>
  <c r="A31" i="16"/>
  <c r="A36" i="16"/>
  <c r="A43" i="16"/>
  <c r="A40" i="16"/>
  <c r="A38" i="16"/>
  <c r="A41" i="16"/>
  <c r="A39" i="16"/>
  <c r="A42" i="16"/>
  <c r="A49" i="16"/>
  <c r="A46" i="16"/>
  <c r="A50" i="16"/>
  <c r="A48" i="16"/>
  <c r="A47" i="16"/>
  <c r="A45" i="16"/>
  <c r="A15" i="16"/>
  <c r="A11" i="16"/>
  <c r="A14" i="16"/>
  <c r="A12" i="16"/>
  <c r="A10" i="16"/>
  <c r="A13" i="16"/>
  <c r="A9" i="20"/>
  <c r="A13" i="20" s="1"/>
  <c r="A17" i="20" s="1"/>
  <c r="A21" i="20" s="1"/>
  <c r="A25" i="20" s="1"/>
  <c r="A29" i="20" s="1"/>
  <c r="A33" i="20" s="1"/>
  <c r="A37" i="20" s="1"/>
  <c r="A41" i="20" s="1"/>
  <c r="A45" i="20" s="1"/>
  <c r="A49" i="20" s="1"/>
  <c r="A53" i="20" s="1"/>
  <c r="B10" i="20"/>
  <c r="B11" i="20" s="1"/>
  <c r="B12" i="20" s="1"/>
  <c r="A22" i="16"/>
  <c r="A17" i="16"/>
  <c r="A20" i="16"/>
  <c r="A21" i="16"/>
  <c r="A18" i="16"/>
  <c r="A19" i="16"/>
  <c r="A54" i="16"/>
  <c r="A53" i="16"/>
  <c r="A52" i="16"/>
  <c r="A55" i="16"/>
  <c r="A56" i="16"/>
  <c r="A57" i="16"/>
  <c r="A21" i="19" l="1"/>
  <c r="A22" i="19" s="1"/>
  <c r="A23" i="19" s="1"/>
  <c r="A13" i="19"/>
  <c r="A14" i="19" s="1"/>
  <c r="A15" i="19" s="1"/>
  <c r="K39" i="12" l="1"/>
  <c r="H39" i="10"/>
  <c r="K39" i="14"/>
  <c r="K38" i="12"/>
  <c r="H38" i="10"/>
  <c r="K38" i="14"/>
  <c r="K22" i="12"/>
  <c r="K22" i="14"/>
  <c r="K23" i="12"/>
  <c r="K23" i="14"/>
  <c r="H23" i="10" l="1"/>
  <c r="G23" i="10"/>
  <c r="F23" i="10"/>
  <c r="H22" i="10"/>
  <c r="G22" i="10"/>
  <c r="F22" i="10"/>
  <c r="J38" i="12"/>
  <c r="I38" i="12"/>
  <c r="H38" i="12"/>
  <c r="F38" i="10"/>
  <c r="G38" i="10"/>
  <c r="J38" i="14"/>
  <c r="I38" i="14"/>
  <c r="H38" i="14"/>
  <c r="H39" i="12"/>
  <c r="J39" i="12"/>
  <c r="I39" i="12"/>
  <c r="G39" i="10"/>
  <c r="F39" i="10"/>
  <c r="I39" i="14"/>
  <c r="H39" i="14"/>
  <c r="J39" i="14"/>
  <c r="J23" i="14"/>
  <c r="I23" i="14"/>
  <c r="H23" i="14"/>
  <c r="J22" i="12"/>
  <c r="I22" i="12"/>
  <c r="H22" i="12"/>
  <c r="J22" i="14"/>
  <c r="I22" i="14"/>
  <c r="H22" i="14"/>
  <c r="J23" i="12"/>
  <c r="I23" i="12"/>
  <c r="H23" i="12"/>
  <c r="A42" i="10" l="1"/>
  <c r="E38" i="12" l="1"/>
  <c r="E36" i="12"/>
  <c r="E39" i="12"/>
  <c r="E35" i="12"/>
  <c r="E37" i="12"/>
  <c r="E33" i="12" l="1"/>
  <c r="E35" i="14"/>
  <c r="E39" i="14"/>
  <c r="E34" i="12"/>
  <c r="E27" i="12"/>
  <c r="B36" i="14"/>
  <c r="E31" i="12"/>
  <c r="E32" i="12"/>
  <c r="B28" i="12"/>
  <c r="B38" i="12"/>
  <c r="E37" i="14"/>
  <c r="B39" i="12"/>
  <c r="E29" i="12"/>
  <c r="E28" i="12"/>
  <c r="E38" i="14"/>
  <c r="E36" i="14"/>
  <c r="E30" i="12"/>
  <c r="E25" i="12"/>
  <c r="E26" i="12"/>
  <c r="B35" i="12" l="1"/>
  <c r="B36" i="12"/>
  <c r="E32" i="14"/>
  <c r="E31" i="14"/>
  <c r="E34" i="14"/>
  <c r="E33" i="14"/>
  <c r="F37" i="12"/>
  <c r="B28" i="14"/>
  <c r="F35" i="12"/>
  <c r="F36" i="12"/>
  <c r="E27" i="14"/>
  <c r="E29" i="14"/>
  <c r="F39" i="12"/>
  <c r="C36" i="12"/>
  <c r="B27" i="12"/>
  <c r="E30" i="14"/>
  <c r="E28" i="14"/>
  <c r="B39" i="14"/>
  <c r="F38" i="12"/>
  <c r="B38" i="14"/>
  <c r="B25" i="12"/>
  <c r="E25" i="14"/>
  <c r="E26" i="14"/>
  <c r="H28" i="12" l="1"/>
  <c r="B33" i="12"/>
  <c r="H36" i="14"/>
  <c r="H36" i="12"/>
  <c r="B37" i="12"/>
  <c r="B34" i="12"/>
  <c r="B29" i="12"/>
  <c r="B35" i="14"/>
  <c r="H35" i="12"/>
  <c r="F27" i="12"/>
  <c r="F30" i="12"/>
  <c r="F32" i="12"/>
  <c r="C28" i="12"/>
  <c r="F34" i="12"/>
  <c r="F33" i="12"/>
  <c r="F29" i="12"/>
  <c r="B27" i="14"/>
  <c r="H27" i="12"/>
  <c r="C31" i="12"/>
  <c r="C39" i="12"/>
  <c r="F28" i="12"/>
  <c r="F31" i="12"/>
  <c r="C38" i="12"/>
  <c r="B25" i="14"/>
  <c r="H25" i="12"/>
  <c r="F25" i="12"/>
  <c r="B26" i="12"/>
  <c r="F26" i="12"/>
  <c r="B32" i="12" l="1"/>
  <c r="B30" i="14"/>
  <c r="B29" i="14"/>
  <c r="B34" i="14"/>
  <c r="H34" i="12"/>
  <c r="I35" i="12"/>
  <c r="C35" i="12"/>
  <c r="H37" i="12"/>
  <c r="H28" i="14"/>
  <c r="I36" i="12"/>
  <c r="B37" i="14"/>
  <c r="B31" i="14"/>
  <c r="I37" i="12"/>
  <c r="C37" i="12"/>
  <c r="B33" i="14"/>
  <c r="H35" i="14"/>
  <c r="H33" i="12"/>
  <c r="B30" i="12"/>
  <c r="B31" i="12"/>
  <c r="H29" i="12"/>
  <c r="I31" i="12"/>
  <c r="I28" i="12"/>
  <c r="D38" i="10"/>
  <c r="C27" i="12"/>
  <c r="D36" i="10"/>
  <c r="B36" i="10"/>
  <c r="H27" i="14"/>
  <c r="D37" i="10"/>
  <c r="D35" i="10"/>
  <c r="B37" i="10"/>
  <c r="D39" i="10"/>
  <c r="H25" i="14"/>
  <c r="C25" i="12"/>
  <c r="H26" i="12"/>
  <c r="B26" i="14"/>
  <c r="I29" i="12" l="1"/>
  <c r="C29" i="12"/>
  <c r="H31" i="12"/>
  <c r="H31" i="14"/>
  <c r="H30" i="12"/>
  <c r="H37" i="14"/>
  <c r="H34" i="14"/>
  <c r="I33" i="12"/>
  <c r="C33" i="12"/>
  <c r="H29" i="14"/>
  <c r="I30" i="12"/>
  <c r="C30" i="12"/>
  <c r="I34" i="12"/>
  <c r="C34" i="12"/>
  <c r="H30" i="14"/>
  <c r="K35" i="12"/>
  <c r="B32" i="14"/>
  <c r="H33" i="14"/>
  <c r="H32" i="12"/>
  <c r="I27" i="12"/>
  <c r="G32" i="12"/>
  <c r="G37" i="12"/>
  <c r="B38" i="10"/>
  <c r="B28" i="10"/>
  <c r="G30" i="12"/>
  <c r="G36" i="12"/>
  <c r="D27" i="10"/>
  <c r="G35" i="12"/>
  <c r="B32" i="10"/>
  <c r="B39" i="10"/>
  <c r="G38" i="12"/>
  <c r="D31" i="10"/>
  <c r="D28" i="10"/>
  <c r="B31" i="10"/>
  <c r="D37" i="12"/>
  <c r="G34" i="12"/>
  <c r="D29" i="10"/>
  <c r="D36" i="12"/>
  <c r="G39" i="12"/>
  <c r="I25" i="12"/>
  <c r="H26" i="14"/>
  <c r="C26" i="12"/>
  <c r="I32" i="12" l="1"/>
  <c r="C32" i="12"/>
  <c r="F36" i="10"/>
  <c r="F37" i="10"/>
  <c r="H32" i="14"/>
  <c r="F35" i="10"/>
  <c r="B35" i="10"/>
  <c r="F31" i="10"/>
  <c r="F28" i="10"/>
  <c r="J37" i="12"/>
  <c r="D39" i="12"/>
  <c r="G29" i="12"/>
  <c r="B34" i="10"/>
  <c r="D38" i="12"/>
  <c r="D34" i="10"/>
  <c r="B33" i="10"/>
  <c r="D28" i="12"/>
  <c r="D31" i="12"/>
  <c r="G27" i="12"/>
  <c r="D30" i="10"/>
  <c r="B30" i="10"/>
  <c r="B27" i="10"/>
  <c r="G31" i="12"/>
  <c r="G28" i="12"/>
  <c r="D33" i="10"/>
  <c r="B25" i="10"/>
  <c r="D25" i="10"/>
  <c r="D26" i="10"/>
  <c r="B26" i="10"/>
  <c r="I26" i="12"/>
  <c r="J36" i="12" l="1"/>
  <c r="F32" i="10"/>
  <c r="D32" i="10"/>
  <c r="F29" i="10"/>
  <c r="B29" i="10"/>
  <c r="D35" i="12"/>
  <c r="H35" i="10"/>
  <c r="D32" i="12"/>
  <c r="F34" i="10"/>
  <c r="F30" i="10"/>
  <c r="F33" i="10"/>
  <c r="J28" i="12"/>
  <c r="D33" i="12"/>
  <c r="G33" i="12"/>
  <c r="F27" i="10"/>
  <c r="D27" i="12"/>
  <c r="F25" i="10"/>
  <c r="G25" i="12"/>
  <c r="D25" i="12"/>
  <c r="G26" i="12"/>
  <c r="F26" i="10"/>
  <c r="D26" i="12"/>
  <c r="K31" i="12" l="1"/>
  <c r="J29" i="12"/>
  <c r="D29" i="12"/>
  <c r="J30" i="12"/>
  <c r="D30" i="12"/>
  <c r="K32" i="12"/>
  <c r="J35" i="12"/>
  <c r="J31" i="12"/>
  <c r="J34" i="12"/>
  <c r="D34" i="12"/>
  <c r="K37" i="12"/>
  <c r="K36" i="12"/>
  <c r="J32" i="12"/>
  <c r="J33" i="12"/>
  <c r="C36" i="10"/>
  <c r="E38" i="10"/>
  <c r="E30" i="10"/>
  <c r="C37" i="10"/>
  <c r="E37" i="10"/>
  <c r="E39" i="10"/>
  <c r="E36" i="10"/>
  <c r="E34" i="10"/>
  <c r="E35" i="10"/>
  <c r="C30" i="10"/>
  <c r="J27" i="12"/>
  <c r="E32" i="10"/>
  <c r="C25" i="10"/>
  <c r="J25" i="12"/>
  <c r="J26" i="12"/>
  <c r="K34" i="12" l="1"/>
  <c r="K28" i="12"/>
  <c r="K30" i="12"/>
  <c r="K29" i="12"/>
  <c r="G36" i="10"/>
  <c r="K27" i="12"/>
  <c r="E27" i="10"/>
  <c r="C39" i="10"/>
  <c r="C38" i="10"/>
  <c r="C28" i="10"/>
  <c r="E29" i="10"/>
  <c r="E33" i="10"/>
  <c r="E31" i="10"/>
  <c r="C31" i="10"/>
  <c r="E28" i="10"/>
  <c r="E25" i="10"/>
  <c r="K25" i="12"/>
  <c r="E26" i="10"/>
  <c r="K26" i="12"/>
  <c r="H30" i="10" l="1"/>
  <c r="G37" i="10"/>
  <c r="G30" i="10"/>
  <c r="C35" i="10"/>
  <c r="G32" i="10"/>
  <c r="C32" i="10"/>
  <c r="K33" i="12"/>
  <c r="G28" i="10"/>
  <c r="C27" i="10"/>
  <c r="G25" i="10"/>
  <c r="C26" i="10"/>
  <c r="G29" i="10" l="1"/>
  <c r="C29" i="10"/>
  <c r="G33" i="10"/>
  <c r="C33" i="10"/>
  <c r="G34" i="10"/>
  <c r="C34" i="10"/>
  <c r="H36" i="10"/>
  <c r="G35" i="10"/>
  <c r="H37" i="10"/>
  <c r="G31" i="10"/>
  <c r="F26" i="14"/>
  <c r="F35" i="14"/>
  <c r="F38" i="14"/>
  <c r="F37" i="14"/>
  <c r="F30" i="14"/>
  <c r="C30" i="14"/>
  <c r="G27" i="10"/>
  <c r="F32" i="14"/>
  <c r="F29" i="14"/>
  <c r="F39" i="14"/>
  <c r="F28" i="14"/>
  <c r="F34" i="14"/>
  <c r="C36" i="14"/>
  <c r="F27" i="14"/>
  <c r="C37" i="14"/>
  <c r="F36" i="14"/>
  <c r="C25" i="14"/>
  <c r="H25" i="10"/>
  <c r="G26" i="10"/>
  <c r="H33" i="10" l="1"/>
  <c r="H32" i="10"/>
  <c r="H34" i="10"/>
  <c r="H29" i="10"/>
  <c r="H31" i="10"/>
  <c r="H28" i="10"/>
  <c r="I37" i="14"/>
  <c r="I30" i="14"/>
  <c r="I36" i="14"/>
  <c r="F25" i="14"/>
  <c r="C38" i="14"/>
  <c r="C31" i="14"/>
  <c r="C39" i="14"/>
  <c r="H27" i="10"/>
  <c r="I25" i="14"/>
  <c r="H26" i="10"/>
  <c r="I32" i="14" l="1"/>
  <c r="C32" i="14"/>
  <c r="I28" i="14"/>
  <c r="C28" i="14"/>
  <c r="I35" i="14"/>
  <c r="C35" i="14"/>
  <c r="C33" i="14"/>
  <c r="F33" i="14"/>
  <c r="C27" i="14"/>
  <c r="C26" i="14"/>
  <c r="I34" i="14" l="1"/>
  <c r="C34" i="14"/>
  <c r="K35" i="14"/>
  <c r="I31" i="14"/>
  <c r="F31" i="14"/>
  <c r="I29" i="14"/>
  <c r="C29" i="14"/>
  <c r="I33" i="14"/>
  <c r="G28" i="14"/>
  <c r="D31" i="14"/>
  <c r="G36" i="14"/>
  <c r="G29" i="14"/>
  <c r="G37" i="14"/>
  <c r="G39" i="14"/>
  <c r="G30" i="14"/>
  <c r="D30" i="14"/>
  <c r="D36" i="14"/>
  <c r="D32" i="14"/>
  <c r="G35" i="14"/>
  <c r="I27" i="14"/>
  <c r="G27" i="14"/>
  <c r="G32" i="14"/>
  <c r="D28" i="14"/>
  <c r="G38" i="14"/>
  <c r="G34" i="14"/>
  <c r="D37" i="14"/>
  <c r="G25" i="14"/>
  <c r="D25" i="14"/>
  <c r="I26" i="14"/>
  <c r="G26" i="14"/>
  <c r="J37" i="14" l="1"/>
  <c r="J30" i="14"/>
  <c r="J36" i="14"/>
  <c r="D38" i="14"/>
  <c r="G33" i="14"/>
  <c r="D39" i="14"/>
  <c r="J25" i="14"/>
  <c r="K37" i="14" l="1"/>
  <c r="D35" i="14"/>
  <c r="J32" i="14"/>
  <c r="J31" i="14"/>
  <c r="G31" i="14"/>
  <c r="J28" i="14"/>
  <c r="D27" i="14"/>
  <c r="K25" i="14"/>
  <c r="D26" i="14"/>
  <c r="K28" i="14" l="1"/>
  <c r="J33" i="14"/>
  <c r="D33" i="14"/>
  <c r="K32" i="14"/>
  <c r="K36" i="14"/>
  <c r="J34" i="14"/>
  <c r="D34" i="14"/>
  <c r="J35" i="14"/>
  <c r="J29" i="14"/>
  <c r="D29" i="14"/>
  <c r="K30" i="14"/>
  <c r="J27" i="14"/>
  <c r="J26" i="14"/>
  <c r="K34" i="14" l="1"/>
  <c r="K29" i="14"/>
  <c r="K33" i="14"/>
  <c r="K31" i="14"/>
  <c r="K27" i="14"/>
  <c r="K26" i="14"/>
  <c r="B12" i="12" l="1"/>
  <c r="E12" i="12"/>
  <c r="B20" i="12"/>
  <c r="B11" i="12"/>
  <c r="B9" i="12"/>
  <c r="B10" i="12"/>
  <c r="E11" i="12" l="1"/>
  <c r="B22" i="14"/>
  <c r="B23" i="14"/>
  <c r="B21" i="14"/>
  <c r="B20" i="14"/>
  <c r="E12" i="14"/>
  <c r="B12" i="14"/>
  <c r="E23" i="12"/>
  <c r="E20" i="14"/>
  <c r="B22" i="12"/>
  <c r="E21" i="12"/>
  <c r="E22" i="14"/>
  <c r="B23" i="12"/>
  <c r="B11" i="14"/>
  <c r="E21" i="14"/>
  <c r="B21" i="12"/>
  <c r="E22" i="12"/>
  <c r="B9" i="14"/>
  <c r="E9" i="12"/>
  <c r="B10" i="14"/>
  <c r="E10" i="12"/>
  <c r="E20" i="12" l="1"/>
  <c r="H12" i="12"/>
  <c r="E11" i="14"/>
  <c r="C23" i="12"/>
  <c r="F20" i="12"/>
  <c r="F22" i="12"/>
  <c r="H11" i="12"/>
  <c r="F21" i="12"/>
  <c r="C22" i="12"/>
  <c r="C12" i="12"/>
  <c r="C20" i="12"/>
  <c r="C11" i="12"/>
  <c r="F12" i="12"/>
  <c r="C21" i="12"/>
  <c r="E23" i="14"/>
  <c r="E9" i="14"/>
  <c r="H9" i="12"/>
  <c r="C9" i="12"/>
  <c r="H10" i="12"/>
  <c r="C10" i="12"/>
  <c r="E10" i="14"/>
  <c r="H12" i="14" l="1"/>
  <c r="H21" i="12"/>
  <c r="H20" i="14"/>
  <c r="H21" i="14"/>
  <c r="H20" i="12"/>
  <c r="I20" i="12"/>
  <c r="H11" i="14"/>
  <c r="H10" i="14"/>
  <c r="D23" i="10"/>
  <c r="F23" i="12"/>
  <c r="F11" i="12"/>
  <c r="H9" i="14"/>
  <c r="F9" i="12"/>
  <c r="F10" i="12"/>
  <c r="D22" i="10"/>
  <c r="B22" i="10"/>
  <c r="B21" i="10"/>
  <c r="D21" i="10"/>
  <c r="B20" i="10"/>
  <c r="B23" i="10"/>
  <c r="B9" i="10"/>
  <c r="D20" i="10"/>
  <c r="B10" i="10"/>
  <c r="B12" i="10"/>
  <c r="B11" i="10"/>
  <c r="D12" i="10"/>
  <c r="I21" i="12" l="1"/>
  <c r="I12" i="12"/>
  <c r="F20" i="10"/>
  <c r="F12" i="10"/>
  <c r="G23" i="12"/>
  <c r="I11" i="12"/>
  <c r="I9" i="12"/>
  <c r="F21" i="10" l="1"/>
  <c r="I10" i="12"/>
  <c r="G22" i="12"/>
  <c r="D12" i="12"/>
  <c r="D11" i="10"/>
  <c r="D11" i="12"/>
  <c r="D23" i="12"/>
  <c r="D21" i="12"/>
  <c r="G20" i="12"/>
  <c r="G12" i="12"/>
  <c r="G21" i="12"/>
  <c r="D22" i="12"/>
  <c r="D20" i="12"/>
  <c r="D9" i="10"/>
  <c r="D9" i="12"/>
  <c r="D10" i="12"/>
  <c r="D10" i="10"/>
  <c r="J21" i="12" l="1"/>
  <c r="J20" i="12"/>
  <c r="J12" i="12"/>
  <c r="F10" i="10"/>
  <c r="F11" i="10"/>
  <c r="F9" i="10"/>
  <c r="G11" i="12"/>
  <c r="E23" i="10"/>
  <c r="G9" i="12"/>
  <c r="J11" i="12" l="1"/>
  <c r="E21" i="10"/>
  <c r="C23" i="10"/>
  <c r="C11" i="10"/>
  <c r="E20" i="10"/>
  <c r="C21" i="10"/>
  <c r="E12" i="10"/>
  <c r="C22" i="10"/>
  <c r="E22" i="10"/>
  <c r="C20" i="10"/>
  <c r="C12" i="10"/>
  <c r="C9" i="10"/>
  <c r="J9" i="12"/>
  <c r="G10" i="12"/>
  <c r="C10" i="10"/>
  <c r="K12" i="12" l="1"/>
  <c r="K20" i="12"/>
  <c r="K21" i="12"/>
  <c r="G21" i="10"/>
  <c r="K11" i="12"/>
  <c r="E11" i="10"/>
  <c r="E9" i="10"/>
  <c r="E10" i="10"/>
  <c r="J10" i="12"/>
  <c r="K9" i="12" l="1"/>
  <c r="G12" i="10"/>
  <c r="G20" i="10"/>
  <c r="G9" i="10"/>
  <c r="G10" i="10"/>
  <c r="G11" i="10"/>
  <c r="K10" i="12"/>
  <c r="H21" i="10" l="1"/>
  <c r="H20" i="10"/>
  <c r="H12" i="10"/>
  <c r="H9" i="10"/>
  <c r="H10" i="10"/>
  <c r="H11" i="10"/>
  <c r="F23" i="14"/>
  <c r="F11" i="14" l="1"/>
  <c r="F12" i="14"/>
  <c r="C21" i="14"/>
  <c r="F22" i="14"/>
  <c r="C23" i="14"/>
  <c r="C12" i="14"/>
  <c r="C22" i="14"/>
  <c r="C20" i="14"/>
  <c r="F21" i="14"/>
  <c r="C11" i="14"/>
  <c r="F20" i="14"/>
  <c r="F9" i="14"/>
  <c r="C9" i="14"/>
  <c r="C10" i="14"/>
  <c r="F10" i="14"/>
  <c r="I11" i="14" l="1"/>
  <c r="I9" i="14"/>
  <c r="I10" i="14"/>
  <c r="I12" i="14" l="1"/>
  <c r="I21" i="14"/>
  <c r="I20" i="14"/>
  <c r="G23" i="14"/>
  <c r="D20" i="14" l="1"/>
  <c r="G21" i="14"/>
  <c r="D22" i="14"/>
  <c r="G12" i="14"/>
  <c r="G11" i="14"/>
  <c r="D12" i="14"/>
  <c r="G22" i="14"/>
  <c r="G20" i="14"/>
  <c r="D23" i="14"/>
  <c r="D21" i="14"/>
  <c r="D11" i="14"/>
  <c r="G9" i="14"/>
  <c r="D9" i="14"/>
  <c r="G10" i="14"/>
  <c r="D10" i="14"/>
  <c r="J20" i="14" l="1"/>
  <c r="J12" i="14"/>
  <c r="J11" i="14"/>
  <c r="J9" i="14"/>
  <c r="J10" i="14"/>
  <c r="K21" i="14" l="1"/>
  <c r="J21" i="14"/>
  <c r="K11" i="14"/>
  <c r="K10" i="14"/>
  <c r="K20" i="14" l="1"/>
  <c r="K12" i="14"/>
  <c r="K9" i="14"/>
  <c r="A43" i="12" l="1"/>
  <c r="A3" i="12"/>
  <c r="A43" i="10"/>
  <c r="A3" i="10"/>
  <c r="A43" i="14"/>
  <c r="A3" i="14"/>
  <c r="I19" i="12" l="1"/>
  <c r="H19" i="10"/>
  <c r="J19" i="14"/>
  <c r="G19" i="10"/>
  <c r="H19" i="12"/>
  <c r="I19" i="14"/>
  <c r="K19" i="12"/>
  <c r="F19" i="10"/>
  <c r="K19" i="14"/>
  <c r="H19" i="14"/>
  <c r="J19" i="12"/>
  <c r="B15" i="12" l="1"/>
  <c r="B13" i="12"/>
  <c r="B17" i="12"/>
  <c r="E19" i="12"/>
  <c r="B14" i="12"/>
  <c r="B19" i="12"/>
  <c r="B16" i="12"/>
  <c r="B17" i="14"/>
  <c r="B18" i="12"/>
  <c r="E13" i="12"/>
  <c r="E15" i="12"/>
  <c r="E16" i="12"/>
  <c r="E14" i="12"/>
  <c r="B14" i="14" l="1"/>
  <c r="E19" i="14"/>
  <c r="E18" i="12"/>
  <c r="B19" i="14"/>
  <c r="B15" i="14"/>
  <c r="B13" i="14"/>
  <c r="B16" i="14"/>
  <c r="E15" i="14"/>
  <c r="B18" i="14"/>
  <c r="E13" i="14"/>
  <c r="C17" i="12"/>
  <c r="E17" i="12"/>
  <c r="E14" i="14"/>
  <c r="E16" i="14"/>
  <c r="E18" i="14" l="1"/>
  <c r="C14" i="12"/>
  <c r="C15" i="12"/>
  <c r="H14" i="12"/>
  <c r="C19" i="12"/>
  <c r="H13" i="12"/>
  <c r="H18" i="12"/>
  <c r="H15" i="12"/>
  <c r="F19" i="12"/>
  <c r="C13" i="12"/>
  <c r="H16" i="12"/>
  <c r="E17" i="14"/>
  <c r="C16" i="12"/>
  <c r="F15" i="12"/>
  <c r="C18" i="12"/>
  <c r="F14" i="12"/>
  <c r="F13" i="12"/>
  <c r="F16" i="12"/>
  <c r="H18" i="14" l="1"/>
  <c r="H17" i="14"/>
  <c r="F17" i="12"/>
  <c r="F18" i="12"/>
  <c r="H15" i="14"/>
  <c r="H17" i="12"/>
  <c r="H14" i="14"/>
  <c r="H16" i="14"/>
  <c r="I17" i="12"/>
  <c r="H13" i="14"/>
  <c r="I14" i="12"/>
  <c r="I18" i="12"/>
  <c r="I13" i="12"/>
  <c r="I15" i="12"/>
  <c r="B17" i="10"/>
  <c r="I16" i="12"/>
  <c r="D19" i="10" l="1"/>
  <c r="B13" i="10"/>
  <c r="B19" i="10"/>
  <c r="B16" i="10"/>
  <c r="B15" i="10"/>
  <c r="B14" i="10"/>
  <c r="D17" i="12"/>
  <c r="B18" i="10"/>
  <c r="D14" i="10"/>
  <c r="D16" i="10"/>
  <c r="D15" i="10"/>
  <c r="D13" i="10"/>
  <c r="D17" i="10" l="1"/>
  <c r="D16" i="12"/>
  <c r="D13" i="12"/>
  <c r="G19" i="12"/>
  <c r="D15" i="12"/>
  <c r="D19" i="12"/>
  <c r="D14" i="12"/>
  <c r="D18" i="10"/>
  <c r="G13" i="12"/>
  <c r="F13" i="10"/>
  <c r="J17" i="12"/>
  <c r="F18" i="10"/>
  <c r="F16" i="10"/>
  <c r="F17" i="10"/>
  <c r="G16" i="12"/>
  <c r="D18" i="12"/>
  <c r="F15" i="10"/>
  <c r="F14" i="10"/>
  <c r="G18" i="12" l="1"/>
  <c r="G17" i="12"/>
  <c r="C15" i="10"/>
  <c r="C17" i="10"/>
  <c r="J18" i="12"/>
  <c r="C14" i="10"/>
  <c r="G15" i="12"/>
  <c r="J16" i="12"/>
  <c r="J13" i="12"/>
  <c r="G14" i="12"/>
  <c r="C16" i="10" l="1"/>
  <c r="E19" i="10"/>
  <c r="C19" i="10"/>
  <c r="K17" i="12"/>
  <c r="C13" i="10"/>
  <c r="E16" i="10"/>
  <c r="E13" i="10"/>
  <c r="J14" i="12"/>
  <c r="J15" i="12"/>
  <c r="E17" i="10" l="1"/>
  <c r="K13" i="12"/>
  <c r="K16" i="12"/>
  <c r="E18" i="10"/>
  <c r="K18" i="12"/>
  <c r="E15" i="10"/>
  <c r="E14" i="10"/>
  <c r="G16" i="10"/>
  <c r="G13" i="10"/>
  <c r="G15" i="10"/>
  <c r="C18" i="10"/>
  <c r="K15" i="12" l="1"/>
  <c r="K14" i="12"/>
  <c r="G17" i="10"/>
  <c r="G14" i="10"/>
  <c r="G18" i="10"/>
  <c r="H17" i="10" l="1"/>
  <c r="H15" i="10"/>
  <c r="H13" i="10"/>
  <c r="H16" i="10"/>
  <c r="C14" i="14"/>
  <c r="C13" i="14"/>
  <c r="C16" i="14"/>
  <c r="C15" i="14"/>
  <c r="C17" i="14"/>
  <c r="F19" i="14" l="1"/>
  <c r="C19" i="14"/>
  <c r="F17" i="14"/>
  <c r="H14" i="10"/>
  <c r="F15" i="14"/>
  <c r="H18" i="10"/>
  <c r="F14" i="14"/>
  <c r="I17" i="14"/>
  <c r="I13" i="14"/>
  <c r="F18" i="14"/>
  <c r="I15" i="14"/>
  <c r="I14" i="14" l="1"/>
  <c r="F13" i="14"/>
  <c r="C18" i="14"/>
  <c r="I18" i="14"/>
  <c r="F16" i="14"/>
  <c r="D14" i="14" l="1"/>
  <c r="D13" i="14"/>
  <c r="D17" i="14"/>
  <c r="D16" i="14"/>
  <c r="D15" i="14"/>
  <c r="I16" i="14"/>
  <c r="G13" i="14" l="1"/>
  <c r="G17" i="14"/>
  <c r="G16" i="14"/>
  <c r="G14" i="14"/>
  <c r="D19" i="14"/>
  <c r="G15" i="14"/>
  <c r="G19" i="14"/>
  <c r="J15" i="14"/>
  <c r="J17" i="14"/>
  <c r="G18" i="14"/>
  <c r="J13" i="14"/>
  <c r="J14" i="14"/>
  <c r="J16" i="14" l="1"/>
  <c r="D18" i="14"/>
  <c r="J18" i="14"/>
  <c r="K17" i="14" l="1"/>
  <c r="K14" i="14"/>
  <c r="K13" i="14"/>
  <c r="K16" i="14"/>
  <c r="K15" i="14"/>
  <c r="K18" i="14" l="1"/>
</calcChain>
</file>

<file path=xl/sharedStrings.xml><?xml version="1.0" encoding="utf-8"?>
<sst xmlns="http://schemas.openxmlformats.org/spreadsheetml/2006/main" count="907" uniqueCount="307">
  <si>
    <t>A-1</t>
  </si>
  <si>
    <t>NO.OF VILLAGES PLANNED</t>
  </si>
  <si>
    <t>NO. ( % ) OF VILLAGES FOR WHICH SCHEDULES  WERE RECEIVED</t>
  </si>
  <si>
    <t xml:space="preserve"> NO. ( % ) OF SCHEDULES ANALYSED</t>
  </si>
  <si>
    <t>WITH 'a' &amp; 'b' ENTRIES TOGETHER</t>
  </si>
  <si>
    <t>WITH 'a' &amp; 'b' ENTRIES SEPARATELY</t>
  </si>
  <si>
    <t>WITH 'a'  ENTRIES ONLY</t>
  </si>
  <si>
    <t>BY CUT OFF DATE</t>
  </si>
  <si>
    <t>(1)</t>
  </si>
  <si>
    <t>(2)</t>
  </si>
  <si>
    <t>(3)</t>
  </si>
  <si>
    <t>(4)</t>
  </si>
  <si>
    <t>(5)</t>
  </si>
  <si>
    <t>(6)</t>
  </si>
  <si>
    <t>(7)</t>
  </si>
  <si>
    <t>(8)</t>
  </si>
  <si>
    <t xml:space="preserve">CENTRAL        </t>
  </si>
  <si>
    <t>STATE</t>
  </si>
  <si>
    <t>POOLED</t>
  </si>
  <si>
    <t>Developed by: Deepak Kumar Agrawal, Senior Statistical Officer, NSSO (FOD), Faridabad, Haryana</t>
  </si>
  <si>
    <t>A-2</t>
  </si>
  <si>
    <t>NUMBER OF YEARS SINCE UPDATED</t>
  </si>
  <si>
    <t xml:space="preserve"> NUMBER AND PERCENTAGE OF VILLAGES</t>
  </si>
  <si>
    <t>(A) 1 TO 5</t>
  </si>
  <si>
    <t>(B) 6 TO 10</t>
  </si>
  <si>
    <t>(C) 11 TO 20</t>
  </si>
  <si>
    <t>(D) MORE THAN 20 YEARS</t>
  </si>
  <si>
    <t>(E) INFORMATION NOT AVAILABLE</t>
  </si>
  <si>
    <t>AVAILABILITY OF MAPS WITH PATWARI</t>
  </si>
  <si>
    <t>(A) MAPS AVAILABLE</t>
  </si>
  <si>
    <t>(I) USABLE MAPS</t>
  </si>
  <si>
    <t>(II) UNUSABLE MAPS</t>
  </si>
  <si>
    <t>(B) MAPS NOT AVAILABLE</t>
  </si>
  <si>
    <t>FIGURES IN () INDICATES %AGE TO NO. OF VILLAGES ANALYSED.</t>
  </si>
  <si>
    <t>A-3</t>
  </si>
  <si>
    <t>YEAR</t>
  </si>
  <si>
    <t>NO.  OF VILLAGES</t>
  </si>
  <si>
    <t>SURVEY/ SUB-SURVEY NUMBERS PER VILLAGES</t>
  </si>
  <si>
    <t>GEOGRAPHICAL AREA (HA) PER VILLAGES</t>
  </si>
  <si>
    <t>TOTAL</t>
  </si>
  <si>
    <t>A-4</t>
  </si>
  <si>
    <t>TRS</t>
  </si>
  <si>
    <t>TOTAL NO OF VILLAGES ALLOTED PER PATWARI</t>
  </si>
  <si>
    <t xml:space="preserve">FREQUENCY </t>
  </si>
  <si>
    <t>GREATER THAN 3</t>
  </si>
  <si>
    <t>I.N.A. : INFORMATION NOT AVAILABLE</t>
  </si>
  <si>
    <t>A-5</t>
  </si>
  <si>
    <t>SL.NO.</t>
  </si>
  <si>
    <t xml:space="preserve"> DISTRIBUTION   OF   VILLAGES ACCORDING TO SL./SUB-SURVEY NOS.</t>
  </si>
  <si>
    <t xml:space="preserve"> DISTRIBUTION   OF   VILLAGES ACCORDING TO GEOGRAPHICAL AREA</t>
  </si>
  <si>
    <t>(%) 0.00</t>
  </si>
  <si>
    <t>UP TO 50</t>
  </si>
  <si>
    <t>51 to 100</t>
  </si>
  <si>
    <t>101 to 200</t>
  </si>
  <si>
    <t>201 to 400</t>
  </si>
  <si>
    <t xml:space="preserve">401 to 600 </t>
  </si>
  <si>
    <t>601 to 800</t>
  </si>
  <si>
    <t>801 to 1000</t>
  </si>
  <si>
    <t>1001 to 5000</t>
  </si>
  <si>
    <t>ABOVE  5000</t>
  </si>
  <si>
    <t>MORE THAN  3000</t>
  </si>
  <si>
    <t>NOT REPORTED</t>
  </si>
  <si>
    <t>A-6</t>
  </si>
  <si>
    <t xml:space="preserve"> SEASON/  AGENCY </t>
  </si>
  <si>
    <t>NUMBER (PERCENTAGE) OF VILLAGES WHERE</t>
  </si>
  <si>
    <t xml:space="preserve"> GIRDAWARI COMPLETED</t>
  </si>
  <si>
    <t xml:space="preserve">GIRDAWARI PARTIALLY COMPLETED </t>
  </si>
  <si>
    <t>GIRDAWARI NOT YET STARTED</t>
  </si>
  <si>
    <t>INFORMATION ABOUT COMPLETION OF GIRDAWARI  NOT AVAILABLE</t>
  </si>
  <si>
    <t>SYSTEM OF GIRDAWARI DOES NOT EXIST</t>
  </si>
  <si>
    <t>MAINTENANCE OF RECORDS</t>
  </si>
  <si>
    <t>IN TIME</t>
  </si>
  <si>
    <t>LATE</t>
  </si>
  <si>
    <t>BUT DATE OF COMPLETION NOT KNOWN</t>
  </si>
  <si>
    <t>RECORDS OF GIRDAWARI KEPT IN REGULAR FORM</t>
  </si>
  <si>
    <t>(9)</t>
  </si>
  <si>
    <t>(10)</t>
  </si>
  <si>
    <t>(11)</t>
  </si>
  <si>
    <t>A-7</t>
  </si>
  <si>
    <t>TOTAL NO. OF VILLAGES ANALYSED</t>
  </si>
  <si>
    <t>NUMBER  AND  PERCENTAGE  OF  VILLAGES  FOR  WHICH</t>
  </si>
  <si>
    <t>WITHOUT COMPLETING GIRDAWARI</t>
  </si>
  <si>
    <t>AFTER COMPLETING GIRDAWARI</t>
  </si>
  <si>
    <t>BUT COULD NOT BE COMPARED WITH GIRDAWARI COMPLETION</t>
  </si>
  <si>
    <t xml:space="preserve">THOUGH GIRDAWARI COMPLETED </t>
  </si>
  <si>
    <t>GIRDAWARI NOT COMPLETED</t>
  </si>
  <si>
    <t xml:space="preserve">BY DUE DATE </t>
  </si>
  <si>
    <t xml:space="preserve">AFTER DUE DATE </t>
  </si>
  <si>
    <t>AS DUE DATE NOT OVER</t>
  </si>
  <si>
    <t>OTHER REASONS</t>
  </si>
  <si>
    <t>(12)</t>
  </si>
  <si>
    <t>(13)</t>
  </si>
  <si>
    <t>(14)</t>
  </si>
  <si>
    <t>(15)</t>
  </si>
  <si>
    <t>(16)</t>
  </si>
  <si>
    <t>A-8</t>
  </si>
  <si>
    <t>NO. OF VILLAGES ANALYSED</t>
  </si>
  <si>
    <t>NO.(PERCENTAGE) OF VILLAGES FOR WHICH CROP AREA FIGURES WERE NOT AVAILABLE</t>
  </si>
  <si>
    <t>FOR CURRENT YEAR</t>
  </si>
  <si>
    <t xml:space="preserve">FOR VILLAGE AS A WHOLE </t>
  </si>
  <si>
    <t>FOR SAMPLE CLUSTERS</t>
  </si>
  <si>
    <t>FOR  VILLAGE AS A WHOLE</t>
  </si>
  <si>
    <t># NOT COMPARABLE AS THE IMPACT IS 100% OR MORE</t>
  </si>
  <si>
    <t xml:space="preserve">  NO.   OF      SURVEY  /   SUB      SURVEY       NUMBERS</t>
  </si>
  <si>
    <t>WHERE DISCREPANCIES OBSERVED</t>
  </si>
  <si>
    <t>NO. AND PERCENTAGE OF SURVEY NUMBERS IN WHICH PARTICULARS TALLIED</t>
  </si>
  <si>
    <t>NO. AND PERCENTAGE OF SURVEY NUMBERS IN WHICH PARTICULARS NOT TALLIED</t>
  </si>
  <si>
    <t>I</t>
  </si>
  <si>
    <t>UI</t>
  </si>
  <si>
    <t>SUPERVISOR</t>
  </si>
  <si>
    <t>PATWARI</t>
  </si>
  <si>
    <t>I&amp;UI</t>
  </si>
  <si>
    <t>NR</t>
  </si>
  <si>
    <t>HY</t>
  </si>
  <si>
    <t>L</t>
  </si>
  <si>
    <t>HY&amp;L</t>
  </si>
  <si>
    <t>A-18</t>
  </si>
  <si>
    <t>ANNEX-XIX</t>
  </si>
  <si>
    <t>ITEM</t>
  </si>
  <si>
    <t xml:space="preserve">NUMBER (PERCENTAGE) OF EXPERIMENTS </t>
  </si>
  <si>
    <t>CENTRAL</t>
  </si>
  <si>
    <t>PLANNED</t>
  </si>
  <si>
    <t>PERCENTAGE</t>
  </si>
  <si>
    <t xml:space="preserve">LOST </t>
  </si>
  <si>
    <t xml:space="preserve">REJECTED FOR ANALYSIS </t>
  </si>
  <si>
    <t xml:space="preserve">FOR WHICH SCHEDULES NOT RECEIVED </t>
  </si>
  <si>
    <t>A-19</t>
  </si>
  <si>
    <t>ANNEX-XX</t>
  </si>
  <si>
    <t>SEASON / CROP/ AGENCY</t>
  </si>
  <si>
    <t>CHECKED AT HARVEST STAGE(%)</t>
  </si>
  <si>
    <t>CHECKED AT POST HARVEST STAGE(%)</t>
  </si>
  <si>
    <t>LOST(%)</t>
  </si>
  <si>
    <t>REJECTED FOR ANALYSIS  (%)</t>
  </si>
  <si>
    <t>FOR WHICH  SCH NOT RECEIVED (%)</t>
  </si>
  <si>
    <t>ANNEX-XXI</t>
  </si>
  <si>
    <t>SELECTED VILLAGE DUE TO REASON CODE (@)</t>
  </si>
  <si>
    <t>SELECTED SURVEY NOS. DUE TO REASON CODE ($)</t>
  </si>
  <si>
    <t>REASON CODE ($)</t>
  </si>
  <si>
    <t>CROP HARVESTED PRIOR TO SELECTION</t>
  </si>
  <si>
    <t>RECORD NOT AVAILABLE</t>
  </si>
  <si>
    <t>OTHERS</t>
  </si>
  <si>
    <t>1.</t>
  </si>
  <si>
    <t>No.OF EXPTS. CHECKED</t>
  </si>
  <si>
    <t>2.</t>
  </si>
  <si>
    <t>NO. OF EXPET WITHOUT ERROR (E0)</t>
  </si>
  <si>
    <t>3.</t>
  </si>
  <si>
    <t>SELECTION OF  SURVEY NO.    (E1)</t>
  </si>
  <si>
    <t>II</t>
  </si>
  <si>
    <t>SELECTION OF FIELD WITHIN SURVEY NO.(E2)</t>
  </si>
  <si>
    <t>III</t>
  </si>
  <si>
    <t>IV</t>
  </si>
  <si>
    <t>CHOOSING RANDOM NO. FOR LOCATION PLOT (E10)</t>
  </si>
  <si>
    <t>V</t>
  </si>
  <si>
    <t>LOCATION PLOT (E11)</t>
  </si>
  <si>
    <t>VI</t>
  </si>
  <si>
    <t>VII</t>
  </si>
  <si>
    <t>WEIGHMENT OF PRODUCT (E13)</t>
  </si>
  <si>
    <t>4.</t>
  </si>
  <si>
    <t>NO. OF EXPERIMENTS WITH DISCREPANT REPORTING OF ANCILLARY PARTICULARS</t>
  </si>
  <si>
    <t>SEED VARIETY (E3)</t>
  </si>
  <si>
    <t>SEED RATE (E4)</t>
  </si>
  <si>
    <t>APPLICATION OF FERTILIZERS (E6)</t>
  </si>
  <si>
    <t>APPLICATION OF MANURES (E7)</t>
  </si>
  <si>
    <t>APPLICATION OF PESTICIDES (E8)</t>
  </si>
  <si>
    <t>5.</t>
  </si>
  <si>
    <t>NO. OF EXPTS. WHERE ARRANGEMENT FOR DRIAGE WAS MADE INADEQUATE (E14)</t>
  </si>
  <si>
    <t>6.</t>
  </si>
  <si>
    <t>7.</t>
  </si>
  <si>
    <t>ANYONE OF THE ITEM IS MISSING (E16)</t>
  </si>
  <si>
    <t>ANNEX-XXIII</t>
  </si>
  <si>
    <t>NO. &amp; (%) OF EXPERIMENTS FOR WHICH</t>
  </si>
  <si>
    <t>THE PRIMARY WORKERS WERE FOUND NOT USING THE SUPPLIED EQUIPMENTS</t>
  </si>
  <si>
    <t>TAPE</t>
  </si>
  <si>
    <t>BALANCE</t>
  </si>
  <si>
    <t>WEIGHT</t>
  </si>
  <si>
    <t>PEGS</t>
  </si>
  <si>
    <t>ANNEX-XXIV</t>
  </si>
  <si>
    <t>NO. &amp; (%) OF EXPERIMENTS</t>
  </si>
  <si>
    <t>NO.&amp; (%) OF EXPERIMENTS</t>
  </si>
  <si>
    <t>FOR WHICH FIELD WORK WAS DELEGATED TO EQUIVALENT / SENIOR PERSON</t>
  </si>
  <si>
    <t>CONDUCTED BY UNTRAINED WORKERS</t>
  </si>
  <si>
    <t>FOR WHICH FIELD WORK WAS DELEGATED TO JUNIORS</t>
  </si>
  <si>
    <t xml:space="preserve">CONDUCTED BY UNTRAINED WORKERS </t>
  </si>
  <si>
    <t>FOR WHICH FIELD WORK WAS CONDUCTED BY DESIGNATED PERSON  (NO CHANGE IN PRIMARY WORKER)</t>
  </si>
  <si>
    <t xml:space="preserve">    TOTAL</t>
  </si>
  <si>
    <t xml:space="preserve">       REASON CODE (@)</t>
  </si>
  <si>
    <t>FIELD PARTIALLY HARVESTED AFFECTING THE LOCATION OF EXPERIMENTAL PLOT.</t>
  </si>
  <si>
    <t>TOTAL       RECEIVED</t>
  </si>
  <si>
    <t xml:space="preserve">   TOTAL   </t>
  </si>
  <si>
    <t xml:space="preserve">  1 TO 5</t>
  </si>
  <si>
    <t xml:space="preserve">  6 TO 10</t>
  </si>
  <si>
    <t xml:space="preserve">  11 TO 15</t>
  </si>
  <si>
    <t xml:space="preserve">  ABOVE 15</t>
  </si>
  <si>
    <t xml:space="preserve">  I.N.A.</t>
  </si>
  <si>
    <t xml:space="preserve">  No TRS</t>
  </si>
  <si>
    <t xml:space="preserve">  TOTAL</t>
  </si>
  <si>
    <t>TOTAL COLS. (4+5+6)</t>
  </si>
  <si>
    <t xml:space="preserve">NO. &amp; (%) OF EXPERIMENTS FOR WHICH SUBSTITUTION WAS DONE IN RESPECT OF </t>
  </si>
  <si>
    <t>A-20</t>
  </si>
  <si>
    <t>PARTICULARS</t>
  </si>
  <si>
    <t>NO. OF EXPTS. WHICH DEPARTURE FROM INSTRUCTION IN CONDUCT OF EXPTS. WAS OBSERVED IN RESPECT OF:</t>
  </si>
  <si>
    <t>MEASUREMENT FIELD (E9)</t>
  </si>
  <si>
    <t>DIMENSION OF PLOT (E12)</t>
  </si>
  <si>
    <t>IRRIGATION PARTICULARS (E5)</t>
  </si>
  <si>
    <t>NO. OF EXPTS WITH INCORRECT REPORTING OF CONSTITUENTS IN CROP MIXTURE (E15)</t>
  </si>
  <si>
    <t>SEASON /      AGENCY</t>
  </si>
  <si>
    <t>SL NO.</t>
  </si>
  <si>
    <t>SL.  NO.</t>
  </si>
  <si>
    <t>CLASS INT.       (SL. /  SUB          SURVEY NOS.)</t>
  </si>
  <si>
    <t>WHERE CROP AREA TALLIED          (E0)</t>
  </si>
  <si>
    <t>CROP REPORTED BY PATWARI BUT NOT REPORTED BY SUPERVISOR                (E2)</t>
  </si>
  <si>
    <t>CROP AREAS REPORTED BY SUPERVISOR AND PATWARI DIFFERED                  (E3)</t>
  </si>
  <si>
    <t>THE PRIMARY WORKERS  WERE  FOUND  NOT SUPPLIED WITH</t>
  </si>
  <si>
    <t>A-15</t>
  </si>
  <si>
    <t>A-16</t>
  </si>
  <si>
    <t>A-14</t>
  </si>
  <si>
    <t>A-17</t>
  </si>
  <si>
    <t>CROP NOT SOWN</t>
  </si>
  <si>
    <t xml:space="preserve">  TRS STATEMENT SUBMITTED</t>
  </si>
  <si>
    <t xml:space="preserve"> TRS STATEMENT NOT SUBMITTED</t>
  </si>
  <si>
    <t>INFORMATION REGARDING TRS SUBMISSION DATE NOT KNOWN</t>
  </si>
  <si>
    <t>INFORMATION REGARDING TRS SUBMISSION NOT AVAILABLE</t>
  </si>
  <si>
    <t>TRS STATEMENT SUBMITTED IN STANDARD FORM</t>
  </si>
  <si>
    <t>DUPLICATE COPY OF THE TRS STATEMENT KEPT</t>
  </si>
  <si>
    <t>A-21</t>
  </si>
  <si>
    <t>ANNEX-XXV</t>
  </si>
  <si>
    <t>SEASON/ CROPS</t>
  </si>
  <si>
    <t>Agency</t>
  </si>
  <si>
    <t xml:space="preserve">ICS </t>
  </si>
  <si>
    <t xml:space="preserve">CES </t>
  </si>
  <si>
    <t>% SE</t>
  </si>
  <si>
    <t/>
  </si>
  <si>
    <t>ANNEX-XVIII</t>
  </si>
  <si>
    <t>SEASON</t>
  </si>
  <si>
    <t>NO. OF EXPERIMENTS SUPERVISED BY STATISTICAL AGENCY</t>
  </si>
  <si>
    <t>TOTAL (%)</t>
  </si>
  <si>
    <t>HARVEST (%)</t>
  </si>
  <si>
    <t>ANNEX-XVII</t>
  </si>
  <si>
    <t>Response</t>
  </si>
  <si>
    <t>Estimated Yield  (% SE)</t>
  </si>
  <si>
    <t>No. of Expts.</t>
  </si>
  <si>
    <t>% age</t>
  </si>
  <si>
    <t xml:space="preserve">Planned </t>
  </si>
  <si>
    <t>Analysed</t>
  </si>
  <si>
    <t>ANNEX-XVI</t>
  </si>
  <si>
    <t>AGENCY</t>
  </si>
  <si>
    <t>NO. OF C.E.S. TRAINING CENTRES</t>
  </si>
  <si>
    <t>ORGANISED BY S.A.S.A.</t>
  </si>
  <si>
    <t>TOTAL CALLED</t>
  </si>
  <si>
    <t>TOTAL TRAINED</t>
  </si>
  <si>
    <t>AS TRAINING OFFICER</t>
  </si>
  <si>
    <t>AS OBSERVER</t>
  </si>
  <si>
    <t>A-11</t>
  </si>
  <si>
    <t>NO. OF VILLAGES/ MOUZAS</t>
  </si>
  <si>
    <t>CLASS INT. (GEOGRAPHICAL AREA IN HA)</t>
  </si>
  <si>
    <t>NO. OF VILLAGES</t>
  </si>
  <si>
    <t xml:space="preserve">LATEST FORM USED FOR GIRDAWARI </t>
  </si>
  <si>
    <t>NO. OF SURVEY/    SUB SURVEY NUMBERS</t>
  </si>
  <si>
    <t xml:space="preserve">AS PER SUPERVISOR </t>
  </si>
  <si>
    <t>AS PER PATWARI</t>
  </si>
  <si>
    <t>SEASON / CROP</t>
  </si>
  <si>
    <t xml:space="preserve">AREA IN HECTARES AS OBSERVED IN SAMPLE CLUSTERS </t>
  </si>
  <si>
    <t>CENTRAL SAMPLE</t>
  </si>
  <si>
    <t>STATE SAMPLE</t>
  </si>
  <si>
    <t>POOLED SAMPLE</t>
  </si>
  <si>
    <t>IMPACT OF DISCRIPANCIES (b-a/a)*100 (POOLED SAMPLE ONLY)</t>
  </si>
  <si>
    <t>NO. OF VILLAGES REPORTING CROP</t>
  </si>
  <si>
    <t>SL. NO</t>
  </si>
  <si>
    <t>ENTIRE CROP  HARVESTED IN THE VILLAGE</t>
  </si>
  <si>
    <t>CROP  HARVESTED BEFORE THE DATE IS FIXED</t>
  </si>
  <si>
    <t>MEASUREMENT OF FIELD (E9)</t>
  </si>
  <si>
    <t>NO. OF EXPTS. WHERE INADEQUATE ARRANGEMENT FOR DRIAGE WAS MADE  (E14)</t>
  </si>
  <si>
    <t>AS PER SUPERVISOR
(a)</t>
  </si>
  <si>
    <t>AS PER PATWARI
(b)</t>
  </si>
  <si>
    <t>1001 to 3000</t>
  </si>
  <si>
    <t>PREV. YEAR</t>
  </si>
  <si>
    <t>CROP</t>
  </si>
  <si>
    <t>TRS (NO. AND % TO TOTAL)</t>
  </si>
  <si>
    <t xml:space="preserve">I &amp; UI </t>
  </si>
  <si>
    <t>STATISTICAL/
AGRICULTURAL</t>
  </si>
  <si>
    <t>SEASON/
CROP</t>
  </si>
  <si>
    <t>CROP/ AGENCY</t>
  </si>
  <si>
    <t>* : Indicates difference is Significant</t>
  </si>
  <si>
    <t>A-9</t>
  </si>
  <si>
    <t>A-10</t>
  </si>
  <si>
    <t>A-12</t>
  </si>
  <si>
    <t>A-13</t>
  </si>
  <si>
    <t>YEAR/
SEASON</t>
  </si>
  <si>
    <t>AVERAGE YIELD (KG/HA)</t>
  </si>
  <si>
    <t>∆%
(POOLED ONLY)</t>
  </si>
  <si>
    <t>2022-23</t>
  </si>
  <si>
    <t>2021-22</t>
  </si>
  <si>
    <t xml:space="preserve">YEAR/ 
SEASON/ 
AGENCY     </t>
  </si>
  <si>
    <t>YEAR/
SEASON/
AGENCY</t>
  </si>
  <si>
    <t>NO. OF SURVEY/
SUB SURVEY NUMBERS</t>
  </si>
  <si>
    <t>SEASON/
AGENCY</t>
  </si>
  <si>
    <t>ANNEX-XXII Contd..</t>
  </si>
  <si>
    <t>CROP REPORTED BY SUPERVISOR BUT NOT REPORTED BY PATWARI
(E1)</t>
  </si>
  <si>
    <t>IMPACT OF DISCREPANCIES (b-a/a)*100 (POOLED SAMPLE ONLY)</t>
  </si>
  <si>
    <t>ATTENDANCE IN TRAINING CENTRES</t>
  </si>
  <si>
    <t>COVERED BY N.S.O.</t>
  </si>
  <si>
    <t>NO. OF PRIMARY WORKERS TRAINED BY N.S.O.</t>
  </si>
  <si>
    <t xml:space="preserve">CHECKED AT HARVEST STAGE </t>
  </si>
  <si>
    <t xml:space="preserve">CHECKED AT POST HARVEST STAGE </t>
  </si>
  <si>
    <t xml:space="preserve">NUMBER OF EXPERIMENTS </t>
  </si>
  <si>
    <t>FOR PREVIOUS YEAR (FOR NON-TRS)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</si>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</sst>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);\(0\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b/>
      <sz val="8"/>
      <color rgb="FF000000"/>
      <name val="Courier New"/>
      <family val="3"/>
    </font>
    <font>
      <b/>
      <sz val="10"/>
      <color theme="1"/>
      <name val="Courier New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ourier New"/>
      <family val="3"/>
    </font>
    <font>
      <b/>
      <sz val="11"/>
      <color theme="1"/>
      <name val="Courier New"/>
      <family val="3"/>
    </font>
    <font>
      <b/>
      <sz val="11"/>
      <name val="Courier New"/>
      <family val="3"/>
    </font>
    <font>
      <sz val="11"/>
      <name val="Courier New"/>
      <family val="3"/>
    </font>
    <font>
      <sz val="11"/>
      <color theme="1"/>
      <name val="Courier New"/>
      <family val="3"/>
    </font>
    <font>
      <b/>
      <u/>
      <sz val="11"/>
      <color rgb="FF000000"/>
      <name val="Courier New"/>
      <family val="3"/>
    </font>
    <font>
      <b/>
      <u/>
      <sz val="10"/>
      <color rgb="FF000000"/>
      <name val="Courier New"/>
      <family val="3"/>
    </font>
    <font>
      <b/>
      <sz val="11"/>
      <color rgb="FF000000"/>
      <name val="Courier New"/>
      <family val="3"/>
    </font>
    <font>
      <b/>
      <sz val="10.5"/>
      <color theme="1"/>
      <name val="Courier New"/>
      <family val="3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34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 vertical="center"/>
    </xf>
    <xf numFmtId="164" fontId="2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1" fillId="0" borderId="0" xfId="0" applyNumberFormat="1" applyFont="1"/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8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9" fillId="0" borderId="0" xfId="0" applyFont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5" fontId="10" fillId="0" borderId="0" xfId="0" applyNumberFormat="1" applyFont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165" fontId="10" fillId="0" borderId="0" xfId="0" applyNumberFormat="1" applyFont="1" applyAlignment="1">
      <alignment vertical="center"/>
    </xf>
    <xf numFmtId="165" fontId="10" fillId="0" borderId="11" xfId="0" applyNumberFormat="1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9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12" fillId="0" borderId="0" xfId="0" applyFont="1"/>
    <xf numFmtId="2" fontId="9" fillId="0" borderId="0" xfId="0" applyNumberFormat="1" applyFont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2" fontId="9" fillId="0" borderId="3" xfId="0" applyNumberFormat="1" applyFont="1" applyBorder="1" applyAlignment="1">
      <alignment horizontal="right" vertical="center"/>
    </xf>
    <xf numFmtId="2" fontId="9" fillId="0" borderId="7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65" fontId="10" fillId="0" borderId="10" xfId="0" applyNumberFormat="1" applyFont="1" applyBorder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165" fontId="10" fillId="0" borderId="1" xfId="0" applyNumberFormat="1" applyFont="1" applyBorder="1" applyAlignment="1">
      <alignment horizontal="left" vertical="center"/>
    </xf>
    <xf numFmtId="165" fontId="10" fillId="0" borderId="7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vertical="top" wrapText="1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vertical="top" wrapText="1"/>
    </xf>
    <xf numFmtId="0" fontId="13" fillId="0" borderId="0" xfId="0" applyFont="1" applyAlignment="1">
      <alignment vertical="center"/>
    </xf>
    <xf numFmtId="0" fontId="5" fillId="0" borderId="1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/>
    <xf numFmtId="0" fontId="12" fillId="0" borderId="0" xfId="0" applyFont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19" xfId="0" applyFont="1" applyBorder="1"/>
    <xf numFmtId="0" fontId="9" fillId="0" borderId="19" xfId="0" applyFont="1" applyBorder="1" applyAlignment="1">
      <alignment horizontal="center"/>
    </xf>
    <xf numFmtId="0" fontId="9" fillId="0" borderId="7" xfId="0" applyFont="1" applyBorder="1"/>
    <xf numFmtId="0" fontId="9" fillId="0" borderId="20" xfId="0" applyFont="1" applyBorder="1"/>
    <xf numFmtId="0" fontId="9" fillId="0" borderId="2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5" fontId="10" fillId="0" borderId="2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9" fillId="0" borderId="14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1" fillId="0" borderId="3" xfId="0" applyFont="1" applyBorder="1"/>
    <xf numFmtId="0" fontId="9" fillId="0" borderId="0" xfId="0" quotePrefix="1" applyFont="1" applyAlignment="1">
      <alignment horizontal="center" vertical="top"/>
    </xf>
    <xf numFmtId="0" fontId="9" fillId="0" borderId="17" xfId="0" applyFont="1" applyBorder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" xfId="0" applyFont="1" applyBorder="1" applyAlignment="1">
      <alignment horizontal="right"/>
    </xf>
    <xf numFmtId="0" fontId="13" fillId="0" borderId="2" xfId="0" applyFont="1" applyBorder="1" applyAlignment="1">
      <alignment vertical="center"/>
    </xf>
    <xf numFmtId="0" fontId="9" fillId="0" borderId="2" xfId="0" applyFont="1" applyBorder="1"/>
    <xf numFmtId="2" fontId="5" fillId="0" borderId="0" xfId="0" applyNumberFormat="1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right" vertical="center"/>
    </xf>
    <xf numFmtId="2" fontId="5" fillId="0" borderId="10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6" fillId="0" borderId="1" xfId="0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/>
    </xf>
    <xf numFmtId="0" fontId="16" fillId="0" borderId="1" xfId="0" quotePrefix="1" applyFont="1" applyBorder="1" applyAlignment="1">
      <alignment vertical="center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2" fontId="16" fillId="0" borderId="1" xfId="0" applyNumberFormat="1" applyFont="1" applyBorder="1" applyAlignment="1">
      <alignment horizontal="center" vertical="center" wrapText="1"/>
    </xf>
    <xf numFmtId="2" fontId="16" fillId="0" borderId="0" xfId="0" applyNumberFormat="1" applyFont="1" applyAlignment="1">
      <alignment horizontal="right" vertical="center"/>
    </xf>
    <xf numFmtId="0" fontId="16" fillId="0" borderId="10" xfId="0" quotePrefix="1" applyFont="1" applyBorder="1" applyAlignment="1">
      <alignment vertical="center"/>
    </xf>
    <xf numFmtId="2" fontId="16" fillId="0" borderId="0" xfId="0" quotePrefix="1" applyNumberFormat="1" applyFont="1" applyAlignment="1">
      <alignment vertical="center"/>
    </xf>
    <xf numFmtId="0" fontId="16" fillId="0" borderId="7" xfId="0" applyFont="1" applyBorder="1" applyAlignment="1">
      <alignment horizontal="left" vertical="center"/>
    </xf>
    <xf numFmtId="2" fontId="16" fillId="0" borderId="7" xfId="0" applyNumberFormat="1" applyFont="1" applyBorder="1" applyAlignment="1">
      <alignment horizontal="center" vertical="center" wrapText="1"/>
    </xf>
    <xf numFmtId="0" fontId="16" fillId="0" borderId="0" xfId="0" quotePrefix="1" applyFont="1" applyAlignment="1">
      <alignment horizontal="left" vertical="center"/>
    </xf>
    <xf numFmtId="0" fontId="16" fillId="0" borderId="1" xfId="0" quotePrefix="1" applyFont="1" applyBorder="1" applyAlignment="1">
      <alignment horizontal="left" vertical="center"/>
    </xf>
    <xf numFmtId="0" fontId="16" fillId="0" borderId="7" xfId="0" quotePrefix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7" xfId="0" applyFont="1" applyBorder="1"/>
    <xf numFmtId="0" fontId="5" fillId="0" borderId="7" xfId="0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left" vertical="center" wrapText="1"/>
    </xf>
    <xf numFmtId="165" fontId="10" fillId="0" borderId="1" xfId="0" applyNumberFormat="1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right" vertical="top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0" fontId="9" fillId="0" borderId="1" xfId="0" applyFont="1" applyBorder="1" applyAlignment="1">
      <alignment horizontal="left" wrapText="1"/>
    </xf>
    <xf numFmtId="0" fontId="9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 wrapText="1"/>
    </xf>
    <xf numFmtId="2" fontId="5" fillId="0" borderId="0" xfId="0" applyNumberFormat="1" applyFont="1" applyAlignment="1">
      <alignment horizontal="left" vertical="top" wrapText="1"/>
    </xf>
    <xf numFmtId="2" fontId="5" fillId="0" borderId="0" xfId="0" applyNumberFormat="1" applyFont="1" applyAlignment="1">
      <alignment horizontal="right" vertical="top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0" fontId="16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0" xfId="0" quotePrefix="1" applyFont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top"/>
    </xf>
    <xf numFmtId="0" fontId="9" fillId="0" borderId="7" xfId="0" quotePrefix="1" applyFont="1" applyBorder="1" applyAlignment="1">
      <alignment horizontal="center" vertical="top"/>
    </xf>
    <xf numFmtId="0" fontId="9" fillId="0" borderId="7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distributed"/>
    </xf>
    <xf numFmtId="0" fontId="10" fillId="0" borderId="1" xfId="0" applyFont="1" applyBorder="1" applyAlignment="1">
      <alignment horizontal="center" vertical="distributed"/>
    </xf>
    <xf numFmtId="165" fontId="10" fillId="0" borderId="1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RC-1%20TAnnex.xlsx" TargetMode="External"/><Relationship Id="rId1" Type="http://schemas.openxmlformats.org/officeDocument/2006/relationships/externalLinkPath" Target="RC-1%20TAnne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\PUDU_2022-23\11%20Status%20Report%20-%20PUDU%202022-23\02%20PUDU%20RB%20SR%202022-23\03%20Annexure%20Generation\PUDUCHERRY(R18)-(D)English\RC-3%20TAnnex.xlsx" TargetMode="External"/><Relationship Id="rId1" Type="http://schemas.openxmlformats.org/officeDocument/2006/relationships/externalLinkPath" Target="RC-3%20TAnnex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RC-2%20TAnnex.xlsx" TargetMode="External"/><Relationship Id="rId1" Type="http://schemas.openxmlformats.org/officeDocument/2006/relationships/externalLinkPath" Target="RC-2%20TAnnex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RC-7%20TAnnex.xlsx" TargetMode="External"/><Relationship Id="rId1" Type="http://schemas.openxmlformats.org/officeDocument/2006/relationships/externalLinkPath" Target="RC-7%20TAnn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1"/>
      <sheetName val="Annex-1(p)"/>
      <sheetName val="Annex-2"/>
      <sheetName val="Annex-2(p)"/>
      <sheetName val="Annex-3"/>
      <sheetName val="Annex-3(p)"/>
      <sheetName val="Annex-4(a)"/>
      <sheetName val="Annex-4(a)p"/>
      <sheetName val="Annex-4(b)"/>
      <sheetName val="Annex-4(b)p"/>
      <sheetName val="Annex-5"/>
      <sheetName val="Annex-5(p)"/>
      <sheetName val="Annex-6"/>
      <sheetName val="Annex-6(p)"/>
      <sheetName val="Annex-7(a)"/>
      <sheetName val="Annex-7(a)p"/>
    </sheetNames>
    <sheetDataSet>
      <sheetData sheetId="0"/>
      <sheetData sheetId="1"/>
      <sheetData sheetId="2">
        <row r="2">
          <cell r="A2" t="str">
            <v>PUDUCHERRY</v>
          </cell>
        </row>
        <row r="3">
          <cell r="B3" t="str">
            <v>2024-25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</row>
        <row r="7">
          <cell r="A7" t="str">
            <v>PADDY</v>
          </cell>
          <cell r="B7">
            <v>97</v>
          </cell>
          <cell r="C7" t="str">
            <v>PADDY</v>
          </cell>
          <cell r="D7">
            <v>98</v>
          </cell>
        </row>
        <row r="8">
          <cell r="A8" t="str">
            <v>OTHERS</v>
          </cell>
          <cell r="B8">
            <v>99</v>
          </cell>
          <cell r="C8" t="str">
            <v>OTHERS</v>
          </cell>
          <cell r="D8">
            <v>99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</row>
      </sheetData>
      <sheetData sheetId="3"/>
      <sheetData sheetId="4">
        <row r="2">
          <cell r="H2" t="str">
            <v>ANNEX-I</v>
          </cell>
        </row>
        <row r="3">
          <cell r="A3" t="str">
            <v>RESPONSE IN SAMPLE CHECK ON ENUMERATION OF AREA  DURING  2024-25 AND 2023-24.</v>
          </cell>
          <cell r="B3"/>
          <cell r="C3"/>
          <cell r="D3"/>
          <cell r="E3"/>
          <cell r="F3"/>
          <cell r="G3"/>
          <cell r="H3"/>
          <cell r="I3"/>
        </row>
        <row r="9">
          <cell r="B9">
            <v>9</v>
          </cell>
          <cell r="C9" t="str">
            <v>9(100.0)</v>
          </cell>
          <cell r="E9" t="str">
            <v>9(100.0)</v>
          </cell>
          <cell r="F9" t="str">
            <v>9(100.0)</v>
          </cell>
          <cell r="G9" t="str">
            <v>9(100.0)</v>
          </cell>
          <cell r="H9" t="str">
            <v>0(  0.0)</v>
          </cell>
          <cell r="I9" t="str">
            <v>0(  0.0)</v>
          </cell>
        </row>
        <row r="10">
          <cell r="B10">
            <v>9</v>
          </cell>
          <cell r="C10" t="str">
            <v>9(100.0)</v>
          </cell>
          <cell r="E10" t="str">
            <v>9(100.0)</v>
          </cell>
          <cell r="F10" t="str">
            <v>9(100.0)</v>
          </cell>
          <cell r="G10" t="str">
            <v>9(100.0)</v>
          </cell>
          <cell r="H10" t="str">
            <v>0(  0.0)</v>
          </cell>
          <cell r="I10" t="str">
            <v>0(  0.0)</v>
          </cell>
        </row>
        <row r="11">
          <cell r="B11">
            <v>18</v>
          </cell>
          <cell r="C11" t="str">
            <v>18(100.0)</v>
          </cell>
          <cell r="E11" t="str">
            <v>18(100.0)</v>
          </cell>
          <cell r="F11" t="str">
            <v>18(100.0)</v>
          </cell>
          <cell r="G11" t="str">
            <v>18(100.0)</v>
          </cell>
          <cell r="H11" t="str">
            <v>0(  0.0)</v>
          </cell>
          <cell r="I11" t="str">
            <v>0(  0.0)</v>
          </cell>
        </row>
        <row r="13">
          <cell r="B13">
            <v>9</v>
          </cell>
          <cell r="C13" t="str">
            <v>9(100.0)</v>
          </cell>
          <cell r="E13" t="str">
            <v>9(100.0)</v>
          </cell>
          <cell r="F13" t="str">
            <v>9(100.0)</v>
          </cell>
          <cell r="G13" t="str">
            <v>9(100.0)</v>
          </cell>
          <cell r="H13" t="str">
            <v>0(  0.0)</v>
          </cell>
          <cell r="I13" t="str">
            <v>0(  0.0)</v>
          </cell>
        </row>
        <row r="14">
          <cell r="B14">
            <v>9</v>
          </cell>
          <cell r="C14" t="str">
            <v>9(100.0)</v>
          </cell>
          <cell r="E14" t="str">
            <v>9(100.0)</v>
          </cell>
          <cell r="F14" t="str">
            <v>9(100.0)</v>
          </cell>
          <cell r="G14" t="str">
            <v>9(100.0)</v>
          </cell>
          <cell r="H14" t="str">
            <v>0(  0.0)</v>
          </cell>
          <cell r="I14" t="str">
            <v>0(  0.0)</v>
          </cell>
        </row>
        <row r="15">
          <cell r="B15">
            <v>18</v>
          </cell>
          <cell r="C15" t="str">
            <v>18(100.0)</v>
          </cell>
          <cell r="E15" t="str">
            <v>18(100.0)</v>
          </cell>
          <cell r="F15" t="str">
            <v>18(100.0)</v>
          </cell>
          <cell r="G15" t="str">
            <v>18(100.0)</v>
          </cell>
          <cell r="H15" t="str">
            <v>0(  0.0)</v>
          </cell>
          <cell r="I15" t="str">
            <v>0(  0.0)</v>
          </cell>
        </row>
        <row r="18">
          <cell r="B18">
            <v>9</v>
          </cell>
          <cell r="C18" t="str">
            <v>9(100.0)</v>
          </cell>
          <cell r="E18" t="str">
            <v>9(100.0)</v>
          </cell>
          <cell r="F18" t="str">
            <v>9(100.0)</v>
          </cell>
          <cell r="G18" t="str">
            <v>9(100.0)</v>
          </cell>
          <cell r="H18" t="str">
            <v>0(  0.0)</v>
          </cell>
          <cell r="I18" t="str">
            <v>0(  0.0)</v>
          </cell>
        </row>
        <row r="19">
          <cell r="B19">
            <v>9</v>
          </cell>
          <cell r="C19" t="str">
            <v>9(100.0)</v>
          </cell>
          <cell r="E19" t="str">
            <v>9(100.0)</v>
          </cell>
          <cell r="F19" t="str">
            <v>9(100.0)</v>
          </cell>
          <cell r="G19" t="str">
            <v>9(100.0)</v>
          </cell>
          <cell r="H19" t="str">
            <v>0(  0.0)</v>
          </cell>
          <cell r="I19" t="str">
            <v>0(  0.0)</v>
          </cell>
        </row>
        <row r="20">
          <cell r="B20">
            <v>18</v>
          </cell>
          <cell r="C20" t="str">
            <v>18(100.0)</v>
          </cell>
          <cell r="E20" t="str">
            <v>18(100.0)</v>
          </cell>
          <cell r="F20" t="str">
            <v>18(100.0)</v>
          </cell>
          <cell r="G20" t="str">
            <v>18(100.0)</v>
          </cell>
          <cell r="H20" t="str">
            <v>0(  0.0)</v>
          </cell>
          <cell r="I20" t="str">
            <v>0(  0.0)</v>
          </cell>
        </row>
        <row r="22">
          <cell r="B22">
            <v>9</v>
          </cell>
          <cell r="C22" t="str">
            <v>9(100.0)</v>
          </cell>
          <cell r="E22" t="str">
            <v>9(100.0)</v>
          </cell>
          <cell r="F22" t="str">
            <v>9(100.0)</v>
          </cell>
          <cell r="G22" t="str">
            <v>9(100.0)</v>
          </cell>
          <cell r="H22" t="str">
            <v>0(  0.0)</v>
          </cell>
          <cell r="I22" t="str">
            <v>0(  0.0)</v>
          </cell>
        </row>
        <row r="23">
          <cell r="B23">
            <v>9</v>
          </cell>
          <cell r="C23" t="str">
            <v>9(100.0)</v>
          </cell>
          <cell r="E23" t="str">
            <v>9(100.0)</v>
          </cell>
          <cell r="F23" t="str">
            <v>9(100.0)</v>
          </cell>
          <cell r="G23" t="str">
            <v>9(100.0)</v>
          </cell>
          <cell r="H23" t="str">
            <v>0(  0.0)</v>
          </cell>
          <cell r="I23" t="str">
            <v>0(  0.0)</v>
          </cell>
        </row>
        <row r="24">
          <cell r="B24">
            <v>18</v>
          </cell>
          <cell r="C24" t="str">
            <v>18(100.0)</v>
          </cell>
          <cell r="E24" t="str">
            <v>18(100.0)</v>
          </cell>
          <cell r="F24" t="str">
            <v>18(100.0)</v>
          </cell>
          <cell r="G24" t="str">
            <v>18(100.0)</v>
          </cell>
          <cell r="H24" t="str">
            <v>0(  0.0)</v>
          </cell>
          <cell r="I24" t="str">
            <v>0(  0.0)</v>
          </cell>
        </row>
      </sheetData>
      <sheetData sheetId="5"/>
      <sheetData sheetId="6">
        <row r="2">
          <cell r="C2" t="str">
            <v xml:space="preserve"> ANNEX-II</v>
          </cell>
        </row>
        <row r="3">
          <cell r="A3" t="str">
            <v>INFORMATION REGARDING UPDATING OF VILLAGE MAPS AND  THEIR USABILITY DURING  2024-25 AND 2023-24.</v>
          </cell>
        </row>
        <row r="6">
          <cell r="B6" t="str">
            <v>0(  0.0)</v>
          </cell>
          <cell r="C6" t="str">
            <v>0(  0.0)</v>
          </cell>
        </row>
        <row r="7">
          <cell r="B7" t="str">
            <v>0(  0.0)</v>
          </cell>
          <cell r="C7" t="str">
            <v>0(  0.0)</v>
          </cell>
        </row>
        <row r="8">
          <cell r="B8" t="str">
            <v>0(  0.0)</v>
          </cell>
          <cell r="C8" t="str">
            <v>0(  0.0)</v>
          </cell>
        </row>
        <row r="9">
          <cell r="B9" t="str">
            <v>18(100.0)</v>
          </cell>
          <cell r="C9" t="str">
            <v>17( 94.4)</v>
          </cell>
        </row>
        <row r="10">
          <cell r="B10" t="str">
            <v>0(  0.0)</v>
          </cell>
          <cell r="C10" t="str">
            <v>1(  5.6)</v>
          </cell>
        </row>
        <row r="13">
          <cell r="B13" t="str">
            <v>18(100.0)</v>
          </cell>
          <cell r="C13" t="str">
            <v>18(100.0)</v>
          </cell>
        </row>
        <row r="14">
          <cell r="B14" t="str">
            <v>18(100.0)</v>
          </cell>
          <cell r="C14" t="str">
            <v>18(100.0)</v>
          </cell>
        </row>
        <row r="15">
          <cell r="B15" t="str">
            <v>0(  0.0)</v>
          </cell>
          <cell r="C15" t="str">
            <v>0(  0.0)</v>
          </cell>
        </row>
        <row r="16">
          <cell r="B16" t="str">
            <v>0(  0.0)</v>
          </cell>
          <cell r="C16" t="str">
            <v>0(  0.0)</v>
          </cell>
        </row>
      </sheetData>
      <sheetData sheetId="7"/>
      <sheetData sheetId="8">
        <row r="2">
          <cell r="E2" t="str">
            <v>ANNEX-III</v>
          </cell>
        </row>
        <row r="3">
          <cell r="A3" t="str">
            <v>WORK LOAD OF PATWARI DURING  2024-25 AND 2023-24.</v>
          </cell>
        </row>
        <row r="7">
          <cell r="B7">
            <v>10.388888888888889</v>
          </cell>
          <cell r="C7" t="str">
            <v>1.9( 18.3)</v>
          </cell>
          <cell r="D7">
            <v>1212.8888888888889</v>
          </cell>
          <cell r="E7">
            <v>402.93611111111113</v>
          </cell>
        </row>
        <row r="8">
          <cell r="B8">
            <v>10.166666666666666</v>
          </cell>
          <cell r="C8" t="str">
            <v>1.8( 17.6)</v>
          </cell>
          <cell r="D8">
            <v>1230.6666666666667</v>
          </cell>
          <cell r="E8">
            <v>392.64833333333331</v>
          </cell>
        </row>
      </sheetData>
      <sheetData sheetId="9"/>
      <sheetData sheetId="10">
        <row r="2">
          <cell r="G2" t="str">
            <v>ANNEX-IV(a)</v>
          </cell>
        </row>
        <row r="3">
          <cell r="A3" t="str">
            <v>NUMBER AND PERCENTAGE OF PATWARIS OF THE SELECTED VILLAGES ACCORDING TO THE TOTAL NUMBER OF VILLAGES ALLOTED DURING  2024-25 AND 2023-24.</v>
          </cell>
        </row>
        <row r="8">
          <cell r="C8">
            <v>0</v>
          </cell>
          <cell r="D8">
            <v>0</v>
          </cell>
          <cell r="G8">
            <v>1</v>
          </cell>
          <cell r="H8">
            <v>5.6</v>
          </cell>
        </row>
        <row r="9">
          <cell r="C9">
            <v>14</v>
          </cell>
          <cell r="D9">
            <v>77.800000000000011</v>
          </cell>
          <cell r="G9">
            <v>17</v>
          </cell>
          <cell r="H9">
            <v>94.4</v>
          </cell>
        </row>
        <row r="10">
          <cell r="C10">
            <v>4</v>
          </cell>
          <cell r="D10">
            <v>22.2</v>
          </cell>
          <cell r="G10">
            <v>0</v>
          </cell>
          <cell r="H10">
            <v>0</v>
          </cell>
        </row>
        <row r="11">
          <cell r="C11">
            <v>0</v>
          </cell>
          <cell r="D11">
            <v>0</v>
          </cell>
          <cell r="G11">
            <v>0</v>
          </cell>
          <cell r="H11">
            <v>0</v>
          </cell>
        </row>
        <row r="12">
          <cell r="C12">
            <v>0</v>
          </cell>
          <cell r="D12">
            <v>0</v>
          </cell>
          <cell r="G12">
            <v>0</v>
          </cell>
          <cell r="H12">
            <v>0</v>
          </cell>
        </row>
        <row r="13">
          <cell r="G13">
            <v>0</v>
          </cell>
          <cell r="H13">
            <v>0</v>
          </cell>
        </row>
        <row r="14">
          <cell r="C14">
            <v>18</v>
          </cell>
          <cell r="D14">
            <v>100.00000000000001</v>
          </cell>
          <cell r="G14">
            <v>18</v>
          </cell>
          <cell r="H14">
            <v>100</v>
          </cell>
        </row>
        <row r="16">
          <cell r="C16">
            <v>0</v>
          </cell>
          <cell r="D16">
            <v>0</v>
          </cell>
          <cell r="G16">
            <v>4</v>
          </cell>
          <cell r="H16">
            <v>22.2</v>
          </cell>
        </row>
        <row r="17">
          <cell r="C17">
            <v>12</v>
          </cell>
          <cell r="D17">
            <v>66.699999999999989</v>
          </cell>
          <cell r="G17">
            <v>14</v>
          </cell>
          <cell r="H17">
            <v>77.800000000000011</v>
          </cell>
        </row>
        <row r="18">
          <cell r="C18">
            <v>6</v>
          </cell>
          <cell r="D18">
            <v>33.299999999999997</v>
          </cell>
          <cell r="G18">
            <v>0</v>
          </cell>
          <cell r="H18">
            <v>0</v>
          </cell>
        </row>
        <row r="19">
          <cell r="C19">
            <v>0</v>
          </cell>
          <cell r="D19">
            <v>0</v>
          </cell>
          <cell r="G19">
            <v>0</v>
          </cell>
          <cell r="H19">
            <v>0</v>
          </cell>
        </row>
        <row r="20">
          <cell r="C20">
            <v>0</v>
          </cell>
          <cell r="D20">
            <v>0</v>
          </cell>
          <cell r="G20">
            <v>0</v>
          </cell>
          <cell r="H20">
            <v>0</v>
          </cell>
        </row>
        <row r="21">
          <cell r="G21">
            <v>0</v>
          </cell>
          <cell r="H21">
            <v>0</v>
          </cell>
        </row>
        <row r="22">
          <cell r="C22">
            <v>18</v>
          </cell>
          <cell r="D22">
            <v>99.999999999999986</v>
          </cell>
          <cell r="G22">
            <v>18</v>
          </cell>
          <cell r="H22">
            <v>100.00000000000001</v>
          </cell>
        </row>
      </sheetData>
      <sheetData sheetId="11"/>
      <sheetData sheetId="12">
        <row r="2">
          <cell r="G2" t="str">
            <v xml:space="preserve"> ANNEX-IV(b)</v>
          </cell>
        </row>
        <row r="3">
          <cell r="A3" t="str">
            <v>DISTRIBUTION OF SAMPLE VILLAGES ACCORDING TO SL./SUB.SURVEY NOS. AND GEOGRAPHICAL AREA DURING  2024-25 AND 2023-24</v>
          </cell>
        </row>
        <row r="8">
          <cell r="C8">
            <v>0</v>
          </cell>
          <cell r="D8">
            <v>0</v>
          </cell>
          <cell r="G8">
            <v>0</v>
          </cell>
          <cell r="H8">
            <v>0</v>
          </cell>
        </row>
        <row r="9">
          <cell r="C9">
            <v>0</v>
          </cell>
          <cell r="D9">
            <v>0</v>
          </cell>
          <cell r="G9">
            <v>1</v>
          </cell>
          <cell r="H9">
            <v>5.6</v>
          </cell>
        </row>
        <row r="10">
          <cell r="C10">
            <v>0</v>
          </cell>
          <cell r="D10">
            <v>0</v>
          </cell>
          <cell r="G10">
            <v>0</v>
          </cell>
          <cell r="H10">
            <v>0</v>
          </cell>
        </row>
        <row r="11">
          <cell r="C11">
            <v>0</v>
          </cell>
          <cell r="D11">
            <v>0</v>
          </cell>
          <cell r="G11">
            <v>9</v>
          </cell>
          <cell r="H11">
            <v>50</v>
          </cell>
        </row>
        <row r="12">
          <cell r="C12">
            <v>0</v>
          </cell>
          <cell r="D12">
            <v>0</v>
          </cell>
          <cell r="G12">
            <v>6</v>
          </cell>
          <cell r="H12">
            <v>33.299999999999997</v>
          </cell>
        </row>
        <row r="13">
          <cell r="C13">
            <v>3</v>
          </cell>
          <cell r="D13">
            <v>16.7</v>
          </cell>
          <cell r="G13">
            <v>2</v>
          </cell>
          <cell r="H13">
            <v>11.1</v>
          </cell>
        </row>
        <row r="14">
          <cell r="C14">
            <v>3</v>
          </cell>
          <cell r="D14">
            <v>16.7</v>
          </cell>
          <cell r="G14">
            <v>0</v>
          </cell>
          <cell r="H14">
            <v>0</v>
          </cell>
        </row>
        <row r="15">
          <cell r="C15">
            <v>12</v>
          </cell>
          <cell r="D15">
            <v>66.599999999999994</v>
          </cell>
          <cell r="G15">
            <v>0</v>
          </cell>
          <cell r="H15">
            <v>0</v>
          </cell>
        </row>
        <row r="16">
          <cell r="C16">
            <v>0</v>
          </cell>
          <cell r="D16">
            <v>0</v>
          </cell>
          <cell r="G16">
            <v>0</v>
          </cell>
          <cell r="H16">
            <v>0</v>
          </cell>
        </row>
        <row r="17">
          <cell r="C17">
            <v>0</v>
          </cell>
          <cell r="D17">
            <v>0</v>
          </cell>
          <cell r="G17">
            <v>0</v>
          </cell>
          <cell r="H17">
            <v>0</v>
          </cell>
        </row>
        <row r="18">
          <cell r="C18">
            <v>18</v>
          </cell>
          <cell r="D18">
            <v>100</v>
          </cell>
          <cell r="G18">
            <v>18</v>
          </cell>
          <cell r="H18">
            <v>100</v>
          </cell>
        </row>
        <row r="20">
          <cell r="C20">
            <v>0</v>
          </cell>
          <cell r="D20">
            <v>0</v>
          </cell>
          <cell r="G20">
            <v>0</v>
          </cell>
          <cell r="H20">
            <v>0</v>
          </cell>
        </row>
        <row r="21">
          <cell r="C21">
            <v>0</v>
          </cell>
          <cell r="D21">
            <v>0</v>
          </cell>
          <cell r="G21">
            <v>0</v>
          </cell>
          <cell r="H21">
            <v>0</v>
          </cell>
        </row>
        <row r="22">
          <cell r="C22">
            <v>0</v>
          </cell>
          <cell r="D22">
            <v>0</v>
          </cell>
          <cell r="G22">
            <v>2</v>
          </cell>
          <cell r="H22">
            <v>11.1</v>
          </cell>
        </row>
        <row r="23">
          <cell r="C23">
            <v>0</v>
          </cell>
          <cell r="D23">
            <v>0</v>
          </cell>
          <cell r="G23">
            <v>8</v>
          </cell>
          <cell r="H23">
            <v>44.40000000000002</v>
          </cell>
        </row>
        <row r="24">
          <cell r="C24">
            <v>2</v>
          </cell>
          <cell r="D24">
            <v>11.1</v>
          </cell>
          <cell r="G24">
            <v>6</v>
          </cell>
          <cell r="H24">
            <v>33.299999999999997</v>
          </cell>
        </row>
        <row r="25">
          <cell r="C25">
            <v>0</v>
          </cell>
          <cell r="D25">
            <v>0</v>
          </cell>
          <cell r="G25">
            <v>1</v>
          </cell>
          <cell r="H25">
            <v>5.6</v>
          </cell>
        </row>
        <row r="26">
          <cell r="C26">
            <v>4</v>
          </cell>
          <cell r="D26">
            <v>22.2</v>
          </cell>
          <cell r="G26">
            <v>1</v>
          </cell>
          <cell r="H26">
            <v>5.6</v>
          </cell>
        </row>
        <row r="27">
          <cell r="C27">
            <v>12</v>
          </cell>
          <cell r="D27">
            <v>66.699999999999989</v>
          </cell>
          <cell r="G27">
            <v>0</v>
          </cell>
          <cell r="H27">
            <v>0</v>
          </cell>
        </row>
        <row r="28">
          <cell r="C28">
            <v>0</v>
          </cell>
          <cell r="D28">
            <v>0</v>
          </cell>
          <cell r="G28">
            <v>0</v>
          </cell>
          <cell r="H28">
            <v>0</v>
          </cell>
        </row>
        <row r="29">
          <cell r="C29">
            <v>0</v>
          </cell>
          <cell r="D29">
            <v>0</v>
          </cell>
          <cell r="G29">
            <v>0</v>
          </cell>
          <cell r="H29">
            <v>0</v>
          </cell>
        </row>
        <row r="30">
          <cell r="C30">
            <v>18</v>
          </cell>
          <cell r="D30">
            <v>99.999999999999986</v>
          </cell>
          <cell r="G30">
            <v>18</v>
          </cell>
          <cell r="H30">
            <v>100</v>
          </cell>
        </row>
      </sheetData>
      <sheetData sheetId="13"/>
      <sheetData sheetId="14">
        <row r="2">
          <cell r="J2" t="str">
            <v>ANNEX-V</v>
          </cell>
        </row>
        <row r="3">
          <cell r="A3" t="str">
            <v>TIMELINESS IN COMPLETION OF  TRS  AREA ENUMERATION (NO. OF VILLAGES) DURING  2024-25 AND 2023-24.</v>
          </cell>
        </row>
        <row r="9">
          <cell r="B9" t="str">
            <v>8( 88.9)</v>
          </cell>
          <cell r="C9" t="str">
            <v>1( 11.1)</v>
          </cell>
          <cell r="D9" t="str">
            <v>0(  0.0)</v>
          </cell>
          <cell r="E9" t="str">
            <v>0(  0.0)</v>
          </cell>
          <cell r="F9" t="str">
            <v>0(  0.0)</v>
          </cell>
          <cell r="G9" t="str">
            <v>0(  0.0)</v>
          </cell>
          <cell r="H9" t="str">
            <v>0(  0.0)</v>
          </cell>
          <cell r="I9" t="str">
            <v>9(100.0)</v>
          </cell>
          <cell r="J9" t="str">
            <v>9(100.0)</v>
          </cell>
          <cell r="K9" t="str">
            <v>9(100.0)</v>
          </cell>
        </row>
        <row r="10">
          <cell r="B10" t="str">
            <v>9(100.0)</v>
          </cell>
          <cell r="C10" t="str">
            <v>0(  0.0)</v>
          </cell>
          <cell r="D10" t="str">
            <v>0(  0.0)</v>
          </cell>
          <cell r="E10" t="str">
            <v>0(  0.0)</v>
          </cell>
          <cell r="F10" t="str">
            <v>0(  0.0)</v>
          </cell>
          <cell r="G10" t="str">
            <v>0(  0.0)</v>
          </cell>
          <cell r="H10" t="str">
            <v>0(  0.0)</v>
          </cell>
          <cell r="I10" t="str">
            <v>9(100.0)</v>
          </cell>
          <cell r="J10" t="str">
            <v>9(100.0)</v>
          </cell>
          <cell r="K10" t="str">
            <v>3( 33.3)</v>
          </cell>
        </row>
        <row r="11">
          <cell r="B11" t="str">
            <v>17( 94.4)</v>
          </cell>
          <cell r="C11" t="str">
            <v>1(  5.6)</v>
          </cell>
          <cell r="D11" t="str">
            <v>0(  0.0)</v>
          </cell>
          <cell r="E11" t="str">
            <v>0(  0.0)</v>
          </cell>
          <cell r="F11" t="str">
            <v>0(  0.0)</v>
          </cell>
          <cell r="G11" t="str">
            <v>0(  0.0)</v>
          </cell>
          <cell r="H11" t="str">
            <v>0(  0.0)</v>
          </cell>
          <cell r="I11" t="str">
            <v>18(100.0)</v>
          </cell>
          <cell r="J11" t="str">
            <v>18(100.0)</v>
          </cell>
          <cell r="K11" t="str">
            <v>12( 66.7)</v>
          </cell>
        </row>
        <row r="13">
          <cell r="B13" t="str">
            <v>9(100.0)</v>
          </cell>
          <cell r="C13" t="str">
            <v>0(  0.0)</v>
          </cell>
          <cell r="D13" t="str">
            <v>0(  0.0)</v>
          </cell>
          <cell r="E13" t="str">
            <v>0(  0.0)</v>
          </cell>
          <cell r="F13" t="str">
            <v>0(  0.0)</v>
          </cell>
          <cell r="G13" t="str">
            <v>0(  0.0)</v>
          </cell>
          <cell r="H13" t="str">
            <v>0(  0.0)</v>
          </cell>
          <cell r="I13" t="str">
            <v>9(100.0)</v>
          </cell>
          <cell r="J13" t="str">
            <v>9(100.0)</v>
          </cell>
          <cell r="K13" t="str">
            <v>9(100.0)</v>
          </cell>
        </row>
        <row r="14">
          <cell r="B14" t="str">
            <v>9(100.0)</v>
          </cell>
          <cell r="C14" t="str">
            <v>0(  0.0)</v>
          </cell>
          <cell r="D14" t="str">
            <v>0(  0.0)</v>
          </cell>
          <cell r="E14" t="str">
            <v>0(  0.0)</v>
          </cell>
          <cell r="F14" t="str">
            <v>0(  0.0)</v>
          </cell>
          <cell r="G14" t="str">
            <v>0(  0.0)</v>
          </cell>
          <cell r="H14" t="str">
            <v>0(  0.0)</v>
          </cell>
          <cell r="I14" t="str">
            <v>9(100.0)</v>
          </cell>
          <cell r="J14" t="str">
            <v>9(100.0)</v>
          </cell>
          <cell r="K14" t="str">
            <v>5( 55.6)</v>
          </cell>
        </row>
        <row r="15">
          <cell r="B15" t="str">
            <v>18(100.0)</v>
          </cell>
          <cell r="C15" t="str">
            <v>0(  0.0)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0(  0.0)</v>
          </cell>
          <cell r="H15" t="str">
            <v>0(  0.0)</v>
          </cell>
          <cell r="I15" t="str">
            <v>18(100.0)</v>
          </cell>
          <cell r="J15" t="str">
            <v>18(100.0)</v>
          </cell>
          <cell r="K15" t="str">
            <v>14( 77.8)</v>
          </cell>
        </row>
        <row r="18">
          <cell r="B18" t="str">
            <v>9(100.0)</v>
          </cell>
          <cell r="C18" t="str">
            <v>0(  0.0)</v>
          </cell>
          <cell r="D18" t="str">
            <v>0(  0.0)</v>
          </cell>
          <cell r="E18" t="str">
            <v>0(  0.0)</v>
          </cell>
          <cell r="F18" t="str">
            <v>0(  0.0)</v>
          </cell>
          <cell r="G18" t="str">
            <v>0(  0.0)</v>
          </cell>
          <cell r="H18" t="str">
            <v>0(  0.0)</v>
          </cell>
          <cell r="I18" t="str">
            <v>9(100.0)</v>
          </cell>
          <cell r="J18" t="str">
            <v>9(100.0)</v>
          </cell>
          <cell r="K18" t="str">
            <v>9(100.0)</v>
          </cell>
        </row>
        <row r="19">
          <cell r="B19" t="str">
            <v>9(100.0)</v>
          </cell>
          <cell r="C19" t="str">
            <v>0(  0.0)</v>
          </cell>
          <cell r="D19" t="str">
            <v>0(  0.0)</v>
          </cell>
          <cell r="E19" t="str">
            <v>0(  0.0)</v>
          </cell>
          <cell r="F19" t="str">
            <v>0(  0.0)</v>
          </cell>
          <cell r="G19" t="str">
            <v>0(  0.0)</v>
          </cell>
          <cell r="H19" t="str">
            <v>0(  0.0)</v>
          </cell>
          <cell r="I19" t="str">
            <v>9(100.0)</v>
          </cell>
          <cell r="J19" t="str">
            <v>9(100.0)</v>
          </cell>
          <cell r="K19" t="str">
            <v>9(100.0)</v>
          </cell>
        </row>
        <row r="20">
          <cell r="B20" t="str">
            <v>18(100.0)</v>
          </cell>
          <cell r="C20" t="str">
            <v>0(  0.0)</v>
          </cell>
          <cell r="D20" t="str">
            <v>0(  0.0)</v>
          </cell>
          <cell r="E20" t="str">
            <v>0(  0.0)</v>
          </cell>
          <cell r="F20" t="str">
            <v>0(  0.0)</v>
          </cell>
          <cell r="G20" t="str">
            <v>0(  0.0)</v>
          </cell>
          <cell r="H20" t="str">
            <v>0(  0.0)</v>
          </cell>
          <cell r="I20" t="str">
            <v>18(100.0)</v>
          </cell>
          <cell r="J20" t="str">
            <v>18(100.0)</v>
          </cell>
          <cell r="K20" t="str">
            <v>18(100.0)</v>
          </cell>
        </row>
        <row r="22">
          <cell r="B22" t="str">
            <v>9(100.0)</v>
          </cell>
          <cell r="C22" t="str">
            <v>0(  0.0)</v>
          </cell>
          <cell r="D22" t="str">
            <v>0(  0.0)</v>
          </cell>
          <cell r="E22" t="str">
            <v>0(  0.0)</v>
          </cell>
          <cell r="F22" t="str">
            <v>0(  0.0)</v>
          </cell>
          <cell r="G22" t="str">
            <v>0(  0.0)</v>
          </cell>
          <cell r="H22" t="str">
            <v>0(  0.0)</v>
          </cell>
          <cell r="I22" t="str">
            <v>9(100.0)</v>
          </cell>
          <cell r="J22" t="str">
            <v>9(100.0)</v>
          </cell>
          <cell r="K22" t="str">
            <v>9(100.0)</v>
          </cell>
        </row>
        <row r="23">
          <cell r="B23" t="str">
            <v>9(100.0)</v>
          </cell>
          <cell r="C23" t="str">
            <v>0(  0.0)</v>
          </cell>
          <cell r="D23" t="str">
            <v>0(  0.0)</v>
          </cell>
          <cell r="E23" t="str">
            <v>0(  0.0)</v>
          </cell>
          <cell r="F23" t="str">
            <v>0(  0.0)</v>
          </cell>
          <cell r="G23" t="str">
            <v>0(  0.0)</v>
          </cell>
          <cell r="H23" t="str">
            <v>0(  0.0)</v>
          </cell>
          <cell r="I23" t="str">
            <v>9(100.0)</v>
          </cell>
          <cell r="J23" t="str">
            <v>9(100.0)</v>
          </cell>
          <cell r="K23" t="str">
            <v>9(100.0)</v>
          </cell>
        </row>
        <row r="24">
          <cell r="B24" t="str">
            <v>18(100.0)</v>
          </cell>
          <cell r="C24" t="str">
            <v>0(  0.0)</v>
          </cell>
          <cell r="D24" t="str">
            <v>0(  0.0)</v>
          </cell>
          <cell r="E24" t="str">
            <v>0(  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18(100.0)</v>
          </cell>
          <cell r="J24" t="str">
            <v>18(100.0)</v>
          </cell>
          <cell r="K24" t="str">
            <v>18(100.0)</v>
          </cell>
        </row>
      </sheetData>
      <sheetData sheetId="15"/>
      <sheetData sheetId="16">
        <row r="3">
          <cell r="O3" t="str">
            <v xml:space="preserve"> ANNEX-VI</v>
          </cell>
        </row>
        <row r="4">
          <cell r="A4" t="str">
            <v>TIMELINESS IN SUBMISSION OF  TRS STATEMENTS DURING  2024-25 AND 2023-24</v>
          </cell>
        </row>
        <row r="11">
          <cell r="B11">
            <v>9</v>
          </cell>
          <cell r="C11" t="str">
            <v>0(  0.0)</v>
          </cell>
          <cell r="D11" t="str">
            <v>0(  0.0)</v>
          </cell>
          <cell r="E11" t="str">
            <v>8( 88.9)</v>
          </cell>
          <cell r="F11" t="str">
            <v>1( 11.1)</v>
          </cell>
          <cell r="G11" t="str">
            <v>0(  0.0)</v>
          </cell>
          <cell r="H11" t="str">
            <v>0(  0.0)</v>
          </cell>
          <cell r="I11" t="str">
            <v>9(100.0)</v>
          </cell>
          <cell r="J11" t="str">
            <v>0(  0.0)</v>
          </cell>
          <cell r="K11" t="str">
            <v>0(  0.0)</v>
          </cell>
          <cell r="L11" t="str">
            <v>0(  0.0)</v>
          </cell>
          <cell r="M11" t="str">
            <v>0(  0.0)</v>
          </cell>
          <cell r="N11" t="str">
            <v>0(  0.0)</v>
          </cell>
          <cell r="O11" t="str">
            <v>9(100.0)</v>
          </cell>
          <cell r="P11" t="str">
            <v>9(100.0)</v>
          </cell>
        </row>
        <row r="12">
          <cell r="B12">
            <v>9</v>
          </cell>
          <cell r="C12" t="str">
            <v>0(  0.0)</v>
          </cell>
          <cell r="D12" t="str">
            <v>0(  0.0)</v>
          </cell>
          <cell r="E12" t="str">
            <v>9(100.0)</v>
          </cell>
          <cell r="F12" t="str">
            <v>0(  0.0)</v>
          </cell>
          <cell r="G12" t="str">
            <v>0(  0.0)</v>
          </cell>
          <cell r="H12" t="str">
            <v>0(  0.0)</v>
          </cell>
          <cell r="I12" t="str">
            <v>9(100.0)</v>
          </cell>
          <cell r="J12" t="str">
            <v>0(  0.0)</v>
          </cell>
          <cell r="K12" t="str">
            <v>0(  0.0)</v>
          </cell>
          <cell r="L12" t="str">
            <v>0(  0.0)</v>
          </cell>
          <cell r="M12" t="str">
            <v>0(  0.0)</v>
          </cell>
          <cell r="N12" t="str">
            <v>0(  0.0)</v>
          </cell>
          <cell r="O12" t="str">
            <v>9(100.0)</v>
          </cell>
          <cell r="P12" t="str">
            <v>9(100.0)</v>
          </cell>
        </row>
        <row r="13">
          <cell r="B13">
            <v>18</v>
          </cell>
          <cell r="C13" t="str">
            <v>0(  0.0)</v>
          </cell>
          <cell r="D13" t="str">
            <v>0(  0.0)</v>
          </cell>
          <cell r="E13" t="str">
            <v>17( 94.4)</v>
          </cell>
          <cell r="F13" t="str">
            <v>1(  5.6)</v>
          </cell>
          <cell r="G13" t="str">
            <v>0(  0.0)</v>
          </cell>
          <cell r="H13" t="str">
            <v>0(  0.0)</v>
          </cell>
          <cell r="I13" t="str">
            <v>18(100.0)</v>
          </cell>
          <cell r="J13" t="str">
            <v>0(  0.0)</v>
          </cell>
          <cell r="K13" t="str">
            <v>0(  0.0)</v>
          </cell>
          <cell r="L13" t="str">
            <v>0(  0.0)</v>
          </cell>
          <cell r="M13" t="str">
            <v>0(  0.0)</v>
          </cell>
          <cell r="N13" t="str">
            <v>0(  0.0)</v>
          </cell>
          <cell r="O13" t="str">
            <v>18(100.0)</v>
          </cell>
          <cell r="P13" t="str">
            <v>18(100.0)</v>
          </cell>
        </row>
        <row r="15">
          <cell r="B15">
            <v>9</v>
          </cell>
          <cell r="C15" t="str">
            <v>0(  0.0)</v>
          </cell>
          <cell r="D15" t="str">
            <v>0(  0.0)</v>
          </cell>
          <cell r="E15" t="str">
            <v>9(100.0)</v>
          </cell>
          <cell r="F15" t="str">
            <v>0(  0.0)</v>
          </cell>
          <cell r="G15" t="str">
            <v>0(  0.0)</v>
          </cell>
          <cell r="H15" t="str">
            <v>0(  0.0)</v>
          </cell>
          <cell r="I15" t="str">
            <v>9(100.0)</v>
          </cell>
          <cell r="J15" t="str">
            <v>0(  0.0)</v>
          </cell>
          <cell r="K15" t="str">
            <v>0(  0.0)</v>
          </cell>
          <cell r="L15" t="str">
            <v>0(  0.0)</v>
          </cell>
          <cell r="M15" t="str">
            <v>0(  0.0)</v>
          </cell>
          <cell r="N15" t="str">
            <v>0(  0.0)</v>
          </cell>
          <cell r="O15" t="str">
            <v>9(100.0)</v>
          </cell>
          <cell r="P15" t="str">
            <v>9(100.0)</v>
          </cell>
        </row>
        <row r="16">
          <cell r="B16">
            <v>9</v>
          </cell>
          <cell r="C16" t="str">
            <v>0(  0.0)</v>
          </cell>
          <cell r="D16" t="str">
            <v>0(  0.0)</v>
          </cell>
          <cell r="E16" t="str">
            <v>9(100.0)</v>
          </cell>
          <cell r="F16" t="str">
            <v>0(  0.0)</v>
          </cell>
          <cell r="G16" t="str">
            <v>0(  0.0)</v>
          </cell>
          <cell r="H16" t="str">
            <v>0(  0.0)</v>
          </cell>
          <cell r="I16" t="str">
            <v>9(100.0)</v>
          </cell>
          <cell r="J16" t="str">
            <v>0(  0.0)</v>
          </cell>
          <cell r="K16" t="str">
            <v>0(  0.0)</v>
          </cell>
          <cell r="L16" t="str">
            <v>0(  0.0)</v>
          </cell>
          <cell r="M16" t="str">
            <v>0(  0.0)</v>
          </cell>
          <cell r="N16" t="str">
            <v>0(  0.0)</v>
          </cell>
          <cell r="O16" t="str">
            <v>9(100.0)</v>
          </cell>
          <cell r="P16" t="str">
            <v>9(100.0)</v>
          </cell>
        </row>
        <row r="17">
          <cell r="B17">
            <v>18</v>
          </cell>
          <cell r="C17" t="str">
            <v>0(  0.0)</v>
          </cell>
          <cell r="D17" t="str">
            <v>0(  0.0)</v>
          </cell>
          <cell r="E17" t="str">
            <v>18(100.0)</v>
          </cell>
          <cell r="F17" t="str">
            <v>0(  0.0)</v>
          </cell>
          <cell r="G17" t="str">
            <v>0(  0.0)</v>
          </cell>
          <cell r="H17" t="str">
            <v>0(  0.0)</v>
          </cell>
          <cell r="I17" t="str">
            <v>18(100.0)</v>
          </cell>
          <cell r="J17" t="str">
            <v>0(  0.0)</v>
          </cell>
          <cell r="K17" t="str">
            <v>0(  0.0)</v>
          </cell>
          <cell r="L17" t="str">
            <v>0(  0.0)</v>
          </cell>
          <cell r="M17" t="str">
            <v>0(  0.0)</v>
          </cell>
          <cell r="N17" t="str">
            <v>0(  0.0)</v>
          </cell>
          <cell r="O17" t="str">
            <v>18(100.0)</v>
          </cell>
          <cell r="P17" t="str">
            <v>18(100.0)</v>
          </cell>
        </row>
        <row r="20">
          <cell r="B20">
            <v>9</v>
          </cell>
          <cell r="C20" t="str">
            <v>0(  0.0)</v>
          </cell>
          <cell r="D20" t="str">
            <v>0(  0.0)</v>
          </cell>
          <cell r="E20" t="str">
            <v>9(100.0)</v>
          </cell>
          <cell r="F20" t="str">
            <v>0(  0.0)</v>
          </cell>
          <cell r="G20" t="str">
            <v>0(  0.0)</v>
          </cell>
          <cell r="H20" t="str">
            <v>0(  0.0)</v>
          </cell>
          <cell r="I20" t="str">
            <v>9(100.0)</v>
          </cell>
          <cell r="J20" t="str">
            <v>0(  0.0)</v>
          </cell>
          <cell r="K20" t="str">
            <v>0(  0.0)</v>
          </cell>
          <cell r="L20" t="str">
            <v>0(  0.0)</v>
          </cell>
          <cell r="M20" t="str">
            <v>0(  0.0)</v>
          </cell>
          <cell r="N20" t="str">
            <v>0(  0.0)</v>
          </cell>
          <cell r="O20" t="str">
            <v>9(100.0)</v>
          </cell>
          <cell r="P20" t="str">
            <v>9(100.0)</v>
          </cell>
        </row>
        <row r="21">
          <cell r="B21">
            <v>9</v>
          </cell>
          <cell r="C21" t="str">
            <v>0(  0.0)</v>
          </cell>
          <cell r="D21" t="str">
            <v>0(  0.0)</v>
          </cell>
          <cell r="E21" t="str">
            <v>9(100.0)</v>
          </cell>
          <cell r="F21" t="str">
            <v>0(  0.0)</v>
          </cell>
          <cell r="G21" t="str">
            <v>0(  0.0)</v>
          </cell>
          <cell r="H21" t="str">
            <v>0(  0.0)</v>
          </cell>
          <cell r="I21" t="str">
            <v>9(100.0)</v>
          </cell>
          <cell r="J21" t="str">
            <v>0(  0.0)</v>
          </cell>
          <cell r="K21" t="str">
            <v>0(  0.0)</v>
          </cell>
          <cell r="L21" t="str">
            <v>0(  0.0)</v>
          </cell>
          <cell r="M21" t="str">
            <v>0(  0.0)</v>
          </cell>
          <cell r="N21" t="str">
            <v>0(  0.0)</v>
          </cell>
          <cell r="O21" t="str">
            <v>9(100.0)</v>
          </cell>
          <cell r="P21" t="str">
            <v>9(100.0)</v>
          </cell>
        </row>
        <row r="22">
          <cell r="B22">
            <v>18</v>
          </cell>
          <cell r="C22" t="str">
            <v>0(  0.0)</v>
          </cell>
          <cell r="D22" t="str">
            <v>0(  0.0)</v>
          </cell>
          <cell r="E22" t="str">
            <v>18(100.0)</v>
          </cell>
          <cell r="F22" t="str">
            <v>0(  0.0)</v>
          </cell>
          <cell r="G22" t="str">
            <v>0(  0.0)</v>
          </cell>
          <cell r="H22" t="str">
            <v>0(  0.0)</v>
          </cell>
          <cell r="I22" t="str">
            <v>18(100.0)</v>
          </cell>
          <cell r="J22" t="str">
            <v>0(  0.0)</v>
          </cell>
          <cell r="K22" t="str">
            <v>0(  0.0)</v>
          </cell>
          <cell r="L22" t="str">
            <v>0(  0.0)</v>
          </cell>
          <cell r="M22" t="str">
            <v>0(  0.0)</v>
          </cell>
          <cell r="N22" t="str">
            <v>0(  0.0)</v>
          </cell>
          <cell r="O22" t="str">
            <v>18(100.0)</v>
          </cell>
          <cell r="P22" t="str">
            <v>18(100.0)</v>
          </cell>
        </row>
        <row r="24">
          <cell r="B24">
            <v>9</v>
          </cell>
          <cell r="C24" t="str">
            <v>0(  0.0)</v>
          </cell>
          <cell r="D24" t="str">
            <v>0(  0.0)</v>
          </cell>
          <cell r="E24" t="str">
            <v>9(100.0)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9(100.0)</v>
          </cell>
          <cell r="J24" t="str">
            <v>0(  0.0)</v>
          </cell>
          <cell r="K24" t="str">
            <v>0(  0.0)</v>
          </cell>
          <cell r="L24" t="str">
            <v>0(  0.0)</v>
          </cell>
          <cell r="M24" t="str">
            <v>0(  0.0)</v>
          </cell>
          <cell r="N24" t="str">
            <v>0(  0.0)</v>
          </cell>
          <cell r="O24" t="str">
            <v>9(100.0)</v>
          </cell>
          <cell r="P24" t="str">
            <v>9(100.0)</v>
          </cell>
        </row>
        <row r="25">
          <cell r="B25">
            <v>9</v>
          </cell>
          <cell r="C25" t="str">
            <v>0(  0.0)</v>
          </cell>
          <cell r="D25" t="str">
            <v>0(  0.0)</v>
          </cell>
          <cell r="E25" t="str">
            <v>9(100.0)</v>
          </cell>
          <cell r="F25" t="str">
            <v>0(  0.0)</v>
          </cell>
          <cell r="G25" t="str">
            <v>0(  0.0)</v>
          </cell>
          <cell r="H25" t="str">
            <v>0(  0.0)</v>
          </cell>
          <cell r="I25" t="str">
            <v>9(100.0)</v>
          </cell>
          <cell r="J25" t="str">
            <v>0(  0.0)</v>
          </cell>
          <cell r="K25" t="str">
            <v>0(  0.0)</v>
          </cell>
          <cell r="L25" t="str">
            <v>0(  0.0)</v>
          </cell>
          <cell r="M25" t="str">
            <v>0(  0.0)</v>
          </cell>
          <cell r="N25" t="str">
            <v>0(  0.0)</v>
          </cell>
          <cell r="O25" t="str">
            <v>9(100.0)</v>
          </cell>
          <cell r="P25" t="str">
            <v>9(100.0)</v>
          </cell>
        </row>
        <row r="26">
          <cell r="B26">
            <v>18</v>
          </cell>
          <cell r="C26" t="str">
            <v>0(  0.0)</v>
          </cell>
          <cell r="D26" t="str">
            <v>0(  0.0)</v>
          </cell>
          <cell r="E26" t="str">
            <v>18(100.0)</v>
          </cell>
          <cell r="F26" t="str">
            <v>0(  0.0)</v>
          </cell>
          <cell r="G26" t="str">
            <v>0(  0.0)</v>
          </cell>
          <cell r="H26" t="str">
            <v>0(  0.0)</v>
          </cell>
          <cell r="I26" t="str">
            <v>18(100.0)</v>
          </cell>
          <cell r="J26" t="str">
            <v>0(  0.0)</v>
          </cell>
          <cell r="K26" t="str">
            <v>0(  0.0)</v>
          </cell>
          <cell r="L26" t="str">
            <v>0(  0.0)</v>
          </cell>
          <cell r="M26" t="str">
            <v>0(  0.0)</v>
          </cell>
          <cell r="N26" t="str">
            <v>0(  0.0)</v>
          </cell>
          <cell r="O26" t="str">
            <v>18(100.0)</v>
          </cell>
          <cell r="P26" t="str">
            <v>18(100.0)</v>
          </cell>
        </row>
      </sheetData>
      <sheetData sheetId="17"/>
      <sheetData sheetId="18">
        <row r="2">
          <cell r="D2" t="str">
            <v xml:space="preserve"> ANNEX-VII(a)</v>
          </cell>
        </row>
        <row r="3">
          <cell r="A3" t="str">
            <v>AVAILABILITY OF FIGURES OF CROP AREA  DURING  2024-25 AND 2023-24   (POOLED SAMPLE)</v>
          </cell>
        </row>
        <row r="10">
          <cell r="A10" t="str">
            <v>RABI I</v>
          </cell>
          <cell r="B10">
            <v>18</v>
          </cell>
          <cell r="C10" t="str">
            <v>0(  0.0)</v>
          </cell>
          <cell r="D10" t="str">
            <v>5( 27.8)</v>
          </cell>
          <cell r="E10" t="str">
            <v>0(  0.0)</v>
          </cell>
        </row>
        <row r="11">
          <cell r="A11" t="str">
            <v>RABI II</v>
          </cell>
          <cell r="B11">
            <v>18</v>
          </cell>
          <cell r="C11" t="str">
            <v>0(  0.0)</v>
          </cell>
          <cell r="D11" t="str">
            <v>8( 44.4)</v>
          </cell>
          <cell r="E11" t="str">
            <v>0(  0.0)</v>
          </cell>
        </row>
        <row r="13">
          <cell r="A13" t="str">
            <v>RABI I</v>
          </cell>
          <cell r="B13">
            <v>18</v>
          </cell>
          <cell r="C13" t="str">
            <v>2( 11.1)</v>
          </cell>
          <cell r="D13" t="str">
            <v>2( 11.1)</v>
          </cell>
          <cell r="E13" t="str">
            <v>0(  0.0)</v>
          </cell>
        </row>
        <row r="14">
          <cell r="A14" t="str">
            <v>RABI II</v>
          </cell>
          <cell r="B14">
            <v>18</v>
          </cell>
          <cell r="C14" t="str">
            <v>0(  0.0)</v>
          </cell>
          <cell r="D14" t="str">
            <v>7( 38.9)</v>
          </cell>
          <cell r="E14" t="str">
            <v>0(  0.0)</v>
          </cell>
        </row>
      </sheetData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7(b)"/>
      <sheetName val="Annex-7(b)p"/>
      <sheetName val="Annex-9"/>
      <sheetName val="Annex-9(p)"/>
      <sheetName val="Annex-11"/>
      <sheetName val="Annex-11(p)"/>
    </sheetNames>
    <sheetDataSet>
      <sheetData sheetId="0"/>
      <sheetData sheetId="1"/>
      <sheetData sheetId="2"/>
      <sheetData sheetId="3"/>
      <sheetData sheetId="4">
        <row r="2">
          <cell r="F2" t="str">
            <v xml:space="preserve"> ANNEX-VII(b)</v>
          </cell>
        </row>
        <row r="3">
          <cell r="A3" t="str">
            <v>DISCREPANCIES IN RECORDING OF CROPS AND CROP AREAS DURING 0 AND 0.</v>
          </cell>
        </row>
        <row r="9">
          <cell r="A9" t="str">
            <v>CENTRAL</v>
          </cell>
          <cell r="B9">
            <v>52</v>
          </cell>
          <cell r="C9" t="str">
            <v>34( 65.4)</v>
          </cell>
          <cell r="D9" t="str">
            <v>0(  0.0)</v>
          </cell>
          <cell r="E9" t="str">
            <v>14( 26.9)</v>
          </cell>
          <cell r="F9" t="str">
            <v>4(  7.7)</v>
          </cell>
          <cell r="G9" t="str">
            <v>18( 34.6)</v>
          </cell>
        </row>
        <row r="10">
          <cell r="A10" t="str">
            <v>STATE</v>
          </cell>
          <cell r="B10">
            <v>182</v>
          </cell>
          <cell r="C10" t="str">
            <v>176( 96.7)</v>
          </cell>
          <cell r="D10" t="str">
            <v>2(  1.1)</v>
          </cell>
          <cell r="E10" t="str">
            <v>2(  1.1)</v>
          </cell>
          <cell r="F10" t="str">
            <v>2(  1.1)</v>
          </cell>
          <cell r="G10" t="str">
            <v>6(  3.3)</v>
          </cell>
        </row>
        <row r="11">
          <cell r="A11" t="str">
            <v>POOLED</v>
          </cell>
          <cell r="B11">
            <v>234</v>
          </cell>
          <cell r="C11" t="str">
            <v>210( 89.7)</v>
          </cell>
          <cell r="D11" t="str">
            <v>2(  0.9)</v>
          </cell>
          <cell r="E11" t="str">
            <v>16(  6.8)</v>
          </cell>
          <cell r="F11" t="str">
            <v>6(  2.6)</v>
          </cell>
          <cell r="G11" t="str">
            <v>24( 10.3)</v>
          </cell>
        </row>
        <row r="13">
          <cell r="A13" t="str">
            <v>CENTRAL</v>
          </cell>
          <cell r="B13">
            <v>32</v>
          </cell>
          <cell r="C13" t="str">
            <v>20( 62.5)</v>
          </cell>
          <cell r="D13" t="str">
            <v>0(  0.0)</v>
          </cell>
          <cell r="E13" t="str">
            <v>12( 37.5)</v>
          </cell>
          <cell r="F13" t="str">
            <v>0(  0.0)</v>
          </cell>
          <cell r="G13" t="str">
            <v>12( 37.5)</v>
          </cell>
        </row>
        <row r="14">
          <cell r="A14" t="str">
            <v>STATE</v>
          </cell>
          <cell r="B14">
            <v>110</v>
          </cell>
          <cell r="C14" t="str">
            <v>108( 98.2)</v>
          </cell>
          <cell r="D14" t="str">
            <v>0(  0.0)</v>
          </cell>
          <cell r="E14" t="str">
            <v>0(  0.0)</v>
          </cell>
          <cell r="F14" t="str">
            <v>2(  1.8)</v>
          </cell>
          <cell r="G14" t="str">
            <v>2(  1.8)</v>
          </cell>
        </row>
        <row r="15">
          <cell r="A15" t="str">
            <v>POOLED</v>
          </cell>
          <cell r="B15">
            <v>142</v>
          </cell>
          <cell r="C15" t="str">
            <v>128( 90.1)</v>
          </cell>
          <cell r="D15" t="str">
            <v>0(  0.0)</v>
          </cell>
          <cell r="E15" t="str">
            <v>12(  8.5)</v>
          </cell>
          <cell r="F15" t="str">
            <v>2(  1.4)</v>
          </cell>
          <cell r="G15" t="str">
            <v>14(  9.9)</v>
          </cell>
        </row>
        <row r="18">
          <cell r="A18" t="str">
            <v>CENTRAL</v>
          </cell>
          <cell r="B18">
            <v>50</v>
          </cell>
          <cell r="C18" t="str">
            <v>42( 84.0)</v>
          </cell>
          <cell r="D18" t="str">
            <v>0(  0.0)</v>
          </cell>
          <cell r="E18" t="str">
            <v>5( 10.0)</v>
          </cell>
          <cell r="F18" t="str">
            <v>3(  6.0)</v>
          </cell>
          <cell r="G18" t="str">
            <v>8( 16.0)</v>
          </cell>
        </row>
        <row r="19">
          <cell r="A19" t="str">
            <v>STATE</v>
          </cell>
          <cell r="B19">
            <v>37</v>
          </cell>
          <cell r="C19" t="str">
            <v>37(100.0)</v>
          </cell>
          <cell r="D19" t="str">
            <v>0(  0.0)</v>
          </cell>
          <cell r="E19" t="str">
            <v>0(  0.0)</v>
          </cell>
          <cell r="F19" t="str">
            <v>0(  0.0)</v>
          </cell>
          <cell r="G19" t="str">
            <v>0(  0.0)</v>
          </cell>
        </row>
        <row r="20">
          <cell r="A20" t="str">
            <v>POOLED</v>
          </cell>
          <cell r="B20">
            <v>87</v>
          </cell>
          <cell r="C20" t="str">
            <v>79( 90.9)</v>
          </cell>
          <cell r="D20" t="str">
            <v>0(  0.0)</v>
          </cell>
          <cell r="E20" t="str">
            <v>5(  5.7)</v>
          </cell>
          <cell r="F20" t="str">
            <v>3(  3.4)</v>
          </cell>
          <cell r="G20" t="str">
            <v>8(  9.1)</v>
          </cell>
        </row>
        <row r="22">
          <cell r="A22" t="str">
            <v>CENTRAL</v>
          </cell>
          <cell r="B22">
            <v>35</v>
          </cell>
          <cell r="C22" t="str">
            <v>31( 88.6)</v>
          </cell>
          <cell r="D22" t="str">
            <v>0(  0.0)</v>
          </cell>
          <cell r="E22" t="str">
            <v>4( 11.4)</v>
          </cell>
          <cell r="F22" t="str">
            <v>0(  0.0)</v>
          </cell>
          <cell r="G22" t="str">
            <v>4( 11.4)</v>
          </cell>
        </row>
        <row r="23">
          <cell r="A23" t="str">
            <v>STATE</v>
          </cell>
          <cell r="B23">
            <v>44</v>
          </cell>
          <cell r="C23" t="str">
            <v>43( 97.7)</v>
          </cell>
          <cell r="D23" t="str">
            <v>0(  0.0)</v>
          </cell>
          <cell r="E23" t="str">
            <v>0(  0.0)</v>
          </cell>
          <cell r="F23" t="str">
            <v>1(  2.3)</v>
          </cell>
          <cell r="G23" t="str">
            <v>1(  2.3)</v>
          </cell>
        </row>
        <row r="24">
          <cell r="A24" t="str">
            <v>POOLED</v>
          </cell>
          <cell r="B24">
            <v>79</v>
          </cell>
          <cell r="C24" t="str">
            <v>74( 93.6)</v>
          </cell>
          <cell r="D24" t="str">
            <v>0(  0.0)</v>
          </cell>
          <cell r="E24" t="str">
            <v>4(  5.1)</v>
          </cell>
          <cell r="F24" t="str">
            <v>1(  1.3)</v>
          </cell>
          <cell r="G24" t="str">
            <v>5(  6.4)</v>
          </cell>
        </row>
      </sheetData>
      <sheetData sheetId="5"/>
      <sheetData sheetId="6">
        <row r="2">
          <cell r="O2" t="str">
            <v xml:space="preserve"> ANNEX-IX</v>
          </cell>
        </row>
        <row r="3">
          <cell r="A3" t="str">
            <v>DISCREPANCIES IN RECORDING IRRIGATION PARTICULARS DURING 0 AND 0.</v>
          </cell>
        </row>
        <row r="9">
          <cell r="A9" t="str">
            <v>CENTRAL</v>
          </cell>
          <cell r="B9">
            <v>52</v>
          </cell>
          <cell r="C9">
            <v>38</v>
          </cell>
          <cell r="D9">
            <v>0</v>
          </cell>
          <cell r="E9">
            <v>0</v>
          </cell>
          <cell r="F9">
            <v>38</v>
          </cell>
          <cell r="G9">
            <v>0</v>
          </cell>
          <cell r="H9">
            <v>0</v>
          </cell>
          <cell r="I9">
            <v>0</v>
          </cell>
          <cell r="J9">
            <v>14</v>
          </cell>
          <cell r="K9">
            <v>14</v>
          </cell>
          <cell r="L9">
            <v>12</v>
          </cell>
          <cell r="M9">
            <v>2</v>
          </cell>
          <cell r="N9">
            <v>0</v>
          </cell>
          <cell r="O9">
            <v>0</v>
          </cell>
          <cell r="P9">
            <v>14</v>
          </cell>
        </row>
        <row r="10">
          <cell r="A10" t="str">
            <v>(%)</v>
          </cell>
          <cell r="C10" t="str">
            <v>( 73.1)</v>
          </cell>
          <cell r="D10" t="str">
            <v>( 0.0)</v>
          </cell>
          <cell r="E10" t="str">
            <v>( 0.0)</v>
          </cell>
          <cell r="F10" t="str">
            <v>( 73.1)</v>
          </cell>
          <cell r="G10" t="str">
            <v>( 0.0)</v>
          </cell>
          <cell r="H10" t="str">
            <v>( 0.0)</v>
          </cell>
          <cell r="I10" t="str">
            <v>( 0.0)</v>
          </cell>
          <cell r="J10" t="str">
            <v>( 26.9)</v>
          </cell>
          <cell r="K10" t="str">
            <v>( 26.9)</v>
          </cell>
          <cell r="L10" t="str">
            <v>( 23.1)</v>
          </cell>
          <cell r="M10" t="str">
            <v>( 3.8)</v>
          </cell>
          <cell r="N10" t="str">
            <v>( 0.0)</v>
          </cell>
          <cell r="O10" t="str">
            <v>( 0.0)</v>
          </cell>
          <cell r="P10" t="str">
            <v>( 26.9)</v>
          </cell>
        </row>
        <row r="11">
          <cell r="A11" t="str">
            <v>STATE</v>
          </cell>
          <cell r="B11">
            <v>182</v>
          </cell>
          <cell r="C11">
            <v>166</v>
          </cell>
          <cell r="D11">
            <v>4</v>
          </cell>
          <cell r="E11">
            <v>8</v>
          </cell>
          <cell r="F11">
            <v>178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2</v>
          </cell>
          <cell r="M11">
            <v>0</v>
          </cell>
          <cell r="N11">
            <v>0</v>
          </cell>
          <cell r="O11">
            <v>2</v>
          </cell>
          <cell r="P11">
            <v>4</v>
          </cell>
        </row>
        <row r="12">
          <cell r="A12" t="str">
            <v>(%)</v>
          </cell>
          <cell r="C12" t="str">
            <v>( 91.2)</v>
          </cell>
          <cell r="D12" t="str">
            <v>( 2.2)</v>
          </cell>
          <cell r="E12" t="str">
            <v>( 4.4)</v>
          </cell>
          <cell r="F12" t="str">
            <v>( 97.8)</v>
          </cell>
          <cell r="G12" t="str">
            <v>( 1.1)</v>
          </cell>
          <cell r="H12" t="str">
            <v>( 0.0)</v>
          </cell>
          <cell r="I12" t="str">
            <v>( 0.0)</v>
          </cell>
          <cell r="J12" t="str">
            <v>( 1.1)</v>
          </cell>
          <cell r="K12" t="str">
            <v>( 2.2)</v>
          </cell>
          <cell r="L12" t="str">
            <v>( 1.1)</v>
          </cell>
          <cell r="M12" t="str">
            <v>( 0.0)</v>
          </cell>
          <cell r="N12" t="str">
            <v>( 0.0)</v>
          </cell>
          <cell r="O12" t="str">
            <v>( 1.1)</v>
          </cell>
          <cell r="P12" t="str">
            <v>( 2.2)</v>
          </cell>
        </row>
        <row r="13">
          <cell r="A13" t="str">
            <v>POOLED</v>
          </cell>
          <cell r="B13">
            <v>234</v>
          </cell>
          <cell r="C13">
            <v>204</v>
          </cell>
          <cell r="D13">
            <v>4</v>
          </cell>
          <cell r="E13">
            <v>8</v>
          </cell>
          <cell r="F13">
            <v>216</v>
          </cell>
          <cell r="G13">
            <v>2</v>
          </cell>
          <cell r="H13">
            <v>0</v>
          </cell>
          <cell r="I13">
            <v>0</v>
          </cell>
          <cell r="J13">
            <v>16</v>
          </cell>
          <cell r="K13">
            <v>18</v>
          </cell>
          <cell r="L13">
            <v>14</v>
          </cell>
          <cell r="M13">
            <v>2</v>
          </cell>
          <cell r="N13">
            <v>0</v>
          </cell>
          <cell r="O13">
            <v>2</v>
          </cell>
          <cell r="P13">
            <v>18</v>
          </cell>
        </row>
        <row r="14">
          <cell r="A14" t="str">
            <v>(%)</v>
          </cell>
          <cell r="C14" t="str">
            <v>( 87.2)</v>
          </cell>
          <cell r="D14" t="str">
            <v>( 1.7)</v>
          </cell>
          <cell r="E14" t="str">
            <v>( 3.4)</v>
          </cell>
          <cell r="F14" t="str">
            <v>( 92.3)</v>
          </cell>
          <cell r="G14" t="str">
            <v>( 0.9)</v>
          </cell>
          <cell r="H14" t="str">
            <v>( 0.0)</v>
          </cell>
          <cell r="I14" t="str">
            <v>( 0.0)</v>
          </cell>
          <cell r="J14" t="str">
            <v>( 6.8)</v>
          </cell>
          <cell r="K14" t="str">
            <v>( 7.7)</v>
          </cell>
          <cell r="L14" t="str">
            <v>( 6.0)</v>
          </cell>
          <cell r="M14" t="str">
            <v>( 0.9)</v>
          </cell>
          <cell r="N14" t="str">
            <v>( 0.0)</v>
          </cell>
          <cell r="O14" t="str">
            <v>( 0.9)</v>
          </cell>
          <cell r="P14" t="str">
            <v>( 7.7)</v>
          </cell>
        </row>
        <row r="16">
          <cell r="A16" t="str">
            <v>CENTRAL</v>
          </cell>
          <cell r="B16">
            <v>32</v>
          </cell>
          <cell r="C16">
            <v>20</v>
          </cell>
          <cell r="D16">
            <v>0</v>
          </cell>
          <cell r="E16">
            <v>0</v>
          </cell>
          <cell r="F16">
            <v>20</v>
          </cell>
          <cell r="G16">
            <v>0</v>
          </cell>
          <cell r="H16">
            <v>0</v>
          </cell>
          <cell r="I16">
            <v>0</v>
          </cell>
          <cell r="J16">
            <v>12</v>
          </cell>
          <cell r="K16">
            <v>12</v>
          </cell>
          <cell r="L16">
            <v>10</v>
          </cell>
          <cell r="M16">
            <v>2</v>
          </cell>
          <cell r="N16">
            <v>0</v>
          </cell>
          <cell r="O16">
            <v>0</v>
          </cell>
          <cell r="P16">
            <v>12</v>
          </cell>
        </row>
        <row r="17">
          <cell r="A17" t="str">
            <v>(%)</v>
          </cell>
          <cell r="C17" t="str">
            <v>( 62.5)</v>
          </cell>
          <cell r="D17" t="str">
            <v>( 0.0)</v>
          </cell>
          <cell r="E17" t="str">
            <v>( 0.0)</v>
          </cell>
          <cell r="F17" t="str">
            <v>( 62.5)</v>
          </cell>
          <cell r="G17" t="str">
            <v>( 0.0)</v>
          </cell>
          <cell r="H17" t="str">
            <v>( 0.0)</v>
          </cell>
          <cell r="I17" t="str">
            <v>( 0.0)</v>
          </cell>
          <cell r="J17" t="str">
            <v>( 37.5)</v>
          </cell>
          <cell r="K17" t="str">
            <v>( 37.5)</v>
          </cell>
          <cell r="L17" t="str">
            <v>( 31.3)</v>
          </cell>
          <cell r="M17" t="str">
            <v>( 6.3)</v>
          </cell>
          <cell r="N17" t="str">
            <v>( 0.0)</v>
          </cell>
          <cell r="O17" t="str">
            <v>( 0.0)</v>
          </cell>
          <cell r="P17" t="str">
            <v>( 37.5)</v>
          </cell>
        </row>
        <row r="18">
          <cell r="A18" t="str">
            <v>STATE</v>
          </cell>
          <cell r="B18">
            <v>110</v>
          </cell>
          <cell r="C18">
            <v>94</v>
          </cell>
          <cell r="D18">
            <v>8</v>
          </cell>
          <cell r="E18">
            <v>8</v>
          </cell>
          <cell r="F18">
            <v>110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(%)</v>
          </cell>
          <cell r="C19" t="str">
            <v>( 85.5)</v>
          </cell>
          <cell r="D19" t="str">
            <v>( 7.3)</v>
          </cell>
          <cell r="E19" t="str">
            <v>( 7.3)</v>
          </cell>
          <cell r="F19" t="str">
            <v>( 100.0)</v>
          </cell>
          <cell r="G19" t="str">
            <v>( 0.0)</v>
          </cell>
          <cell r="H19" t="str">
            <v>( 0.0)</v>
          </cell>
          <cell r="I19" t="str">
            <v>( 0.0)</v>
          </cell>
          <cell r="J19" t="str">
            <v>( 0.0)</v>
          </cell>
          <cell r="K19" t="str">
            <v>( 0.0)</v>
          </cell>
          <cell r="L19" t="str">
            <v>( 0.0)</v>
          </cell>
          <cell r="M19" t="str">
            <v>( 0.0)</v>
          </cell>
          <cell r="N19" t="str">
            <v>( 0.0)</v>
          </cell>
          <cell r="O19" t="str">
            <v>( 0.0)</v>
          </cell>
          <cell r="P19" t="str">
            <v>( 0.0)</v>
          </cell>
        </row>
        <row r="20">
          <cell r="A20" t="str">
            <v>POOLED</v>
          </cell>
          <cell r="B20">
            <v>142</v>
          </cell>
          <cell r="C20">
            <v>114</v>
          </cell>
          <cell r="D20">
            <v>8</v>
          </cell>
          <cell r="E20">
            <v>8</v>
          </cell>
          <cell r="F20">
            <v>130</v>
          </cell>
          <cell r="G20">
            <v>0</v>
          </cell>
          <cell r="H20">
            <v>0</v>
          </cell>
          <cell r="I20">
            <v>0</v>
          </cell>
          <cell r="J20">
            <v>12</v>
          </cell>
          <cell r="K20">
            <v>12</v>
          </cell>
          <cell r="L20">
            <v>10</v>
          </cell>
          <cell r="M20">
            <v>2</v>
          </cell>
          <cell r="N20">
            <v>0</v>
          </cell>
          <cell r="O20">
            <v>0</v>
          </cell>
          <cell r="P20">
            <v>12</v>
          </cell>
        </row>
        <row r="21">
          <cell r="A21" t="str">
            <v>(%)</v>
          </cell>
          <cell r="C21" t="str">
            <v>( 80.3)</v>
          </cell>
          <cell r="D21" t="str">
            <v>( 5.6)</v>
          </cell>
          <cell r="E21" t="str">
            <v>( 5.6)</v>
          </cell>
          <cell r="F21" t="str">
            <v>( 91.5)</v>
          </cell>
          <cell r="G21" t="str">
            <v>( 0.0)</v>
          </cell>
          <cell r="H21" t="str">
            <v>( 0.0)</v>
          </cell>
          <cell r="I21" t="str">
            <v>( 0.0)</v>
          </cell>
          <cell r="J21" t="str">
            <v>( 8.5)</v>
          </cell>
          <cell r="K21" t="str">
            <v>( 8.5)</v>
          </cell>
          <cell r="L21" t="str">
            <v>( 7.0)</v>
          </cell>
          <cell r="M21" t="str">
            <v>( 1.4)</v>
          </cell>
          <cell r="N21" t="str">
            <v>( 0.0)</v>
          </cell>
          <cell r="O21" t="str">
            <v>( 0.0)</v>
          </cell>
          <cell r="P21" t="str">
            <v>( 8.5)</v>
          </cell>
        </row>
        <row r="24">
          <cell r="A24" t="str">
            <v>CENTRAL</v>
          </cell>
          <cell r="B24">
            <v>50</v>
          </cell>
          <cell r="C24">
            <v>47</v>
          </cell>
          <cell r="D24">
            <v>1</v>
          </cell>
          <cell r="E24">
            <v>0</v>
          </cell>
          <cell r="F24">
            <v>48</v>
          </cell>
          <cell r="G24">
            <v>0</v>
          </cell>
          <cell r="H24">
            <v>0</v>
          </cell>
          <cell r="I24">
            <v>0</v>
          </cell>
          <cell r="J24">
            <v>2</v>
          </cell>
          <cell r="K24">
            <v>2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A25" t="str">
            <v>(%)</v>
          </cell>
          <cell r="C25" t="str">
            <v>( 94.0)</v>
          </cell>
          <cell r="D25" t="str">
            <v>( 2.0)</v>
          </cell>
          <cell r="E25" t="str">
            <v>( 0.0)</v>
          </cell>
          <cell r="F25" t="str">
            <v>( 96.0)</v>
          </cell>
          <cell r="G25" t="str">
            <v>( 0.0)</v>
          </cell>
          <cell r="H25" t="str">
            <v>( 0.0)</v>
          </cell>
          <cell r="I25" t="str">
            <v>( 0.0)</v>
          </cell>
          <cell r="J25" t="str">
            <v>( 4.0)</v>
          </cell>
          <cell r="K25" t="str">
            <v>( 4.0)</v>
          </cell>
          <cell r="L25" t="str">
            <v>( 4.0)</v>
          </cell>
          <cell r="M25" t="str">
            <v>( 0.0)</v>
          </cell>
          <cell r="N25" t="str">
            <v>( 0.0)</v>
          </cell>
          <cell r="O25" t="str">
            <v>( 0.0)</v>
          </cell>
          <cell r="P25" t="str">
            <v>( 4.0)</v>
          </cell>
        </row>
        <row r="26">
          <cell r="A26" t="str">
            <v>STATE</v>
          </cell>
          <cell r="B26">
            <v>37</v>
          </cell>
          <cell r="C26">
            <v>35</v>
          </cell>
          <cell r="D26">
            <v>2</v>
          </cell>
          <cell r="E26">
            <v>0</v>
          </cell>
          <cell r="F26">
            <v>37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(%)</v>
          </cell>
          <cell r="C27" t="str">
            <v>( 94.6)</v>
          </cell>
          <cell r="D27" t="str">
            <v>( 5.4)</v>
          </cell>
          <cell r="E27" t="str">
            <v>( 0.0)</v>
          </cell>
          <cell r="F27" t="str">
            <v>( 100.0)</v>
          </cell>
          <cell r="G27" t="str">
            <v>( 0.0)</v>
          </cell>
          <cell r="H27" t="str">
            <v>( 0.0)</v>
          </cell>
          <cell r="I27" t="str">
            <v>( 0.0)</v>
          </cell>
          <cell r="J27" t="str">
            <v>( 0.0)</v>
          </cell>
          <cell r="K27" t="str">
            <v>( 0.0)</v>
          </cell>
          <cell r="L27" t="str">
            <v>( 0.0)</v>
          </cell>
          <cell r="M27" t="str">
            <v>( 0.0)</v>
          </cell>
          <cell r="N27" t="str">
            <v>( 0.0)</v>
          </cell>
          <cell r="O27" t="str">
            <v>( 0.0)</v>
          </cell>
          <cell r="P27" t="str">
            <v>( 0.0)</v>
          </cell>
        </row>
        <row r="28">
          <cell r="A28" t="str">
            <v>POOLED</v>
          </cell>
          <cell r="B28">
            <v>87</v>
          </cell>
          <cell r="C28">
            <v>82</v>
          </cell>
          <cell r="D28">
            <v>3</v>
          </cell>
          <cell r="E28">
            <v>0</v>
          </cell>
          <cell r="F28">
            <v>85</v>
          </cell>
          <cell r="G28">
            <v>0</v>
          </cell>
          <cell r="H28">
            <v>0</v>
          </cell>
          <cell r="I28">
            <v>0</v>
          </cell>
          <cell r="J28">
            <v>2</v>
          </cell>
          <cell r="K28">
            <v>2</v>
          </cell>
          <cell r="L28">
            <v>2</v>
          </cell>
          <cell r="M28">
            <v>0</v>
          </cell>
          <cell r="N28">
            <v>0</v>
          </cell>
          <cell r="O28">
            <v>0</v>
          </cell>
          <cell r="P28">
            <v>2</v>
          </cell>
        </row>
        <row r="29">
          <cell r="A29" t="str">
            <v>(%)</v>
          </cell>
          <cell r="C29" t="str">
            <v>( 94.3)</v>
          </cell>
          <cell r="D29" t="str">
            <v>( 3.4)</v>
          </cell>
          <cell r="E29" t="str">
            <v>( 0.0)</v>
          </cell>
          <cell r="F29" t="str">
            <v>( 97.7)</v>
          </cell>
          <cell r="G29" t="str">
            <v>( 0.0)</v>
          </cell>
          <cell r="H29" t="str">
            <v>( 0.0)</v>
          </cell>
          <cell r="I29" t="str">
            <v>( 0.0)</v>
          </cell>
          <cell r="J29" t="str">
            <v>( 2.3)</v>
          </cell>
          <cell r="K29" t="str">
            <v>( 2.3)</v>
          </cell>
          <cell r="L29" t="str">
            <v>( 2.3)</v>
          </cell>
          <cell r="M29" t="str">
            <v>( 0.0)</v>
          </cell>
          <cell r="N29" t="str">
            <v>( 0.0)</v>
          </cell>
          <cell r="O29" t="str">
            <v>( 0.0)</v>
          </cell>
          <cell r="P29" t="str">
            <v>( 2.3)</v>
          </cell>
        </row>
        <row r="31">
          <cell r="A31" t="str">
            <v>CENTRAL</v>
          </cell>
          <cell r="B31">
            <v>35</v>
          </cell>
          <cell r="C31">
            <v>30</v>
          </cell>
          <cell r="D31">
            <v>2</v>
          </cell>
          <cell r="E31">
            <v>0</v>
          </cell>
          <cell r="F31">
            <v>32</v>
          </cell>
          <cell r="G31">
            <v>0</v>
          </cell>
          <cell r="H31">
            <v>0</v>
          </cell>
          <cell r="I31">
            <v>0</v>
          </cell>
          <cell r="J31">
            <v>3</v>
          </cell>
          <cell r="K31">
            <v>3</v>
          </cell>
          <cell r="L31">
            <v>3</v>
          </cell>
          <cell r="M31">
            <v>0</v>
          </cell>
          <cell r="N31">
            <v>0</v>
          </cell>
          <cell r="O31">
            <v>0</v>
          </cell>
          <cell r="P31">
            <v>3</v>
          </cell>
        </row>
        <row r="32">
          <cell r="A32" t="str">
            <v>(%)</v>
          </cell>
          <cell r="C32" t="str">
            <v>( 85.7)</v>
          </cell>
          <cell r="D32" t="str">
            <v>( 5.7)</v>
          </cell>
          <cell r="E32" t="str">
            <v>( 0.0)</v>
          </cell>
          <cell r="F32" t="str">
            <v>( 91.4)</v>
          </cell>
          <cell r="G32" t="str">
            <v>( 0.0)</v>
          </cell>
          <cell r="H32" t="str">
            <v>( 0.0)</v>
          </cell>
          <cell r="I32" t="str">
            <v>( 0.0)</v>
          </cell>
          <cell r="J32" t="str">
            <v>( 8.6)</v>
          </cell>
          <cell r="K32" t="str">
            <v>( 8.6)</v>
          </cell>
          <cell r="L32" t="str">
            <v>( 8.6)</v>
          </cell>
          <cell r="M32" t="str">
            <v>( 0.0)</v>
          </cell>
          <cell r="N32" t="str">
            <v>( 0.0)</v>
          </cell>
          <cell r="O32" t="str">
            <v>( 0.0)</v>
          </cell>
          <cell r="P32" t="str">
            <v>( 8.6)</v>
          </cell>
        </row>
        <row r="33">
          <cell r="A33" t="str">
            <v>STATE</v>
          </cell>
          <cell r="B33">
            <v>44</v>
          </cell>
          <cell r="C33">
            <v>28</v>
          </cell>
          <cell r="D33">
            <v>16</v>
          </cell>
          <cell r="E33">
            <v>0</v>
          </cell>
          <cell r="F33">
            <v>44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(%)</v>
          </cell>
          <cell r="C34" t="str">
            <v>( 63.6)</v>
          </cell>
          <cell r="D34" t="str">
            <v>( 36.4)</v>
          </cell>
          <cell r="E34" t="str">
            <v>( 0.0)</v>
          </cell>
          <cell r="F34" t="str">
            <v>( 100.0)</v>
          </cell>
          <cell r="G34" t="str">
            <v>( 0.0)</v>
          </cell>
          <cell r="H34" t="str">
            <v>( 0.0)</v>
          </cell>
          <cell r="I34" t="str">
            <v>( 0.0)</v>
          </cell>
          <cell r="J34" t="str">
            <v>( 0.0)</v>
          </cell>
          <cell r="K34" t="str">
            <v>( 0.0)</v>
          </cell>
          <cell r="L34" t="str">
            <v>( 0.0)</v>
          </cell>
          <cell r="M34" t="str">
            <v>( 0.0)</v>
          </cell>
          <cell r="N34" t="str">
            <v>( 0.0)</v>
          </cell>
          <cell r="O34" t="str">
            <v>( 0.0)</v>
          </cell>
          <cell r="P34" t="str">
            <v>( 0.0)</v>
          </cell>
        </row>
        <row r="35">
          <cell r="A35" t="str">
            <v>POOLED</v>
          </cell>
          <cell r="B35">
            <v>79</v>
          </cell>
          <cell r="C35">
            <v>58</v>
          </cell>
          <cell r="D35">
            <v>18</v>
          </cell>
          <cell r="E35">
            <v>0</v>
          </cell>
          <cell r="F35">
            <v>76</v>
          </cell>
          <cell r="G35">
            <v>0</v>
          </cell>
          <cell r="H35">
            <v>0</v>
          </cell>
          <cell r="I35">
            <v>0</v>
          </cell>
          <cell r="J35">
            <v>3</v>
          </cell>
          <cell r="K35">
            <v>3</v>
          </cell>
          <cell r="L35">
            <v>3</v>
          </cell>
          <cell r="M35">
            <v>0</v>
          </cell>
          <cell r="N35">
            <v>0</v>
          </cell>
          <cell r="O35">
            <v>0</v>
          </cell>
          <cell r="P35">
            <v>3</v>
          </cell>
        </row>
        <row r="36">
          <cell r="A36" t="str">
            <v>(%)</v>
          </cell>
          <cell r="C36" t="str">
            <v>( 73.4)</v>
          </cell>
          <cell r="D36" t="str">
            <v>( 22.8)</v>
          </cell>
          <cell r="E36" t="str">
            <v>( 0.0)</v>
          </cell>
          <cell r="F36" t="str">
            <v>( 96.2)</v>
          </cell>
          <cell r="G36" t="str">
            <v>( 0.0)</v>
          </cell>
          <cell r="H36" t="str">
            <v>( 0.0)</v>
          </cell>
          <cell r="I36" t="str">
            <v>( 0.0)</v>
          </cell>
          <cell r="J36" t="str">
            <v>( 3.8)</v>
          </cell>
          <cell r="K36" t="str">
            <v>( 3.8)</v>
          </cell>
          <cell r="L36" t="str">
            <v>( 3.8)</v>
          </cell>
          <cell r="M36" t="str">
            <v>( 0.0)</v>
          </cell>
          <cell r="N36" t="str">
            <v>( 0.0)</v>
          </cell>
          <cell r="O36" t="str">
            <v>( 0.0)</v>
          </cell>
          <cell r="P36" t="str">
            <v>( 3.8)</v>
          </cell>
        </row>
      </sheetData>
      <sheetData sheetId="7"/>
      <sheetData sheetId="8">
        <row r="2">
          <cell r="O2" t="str">
            <v xml:space="preserve"> ANNEX-XI</v>
          </cell>
        </row>
        <row r="3">
          <cell r="A3" t="str">
            <v>DISCREPANCIES IN RECORDING SEED VARIETY PARTICULARS DURING 0 AND 0.</v>
          </cell>
        </row>
        <row r="9">
          <cell r="A9" t="str">
            <v>CENTRAL</v>
          </cell>
          <cell r="B9">
            <v>52</v>
          </cell>
          <cell r="C9">
            <v>38</v>
          </cell>
          <cell r="D9">
            <v>0</v>
          </cell>
          <cell r="E9">
            <v>0</v>
          </cell>
          <cell r="F9">
            <v>38</v>
          </cell>
          <cell r="G9">
            <v>0</v>
          </cell>
          <cell r="H9">
            <v>0</v>
          </cell>
          <cell r="I9">
            <v>0</v>
          </cell>
          <cell r="J9">
            <v>14</v>
          </cell>
          <cell r="K9">
            <v>14</v>
          </cell>
          <cell r="L9">
            <v>14</v>
          </cell>
          <cell r="M9">
            <v>0</v>
          </cell>
          <cell r="N9">
            <v>0</v>
          </cell>
          <cell r="O9">
            <v>0</v>
          </cell>
          <cell r="P9">
            <v>14</v>
          </cell>
        </row>
        <row r="10">
          <cell r="A10" t="str">
            <v>(%)</v>
          </cell>
          <cell r="C10" t="str">
            <v>( 73.1)</v>
          </cell>
          <cell r="D10" t="str">
            <v>( 0.0)</v>
          </cell>
          <cell r="E10" t="str">
            <v>( 0.0)</v>
          </cell>
          <cell r="F10" t="str">
            <v>( 73.1)</v>
          </cell>
          <cell r="G10" t="str">
            <v>( 0.0)</v>
          </cell>
          <cell r="H10" t="str">
            <v>( 0.0)</v>
          </cell>
          <cell r="I10" t="str">
            <v>( 0.0)</v>
          </cell>
          <cell r="J10" t="str">
            <v>( 26.9)</v>
          </cell>
          <cell r="K10" t="str">
            <v>( 26.9)</v>
          </cell>
          <cell r="L10" t="str">
            <v>( 26.9)</v>
          </cell>
          <cell r="M10" t="str">
            <v>( 0.0)</v>
          </cell>
          <cell r="N10" t="str">
            <v>( 0.0)</v>
          </cell>
          <cell r="O10" t="str">
            <v>( 0.0)</v>
          </cell>
          <cell r="P10" t="str">
            <v>( 26.9)</v>
          </cell>
        </row>
        <row r="11">
          <cell r="A11" t="str">
            <v>STATE</v>
          </cell>
          <cell r="B11">
            <v>182</v>
          </cell>
          <cell r="C11">
            <v>174</v>
          </cell>
          <cell r="D11">
            <v>4</v>
          </cell>
          <cell r="E11">
            <v>0</v>
          </cell>
          <cell r="F11">
            <v>178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2</v>
          </cell>
          <cell r="M11">
            <v>0</v>
          </cell>
          <cell r="N11">
            <v>0</v>
          </cell>
          <cell r="O11">
            <v>2</v>
          </cell>
          <cell r="P11">
            <v>4</v>
          </cell>
        </row>
        <row r="12">
          <cell r="A12" t="str">
            <v>(%)</v>
          </cell>
          <cell r="C12" t="str">
            <v>( 95.6)</v>
          </cell>
          <cell r="D12" t="str">
            <v>( 2.2)</v>
          </cell>
          <cell r="E12" t="str">
            <v>( 0.0)</v>
          </cell>
          <cell r="F12" t="str">
            <v>( 97.8)</v>
          </cell>
          <cell r="G12" t="str">
            <v>( 1.1)</v>
          </cell>
          <cell r="H12" t="str">
            <v>( 0.0)</v>
          </cell>
          <cell r="I12" t="str">
            <v>( 0.0)</v>
          </cell>
          <cell r="J12" t="str">
            <v>( 1.1)</v>
          </cell>
          <cell r="K12" t="str">
            <v>( 2.2)</v>
          </cell>
          <cell r="L12" t="str">
            <v>( 1.1)</v>
          </cell>
          <cell r="M12" t="str">
            <v>( 0.0)</v>
          </cell>
          <cell r="N12" t="str">
            <v>( 0.0)</v>
          </cell>
          <cell r="O12" t="str">
            <v>( 1.1)</v>
          </cell>
          <cell r="P12" t="str">
            <v>( 2.2)</v>
          </cell>
        </row>
        <row r="13">
          <cell r="A13" t="str">
            <v>POOLED</v>
          </cell>
          <cell r="B13">
            <v>234</v>
          </cell>
          <cell r="C13">
            <v>212</v>
          </cell>
          <cell r="D13">
            <v>4</v>
          </cell>
          <cell r="E13">
            <v>0</v>
          </cell>
          <cell r="F13">
            <v>216</v>
          </cell>
          <cell r="G13">
            <v>2</v>
          </cell>
          <cell r="H13">
            <v>0</v>
          </cell>
          <cell r="I13">
            <v>0</v>
          </cell>
          <cell r="J13">
            <v>16</v>
          </cell>
          <cell r="K13">
            <v>18</v>
          </cell>
          <cell r="L13">
            <v>16</v>
          </cell>
          <cell r="M13">
            <v>0</v>
          </cell>
          <cell r="N13">
            <v>0</v>
          </cell>
          <cell r="O13">
            <v>2</v>
          </cell>
          <cell r="P13">
            <v>18</v>
          </cell>
        </row>
        <row r="14">
          <cell r="A14" t="str">
            <v>(%)</v>
          </cell>
          <cell r="C14" t="str">
            <v>( 90.6)</v>
          </cell>
          <cell r="D14" t="str">
            <v>( 1.7)</v>
          </cell>
          <cell r="E14" t="str">
            <v>( 0.0)</v>
          </cell>
          <cell r="F14" t="str">
            <v>( 92.3)</v>
          </cell>
          <cell r="G14" t="str">
            <v>( 0.9)</v>
          </cell>
          <cell r="H14" t="str">
            <v>( 0.0)</v>
          </cell>
          <cell r="I14" t="str">
            <v>( 0.0)</v>
          </cell>
          <cell r="J14" t="str">
            <v>( 6.8)</v>
          </cell>
          <cell r="K14" t="str">
            <v>( 7.7)</v>
          </cell>
          <cell r="L14" t="str">
            <v>( 6.8)</v>
          </cell>
          <cell r="M14" t="str">
            <v>( 0.0)</v>
          </cell>
          <cell r="N14" t="str">
            <v>( 0.0)</v>
          </cell>
          <cell r="O14" t="str">
            <v>( 0.9)</v>
          </cell>
          <cell r="P14" t="str">
            <v>( 7.7)</v>
          </cell>
        </row>
        <row r="16">
          <cell r="A16" t="str">
            <v>CENTRAL</v>
          </cell>
          <cell r="B16">
            <v>32</v>
          </cell>
          <cell r="C16">
            <v>20</v>
          </cell>
          <cell r="D16">
            <v>0</v>
          </cell>
          <cell r="E16">
            <v>0</v>
          </cell>
          <cell r="F16">
            <v>20</v>
          </cell>
          <cell r="G16">
            <v>0</v>
          </cell>
          <cell r="H16">
            <v>0</v>
          </cell>
          <cell r="I16">
            <v>0</v>
          </cell>
          <cell r="J16">
            <v>12</v>
          </cell>
          <cell r="K16">
            <v>12</v>
          </cell>
          <cell r="L16">
            <v>12</v>
          </cell>
          <cell r="M16">
            <v>0</v>
          </cell>
          <cell r="N16">
            <v>0</v>
          </cell>
          <cell r="O16">
            <v>0</v>
          </cell>
          <cell r="P16">
            <v>12</v>
          </cell>
        </row>
        <row r="17">
          <cell r="A17" t="str">
            <v>(%)</v>
          </cell>
          <cell r="C17" t="str">
            <v>( 62.5)</v>
          </cell>
          <cell r="D17" t="str">
            <v>( 0.0)</v>
          </cell>
          <cell r="E17" t="str">
            <v>( 0.0)</v>
          </cell>
          <cell r="F17" t="str">
            <v>( 62.5)</v>
          </cell>
          <cell r="G17" t="str">
            <v>( 0.0)</v>
          </cell>
          <cell r="H17" t="str">
            <v>( 0.0)</v>
          </cell>
          <cell r="I17" t="str">
            <v>( 0.0)</v>
          </cell>
          <cell r="J17" t="str">
            <v>( 37.5)</v>
          </cell>
          <cell r="K17" t="str">
            <v>( 37.5)</v>
          </cell>
          <cell r="L17" t="str">
            <v>( 37.5)</v>
          </cell>
          <cell r="M17" t="str">
            <v>( 0.0)</v>
          </cell>
          <cell r="N17" t="str">
            <v>( 0.0)</v>
          </cell>
          <cell r="O17" t="str">
            <v>( 0.0)</v>
          </cell>
          <cell r="P17" t="str">
            <v>( 37.5)</v>
          </cell>
        </row>
        <row r="18">
          <cell r="A18" t="str">
            <v>STATE</v>
          </cell>
          <cell r="B18">
            <v>110</v>
          </cell>
          <cell r="C18">
            <v>84</v>
          </cell>
          <cell r="D18">
            <v>10</v>
          </cell>
          <cell r="E18">
            <v>16</v>
          </cell>
          <cell r="F18">
            <v>110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(%)</v>
          </cell>
          <cell r="C19" t="str">
            <v>( 76.4)</v>
          </cell>
          <cell r="D19" t="str">
            <v>( 9.1)</v>
          </cell>
          <cell r="E19" t="str">
            <v>( 14.5)</v>
          </cell>
          <cell r="F19" t="str">
            <v>( 100.0)</v>
          </cell>
          <cell r="G19" t="str">
            <v>( 0.0)</v>
          </cell>
          <cell r="H19" t="str">
            <v>( 0.0)</v>
          </cell>
          <cell r="I19" t="str">
            <v>( 0.0)</v>
          </cell>
          <cell r="J19" t="str">
            <v>( 0.0)</v>
          </cell>
          <cell r="K19" t="str">
            <v>( 0.0)</v>
          </cell>
          <cell r="L19" t="str">
            <v>( 0.0)</v>
          </cell>
          <cell r="M19" t="str">
            <v>( 0.0)</v>
          </cell>
          <cell r="N19" t="str">
            <v>( 0.0)</v>
          </cell>
          <cell r="O19" t="str">
            <v>( 0.0)</v>
          </cell>
          <cell r="P19" t="str">
            <v>( 0.0)</v>
          </cell>
        </row>
        <row r="20">
          <cell r="A20" t="str">
            <v>POOLED</v>
          </cell>
          <cell r="B20">
            <v>142</v>
          </cell>
          <cell r="C20">
            <v>104</v>
          </cell>
          <cell r="D20">
            <v>10</v>
          </cell>
          <cell r="E20">
            <v>16</v>
          </cell>
          <cell r="F20">
            <v>130</v>
          </cell>
          <cell r="G20">
            <v>0</v>
          </cell>
          <cell r="H20">
            <v>0</v>
          </cell>
          <cell r="I20">
            <v>0</v>
          </cell>
          <cell r="J20">
            <v>12</v>
          </cell>
          <cell r="K20">
            <v>12</v>
          </cell>
          <cell r="L20">
            <v>12</v>
          </cell>
          <cell r="M20">
            <v>0</v>
          </cell>
          <cell r="N20">
            <v>0</v>
          </cell>
          <cell r="O20">
            <v>0</v>
          </cell>
          <cell r="P20">
            <v>12</v>
          </cell>
        </row>
        <row r="21">
          <cell r="A21" t="str">
            <v>(%)</v>
          </cell>
          <cell r="C21" t="str">
            <v>( 73.2)</v>
          </cell>
          <cell r="D21" t="str">
            <v>( 7.0)</v>
          </cell>
          <cell r="E21" t="str">
            <v>( 11.3)</v>
          </cell>
          <cell r="F21" t="str">
            <v>( 91.5)</v>
          </cell>
          <cell r="G21" t="str">
            <v>( 0.0)</v>
          </cell>
          <cell r="H21" t="str">
            <v>( 0.0)</v>
          </cell>
          <cell r="I21" t="str">
            <v>( 0.0)</v>
          </cell>
          <cell r="J21" t="str">
            <v>( 8.5)</v>
          </cell>
          <cell r="K21" t="str">
            <v>( 8.5)</v>
          </cell>
          <cell r="L21" t="str">
            <v>( 8.5)</v>
          </cell>
          <cell r="M21" t="str">
            <v>( 0.0)</v>
          </cell>
          <cell r="N21" t="str">
            <v>( 0.0)</v>
          </cell>
          <cell r="O21" t="str">
            <v>( 0.0)</v>
          </cell>
          <cell r="P21" t="str">
            <v>( 8.5)</v>
          </cell>
        </row>
        <row r="24">
          <cell r="A24" t="str">
            <v>CENTRAL</v>
          </cell>
          <cell r="B24">
            <v>50</v>
          </cell>
          <cell r="C24">
            <v>39</v>
          </cell>
          <cell r="D24">
            <v>8</v>
          </cell>
          <cell r="E24">
            <v>1</v>
          </cell>
          <cell r="F24">
            <v>48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0</v>
          </cell>
          <cell r="M24">
            <v>2</v>
          </cell>
          <cell r="N24">
            <v>0</v>
          </cell>
          <cell r="O24">
            <v>0</v>
          </cell>
          <cell r="P24">
            <v>2</v>
          </cell>
        </row>
        <row r="25">
          <cell r="A25" t="str">
            <v>(%)</v>
          </cell>
          <cell r="C25" t="str">
            <v>( 78.0)</v>
          </cell>
          <cell r="D25" t="str">
            <v>( 16.0)</v>
          </cell>
          <cell r="E25" t="str">
            <v>( 2.0)</v>
          </cell>
          <cell r="F25" t="str">
            <v>( 96.0)</v>
          </cell>
          <cell r="G25" t="str">
            <v>( 2.0)</v>
          </cell>
          <cell r="H25" t="str">
            <v>( 0.0)</v>
          </cell>
          <cell r="I25" t="str">
            <v>( 0.0)</v>
          </cell>
          <cell r="J25" t="str">
            <v>( 2.0)</v>
          </cell>
          <cell r="K25" t="str">
            <v>( 4.0)</v>
          </cell>
          <cell r="L25" t="str">
            <v>( 0.0)</v>
          </cell>
          <cell r="M25" t="str">
            <v>( 4.0)</v>
          </cell>
          <cell r="N25" t="str">
            <v>( 0.0)</v>
          </cell>
          <cell r="O25" t="str">
            <v>( 0.0)</v>
          </cell>
          <cell r="P25" t="str">
            <v>( 4.0)</v>
          </cell>
        </row>
        <row r="26">
          <cell r="A26" t="str">
            <v>STATE</v>
          </cell>
          <cell r="B26">
            <v>37</v>
          </cell>
          <cell r="C26">
            <v>37</v>
          </cell>
          <cell r="D26">
            <v>0</v>
          </cell>
          <cell r="E26">
            <v>0</v>
          </cell>
          <cell r="F26">
            <v>37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(%)</v>
          </cell>
          <cell r="C27" t="str">
            <v>( 100.0)</v>
          </cell>
          <cell r="D27" t="str">
            <v>( 0.0)</v>
          </cell>
          <cell r="E27" t="str">
            <v>( 0.0)</v>
          </cell>
          <cell r="F27" t="str">
            <v>( 100.0)</v>
          </cell>
          <cell r="G27" t="str">
            <v>( 0.0)</v>
          </cell>
          <cell r="H27" t="str">
            <v>( 0.0)</v>
          </cell>
          <cell r="I27" t="str">
            <v>( 0.0)</v>
          </cell>
          <cell r="J27" t="str">
            <v>( 0.0)</v>
          </cell>
          <cell r="K27" t="str">
            <v>( 0.0)</v>
          </cell>
          <cell r="L27" t="str">
            <v>( 0.0)</v>
          </cell>
          <cell r="M27" t="str">
            <v>( 0.0)</v>
          </cell>
          <cell r="N27" t="str">
            <v>( 0.0)</v>
          </cell>
          <cell r="O27" t="str">
            <v>( 0.0)</v>
          </cell>
          <cell r="P27" t="str">
            <v>( 0.0)</v>
          </cell>
        </row>
        <row r="28">
          <cell r="A28" t="str">
            <v>POOLED</v>
          </cell>
          <cell r="B28">
            <v>87</v>
          </cell>
          <cell r="C28">
            <v>76</v>
          </cell>
          <cell r="D28">
            <v>8</v>
          </cell>
          <cell r="E28">
            <v>1</v>
          </cell>
          <cell r="F28">
            <v>85</v>
          </cell>
          <cell r="G28">
            <v>1</v>
          </cell>
          <cell r="H28">
            <v>0</v>
          </cell>
          <cell r="I28">
            <v>0</v>
          </cell>
          <cell r="J28">
            <v>1</v>
          </cell>
          <cell r="K28">
            <v>2</v>
          </cell>
          <cell r="L28">
            <v>0</v>
          </cell>
          <cell r="M28">
            <v>2</v>
          </cell>
          <cell r="N28">
            <v>0</v>
          </cell>
          <cell r="O28">
            <v>0</v>
          </cell>
          <cell r="P28">
            <v>2</v>
          </cell>
        </row>
        <row r="29">
          <cell r="A29" t="str">
            <v>(%)</v>
          </cell>
          <cell r="C29" t="str">
            <v>( 87.4)</v>
          </cell>
          <cell r="D29" t="str">
            <v>( 9.2)</v>
          </cell>
          <cell r="E29" t="str">
            <v>( 1.1)</v>
          </cell>
          <cell r="F29" t="str">
            <v>( 97.7)</v>
          </cell>
          <cell r="G29" t="str">
            <v>( 1.1)</v>
          </cell>
          <cell r="H29" t="str">
            <v>( 0.0)</v>
          </cell>
          <cell r="I29" t="str">
            <v>( 0.0)</v>
          </cell>
          <cell r="J29" t="str">
            <v>( 1.1)</v>
          </cell>
          <cell r="K29" t="str">
            <v>( 2.3)</v>
          </cell>
          <cell r="L29" t="str">
            <v>( 0.0)</v>
          </cell>
          <cell r="M29" t="str">
            <v>( 2.3)</v>
          </cell>
          <cell r="N29" t="str">
            <v>( 0.0)</v>
          </cell>
          <cell r="O29" t="str">
            <v>( 0.0)</v>
          </cell>
          <cell r="P29" t="str">
            <v>( 2.3)</v>
          </cell>
        </row>
        <row r="31">
          <cell r="A31" t="str">
            <v>CENTRAL</v>
          </cell>
          <cell r="B31">
            <v>35</v>
          </cell>
          <cell r="C31">
            <v>30</v>
          </cell>
          <cell r="D31">
            <v>4</v>
          </cell>
          <cell r="E31">
            <v>0</v>
          </cell>
          <cell r="F31">
            <v>34</v>
          </cell>
          <cell r="G31">
            <v>0</v>
          </cell>
          <cell r="H31">
            <v>0</v>
          </cell>
          <cell r="I31">
            <v>0</v>
          </cell>
          <cell r="J31">
            <v>1</v>
          </cell>
          <cell r="K31">
            <v>1</v>
          </cell>
          <cell r="L31">
            <v>1</v>
          </cell>
          <cell r="M31">
            <v>0</v>
          </cell>
          <cell r="N31">
            <v>0</v>
          </cell>
          <cell r="O31">
            <v>0</v>
          </cell>
          <cell r="P31">
            <v>1</v>
          </cell>
        </row>
        <row r="32">
          <cell r="A32" t="str">
            <v>(%)</v>
          </cell>
          <cell r="C32" t="str">
            <v>( 85.7)</v>
          </cell>
          <cell r="D32" t="str">
            <v>( 11.4)</v>
          </cell>
          <cell r="E32" t="str">
            <v>( 0.0)</v>
          </cell>
          <cell r="F32" t="str">
            <v>( 97.1)</v>
          </cell>
          <cell r="G32" t="str">
            <v>( 0.0)</v>
          </cell>
          <cell r="H32" t="str">
            <v>( 0.0)</v>
          </cell>
          <cell r="I32" t="str">
            <v>( 0.0)</v>
          </cell>
          <cell r="J32" t="str">
            <v>( 2.9)</v>
          </cell>
          <cell r="K32" t="str">
            <v>( 2.9)</v>
          </cell>
          <cell r="L32" t="str">
            <v>( 2.9)</v>
          </cell>
          <cell r="M32" t="str">
            <v>( 0.0)</v>
          </cell>
          <cell r="N32" t="str">
            <v>( 0.0)</v>
          </cell>
          <cell r="O32" t="str">
            <v>( 0.0)</v>
          </cell>
          <cell r="P32" t="str">
            <v>( 2.9)</v>
          </cell>
        </row>
        <row r="33">
          <cell r="A33" t="str">
            <v>STATE</v>
          </cell>
          <cell r="B33">
            <v>44</v>
          </cell>
          <cell r="C33">
            <v>31</v>
          </cell>
          <cell r="D33">
            <v>13</v>
          </cell>
          <cell r="E33">
            <v>0</v>
          </cell>
          <cell r="F33">
            <v>44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(%)</v>
          </cell>
          <cell r="C34" t="str">
            <v>( 70.5)</v>
          </cell>
          <cell r="D34" t="str">
            <v>( 29.5)</v>
          </cell>
          <cell r="E34" t="str">
            <v>( 0.0)</v>
          </cell>
          <cell r="F34" t="str">
            <v>( 100.0)</v>
          </cell>
          <cell r="G34" t="str">
            <v>( 0.0)</v>
          </cell>
          <cell r="H34" t="str">
            <v>( 0.0)</v>
          </cell>
          <cell r="I34" t="str">
            <v>( 0.0)</v>
          </cell>
          <cell r="J34" t="str">
            <v>( 0.0)</v>
          </cell>
          <cell r="K34" t="str">
            <v>( 0.0)</v>
          </cell>
          <cell r="L34" t="str">
            <v>( 0.0)</v>
          </cell>
          <cell r="M34" t="str">
            <v>( 0.0)</v>
          </cell>
          <cell r="N34" t="str">
            <v>( 0.0)</v>
          </cell>
          <cell r="O34" t="str">
            <v>( 0.0)</v>
          </cell>
          <cell r="P34" t="str">
            <v>( 0.0)</v>
          </cell>
        </row>
        <row r="35">
          <cell r="A35" t="str">
            <v>POOLED</v>
          </cell>
          <cell r="B35">
            <v>79</v>
          </cell>
          <cell r="C35">
            <v>61</v>
          </cell>
          <cell r="D35">
            <v>17</v>
          </cell>
          <cell r="E35">
            <v>0</v>
          </cell>
          <cell r="F35">
            <v>78</v>
          </cell>
          <cell r="G35">
            <v>0</v>
          </cell>
          <cell r="H35">
            <v>0</v>
          </cell>
          <cell r="I35">
            <v>0</v>
          </cell>
          <cell r="J35">
            <v>1</v>
          </cell>
          <cell r="K35">
            <v>1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1</v>
          </cell>
        </row>
        <row r="36">
          <cell r="A36" t="str">
            <v>(%)</v>
          </cell>
          <cell r="C36" t="str">
            <v>( 77.2)</v>
          </cell>
          <cell r="D36" t="str">
            <v>( 21.5)</v>
          </cell>
          <cell r="E36" t="str">
            <v>( 0.0)</v>
          </cell>
          <cell r="F36" t="str">
            <v>( 98.7)</v>
          </cell>
          <cell r="G36" t="str">
            <v>( 0.0)</v>
          </cell>
          <cell r="H36" t="str">
            <v>( 0.0)</v>
          </cell>
          <cell r="I36" t="str">
            <v>( 0.0)</v>
          </cell>
          <cell r="J36" t="str">
            <v>( 1.3)</v>
          </cell>
          <cell r="K36" t="str">
            <v>( 1.3)</v>
          </cell>
          <cell r="L36" t="str">
            <v>( 1.3)</v>
          </cell>
          <cell r="M36" t="str">
            <v>( 0.0)</v>
          </cell>
          <cell r="N36" t="str">
            <v>( 0.0)</v>
          </cell>
          <cell r="O36" t="str">
            <v>( 0.0)</v>
          </cell>
          <cell r="P36" t="str">
            <v>( 1.3)</v>
          </cell>
        </row>
      </sheetData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8"/>
      <sheetName val="Annex-10"/>
      <sheetName val="Annex-12"/>
      <sheetName val="Annex-8,10,12"/>
    </sheetNames>
    <sheetDataSet>
      <sheetData sheetId="0"/>
      <sheetData sheetId="1"/>
      <sheetData sheetId="2"/>
      <sheetData sheetId="3"/>
      <sheetData sheetId="4">
        <row r="3">
          <cell r="A3" t="str">
            <v>STATE:PUDUCHERRY</v>
          </cell>
          <cell r="G3" t="str">
            <v>ANNEX-VIII</v>
          </cell>
        </row>
        <row r="4">
          <cell r="A4" t="str">
            <v>IMPACT OF DISCREPANCIES IN RECORDING AREA UNDER CROPS DURING 0 AND 0.</v>
          </cell>
        </row>
        <row r="5">
          <cell r="A5" t="str">
            <v>SEASON / CROP</v>
          </cell>
          <cell r="B5" t="str">
            <v xml:space="preserve">AREA IN HECTARES AS OBSERVED IN SAMPLE CLUSTERS </v>
          </cell>
        </row>
        <row r="6">
          <cell r="B6" t="str">
            <v>CENTRAL SAMPLE</v>
          </cell>
          <cell r="D6" t="str">
            <v>STATE SAMPLE</v>
          </cell>
          <cell r="F6" t="str">
            <v>POOLED SAMPLE</v>
          </cell>
        </row>
        <row r="7">
          <cell r="B7" t="str">
            <v xml:space="preserve">AS PER SUPERVISOR </v>
          </cell>
          <cell r="C7" t="str">
            <v>AS PER PATWARI</v>
          </cell>
          <cell r="D7" t="str">
            <v xml:space="preserve">AS PER SUPERVISOR </v>
          </cell>
          <cell r="E7" t="str">
            <v>AS PER PATWARI</v>
          </cell>
        </row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I8" t="str">
            <v>(8)</v>
          </cell>
        </row>
        <row r="10">
          <cell r="B10">
            <v>4.4590000000000005</v>
          </cell>
          <cell r="C10">
            <v>4.5890000000000004</v>
          </cell>
          <cell r="D10">
            <v>15.619200000000001</v>
          </cell>
          <cell r="E10">
            <v>15.509200000000002</v>
          </cell>
          <cell r="F10">
            <v>20.078200000000002</v>
          </cell>
          <cell r="G10">
            <v>20.098200000000002</v>
          </cell>
          <cell r="H10">
            <v>9.9610522855632336E-2</v>
          </cell>
        </row>
        <row r="11">
          <cell r="B11">
            <v>1.7258</v>
          </cell>
          <cell r="C11">
            <v>2.5932999999999997</v>
          </cell>
          <cell r="D11">
            <v>5.8896999999999995</v>
          </cell>
          <cell r="E11">
            <v>5.9897</v>
          </cell>
          <cell r="F11">
            <v>7.615499999999999</v>
          </cell>
          <cell r="G11">
            <v>8.5830000000000002</v>
          </cell>
          <cell r="H11">
            <v>12.704352964349042</v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</row>
        <row r="26">
          <cell r="B26">
            <v>2.5000000000000001E-2</v>
          </cell>
          <cell r="C26">
            <v>2.5000000000000001E-2</v>
          </cell>
          <cell r="D26">
            <v>8.7850000000000001</v>
          </cell>
          <cell r="E26">
            <v>8.6000000000000014</v>
          </cell>
          <cell r="F26">
            <v>8.81</v>
          </cell>
          <cell r="G26">
            <v>8.6250000000000018</v>
          </cell>
          <cell r="H26">
            <v>-2.099886492622006</v>
          </cell>
        </row>
        <row r="27">
          <cell r="B27">
            <v>1.77</v>
          </cell>
          <cell r="C27">
            <v>2.6174999999999997</v>
          </cell>
          <cell r="D27">
            <v>4.4943</v>
          </cell>
          <cell r="E27">
            <v>4.4943</v>
          </cell>
          <cell r="F27">
            <v>6.2643000000000004</v>
          </cell>
          <cell r="G27">
            <v>7.1117999999999997</v>
          </cell>
          <cell r="H27">
            <v>13.529045543795784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</row>
        <row r="42">
          <cell r="B42">
            <v>26.544999999999998</v>
          </cell>
          <cell r="C42">
            <v>26.625</v>
          </cell>
          <cell r="D42">
            <v>7.6480000000000006</v>
          </cell>
          <cell r="E42">
            <v>7.5430000000000001</v>
          </cell>
          <cell r="F42">
            <v>34.192999999999998</v>
          </cell>
          <cell r="G42">
            <v>34.167999999999999</v>
          </cell>
          <cell r="H42">
            <v>-7.3114380136281049E-2</v>
          </cell>
        </row>
        <row r="43">
          <cell r="B43">
            <v>3.2949999999999999</v>
          </cell>
          <cell r="C43">
            <v>3.0249999999999999</v>
          </cell>
          <cell r="D43">
            <v>3.3839000000000001</v>
          </cell>
          <cell r="E43">
            <v>3.3839000000000001</v>
          </cell>
          <cell r="F43">
            <v>6.6789000000000005</v>
          </cell>
          <cell r="G43">
            <v>6.4089</v>
          </cell>
          <cell r="H43">
            <v>-4.0425818622827174</v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</row>
        <row r="58">
          <cell r="B58">
            <v>9.52</v>
          </cell>
          <cell r="C58">
            <v>9.52</v>
          </cell>
          <cell r="D58">
            <v>3.1732</v>
          </cell>
          <cell r="E58">
            <v>3.1732</v>
          </cell>
          <cell r="F58">
            <v>12.693199999999999</v>
          </cell>
          <cell r="G58">
            <v>12.693199999999999</v>
          </cell>
          <cell r="H58">
            <v>0</v>
          </cell>
        </row>
        <row r="59">
          <cell r="B59">
            <v>2.5300000000000002</v>
          </cell>
          <cell r="C59">
            <v>2.5300000000000002</v>
          </cell>
          <cell r="D59">
            <v>2.8889000000000005</v>
          </cell>
          <cell r="E59">
            <v>2.8089000000000004</v>
          </cell>
          <cell r="F59">
            <v>5.4189000000000007</v>
          </cell>
          <cell r="G59">
            <v>5.3389000000000006</v>
          </cell>
          <cell r="H59">
            <v>-1.4763143811474664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</row>
        <row r="73">
          <cell r="A73" t="str">
            <v># NOT COMPARABLE AS THE IMPACT IS 100% OR MORE</v>
          </cell>
        </row>
      </sheetData>
      <sheetData sheetId="5">
        <row r="3">
          <cell r="J3" t="str">
            <v>ANNEX-X</v>
          </cell>
        </row>
        <row r="4">
          <cell r="A4" t="str">
            <v>IMPACT OF DISCREPANCIES IN RECORDING AREA UNDER CROPS(IRRIGATED) DURING 0 AND 0.</v>
          </cell>
        </row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H8" t="str">
            <v>(8)</v>
          </cell>
          <cell r="I8" t="str">
            <v>(9)</v>
          </cell>
          <cell r="J8" t="str">
            <v>(10)</v>
          </cell>
          <cell r="L8" t="str">
            <v>(11)</v>
          </cell>
        </row>
        <row r="10">
          <cell r="B10">
            <v>3</v>
          </cell>
          <cell r="C10">
            <v>4.4590000000000005</v>
          </cell>
          <cell r="D10">
            <v>4.5890000000000004</v>
          </cell>
          <cell r="E10">
            <v>8</v>
          </cell>
          <cell r="F10">
            <v>15.619200000000001</v>
          </cell>
          <cell r="G10">
            <v>15.509200000000002</v>
          </cell>
          <cell r="H10">
            <v>11</v>
          </cell>
          <cell r="I10">
            <v>20.078200000000002</v>
          </cell>
          <cell r="J10">
            <v>20.098200000000002</v>
          </cell>
          <cell r="K10">
            <v>9.9610522855632336E-2</v>
          </cell>
        </row>
        <row r="11">
          <cell r="B11">
            <v>4</v>
          </cell>
          <cell r="C11">
            <v>1.7258</v>
          </cell>
          <cell r="D11">
            <v>2.5907999999999998</v>
          </cell>
          <cell r="E11">
            <v>7</v>
          </cell>
          <cell r="F11">
            <v>5.7235999999999994</v>
          </cell>
          <cell r="G11">
            <v>5.8235999999999999</v>
          </cell>
          <cell r="H11">
            <v>11</v>
          </cell>
          <cell r="I11">
            <v>7.4493999999999989</v>
          </cell>
          <cell r="J11">
            <v>8.4144000000000005</v>
          </cell>
          <cell r="K11">
            <v>12.954063414503207</v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6">
          <cell r="B26">
            <v>1</v>
          </cell>
          <cell r="C26">
            <v>2.5000000000000001E-2</v>
          </cell>
          <cell r="D26">
            <v>2.5000000000000001E-2</v>
          </cell>
          <cell r="E26">
            <v>5</v>
          </cell>
          <cell r="F26">
            <v>8.7850000000000001</v>
          </cell>
          <cell r="G26">
            <v>8.6000000000000014</v>
          </cell>
          <cell r="H26">
            <v>6</v>
          </cell>
          <cell r="I26">
            <v>8.81</v>
          </cell>
          <cell r="J26">
            <v>8.6250000000000018</v>
          </cell>
          <cell r="K26">
            <v>-2.099886492622006</v>
          </cell>
        </row>
        <row r="27">
          <cell r="B27">
            <v>4</v>
          </cell>
          <cell r="C27">
            <v>1.77</v>
          </cell>
          <cell r="D27">
            <v>2.6149999999999998</v>
          </cell>
          <cell r="E27">
            <v>7</v>
          </cell>
          <cell r="F27">
            <v>3.5893999999999999</v>
          </cell>
          <cell r="G27">
            <v>3.5893999999999999</v>
          </cell>
          <cell r="H27">
            <v>11</v>
          </cell>
          <cell r="I27">
            <v>5.3593999999999999</v>
          </cell>
          <cell r="J27">
            <v>6.2043999999999997</v>
          </cell>
          <cell r="K27">
            <v>15.766690301153108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2">
          <cell r="B42">
            <v>7</v>
          </cell>
          <cell r="C42">
            <v>26.43</v>
          </cell>
          <cell r="D42">
            <v>26.51</v>
          </cell>
          <cell r="E42">
            <v>7</v>
          </cell>
          <cell r="F42">
            <v>7.6480000000000006</v>
          </cell>
          <cell r="G42">
            <v>7.5430000000000001</v>
          </cell>
          <cell r="H42">
            <v>14</v>
          </cell>
          <cell r="I42">
            <v>34.078000000000003</v>
          </cell>
          <cell r="J42">
            <v>34.053000000000004</v>
          </cell>
          <cell r="K42">
            <v>-7.3361112741353887E-2</v>
          </cell>
        </row>
        <row r="43">
          <cell r="B43">
            <v>3</v>
          </cell>
          <cell r="C43">
            <v>3.2949999999999999</v>
          </cell>
          <cell r="D43">
            <v>3.0249999999999999</v>
          </cell>
          <cell r="E43">
            <v>3</v>
          </cell>
          <cell r="F43">
            <v>2.6339000000000001</v>
          </cell>
          <cell r="G43">
            <v>2.6339000000000001</v>
          </cell>
          <cell r="H43">
            <v>6</v>
          </cell>
          <cell r="I43">
            <v>5.9289000000000005</v>
          </cell>
          <cell r="J43">
            <v>5.6589</v>
          </cell>
          <cell r="K43">
            <v>-4.553964479077071</v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8">
          <cell r="B58">
            <v>5</v>
          </cell>
          <cell r="C58">
            <v>8.6449999999999996</v>
          </cell>
          <cell r="D58">
            <v>8.7949999999999999</v>
          </cell>
          <cell r="E58">
            <v>2</v>
          </cell>
          <cell r="F58">
            <v>2.4632000000000001</v>
          </cell>
          <cell r="G58">
            <v>2.4632000000000001</v>
          </cell>
          <cell r="H58">
            <v>7</v>
          </cell>
          <cell r="I58">
            <v>11.1082</v>
          </cell>
          <cell r="J58">
            <v>11.2582</v>
          </cell>
          <cell r="K58">
            <v>1.3503537926936888</v>
          </cell>
        </row>
        <row r="59">
          <cell r="B59">
            <v>4</v>
          </cell>
          <cell r="C59">
            <v>2.5300000000000002</v>
          </cell>
          <cell r="D59">
            <v>2.5300000000000002</v>
          </cell>
          <cell r="E59">
            <v>3</v>
          </cell>
          <cell r="F59">
            <v>1.7389000000000001</v>
          </cell>
          <cell r="G59">
            <v>1.7389000000000001</v>
          </cell>
          <cell r="H59">
            <v>7</v>
          </cell>
          <cell r="I59">
            <v>4.2689000000000004</v>
          </cell>
          <cell r="J59">
            <v>4.2689000000000004</v>
          </cell>
          <cell r="K59">
            <v>0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</sheetData>
      <sheetData sheetId="6">
        <row r="3">
          <cell r="J3" t="str">
            <v>ANNEX-XII</v>
          </cell>
        </row>
        <row r="4">
          <cell r="A4" t="str">
            <v>IMPACT OF DISCREPANCIES IN RECORDING AREA UNDER CROPS(HIGH YIELDING VARIETY OF SEEDS) DURING 0 AND 0.</v>
          </cell>
        </row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H8" t="str">
            <v>(8)</v>
          </cell>
          <cell r="I8" t="str">
            <v>(9)</v>
          </cell>
          <cell r="J8" t="str">
            <v>(10)</v>
          </cell>
          <cell r="L8" t="str">
            <v>(11)</v>
          </cell>
        </row>
        <row r="10">
          <cell r="B10">
            <v>3</v>
          </cell>
          <cell r="C10">
            <v>4.4590000000000005</v>
          </cell>
          <cell r="D10">
            <v>4.5890000000000004</v>
          </cell>
          <cell r="E10">
            <v>8</v>
          </cell>
          <cell r="F10">
            <v>15.619200000000001</v>
          </cell>
          <cell r="G10">
            <v>15.509200000000002</v>
          </cell>
          <cell r="H10">
            <v>11</v>
          </cell>
          <cell r="I10">
            <v>20.078200000000002</v>
          </cell>
          <cell r="J10">
            <v>20.098200000000002</v>
          </cell>
          <cell r="K10">
            <v>9.9610522855632336E-2</v>
          </cell>
        </row>
        <row r="11">
          <cell r="B11">
            <v>4</v>
          </cell>
          <cell r="C11">
            <v>1.7258</v>
          </cell>
          <cell r="D11">
            <v>2.5932999999999997</v>
          </cell>
          <cell r="E11">
            <v>6</v>
          </cell>
          <cell r="F11">
            <v>5.8296999999999999</v>
          </cell>
          <cell r="G11">
            <v>5.9297000000000004</v>
          </cell>
          <cell r="H11">
            <v>10</v>
          </cell>
          <cell r="I11">
            <v>7.5555000000000003</v>
          </cell>
          <cell r="J11">
            <v>8.5229999999999997</v>
          </cell>
          <cell r="K11">
            <v>12.805241215008925</v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6">
          <cell r="B26">
            <v>1</v>
          </cell>
          <cell r="C26">
            <v>2.5000000000000001E-2</v>
          </cell>
          <cell r="D26">
            <v>2.5000000000000001E-2</v>
          </cell>
          <cell r="E26">
            <v>5</v>
          </cell>
          <cell r="F26">
            <v>8.7850000000000001</v>
          </cell>
          <cell r="G26">
            <v>8.6000000000000014</v>
          </cell>
          <cell r="H26">
            <v>6</v>
          </cell>
          <cell r="I26">
            <v>8.81</v>
          </cell>
          <cell r="J26">
            <v>8.6250000000000018</v>
          </cell>
          <cell r="K26">
            <v>-2.099886492622006</v>
          </cell>
        </row>
        <row r="27">
          <cell r="B27">
            <v>4</v>
          </cell>
          <cell r="C27">
            <v>1.77</v>
          </cell>
          <cell r="D27">
            <v>2.6174999999999997</v>
          </cell>
          <cell r="E27">
            <v>6</v>
          </cell>
          <cell r="F27">
            <v>3.5823999999999998</v>
          </cell>
          <cell r="G27">
            <v>3.5823999999999998</v>
          </cell>
          <cell r="H27">
            <v>10</v>
          </cell>
          <cell r="I27">
            <v>5.3523999999999994</v>
          </cell>
          <cell r="J27">
            <v>6.1998999999999995</v>
          </cell>
          <cell r="K27">
            <v>15.834018384276217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2">
          <cell r="B42">
            <v>7</v>
          </cell>
          <cell r="C42">
            <v>22.645</v>
          </cell>
          <cell r="D42">
            <v>22.725000000000001</v>
          </cell>
          <cell r="E42">
            <v>7</v>
          </cell>
          <cell r="F42">
            <v>7.6480000000000006</v>
          </cell>
          <cell r="G42">
            <v>7.5430000000000001</v>
          </cell>
          <cell r="H42">
            <v>14</v>
          </cell>
          <cell r="I42">
            <v>30.292999999999999</v>
          </cell>
          <cell r="J42">
            <v>30.268000000000001</v>
          </cell>
          <cell r="K42">
            <v>-8.2527316541770632E-2</v>
          </cell>
        </row>
        <row r="43">
          <cell r="B43">
            <v>2</v>
          </cell>
          <cell r="C43">
            <v>0.88</v>
          </cell>
          <cell r="D43">
            <v>0.88</v>
          </cell>
          <cell r="E43">
            <v>3</v>
          </cell>
          <cell r="F43">
            <v>3.3839000000000001</v>
          </cell>
          <cell r="G43">
            <v>3.3839000000000001</v>
          </cell>
          <cell r="H43">
            <v>5</v>
          </cell>
          <cell r="I43">
            <v>4.2639000000000005</v>
          </cell>
          <cell r="J43">
            <v>4.2639000000000005</v>
          </cell>
          <cell r="K43">
            <v>0</v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8">
          <cell r="B58">
            <v>5</v>
          </cell>
          <cell r="C58">
            <v>8.6449999999999996</v>
          </cell>
          <cell r="D58">
            <v>8.7949999999999999</v>
          </cell>
          <cell r="E58">
            <v>2</v>
          </cell>
          <cell r="F58">
            <v>2.4632000000000001</v>
          </cell>
          <cell r="G58">
            <v>2.4632000000000001</v>
          </cell>
          <cell r="H58">
            <v>7</v>
          </cell>
          <cell r="I58">
            <v>11.1082</v>
          </cell>
          <cell r="J58">
            <v>11.2582</v>
          </cell>
          <cell r="K58">
            <v>1.3503537926936888</v>
          </cell>
        </row>
        <row r="59">
          <cell r="B59">
            <v>3</v>
          </cell>
          <cell r="C59">
            <v>1.6800000000000002</v>
          </cell>
          <cell r="D59">
            <v>1.6800000000000002</v>
          </cell>
          <cell r="E59">
            <v>4</v>
          </cell>
          <cell r="F59">
            <v>2.3939000000000004</v>
          </cell>
          <cell r="G59">
            <v>2.3139000000000003</v>
          </cell>
          <cell r="H59">
            <v>7</v>
          </cell>
          <cell r="I59">
            <v>4.0739000000000001</v>
          </cell>
          <cell r="J59">
            <v>3.9939000000000004</v>
          </cell>
          <cell r="K59">
            <v>-1.9637202680478074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</sheetData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</sheetNames>
    <sheetDataSet>
      <sheetData sheetId="0"/>
      <sheetData sheetId="1">
        <row r="2">
          <cell r="A2" t="str">
            <v>PUDUCHERRY</v>
          </cell>
        </row>
        <row r="7">
          <cell r="A7" t="str">
            <v>PADDY</v>
          </cell>
          <cell r="C7" t="str">
            <v>PADDY</v>
          </cell>
        </row>
        <row r="8">
          <cell r="A8" t="str">
            <v>OTHERS</v>
          </cell>
          <cell r="C8" t="str">
            <v>OTHERS</v>
          </cell>
        </row>
        <row r="9">
          <cell r="A9"/>
          <cell r="C9"/>
        </row>
        <row r="10">
          <cell r="A10"/>
          <cell r="C10"/>
        </row>
        <row r="11">
          <cell r="A11"/>
          <cell r="C11"/>
        </row>
        <row r="12">
          <cell r="A12"/>
          <cell r="C12"/>
        </row>
        <row r="13">
          <cell r="A13"/>
          <cell r="C13"/>
        </row>
        <row r="14">
          <cell r="A14"/>
          <cell r="C14"/>
        </row>
        <row r="15">
          <cell r="A15"/>
          <cell r="C15"/>
        </row>
        <row r="16">
          <cell r="A16"/>
          <cell r="C16"/>
        </row>
        <row r="17">
          <cell r="A17"/>
          <cell r="C17"/>
        </row>
        <row r="18">
          <cell r="A18"/>
          <cell r="C18"/>
        </row>
        <row r="19">
          <cell r="A19"/>
          <cell r="C19"/>
        </row>
        <row r="20">
          <cell r="A20"/>
          <cell r="C20"/>
        </row>
        <row r="21">
          <cell r="A21"/>
          <cell r="C21"/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19"/>
      <sheetName val="Annex-20"/>
      <sheetName val="Annex-21"/>
      <sheetName val="Annex-22"/>
      <sheetName val="Annex-23"/>
      <sheetName val="Annex-24"/>
    </sheetNames>
    <sheetDataSet>
      <sheetData sheetId="0"/>
      <sheetData sheetId="1"/>
      <sheetData sheetId="2">
        <row r="2">
          <cell r="A2" t="str">
            <v>PUDUCHERRY</v>
          </cell>
        </row>
        <row r="5">
          <cell r="C5" t="str">
            <v>RABI II</v>
          </cell>
        </row>
        <row r="7">
          <cell r="A7" t="str">
            <v>PADDY</v>
          </cell>
          <cell r="C7" t="str">
            <v>PADDY</v>
          </cell>
        </row>
        <row r="8">
          <cell r="A8">
            <v>0</v>
          </cell>
          <cell r="C8">
            <v>0</v>
          </cell>
        </row>
        <row r="9">
          <cell r="A9">
            <v>0</v>
          </cell>
          <cell r="C9">
            <v>0</v>
          </cell>
        </row>
        <row r="10">
          <cell r="A10">
            <v>0</v>
          </cell>
          <cell r="C10">
            <v>0</v>
          </cell>
        </row>
        <row r="11">
          <cell r="A11">
            <v>0</v>
          </cell>
          <cell r="C11">
            <v>0</v>
          </cell>
        </row>
        <row r="12">
          <cell r="A12">
            <v>0</v>
          </cell>
          <cell r="C12">
            <v>0</v>
          </cell>
        </row>
        <row r="13">
          <cell r="A13">
            <v>0</v>
          </cell>
          <cell r="C13">
            <v>0</v>
          </cell>
        </row>
        <row r="14">
          <cell r="A14">
            <v>0</v>
          </cell>
          <cell r="C14">
            <v>0</v>
          </cell>
        </row>
        <row r="15">
          <cell r="A15">
            <v>0</v>
          </cell>
          <cell r="C15">
            <v>0</v>
          </cell>
        </row>
        <row r="16">
          <cell r="A16">
            <v>0</v>
          </cell>
          <cell r="C16">
            <v>0</v>
          </cell>
        </row>
        <row r="17">
          <cell r="A17">
            <v>0</v>
          </cell>
          <cell r="C17">
            <v>0</v>
          </cell>
        </row>
        <row r="18">
          <cell r="A18">
            <v>0</v>
          </cell>
          <cell r="C18">
            <v>0</v>
          </cell>
        </row>
        <row r="19">
          <cell r="A19">
            <v>0</v>
          </cell>
          <cell r="C19">
            <v>0</v>
          </cell>
        </row>
        <row r="20">
          <cell r="A20">
            <v>0</v>
          </cell>
          <cell r="C20">
            <v>0</v>
          </cell>
        </row>
        <row r="21">
          <cell r="A21">
            <v>0</v>
          </cell>
          <cell r="C21">
            <v>0</v>
          </cell>
        </row>
      </sheetData>
      <sheetData sheetId="3">
        <row r="3">
          <cell r="B3">
            <v>0</v>
          </cell>
        </row>
        <row r="5">
          <cell r="C5" t="str">
            <v>RABI II</v>
          </cell>
        </row>
        <row r="7">
          <cell r="A7" t="str">
            <v>PADDY</v>
          </cell>
          <cell r="C7" t="str">
            <v>PADDY</v>
          </cell>
        </row>
        <row r="8">
          <cell r="A8">
            <v>0</v>
          </cell>
          <cell r="C8">
            <v>0</v>
          </cell>
        </row>
        <row r="9">
          <cell r="A9">
            <v>0</v>
          </cell>
          <cell r="C9">
            <v>0</v>
          </cell>
        </row>
        <row r="10">
          <cell r="A10">
            <v>0</v>
          </cell>
          <cell r="C10">
            <v>0</v>
          </cell>
        </row>
        <row r="11">
          <cell r="A11">
            <v>0</v>
          </cell>
          <cell r="C11">
            <v>0</v>
          </cell>
        </row>
        <row r="12">
          <cell r="A12">
            <v>0</v>
          </cell>
          <cell r="C12">
            <v>0</v>
          </cell>
        </row>
        <row r="13">
          <cell r="A13">
            <v>0</v>
          </cell>
          <cell r="C13">
            <v>0</v>
          </cell>
        </row>
        <row r="14">
          <cell r="A14">
            <v>0</v>
          </cell>
          <cell r="C14">
            <v>0</v>
          </cell>
        </row>
        <row r="15">
          <cell r="A15">
            <v>0</v>
          </cell>
          <cell r="C15">
            <v>0</v>
          </cell>
        </row>
        <row r="16">
          <cell r="A16">
            <v>0</v>
          </cell>
          <cell r="C16">
            <v>0</v>
          </cell>
        </row>
        <row r="17">
          <cell r="A17">
            <v>0</v>
          </cell>
          <cell r="C17">
            <v>0</v>
          </cell>
        </row>
        <row r="18">
          <cell r="A18">
            <v>0</v>
          </cell>
          <cell r="C18">
            <v>0</v>
          </cell>
        </row>
        <row r="19">
          <cell r="A19">
            <v>0</v>
          </cell>
          <cell r="C19">
            <v>0</v>
          </cell>
        </row>
        <row r="20">
          <cell r="A20">
            <v>0</v>
          </cell>
          <cell r="C20">
            <v>0</v>
          </cell>
        </row>
        <row r="21">
          <cell r="A21">
            <v>0</v>
          </cell>
          <cell r="C21">
            <v>0</v>
          </cell>
        </row>
      </sheetData>
      <sheetData sheetId="4">
        <row r="10">
          <cell r="C10" t="str">
            <v xml:space="preserve">10 </v>
          </cell>
          <cell r="D10" t="str">
            <v xml:space="preserve">10 </v>
          </cell>
          <cell r="E10" t="str">
            <v xml:space="preserve">20 </v>
          </cell>
          <cell r="F10" t="str">
            <v xml:space="preserve">10 </v>
          </cell>
          <cell r="G10" t="str">
            <v xml:space="preserve">10 </v>
          </cell>
          <cell r="H10" t="str">
            <v xml:space="preserve">20 </v>
          </cell>
        </row>
        <row r="11">
          <cell r="C11" t="str">
            <v xml:space="preserve">10 </v>
          </cell>
          <cell r="D11" t="str">
            <v xml:space="preserve">10 </v>
          </cell>
          <cell r="E11" t="str">
            <v xml:space="preserve">20 </v>
          </cell>
          <cell r="F11" t="str">
            <v xml:space="preserve">10 </v>
          </cell>
          <cell r="G11" t="str">
            <v xml:space="preserve">10 </v>
          </cell>
          <cell r="H11" t="str">
            <v xml:space="preserve">20 </v>
          </cell>
        </row>
        <row r="12">
          <cell r="C12" t="str">
            <v>(100.0)</v>
          </cell>
          <cell r="D12" t="str">
            <v>(100.0)</v>
          </cell>
          <cell r="E12" t="str">
            <v>(100.0)</v>
          </cell>
          <cell r="F12" t="str">
            <v>(100.0)</v>
          </cell>
          <cell r="G12" t="str">
            <v>(100.0)</v>
          </cell>
          <cell r="H12" t="str">
            <v>(100.0)</v>
          </cell>
        </row>
        <row r="13">
          <cell r="C13" t="str">
            <v xml:space="preserve"> </v>
          </cell>
          <cell r="D13" t="str">
            <v xml:space="preserve"> </v>
          </cell>
          <cell r="E13" t="str">
            <v xml:space="preserve"> </v>
          </cell>
          <cell r="F13" t="str">
            <v xml:space="preserve"> </v>
          </cell>
          <cell r="G13" t="str">
            <v xml:space="preserve"> </v>
          </cell>
          <cell r="H13" t="str">
            <v xml:space="preserve"> </v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</row>
        <row r="15">
          <cell r="C15" t="str">
            <v xml:space="preserve"> </v>
          </cell>
          <cell r="D15" t="str">
            <v xml:space="preserve"> 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17">
          <cell r="C17" t="str">
            <v xml:space="preserve"> </v>
          </cell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</row>
        <row r="19">
          <cell r="C19" t="str">
            <v xml:space="preserve"> </v>
          </cell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</row>
        <row r="22">
          <cell r="C22" t="str">
            <v xml:space="preserve">10 </v>
          </cell>
          <cell r="D22" t="str">
            <v xml:space="preserve">10 </v>
          </cell>
          <cell r="E22" t="str">
            <v xml:space="preserve">20 </v>
          </cell>
          <cell r="F22" t="str">
            <v xml:space="preserve">10 </v>
          </cell>
          <cell r="G22" t="str">
            <v xml:space="preserve">10 </v>
          </cell>
          <cell r="H22" t="str">
            <v xml:space="preserve">20 </v>
          </cell>
        </row>
        <row r="23">
          <cell r="C23" t="str">
            <v xml:space="preserve">10 </v>
          </cell>
          <cell r="D23" t="str">
            <v xml:space="preserve">10 </v>
          </cell>
          <cell r="E23" t="str">
            <v xml:space="preserve">20 </v>
          </cell>
          <cell r="F23" t="str">
            <v xml:space="preserve">10 </v>
          </cell>
          <cell r="G23" t="str">
            <v xml:space="preserve">10 </v>
          </cell>
          <cell r="H23" t="str">
            <v xml:space="preserve">20 </v>
          </cell>
        </row>
        <row r="24">
          <cell r="C24" t="str">
            <v>(100.0)</v>
          </cell>
          <cell r="D24" t="str">
            <v>(100.0)</v>
          </cell>
          <cell r="E24" t="str">
            <v>(100.0)</v>
          </cell>
          <cell r="F24" t="str">
            <v>(100.0)</v>
          </cell>
          <cell r="G24" t="str">
            <v>(100.0)</v>
          </cell>
          <cell r="H24" t="str">
            <v>(100.0)</v>
          </cell>
        </row>
        <row r="25">
          <cell r="C25" t="str">
            <v xml:space="preserve"> </v>
          </cell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</row>
        <row r="27">
          <cell r="C27" t="str">
            <v xml:space="preserve"> </v>
          </cell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C29" t="str">
            <v xml:space="preserve"> </v>
          </cell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</row>
      </sheetData>
      <sheetData sheetId="5">
        <row r="10">
          <cell r="B10">
            <v>10</v>
          </cell>
          <cell r="C10" t="str">
            <v xml:space="preserve">10 </v>
          </cell>
          <cell r="D10" t="str">
            <v xml:space="preserve">0 </v>
          </cell>
          <cell r="E10" t="str">
            <v xml:space="preserve">0 </v>
          </cell>
          <cell r="F10" t="str">
            <v xml:space="preserve">0 </v>
          </cell>
          <cell r="G10" t="str">
            <v xml:space="preserve">0 </v>
          </cell>
          <cell r="H10">
            <v>10</v>
          </cell>
          <cell r="I10" t="str">
            <v xml:space="preserve">10 </v>
          </cell>
          <cell r="J10" t="str">
            <v xml:space="preserve">0 </v>
          </cell>
          <cell r="K10" t="str">
            <v xml:space="preserve">0 </v>
          </cell>
          <cell r="L10" t="str">
            <v xml:space="preserve">0 </v>
          </cell>
          <cell r="M10" t="str">
            <v xml:space="preserve">0 </v>
          </cell>
        </row>
        <row r="11">
          <cell r="C11" t="str">
            <v>(100.0)</v>
          </cell>
          <cell r="D11" t="str">
            <v>(  0.0)</v>
          </cell>
          <cell r="E11" t="str">
            <v>(  0.0)</v>
          </cell>
          <cell r="F11" t="str">
            <v>(  0.0)</v>
          </cell>
          <cell r="G11" t="str">
            <v>(  0.0)</v>
          </cell>
          <cell r="I11" t="str">
            <v>(100.0)</v>
          </cell>
          <cell r="J11" t="str">
            <v>(  0.0)</v>
          </cell>
          <cell r="K11" t="str">
            <v>(  0.0)</v>
          </cell>
          <cell r="L11" t="str">
            <v>(  0.0)</v>
          </cell>
          <cell r="M11" t="str">
            <v>(  0.0)</v>
          </cell>
        </row>
        <row r="12">
          <cell r="B12">
            <v>10</v>
          </cell>
          <cell r="C12" t="str">
            <v xml:space="preserve">10 </v>
          </cell>
          <cell r="D12" t="str">
            <v xml:space="preserve">0 </v>
          </cell>
          <cell r="E12" t="str">
            <v xml:space="preserve">0 </v>
          </cell>
          <cell r="F12" t="str">
            <v xml:space="preserve">0 </v>
          </cell>
          <cell r="G12" t="str">
            <v xml:space="preserve">0 </v>
          </cell>
          <cell r="H12">
            <v>10</v>
          </cell>
          <cell r="I12" t="str">
            <v xml:space="preserve">10 </v>
          </cell>
          <cell r="J12" t="str">
            <v xml:space="preserve">0 </v>
          </cell>
          <cell r="K12" t="str">
            <v xml:space="preserve">0 </v>
          </cell>
          <cell r="L12" t="str">
            <v xml:space="preserve">0 </v>
          </cell>
          <cell r="M12" t="str">
            <v xml:space="preserve">0 </v>
          </cell>
        </row>
        <row r="13">
          <cell r="C13" t="str">
            <v>(100.0)</v>
          </cell>
          <cell r="D13" t="str">
            <v>(  0.0)</v>
          </cell>
          <cell r="E13" t="str">
            <v>(  0.0)</v>
          </cell>
          <cell r="F13" t="str">
            <v>(  0.0)</v>
          </cell>
          <cell r="G13" t="str">
            <v>(  0.0)</v>
          </cell>
          <cell r="I13" t="str">
            <v>(100.0)</v>
          </cell>
          <cell r="J13" t="str">
            <v>(  0.0)</v>
          </cell>
          <cell r="K13" t="str">
            <v>(  0.0)</v>
          </cell>
          <cell r="L13" t="str">
            <v>(  0.0)</v>
          </cell>
          <cell r="M13" t="str">
            <v>(  0.0)</v>
          </cell>
        </row>
        <row r="14">
          <cell r="B14">
            <v>20</v>
          </cell>
          <cell r="C14" t="str">
            <v xml:space="preserve">20 </v>
          </cell>
          <cell r="D14" t="str">
            <v xml:space="preserve">0 </v>
          </cell>
          <cell r="E14" t="str">
            <v xml:space="preserve">0 </v>
          </cell>
          <cell r="F14" t="str">
            <v xml:space="preserve">0 </v>
          </cell>
          <cell r="G14" t="str">
            <v xml:space="preserve">0 </v>
          </cell>
          <cell r="H14">
            <v>20</v>
          </cell>
          <cell r="I14" t="str">
            <v xml:space="preserve">20 </v>
          </cell>
          <cell r="J14" t="str">
            <v xml:space="preserve">0 </v>
          </cell>
          <cell r="K14" t="str">
            <v xml:space="preserve">0 </v>
          </cell>
          <cell r="L14" t="str">
            <v xml:space="preserve">0 </v>
          </cell>
          <cell r="M14" t="str">
            <v xml:space="preserve">0 </v>
          </cell>
        </row>
        <row r="15">
          <cell r="C15" t="str">
            <v>(100.0)</v>
          </cell>
          <cell r="D15" t="str">
            <v>(  0.0)</v>
          </cell>
          <cell r="E15" t="str">
            <v>(  0.0)</v>
          </cell>
          <cell r="F15" t="str">
            <v>(  0.0)</v>
          </cell>
          <cell r="G15" t="str">
            <v>(  0.0)</v>
          </cell>
          <cell r="I15" t="str">
            <v>(100.0)</v>
          </cell>
          <cell r="J15" t="str">
            <v>(  0.0)</v>
          </cell>
          <cell r="K15" t="str">
            <v>(  0.0)</v>
          </cell>
          <cell r="L15" t="str">
            <v>(  0.0)</v>
          </cell>
          <cell r="M15" t="str">
            <v>(  0.0)</v>
          </cell>
        </row>
        <row r="17">
          <cell r="B17" t="str">
            <v/>
          </cell>
          <cell r="C17" t="str">
            <v xml:space="preserve"> </v>
          </cell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/>
          </cell>
          <cell r="I17" t="str">
            <v xml:space="preserve"> </v>
          </cell>
          <cell r="J17" t="str">
            <v xml:space="preserve"> </v>
          </cell>
          <cell r="K17" t="str">
            <v xml:space="preserve"> </v>
          </cell>
          <cell r="L17" t="str">
            <v xml:space="preserve"> </v>
          </cell>
          <cell r="M17" t="str">
            <v xml:space="preserve"> </v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B19" t="str">
            <v/>
          </cell>
          <cell r="C19" t="str">
            <v xml:space="preserve"> </v>
          </cell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/>
          </cell>
          <cell r="I19" t="str">
            <v xml:space="preserve"> </v>
          </cell>
          <cell r="J19" t="str">
            <v xml:space="preserve"> </v>
          </cell>
          <cell r="K19" t="str">
            <v xml:space="preserve"> </v>
          </cell>
          <cell r="L19" t="str">
            <v xml:space="preserve"> </v>
          </cell>
          <cell r="M19" t="str">
            <v xml:space="preserve"> </v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B21" t="str">
            <v/>
          </cell>
          <cell r="C21" t="str">
            <v xml:space="preserve">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/>
          </cell>
          <cell r="I21" t="str">
            <v xml:space="preserve"> </v>
          </cell>
          <cell r="J21" t="str">
            <v xml:space="preserve"> </v>
          </cell>
          <cell r="K21" t="str">
            <v xml:space="preserve"> </v>
          </cell>
          <cell r="L21" t="str">
            <v xml:space="preserve"> </v>
          </cell>
          <cell r="M21" t="str">
            <v xml:space="preserve"> </v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4">
          <cell r="B24" t="str">
            <v/>
          </cell>
          <cell r="C24" t="str">
            <v xml:space="preserve"> </v>
          </cell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/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  <cell r="L24" t="str">
            <v xml:space="preserve"> </v>
          </cell>
          <cell r="M24" t="str">
            <v xml:space="preserve"> </v>
          </cell>
        </row>
        <row r="25"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B26" t="str">
            <v/>
          </cell>
          <cell r="C26" t="str">
            <v xml:space="preserve"> </v>
          </cell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/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B28" t="str">
            <v/>
          </cell>
          <cell r="C28" t="str">
            <v xml:space="preserve"> </v>
          </cell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/>
          </cell>
          <cell r="I28" t="str">
            <v xml:space="preserve"> </v>
          </cell>
          <cell r="J28" t="str">
            <v xml:space="preserve"> </v>
          </cell>
          <cell r="K28" t="str">
            <v xml:space="preserve"> </v>
          </cell>
          <cell r="L28" t="str">
            <v xml:space="preserve"> </v>
          </cell>
          <cell r="M28" t="str">
            <v xml:space="preserve"> </v>
          </cell>
        </row>
        <row r="29"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1">
          <cell r="B31" t="str">
            <v/>
          </cell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/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B33" t="str">
            <v/>
          </cell>
          <cell r="C33" t="str">
            <v xml:space="preserve"> </v>
          </cell>
          <cell r="D33" t="str">
            <v xml:space="preserve"> </v>
          </cell>
          <cell r="E33" t="str">
            <v xml:space="preserve"> </v>
          </cell>
          <cell r="F33" t="str">
            <v xml:space="preserve"> </v>
          </cell>
          <cell r="G33" t="str">
            <v xml:space="preserve"> </v>
          </cell>
          <cell r="H33" t="str">
            <v/>
          </cell>
          <cell r="I33" t="str">
            <v xml:space="preserve"> </v>
          </cell>
          <cell r="J33" t="str">
            <v xml:space="preserve"> </v>
          </cell>
          <cell r="K33" t="str">
            <v xml:space="preserve"> </v>
          </cell>
          <cell r="L33" t="str">
            <v xml:space="preserve"> </v>
          </cell>
          <cell r="M33" t="str">
            <v xml:space="preserve"> </v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B35" t="str">
            <v/>
          </cell>
          <cell r="C35" t="str">
            <v xml:space="preserve"> </v>
          </cell>
          <cell r="D35" t="str">
            <v xml:space="preserve"> </v>
          </cell>
          <cell r="E35" t="str">
            <v xml:space="preserve"> </v>
          </cell>
          <cell r="F35" t="str">
            <v xml:space="preserve"> </v>
          </cell>
          <cell r="G35" t="str">
            <v xml:space="preserve"> </v>
          </cell>
          <cell r="H35" t="str">
            <v/>
          </cell>
          <cell r="I35" t="str">
            <v xml:space="preserve"> </v>
          </cell>
          <cell r="J35" t="str">
            <v xml:space="preserve"> </v>
          </cell>
          <cell r="K35" t="str">
            <v xml:space="preserve"> </v>
          </cell>
          <cell r="L35" t="str">
            <v xml:space="preserve"> </v>
          </cell>
          <cell r="M35" t="str">
            <v xml:space="preserve"> </v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8">
          <cell r="B38" t="str">
            <v/>
          </cell>
          <cell r="C38" t="str">
            <v xml:space="preserve"> </v>
          </cell>
          <cell r="D38" t="str">
            <v xml:space="preserve"> </v>
          </cell>
          <cell r="E38" t="str">
            <v xml:space="preserve"> </v>
          </cell>
          <cell r="F38" t="str">
            <v xml:space="preserve"> </v>
          </cell>
          <cell r="G38" t="str">
            <v xml:space="preserve"> </v>
          </cell>
          <cell r="H38" t="str">
            <v/>
          </cell>
          <cell r="I38" t="str">
            <v xml:space="preserve"> </v>
          </cell>
          <cell r="J38" t="str">
            <v xml:space="preserve"> </v>
          </cell>
          <cell r="K38" t="str">
            <v xml:space="preserve"> </v>
          </cell>
          <cell r="L38" t="str">
            <v xml:space="preserve"> </v>
          </cell>
          <cell r="M38" t="str">
            <v xml:space="preserve"> </v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B40" t="str">
            <v/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F40" t="str">
            <v xml:space="preserve"> </v>
          </cell>
          <cell r="G40" t="str">
            <v xml:space="preserve"> </v>
          </cell>
          <cell r="H40" t="str">
            <v/>
          </cell>
          <cell r="I40" t="str">
            <v xml:space="preserve"> </v>
          </cell>
          <cell r="J40" t="str">
            <v xml:space="preserve"> </v>
          </cell>
          <cell r="K40" t="str">
            <v xml:space="preserve"> </v>
          </cell>
          <cell r="L40" t="str">
            <v xml:space="preserve"> </v>
          </cell>
          <cell r="M40" t="str">
            <v xml:space="preserve"> </v>
          </cell>
        </row>
        <row r="41"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B42" t="str">
            <v/>
          </cell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  <cell r="F42" t="str">
            <v xml:space="preserve"> </v>
          </cell>
          <cell r="G42" t="str">
            <v xml:space="preserve"> </v>
          </cell>
          <cell r="H42" t="str">
            <v/>
          </cell>
          <cell r="I42" t="str">
            <v xml:space="preserve"> </v>
          </cell>
          <cell r="J42" t="str">
            <v xml:space="preserve"> </v>
          </cell>
          <cell r="K42" t="str">
            <v xml:space="preserve"> </v>
          </cell>
          <cell r="L42" t="str">
            <v xml:space="preserve"> </v>
          </cell>
          <cell r="M42" t="str">
            <v xml:space="preserve"> </v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5">
          <cell r="B45" t="str">
            <v/>
          </cell>
          <cell r="C45" t="str">
            <v xml:space="preserve"> </v>
          </cell>
          <cell r="D45" t="str">
            <v xml:space="preserve"> </v>
          </cell>
          <cell r="E45" t="str">
            <v xml:space="preserve"> </v>
          </cell>
          <cell r="F45" t="str">
            <v xml:space="preserve"> </v>
          </cell>
          <cell r="G45" t="str">
            <v xml:space="preserve"> </v>
          </cell>
          <cell r="H45" t="str">
            <v/>
          </cell>
          <cell r="I45" t="str">
            <v xml:space="preserve"> </v>
          </cell>
          <cell r="J45" t="str">
            <v xml:space="preserve"> </v>
          </cell>
          <cell r="K45" t="str">
            <v xml:space="preserve"> </v>
          </cell>
          <cell r="L45" t="str">
            <v xml:space="preserve"> </v>
          </cell>
          <cell r="M45" t="str">
            <v xml:space="preserve"> </v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B47" t="str">
            <v/>
          </cell>
          <cell r="C47" t="str">
            <v xml:space="preserve"> </v>
          </cell>
          <cell r="D47" t="str">
            <v xml:space="preserve"> </v>
          </cell>
          <cell r="E47" t="str">
            <v xml:space="preserve"> </v>
          </cell>
          <cell r="F47" t="str">
            <v xml:space="preserve"> </v>
          </cell>
          <cell r="G47" t="str">
            <v xml:space="preserve"> </v>
          </cell>
          <cell r="H47" t="str">
            <v/>
          </cell>
          <cell r="I47" t="str">
            <v xml:space="preserve"> </v>
          </cell>
          <cell r="J47" t="str">
            <v xml:space="preserve"> </v>
          </cell>
          <cell r="K47" t="str">
            <v xml:space="preserve"> </v>
          </cell>
          <cell r="L47" t="str">
            <v xml:space="preserve"> </v>
          </cell>
          <cell r="M47" t="str">
            <v xml:space="preserve"> </v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B49" t="str">
            <v/>
          </cell>
          <cell r="C49" t="str">
            <v xml:space="preserve"> </v>
          </cell>
          <cell r="D49" t="str">
            <v xml:space="preserve"> </v>
          </cell>
          <cell r="E49" t="str">
            <v xml:space="preserve"> </v>
          </cell>
          <cell r="F49" t="str">
            <v xml:space="preserve"> </v>
          </cell>
          <cell r="G49" t="str">
            <v xml:space="preserve"> </v>
          </cell>
          <cell r="H49" t="str">
            <v/>
          </cell>
          <cell r="I49" t="str">
            <v xml:space="preserve"> </v>
          </cell>
          <cell r="J49" t="str">
            <v xml:space="preserve"> </v>
          </cell>
          <cell r="K49" t="str">
            <v xml:space="preserve"> </v>
          </cell>
          <cell r="L49" t="str">
            <v xml:space="preserve"> </v>
          </cell>
          <cell r="M49" t="str">
            <v xml:space="preserve"> </v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2">
          <cell r="B52" t="str">
            <v/>
          </cell>
          <cell r="C52" t="str">
            <v xml:space="preserve"> </v>
          </cell>
          <cell r="D52" t="str">
            <v xml:space="preserve"> </v>
          </cell>
          <cell r="E52" t="str">
            <v xml:space="preserve"> </v>
          </cell>
          <cell r="F52" t="str">
            <v xml:space="preserve"> </v>
          </cell>
          <cell r="G52" t="str">
            <v xml:space="preserve"> </v>
          </cell>
          <cell r="H52" t="str">
            <v/>
          </cell>
          <cell r="I52" t="str">
            <v xml:space="preserve"> </v>
          </cell>
          <cell r="J52" t="str">
            <v xml:space="preserve"> </v>
          </cell>
          <cell r="K52" t="str">
            <v xml:space="preserve"> </v>
          </cell>
          <cell r="L52" t="str">
            <v xml:space="preserve"> </v>
          </cell>
          <cell r="M52" t="str">
            <v xml:space="preserve"> </v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B54" t="str">
            <v/>
          </cell>
          <cell r="C54" t="str">
            <v xml:space="preserve"> </v>
          </cell>
          <cell r="D54" t="str">
            <v xml:space="preserve"> </v>
          </cell>
          <cell r="E54" t="str">
            <v xml:space="preserve"> </v>
          </cell>
          <cell r="F54" t="str">
            <v xml:space="preserve"> </v>
          </cell>
          <cell r="G54" t="str">
            <v xml:space="preserve"> </v>
          </cell>
          <cell r="H54" t="str">
            <v/>
          </cell>
          <cell r="I54" t="str">
            <v xml:space="preserve"> </v>
          </cell>
          <cell r="J54" t="str">
            <v xml:space="preserve"> </v>
          </cell>
          <cell r="K54" t="str">
            <v xml:space="preserve"> </v>
          </cell>
          <cell r="L54" t="str">
            <v xml:space="preserve"> </v>
          </cell>
          <cell r="M54" t="str">
            <v xml:space="preserve"> </v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B56" t="str">
            <v/>
          </cell>
          <cell r="C56" t="str">
            <v xml:space="preserve"> </v>
          </cell>
          <cell r="D56" t="str">
            <v xml:space="preserve"> </v>
          </cell>
          <cell r="E56" t="str">
            <v xml:space="preserve"> </v>
          </cell>
          <cell r="F56" t="str">
            <v xml:space="preserve"> </v>
          </cell>
          <cell r="G56" t="str">
            <v xml:space="preserve"> </v>
          </cell>
          <cell r="H56" t="str">
            <v/>
          </cell>
          <cell r="I56" t="str">
            <v xml:space="preserve"> </v>
          </cell>
          <cell r="J56" t="str">
            <v xml:space="preserve"> </v>
          </cell>
          <cell r="K56" t="str">
            <v xml:space="preserve"> </v>
          </cell>
          <cell r="L56" t="str">
            <v xml:space="preserve"> </v>
          </cell>
          <cell r="M56" t="str">
            <v xml:space="preserve"> </v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9">
          <cell r="B59" t="str">
            <v/>
          </cell>
          <cell r="C59" t="str">
            <v xml:space="preserve"> </v>
          </cell>
          <cell r="D59" t="str">
            <v xml:space="preserve"> </v>
          </cell>
          <cell r="E59" t="str">
            <v xml:space="preserve"> </v>
          </cell>
          <cell r="F59" t="str">
            <v xml:space="preserve"> </v>
          </cell>
          <cell r="G59" t="str">
            <v xml:space="preserve"> </v>
          </cell>
          <cell r="H59" t="str">
            <v/>
          </cell>
          <cell r="I59" t="str">
            <v xml:space="preserve"> </v>
          </cell>
          <cell r="J59" t="str">
            <v xml:space="preserve"> </v>
          </cell>
          <cell r="K59" t="str">
            <v xml:space="preserve"> </v>
          </cell>
          <cell r="L59" t="str">
            <v xml:space="preserve"> </v>
          </cell>
          <cell r="M59" t="str">
            <v xml:space="preserve"> </v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B61" t="str">
            <v/>
          </cell>
          <cell r="C61" t="str">
            <v xml:space="preserve"> </v>
          </cell>
          <cell r="D61" t="str">
            <v xml:space="preserve"> </v>
          </cell>
          <cell r="E61" t="str">
            <v xml:space="preserve"> </v>
          </cell>
          <cell r="F61" t="str">
            <v xml:space="preserve"> </v>
          </cell>
          <cell r="G61" t="str">
            <v xml:space="preserve"> </v>
          </cell>
          <cell r="H61" t="str">
            <v/>
          </cell>
          <cell r="I61" t="str">
            <v xml:space="preserve"> </v>
          </cell>
          <cell r="J61" t="str">
            <v xml:space="preserve"> </v>
          </cell>
          <cell r="K61" t="str">
            <v xml:space="preserve"> </v>
          </cell>
          <cell r="L61" t="str">
            <v xml:space="preserve"> </v>
          </cell>
          <cell r="M61" t="str">
            <v xml:space="preserve"> </v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B63" t="str">
            <v/>
          </cell>
          <cell r="C63" t="str">
            <v xml:space="preserve"> </v>
          </cell>
          <cell r="D63" t="str">
            <v xml:space="preserve"> </v>
          </cell>
          <cell r="E63" t="str">
            <v xml:space="preserve"> </v>
          </cell>
          <cell r="F63" t="str">
            <v xml:space="preserve"> </v>
          </cell>
          <cell r="G63" t="str">
            <v xml:space="preserve"> </v>
          </cell>
          <cell r="H63" t="str">
            <v/>
          </cell>
          <cell r="I63" t="str">
            <v xml:space="preserve"> </v>
          </cell>
          <cell r="J63" t="str">
            <v xml:space="preserve"> </v>
          </cell>
          <cell r="K63" t="str">
            <v xml:space="preserve"> </v>
          </cell>
          <cell r="L63" t="str">
            <v xml:space="preserve"> </v>
          </cell>
          <cell r="M63" t="str">
            <v xml:space="preserve"> </v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</row>
        <row r="66">
          <cell r="B66" t="str">
            <v/>
          </cell>
          <cell r="C66" t="str">
            <v xml:space="preserve"> </v>
          </cell>
          <cell r="D66" t="str">
            <v xml:space="preserve"> </v>
          </cell>
          <cell r="E66" t="str">
            <v xml:space="preserve"> </v>
          </cell>
          <cell r="F66" t="str">
            <v xml:space="preserve"> </v>
          </cell>
          <cell r="G66" t="str">
            <v xml:space="preserve"> </v>
          </cell>
          <cell r="H66" t="str">
            <v/>
          </cell>
          <cell r="I66" t="str">
            <v xml:space="preserve"> </v>
          </cell>
          <cell r="J66" t="str">
            <v xml:space="preserve"> </v>
          </cell>
          <cell r="K66" t="str">
            <v xml:space="preserve"> </v>
          </cell>
          <cell r="L66" t="str">
            <v xml:space="preserve"> </v>
          </cell>
          <cell r="M66" t="str">
            <v xml:space="preserve"> </v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</row>
        <row r="68">
          <cell r="B68" t="str">
            <v/>
          </cell>
          <cell r="C68" t="str">
            <v xml:space="preserve"> </v>
          </cell>
          <cell r="D68" t="str">
            <v xml:space="preserve"> </v>
          </cell>
          <cell r="E68" t="str">
            <v xml:space="preserve"> </v>
          </cell>
          <cell r="F68" t="str">
            <v xml:space="preserve"> </v>
          </cell>
          <cell r="G68" t="str">
            <v xml:space="preserve"> </v>
          </cell>
          <cell r="H68" t="str">
            <v/>
          </cell>
          <cell r="I68" t="str">
            <v xml:space="preserve"> </v>
          </cell>
          <cell r="J68" t="str">
            <v xml:space="preserve"> </v>
          </cell>
          <cell r="K68" t="str">
            <v xml:space="preserve"> </v>
          </cell>
          <cell r="L68" t="str">
            <v xml:space="preserve"> </v>
          </cell>
          <cell r="M68" t="str">
            <v xml:space="preserve"> </v>
          </cell>
        </row>
        <row r="69"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</row>
        <row r="70">
          <cell r="B70" t="str">
            <v/>
          </cell>
          <cell r="C70" t="str">
            <v xml:space="preserve"> </v>
          </cell>
          <cell r="D70" t="str">
            <v xml:space="preserve"> </v>
          </cell>
          <cell r="E70" t="str">
            <v xml:space="preserve"> </v>
          </cell>
          <cell r="F70" t="str">
            <v xml:space="preserve"> </v>
          </cell>
          <cell r="G70" t="str">
            <v xml:space="preserve"> </v>
          </cell>
          <cell r="H70" t="str">
            <v/>
          </cell>
          <cell r="I70" t="str">
            <v xml:space="preserve"> </v>
          </cell>
          <cell r="J70" t="str">
            <v xml:space="preserve"> </v>
          </cell>
          <cell r="K70" t="str">
            <v xml:space="preserve"> </v>
          </cell>
          <cell r="L70" t="str">
            <v xml:space="preserve"> </v>
          </cell>
          <cell r="M70" t="str">
            <v xml:space="preserve"> </v>
          </cell>
        </row>
        <row r="71"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</row>
        <row r="73">
          <cell r="B73" t="str">
            <v/>
          </cell>
          <cell r="C73" t="str">
            <v xml:space="preserve"> </v>
          </cell>
          <cell r="D73" t="str">
            <v xml:space="preserve"> </v>
          </cell>
          <cell r="E73" t="str">
            <v xml:space="preserve"> </v>
          </cell>
          <cell r="F73" t="str">
            <v xml:space="preserve"> </v>
          </cell>
          <cell r="G73" t="str">
            <v xml:space="preserve"> </v>
          </cell>
          <cell r="H73" t="str">
            <v/>
          </cell>
          <cell r="I73" t="str">
            <v xml:space="preserve"> </v>
          </cell>
          <cell r="J73" t="str">
            <v xml:space="preserve"> </v>
          </cell>
          <cell r="K73" t="str">
            <v xml:space="preserve"> </v>
          </cell>
          <cell r="L73" t="str">
            <v xml:space="preserve"> </v>
          </cell>
          <cell r="M73" t="str">
            <v xml:space="preserve"> </v>
          </cell>
        </row>
        <row r="74"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</row>
        <row r="75">
          <cell r="B75" t="str">
            <v/>
          </cell>
          <cell r="C75" t="str">
            <v xml:space="preserve"> </v>
          </cell>
          <cell r="D75" t="str">
            <v xml:space="preserve"> </v>
          </cell>
          <cell r="E75" t="str">
            <v xml:space="preserve"> </v>
          </cell>
          <cell r="F75" t="str">
            <v xml:space="preserve"> </v>
          </cell>
          <cell r="G75" t="str">
            <v xml:space="preserve"> </v>
          </cell>
          <cell r="H75" t="str">
            <v/>
          </cell>
          <cell r="I75" t="str">
            <v xml:space="preserve"> </v>
          </cell>
          <cell r="J75" t="str">
            <v xml:space="preserve"> </v>
          </cell>
          <cell r="K75" t="str">
            <v xml:space="preserve"> </v>
          </cell>
          <cell r="L75" t="str">
            <v xml:space="preserve"> </v>
          </cell>
          <cell r="M75" t="str">
            <v xml:space="preserve"> </v>
          </cell>
        </row>
        <row r="76"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</row>
        <row r="77">
          <cell r="B77" t="str">
            <v/>
          </cell>
          <cell r="C77" t="str">
            <v xml:space="preserve"> </v>
          </cell>
          <cell r="D77" t="str">
            <v xml:space="preserve"> </v>
          </cell>
          <cell r="E77" t="str">
            <v xml:space="preserve"> </v>
          </cell>
          <cell r="F77" t="str">
            <v xml:space="preserve"> </v>
          </cell>
          <cell r="G77" t="str">
            <v xml:space="preserve"> </v>
          </cell>
          <cell r="H77" t="str">
            <v/>
          </cell>
          <cell r="I77" t="str">
            <v xml:space="preserve"> </v>
          </cell>
          <cell r="J77" t="str">
            <v xml:space="preserve"> </v>
          </cell>
          <cell r="K77" t="str">
            <v xml:space="preserve"> </v>
          </cell>
          <cell r="L77" t="str">
            <v xml:space="preserve"> </v>
          </cell>
          <cell r="M77" t="str">
            <v xml:space="preserve"> </v>
          </cell>
        </row>
        <row r="78"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</row>
        <row r="80">
          <cell r="B80" t="str">
            <v/>
          </cell>
          <cell r="C80" t="str">
            <v xml:space="preserve"> </v>
          </cell>
          <cell r="D80" t="str">
            <v xml:space="preserve"> </v>
          </cell>
          <cell r="E80" t="str">
            <v xml:space="preserve"> </v>
          </cell>
          <cell r="F80" t="str">
            <v xml:space="preserve"> </v>
          </cell>
          <cell r="G80" t="str">
            <v xml:space="preserve"> </v>
          </cell>
          <cell r="H80" t="str">
            <v/>
          </cell>
          <cell r="I80" t="str">
            <v xml:space="preserve"> </v>
          </cell>
          <cell r="J80" t="str">
            <v xml:space="preserve"> </v>
          </cell>
          <cell r="K80" t="str">
            <v xml:space="preserve"> </v>
          </cell>
          <cell r="L80" t="str">
            <v xml:space="preserve"> </v>
          </cell>
          <cell r="M80" t="str">
            <v xml:space="preserve"> </v>
          </cell>
        </row>
        <row r="81"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</row>
        <row r="82">
          <cell r="B82" t="str">
            <v/>
          </cell>
          <cell r="C82" t="str">
            <v xml:space="preserve"> </v>
          </cell>
          <cell r="D82" t="str">
            <v xml:space="preserve"> </v>
          </cell>
          <cell r="E82" t="str">
            <v xml:space="preserve"> </v>
          </cell>
          <cell r="F82" t="str">
            <v xml:space="preserve"> </v>
          </cell>
          <cell r="G82" t="str">
            <v xml:space="preserve"> </v>
          </cell>
          <cell r="H82" t="str">
            <v/>
          </cell>
          <cell r="I82" t="str">
            <v xml:space="preserve"> </v>
          </cell>
          <cell r="J82" t="str">
            <v xml:space="preserve"> </v>
          </cell>
          <cell r="K82" t="str">
            <v xml:space="preserve"> </v>
          </cell>
          <cell r="L82" t="str">
            <v xml:space="preserve"> </v>
          </cell>
          <cell r="M82" t="str">
            <v xml:space="preserve"> </v>
          </cell>
        </row>
        <row r="83"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</row>
        <row r="84">
          <cell r="B84" t="str">
            <v/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  <cell r="F84" t="str">
            <v xml:space="preserve"> </v>
          </cell>
          <cell r="G84" t="str">
            <v xml:space="preserve"> </v>
          </cell>
          <cell r="H84" t="str">
            <v/>
          </cell>
          <cell r="I84" t="str">
            <v xml:space="preserve"> </v>
          </cell>
          <cell r="J84" t="str">
            <v xml:space="preserve"> </v>
          </cell>
          <cell r="K84" t="str">
            <v xml:space="preserve"> </v>
          </cell>
          <cell r="L84" t="str">
            <v xml:space="preserve"> </v>
          </cell>
          <cell r="M84" t="str">
            <v xml:space="preserve"> </v>
          </cell>
        </row>
        <row r="85"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</row>
        <row r="87">
          <cell r="B87" t="str">
            <v/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  <cell r="F87" t="str">
            <v xml:space="preserve"> </v>
          </cell>
          <cell r="G87" t="str">
            <v xml:space="preserve"> </v>
          </cell>
          <cell r="H87" t="str">
            <v/>
          </cell>
          <cell r="I87" t="str">
            <v xml:space="preserve"> </v>
          </cell>
          <cell r="J87" t="str">
            <v xml:space="preserve"> </v>
          </cell>
          <cell r="K87" t="str">
            <v xml:space="preserve"> </v>
          </cell>
          <cell r="L87" t="str">
            <v xml:space="preserve"> </v>
          </cell>
          <cell r="M87" t="str">
            <v xml:space="preserve"> </v>
          </cell>
        </row>
        <row r="88"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</row>
        <row r="89">
          <cell r="B89" t="str">
            <v/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  <cell r="F89" t="str">
            <v xml:space="preserve"> </v>
          </cell>
          <cell r="G89" t="str">
            <v xml:space="preserve"> </v>
          </cell>
          <cell r="H89" t="str">
            <v/>
          </cell>
          <cell r="I89" t="str">
            <v xml:space="preserve"> </v>
          </cell>
          <cell r="J89" t="str">
            <v xml:space="preserve"> </v>
          </cell>
          <cell r="K89" t="str">
            <v xml:space="preserve"> </v>
          </cell>
          <cell r="L89" t="str">
            <v xml:space="preserve"> </v>
          </cell>
          <cell r="M89" t="str">
            <v xml:space="preserve"> </v>
          </cell>
        </row>
        <row r="90"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</row>
        <row r="91">
          <cell r="B91" t="str">
            <v/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  <cell r="F91" t="str">
            <v xml:space="preserve"> </v>
          </cell>
          <cell r="G91" t="str">
            <v xml:space="preserve"> </v>
          </cell>
          <cell r="H91" t="str">
            <v/>
          </cell>
          <cell r="I91" t="str">
            <v xml:space="preserve"> </v>
          </cell>
          <cell r="J91" t="str">
            <v xml:space="preserve"> </v>
          </cell>
          <cell r="K91" t="str">
            <v xml:space="preserve"> </v>
          </cell>
          <cell r="L91" t="str">
            <v xml:space="preserve"> </v>
          </cell>
          <cell r="M91" t="str">
            <v xml:space="preserve"> </v>
          </cell>
        </row>
        <row r="92"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</row>
        <row r="94">
          <cell r="B94" t="str">
            <v/>
          </cell>
          <cell r="C94" t="str">
            <v xml:space="preserve"> </v>
          </cell>
          <cell r="D94" t="str">
            <v xml:space="preserve"> </v>
          </cell>
          <cell r="E94" t="str">
            <v xml:space="preserve"> </v>
          </cell>
          <cell r="F94" t="str">
            <v xml:space="preserve"> </v>
          </cell>
          <cell r="G94" t="str">
            <v xml:space="preserve"> </v>
          </cell>
          <cell r="H94" t="str">
            <v/>
          </cell>
          <cell r="I94" t="str">
            <v xml:space="preserve"> </v>
          </cell>
          <cell r="J94" t="str">
            <v xml:space="preserve"> </v>
          </cell>
          <cell r="K94" t="str">
            <v xml:space="preserve"> </v>
          </cell>
          <cell r="L94" t="str">
            <v xml:space="preserve"> </v>
          </cell>
          <cell r="M94" t="str">
            <v xml:space="preserve"> </v>
          </cell>
        </row>
        <row r="95"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</row>
        <row r="96">
          <cell r="B96" t="str">
            <v/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  <cell r="F96" t="str">
            <v xml:space="preserve"> </v>
          </cell>
          <cell r="G96" t="str">
            <v xml:space="preserve"> </v>
          </cell>
          <cell r="H96" t="str">
            <v/>
          </cell>
          <cell r="I96" t="str">
            <v xml:space="preserve"> </v>
          </cell>
          <cell r="J96" t="str">
            <v xml:space="preserve"> </v>
          </cell>
          <cell r="K96" t="str">
            <v xml:space="preserve"> </v>
          </cell>
          <cell r="L96" t="str">
            <v xml:space="preserve"> </v>
          </cell>
          <cell r="M96" t="str">
            <v xml:space="preserve"> </v>
          </cell>
        </row>
        <row r="97"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</row>
        <row r="98">
          <cell r="B98" t="str">
            <v/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  <cell r="F98" t="str">
            <v xml:space="preserve"> </v>
          </cell>
          <cell r="G98" t="str">
            <v xml:space="preserve"> </v>
          </cell>
          <cell r="H98" t="str">
            <v/>
          </cell>
          <cell r="I98" t="str">
            <v xml:space="preserve"> </v>
          </cell>
          <cell r="J98" t="str">
            <v xml:space="preserve"> </v>
          </cell>
          <cell r="K98" t="str">
            <v xml:space="preserve"> </v>
          </cell>
          <cell r="L98" t="str">
            <v xml:space="preserve"> </v>
          </cell>
          <cell r="M98" t="str">
            <v xml:space="preserve"> </v>
          </cell>
        </row>
        <row r="99"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</row>
        <row r="101">
          <cell r="B101" t="str">
            <v/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  <cell r="F101" t="str">
            <v xml:space="preserve"> </v>
          </cell>
          <cell r="G101" t="str">
            <v xml:space="preserve"> </v>
          </cell>
          <cell r="H101" t="str">
            <v/>
          </cell>
          <cell r="I101" t="str">
            <v xml:space="preserve"> </v>
          </cell>
          <cell r="J101" t="str">
            <v xml:space="preserve"> </v>
          </cell>
          <cell r="K101" t="str">
            <v xml:space="preserve"> </v>
          </cell>
          <cell r="L101" t="str">
            <v xml:space="preserve"> </v>
          </cell>
          <cell r="M101" t="str">
            <v xml:space="preserve"> </v>
          </cell>
        </row>
        <row r="102"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</row>
        <row r="103">
          <cell r="B103" t="str">
            <v/>
          </cell>
          <cell r="C103" t="str">
            <v xml:space="preserve"> </v>
          </cell>
          <cell r="D103" t="str">
            <v xml:space="preserve"> </v>
          </cell>
          <cell r="E103" t="str">
            <v xml:space="preserve"> </v>
          </cell>
          <cell r="F103" t="str">
            <v xml:space="preserve"> </v>
          </cell>
          <cell r="G103" t="str">
            <v xml:space="preserve"> </v>
          </cell>
          <cell r="H103" t="str">
            <v/>
          </cell>
          <cell r="I103" t="str">
            <v xml:space="preserve"> </v>
          </cell>
          <cell r="J103" t="str">
            <v xml:space="preserve"> </v>
          </cell>
          <cell r="K103" t="str">
            <v xml:space="preserve"> </v>
          </cell>
          <cell r="L103" t="str">
            <v xml:space="preserve"> </v>
          </cell>
          <cell r="M103" t="str">
            <v xml:space="preserve"> </v>
          </cell>
        </row>
        <row r="104"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</row>
        <row r="105">
          <cell r="B105" t="str">
            <v/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  <cell r="F105" t="str">
            <v xml:space="preserve"> </v>
          </cell>
          <cell r="G105" t="str">
            <v xml:space="preserve"> </v>
          </cell>
          <cell r="H105" t="str">
            <v/>
          </cell>
          <cell r="I105" t="str">
            <v xml:space="preserve"> </v>
          </cell>
          <cell r="J105" t="str">
            <v xml:space="preserve"> </v>
          </cell>
          <cell r="K105" t="str">
            <v xml:space="preserve"> </v>
          </cell>
          <cell r="L105" t="str">
            <v xml:space="preserve"> </v>
          </cell>
          <cell r="M105" t="str">
            <v xml:space="preserve"> </v>
          </cell>
        </row>
        <row r="106"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</row>
        <row r="108">
          <cell r="B108" t="str">
            <v/>
          </cell>
          <cell r="C108" t="str">
            <v xml:space="preserve"> </v>
          </cell>
          <cell r="D108" t="str">
            <v xml:space="preserve"> </v>
          </cell>
          <cell r="E108" t="str">
            <v xml:space="preserve"> </v>
          </cell>
          <cell r="F108" t="str">
            <v xml:space="preserve"> </v>
          </cell>
          <cell r="G108" t="str">
            <v xml:space="preserve"> </v>
          </cell>
          <cell r="H108" t="str">
            <v/>
          </cell>
          <cell r="I108" t="str">
            <v xml:space="preserve"> </v>
          </cell>
          <cell r="J108" t="str">
            <v xml:space="preserve"> </v>
          </cell>
          <cell r="K108" t="str">
            <v xml:space="preserve"> </v>
          </cell>
          <cell r="L108" t="str">
            <v xml:space="preserve"> </v>
          </cell>
          <cell r="M108" t="str">
            <v xml:space="preserve"> </v>
          </cell>
        </row>
        <row r="109"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</row>
        <row r="110">
          <cell r="B110" t="str">
            <v/>
          </cell>
          <cell r="C110" t="str">
            <v xml:space="preserve"> </v>
          </cell>
          <cell r="D110" t="str">
            <v xml:space="preserve"> </v>
          </cell>
          <cell r="E110" t="str">
            <v xml:space="preserve"> </v>
          </cell>
          <cell r="F110" t="str">
            <v xml:space="preserve"> </v>
          </cell>
          <cell r="G110" t="str">
            <v xml:space="preserve"> </v>
          </cell>
          <cell r="H110" t="str">
            <v/>
          </cell>
          <cell r="I110" t="str">
            <v xml:space="preserve"> </v>
          </cell>
          <cell r="J110" t="str">
            <v xml:space="preserve"> </v>
          </cell>
          <cell r="K110" t="str">
            <v xml:space="preserve"> </v>
          </cell>
          <cell r="L110" t="str">
            <v xml:space="preserve"> </v>
          </cell>
          <cell r="M110" t="str">
            <v xml:space="preserve"> </v>
          </cell>
        </row>
        <row r="111"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</row>
        <row r="112">
          <cell r="B112" t="str">
            <v/>
          </cell>
          <cell r="C112" t="str">
            <v xml:space="preserve"> </v>
          </cell>
          <cell r="D112" t="str">
            <v xml:space="preserve"> </v>
          </cell>
          <cell r="E112" t="str">
            <v xml:space="preserve"> </v>
          </cell>
          <cell r="F112" t="str">
            <v xml:space="preserve"> </v>
          </cell>
          <cell r="G112" t="str">
            <v xml:space="preserve"> </v>
          </cell>
          <cell r="H112" t="str">
            <v/>
          </cell>
          <cell r="I112" t="str">
            <v xml:space="preserve"> </v>
          </cell>
          <cell r="J112" t="str">
            <v xml:space="preserve"> </v>
          </cell>
          <cell r="K112" t="str">
            <v xml:space="preserve"> </v>
          </cell>
          <cell r="L112" t="str">
            <v xml:space="preserve"> </v>
          </cell>
          <cell r="M112" t="str">
            <v xml:space="preserve"> </v>
          </cell>
        </row>
        <row r="113"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</row>
        <row r="117">
          <cell r="B117">
            <v>10</v>
          </cell>
          <cell r="C117" t="str">
            <v xml:space="preserve">10 </v>
          </cell>
          <cell r="D117" t="str">
            <v xml:space="preserve">0 </v>
          </cell>
          <cell r="E117" t="str">
            <v xml:space="preserve">0 </v>
          </cell>
          <cell r="F117" t="str">
            <v xml:space="preserve">0 </v>
          </cell>
          <cell r="G117" t="str">
            <v xml:space="preserve">0 </v>
          </cell>
          <cell r="H117">
            <v>10</v>
          </cell>
          <cell r="I117" t="str">
            <v xml:space="preserve">10 </v>
          </cell>
          <cell r="J117" t="str">
            <v xml:space="preserve">0 </v>
          </cell>
          <cell r="K117" t="str">
            <v xml:space="preserve">0 </v>
          </cell>
          <cell r="L117" t="str">
            <v xml:space="preserve">0 </v>
          </cell>
          <cell r="M117" t="str">
            <v xml:space="preserve">0 </v>
          </cell>
        </row>
        <row r="118">
          <cell r="C118" t="str">
            <v>(100.0)</v>
          </cell>
          <cell r="D118" t="str">
            <v>(  0.0)</v>
          </cell>
          <cell r="E118" t="str">
            <v>(  0.0)</v>
          </cell>
          <cell r="F118" t="str">
            <v>(  0.0)</v>
          </cell>
          <cell r="G118" t="str">
            <v>(  0.0)</v>
          </cell>
          <cell r="I118" t="str">
            <v>(100.0)</v>
          </cell>
          <cell r="J118" t="str">
            <v>(  0.0)</v>
          </cell>
          <cell r="K118" t="str">
            <v>(  0.0)</v>
          </cell>
          <cell r="L118" t="str">
            <v>(  0.0)</v>
          </cell>
          <cell r="M118" t="str">
            <v>(  0.0)</v>
          </cell>
        </row>
        <row r="119">
          <cell r="B119">
            <v>10</v>
          </cell>
          <cell r="C119" t="str">
            <v xml:space="preserve">10 </v>
          </cell>
          <cell r="D119" t="str">
            <v xml:space="preserve">0 </v>
          </cell>
          <cell r="E119" t="str">
            <v xml:space="preserve">0 </v>
          </cell>
          <cell r="F119" t="str">
            <v xml:space="preserve">0 </v>
          </cell>
          <cell r="G119" t="str">
            <v xml:space="preserve">0 </v>
          </cell>
          <cell r="H119">
            <v>10</v>
          </cell>
          <cell r="I119" t="str">
            <v xml:space="preserve">10 </v>
          </cell>
          <cell r="J119" t="str">
            <v xml:space="preserve">0 </v>
          </cell>
          <cell r="K119" t="str">
            <v xml:space="preserve">0 </v>
          </cell>
          <cell r="L119" t="str">
            <v xml:space="preserve">0 </v>
          </cell>
          <cell r="M119" t="str">
            <v xml:space="preserve">0 </v>
          </cell>
        </row>
        <row r="120">
          <cell r="C120" t="str">
            <v>(100.0)</v>
          </cell>
          <cell r="D120" t="str">
            <v>(  0.0)</v>
          </cell>
          <cell r="E120" t="str">
            <v>(  0.0)</v>
          </cell>
          <cell r="F120" t="str">
            <v>(  0.0)</v>
          </cell>
          <cell r="G120" t="str">
            <v>(  0.0)</v>
          </cell>
          <cell r="I120" t="str">
            <v>(100.0)</v>
          </cell>
          <cell r="J120" t="str">
            <v>(  0.0)</v>
          </cell>
          <cell r="K120" t="str">
            <v>(  0.0)</v>
          </cell>
          <cell r="L120" t="str">
            <v>(  0.0)</v>
          </cell>
          <cell r="M120" t="str">
            <v>(  0.0)</v>
          </cell>
        </row>
        <row r="121">
          <cell r="B121">
            <v>20</v>
          </cell>
          <cell r="C121" t="str">
            <v xml:space="preserve">20 </v>
          </cell>
          <cell r="D121" t="str">
            <v xml:space="preserve">0 </v>
          </cell>
          <cell r="E121" t="str">
            <v xml:space="preserve">0 </v>
          </cell>
          <cell r="F121" t="str">
            <v xml:space="preserve">0 </v>
          </cell>
          <cell r="G121" t="str">
            <v xml:space="preserve">0 </v>
          </cell>
          <cell r="H121">
            <v>20</v>
          </cell>
          <cell r="I121" t="str">
            <v xml:space="preserve">20 </v>
          </cell>
          <cell r="J121" t="str">
            <v xml:space="preserve">0 </v>
          </cell>
          <cell r="K121" t="str">
            <v xml:space="preserve">0 </v>
          </cell>
          <cell r="L121" t="str">
            <v xml:space="preserve">0 </v>
          </cell>
          <cell r="M121" t="str">
            <v xml:space="preserve">0 </v>
          </cell>
        </row>
        <row r="122">
          <cell r="C122" t="str">
            <v>(100.0)</v>
          </cell>
          <cell r="D122" t="str">
            <v>(  0.0)</v>
          </cell>
          <cell r="E122" t="str">
            <v>(  0.0)</v>
          </cell>
          <cell r="F122" t="str">
            <v>(  0.0)</v>
          </cell>
          <cell r="G122" t="str">
            <v>(  0.0)</v>
          </cell>
          <cell r="I122" t="str">
            <v>(100.0)</v>
          </cell>
          <cell r="J122" t="str">
            <v>(  0.0)</v>
          </cell>
          <cell r="K122" t="str">
            <v>(  0.0)</v>
          </cell>
          <cell r="L122" t="str">
            <v>(  0.0)</v>
          </cell>
          <cell r="M122" t="str">
            <v>(  0.0)</v>
          </cell>
        </row>
        <row r="124">
          <cell r="B124" t="str">
            <v/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  <cell r="F124" t="str">
            <v xml:space="preserve"> </v>
          </cell>
          <cell r="G124" t="str">
            <v xml:space="preserve"> </v>
          </cell>
          <cell r="H124" t="str">
            <v/>
          </cell>
          <cell r="I124" t="str">
            <v xml:space="preserve"> </v>
          </cell>
          <cell r="J124" t="str">
            <v xml:space="preserve"> </v>
          </cell>
          <cell r="K124" t="str">
            <v xml:space="preserve"> </v>
          </cell>
          <cell r="L124" t="str">
            <v xml:space="preserve"> </v>
          </cell>
          <cell r="M124" t="str">
            <v xml:space="preserve"> </v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</row>
        <row r="126">
          <cell r="B126" t="str">
            <v/>
          </cell>
          <cell r="C126" t="str">
            <v xml:space="preserve"> </v>
          </cell>
          <cell r="D126" t="str">
            <v xml:space="preserve"> </v>
          </cell>
          <cell r="E126" t="str">
            <v xml:space="preserve"> </v>
          </cell>
          <cell r="F126" t="str">
            <v xml:space="preserve"> </v>
          </cell>
          <cell r="G126" t="str">
            <v xml:space="preserve"> </v>
          </cell>
          <cell r="H126" t="str">
            <v/>
          </cell>
          <cell r="I126" t="str">
            <v xml:space="preserve"> </v>
          </cell>
          <cell r="J126" t="str">
            <v xml:space="preserve"> </v>
          </cell>
          <cell r="K126" t="str">
            <v xml:space="preserve"> </v>
          </cell>
          <cell r="L126" t="str">
            <v xml:space="preserve"> </v>
          </cell>
          <cell r="M126" t="str">
            <v xml:space="preserve"> </v>
          </cell>
        </row>
        <row r="127"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</row>
        <row r="128">
          <cell r="B128" t="str">
            <v/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  <cell r="F128" t="str">
            <v xml:space="preserve"> </v>
          </cell>
          <cell r="G128" t="str">
            <v xml:space="preserve"> </v>
          </cell>
          <cell r="H128" t="str">
            <v/>
          </cell>
          <cell r="I128" t="str">
            <v xml:space="preserve"> </v>
          </cell>
          <cell r="J128" t="str">
            <v xml:space="preserve"> </v>
          </cell>
          <cell r="K128" t="str">
            <v xml:space="preserve"> </v>
          </cell>
          <cell r="L128" t="str">
            <v xml:space="preserve"> </v>
          </cell>
          <cell r="M128" t="str">
            <v xml:space="preserve"> </v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</row>
        <row r="131">
          <cell r="B131" t="str">
            <v/>
          </cell>
          <cell r="C131" t="str">
            <v xml:space="preserve"> </v>
          </cell>
          <cell r="D131" t="str">
            <v xml:space="preserve"> </v>
          </cell>
          <cell r="E131" t="str">
            <v xml:space="preserve"> </v>
          </cell>
          <cell r="F131" t="str">
            <v xml:space="preserve"> </v>
          </cell>
          <cell r="G131" t="str">
            <v xml:space="preserve"> </v>
          </cell>
          <cell r="H131" t="str">
            <v/>
          </cell>
          <cell r="I131" t="str">
            <v xml:space="preserve"> </v>
          </cell>
          <cell r="J131" t="str">
            <v xml:space="preserve"> </v>
          </cell>
          <cell r="K131" t="str">
            <v xml:space="preserve"> </v>
          </cell>
          <cell r="L131" t="str">
            <v xml:space="preserve"> </v>
          </cell>
          <cell r="M131" t="str">
            <v xml:space="preserve"> </v>
          </cell>
        </row>
        <row r="132"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</row>
        <row r="133">
          <cell r="B133" t="str">
            <v/>
          </cell>
          <cell r="C133" t="str">
            <v xml:space="preserve"> </v>
          </cell>
          <cell r="D133" t="str">
            <v xml:space="preserve"> </v>
          </cell>
          <cell r="E133" t="str">
            <v xml:space="preserve"> </v>
          </cell>
          <cell r="F133" t="str">
            <v xml:space="preserve"> </v>
          </cell>
          <cell r="G133" t="str">
            <v xml:space="preserve"> </v>
          </cell>
          <cell r="H133" t="str">
            <v/>
          </cell>
          <cell r="I133" t="str">
            <v xml:space="preserve"> </v>
          </cell>
          <cell r="J133" t="str">
            <v xml:space="preserve"> </v>
          </cell>
          <cell r="K133" t="str">
            <v xml:space="preserve"> </v>
          </cell>
          <cell r="L133" t="str">
            <v xml:space="preserve"> </v>
          </cell>
          <cell r="M133" t="str">
            <v xml:space="preserve"> </v>
          </cell>
        </row>
        <row r="134"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</row>
        <row r="135">
          <cell r="B135" t="str">
            <v/>
          </cell>
          <cell r="C135" t="str">
            <v xml:space="preserve"> </v>
          </cell>
          <cell r="D135" t="str">
            <v xml:space="preserve"> </v>
          </cell>
          <cell r="E135" t="str">
            <v xml:space="preserve"> </v>
          </cell>
          <cell r="F135" t="str">
            <v xml:space="preserve"> </v>
          </cell>
          <cell r="G135" t="str">
            <v xml:space="preserve"> </v>
          </cell>
          <cell r="H135" t="str">
            <v/>
          </cell>
          <cell r="I135" t="str">
            <v xml:space="preserve"> </v>
          </cell>
          <cell r="J135" t="str">
            <v xml:space="preserve"> </v>
          </cell>
          <cell r="K135" t="str">
            <v xml:space="preserve"> </v>
          </cell>
          <cell r="L135" t="str">
            <v xml:space="preserve"> </v>
          </cell>
          <cell r="M135" t="str">
            <v xml:space="preserve"> </v>
          </cell>
        </row>
        <row r="136"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</row>
        <row r="138">
          <cell r="B138" t="str">
            <v/>
          </cell>
          <cell r="C138" t="str">
            <v xml:space="preserve"> </v>
          </cell>
          <cell r="D138" t="str">
            <v xml:space="preserve"> </v>
          </cell>
          <cell r="E138" t="str">
            <v xml:space="preserve"> </v>
          </cell>
          <cell r="F138" t="str">
            <v xml:space="preserve"> </v>
          </cell>
          <cell r="G138" t="str">
            <v xml:space="preserve"> </v>
          </cell>
          <cell r="H138" t="str">
            <v/>
          </cell>
          <cell r="I138" t="str">
            <v xml:space="preserve"> </v>
          </cell>
          <cell r="J138" t="str">
            <v xml:space="preserve"> </v>
          </cell>
          <cell r="K138" t="str">
            <v xml:space="preserve"> </v>
          </cell>
          <cell r="L138" t="str">
            <v xml:space="preserve"> </v>
          </cell>
          <cell r="M138" t="str">
            <v xml:space="preserve"> </v>
          </cell>
        </row>
        <row r="139"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</row>
        <row r="140">
          <cell r="B140" t="str">
            <v/>
          </cell>
          <cell r="C140" t="str">
            <v xml:space="preserve"> </v>
          </cell>
          <cell r="D140" t="str">
            <v xml:space="preserve"> </v>
          </cell>
          <cell r="E140" t="str">
            <v xml:space="preserve"> </v>
          </cell>
          <cell r="F140" t="str">
            <v xml:space="preserve"> </v>
          </cell>
          <cell r="G140" t="str">
            <v xml:space="preserve"> </v>
          </cell>
          <cell r="H140" t="str">
            <v/>
          </cell>
          <cell r="I140" t="str">
            <v xml:space="preserve"> </v>
          </cell>
          <cell r="J140" t="str">
            <v xml:space="preserve"> </v>
          </cell>
          <cell r="K140" t="str">
            <v xml:space="preserve"> </v>
          </cell>
          <cell r="L140" t="str">
            <v xml:space="preserve"> </v>
          </cell>
          <cell r="M140" t="str">
            <v xml:space="preserve"> </v>
          </cell>
        </row>
        <row r="141"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</row>
        <row r="142">
          <cell r="B142" t="str">
            <v/>
          </cell>
          <cell r="C142" t="str">
            <v xml:space="preserve"> </v>
          </cell>
          <cell r="D142" t="str">
            <v xml:space="preserve"> </v>
          </cell>
          <cell r="E142" t="str">
            <v xml:space="preserve"> </v>
          </cell>
          <cell r="F142" t="str">
            <v xml:space="preserve"> </v>
          </cell>
          <cell r="G142" t="str">
            <v xml:space="preserve"> </v>
          </cell>
          <cell r="H142" t="str">
            <v/>
          </cell>
          <cell r="I142" t="str">
            <v xml:space="preserve"> </v>
          </cell>
          <cell r="J142" t="str">
            <v xml:space="preserve"> </v>
          </cell>
          <cell r="K142" t="str">
            <v xml:space="preserve"> </v>
          </cell>
          <cell r="L142" t="str">
            <v xml:space="preserve"> </v>
          </cell>
          <cell r="M142" t="str">
            <v xml:space="preserve"> </v>
          </cell>
        </row>
        <row r="143"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</row>
        <row r="145">
          <cell r="B145" t="str">
            <v/>
          </cell>
          <cell r="C145" t="str">
            <v xml:space="preserve"> </v>
          </cell>
          <cell r="D145" t="str">
            <v xml:space="preserve"> 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/>
          </cell>
          <cell r="I145" t="str">
            <v xml:space="preserve"> </v>
          </cell>
          <cell r="J145" t="str">
            <v xml:space="preserve"> </v>
          </cell>
          <cell r="K145" t="str">
            <v xml:space="preserve"> </v>
          </cell>
          <cell r="L145" t="str">
            <v xml:space="preserve"> </v>
          </cell>
          <cell r="M145" t="str">
            <v xml:space="preserve"> </v>
          </cell>
        </row>
        <row r="146"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</row>
        <row r="147">
          <cell r="B147" t="str">
            <v/>
          </cell>
          <cell r="C147" t="str">
            <v xml:space="preserve"> </v>
          </cell>
          <cell r="D147" t="str">
            <v xml:space="preserve"> </v>
          </cell>
          <cell r="E147" t="str">
            <v xml:space="preserve"> </v>
          </cell>
          <cell r="F147" t="str">
            <v xml:space="preserve"> </v>
          </cell>
          <cell r="G147" t="str">
            <v xml:space="preserve"> </v>
          </cell>
          <cell r="H147" t="str">
            <v/>
          </cell>
          <cell r="I147" t="str">
            <v xml:space="preserve"> </v>
          </cell>
          <cell r="J147" t="str">
            <v xml:space="preserve"> </v>
          </cell>
          <cell r="K147" t="str">
            <v xml:space="preserve"> </v>
          </cell>
          <cell r="L147" t="str">
            <v xml:space="preserve"> </v>
          </cell>
          <cell r="M147" t="str">
            <v xml:space="preserve"> </v>
          </cell>
        </row>
        <row r="148"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</row>
        <row r="149">
          <cell r="B149" t="str">
            <v/>
          </cell>
          <cell r="C149" t="str">
            <v xml:space="preserve"> </v>
          </cell>
          <cell r="D149" t="str">
            <v xml:space="preserve"> </v>
          </cell>
          <cell r="E149" t="str">
            <v xml:space="preserve"> </v>
          </cell>
          <cell r="F149" t="str">
            <v xml:space="preserve"> </v>
          </cell>
          <cell r="G149" t="str">
            <v xml:space="preserve"> </v>
          </cell>
          <cell r="H149" t="str">
            <v/>
          </cell>
          <cell r="I149" t="str">
            <v xml:space="preserve"> </v>
          </cell>
          <cell r="J149" t="str">
            <v xml:space="preserve"> </v>
          </cell>
          <cell r="K149" t="str">
            <v xml:space="preserve"> </v>
          </cell>
          <cell r="L149" t="str">
            <v xml:space="preserve"> </v>
          </cell>
          <cell r="M149" t="str">
            <v xml:space="preserve"> </v>
          </cell>
        </row>
        <row r="150"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</row>
        <row r="152">
          <cell r="B152" t="str">
            <v/>
          </cell>
          <cell r="C152" t="str">
            <v xml:space="preserve"> 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G152" t="str">
            <v xml:space="preserve"> </v>
          </cell>
          <cell r="H152" t="str">
            <v/>
          </cell>
          <cell r="I152" t="str">
            <v xml:space="preserve"> </v>
          </cell>
          <cell r="J152" t="str">
            <v xml:space="preserve"> </v>
          </cell>
          <cell r="K152" t="str">
            <v xml:space="preserve"> </v>
          </cell>
          <cell r="L152" t="str">
            <v xml:space="preserve"> </v>
          </cell>
          <cell r="M152" t="str">
            <v xml:space="preserve"> </v>
          </cell>
        </row>
        <row r="153"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</row>
        <row r="154">
          <cell r="B154" t="str">
            <v/>
          </cell>
          <cell r="C154" t="str">
            <v xml:space="preserve"> </v>
          </cell>
          <cell r="D154" t="str">
            <v xml:space="preserve"> </v>
          </cell>
          <cell r="E154" t="str">
            <v xml:space="preserve"> </v>
          </cell>
          <cell r="F154" t="str">
            <v xml:space="preserve"> </v>
          </cell>
          <cell r="G154" t="str">
            <v xml:space="preserve"> </v>
          </cell>
          <cell r="H154" t="str">
            <v/>
          </cell>
          <cell r="I154" t="str">
            <v xml:space="preserve"> </v>
          </cell>
          <cell r="J154" t="str">
            <v xml:space="preserve"> </v>
          </cell>
          <cell r="K154" t="str">
            <v xml:space="preserve"> </v>
          </cell>
          <cell r="L154" t="str">
            <v xml:space="preserve"> </v>
          </cell>
          <cell r="M154" t="str">
            <v xml:space="preserve"> </v>
          </cell>
        </row>
        <row r="155"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</row>
        <row r="156">
          <cell r="B156" t="str">
            <v/>
          </cell>
          <cell r="C156" t="str">
            <v xml:space="preserve"> </v>
          </cell>
          <cell r="D156" t="str">
            <v xml:space="preserve"> </v>
          </cell>
          <cell r="E156" t="str">
            <v xml:space="preserve"> </v>
          </cell>
          <cell r="F156" t="str">
            <v xml:space="preserve"> </v>
          </cell>
          <cell r="G156" t="str">
            <v xml:space="preserve"> </v>
          </cell>
          <cell r="H156" t="str">
            <v/>
          </cell>
          <cell r="I156" t="str">
            <v xml:space="preserve"> </v>
          </cell>
          <cell r="J156" t="str">
            <v xml:space="preserve"> </v>
          </cell>
          <cell r="K156" t="str">
            <v xml:space="preserve"> </v>
          </cell>
          <cell r="L156" t="str">
            <v xml:space="preserve"> </v>
          </cell>
          <cell r="M156" t="str">
            <v xml:space="preserve"> </v>
          </cell>
        </row>
        <row r="157"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</row>
        <row r="159">
          <cell r="B159" t="str">
            <v/>
          </cell>
          <cell r="C159" t="str">
            <v xml:space="preserve"> </v>
          </cell>
          <cell r="D159" t="str">
            <v xml:space="preserve"> </v>
          </cell>
          <cell r="E159" t="str">
            <v xml:space="preserve"> </v>
          </cell>
          <cell r="F159" t="str">
            <v xml:space="preserve"> </v>
          </cell>
          <cell r="G159" t="str">
            <v xml:space="preserve"> </v>
          </cell>
          <cell r="H159" t="str">
            <v/>
          </cell>
          <cell r="I159" t="str">
            <v xml:space="preserve"> </v>
          </cell>
          <cell r="J159" t="str">
            <v xml:space="preserve"> </v>
          </cell>
          <cell r="K159" t="str">
            <v xml:space="preserve"> </v>
          </cell>
          <cell r="L159" t="str">
            <v xml:space="preserve"> </v>
          </cell>
          <cell r="M159" t="str">
            <v xml:space="preserve"> </v>
          </cell>
        </row>
        <row r="160"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</row>
        <row r="161">
          <cell r="B161" t="str">
            <v/>
          </cell>
          <cell r="C161" t="str">
            <v xml:space="preserve"> </v>
          </cell>
          <cell r="D161" t="str">
            <v xml:space="preserve"> </v>
          </cell>
          <cell r="E161" t="str">
            <v xml:space="preserve"> </v>
          </cell>
          <cell r="F161" t="str">
            <v xml:space="preserve"> </v>
          </cell>
          <cell r="G161" t="str">
            <v xml:space="preserve"> </v>
          </cell>
          <cell r="H161" t="str">
            <v/>
          </cell>
          <cell r="I161" t="str">
            <v xml:space="preserve"> </v>
          </cell>
          <cell r="J161" t="str">
            <v xml:space="preserve"> </v>
          </cell>
          <cell r="K161" t="str">
            <v xml:space="preserve"> </v>
          </cell>
          <cell r="L161" t="str">
            <v xml:space="preserve"> </v>
          </cell>
          <cell r="M161" t="str">
            <v xml:space="preserve"> </v>
          </cell>
        </row>
        <row r="162"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</row>
        <row r="163">
          <cell r="B163" t="str">
            <v/>
          </cell>
          <cell r="C163" t="str">
            <v xml:space="preserve"> </v>
          </cell>
          <cell r="D163" t="str">
            <v xml:space="preserve"> </v>
          </cell>
          <cell r="E163" t="str">
            <v xml:space="preserve"> </v>
          </cell>
          <cell r="F163" t="str">
            <v xml:space="preserve"> </v>
          </cell>
          <cell r="G163" t="str">
            <v xml:space="preserve"> </v>
          </cell>
          <cell r="H163" t="str">
            <v/>
          </cell>
          <cell r="I163" t="str">
            <v xml:space="preserve"> </v>
          </cell>
          <cell r="J163" t="str">
            <v xml:space="preserve"> </v>
          </cell>
          <cell r="K163" t="str">
            <v xml:space="preserve"> </v>
          </cell>
          <cell r="L163" t="str">
            <v xml:space="preserve"> </v>
          </cell>
          <cell r="M163" t="str">
            <v xml:space="preserve"> </v>
          </cell>
        </row>
        <row r="164"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</row>
        <row r="166">
          <cell r="B166" t="str">
            <v/>
          </cell>
          <cell r="C166" t="str">
            <v xml:space="preserve"> </v>
          </cell>
          <cell r="D166" t="str">
            <v xml:space="preserve"> </v>
          </cell>
          <cell r="E166" t="str">
            <v xml:space="preserve"> </v>
          </cell>
          <cell r="F166" t="str">
            <v xml:space="preserve"> </v>
          </cell>
          <cell r="G166" t="str">
            <v xml:space="preserve"> </v>
          </cell>
          <cell r="H166" t="str">
            <v/>
          </cell>
          <cell r="I166" t="str">
            <v xml:space="preserve"> </v>
          </cell>
          <cell r="J166" t="str">
            <v xml:space="preserve"> </v>
          </cell>
          <cell r="K166" t="str">
            <v xml:space="preserve"> </v>
          </cell>
          <cell r="L166" t="str">
            <v xml:space="preserve"> </v>
          </cell>
          <cell r="M166" t="str">
            <v xml:space="preserve"> </v>
          </cell>
        </row>
        <row r="167"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</row>
        <row r="168">
          <cell r="B168" t="str">
            <v/>
          </cell>
          <cell r="C168" t="str">
            <v xml:space="preserve"> </v>
          </cell>
          <cell r="D168" t="str">
            <v xml:space="preserve"> </v>
          </cell>
          <cell r="E168" t="str">
            <v xml:space="preserve"> </v>
          </cell>
          <cell r="F168" t="str">
            <v xml:space="preserve"> </v>
          </cell>
          <cell r="G168" t="str">
            <v xml:space="preserve"> </v>
          </cell>
          <cell r="H168" t="str">
            <v/>
          </cell>
          <cell r="I168" t="str">
            <v xml:space="preserve"> </v>
          </cell>
          <cell r="J168" t="str">
            <v xml:space="preserve"> </v>
          </cell>
          <cell r="K168" t="str">
            <v xml:space="preserve"> </v>
          </cell>
          <cell r="L168" t="str">
            <v xml:space="preserve"> </v>
          </cell>
          <cell r="M168" t="str">
            <v xml:space="preserve"> </v>
          </cell>
        </row>
        <row r="169"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</row>
        <row r="170">
          <cell r="B170" t="str">
            <v/>
          </cell>
          <cell r="C170" t="str">
            <v xml:space="preserve"> </v>
          </cell>
          <cell r="D170" t="str">
            <v xml:space="preserve"> </v>
          </cell>
          <cell r="E170" t="str">
            <v xml:space="preserve"> </v>
          </cell>
          <cell r="F170" t="str">
            <v xml:space="preserve"> </v>
          </cell>
          <cell r="G170" t="str">
            <v xml:space="preserve"> </v>
          </cell>
          <cell r="H170" t="str">
            <v/>
          </cell>
          <cell r="I170" t="str">
            <v xml:space="preserve"> </v>
          </cell>
          <cell r="J170" t="str">
            <v xml:space="preserve"> </v>
          </cell>
          <cell r="K170" t="str">
            <v xml:space="preserve"> </v>
          </cell>
          <cell r="L170" t="str">
            <v xml:space="preserve"> </v>
          </cell>
          <cell r="M170" t="str">
            <v xml:space="preserve"> </v>
          </cell>
        </row>
        <row r="171"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</row>
        <row r="173">
          <cell r="B173" t="str">
            <v/>
          </cell>
          <cell r="C173" t="str">
            <v xml:space="preserve"> </v>
          </cell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G173" t="str">
            <v xml:space="preserve"> </v>
          </cell>
          <cell r="H173" t="str">
            <v/>
          </cell>
          <cell r="I173" t="str">
            <v xml:space="preserve"> </v>
          </cell>
          <cell r="J173" t="str">
            <v xml:space="preserve"> </v>
          </cell>
          <cell r="K173" t="str">
            <v xml:space="preserve"> </v>
          </cell>
          <cell r="L173" t="str">
            <v xml:space="preserve"> </v>
          </cell>
          <cell r="M173" t="str">
            <v xml:space="preserve"> </v>
          </cell>
        </row>
        <row r="174"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</row>
        <row r="175">
          <cell r="B175" t="str">
            <v/>
          </cell>
          <cell r="C175" t="str">
            <v xml:space="preserve"> </v>
          </cell>
          <cell r="D175" t="str">
            <v xml:space="preserve"> </v>
          </cell>
          <cell r="E175" t="str">
            <v xml:space="preserve"> </v>
          </cell>
          <cell r="F175" t="str">
            <v xml:space="preserve"> </v>
          </cell>
          <cell r="G175" t="str">
            <v xml:space="preserve"> </v>
          </cell>
          <cell r="H175" t="str">
            <v/>
          </cell>
          <cell r="I175" t="str">
            <v xml:space="preserve"> </v>
          </cell>
          <cell r="J175" t="str">
            <v xml:space="preserve"> </v>
          </cell>
          <cell r="K175" t="str">
            <v xml:space="preserve"> </v>
          </cell>
          <cell r="L175" t="str">
            <v xml:space="preserve"> </v>
          </cell>
          <cell r="M175" t="str">
            <v xml:space="preserve"> </v>
          </cell>
        </row>
        <row r="176"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</row>
        <row r="177">
          <cell r="B177" t="str">
            <v/>
          </cell>
          <cell r="C177" t="str">
            <v xml:space="preserve"> </v>
          </cell>
          <cell r="D177" t="str">
            <v xml:space="preserve"> </v>
          </cell>
          <cell r="E177" t="str">
            <v xml:space="preserve"> </v>
          </cell>
          <cell r="F177" t="str">
            <v xml:space="preserve"> </v>
          </cell>
          <cell r="G177" t="str">
            <v xml:space="preserve"> </v>
          </cell>
          <cell r="H177" t="str">
            <v/>
          </cell>
          <cell r="I177" t="str">
            <v xml:space="preserve"> </v>
          </cell>
          <cell r="J177" t="str">
            <v xml:space="preserve"> </v>
          </cell>
          <cell r="K177" t="str">
            <v xml:space="preserve"> </v>
          </cell>
          <cell r="L177" t="str">
            <v xml:space="preserve"> </v>
          </cell>
          <cell r="M177" t="str">
            <v xml:space="preserve"> </v>
          </cell>
        </row>
        <row r="178"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</row>
        <row r="180">
          <cell r="B180" t="str">
            <v/>
          </cell>
          <cell r="C180" t="str">
            <v xml:space="preserve"> </v>
          </cell>
          <cell r="D180" t="str">
            <v xml:space="preserve"> </v>
          </cell>
          <cell r="E180" t="str">
            <v xml:space="preserve"> </v>
          </cell>
          <cell r="F180" t="str">
            <v xml:space="preserve"> </v>
          </cell>
          <cell r="G180" t="str">
            <v xml:space="preserve"> </v>
          </cell>
          <cell r="H180" t="str">
            <v/>
          </cell>
          <cell r="I180" t="str">
            <v xml:space="preserve"> </v>
          </cell>
          <cell r="J180" t="str">
            <v xml:space="preserve"> </v>
          </cell>
          <cell r="K180" t="str">
            <v xml:space="preserve"> </v>
          </cell>
          <cell r="L180" t="str">
            <v xml:space="preserve"> </v>
          </cell>
          <cell r="M180" t="str">
            <v xml:space="preserve"> </v>
          </cell>
        </row>
        <row r="181"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</row>
        <row r="182">
          <cell r="B182" t="str">
            <v/>
          </cell>
          <cell r="C182" t="str">
            <v xml:space="preserve"> </v>
          </cell>
          <cell r="D182" t="str">
            <v xml:space="preserve"> </v>
          </cell>
          <cell r="E182" t="str">
            <v xml:space="preserve"> </v>
          </cell>
          <cell r="F182" t="str">
            <v xml:space="preserve"> </v>
          </cell>
          <cell r="G182" t="str">
            <v xml:space="preserve"> </v>
          </cell>
          <cell r="H182" t="str">
            <v/>
          </cell>
          <cell r="I182" t="str">
            <v xml:space="preserve"> </v>
          </cell>
          <cell r="J182" t="str">
            <v xml:space="preserve"> </v>
          </cell>
          <cell r="K182" t="str">
            <v xml:space="preserve"> </v>
          </cell>
          <cell r="L182" t="str">
            <v xml:space="preserve"> </v>
          </cell>
          <cell r="M182" t="str">
            <v xml:space="preserve"> </v>
          </cell>
        </row>
        <row r="183"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</row>
        <row r="184">
          <cell r="B184" t="str">
            <v/>
          </cell>
          <cell r="C184" t="str">
            <v xml:space="preserve"> </v>
          </cell>
          <cell r="D184" t="str">
            <v xml:space="preserve"> </v>
          </cell>
          <cell r="E184" t="str">
            <v xml:space="preserve"> </v>
          </cell>
          <cell r="F184" t="str">
            <v xml:space="preserve"> </v>
          </cell>
          <cell r="G184" t="str">
            <v xml:space="preserve"> </v>
          </cell>
          <cell r="H184" t="str">
            <v/>
          </cell>
          <cell r="I184" t="str">
            <v xml:space="preserve"> </v>
          </cell>
          <cell r="J184" t="str">
            <v xml:space="preserve"> </v>
          </cell>
          <cell r="K184" t="str">
            <v xml:space="preserve"> </v>
          </cell>
          <cell r="L184" t="str">
            <v xml:space="preserve"> </v>
          </cell>
          <cell r="M184" t="str">
            <v xml:space="preserve"> </v>
          </cell>
        </row>
        <row r="185"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</row>
        <row r="187">
          <cell r="B187" t="str">
            <v/>
          </cell>
          <cell r="C187" t="str">
            <v xml:space="preserve"> </v>
          </cell>
          <cell r="D187" t="str">
            <v xml:space="preserve"> </v>
          </cell>
          <cell r="E187" t="str">
            <v xml:space="preserve"> </v>
          </cell>
          <cell r="F187" t="str">
            <v xml:space="preserve"> </v>
          </cell>
          <cell r="G187" t="str">
            <v xml:space="preserve"> </v>
          </cell>
          <cell r="H187" t="str">
            <v/>
          </cell>
          <cell r="I187" t="str">
            <v xml:space="preserve"> </v>
          </cell>
          <cell r="J187" t="str">
            <v xml:space="preserve"> </v>
          </cell>
          <cell r="K187" t="str">
            <v xml:space="preserve"> </v>
          </cell>
          <cell r="L187" t="str">
            <v xml:space="preserve"> </v>
          </cell>
          <cell r="M187" t="str">
            <v xml:space="preserve"> </v>
          </cell>
        </row>
        <row r="188"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</row>
        <row r="189">
          <cell r="B189" t="str">
            <v/>
          </cell>
          <cell r="C189" t="str">
            <v xml:space="preserve"> </v>
          </cell>
          <cell r="D189" t="str">
            <v xml:space="preserve"> </v>
          </cell>
          <cell r="E189" t="str">
            <v xml:space="preserve"> </v>
          </cell>
          <cell r="F189" t="str">
            <v xml:space="preserve"> </v>
          </cell>
          <cell r="G189" t="str">
            <v xml:space="preserve"> </v>
          </cell>
          <cell r="H189" t="str">
            <v/>
          </cell>
          <cell r="I189" t="str">
            <v xml:space="preserve"> </v>
          </cell>
          <cell r="J189" t="str">
            <v xml:space="preserve"> </v>
          </cell>
          <cell r="K189" t="str">
            <v xml:space="preserve"> </v>
          </cell>
          <cell r="L189" t="str">
            <v xml:space="preserve"> </v>
          </cell>
          <cell r="M189" t="str">
            <v xml:space="preserve"> </v>
          </cell>
        </row>
        <row r="190"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</row>
        <row r="191">
          <cell r="B191" t="str">
            <v/>
          </cell>
          <cell r="C191" t="str">
            <v xml:space="preserve"> </v>
          </cell>
          <cell r="D191" t="str">
            <v xml:space="preserve"> </v>
          </cell>
          <cell r="E191" t="str">
            <v xml:space="preserve"> </v>
          </cell>
          <cell r="F191" t="str">
            <v xml:space="preserve"> </v>
          </cell>
          <cell r="G191" t="str">
            <v xml:space="preserve"> </v>
          </cell>
          <cell r="H191" t="str">
            <v/>
          </cell>
          <cell r="I191" t="str">
            <v xml:space="preserve"> </v>
          </cell>
          <cell r="J191" t="str">
            <v xml:space="preserve"> </v>
          </cell>
          <cell r="K191" t="str">
            <v xml:space="preserve"> </v>
          </cell>
          <cell r="L191" t="str">
            <v xml:space="preserve"> </v>
          </cell>
          <cell r="M191" t="str">
            <v xml:space="preserve"> </v>
          </cell>
        </row>
        <row r="192"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</row>
        <row r="194">
          <cell r="B194" t="str">
            <v/>
          </cell>
          <cell r="C194" t="str">
            <v xml:space="preserve"> </v>
          </cell>
          <cell r="D194" t="str">
            <v xml:space="preserve"> </v>
          </cell>
          <cell r="E194" t="str">
            <v xml:space="preserve"> </v>
          </cell>
          <cell r="F194" t="str">
            <v xml:space="preserve"> </v>
          </cell>
          <cell r="G194" t="str">
            <v xml:space="preserve"> </v>
          </cell>
          <cell r="H194" t="str">
            <v/>
          </cell>
          <cell r="I194" t="str">
            <v xml:space="preserve"> </v>
          </cell>
          <cell r="J194" t="str">
            <v xml:space="preserve"> </v>
          </cell>
          <cell r="K194" t="str">
            <v xml:space="preserve"> </v>
          </cell>
          <cell r="L194" t="str">
            <v xml:space="preserve"> </v>
          </cell>
          <cell r="M194" t="str">
            <v xml:space="preserve"> </v>
          </cell>
        </row>
        <row r="195"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</row>
        <row r="196">
          <cell r="B196" t="str">
            <v/>
          </cell>
          <cell r="C196" t="str">
            <v xml:space="preserve"> </v>
          </cell>
          <cell r="D196" t="str">
            <v xml:space="preserve"> </v>
          </cell>
          <cell r="E196" t="str">
            <v xml:space="preserve"> </v>
          </cell>
          <cell r="F196" t="str">
            <v xml:space="preserve"> </v>
          </cell>
          <cell r="G196" t="str">
            <v xml:space="preserve"> </v>
          </cell>
          <cell r="H196" t="str">
            <v/>
          </cell>
          <cell r="I196" t="str">
            <v xml:space="preserve"> </v>
          </cell>
          <cell r="J196" t="str">
            <v xml:space="preserve"> </v>
          </cell>
          <cell r="K196" t="str">
            <v xml:space="preserve"> </v>
          </cell>
          <cell r="L196" t="str">
            <v xml:space="preserve"> </v>
          </cell>
          <cell r="M196" t="str">
            <v xml:space="preserve"> </v>
          </cell>
        </row>
        <row r="197"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</row>
        <row r="198">
          <cell r="B198" t="str">
            <v/>
          </cell>
          <cell r="C198" t="str">
            <v xml:space="preserve"> </v>
          </cell>
          <cell r="D198" t="str">
            <v xml:space="preserve"> </v>
          </cell>
          <cell r="E198" t="str">
            <v xml:space="preserve"> </v>
          </cell>
          <cell r="F198" t="str">
            <v xml:space="preserve"> </v>
          </cell>
          <cell r="G198" t="str">
            <v xml:space="preserve"> </v>
          </cell>
          <cell r="H198" t="str">
            <v/>
          </cell>
          <cell r="I198" t="str">
            <v xml:space="preserve"> </v>
          </cell>
          <cell r="J198" t="str">
            <v xml:space="preserve"> </v>
          </cell>
          <cell r="K198" t="str">
            <v xml:space="preserve"> </v>
          </cell>
          <cell r="L198" t="str">
            <v xml:space="preserve"> </v>
          </cell>
          <cell r="M198" t="str">
            <v xml:space="preserve"> </v>
          </cell>
        </row>
        <row r="199"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</row>
        <row r="201">
          <cell r="B201" t="str">
            <v/>
          </cell>
          <cell r="C201" t="str">
            <v xml:space="preserve"> </v>
          </cell>
          <cell r="D201" t="str">
            <v xml:space="preserve"> </v>
          </cell>
          <cell r="E201" t="str">
            <v xml:space="preserve"> </v>
          </cell>
          <cell r="F201" t="str">
            <v xml:space="preserve"> </v>
          </cell>
          <cell r="G201" t="str">
            <v xml:space="preserve"> </v>
          </cell>
          <cell r="H201" t="str">
            <v/>
          </cell>
          <cell r="I201" t="str">
            <v xml:space="preserve"> </v>
          </cell>
          <cell r="J201" t="str">
            <v xml:space="preserve"> </v>
          </cell>
          <cell r="K201" t="str">
            <v xml:space="preserve"> </v>
          </cell>
          <cell r="L201" t="str">
            <v xml:space="preserve"> </v>
          </cell>
          <cell r="M201" t="str">
            <v xml:space="preserve"> </v>
          </cell>
        </row>
        <row r="202"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</row>
        <row r="203">
          <cell r="B203" t="str">
            <v/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 xml:space="preserve"> </v>
          </cell>
          <cell r="G203" t="str">
            <v xml:space="preserve"> </v>
          </cell>
          <cell r="H203" t="str">
            <v/>
          </cell>
          <cell r="I203" t="str">
            <v xml:space="preserve"> </v>
          </cell>
          <cell r="J203" t="str">
            <v xml:space="preserve"> </v>
          </cell>
          <cell r="K203" t="str">
            <v xml:space="preserve"> </v>
          </cell>
          <cell r="L203" t="str">
            <v xml:space="preserve"> </v>
          </cell>
          <cell r="M203" t="str">
            <v xml:space="preserve"> </v>
          </cell>
        </row>
        <row r="204"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</row>
        <row r="205">
          <cell r="B205" t="str">
            <v/>
          </cell>
          <cell r="C205" t="str">
            <v xml:space="preserve"> </v>
          </cell>
          <cell r="D205" t="str">
            <v xml:space="preserve"> </v>
          </cell>
          <cell r="E205" t="str">
            <v xml:space="preserve"> </v>
          </cell>
          <cell r="F205" t="str">
            <v xml:space="preserve"> </v>
          </cell>
          <cell r="G205" t="str">
            <v xml:space="preserve"> </v>
          </cell>
          <cell r="H205" t="str">
            <v/>
          </cell>
          <cell r="I205" t="str">
            <v xml:space="preserve"> </v>
          </cell>
          <cell r="J205" t="str">
            <v xml:space="preserve"> </v>
          </cell>
          <cell r="K205" t="str">
            <v xml:space="preserve"> </v>
          </cell>
          <cell r="L205" t="str">
            <v xml:space="preserve"> </v>
          </cell>
          <cell r="M205" t="str">
            <v xml:space="preserve"> </v>
          </cell>
        </row>
        <row r="206"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</row>
        <row r="208">
          <cell r="B208" t="str">
            <v/>
          </cell>
          <cell r="C208" t="str">
            <v xml:space="preserve"> </v>
          </cell>
          <cell r="D208" t="str">
            <v xml:space="preserve"> </v>
          </cell>
          <cell r="E208" t="str">
            <v xml:space="preserve"> </v>
          </cell>
          <cell r="F208" t="str">
            <v xml:space="preserve"> </v>
          </cell>
          <cell r="G208" t="str">
            <v xml:space="preserve"> </v>
          </cell>
          <cell r="H208" t="str">
            <v/>
          </cell>
          <cell r="I208" t="str">
            <v xml:space="preserve"> </v>
          </cell>
          <cell r="J208" t="str">
            <v xml:space="preserve"> </v>
          </cell>
          <cell r="K208" t="str">
            <v xml:space="preserve"> </v>
          </cell>
          <cell r="L208" t="str">
            <v xml:space="preserve"> </v>
          </cell>
          <cell r="M208" t="str">
            <v xml:space="preserve"> </v>
          </cell>
        </row>
        <row r="209"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</row>
        <row r="210">
          <cell r="B210" t="str">
            <v/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  <cell r="F210" t="str">
            <v xml:space="preserve"> </v>
          </cell>
          <cell r="G210" t="str">
            <v xml:space="preserve"> </v>
          </cell>
          <cell r="H210" t="str">
            <v/>
          </cell>
          <cell r="I210" t="str">
            <v xml:space="preserve"> </v>
          </cell>
          <cell r="J210" t="str">
            <v xml:space="preserve"> </v>
          </cell>
          <cell r="K210" t="str">
            <v xml:space="preserve"> </v>
          </cell>
          <cell r="L210" t="str">
            <v xml:space="preserve"> </v>
          </cell>
          <cell r="M210" t="str">
            <v xml:space="preserve"> </v>
          </cell>
        </row>
        <row r="211"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</row>
        <row r="212">
          <cell r="B212" t="str">
            <v/>
          </cell>
          <cell r="C212" t="str">
            <v xml:space="preserve"> </v>
          </cell>
          <cell r="D212" t="str">
            <v xml:space="preserve"> </v>
          </cell>
          <cell r="E212" t="str">
            <v xml:space="preserve"> </v>
          </cell>
          <cell r="F212" t="str">
            <v xml:space="preserve"> </v>
          </cell>
          <cell r="G212" t="str">
            <v xml:space="preserve"> </v>
          </cell>
          <cell r="H212" t="str">
            <v/>
          </cell>
          <cell r="I212" t="str">
            <v xml:space="preserve"> </v>
          </cell>
          <cell r="J212" t="str">
            <v xml:space="preserve"> </v>
          </cell>
          <cell r="K212" t="str">
            <v xml:space="preserve"> </v>
          </cell>
          <cell r="L212" t="str">
            <v xml:space="preserve"> </v>
          </cell>
          <cell r="M212" t="str">
            <v xml:space="preserve"> </v>
          </cell>
        </row>
        <row r="213"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</row>
        <row r="215">
          <cell r="B215" t="str">
            <v/>
          </cell>
          <cell r="C215" t="str">
            <v xml:space="preserve"> </v>
          </cell>
          <cell r="D215" t="str">
            <v xml:space="preserve"> </v>
          </cell>
          <cell r="E215" t="str">
            <v xml:space="preserve"> </v>
          </cell>
          <cell r="F215" t="str">
            <v xml:space="preserve"> </v>
          </cell>
          <cell r="G215" t="str">
            <v xml:space="preserve"> </v>
          </cell>
          <cell r="H215" t="str">
            <v/>
          </cell>
          <cell r="I215" t="str">
            <v xml:space="preserve"> </v>
          </cell>
          <cell r="J215" t="str">
            <v xml:space="preserve"> </v>
          </cell>
          <cell r="K215" t="str">
            <v xml:space="preserve"> </v>
          </cell>
          <cell r="L215" t="str">
            <v xml:space="preserve"> </v>
          </cell>
          <cell r="M215" t="str">
            <v xml:space="preserve"> </v>
          </cell>
        </row>
        <row r="216"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</row>
        <row r="217">
          <cell r="B217" t="str">
            <v/>
          </cell>
          <cell r="C217" t="str">
            <v xml:space="preserve"> </v>
          </cell>
          <cell r="D217" t="str">
            <v xml:space="preserve"> </v>
          </cell>
          <cell r="E217" t="str">
            <v xml:space="preserve"> </v>
          </cell>
          <cell r="F217" t="str">
            <v xml:space="preserve"> </v>
          </cell>
          <cell r="G217" t="str">
            <v xml:space="preserve"> </v>
          </cell>
          <cell r="H217" t="str">
            <v/>
          </cell>
          <cell r="I217" t="str">
            <v xml:space="preserve"> </v>
          </cell>
          <cell r="J217" t="str">
            <v xml:space="preserve"> </v>
          </cell>
          <cell r="K217" t="str">
            <v xml:space="preserve"> </v>
          </cell>
          <cell r="L217" t="str">
            <v xml:space="preserve"> </v>
          </cell>
          <cell r="M217" t="str">
            <v xml:space="preserve"> </v>
          </cell>
        </row>
        <row r="218"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</row>
        <row r="219">
          <cell r="B219" t="str">
            <v/>
          </cell>
          <cell r="C219" t="str">
            <v xml:space="preserve"> </v>
          </cell>
          <cell r="D219" t="str">
            <v xml:space="preserve"> </v>
          </cell>
          <cell r="E219" t="str">
            <v xml:space="preserve"> </v>
          </cell>
          <cell r="F219" t="str">
            <v xml:space="preserve"> </v>
          </cell>
          <cell r="G219" t="str">
            <v xml:space="preserve"> </v>
          </cell>
          <cell r="H219" t="str">
            <v/>
          </cell>
          <cell r="I219" t="str">
            <v xml:space="preserve"> </v>
          </cell>
          <cell r="J219" t="str">
            <v xml:space="preserve"> </v>
          </cell>
          <cell r="K219" t="str">
            <v xml:space="preserve"> </v>
          </cell>
          <cell r="L219" t="str">
            <v xml:space="preserve"> </v>
          </cell>
          <cell r="M219" t="str">
            <v xml:space="preserve"> </v>
          </cell>
        </row>
        <row r="220"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</row>
      </sheetData>
      <sheetData sheetId="6">
        <row r="8">
          <cell r="C8" t="str">
            <v>0(  0.0)</v>
          </cell>
          <cell r="D8" t="str">
            <v>0(  0.0)</v>
          </cell>
          <cell r="E8" t="str">
            <v>0(  0.0)</v>
          </cell>
          <cell r="F8" t="str">
            <v>0(  0.0)</v>
          </cell>
          <cell r="G8" t="str">
            <v>0(  0.0)</v>
          </cell>
          <cell r="H8" t="str">
            <v>0(  0.0)</v>
          </cell>
          <cell r="I8" t="str">
            <v>0(  0.0)</v>
          </cell>
          <cell r="J8" t="str">
            <v>0(  0.0)</v>
          </cell>
        </row>
        <row r="9"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</row>
        <row r="10"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</row>
        <row r="11"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</row>
        <row r="12"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</row>
        <row r="13"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</row>
        <row r="17"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</row>
        <row r="21"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</row>
        <row r="23">
          <cell r="C23" t="str">
            <v>0(  0.0)</v>
          </cell>
          <cell r="D23" t="str">
            <v>0(  0.0)</v>
          </cell>
          <cell r="E23" t="str">
            <v>0(  0.0)</v>
          </cell>
          <cell r="F23" t="str">
            <v>0(  0.0)</v>
          </cell>
          <cell r="G23" t="str">
            <v>0(  0.0)</v>
          </cell>
          <cell r="H23" t="str">
            <v>0(  0.0)</v>
          </cell>
          <cell r="I23" t="str">
            <v>0(  0.0)</v>
          </cell>
          <cell r="J23" t="str">
            <v>0(  0.0)</v>
          </cell>
        </row>
        <row r="25">
          <cell r="C25" t="str">
            <v>4( 20.0)</v>
          </cell>
          <cell r="D25" t="str">
            <v>0(  0.0)</v>
          </cell>
          <cell r="E25" t="str">
            <v>0(  0.0)</v>
          </cell>
          <cell r="F25" t="str">
            <v>0(  0.0)</v>
          </cell>
          <cell r="G25" t="str">
            <v>0(  0.0)</v>
          </cell>
          <cell r="H25" t="str">
            <v>0(  0.0)</v>
          </cell>
          <cell r="I25" t="str">
            <v>0(  0.0)</v>
          </cell>
          <cell r="J25" t="str">
            <v>2( 10.0)</v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</row>
        <row r="29"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</row>
        <row r="33"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</row>
        <row r="37"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</row>
        <row r="40">
          <cell r="C40" t="str">
            <v>4( 20.0)</v>
          </cell>
          <cell r="D40" t="str">
            <v>0(  0.0)</v>
          </cell>
          <cell r="E40" t="str">
            <v>0(  0.0)</v>
          </cell>
          <cell r="F40" t="str">
            <v>0(  0.0)</v>
          </cell>
          <cell r="G40" t="str">
            <v>0(  0.0)</v>
          </cell>
          <cell r="H40" t="str">
            <v>0(  0.0)</v>
          </cell>
          <cell r="I40" t="str">
            <v>0(  0.0)</v>
          </cell>
          <cell r="J40" t="str">
            <v>2( 10.0)</v>
          </cell>
        </row>
        <row r="43">
          <cell r="C43" t="str">
            <v>0(  0.0)</v>
          </cell>
          <cell r="D43" t="str">
            <v>0(  0.0)</v>
          </cell>
          <cell r="E43" t="str">
            <v>0(  0.0)</v>
          </cell>
          <cell r="F43" t="str">
            <v>0(  0.0)</v>
          </cell>
          <cell r="G43" t="str">
            <v>0(  0.0)</v>
          </cell>
          <cell r="H43" t="str">
            <v>0(  0.0)</v>
          </cell>
          <cell r="I43" t="str">
            <v>0(  0.0)</v>
          </cell>
          <cell r="J43" t="str">
            <v>0(  0.0)</v>
          </cell>
        </row>
        <row r="44"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</row>
        <row r="45"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</row>
        <row r="49"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</row>
        <row r="58">
          <cell r="C58" t="str">
            <v>0(  0.0)</v>
          </cell>
          <cell r="D58" t="str">
            <v>0(  0.0)</v>
          </cell>
          <cell r="E58" t="str">
            <v>0(  0.0)</v>
          </cell>
          <cell r="F58" t="str">
            <v>0(  0.0)</v>
          </cell>
          <cell r="G58" t="str">
            <v>0(  0.0)</v>
          </cell>
          <cell r="H58" t="str">
            <v>0(  0.0)</v>
          </cell>
          <cell r="I58" t="str">
            <v>0(  0.0)</v>
          </cell>
          <cell r="J58" t="str">
            <v>0(  0.0)</v>
          </cell>
        </row>
        <row r="60">
          <cell r="C60" t="str">
            <v>0(  0.0)</v>
          </cell>
          <cell r="D60" t="str">
            <v>0(  0.0)</v>
          </cell>
          <cell r="E60" t="str">
            <v>0(  0.0)</v>
          </cell>
          <cell r="F60" t="str">
            <v>0(  0.0)</v>
          </cell>
          <cell r="G60" t="str">
            <v>0(  0.0)</v>
          </cell>
          <cell r="H60" t="str">
            <v>0(  0.0)</v>
          </cell>
          <cell r="I60" t="str">
            <v>0(  0.0)</v>
          </cell>
          <cell r="J60" t="str">
            <v>0(  0.0)</v>
          </cell>
        </row>
        <row r="61"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</row>
        <row r="63"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</row>
        <row r="65"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</row>
        <row r="66"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</row>
        <row r="68"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</row>
        <row r="69"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</row>
        <row r="70"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</row>
        <row r="71"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</row>
        <row r="72"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</row>
        <row r="73"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</row>
        <row r="74"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</row>
        <row r="75">
          <cell r="C75" t="str">
            <v>0(  0.0)</v>
          </cell>
          <cell r="D75" t="str">
            <v>0(  0.0)</v>
          </cell>
          <cell r="E75" t="str">
            <v>0(  0.0)</v>
          </cell>
          <cell r="F75" t="str">
            <v>0(  0.0)</v>
          </cell>
          <cell r="G75" t="str">
            <v>0(  0.0)</v>
          </cell>
          <cell r="H75" t="str">
            <v>0(  0.0)</v>
          </cell>
          <cell r="I75" t="str">
            <v>0(  0.0)</v>
          </cell>
          <cell r="J75" t="str">
            <v>0(  0.0)</v>
          </cell>
        </row>
      </sheetData>
      <sheetData sheetId="7">
        <row r="8">
          <cell r="C8" t="str">
            <v xml:space="preserve">10 </v>
          </cell>
          <cell r="D8" t="str">
            <v xml:space="preserve">10 </v>
          </cell>
          <cell r="E8" t="str">
            <v xml:space="preserve">20 </v>
          </cell>
          <cell r="F8" t="str">
            <v xml:space="preserve">10 </v>
          </cell>
          <cell r="G8" t="str">
            <v xml:space="preserve">10 </v>
          </cell>
          <cell r="H8" t="str">
            <v xml:space="preserve">20 </v>
          </cell>
        </row>
        <row r="9">
          <cell r="C9" t="str">
            <v xml:space="preserve">10 </v>
          </cell>
          <cell r="D9" t="str">
            <v xml:space="preserve">10 </v>
          </cell>
          <cell r="E9" t="str">
            <v xml:space="preserve">20 </v>
          </cell>
          <cell r="F9" t="str">
            <v xml:space="preserve">6 </v>
          </cell>
          <cell r="G9" t="str">
            <v xml:space="preserve">10 </v>
          </cell>
          <cell r="H9" t="str">
            <v xml:space="preserve">16 </v>
          </cell>
        </row>
        <row r="10">
          <cell r="C10" t="str">
            <v>(100.0)</v>
          </cell>
          <cell r="D10" t="str">
            <v>(100.0)</v>
          </cell>
          <cell r="E10" t="str">
            <v>(100.0)</v>
          </cell>
          <cell r="F10" t="str">
            <v>( 60.0)</v>
          </cell>
          <cell r="G10" t="str">
            <v>(100.0)</v>
          </cell>
          <cell r="H10" t="str">
            <v>( 80.0)</v>
          </cell>
        </row>
        <row r="11">
          <cell r="C11"/>
          <cell r="D11"/>
          <cell r="E11"/>
          <cell r="F11"/>
          <cell r="G11"/>
          <cell r="H11"/>
        </row>
        <row r="12">
          <cell r="C12" t="str">
            <v xml:space="preserve">0 </v>
          </cell>
          <cell r="D12" t="str">
            <v xml:space="preserve">0 </v>
          </cell>
          <cell r="E12" t="str">
            <v xml:space="preserve">0 </v>
          </cell>
          <cell r="F12" t="str">
            <v xml:space="preserve">0 </v>
          </cell>
          <cell r="G12" t="str">
            <v xml:space="preserve">0 </v>
          </cell>
          <cell r="H12" t="str">
            <v xml:space="preserve">0 </v>
          </cell>
        </row>
        <row r="13">
          <cell r="C13" t="str">
            <v>(  0.0)</v>
          </cell>
          <cell r="D13" t="str">
            <v>(  0.0)</v>
          </cell>
          <cell r="E13" t="str">
            <v>(  0.0)</v>
          </cell>
          <cell r="F13" t="str">
            <v>(  0.0)</v>
          </cell>
          <cell r="G13" t="str">
            <v>(  0.0)</v>
          </cell>
          <cell r="H13" t="str">
            <v>(  0.0)</v>
          </cell>
        </row>
        <row r="14">
          <cell r="C14" t="str">
            <v xml:space="preserve">0 </v>
          </cell>
          <cell r="D14" t="str">
            <v xml:space="preserve">0 </v>
          </cell>
          <cell r="E14" t="str">
            <v xml:space="preserve">0 </v>
          </cell>
          <cell r="F14" t="str">
            <v xml:space="preserve">0 </v>
          </cell>
          <cell r="G14" t="str">
            <v xml:space="preserve">0 </v>
          </cell>
          <cell r="H14" t="str">
            <v xml:space="preserve">0 </v>
          </cell>
        </row>
        <row r="15">
          <cell r="C15" t="str">
            <v>(  0.0)</v>
          </cell>
          <cell r="D15" t="str">
            <v>(  0.0)</v>
          </cell>
          <cell r="E15" t="str">
            <v>(  0.0)</v>
          </cell>
          <cell r="F15" t="str">
            <v>(  0.0)</v>
          </cell>
          <cell r="G15" t="str">
            <v>(  0.0)</v>
          </cell>
          <cell r="H15" t="str">
            <v>(  0.0)</v>
          </cell>
        </row>
        <row r="16">
          <cell r="C16" t="str">
            <v xml:space="preserve">0 </v>
          </cell>
          <cell r="D16" t="str">
            <v xml:space="preserve">0 </v>
          </cell>
          <cell r="E16" t="str">
            <v xml:space="preserve">0 </v>
          </cell>
          <cell r="F16" t="str">
            <v xml:space="preserve">0 </v>
          </cell>
          <cell r="G16" t="str">
            <v xml:space="preserve">0 </v>
          </cell>
          <cell r="H16" t="str">
            <v xml:space="preserve">0 </v>
          </cell>
        </row>
        <row r="17">
          <cell r="C17" t="str">
            <v>(  0.0)</v>
          </cell>
          <cell r="D17" t="str">
            <v>(  0.0)</v>
          </cell>
          <cell r="E17" t="str">
            <v>(  0.0)</v>
          </cell>
          <cell r="F17" t="str">
            <v>(  0.0)</v>
          </cell>
          <cell r="G17" t="str">
            <v>(  0.0)</v>
          </cell>
          <cell r="H17" t="str">
            <v>(  0.0)</v>
          </cell>
        </row>
        <row r="18">
          <cell r="C18" t="str">
            <v xml:space="preserve">0 </v>
          </cell>
          <cell r="D18" t="str">
            <v xml:space="preserve">0 </v>
          </cell>
          <cell r="E18" t="str">
            <v xml:space="preserve">0 </v>
          </cell>
          <cell r="F18" t="str">
            <v xml:space="preserve">0 </v>
          </cell>
          <cell r="G18" t="str">
            <v xml:space="preserve">0 </v>
          </cell>
          <cell r="H18" t="str">
            <v xml:space="preserve">0 </v>
          </cell>
        </row>
        <row r="19">
          <cell r="C19" t="str">
            <v>(  0.0)</v>
          </cell>
          <cell r="D19" t="str">
            <v>(  0.0)</v>
          </cell>
          <cell r="E19" t="str">
            <v>(  0.0)</v>
          </cell>
          <cell r="F19" t="str">
            <v>(  0.0)</v>
          </cell>
          <cell r="G19" t="str">
            <v>(  0.0)</v>
          </cell>
          <cell r="H19" t="str">
            <v>(  0.0)</v>
          </cell>
        </row>
        <row r="20">
          <cell r="C20" t="str">
            <v xml:space="preserve">0 </v>
          </cell>
          <cell r="D20" t="str">
            <v xml:space="preserve">0 </v>
          </cell>
          <cell r="E20" t="str">
            <v xml:space="preserve">0 </v>
          </cell>
          <cell r="F20" t="str">
            <v xml:space="preserve">0 </v>
          </cell>
          <cell r="G20" t="str">
            <v xml:space="preserve">0 </v>
          </cell>
          <cell r="H20" t="str">
            <v xml:space="preserve">0 </v>
          </cell>
        </row>
        <row r="21">
          <cell r="C21" t="str">
            <v>(  0.0)</v>
          </cell>
          <cell r="D21" t="str">
            <v>(  0.0)</v>
          </cell>
          <cell r="E21" t="str">
            <v>(  0.0)</v>
          </cell>
          <cell r="F21" t="str">
            <v>(  0.0)</v>
          </cell>
          <cell r="G21" t="str">
            <v>(  0.0)</v>
          </cell>
          <cell r="H21" t="str">
            <v>(  0.0)</v>
          </cell>
        </row>
        <row r="22">
          <cell r="C22" t="str">
            <v xml:space="preserve">0 </v>
          </cell>
          <cell r="D22" t="str">
            <v xml:space="preserve">0 </v>
          </cell>
          <cell r="E22" t="str">
            <v xml:space="preserve">0 </v>
          </cell>
          <cell r="F22" t="str">
            <v xml:space="preserve">0 </v>
          </cell>
          <cell r="G22" t="str">
            <v xml:space="preserve">0 </v>
          </cell>
          <cell r="H22" t="str">
            <v xml:space="preserve">0 </v>
          </cell>
        </row>
        <row r="23">
          <cell r="C23" t="str">
            <v>(  0.0)</v>
          </cell>
          <cell r="D23" t="str">
            <v>(  0.0)</v>
          </cell>
          <cell r="E23" t="str">
            <v>(  0.0)</v>
          </cell>
          <cell r="F23" t="str">
            <v>(  0.0)</v>
          </cell>
          <cell r="G23" t="str">
            <v>(  0.0)</v>
          </cell>
          <cell r="H23" t="str">
            <v>(  0.0)</v>
          </cell>
        </row>
        <row r="24">
          <cell r="C24" t="str">
            <v xml:space="preserve">0 </v>
          </cell>
          <cell r="D24" t="str">
            <v xml:space="preserve">0 </v>
          </cell>
          <cell r="E24" t="str">
            <v xml:space="preserve">0 </v>
          </cell>
          <cell r="F24" t="str">
            <v xml:space="preserve">0 </v>
          </cell>
          <cell r="G24" t="str">
            <v xml:space="preserve">0 </v>
          </cell>
          <cell r="H24" t="str">
            <v xml:space="preserve">0 </v>
          </cell>
        </row>
        <row r="25">
          <cell r="C25" t="str">
            <v>(  0.0)</v>
          </cell>
          <cell r="D25" t="str">
            <v>(  0.0)</v>
          </cell>
          <cell r="E25" t="str">
            <v>(  0.0)</v>
          </cell>
          <cell r="F25" t="str">
            <v>(  0.0)</v>
          </cell>
          <cell r="G25" t="str">
            <v>(  0.0)</v>
          </cell>
          <cell r="H25" t="str">
            <v>(  0.0)</v>
          </cell>
        </row>
        <row r="26">
          <cell r="C26"/>
          <cell r="D26"/>
          <cell r="E26"/>
          <cell r="F26"/>
          <cell r="G26"/>
          <cell r="H26"/>
        </row>
        <row r="27">
          <cell r="C27" t="str">
            <v xml:space="preserve">0 </v>
          </cell>
          <cell r="D27" t="str">
            <v xml:space="preserve">0 </v>
          </cell>
          <cell r="E27" t="str">
            <v xml:space="preserve">0 </v>
          </cell>
          <cell r="F27" t="str">
            <v xml:space="preserve">0 </v>
          </cell>
          <cell r="G27" t="str">
            <v xml:space="preserve">0 </v>
          </cell>
          <cell r="H27" t="str">
            <v xml:space="preserve">0 </v>
          </cell>
        </row>
        <row r="28">
          <cell r="C28" t="str">
            <v>(  0.0)</v>
          </cell>
          <cell r="D28" t="str">
            <v>(  0.0)</v>
          </cell>
          <cell r="E28" t="str">
            <v>(  0.0)</v>
          </cell>
          <cell r="F28" t="str">
            <v>(  0.0)</v>
          </cell>
          <cell r="G28" t="str">
            <v>(  0.0)</v>
          </cell>
          <cell r="H28" t="str">
            <v>(  0.0)</v>
          </cell>
        </row>
        <row r="29">
          <cell r="C29" t="str">
            <v xml:space="preserve">0 </v>
          </cell>
          <cell r="D29" t="str">
            <v xml:space="preserve">0 </v>
          </cell>
          <cell r="E29" t="str">
            <v xml:space="preserve">0 </v>
          </cell>
          <cell r="F29" t="str">
            <v xml:space="preserve">0 </v>
          </cell>
          <cell r="G29" t="str">
            <v xml:space="preserve">0 </v>
          </cell>
          <cell r="H29" t="str">
            <v xml:space="preserve">0 </v>
          </cell>
        </row>
        <row r="30">
          <cell r="C30" t="str">
            <v>(  0.0)</v>
          </cell>
          <cell r="D30" t="str">
            <v>(  0.0)</v>
          </cell>
          <cell r="E30" t="str">
            <v>(  0.0)</v>
          </cell>
          <cell r="F30" t="str">
            <v>(  0.0)</v>
          </cell>
          <cell r="G30" t="str">
            <v>(  0.0)</v>
          </cell>
          <cell r="H30" t="str">
            <v>(  0.0)</v>
          </cell>
        </row>
        <row r="31">
          <cell r="C31" t="str">
            <v xml:space="preserve">0 </v>
          </cell>
          <cell r="D31" t="str">
            <v xml:space="preserve">0 </v>
          </cell>
          <cell r="E31" t="str">
            <v xml:space="preserve">0 </v>
          </cell>
          <cell r="F31" t="str">
            <v xml:space="preserve">0 </v>
          </cell>
          <cell r="G31" t="str">
            <v xml:space="preserve">0 </v>
          </cell>
          <cell r="H31" t="str">
            <v xml:space="preserve">0 </v>
          </cell>
        </row>
        <row r="32">
          <cell r="C32" t="str">
            <v>(  0.0)</v>
          </cell>
          <cell r="D32" t="str">
            <v>(  0.0)</v>
          </cell>
          <cell r="E32" t="str">
            <v>(  0.0)</v>
          </cell>
          <cell r="F32" t="str">
            <v>(  0.0)</v>
          </cell>
          <cell r="G32" t="str">
            <v>(  0.0)</v>
          </cell>
          <cell r="H32" t="str">
            <v>(  0.0)</v>
          </cell>
        </row>
        <row r="33">
          <cell r="C33" t="str">
            <v xml:space="preserve">0 </v>
          </cell>
          <cell r="D33" t="str">
            <v xml:space="preserve">0 </v>
          </cell>
          <cell r="E33" t="str">
            <v xml:space="preserve">0 </v>
          </cell>
          <cell r="F33" t="str">
            <v xml:space="preserve">0 </v>
          </cell>
          <cell r="G33" t="str">
            <v xml:space="preserve">0 </v>
          </cell>
          <cell r="H33" t="str">
            <v xml:space="preserve">0 </v>
          </cell>
        </row>
        <row r="34">
          <cell r="C34" t="str">
            <v>(  0.0)</v>
          </cell>
          <cell r="D34" t="str">
            <v>(  0.0)</v>
          </cell>
          <cell r="E34" t="str">
            <v>(  0.0)</v>
          </cell>
          <cell r="F34" t="str">
            <v>(  0.0)</v>
          </cell>
          <cell r="G34" t="str">
            <v>(  0.0)</v>
          </cell>
          <cell r="H34" t="str">
            <v>(  0.0)</v>
          </cell>
        </row>
        <row r="35">
          <cell r="C35" t="str">
            <v xml:space="preserve">0 </v>
          </cell>
          <cell r="D35" t="str">
            <v xml:space="preserve">0 </v>
          </cell>
          <cell r="E35" t="str">
            <v xml:space="preserve">0 </v>
          </cell>
          <cell r="F35" t="str">
            <v xml:space="preserve">0 </v>
          </cell>
          <cell r="G35" t="str">
            <v xml:space="preserve">0 </v>
          </cell>
          <cell r="H35" t="str">
            <v xml:space="preserve">0 </v>
          </cell>
        </row>
        <row r="36">
          <cell r="C36" t="str">
            <v>(  0.0)</v>
          </cell>
          <cell r="D36" t="str">
            <v>(  0.0)</v>
          </cell>
          <cell r="E36" t="str">
            <v>(  0.0)</v>
          </cell>
          <cell r="F36" t="str">
            <v>(  0.0)</v>
          </cell>
          <cell r="G36" t="str">
            <v>(  0.0)</v>
          </cell>
          <cell r="H36" t="str">
            <v>(  0.0)</v>
          </cell>
        </row>
        <row r="37">
          <cell r="C37" t="str">
            <v xml:space="preserve">0 </v>
          </cell>
          <cell r="D37" t="str">
            <v xml:space="preserve">0 </v>
          </cell>
          <cell r="E37" t="str">
            <v xml:space="preserve">0 </v>
          </cell>
          <cell r="F37" t="str">
            <v xml:space="preserve">0 </v>
          </cell>
          <cell r="G37" t="str">
            <v xml:space="preserve">0 </v>
          </cell>
          <cell r="H37" t="str">
            <v xml:space="preserve">0 </v>
          </cell>
        </row>
        <row r="38">
          <cell r="C38" t="str">
            <v>(  0.0)</v>
          </cell>
          <cell r="D38" t="str">
            <v>(  0.0)</v>
          </cell>
          <cell r="E38" t="str">
            <v>(  0.0)</v>
          </cell>
          <cell r="F38" t="str">
            <v>(  0.0)</v>
          </cell>
          <cell r="G38" t="str">
            <v>(  0.0)</v>
          </cell>
          <cell r="H38" t="str">
            <v>(  0.0)</v>
          </cell>
        </row>
        <row r="39">
          <cell r="C39" t="str">
            <v xml:space="preserve">0 </v>
          </cell>
          <cell r="D39" t="str">
            <v xml:space="preserve">0 </v>
          </cell>
          <cell r="E39" t="str">
            <v xml:space="preserve">0 </v>
          </cell>
          <cell r="F39" t="str">
            <v xml:space="preserve">0 </v>
          </cell>
          <cell r="G39" t="str">
            <v xml:space="preserve">0 </v>
          </cell>
          <cell r="H39" t="str">
            <v xml:space="preserve">0 </v>
          </cell>
        </row>
        <row r="40">
          <cell r="C40" t="str">
            <v>(  0.0)</v>
          </cell>
          <cell r="D40" t="str">
            <v>(  0.0)</v>
          </cell>
          <cell r="E40" t="str">
            <v>(  0.0)</v>
          </cell>
          <cell r="F40" t="str">
            <v>(  0.0)</v>
          </cell>
          <cell r="G40" t="str">
            <v>(  0.0)</v>
          </cell>
          <cell r="H40" t="str">
            <v>(  0.0)</v>
          </cell>
        </row>
        <row r="41">
          <cell r="C41" t="str">
            <v xml:space="preserve">0 </v>
          </cell>
          <cell r="D41" t="str">
            <v xml:space="preserve">0 </v>
          </cell>
          <cell r="E41" t="str">
            <v xml:space="preserve">0 </v>
          </cell>
          <cell r="F41" t="str">
            <v xml:space="preserve">0 </v>
          </cell>
          <cell r="G41" t="str">
            <v xml:space="preserve">0 </v>
          </cell>
          <cell r="H41" t="str">
            <v xml:space="preserve">0 </v>
          </cell>
        </row>
        <row r="42">
          <cell r="C42" t="str">
            <v>(  0.0)</v>
          </cell>
          <cell r="D42" t="str">
            <v>(  0.0)</v>
          </cell>
          <cell r="E42" t="str">
            <v>(  0.0)</v>
          </cell>
          <cell r="F42" t="str">
            <v>(  0.0)</v>
          </cell>
          <cell r="G42" t="str">
            <v>(  0.0)</v>
          </cell>
          <cell r="H42" t="str">
            <v>(  0.0)</v>
          </cell>
        </row>
        <row r="43">
          <cell r="C43" t="str">
            <v xml:space="preserve">0 </v>
          </cell>
          <cell r="D43" t="str">
            <v xml:space="preserve">0 </v>
          </cell>
          <cell r="E43" t="str">
            <v xml:space="preserve">0 </v>
          </cell>
          <cell r="F43" t="str">
            <v xml:space="preserve">4 </v>
          </cell>
          <cell r="G43" t="str">
            <v xml:space="preserve">0 </v>
          </cell>
          <cell r="H43" t="str">
            <v xml:space="preserve">4 </v>
          </cell>
        </row>
        <row r="44">
          <cell r="C44" t="str">
            <v>(  0.0)</v>
          </cell>
          <cell r="D44" t="str">
            <v>(  0.0)</v>
          </cell>
          <cell r="E44" t="str">
            <v>(  0.0)</v>
          </cell>
          <cell r="F44" t="str">
            <v>( 40.0)</v>
          </cell>
          <cell r="G44" t="str">
            <v>(  0.0)</v>
          </cell>
          <cell r="H44" t="str">
            <v>( 20.0)</v>
          </cell>
        </row>
        <row r="53">
          <cell r="C53" t="str">
            <v xml:space="preserve">10 </v>
          </cell>
          <cell r="D53" t="str">
            <v xml:space="preserve">10 </v>
          </cell>
          <cell r="E53" t="str">
            <v xml:space="preserve">20 </v>
          </cell>
          <cell r="F53" t="str">
            <v xml:space="preserve">10 </v>
          </cell>
          <cell r="G53" t="str">
            <v xml:space="preserve">10 </v>
          </cell>
          <cell r="H53" t="str">
            <v xml:space="preserve">20 </v>
          </cell>
        </row>
        <row r="54">
          <cell r="C54" t="str">
            <v xml:space="preserve">4 </v>
          </cell>
          <cell r="D54" t="str">
            <v xml:space="preserve">10 </v>
          </cell>
          <cell r="E54" t="str">
            <v xml:space="preserve">14 </v>
          </cell>
          <cell r="F54" t="str">
            <v xml:space="preserve">8 </v>
          </cell>
          <cell r="G54" t="str">
            <v xml:space="preserve">10 </v>
          </cell>
          <cell r="H54" t="str">
            <v xml:space="preserve">18 </v>
          </cell>
        </row>
        <row r="55">
          <cell r="C55" t="str">
            <v>( 40.0)</v>
          </cell>
          <cell r="D55" t="str">
            <v>(100.0)</v>
          </cell>
          <cell r="E55" t="str">
            <v>( 70.0)</v>
          </cell>
          <cell r="F55" t="str">
            <v>( 80.0)</v>
          </cell>
          <cell r="G55" t="str">
            <v>(100.0)</v>
          </cell>
          <cell r="H55" t="str">
            <v>( 90.0)</v>
          </cell>
        </row>
        <row r="56">
          <cell r="C56"/>
          <cell r="D56"/>
          <cell r="E56"/>
          <cell r="F56"/>
          <cell r="G56"/>
          <cell r="H56"/>
        </row>
        <row r="57">
          <cell r="C57" t="str">
            <v xml:space="preserve">0 </v>
          </cell>
          <cell r="D57" t="str">
            <v xml:space="preserve">0 </v>
          </cell>
          <cell r="E57" t="str">
            <v xml:space="preserve">0 </v>
          </cell>
          <cell r="F57" t="str">
            <v xml:space="preserve">0 </v>
          </cell>
          <cell r="G57" t="str">
            <v xml:space="preserve">0 </v>
          </cell>
          <cell r="H57" t="str">
            <v xml:space="preserve">0 </v>
          </cell>
        </row>
        <row r="58">
          <cell r="C58" t="str">
            <v>(  0.0)</v>
          </cell>
          <cell r="D58" t="str">
            <v>(  0.0)</v>
          </cell>
          <cell r="E58" t="str">
            <v>(  0.0)</v>
          </cell>
          <cell r="F58" t="str">
            <v>(  0.0)</v>
          </cell>
          <cell r="G58" t="str">
            <v>(  0.0)</v>
          </cell>
          <cell r="H58" t="str">
            <v>(  0.0)</v>
          </cell>
        </row>
        <row r="59">
          <cell r="C59" t="str">
            <v xml:space="preserve">0 </v>
          </cell>
          <cell r="D59" t="str">
            <v xml:space="preserve">0 </v>
          </cell>
          <cell r="E59" t="str">
            <v xml:space="preserve">0 </v>
          </cell>
          <cell r="F59" t="str">
            <v xml:space="preserve">0 </v>
          </cell>
          <cell r="G59" t="str">
            <v xml:space="preserve">0 </v>
          </cell>
          <cell r="H59" t="str">
            <v xml:space="preserve">0 </v>
          </cell>
        </row>
        <row r="60">
          <cell r="C60" t="str">
            <v>(  0.0)</v>
          </cell>
          <cell r="D60" t="str">
            <v>(  0.0)</v>
          </cell>
          <cell r="E60" t="str">
            <v>(  0.0)</v>
          </cell>
          <cell r="F60" t="str">
            <v>(  0.0)</v>
          </cell>
          <cell r="G60" t="str">
            <v>(  0.0)</v>
          </cell>
          <cell r="H60" t="str">
            <v>(  0.0)</v>
          </cell>
        </row>
        <row r="61">
          <cell r="C61" t="str">
            <v xml:space="preserve">0 </v>
          </cell>
          <cell r="D61" t="str">
            <v xml:space="preserve">0 </v>
          </cell>
          <cell r="E61" t="str">
            <v xml:space="preserve">0 </v>
          </cell>
          <cell r="F61" t="str">
            <v xml:space="preserve">0 </v>
          </cell>
          <cell r="G61" t="str">
            <v xml:space="preserve">0 </v>
          </cell>
          <cell r="H61" t="str">
            <v xml:space="preserve">0 </v>
          </cell>
        </row>
        <row r="62">
          <cell r="C62" t="str">
            <v>(  0.0)</v>
          </cell>
          <cell r="D62" t="str">
            <v>(  0.0)</v>
          </cell>
          <cell r="E62" t="str">
            <v>(  0.0)</v>
          </cell>
          <cell r="F62" t="str">
            <v>(  0.0)</v>
          </cell>
          <cell r="G62" t="str">
            <v>(  0.0)</v>
          </cell>
          <cell r="H62" t="str">
            <v>(  0.0)</v>
          </cell>
        </row>
        <row r="63">
          <cell r="C63" t="str">
            <v xml:space="preserve">0 </v>
          </cell>
          <cell r="D63" t="str">
            <v xml:space="preserve">0 </v>
          </cell>
          <cell r="E63" t="str">
            <v xml:space="preserve">0 </v>
          </cell>
          <cell r="F63" t="str">
            <v xml:space="preserve">0 </v>
          </cell>
          <cell r="G63" t="str">
            <v xml:space="preserve">0 </v>
          </cell>
          <cell r="H63" t="str">
            <v xml:space="preserve">0 </v>
          </cell>
        </row>
        <row r="64">
          <cell r="C64" t="str">
            <v>(  0.0)</v>
          </cell>
          <cell r="D64" t="str">
            <v>(  0.0)</v>
          </cell>
          <cell r="E64" t="str">
            <v>(  0.0)</v>
          </cell>
          <cell r="F64" t="str">
            <v>(  0.0)</v>
          </cell>
          <cell r="G64" t="str">
            <v>(  0.0)</v>
          </cell>
          <cell r="H64" t="str">
            <v>(  0.0)</v>
          </cell>
        </row>
        <row r="65">
          <cell r="C65" t="str">
            <v xml:space="preserve">0 </v>
          </cell>
          <cell r="D65" t="str">
            <v xml:space="preserve">0 </v>
          </cell>
          <cell r="E65" t="str">
            <v xml:space="preserve">0 </v>
          </cell>
          <cell r="F65" t="str">
            <v xml:space="preserve">0 </v>
          </cell>
          <cell r="G65" t="str">
            <v xml:space="preserve">0 </v>
          </cell>
          <cell r="H65" t="str">
            <v xml:space="preserve">0 </v>
          </cell>
        </row>
        <row r="66">
          <cell r="C66" t="str">
            <v>(  0.0)</v>
          </cell>
          <cell r="D66" t="str">
            <v>(  0.0)</v>
          </cell>
          <cell r="E66" t="str">
            <v>(  0.0)</v>
          </cell>
          <cell r="F66" t="str">
            <v>(  0.0)</v>
          </cell>
          <cell r="G66" t="str">
            <v>(  0.0)</v>
          </cell>
          <cell r="H66" t="str">
            <v>(  0.0)</v>
          </cell>
        </row>
        <row r="67">
          <cell r="C67" t="str">
            <v xml:space="preserve">0 </v>
          </cell>
          <cell r="D67" t="str">
            <v xml:space="preserve">0 </v>
          </cell>
          <cell r="E67" t="str">
            <v xml:space="preserve">0 </v>
          </cell>
          <cell r="F67" t="str">
            <v xml:space="preserve">0 </v>
          </cell>
          <cell r="G67" t="str">
            <v xml:space="preserve">0 </v>
          </cell>
          <cell r="H67" t="str">
            <v xml:space="preserve">0 </v>
          </cell>
        </row>
        <row r="68">
          <cell r="C68" t="str">
            <v>(  0.0)</v>
          </cell>
          <cell r="D68" t="str">
            <v>(  0.0)</v>
          </cell>
          <cell r="E68" t="str">
            <v>(  0.0)</v>
          </cell>
          <cell r="F68" t="str">
            <v>(  0.0)</v>
          </cell>
          <cell r="G68" t="str">
            <v>(  0.0)</v>
          </cell>
          <cell r="H68" t="str">
            <v>(  0.0)</v>
          </cell>
        </row>
        <row r="69">
          <cell r="C69" t="str">
            <v xml:space="preserve">1 </v>
          </cell>
          <cell r="D69" t="str">
            <v xml:space="preserve">0 </v>
          </cell>
          <cell r="E69" t="str">
            <v xml:space="preserve">1 </v>
          </cell>
          <cell r="F69" t="str">
            <v xml:space="preserve">0 </v>
          </cell>
          <cell r="G69" t="str">
            <v xml:space="preserve">0 </v>
          </cell>
          <cell r="H69" t="str">
            <v xml:space="preserve">0 </v>
          </cell>
        </row>
        <row r="70">
          <cell r="C70" t="str">
            <v>( 10.0)</v>
          </cell>
          <cell r="D70" t="str">
            <v>(  0.0)</v>
          </cell>
          <cell r="E70" t="str">
            <v>(  5.0)</v>
          </cell>
          <cell r="F70" t="str">
            <v>(  0.0)</v>
          </cell>
          <cell r="G70" t="str">
            <v>(  0.0)</v>
          </cell>
          <cell r="H70" t="str">
            <v>(  0.0)</v>
          </cell>
        </row>
        <row r="71">
          <cell r="C71"/>
          <cell r="D71"/>
          <cell r="E71"/>
          <cell r="F71"/>
          <cell r="G71"/>
          <cell r="H71"/>
        </row>
        <row r="72">
          <cell r="C72" t="str">
            <v xml:space="preserve">0 </v>
          </cell>
          <cell r="D72" t="str">
            <v xml:space="preserve">0 </v>
          </cell>
          <cell r="E72" t="str">
            <v xml:space="preserve">0 </v>
          </cell>
          <cell r="F72" t="str">
            <v xml:space="preserve">0 </v>
          </cell>
          <cell r="G72" t="str">
            <v xml:space="preserve">0 </v>
          </cell>
          <cell r="H72" t="str">
            <v xml:space="preserve">0 </v>
          </cell>
        </row>
        <row r="73">
          <cell r="C73" t="str">
            <v>(  0.0)</v>
          </cell>
          <cell r="D73" t="str">
            <v>(  0.0)</v>
          </cell>
          <cell r="E73" t="str">
            <v>(  0.0)</v>
          </cell>
          <cell r="F73" t="str">
            <v>(  0.0)</v>
          </cell>
          <cell r="G73" t="str">
            <v>(  0.0)</v>
          </cell>
          <cell r="H73" t="str">
            <v>(  0.0)</v>
          </cell>
        </row>
        <row r="74">
          <cell r="C74" t="str">
            <v xml:space="preserve">0 </v>
          </cell>
          <cell r="D74" t="str">
            <v xml:space="preserve">0 </v>
          </cell>
          <cell r="E74" t="str">
            <v xml:space="preserve">0 </v>
          </cell>
          <cell r="F74" t="str">
            <v xml:space="preserve">0 </v>
          </cell>
          <cell r="G74" t="str">
            <v xml:space="preserve">0 </v>
          </cell>
          <cell r="H74" t="str">
            <v xml:space="preserve">0 </v>
          </cell>
        </row>
        <row r="75">
          <cell r="C75" t="str">
            <v>(  0.0)</v>
          </cell>
          <cell r="D75" t="str">
            <v>(  0.0)</v>
          </cell>
          <cell r="E75" t="str">
            <v>(  0.0)</v>
          </cell>
          <cell r="F75" t="str">
            <v>(  0.0)</v>
          </cell>
          <cell r="G75" t="str">
            <v>(  0.0)</v>
          </cell>
          <cell r="H75" t="str">
            <v>(  0.0)</v>
          </cell>
        </row>
        <row r="76">
          <cell r="C76" t="str">
            <v xml:space="preserve">0 </v>
          </cell>
          <cell r="D76" t="str">
            <v xml:space="preserve">0 </v>
          </cell>
          <cell r="E76" t="str">
            <v xml:space="preserve">0 </v>
          </cell>
          <cell r="F76" t="str">
            <v xml:space="preserve">0 </v>
          </cell>
          <cell r="G76" t="str">
            <v xml:space="preserve">0 </v>
          </cell>
          <cell r="H76" t="str">
            <v xml:space="preserve">0 </v>
          </cell>
        </row>
        <row r="77">
          <cell r="C77" t="str">
            <v>(  0.0)</v>
          </cell>
          <cell r="D77" t="str">
            <v>(  0.0)</v>
          </cell>
          <cell r="E77" t="str">
            <v>(  0.0)</v>
          </cell>
          <cell r="F77" t="str">
            <v>(  0.0)</v>
          </cell>
          <cell r="G77" t="str">
            <v>(  0.0)</v>
          </cell>
          <cell r="H77" t="str">
            <v>(  0.0)</v>
          </cell>
        </row>
        <row r="78">
          <cell r="C78" t="str">
            <v xml:space="preserve">0 </v>
          </cell>
          <cell r="D78" t="str">
            <v xml:space="preserve">0 </v>
          </cell>
          <cell r="E78" t="str">
            <v xml:space="preserve">0 </v>
          </cell>
          <cell r="F78" t="str">
            <v xml:space="preserve">0 </v>
          </cell>
          <cell r="G78" t="str">
            <v xml:space="preserve">0 </v>
          </cell>
          <cell r="H78" t="str">
            <v xml:space="preserve">0 </v>
          </cell>
        </row>
        <row r="79">
          <cell r="C79" t="str">
            <v>(  0.0)</v>
          </cell>
          <cell r="D79" t="str">
            <v>(  0.0)</v>
          </cell>
          <cell r="E79" t="str">
            <v>(  0.0)</v>
          </cell>
          <cell r="F79" t="str">
            <v>(  0.0)</v>
          </cell>
          <cell r="G79" t="str">
            <v>(  0.0)</v>
          </cell>
          <cell r="H79" t="str">
            <v>(  0.0)</v>
          </cell>
        </row>
        <row r="80">
          <cell r="C80" t="str">
            <v xml:space="preserve">3 </v>
          </cell>
          <cell r="D80" t="str">
            <v xml:space="preserve">0 </v>
          </cell>
          <cell r="E80" t="str">
            <v xml:space="preserve">3 </v>
          </cell>
          <cell r="F80" t="str">
            <v xml:space="preserve">1 </v>
          </cell>
          <cell r="G80" t="str">
            <v xml:space="preserve">0 </v>
          </cell>
          <cell r="H80" t="str">
            <v xml:space="preserve">1 </v>
          </cell>
        </row>
        <row r="81">
          <cell r="C81" t="str">
            <v>( 30.0)</v>
          </cell>
          <cell r="D81" t="str">
            <v>(  0.0)</v>
          </cell>
          <cell r="E81" t="str">
            <v>( 15.0)</v>
          </cell>
          <cell r="F81" t="str">
            <v>( 10.0)</v>
          </cell>
          <cell r="G81" t="str">
            <v>(  0.0)</v>
          </cell>
          <cell r="H81" t="str">
            <v>(  5.0)</v>
          </cell>
        </row>
        <row r="82">
          <cell r="C82" t="str">
            <v xml:space="preserve">0 </v>
          </cell>
          <cell r="D82" t="str">
            <v xml:space="preserve">0 </v>
          </cell>
          <cell r="E82" t="str">
            <v xml:space="preserve">0 </v>
          </cell>
          <cell r="F82" t="str">
            <v xml:space="preserve">2 </v>
          </cell>
          <cell r="G82" t="str">
            <v xml:space="preserve">0 </v>
          </cell>
          <cell r="H82" t="str">
            <v xml:space="preserve">2 </v>
          </cell>
        </row>
        <row r="83">
          <cell r="C83" t="str">
            <v>(  0.0)</v>
          </cell>
          <cell r="D83" t="str">
            <v>(  0.0)</v>
          </cell>
          <cell r="E83" t="str">
            <v>(  0.0)</v>
          </cell>
          <cell r="F83" t="str">
            <v>( 20.0)</v>
          </cell>
          <cell r="G83" t="str">
            <v>(  0.0)</v>
          </cell>
          <cell r="H83" t="str">
            <v>( 10.0)</v>
          </cell>
        </row>
        <row r="84">
          <cell r="C84" t="str">
            <v xml:space="preserve">0 </v>
          </cell>
          <cell r="D84" t="str">
            <v xml:space="preserve">0 </v>
          </cell>
          <cell r="E84" t="str">
            <v xml:space="preserve">0 </v>
          </cell>
          <cell r="F84" t="str">
            <v xml:space="preserve">0 </v>
          </cell>
          <cell r="G84" t="str">
            <v xml:space="preserve">0 </v>
          </cell>
          <cell r="H84" t="str">
            <v xml:space="preserve">0 </v>
          </cell>
        </row>
        <row r="85">
          <cell r="C85" t="str">
            <v>(  0.0)</v>
          </cell>
          <cell r="D85" t="str">
            <v>(  0.0)</v>
          </cell>
          <cell r="E85" t="str">
            <v>(  0.0)</v>
          </cell>
          <cell r="F85" t="str">
            <v>(  0.0)</v>
          </cell>
          <cell r="G85" t="str">
            <v>(  0.0)</v>
          </cell>
          <cell r="H85" t="str">
            <v>(  0.0)</v>
          </cell>
        </row>
        <row r="86">
          <cell r="C86" t="str">
            <v xml:space="preserve">0 </v>
          </cell>
          <cell r="D86" t="str">
            <v xml:space="preserve">0 </v>
          </cell>
          <cell r="E86" t="str">
            <v xml:space="preserve">0 </v>
          </cell>
          <cell r="F86" t="str">
            <v xml:space="preserve">0 </v>
          </cell>
          <cell r="G86" t="str">
            <v xml:space="preserve">0 </v>
          </cell>
          <cell r="H86" t="str">
            <v xml:space="preserve">0 </v>
          </cell>
        </row>
        <row r="87">
          <cell r="C87" t="str">
            <v>(  0.0)</v>
          </cell>
          <cell r="D87" t="str">
            <v>(  0.0)</v>
          </cell>
          <cell r="E87" t="str">
            <v>(  0.0)</v>
          </cell>
          <cell r="F87" t="str">
            <v>(  0.0)</v>
          </cell>
          <cell r="G87" t="str">
            <v>(  0.0)</v>
          </cell>
          <cell r="H87" t="str">
            <v>(  0.0)</v>
          </cell>
        </row>
        <row r="88">
          <cell r="C88" t="str">
            <v xml:space="preserve">2 </v>
          </cell>
          <cell r="D88" t="str">
            <v xml:space="preserve">0 </v>
          </cell>
          <cell r="E88" t="str">
            <v xml:space="preserve">2 </v>
          </cell>
          <cell r="F88" t="str">
            <v xml:space="preserve">1 </v>
          </cell>
          <cell r="G88" t="str">
            <v xml:space="preserve">0 </v>
          </cell>
          <cell r="H88" t="str">
            <v xml:space="preserve">1 </v>
          </cell>
        </row>
        <row r="89">
          <cell r="C89" t="str">
            <v>( 20.0)</v>
          </cell>
          <cell r="D89" t="str">
            <v>(  0.0)</v>
          </cell>
          <cell r="E89" t="str">
            <v>( 10.0)</v>
          </cell>
          <cell r="F89" t="str">
            <v>( 10.0)</v>
          </cell>
          <cell r="G89" t="str">
            <v>(  0.0)</v>
          </cell>
          <cell r="H89" t="str">
            <v>(  5.0)</v>
          </cell>
        </row>
      </sheetData>
      <sheetData sheetId="8">
        <row r="9">
          <cell r="B9" t="str">
            <v>0(  0.0)</v>
          </cell>
          <cell r="C9" t="str">
            <v>0(  0.0)</v>
          </cell>
          <cell r="D9" t="str">
            <v>0(  0.0)</v>
          </cell>
          <cell r="E9" t="str">
            <v>0(  0.0)</v>
          </cell>
          <cell r="F9" t="str">
            <v>1( 10.0)</v>
          </cell>
          <cell r="G9" t="str">
            <v>0(  0.0)</v>
          </cell>
          <cell r="H9" t="str">
            <v>0(  0.0)</v>
          </cell>
          <cell r="I9" t="str">
            <v>2( 20.0)</v>
          </cell>
        </row>
        <row r="10">
          <cell r="B10" t="str">
            <v>0(  0.0)</v>
          </cell>
          <cell r="C10" t="str">
            <v>0(  0.0)</v>
          </cell>
          <cell r="D10" t="str">
            <v>0(  0.0)</v>
          </cell>
          <cell r="E10" t="str">
            <v>0(  0.0)</v>
          </cell>
          <cell r="F10" t="str">
            <v>0(  0.0)</v>
          </cell>
          <cell r="G10" t="str">
            <v>0(  0.0)</v>
          </cell>
          <cell r="H10" t="str">
            <v>0(  0.0)</v>
          </cell>
          <cell r="I10" t="str">
            <v>0(  0.0)</v>
          </cell>
        </row>
        <row r="11">
          <cell r="B11" t="str">
            <v>0(  0.0)</v>
          </cell>
          <cell r="C11" t="str">
            <v>0(  0.0)</v>
          </cell>
          <cell r="D11" t="str">
            <v>0(  0.0)</v>
          </cell>
          <cell r="E11" t="str">
            <v>0(  0.0)</v>
          </cell>
          <cell r="F11" t="str">
            <v>1(  5.0)</v>
          </cell>
          <cell r="G11" t="str">
            <v>0(  0.0)</v>
          </cell>
          <cell r="H11" t="str">
            <v>0(  0.0)</v>
          </cell>
          <cell r="I11" t="str">
            <v>2( 10.0)</v>
          </cell>
        </row>
        <row r="13">
          <cell r="B13" t="str">
            <v>0(  0.0)</v>
          </cell>
          <cell r="C13" t="str">
            <v>0(  0.0)</v>
          </cell>
          <cell r="D13" t="str">
            <v>0(  0.0)</v>
          </cell>
          <cell r="E13" t="str">
            <v>0(  0.0)</v>
          </cell>
          <cell r="F13" t="str">
            <v>0(  0.0)</v>
          </cell>
          <cell r="G13" t="str">
            <v>0(  0.0)</v>
          </cell>
          <cell r="H13" t="str">
            <v>0(  0.0)</v>
          </cell>
          <cell r="I13" t="str">
            <v>0(  0.0)</v>
          </cell>
        </row>
        <row r="14">
          <cell r="B14" t="str">
            <v>0(  0.0)</v>
          </cell>
          <cell r="C14" t="str">
            <v>0(  0.0)</v>
          </cell>
          <cell r="D14" t="str">
            <v>0(  0.0)</v>
          </cell>
          <cell r="E14" t="str">
            <v>0(  0.0)</v>
          </cell>
          <cell r="F14" t="str">
            <v>0(  0.0)</v>
          </cell>
          <cell r="G14" t="str">
            <v>0(  0.0)</v>
          </cell>
          <cell r="H14" t="str">
            <v>0(  0.0)</v>
          </cell>
          <cell r="I14" t="str">
            <v>0(  0.0)</v>
          </cell>
        </row>
        <row r="15">
          <cell r="B15" t="str">
            <v>0(  0.0)</v>
          </cell>
          <cell r="C15" t="str">
            <v>0(  0.0)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0(  0.0)</v>
          </cell>
          <cell r="H15" t="str">
            <v>0(  0.0)</v>
          </cell>
          <cell r="I15" t="str">
            <v>0(  0.0)</v>
          </cell>
        </row>
        <row r="18">
          <cell r="B18" t="str">
            <v>0(  0.0)</v>
          </cell>
          <cell r="C18" t="str">
            <v>0(  0.0)</v>
          </cell>
          <cell r="D18" t="str">
            <v>0(  0.0)</v>
          </cell>
          <cell r="E18" t="str">
            <v>0(  0.0)</v>
          </cell>
          <cell r="F18" t="str">
            <v>0(  0.0)</v>
          </cell>
          <cell r="G18" t="str">
            <v>0(  0.0)</v>
          </cell>
          <cell r="H18" t="str">
            <v>0(  0.0)</v>
          </cell>
          <cell r="I18" t="str">
            <v>0(  0.0)</v>
          </cell>
        </row>
        <row r="19">
          <cell r="B19" t="str">
            <v>0(  0.0)</v>
          </cell>
          <cell r="C19" t="str">
            <v>0(  0.0)</v>
          </cell>
          <cell r="D19" t="str">
            <v>0(  0.0)</v>
          </cell>
          <cell r="E19" t="str">
            <v>0(  0.0)</v>
          </cell>
          <cell r="F19" t="str">
            <v>0(  0.0)</v>
          </cell>
          <cell r="G19" t="str">
            <v>0(  0.0)</v>
          </cell>
          <cell r="H19" t="str">
            <v>0(  0.0)</v>
          </cell>
          <cell r="I19" t="str">
            <v>0(  0.0)</v>
          </cell>
        </row>
        <row r="20">
          <cell r="B20" t="str">
            <v>0(  0.0)</v>
          </cell>
          <cell r="C20" t="str">
            <v>0(  0.0)</v>
          </cell>
          <cell r="D20" t="str">
            <v>0(  0.0)</v>
          </cell>
          <cell r="E20" t="str">
            <v>0(  0.0)</v>
          </cell>
          <cell r="F20" t="str">
            <v>0(  0.0)</v>
          </cell>
          <cell r="G20" t="str">
            <v>0(  0.0)</v>
          </cell>
          <cell r="H20" t="str">
            <v>0(  0.0)</v>
          </cell>
          <cell r="I20" t="str">
            <v>0(  0.0)</v>
          </cell>
        </row>
        <row r="22">
          <cell r="B22" t="str">
            <v>0(  0.0)</v>
          </cell>
          <cell r="C22" t="str">
            <v>0(  0.0)</v>
          </cell>
          <cell r="D22" t="str">
            <v>0(  0.0)</v>
          </cell>
          <cell r="E22" t="str">
            <v>0(  0.0)</v>
          </cell>
          <cell r="F22" t="str">
            <v>0(  0.0)</v>
          </cell>
          <cell r="G22" t="str">
            <v>0(  0.0)</v>
          </cell>
          <cell r="H22" t="str">
            <v>0(  0.0)</v>
          </cell>
          <cell r="I22" t="str">
            <v>0(  0.0)</v>
          </cell>
        </row>
        <row r="23">
          <cell r="B23" t="str">
            <v>0(  0.0)</v>
          </cell>
          <cell r="C23" t="str">
            <v>0(  0.0)</v>
          </cell>
          <cell r="D23" t="str">
            <v>0(  0.0)</v>
          </cell>
          <cell r="E23" t="str">
            <v>0(  0.0)</v>
          </cell>
          <cell r="F23" t="str">
            <v>0(  0.0)</v>
          </cell>
          <cell r="G23" t="str">
            <v>0(  0.0)</v>
          </cell>
          <cell r="H23" t="str">
            <v>0(  0.0)</v>
          </cell>
          <cell r="I23" t="str">
            <v>0(  0.0)</v>
          </cell>
        </row>
        <row r="24">
          <cell r="B24" t="str">
            <v>0(  0.0)</v>
          </cell>
          <cell r="C24" t="str">
            <v>0(  0.0)</v>
          </cell>
          <cell r="D24" t="str">
            <v>0(  0.0)</v>
          </cell>
          <cell r="E24" t="str">
            <v>0(  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0(  0.0)</v>
          </cell>
        </row>
      </sheetData>
      <sheetData sheetId="9">
        <row r="10">
          <cell r="C10" t="str">
            <v>0(  0.0)</v>
          </cell>
          <cell r="D10" t="str">
            <v>0(  0.0)</v>
          </cell>
          <cell r="E10" t="str">
            <v>0(  0.0)</v>
          </cell>
          <cell r="F10" t="str">
            <v>0(  0.0)</v>
          </cell>
          <cell r="G10" t="str">
            <v>10(100.0)</v>
          </cell>
          <cell r="H10" t="str">
            <v>0(  0.0)</v>
          </cell>
          <cell r="I10" t="str">
            <v>0(  0.0)</v>
          </cell>
          <cell r="J10" t="str">
            <v>0(  0.0)</v>
          </cell>
          <cell r="K10" t="str">
            <v>0(  0.0)</v>
          </cell>
          <cell r="L10" t="str">
            <v>0(  0.0)</v>
          </cell>
          <cell r="M10" t="str">
            <v>10(100.0)</v>
          </cell>
          <cell r="N10" t="str">
            <v>0(  0.0)</v>
          </cell>
        </row>
        <row r="11">
          <cell r="C11" t="str">
            <v>0(  0.0)</v>
          </cell>
          <cell r="D11" t="str">
            <v>0(  0.0)</v>
          </cell>
          <cell r="E11" t="str">
            <v>0(  0.0)</v>
          </cell>
          <cell r="F11" t="str">
            <v>0(  0.0)</v>
          </cell>
          <cell r="G11" t="str">
            <v>10(100.0)</v>
          </cell>
          <cell r="H11" t="str">
            <v>0(  0.0)</v>
          </cell>
          <cell r="I11" t="str">
            <v>0(  0.0)</v>
          </cell>
          <cell r="J11" t="str">
            <v>0(  0.0)</v>
          </cell>
          <cell r="K11" t="str">
            <v>0(  0.0)</v>
          </cell>
          <cell r="L11" t="str">
            <v>0(  0.0)</v>
          </cell>
          <cell r="M11" t="str">
            <v>10(100.0)</v>
          </cell>
          <cell r="N11" t="str">
            <v>0(  0.0)</v>
          </cell>
        </row>
        <row r="12">
          <cell r="C12" t="str">
            <v>0(  0.0)</v>
          </cell>
          <cell r="D12" t="str">
            <v>0(  0.0)</v>
          </cell>
          <cell r="E12" t="str">
            <v>0(  0.0)</v>
          </cell>
          <cell r="F12" t="str">
            <v>0(  0.0)</v>
          </cell>
          <cell r="G12" t="str">
            <v>20(100.0)</v>
          </cell>
          <cell r="H12" t="str">
            <v>0(  0.0)</v>
          </cell>
          <cell r="I12" t="str">
            <v>0(  0.0)</v>
          </cell>
          <cell r="J12" t="str">
            <v>0(  0.0)</v>
          </cell>
          <cell r="K12" t="str">
            <v>0(  0.0)</v>
          </cell>
          <cell r="L12" t="str">
            <v>0(  0.0)</v>
          </cell>
          <cell r="M12" t="str">
            <v>20(100.0)</v>
          </cell>
          <cell r="N12" t="str">
            <v>0(  0.0)</v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2"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8"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</row>
        <row r="59"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</row>
        <row r="63"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</row>
        <row r="66"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</row>
        <row r="68"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</row>
        <row r="72">
          <cell r="C72" t="str">
            <v>0(  0.0)</v>
          </cell>
          <cell r="D72" t="str">
            <v>0(  0.0)</v>
          </cell>
          <cell r="E72" t="str">
            <v>0(  0.0)</v>
          </cell>
          <cell r="F72" t="str">
            <v>0(  0.0)</v>
          </cell>
          <cell r="G72" t="str">
            <v>10(100.0)</v>
          </cell>
          <cell r="H72" t="str">
            <v>0(  0.0)</v>
          </cell>
          <cell r="I72" t="str">
            <v>2( 20.0)</v>
          </cell>
          <cell r="J72" t="str">
            <v>0(  0.0)</v>
          </cell>
          <cell r="K72" t="str">
            <v>0(  0.0)</v>
          </cell>
          <cell r="L72" t="str">
            <v>0(  0.0)</v>
          </cell>
          <cell r="M72" t="str">
            <v>8( 80.0)</v>
          </cell>
          <cell r="N72" t="str">
            <v>8( 80.0)</v>
          </cell>
        </row>
        <row r="73">
          <cell r="C73" t="str">
            <v>0(  0.0)</v>
          </cell>
          <cell r="D73" t="str">
            <v>0(  0.0)</v>
          </cell>
          <cell r="E73" t="str">
            <v>0(  0.0)</v>
          </cell>
          <cell r="F73" t="str">
            <v>0(  0.0)</v>
          </cell>
          <cell r="G73" t="str">
            <v>10(100.0)</v>
          </cell>
          <cell r="H73" t="str">
            <v>0(  0.0)</v>
          </cell>
          <cell r="I73" t="str">
            <v>0(  0.0)</v>
          </cell>
          <cell r="J73" t="str">
            <v>0(  0.0)</v>
          </cell>
          <cell r="K73" t="str">
            <v>0(  0.0)</v>
          </cell>
          <cell r="L73" t="str">
            <v>0(  0.0)</v>
          </cell>
          <cell r="M73" t="str">
            <v>10(100.0)</v>
          </cell>
          <cell r="N73" t="str">
            <v>10(100.0)</v>
          </cell>
        </row>
        <row r="74">
          <cell r="C74" t="str">
            <v>0(  0.0)</v>
          </cell>
          <cell r="D74" t="str">
            <v>0(  0.0)</v>
          </cell>
          <cell r="E74" t="str">
            <v>0(  0.0)</v>
          </cell>
          <cell r="F74" t="str">
            <v>0(  0.0)</v>
          </cell>
          <cell r="G74" t="str">
            <v>20(100.0)</v>
          </cell>
          <cell r="H74" t="str">
            <v>0(  0.0)</v>
          </cell>
          <cell r="I74" t="str">
            <v>2( 10.0)</v>
          </cell>
          <cell r="J74" t="str">
            <v>0(  0.0)</v>
          </cell>
          <cell r="K74" t="str">
            <v>0(  0.0)</v>
          </cell>
          <cell r="L74" t="str">
            <v>0(  0.0)</v>
          </cell>
          <cell r="M74" t="str">
            <v>18( 90.0)</v>
          </cell>
          <cell r="N74" t="str">
            <v>18( 90.0)</v>
          </cell>
        </row>
        <row r="76"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</row>
        <row r="77"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</row>
        <row r="78"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</row>
        <row r="80"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</row>
        <row r="81"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</row>
        <row r="82"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</row>
        <row r="84"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</row>
        <row r="85"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</row>
        <row r="86"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</row>
        <row r="88"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</row>
        <row r="89"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</row>
        <row r="90"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</row>
        <row r="92"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</row>
        <row r="93"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</row>
        <row r="94"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</row>
        <row r="96"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</row>
        <row r="97"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</row>
        <row r="98"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</row>
        <row r="100"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</row>
        <row r="101"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</row>
        <row r="102"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</row>
        <row r="104"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</row>
        <row r="105"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</row>
        <row r="106"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</row>
        <row r="108"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</row>
        <row r="109"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</row>
        <row r="110"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</row>
        <row r="112"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</row>
        <row r="113"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</row>
        <row r="114"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</row>
        <row r="116"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</row>
        <row r="117"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</row>
        <row r="118"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</row>
        <row r="120"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</row>
        <row r="121"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</row>
        <row r="122"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</row>
        <row r="124"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</row>
        <row r="126"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</row>
        <row r="128"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</row>
        <row r="130"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</row>
        <row r="131">
          <cell r="B131" t="str">
            <v>TOTAL</v>
          </cell>
        </row>
        <row r="132">
          <cell r="B132" t="str">
            <v>CENTRAL</v>
          </cell>
          <cell r="C132" t="str">
            <v>0(  0.0)</v>
          </cell>
          <cell r="D132" t="str">
            <v>0(  0.0)</v>
          </cell>
          <cell r="E132" t="str">
            <v>0(  0.0)</v>
          </cell>
          <cell r="F132" t="str">
            <v>0(  0.0)</v>
          </cell>
          <cell r="G132" t="str">
            <v>20(100.0)</v>
          </cell>
          <cell r="H132" t="str">
            <v>0(  0.0)</v>
          </cell>
          <cell r="I132" t="str">
            <v>2( 10.0)</v>
          </cell>
          <cell r="J132" t="str">
            <v>0(  0.0)</v>
          </cell>
          <cell r="K132" t="str">
            <v>0(  0.0)</v>
          </cell>
          <cell r="L132" t="str">
            <v>0(  0.0)</v>
          </cell>
          <cell r="M132" t="str">
            <v>18( 90.0)</v>
          </cell>
          <cell r="N132" t="str">
            <v>8( 40.0)</v>
          </cell>
        </row>
        <row r="133">
          <cell r="B133" t="str">
            <v>STATE</v>
          </cell>
          <cell r="C133" t="str">
            <v>0(  0.0)</v>
          </cell>
          <cell r="D133" t="str">
            <v>0(  0.0)</v>
          </cell>
          <cell r="E133" t="str">
            <v>0(  0.0)</v>
          </cell>
          <cell r="F133" t="str">
            <v>0(  0.0)</v>
          </cell>
          <cell r="G133" t="str">
            <v>20(100.0)</v>
          </cell>
          <cell r="H133" t="str">
            <v>0(  0.0)</v>
          </cell>
          <cell r="I133" t="str">
            <v>0(  0.0)</v>
          </cell>
          <cell r="J133" t="str">
            <v>0(  0.0)</v>
          </cell>
          <cell r="K133" t="str">
            <v>0(  0.0)</v>
          </cell>
          <cell r="L133" t="str">
            <v>0(  0.0)</v>
          </cell>
          <cell r="M133" t="str">
            <v>20(100.0)</v>
          </cell>
          <cell r="N133" t="str">
            <v>10( 50.0)</v>
          </cell>
        </row>
        <row r="134">
          <cell r="B134" t="str">
            <v>POOLED</v>
          </cell>
          <cell r="C134" t="str">
            <v>0(  0.0)</v>
          </cell>
          <cell r="D134" t="str">
            <v>0(  0.0)</v>
          </cell>
          <cell r="E134" t="str">
            <v>0(  0.0)</v>
          </cell>
          <cell r="F134" t="str">
            <v>0(  0.0)</v>
          </cell>
          <cell r="G134" t="str">
            <v>40(100.0)</v>
          </cell>
          <cell r="H134" t="str">
            <v>0(  0.0)</v>
          </cell>
          <cell r="I134" t="str">
            <v>2(  5.0)</v>
          </cell>
          <cell r="J134" t="str">
            <v>0(  0.0)</v>
          </cell>
          <cell r="K134" t="str">
            <v>0(  0.0)</v>
          </cell>
          <cell r="L134" t="str">
            <v>0(  0.0)</v>
          </cell>
          <cell r="M134" t="str">
            <v>38( 95.0)</v>
          </cell>
          <cell r="N134" t="str">
            <v>18( 45.0)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B90B-25E9-4A36-89B0-0983A2FD4DB2}">
  <sheetPr>
    <tabColor theme="0" tint="-0.249977111117893"/>
  </sheetPr>
  <dimension ref="B2:J18"/>
  <sheetViews>
    <sheetView tabSelected="1" workbookViewId="0">
      <selection activeCell="G21" sqref="G21"/>
    </sheetView>
  </sheetViews>
  <sheetFormatPr defaultRowHeight="14.4" x14ac:dyDescent="0.3"/>
  <cols>
    <col min="2" max="2" width="10.44140625" bestFit="1" customWidth="1"/>
    <col min="3" max="3" width="14.109375" bestFit="1" customWidth="1"/>
    <col min="4" max="4" width="4.33203125" customWidth="1"/>
    <col min="5" max="5" width="14.109375" customWidth="1"/>
    <col min="6" max="6" width="4.33203125" customWidth="1"/>
    <col min="8" max="8" width="18.33203125" bestFit="1" customWidth="1"/>
    <col min="9" max="9" width="19.77734375" bestFit="1" customWidth="1"/>
    <col min="10" max="10" width="14.77734375" customWidth="1"/>
  </cols>
  <sheetData>
    <row r="2" spans="2:10" x14ac:dyDescent="0.3">
      <c r="B2" s="48" t="s">
        <v>306</v>
      </c>
      <c r="C2" s="49" t="str">
        <f>'[1]Crops CY'!$A$2</f>
        <v>PUDUCHERRY</v>
      </c>
      <c r="H2" s="49" t="str">
        <f>CONCATENATE(B2," : ",C2)</f>
        <v>UT : PUDUCHERRY</v>
      </c>
    </row>
    <row r="3" spans="2:10" x14ac:dyDescent="0.3">
      <c r="B3" s="48" t="s">
        <v>233</v>
      </c>
      <c r="C3" s="49" t="str">
        <f>'[1]Crops CY'!A$5</f>
        <v>RABI I</v>
      </c>
      <c r="D3" s="49">
        <f>'[1]Crops CY'!B$5</f>
        <v>4</v>
      </c>
      <c r="E3" s="49" t="str">
        <f>'[1]Crops CY'!C$5</f>
        <v>RABI II</v>
      </c>
      <c r="F3" s="49">
        <f>'[1]Crops CY'!D$5</f>
        <v>5</v>
      </c>
      <c r="H3" s="49" t="str">
        <f>CONCATENATE(B3," : ",C3)</f>
        <v>SEASON : RABI I</v>
      </c>
      <c r="I3" s="49" t="str">
        <f>CONCATENATE(B3," : ",E3)</f>
        <v>SEASON : RABI II</v>
      </c>
    </row>
    <row r="4" spans="2:10" x14ac:dyDescent="0.3">
      <c r="B4" s="48" t="s">
        <v>35</v>
      </c>
      <c r="C4" s="49" t="str">
        <f>'[1]Crops CY'!$B$3</f>
        <v>2024-25</v>
      </c>
      <c r="H4" s="49" t="str">
        <f>CONCATENATE($C$3," ",C4)</f>
        <v>RABI I 2024-25</v>
      </c>
      <c r="I4" s="49" t="str">
        <f>CONCATENATE($E$3," ",C4)</f>
        <v>RABI II 2024-25</v>
      </c>
      <c r="J4" s="49" t="str">
        <f>CONCATENATE($B$4," ",C4)</f>
        <v>YEAR 2024-25</v>
      </c>
    </row>
    <row r="5" spans="2:10" x14ac:dyDescent="0.3">
      <c r="B5" s="48" t="s">
        <v>275</v>
      </c>
      <c r="C5" s="49" t="str">
        <f>CONCATENATE(LEFT(C4,4)-1,"-",RIGHT(C4,2)-1)</f>
        <v>2023-24</v>
      </c>
      <c r="H5" s="49" t="str">
        <f>CONCATENATE($C$3," ",C5)</f>
        <v>RABI I 2023-24</v>
      </c>
      <c r="I5" s="49" t="str">
        <f t="shared" ref="I5:I8" si="0">CONCATENATE($E$3," ",C5)</f>
        <v>RABI II 2023-24</v>
      </c>
      <c r="J5" s="49" t="str">
        <f>CONCATENATE($B$4," ",C5)</f>
        <v>YEAR 2023-24</v>
      </c>
    </row>
    <row r="6" spans="2:10" x14ac:dyDescent="0.3">
      <c r="C6" s="49" t="str">
        <f t="shared" ref="C6:C8" si="1">CONCATENATE(LEFT(C5,4)-1,"-",RIGHT(C5,2)-1)</f>
        <v>2022-23</v>
      </c>
      <c r="H6" s="49" t="str">
        <f t="shared" ref="H6:H8" si="2">CONCATENATE($C$3," ",C6)</f>
        <v>RABI I 2022-23</v>
      </c>
      <c r="I6" s="49" t="str">
        <f t="shared" si="0"/>
        <v>RABI II 2022-23</v>
      </c>
      <c r="J6" s="49" t="str">
        <f>CONCATENATE($B$4," ",C6)</f>
        <v>YEAR 2022-23</v>
      </c>
    </row>
    <row r="7" spans="2:10" x14ac:dyDescent="0.3">
      <c r="C7" s="49" t="str">
        <f t="shared" si="1"/>
        <v>2021-22</v>
      </c>
      <c r="H7" s="49" t="str">
        <f t="shared" si="2"/>
        <v>RABI I 2021-22</v>
      </c>
      <c r="I7" s="49" t="str">
        <f t="shared" si="0"/>
        <v>RABI II 2021-22</v>
      </c>
      <c r="J7" s="49" t="str">
        <f>CONCATENATE($B$4," ",C7)</f>
        <v>YEAR 2021-22</v>
      </c>
    </row>
    <row r="8" spans="2:10" x14ac:dyDescent="0.3">
      <c r="C8" s="50" t="str">
        <f t="shared" si="1"/>
        <v>2020-21</v>
      </c>
      <c r="H8" s="49" t="str">
        <f t="shared" si="2"/>
        <v>RABI I 2020-21</v>
      </c>
      <c r="I8" s="49" t="str">
        <f t="shared" si="0"/>
        <v>RABI II 2020-21</v>
      </c>
      <c r="J8" s="49" t="str">
        <f>CONCATENATE($B$4," ",C8)</f>
        <v>YEAR 2020-21</v>
      </c>
    </row>
    <row r="9" spans="2:10" x14ac:dyDescent="0.3">
      <c r="B9" s="48" t="s">
        <v>276</v>
      </c>
      <c r="C9" s="49" t="str">
        <f>'[1]Crops CY'!A7</f>
        <v>PADDY</v>
      </c>
      <c r="D9" s="49">
        <f>'[1]Crops CY'!B7</f>
        <v>97</v>
      </c>
      <c r="E9" s="49" t="str">
        <f>'[1]Crops CY'!C7</f>
        <v>PADDY</v>
      </c>
      <c r="F9" s="49">
        <f>'[1]Crops CY'!D7</f>
        <v>98</v>
      </c>
    </row>
    <row r="10" spans="2:10" x14ac:dyDescent="0.3">
      <c r="C10" s="49" t="str">
        <f>'[1]Crops CY'!A8</f>
        <v>OTHERS</v>
      </c>
      <c r="D10" s="49">
        <f>'[1]Crops CY'!B8</f>
        <v>99</v>
      </c>
      <c r="E10" s="49" t="str">
        <f>'[1]Crops CY'!C8</f>
        <v>OTHERS</v>
      </c>
      <c r="F10" s="49">
        <f>'[1]Crops CY'!D8</f>
        <v>99</v>
      </c>
    </row>
    <row r="11" spans="2:10" x14ac:dyDescent="0.3">
      <c r="C11" s="49">
        <f>'[1]Crops CY'!A9</f>
        <v>0</v>
      </c>
      <c r="D11" s="49">
        <f>'[1]Crops CY'!B9</f>
        <v>0</v>
      </c>
      <c r="E11" s="49">
        <f>'[1]Crops CY'!C9</f>
        <v>0</v>
      </c>
      <c r="F11" s="49">
        <f>'[1]Crops CY'!D9</f>
        <v>0</v>
      </c>
    </row>
    <row r="12" spans="2:10" x14ac:dyDescent="0.3">
      <c r="C12" s="49">
        <f>'[1]Crops CY'!A10</f>
        <v>0</v>
      </c>
      <c r="D12" s="49">
        <f>'[1]Crops CY'!B10</f>
        <v>0</v>
      </c>
      <c r="E12" s="49">
        <f>'[1]Crops CY'!C10</f>
        <v>0</v>
      </c>
      <c r="F12" s="49">
        <f>'[1]Crops CY'!D10</f>
        <v>0</v>
      </c>
    </row>
    <row r="13" spans="2:10" x14ac:dyDescent="0.3">
      <c r="C13" s="49">
        <f>'[1]Crops CY'!A11</f>
        <v>0</v>
      </c>
      <c r="D13" s="49">
        <f>'[1]Crops CY'!B11</f>
        <v>0</v>
      </c>
      <c r="E13" s="49">
        <f>'[1]Crops CY'!C11</f>
        <v>0</v>
      </c>
      <c r="F13" s="49">
        <f>'[1]Crops CY'!D11</f>
        <v>0</v>
      </c>
    </row>
    <row r="14" spans="2:10" x14ac:dyDescent="0.3">
      <c r="C14" s="49">
        <f>'[1]Crops CY'!A12</f>
        <v>0</v>
      </c>
      <c r="D14" s="49">
        <f>'[1]Crops CY'!B12</f>
        <v>0</v>
      </c>
      <c r="E14" s="49">
        <f>'[1]Crops CY'!C12</f>
        <v>0</v>
      </c>
      <c r="F14" s="49">
        <f>'[1]Crops CY'!D12</f>
        <v>0</v>
      </c>
    </row>
    <row r="15" spans="2:10" x14ac:dyDescent="0.3">
      <c r="C15" s="49">
        <f>'[1]Crops CY'!A13</f>
        <v>0</v>
      </c>
      <c r="D15" s="49">
        <f>'[1]Crops CY'!B13</f>
        <v>0</v>
      </c>
      <c r="E15" s="49">
        <f>'[1]Crops CY'!C13</f>
        <v>0</v>
      </c>
      <c r="F15" s="49">
        <f>'[1]Crops CY'!D13</f>
        <v>0</v>
      </c>
    </row>
    <row r="16" spans="2:10" x14ac:dyDescent="0.3">
      <c r="C16" s="49">
        <f>'[1]Crops CY'!A14</f>
        <v>0</v>
      </c>
      <c r="D16" s="49">
        <f>'[1]Crops CY'!B14</f>
        <v>0</v>
      </c>
      <c r="E16" s="49">
        <f>'[1]Crops CY'!C14</f>
        <v>0</v>
      </c>
      <c r="F16" s="49">
        <f>'[1]Crops CY'!D14</f>
        <v>0</v>
      </c>
    </row>
    <row r="17" spans="3:6" x14ac:dyDescent="0.3">
      <c r="C17" s="49">
        <f>'[1]Crops CY'!A15</f>
        <v>0</v>
      </c>
      <c r="D17" s="49">
        <f>'[1]Crops CY'!B15</f>
        <v>0</v>
      </c>
      <c r="E17" s="49">
        <f>'[1]Crops CY'!C15</f>
        <v>0</v>
      </c>
      <c r="F17" s="49">
        <f>'[1]Crops CY'!D15</f>
        <v>0</v>
      </c>
    </row>
    <row r="18" spans="3:6" x14ac:dyDescent="0.3">
      <c r="C18" s="49">
        <f>'[1]Crops CY'!A16</f>
        <v>0</v>
      </c>
      <c r="D18" s="49">
        <f>'[1]Crops CY'!B16</f>
        <v>0</v>
      </c>
      <c r="E18" s="49">
        <f>'[1]Crops CY'!C16</f>
        <v>0</v>
      </c>
      <c r="F18" s="49">
        <f>'[1]Crops CY'!D16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24"/>
  <sheetViews>
    <sheetView view="pageBreakPreview" zoomScale="90" zoomScaleNormal="100" zoomScaleSheetLayoutView="90" workbookViewId="0">
      <selection activeCell="C10" sqref="C10"/>
    </sheetView>
  </sheetViews>
  <sheetFormatPr defaultRowHeight="14.4" x14ac:dyDescent="0.3"/>
  <cols>
    <col min="1" max="1" width="20.109375" customWidth="1"/>
    <col min="2" max="2" width="11.5546875" customWidth="1"/>
    <col min="3" max="3" width="13.88671875" customWidth="1"/>
    <col min="4" max="4" width="14" customWidth="1"/>
    <col min="5" max="5" width="13.77734375" customWidth="1"/>
    <col min="6" max="7" width="15.88671875" customWidth="1"/>
    <col min="8" max="8" width="13.44140625" customWidth="1"/>
  </cols>
  <sheetData>
    <row r="1" spans="1:8" x14ac:dyDescent="0.3">
      <c r="A1" s="235" t="s">
        <v>0</v>
      </c>
      <c r="B1" s="235"/>
      <c r="C1" s="235"/>
      <c r="D1" s="235"/>
      <c r="E1" s="235"/>
      <c r="F1" s="235"/>
      <c r="G1" s="235"/>
      <c r="H1" s="235"/>
    </row>
    <row r="2" spans="1:8" x14ac:dyDescent="0.3">
      <c r="A2" s="62" t="str">
        <f>common!$H$2</f>
        <v>UT : PUDUCHERRY</v>
      </c>
      <c r="B2" s="62"/>
      <c r="C2" s="62"/>
      <c r="D2" s="62"/>
      <c r="E2" s="62"/>
      <c r="F2" s="62"/>
      <c r="G2" s="236" t="str">
        <f>'[1]Annex-1'!H2</f>
        <v>ANNEX-I</v>
      </c>
      <c r="H2" s="236"/>
    </row>
    <row r="3" spans="1:8" x14ac:dyDescent="0.3">
      <c r="A3" s="249" t="str">
        <f>'[1]Annex-1'!A3:I3</f>
        <v>RESPONSE IN SAMPLE CHECK ON ENUMERATION OF AREA  DURING  2024-25 AND 2023-24.</v>
      </c>
      <c r="B3" s="249"/>
      <c r="C3" s="249"/>
      <c r="D3" s="249"/>
      <c r="E3" s="249"/>
      <c r="F3" s="249"/>
      <c r="G3" s="249"/>
      <c r="H3" s="249"/>
    </row>
    <row r="4" spans="1:8" ht="31.8" customHeight="1" x14ac:dyDescent="0.3">
      <c r="A4" s="250" t="s">
        <v>292</v>
      </c>
      <c r="B4" s="252" t="s">
        <v>1</v>
      </c>
      <c r="C4" s="252" t="s">
        <v>2</v>
      </c>
      <c r="D4" s="252"/>
      <c r="E4" s="253" t="s">
        <v>3</v>
      </c>
      <c r="F4" s="253"/>
      <c r="G4" s="253"/>
      <c r="H4" s="253"/>
    </row>
    <row r="5" spans="1:8" ht="31.8" customHeight="1" x14ac:dyDescent="0.3">
      <c r="A5" s="250"/>
      <c r="B5" s="252"/>
      <c r="C5" s="253"/>
      <c r="D5" s="253"/>
      <c r="E5" s="254" t="s">
        <v>188</v>
      </c>
      <c r="F5" s="252" t="s">
        <v>4</v>
      </c>
      <c r="G5" s="252" t="s">
        <v>5</v>
      </c>
      <c r="H5" s="252" t="s">
        <v>6</v>
      </c>
    </row>
    <row r="6" spans="1:8" ht="28.8" x14ac:dyDescent="0.3">
      <c r="A6" s="251"/>
      <c r="B6" s="253"/>
      <c r="C6" s="99" t="s">
        <v>187</v>
      </c>
      <c r="D6" s="99" t="s">
        <v>7</v>
      </c>
      <c r="E6" s="255"/>
      <c r="F6" s="253"/>
      <c r="G6" s="253"/>
      <c r="H6" s="253"/>
    </row>
    <row r="7" spans="1:8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</row>
    <row r="8" spans="1:8" x14ac:dyDescent="0.3">
      <c r="A8" s="67" t="str">
        <f>common!$H$4</f>
        <v>RABI I 2024-25</v>
      </c>
      <c r="B8" s="68"/>
      <c r="C8" s="78"/>
      <c r="D8" s="78"/>
      <c r="E8" s="78"/>
      <c r="F8" s="78"/>
      <c r="G8" s="78"/>
      <c r="H8" s="78"/>
    </row>
    <row r="9" spans="1:8" x14ac:dyDescent="0.3">
      <c r="A9" s="68" t="s">
        <v>16</v>
      </c>
      <c r="B9" s="72" t="str">
        <f>'[1]Annex-1'!B9&amp;"  "</f>
        <v xml:space="preserve">9  </v>
      </c>
      <c r="C9" s="72" t="str">
        <f>'[1]Annex-1'!C9</f>
        <v>9(100.0)</v>
      </c>
      <c r="D9" s="72" t="str">
        <f>'[1]Annex-1'!E9</f>
        <v>9(100.0)</v>
      </c>
      <c r="E9" s="72" t="str">
        <f>'[1]Annex-1'!F9</f>
        <v>9(100.0)</v>
      </c>
      <c r="F9" s="72" t="str">
        <f>'[1]Annex-1'!G9</f>
        <v>9(100.0)</v>
      </c>
      <c r="G9" s="72" t="str">
        <f>'[1]Annex-1'!H9</f>
        <v>0(  0.0)</v>
      </c>
      <c r="H9" s="72" t="str">
        <f>'[1]Annex-1'!I9</f>
        <v>0(  0.0)</v>
      </c>
    </row>
    <row r="10" spans="1:8" x14ac:dyDescent="0.3">
      <c r="A10" s="78" t="s">
        <v>17</v>
      </c>
      <c r="B10" s="72" t="str">
        <f>'[1]Annex-1'!B10&amp;"  "</f>
        <v xml:space="preserve">9  </v>
      </c>
      <c r="C10" s="72" t="str">
        <f>'[1]Annex-1'!C10</f>
        <v>9(100.0)</v>
      </c>
      <c r="D10" s="72" t="str">
        <f>'[1]Annex-1'!E10</f>
        <v>9(100.0)</v>
      </c>
      <c r="E10" s="72" t="str">
        <f>'[1]Annex-1'!F10</f>
        <v>9(100.0)</v>
      </c>
      <c r="F10" s="72" t="str">
        <f>'[1]Annex-1'!G10</f>
        <v>9(100.0)</v>
      </c>
      <c r="G10" s="72" t="str">
        <f>'[1]Annex-1'!H10</f>
        <v>0(  0.0)</v>
      </c>
      <c r="H10" s="72" t="str">
        <f>'[1]Annex-1'!I10</f>
        <v>0(  0.0)</v>
      </c>
    </row>
    <row r="11" spans="1:8" x14ac:dyDescent="0.3">
      <c r="A11" s="68" t="s">
        <v>18</v>
      </c>
      <c r="B11" s="72" t="str">
        <f>'[1]Annex-1'!B11&amp;"  "</f>
        <v xml:space="preserve">18  </v>
      </c>
      <c r="C11" s="72" t="str">
        <f>'[1]Annex-1'!C11</f>
        <v>18(100.0)</v>
      </c>
      <c r="D11" s="72" t="str">
        <f>'[1]Annex-1'!E11</f>
        <v>18(100.0)</v>
      </c>
      <c r="E11" s="72" t="str">
        <f>'[1]Annex-1'!F11</f>
        <v>18(100.0)</v>
      </c>
      <c r="F11" s="72" t="str">
        <f>'[1]Annex-1'!G11</f>
        <v>18(100.0)</v>
      </c>
      <c r="G11" s="72" t="str">
        <f>'[1]Annex-1'!H11</f>
        <v>0(  0.0)</v>
      </c>
      <c r="H11" s="72" t="str">
        <f>'[1]Annex-1'!I11</f>
        <v>0(  0.0)</v>
      </c>
    </row>
    <row r="12" spans="1:8" ht="15" customHeight="1" x14ac:dyDescent="0.3">
      <c r="A12" s="67" t="str">
        <f>common!$I$4</f>
        <v>RABI II 2024-25</v>
      </c>
      <c r="B12" s="71"/>
      <c r="C12" s="72"/>
      <c r="D12" s="72"/>
      <c r="E12" s="72"/>
      <c r="F12" s="72"/>
      <c r="G12" s="72"/>
      <c r="H12" s="72"/>
    </row>
    <row r="13" spans="1:8" x14ac:dyDescent="0.3">
      <c r="A13" s="68" t="s">
        <v>16</v>
      </c>
      <c r="B13" s="72" t="str">
        <f>'[1]Annex-1'!B13&amp;"  "</f>
        <v xml:space="preserve">9  </v>
      </c>
      <c r="C13" s="72" t="str">
        <f>'[1]Annex-1'!C13</f>
        <v>9(100.0)</v>
      </c>
      <c r="D13" s="72" t="str">
        <f>'[1]Annex-1'!E13</f>
        <v>9(100.0)</v>
      </c>
      <c r="E13" s="72" t="str">
        <f>'[1]Annex-1'!F13</f>
        <v>9(100.0)</v>
      </c>
      <c r="F13" s="72" t="str">
        <f>'[1]Annex-1'!G13</f>
        <v>9(100.0)</v>
      </c>
      <c r="G13" s="72" t="str">
        <f>'[1]Annex-1'!H13</f>
        <v>0(  0.0)</v>
      </c>
      <c r="H13" s="72" t="str">
        <f>'[1]Annex-1'!I13</f>
        <v>0(  0.0)</v>
      </c>
    </row>
    <row r="14" spans="1:8" x14ac:dyDescent="0.3">
      <c r="A14" s="78" t="s">
        <v>17</v>
      </c>
      <c r="B14" s="72" t="str">
        <f>'[1]Annex-1'!B14&amp;"  "</f>
        <v xml:space="preserve">9  </v>
      </c>
      <c r="C14" s="72" t="str">
        <f>'[1]Annex-1'!C14</f>
        <v>9(100.0)</v>
      </c>
      <c r="D14" s="72" t="str">
        <f>'[1]Annex-1'!E14</f>
        <v>9(100.0)</v>
      </c>
      <c r="E14" s="72" t="str">
        <f>'[1]Annex-1'!F14</f>
        <v>9(100.0)</v>
      </c>
      <c r="F14" s="72" t="str">
        <f>'[1]Annex-1'!G14</f>
        <v>9(100.0)</v>
      </c>
      <c r="G14" s="72" t="str">
        <f>'[1]Annex-1'!H14</f>
        <v>0(  0.0)</v>
      </c>
      <c r="H14" s="72" t="str">
        <f>'[1]Annex-1'!I14</f>
        <v>0(  0.0)</v>
      </c>
    </row>
    <row r="15" spans="1:8" x14ac:dyDescent="0.3">
      <c r="A15" s="67" t="s">
        <v>18</v>
      </c>
      <c r="B15" s="74" t="str">
        <f>'[1]Annex-1'!B15&amp;"  "</f>
        <v xml:space="preserve">18  </v>
      </c>
      <c r="C15" s="74" t="str">
        <f>'[1]Annex-1'!C15</f>
        <v>18(100.0)</v>
      </c>
      <c r="D15" s="74" t="str">
        <f>'[1]Annex-1'!E15</f>
        <v>18(100.0)</v>
      </c>
      <c r="E15" s="74" t="str">
        <f>'[1]Annex-1'!F15</f>
        <v>18(100.0)</v>
      </c>
      <c r="F15" s="74" t="str">
        <f>'[1]Annex-1'!G15</f>
        <v>18(100.0)</v>
      </c>
      <c r="G15" s="74" t="str">
        <f>'[1]Annex-1'!H15</f>
        <v>0(  0.0)</v>
      </c>
      <c r="H15" s="74" t="str">
        <f>'[1]Annex-1'!I15</f>
        <v>0(  0.0)</v>
      </c>
    </row>
    <row r="16" spans="1:8" ht="15" customHeight="1" x14ac:dyDescent="0.3">
      <c r="A16" s="67" t="str">
        <f>common!$H$5</f>
        <v>RABI I 2023-24</v>
      </c>
      <c r="B16" s="71"/>
      <c r="C16" s="72"/>
      <c r="D16" s="72"/>
      <c r="E16" s="72"/>
      <c r="F16" s="72"/>
      <c r="G16" s="72"/>
      <c r="H16" s="72"/>
    </row>
    <row r="17" spans="1:8" x14ac:dyDescent="0.3">
      <c r="A17" s="68" t="s">
        <v>16</v>
      </c>
      <c r="B17" s="72" t="str">
        <f>'[1]Annex-1'!B18&amp;"  "</f>
        <v xml:space="preserve">9  </v>
      </c>
      <c r="C17" s="72" t="str">
        <f>'[1]Annex-1'!C18</f>
        <v>9(100.0)</v>
      </c>
      <c r="D17" s="72" t="str">
        <f>'[1]Annex-1'!E18</f>
        <v>9(100.0)</v>
      </c>
      <c r="E17" s="72" t="str">
        <f>'[1]Annex-1'!F18</f>
        <v>9(100.0)</v>
      </c>
      <c r="F17" s="72" t="str">
        <f>'[1]Annex-1'!G18</f>
        <v>9(100.0)</v>
      </c>
      <c r="G17" s="72" t="str">
        <f>'[1]Annex-1'!H18</f>
        <v>0(  0.0)</v>
      </c>
      <c r="H17" s="72" t="str">
        <f>'[1]Annex-1'!I18</f>
        <v>0(  0.0)</v>
      </c>
    </row>
    <row r="18" spans="1:8" x14ac:dyDescent="0.3">
      <c r="A18" s="78" t="s">
        <v>17</v>
      </c>
      <c r="B18" s="72" t="str">
        <f>'[1]Annex-1'!B19&amp;"  "</f>
        <v xml:space="preserve">9  </v>
      </c>
      <c r="C18" s="72" t="str">
        <f>'[1]Annex-1'!C19</f>
        <v>9(100.0)</v>
      </c>
      <c r="D18" s="72" t="str">
        <f>'[1]Annex-1'!E19</f>
        <v>9(100.0)</v>
      </c>
      <c r="E18" s="72" t="str">
        <f>'[1]Annex-1'!F19</f>
        <v>9(100.0)</v>
      </c>
      <c r="F18" s="72" t="str">
        <f>'[1]Annex-1'!G19</f>
        <v>9(100.0)</v>
      </c>
      <c r="G18" s="72" t="str">
        <f>'[1]Annex-1'!H19</f>
        <v>0(  0.0)</v>
      </c>
      <c r="H18" s="72" t="str">
        <f>'[1]Annex-1'!I19</f>
        <v>0(  0.0)</v>
      </c>
    </row>
    <row r="19" spans="1:8" x14ac:dyDescent="0.3">
      <c r="A19" s="68" t="s">
        <v>18</v>
      </c>
      <c r="B19" s="72" t="str">
        <f>'[1]Annex-1'!B20&amp;"  "</f>
        <v xml:space="preserve">18  </v>
      </c>
      <c r="C19" s="72" t="str">
        <f>'[1]Annex-1'!C20</f>
        <v>18(100.0)</v>
      </c>
      <c r="D19" s="72" t="str">
        <f>'[1]Annex-1'!E20</f>
        <v>18(100.0)</v>
      </c>
      <c r="E19" s="72" t="str">
        <f>'[1]Annex-1'!F20</f>
        <v>18(100.0)</v>
      </c>
      <c r="F19" s="72" t="str">
        <f>'[1]Annex-1'!G20</f>
        <v>18(100.0)</v>
      </c>
      <c r="G19" s="72" t="str">
        <f>'[1]Annex-1'!H20</f>
        <v>0(  0.0)</v>
      </c>
      <c r="H19" s="72" t="str">
        <f>'[1]Annex-1'!I20</f>
        <v>0(  0.0)</v>
      </c>
    </row>
    <row r="20" spans="1:8" ht="15" customHeight="1" x14ac:dyDescent="0.3">
      <c r="A20" s="67" t="str">
        <f>common!$I$5</f>
        <v>RABI II 2023-24</v>
      </c>
      <c r="B20" s="71"/>
      <c r="C20" s="72"/>
      <c r="D20" s="72"/>
      <c r="E20" s="72"/>
      <c r="F20" s="72"/>
      <c r="G20" s="72"/>
      <c r="H20" s="72"/>
    </row>
    <row r="21" spans="1:8" x14ac:dyDescent="0.3">
      <c r="A21" s="68" t="s">
        <v>16</v>
      </c>
      <c r="B21" s="72" t="str">
        <f>'[1]Annex-1'!B22&amp;"  "</f>
        <v xml:space="preserve">9  </v>
      </c>
      <c r="C21" s="72" t="str">
        <f>'[1]Annex-1'!C22</f>
        <v>9(100.0)</v>
      </c>
      <c r="D21" s="72" t="str">
        <f>'[1]Annex-1'!E22</f>
        <v>9(100.0)</v>
      </c>
      <c r="E21" s="72" t="str">
        <f>'[1]Annex-1'!F22</f>
        <v>9(100.0)</v>
      </c>
      <c r="F21" s="72" t="str">
        <f>'[1]Annex-1'!G22</f>
        <v>9(100.0)</v>
      </c>
      <c r="G21" s="72" t="str">
        <f>'[1]Annex-1'!H22</f>
        <v>0(  0.0)</v>
      </c>
      <c r="H21" s="72" t="str">
        <f>'[1]Annex-1'!I22</f>
        <v>0(  0.0)</v>
      </c>
    </row>
    <row r="22" spans="1:8" x14ac:dyDescent="0.3">
      <c r="A22" s="78" t="s">
        <v>17</v>
      </c>
      <c r="B22" s="72" t="str">
        <f>'[1]Annex-1'!B23&amp;"  "</f>
        <v xml:space="preserve">9  </v>
      </c>
      <c r="C22" s="72" t="str">
        <f>'[1]Annex-1'!C23</f>
        <v>9(100.0)</v>
      </c>
      <c r="D22" s="72" t="str">
        <f>'[1]Annex-1'!E23</f>
        <v>9(100.0)</v>
      </c>
      <c r="E22" s="72" t="str">
        <f>'[1]Annex-1'!F23</f>
        <v>9(100.0)</v>
      </c>
      <c r="F22" s="72" t="str">
        <f>'[1]Annex-1'!G23</f>
        <v>9(100.0)</v>
      </c>
      <c r="G22" s="72" t="str">
        <f>'[1]Annex-1'!H23</f>
        <v>0(  0.0)</v>
      </c>
      <c r="H22" s="72" t="str">
        <f>'[1]Annex-1'!I23</f>
        <v>0(  0.0)</v>
      </c>
    </row>
    <row r="23" spans="1:8" ht="15" thickBot="1" x14ac:dyDescent="0.35">
      <c r="A23" s="84" t="s">
        <v>18</v>
      </c>
      <c r="B23" s="86" t="str">
        <f>'[1]Annex-1'!B24&amp;"  "</f>
        <v xml:space="preserve">18  </v>
      </c>
      <c r="C23" s="86" t="str">
        <f>'[1]Annex-1'!C24</f>
        <v>18(100.0)</v>
      </c>
      <c r="D23" s="86" t="str">
        <f>'[1]Annex-1'!E24</f>
        <v>18(100.0)</v>
      </c>
      <c r="E23" s="86" t="str">
        <f>'[1]Annex-1'!F24</f>
        <v>18(100.0)</v>
      </c>
      <c r="F23" s="86" t="str">
        <f>'[1]Annex-1'!G24</f>
        <v>18(100.0)</v>
      </c>
      <c r="G23" s="86" t="str">
        <f>'[1]Annex-1'!H24</f>
        <v>0(  0.0)</v>
      </c>
      <c r="H23" s="86" t="str">
        <f>'[1]Annex-1'!I24</f>
        <v>0(  0.0)</v>
      </c>
    </row>
    <row r="24" spans="1:8" ht="15" thickTop="1" x14ac:dyDescent="0.3"/>
  </sheetData>
  <mergeCells count="11">
    <mergeCell ref="A1:H1"/>
    <mergeCell ref="G2:H2"/>
    <mergeCell ref="A3:H3"/>
    <mergeCell ref="A4:A6"/>
    <mergeCell ref="B4:B6"/>
    <mergeCell ref="C4:D5"/>
    <mergeCell ref="E4:H4"/>
    <mergeCell ref="E5:E6"/>
    <mergeCell ref="F5:F6"/>
    <mergeCell ref="G5:G6"/>
    <mergeCell ref="H5:H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1" width="41.33203125" customWidth="1"/>
    <col min="2" max="3" width="28.21875" customWidth="1"/>
  </cols>
  <sheetData>
    <row r="1" spans="1:3" x14ac:dyDescent="0.3">
      <c r="A1" s="256" t="s">
        <v>20</v>
      </c>
      <c r="B1" s="256"/>
      <c r="C1" s="256"/>
    </row>
    <row r="2" spans="1:3" x14ac:dyDescent="0.3">
      <c r="A2" s="7" t="str">
        <f>common!$H$2</f>
        <v>UT : PUDUCHERRY</v>
      </c>
      <c r="B2" s="7"/>
      <c r="C2" s="8" t="str">
        <f>'[1]Annex-2'!C2</f>
        <v xml:space="preserve"> ANNEX-II</v>
      </c>
    </row>
    <row r="3" spans="1:3" x14ac:dyDescent="0.3">
      <c r="A3" s="257" t="str">
        <f>'[1]Annex-2'!A3</f>
        <v>INFORMATION REGARDING UPDATING OF VILLAGE MAPS AND  THEIR USABILITY DURING  2024-25 AND 2023-24.</v>
      </c>
      <c r="B3" s="257"/>
      <c r="C3" s="257"/>
    </row>
    <row r="4" spans="1:3" x14ac:dyDescent="0.3">
      <c r="A4" s="258" t="s">
        <v>21</v>
      </c>
      <c r="B4" s="259" t="s">
        <v>22</v>
      </c>
      <c r="C4" s="259"/>
    </row>
    <row r="5" spans="1:3" x14ac:dyDescent="0.3">
      <c r="A5" s="258"/>
      <c r="B5" s="59" t="str">
        <f>common!$C$4</f>
        <v>2024-25</v>
      </c>
      <c r="C5" s="59" t="str">
        <f>common!$C$5</f>
        <v>2023-24</v>
      </c>
    </row>
    <row r="6" spans="1:3" x14ac:dyDescent="0.3">
      <c r="A6" s="13" t="s">
        <v>23</v>
      </c>
      <c r="B6" s="5" t="str">
        <f>'[1]Annex-2'!B6</f>
        <v>0(  0.0)</v>
      </c>
      <c r="C6" s="5" t="str">
        <f>'[1]Annex-2'!C6</f>
        <v>0(  0.0)</v>
      </c>
    </row>
    <row r="7" spans="1:3" x14ac:dyDescent="0.3">
      <c r="A7" s="13" t="s">
        <v>24</v>
      </c>
      <c r="B7" s="5" t="str">
        <f>'[1]Annex-2'!B7</f>
        <v>0(  0.0)</v>
      </c>
      <c r="C7" s="5" t="str">
        <f>'[1]Annex-2'!C7</f>
        <v>0(  0.0)</v>
      </c>
    </row>
    <row r="8" spans="1:3" x14ac:dyDescent="0.3">
      <c r="A8" s="20" t="s">
        <v>25</v>
      </c>
      <c r="B8" s="5" t="str">
        <f>'[1]Annex-2'!B8</f>
        <v>0(  0.0)</v>
      </c>
      <c r="C8" s="5" t="str">
        <f>'[1]Annex-2'!C8</f>
        <v>0(  0.0)</v>
      </c>
    </row>
    <row r="9" spans="1:3" x14ac:dyDescent="0.3">
      <c r="A9" s="13" t="s">
        <v>26</v>
      </c>
      <c r="B9" s="5" t="str">
        <f>'[1]Annex-2'!B9</f>
        <v>18(100.0)</v>
      </c>
      <c r="C9" s="5" t="str">
        <f>'[1]Annex-2'!C9</f>
        <v>17( 94.4)</v>
      </c>
    </row>
    <row r="10" spans="1:3" x14ac:dyDescent="0.3">
      <c r="A10" s="32" t="s">
        <v>27</v>
      </c>
      <c r="B10" s="31" t="str">
        <f>'[1]Annex-2'!B10</f>
        <v>0(  0.0)</v>
      </c>
      <c r="C10" s="31" t="str">
        <f>'[1]Annex-2'!C10</f>
        <v>1(  5.6)</v>
      </c>
    </row>
    <row r="11" spans="1:3" ht="21" customHeight="1" x14ac:dyDescent="0.3">
      <c r="A11" s="33" t="s">
        <v>28</v>
      </c>
      <c r="B11" s="2"/>
      <c r="C11" s="2"/>
    </row>
    <row r="12" spans="1:3" x14ac:dyDescent="0.3">
      <c r="A12" s="13" t="s">
        <v>29</v>
      </c>
      <c r="B12" s="5" t="str">
        <f>'[1]Annex-2'!B13</f>
        <v>18(100.0)</v>
      </c>
      <c r="C12" s="5" t="str">
        <f>'[1]Annex-2'!C13</f>
        <v>18(100.0)</v>
      </c>
    </row>
    <row r="13" spans="1:3" x14ac:dyDescent="0.3">
      <c r="A13" s="13" t="s">
        <v>30</v>
      </c>
      <c r="B13" s="5" t="str">
        <f>'[1]Annex-2'!B14</f>
        <v>18(100.0)</v>
      </c>
      <c r="C13" s="5" t="str">
        <f>'[1]Annex-2'!C14</f>
        <v>18(100.0)</v>
      </c>
    </row>
    <row r="14" spans="1:3" x14ac:dyDescent="0.3">
      <c r="A14" s="13" t="s">
        <v>31</v>
      </c>
      <c r="B14" s="5" t="str">
        <f>'[1]Annex-2'!B15</f>
        <v>0(  0.0)</v>
      </c>
      <c r="C14" s="5" t="str">
        <f>'[1]Annex-2'!C15</f>
        <v>0(  0.0)</v>
      </c>
    </row>
    <row r="15" spans="1:3" ht="15" thickBot="1" x14ac:dyDescent="0.35">
      <c r="A15" s="42" t="s">
        <v>32</v>
      </c>
      <c r="B15" s="41" t="str">
        <f>'[1]Annex-2'!B16</f>
        <v>0(  0.0)</v>
      </c>
      <c r="C15" s="41" t="str">
        <f>'[1]Annex-2'!C16</f>
        <v>0(  0.0)</v>
      </c>
    </row>
    <row r="16" spans="1:3" ht="15" thickTop="1" x14ac:dyDescent="0.3">
      <c r="A16" s="260" t="s">
        <v>33</v>
      </c>
      <c r="B16" s="260"/>
      <c r="C16" s="260"/>
    </row>
    <row r="17" spans="1:3" x14ac:dyDescent="0.3">
      <c r="A17" s="1"/>
      <c r="B17" s="2"/>
      <c r="C17" s="2"/>
    </row>
  </sheetData>
  <mergeCells count="5">
    <mergeCell ref="A1:C1"/>
    <mergeCell ref="A3:C3"/>
    <mergeCell ref="A4:A5"/>
    <mergeCell ref="B4:C4"/>
    <mergeCell ref="A16:C1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5" width="17.109375" customWidth="1"/>
  </cols>
  <sheetData>
    <row r="1" spans="1:12" x14ac:dyDescent="0.3">
      <c r="A1" s="256" t="s">
        <v>34</v>
      </c>
      <c r="B1" s="256"/>
      <c r="C1" s="256"/>
      <c r="D1" s="256"/>
      <c r="E1" s="256"/>
    </row>
    <row r="2" spans="1:12" x14ac:dyDescent="0.3">
      <c r="A2" s="261" t="str">
        <f>common!$H$2</f>
        <v>UT : PUDUCHERRY</v>
      </c>
      <c r="B2" s="261" t="str">
        <f>common!$H$2</f>
        <v>UT : PUDUCHERRY</v>
      </c>
      <c r="C2" s="261" t="str">
        <f>common!$H$2</f>
        <v>UT : PUDUCHERRY</v>
      </c>
      <c r="D2" s="261" t="str">
        <f>common!$H$2</f>
        <v>UT : PUDUCHERRY</v>
      </c>
      <c r="E2" s="8" t="str">
        <f>'[1]Annex-3'!E2</f>
        <v>ANNEX-III</v>
      </c>
    </row>
    <row r="3" spans="1:12" x14ac:dyDescent="0.3">
      <c r="A3" s="262" t="str">
        <f>'[1]Annex-3'!A3</f>
        <v>WORK LOAD OF PATWARI DURING  2024-25 AND 2023-24.</v>
      </c>
      <c r="B3" s="262"/>
      <c r="C3" s="262"/>
      <c r="D3" s="262"/>
      <c r="E3" s="262"/>
    </row>
    <row r="4" spans="1:12" x14ac:dyDescent="0.3">
      <c r="A4" s="263" t="s">
        <v>35</v>
      </c>
      <c r="B4" s="265" t="s">
        <v>36</v>
      </c>
      <c r="C4" s="265"/>
      <c r="D4" s="266" t="s">
        <v>37</v>
      </c>
      <c r="E4" s="266" t="s">
        <v>38</v>
      </c>
    </row>
    <row r="5" spans="1:12" ht="21.6" x14ac:dyDescent="0.3">
      <c r="A5" s="264"/>
      <c r="B5" s="34" t="s">
        <v>39</v>
      </c>
      <c r="C5" s="28" t="s">
        <v>277</v>
      </c>
      <c r="D5" s="267"/>
      <c r="E5" s="267"/>
      <c r="L5" s="19"/>
    </row>
    <row r="6" spans="1:12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 t="s">
        <v>12</v>
      </c>
    </row>
    <row r="7" spans="1:12" ht="46.8" customHeight="1" x14ac:dyDescent="0.3">
      <c r="A7" s="35" t="str">
        <f>common!$C$4</f>
        <v>2024-25</v>
      </c>
      <c r="B7" s="53" t="str">
        <f>IF(INT('[1]Annex-3'!B7)='[1]Annex-3'!B7,'[1]Annex-3'!B7&amp;".0",ROUND('[1]Annex-3'!B7,1)&amp;"  ")</f>
        <v xml:space="preserve">10.4  </v>
      </c>
      <c r="C7" s="54" t="str">
        <f>'[1]Annex-3'!C7</f>
        <v>1.9( 18.3)</v>
      </c>
      <c r="D7" s="53" t="str">
        <f>ROUND('[1]Annex-3'!D7,0)&amp;"  "</f>
        <v xml:space="preserve">1213  </v>
      </c>
      <c r="E7" s="53" t="str">
        <f>IF(INT('[1]Annex-3'!E7)='[1]Annex-3'!E7,'[1]Annex-3'!E7&amp;".0",ROUND('[1]Annex-3'!E7,1)&amp;"  ")</f>
        <v xml:space="preserve">402.9  </v>
      </c>
    </row>
    <row r="8" spans="1:12" ht="46.8" customHeight="1" thickBot="1" x14ac:dyDescent="0.35">
      <c r="A8" s="43" t="str">
        <f>common!$C$5</f>
        <v>2023-24</v>
      </c>
      <c r="B8" s="55" t="str">
        <f>IF(INT('[1]Annex-3'!B8)='[1]Annex-3'!B8,'[1]Annex-3'!B8&amp;".0",ROUND('[1]Annex-3'!B8,1)&amp;"  ")</f>
        <v xml:space="preserve">10.2  </v>
      </c>
      <c r="C8" s="56" t="str">
        <f>'[1]Annex-3'!C8</f>
        <v>1.8( 17.6)</v>
      </c>
      <c r="D8" s="55" t="str">
        <f>ROUND('[1]Annex-3'!D8,0)&amp;"  "</f>
        <v xml:space="preserve">1231  </v>
      </c>
      <c r="E8" s="55" t="str">
        <f>IF(INT('[1]Annex-3'!E8)='[1]Annex-3'!E8,'[1]Annex-3'!E8&amp;".0",ROUND('[1]Annex-3'!E8,1)&amp;"  ")</f>
        <v xml:space="preserve">392.6  </v>
      </c>
    </row>
    <row r="9" spans="1:12" ht="15" thickTop="1" x14ac:dyDescent="0.3"/>
  </sheetData>
  <mergeCells count="7">
    <mergeCell ref="A1:E1"/>
    <mergeCell ref="A2:D2"/>
    <mergeCell ref="A3:E3"/>
    <mergeCell ref="A4:A5"/>
    <mergeCell ref="B4:C4"/>
    <mergeCell ref="D4:D5"/>
    <mergeCell ref="E4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view="pageBreakPreview" zoomScaleNormal="90" zoomScaleSheetLayoutView="100" workbookViewId="0">
      <selection activeCell="A3" sqref="A3:K3"/>
    </sheetView>
  </sheetViews>
  <sheetFormatPr defaultRowHeight="14.4" x14ac:dyDescent="0.3"/>
  <cols>
    <col min="1" max="4" width="13.33203125" customWidth="1"/>
    <col min="5" max="5" width="1.33203125" customWidth="1"/>
    <col min="6" max="8" width="13.33203125" customWidth="1"/>
  </cols>
  <sheetData>
    <row r="1" spans="1:8" x14ac:dyDescent="0.3">
      <c r="A1" s="256" t="s">
        <v>40</v>
      </c>
      <c r="B1" s="256"/>
      <c r="C1" s="256"/>
      <c r="D1" s="256"/>
      <c r="E1" s="256"/>
      <c r="F1" s="256"/>
      <c r="G1" s="256"/>
      <c r="H1" s="256"/>
    </row>
    <row r="2" spans="1:8" x14ac:dyDescent="0.3">
      <c r="A2" s="261" t="str">
        <f>common!$H$2</f>
        <v>UT : PUDUCHERRY</v>
      </c>
      <c r="B2" s="261" t="str">
        <f>common!$H$2</f>
        <v>UT : PUDUCHERRY</v>
      </c>
      <c r="C2" s="261" t="str">
        <f>common!$H$2</f>
        <v>UT : PUDUCHERRY</v>
      </c>
      <c r="D2" s="261" t="str">
        <f>common!$H$2</f>
        <v>UT : PUDUCHERRY</v>
      </c>
      <c r="E2" s="261" t="str">
        <f>common!$H$2</f>
        <v>UT : PUDUCHERRY</v>
      </c>
      <c r="F2" s="261" t="str">
        <f>common!$H$2</f>
        <v>UT : PUDUCHERRY</v>
      </c>
      <c r="G2" s="268" t="str">
        <f>'[1]Annex-4(a)'!G2</f>
        <v>ANNEX-IV(a)</v>
      </c>
      <c r="H2" s="268"/>
    </row>
    <row r="3" spans="1:8" ht="30" customHeight="1" x14ac:dyDescent="0.3">
      <c r="A3" s="257" t="str">
        <f>'[1]Annex-4(a)'!A3</f>
        <v>NUMBER AND PERCENTAGE OF PATWARIS OF THE SELECTED VILLAGES ACCORDING TO THE TOTAL NUMBER OF VILLAGES ALLOTED DURING  2024-25 AND 2023-24.</v>
      </c>
      <c r="B3" s="257"/>
      <c r="C3" s="257"/>
      <c r="D3" s="257"/>
      <c r="E3" s="257"/>
      <c r="F3" s="257"/>
      <c r="G3" s="257"/>
      <c r="H3" s="257"/>
    </row>
    <row r="4" spans="1:8" ht="12.75" customHeight="1" x14ac:dyDescent="0.3">
      <c r="A4" s="264" t="s">
        <v>39</v>
      </c>
      <c r="B4" s="264"/>
      <c r="C4" s="264"/>
      <c r="D4" s="264"/>
      <c r="E4" s="34"/>
      <c r="F4" s="264" t="s">
        <v>41</v>
      </c>
      <c r="G4" s="264"/>
      <c r="H4" s="264"/>
    </row>
    <row r="5" spans="1:8" ht="43.2" x14ac:dyDescent="0.3">
      <c r="A5" s="34" t="s">
        <v>206</v>
      </c>
      <c r="B5" s="29" t="s">
        <v>42</v>
      </c>
      <c r="C5" s="34" t="s">
        <v>43</v>
      </c>
      <c r="D5" s="34" t="s">
        <v>122</v>
      </c>
      <c r="E5" s="36"/>
      <c r="F5" s="29" t="s">
        <v>42</v>
      </c>
      <c r="G5" s="34" t="s">
        <v>43</v>
      </c>
      <c r="H5" s="34" t="s">
        <v>122</v>
      </c>
    </row>
    <row r="6" spans="1:8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/>
      <c r="F6" s="30" t="s">
        <v>12</v>
      </c>
      <c r="G6" s="30" t="s">
        <v>13</v>
      </c>
      <c r="H6" s="30" t="s">
        <v>14</v>
      </c>
    </row>
    <row r="7" spans="1:8" x14ac:dyDescent="0.3">
      <c r="A7" s="262" t="str">
        <f>common!$J$4</f>
        <v>YEAR 2024-25</v>
      </c>
      <c r="B7" s="262"/>
      <c r="C7" s="2"/>
      <c r="D7" s="2"/>
      <c r="E7" s="2"/>
      <c r="F7" s="2"/>
      <c r="G7" s="2"/>
      <c r="H7" s="2"/>
    </row>
    <row r="8" spans="1:8" x14ac:dyDescent="0.3">
      <c r="A8" s="14">
        <v>1</v>
      </c>
      <c r="B8" s="9" t="s">
        <v>189</v>
      </c>
      <c r="C8" s="5" t="str">
        <f>'[1]Annex-4(a)'!C8&amp;"    "</f>
        <v xml:space="preserve">0    </v>
      </c>
      <c r="D8" s="5" t="str">
        <f>FIXED('[1]Annex-4(a)'!D8,1)&amp;"    "</f>
        <v xml:space="preserve">0.0    </v>
      </c>
      <c r="E8" s="15"/>
      <c r="F8" s="18">
        <v>1</v>
      </c>
      <c r="G8" s="5" t="str">
        <f>'[1]Annex-4(a)'!G8&amp;"     "</f>
        <v xml:space="preserve">1     </v>
      </c>
      <c r="H8" s="5" t="str">
        <f>FIXED('[1]Annex-4(a)'!H8,1)&amp;"   "</f>
        <v xml:space="preserve">5.6   </v>
      </c>
    </row>
    <row r="9" spans="1:8" x14ac:dyDescent="0.3">
      <c r="A9" s="14">
        <v>2</v>
      </c>
      <c r="B9" s="9" t="s">
        <v>190</v>
      </c>
      <c r="C9" s="5" t="str">
        <f>'[1]Annex-4(a)'!C9&amp;"    "</f>
        <v xml:space="preserve">14    </v>
      </c>
      <c r="D9" s="5" t="str">
        <f>FIXED('[1]Annex-4(a)'!D9,1)&amp;"    "</f>
        <v xml:space="preserve">77.8    </v>
      </c>
      <c r="E9" s="15"/>
      <c r="F9" s="16">
        <v>2</v>
      </c>
      <c r="G9" s="5" t="str">
        <f>'[1]Annex-4(a)'!G9&amp;"     "</f>
        <v xml:space="preserve">17     </v>
      </c>
      <c r="H9" s="5" t="str">
        <f>FIXED('[1]Annex-4(a)'!H9,1)&amp;"   "</f>
        <v xml:space="preserve">94.4   </v>
      </c>
    </row>
    <row r="10" spans="1:8" x14ac:dyDescent="0.3">
      <c r="A10" s="14">
        <v>3</v>
      </c>
      <c r="B10" s="9" t="s">
        <v>191</v>
      </c>
      <c r="C10" s="5" t="str">
        <f>'[1]Annex-4(a)'!C10&amp;"    "</f>
        <v xml:space="preserve">4    </v>
      </c>
      <c r="D10" s="5" t="str">
        <f>FIXED('[1]Annex-4(a)'!D10,1)&amp;"    "</f>
        <v xml:space="preserve">22.2    </v>
      </c>
      <c r="E10" s="15"/>
      <c r="F10" s="16">
        <v>3</v>
      </c>
      <c r="G10" s="5" t="str">
        <f>'[1]Annex-4(a)'!G10&amp;"     "</f>
        <v xml:space="preserve">0     </v>
      </c>
      <c r="H10" s="5" t="str">
        <f>FIXED('[1]Annex-4(a)'!H10,1)&amp;"   "</f>
        <v xml:space="preserve">0.0   </v>
      </c>
    </row>
    <row r="11" spans="1:8" x14ac:dyDescent="0.3">
      <c r="A11" s="14">
        <v>4</v>
      </c>
      <c r="B11" s="9" t="s">
        <v>192</v>
      </c>
      <c r="C11" s="5" t="str">
        <f>'[1]Annex-4(a)'!C11&amp;"    "</f>
        <v xml:space="preserve">0    </v>
      </c>
      <c r="D11" s="5" t="str">
        <f>FIXED('[1]Annex-4(a)'!D11,1)&amp;"    "</f>
        <v xml:space="preserve">0.0    </v>
      </c>
      <c r="E11" s="15"/>
      <c r="F11" s="17" t="s">
        <v>44</v>
      </c>
      <c r="G11" s="5" t="str">
        <f>'[1]Annex-4(a)'!G11&amp;"     "</f>
        <v xml:space="preserve">0     </v>
      </c>
      <c r="H11" s="5" t="str">
        <f>FIXED('[1]Annex-4(a)'!H11,1)&amp;"   "</f>
        <v xml:space="preserve">0.0   </v>
      </c>
    </row>
    <row r="12" spans="1:8" x14ac:dyDescent="0.3">
      <c r="A12" s="263">
        <v>5</v>
      </c>
      <c r="B12" s="271" t="s">
        <v>193</v>
      </c>
      <c r="C12" s="269" t="str">
        <f>'[1]Annex-4(a)'!C12&amp;"    "</f>
        <v xml:space="preserve">0    </v>
      </c>
      <c r="D12" s="269" t="str">
        <f>FIXED('[1]Annex-4(a)'!D12,1)&amp;"    "</f>
        <v xml:space="preserve">0.0    </v>
      </c>
      <c r="E12" s="15"/>
      <c r="F12" s="27" t="s">
        <v>194</v>
      </c>
      <c r="G12" s="5" t="str">
        <f>'[1]Annex-4(a)'!G12&amp;"     "</f>
        <v xml:space="preserve">0     </v>
      </c>
      <c r="H12" s="5" t="str">
        <f>FIXED('[1]Annex-4(a)'!H12,1)&amp;"   "</f>
        <v xml:space="preserve">0.0   </v>
      </c>
    </row>
    <row r="13" spans="1:8" x14ac:dyDescent="0.3">
      <c r="A13" s="264"/>
      <c r="B13" s="272"/>
      <c r="C13" s="270"/>
      <c r="D13" s="270"/>
      <c r="E13" s="37"/>
      <c r="F13" s="36" t="s">
        <v>193</v>
      </c>
      <c r="G13" s="31" t="str">
        <f>'[1]Annex-4(a)'!G13&amp;"     "</f>
        <v xml:space="preserve">0     </v>
      </c>
      <c r="H13" s="31" t="str">
        <f>FIXED('[1]Annex-4(a)'!H13,1)&amp;"   "</f>
        <v xml:space="preserve">0.0   </v>
      </c>
    </row>
    <row r="14" spans="1:8" x14ac:dyDescent="0.3">
      <c r="A14" s="36" t="s">
        <v>39</v>
      </c>
      <c r="B14" s="38"/>
      <c r="C14" s="31" t="str">
        <f>'[1]Annex-4(a)'!C14&amp;"    "</f>
        <v xml:space="preserve">18    </v>
      </c>
      <c r="D14" s="31" t="str">
        <f>FIXED('[1]Annex-4(a)'!D14,1)&amp;"    "</f>
        <v xml:space="preserve">100.0    </v>
      </c>
      <c r="E14" s="35"/>
      <c r="F14" s="36" t="s">
        <v>195</v>
      </c>
      <c r="G14" s="31" t="str">
        <f>'[1]Annex-4(a)'!G14&amp;"     "</f>
        <v xml:space="preserve">18     </v>
      </c>
      <c r="H14" s="31" t="str">
        <f>FIXED('[1]Annex-4(a)'!H14,1)&amp;"   "</f>
        <v xml:space="preserve">100.0   </v>
      </c>
    </row>
    <row r="15" spans="1:8" ht="15" customHeight="1" x14ac:dyDescent="0.3">
      <c r="A15" s="262" t="str">
        <f>common!$J$5</f>
        <v>YEAR 2023-24</v>
      </c>
      <c r="B15" s="262"/>
      <c r="C15" s="2"/>
      <c r="D15" s="6"/>
      <c r="E15" s="2"/>
      <c r="F15" s="2"/>
      <c r="G15" s="2"/>
      <c r="H15" s="6"/>
    </row>
    <row r="16" spans="1:8" x14ac:dyDescent="0.3">
      <c r="A16" s="14">
        <v>1</v>
      </c>
      <c r="B16" s="9" t="s">
        <v>189</v>
      </c>
      <c r="C16" s="5" t="str">
        <f>'[1]Annex-4(a)'!C16&amp;"    "</f>
        <v xml:space="preserve">0    </v>
      </c>
      <c r="D16" s="5" t="str">
        <f>FIXED('[1]Annex-4(a)'!D16,1)&amp;"    "</f>
        <v xml:space="preserve">0.0    </v>
      </c>
      <c r="E16" s="15"/>
      <c r="F16" s="16">
        <v>1</v>
      </c>
      <c r="G16" s="5" t="str">
        <f>'[1]Annex-4(a)'!G16&amp;"     "</f>
        <v xml:space="preserve">4     </v>
      </c>
      <c r="H16" s="5" t="str">
        <f>FIXED('[1]Annex-4(a)'!H16,1)&amp;"   "</f>
        <v xml:space="preserve">22.2   </v>
      </c>
    </row>
    <row r="17" spans="1:8" x14ac:dyDescent="0.3">
      <c r="A17" s="14">
        <v>2</v>
      </c>
      <c r="B17" s="9" t="s">
        <v>190</v>
      </c>
      <c r="C17" s="5" t="str">
        <f>'[1]Annex-4(a)'!C17&amp;"    "</f>
        <v xml:space="preserve">12    </v>
      </c>
      <c r="D17" s="5" t="str">
        <f>FIXED('[1]Annex-4(a)'!D17,1)&amp;"    "</f>
        <v xml:space="preserve">66.7    </v>
      </c>
      <c r="E17" s="15"/>
      <c r="F17" s="16">
        <v>2</v>
      </c>
      <c r="G17" s="5" t="str">
        <f>'[1]Annex-4(a)'!G17&amp;"     "</f>
        <v xml:space="preserve">14     </v>
      </c>
      <c r="H17" s="5" t="str">
        <f>FIXED('[1]Annex-4(a)'!H17,1)&amp;"   "</f>
        <v xml:space="preserve">77.8   </v>
      </c>
    </row>
    <row r="18" spans="1:8" x14ac:dyDescent="0.3">
      <c r="A18" s="14">
        <v>3</v>
      </c>
      <c r="B18" s="9" t="s">
        <v>191</v>
      </c>
      <c r="C18" s="5" t="str">
        <f>'[1]Annex-4(a)'!C18&amp;"    "</f>
        <v xml:space="preserve">6    </v>
      </c>
      <c r="D18" s="5" t="str">
        <f>FIXED('[1]Annex-4(a)'!D18,1)&amp;"    "</f>
        <v xml:space="preserve">33.3    </v>
      </c>
      <c r="E18" s="15"/>
      <c r="F18" s="16">
        <v>3</v>
      </c>
      <c r="G18" s="5" t="str">
        <f>'[1]Annex-4(a)'!G18&amp;"     "</f>
        <v xml:space="preserve">0     </v>
      </c>
      <c r="H18" s="5" t="str">
        <f>FIXED('[1]Annex-4(a)'!H18,1)&amp;"   "</f>
        <v xml:space="preserve">0.0   </v>
      </c>
    </row>
    <row r="19" spans="1:8" x14ac:dyDescent="0.3">
      <c r="A19" s="14">
        <v>4</v>
      </c>
      <c r="B19" s="9" t="s">
        <v>192</v>
      </c>
      <c r="C19" s="5" t="str">
        <f>'[1]Annex-4(a)'!C19&amp;"    "</f>
        <v xml:space="preserve">0    </v>
      </c>
      <c r="D19" s="5" t="str">
        <f>FIXED('[1]Annex-4(a)'!D19,1)&amp;"    "</f>
        <v xml:space="preserve">0.0    </v>
      </c>
      <c r="E19" s="15"/>
      <c r="F19" s="17" t="s">
        <v>44</v>
      </c>
      <c r="G19" s="5" t="str">
        <f>'[1]Annex-4(a)'!G19&amp;"     "</f>
        <v xml:space="preserve">0     </v>
      </c>
      <c r="H19" s="5" t="str">
        <f>FIXED('[1]Annex-4(a)'!H19,1)&amp;"   "</f>
        <v xml:space="preserve">0.0   </v>
      </c>
    </row>
    <row r="20" spans="1:8" x14ac:dyDescent="0.3">
      <c r="A20" s="263">
        <v>5</v>
      </c>
      <c r="B20" s="271" t="s">
        <v>193</v>
      </c>
      <c r="C20" s="269" t="str">
        <f>'[1]Annex-4(a)'!C20&amp;"    "</f>
        <v xml:space="preserve">0    </v>
      </c>
      <c r="D20" s="269" t="str">
        <f>FIXED('[1]Annex-4(a)'!D20,1)&amp;"    "</f>
        <v xml:space="preserve">0.0    </v>
      </c>
      <c r="E20" s="15"/>
      <c r="F20" s="27" t="s">
        <v>194</v>
      </c>
      <c r="G20" s="5" t="str">
        <f>'[1]Annex-4(a)'!G20&amp;"     "</f>
        <v xml:space="preserve">0     </v>
      </c>
      <c r="H20" s="5" t="str">
        <f>FIXED('[1]Annex-4(a)'!H20,1)&amp;"   "</f>
        <v xml:space="preserve">0.0   </v>
      </c>
    </row>
    <row r="21" spans="1:8" x14ac:dyDescent="0.3">
      <c r="A21" s="264"/>
      <c r="B21" s="272"/>
      <c r="C21" s="270"/>
      <c r="D21" s="270"/>
      <c r="E21" s="37"/>
      <c r="F21" s="36" t="s">
        <v>193</v>
      </c>
      <c r="G21" s="31" t="str">
        <f>'[1]Annex-4(a)'!G21&amp;"     "</f>
        <v xml:space="preserve">0     </v>
      </c>
      <c r="H21" s="31" t="str">
        <f>FIXED('[1]Annex-4(a)'!H21,1)&amp;"   "</f>
        <v xml:space="preserve">0.0   </v>
      </c>
    </row>
    <row r="22" spans="1:8" ht="15" thickBot="1" x14ac:dyDescent="0.35">
      <c r="A22" s="43" t="s">
        <v>39</v>
      </c>
      <c r="B22" s="44"/>
      <c r="C22" s="45" t="str">
        <f>'[1]Annex-4(a)'!C22&amp;"    "</f>
        <v xml:space="preserve">18    </v>
      </c>
      <c r="D22" s="45" t="str">
        <f>FIXED('[1]Annex-4(a)'!D22,1)&amp;"    "</f>
        <v xml:space="preserve">100.0    </v>
      </c>
      <c r="E22" s="43"/>
      <c r="F22" s="46" t="s">
        <v>195</v>
      </c>
      <c r="G22" s="45" t="str">
        <f>'[1]Annex-4(a)'!G22&amp;"     "</f>
        <v xml:space="preserve">18     </v>
      </c>
      <c r="H22" s="45" t="str">
        <f>FIXED('[1]Annex-4(a)'!H22,1)&amp;"   "</f>
        <v xml:space="preserve">100.0   </v>
      </c>
    </row>
    <row r="23" spans="1:8" ht="15" thickTop="1" x14ac:dyDescent="0.3">
      <c r="A23" s="271" t="s">
        <v>45</v>
      </c>
      <c r="B23" s="271"/>
      <c r="C23" s="271"/>
      <c r="D23" s="271"/>
      <c r="E23" s="271"/>
      <c r="F23" s="271"/>
      <c r="G23" s="271"/>
      <c r="H23" s="271"/>
    </row>
    <row r="24" spans="1:8" x14ac:dyDescent="0.3">
      <c r="A24" s="1"/>
      <c r="B24" s="3"/>
      <c r="C24" s="3"/>
      <c r="D24" s="3"/>
      <c r="E24" s="3"/>
      <c r="F24" s="3"/>
      <c r="G24" s="3"/>
      <c r="H24" s="3"/>
    </row>
  </sheetData>
  <mergeCells count="17">
    <mergeCell ref="C20:C21"/>
    <mergeCell ref="D20:D21"/>
    <mergeCell ref="A7:B7"/>
    <mergeCell ref="A15:B15"/>
    <mergeCell ref="A23:H23"/>
    <mergeCell ref="A12:A13"/>
    <mergeCell ref="B12:B13"/>
    <mergeCell ref="C12:C13"/>
    <mergeCell ref="D12:D13"/>
    <mergeCell ref="A20:A21"/>
    <mergeCell ref="B20:B21"/>
    <mergeCell ref="A1:H1"/>
    <mergeCell ref="A2:F2"/>
    <mergeCell ref="G2:H2"/>
    <mergeCell ref="A3:H3"/>
    <mergeCell ref="A4:D4"/>
    <mergeCell ref="F4:H4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1" width="4.33203125" customWidth="1"/>
    <col min="2" max="2" width="24.88671875" customWidth="1"/>
    <col min="3" max="4" width="9.109375" customWidth="1"/>
    <col min="5" max="5" width="1.109375" customWidth="1"/>
    <col min="6" max="6" width="24.88671875" customWidth="1"/>
    <col min="7" max="8" width="9.6640625" customWidth="1"/>
  </cols>
  <sheetData>
    <row r="1" spans="1:8" x14ac:dyDescent="0.3">
      <c r="A1" s="256" t="s">
        <v>46</v>
      </c>
      <c r="B1" s="256"/>
      <c r="C1" s="256"/>
      <c r="D1" s="256"/>
      <c r="E1" s="256"/>
      <c r="F1" s="256"/>
      <c r="G1" s="256"/>
      <c r="H1" s="256"/>
    </row>
    <row r="2" spans="1:8" x14ac:dyDescent="0.3">
      <c r="A2" s="7" t="str">
        <f>common!$H$2</f>
        <v>UT : PUDUCHERRY</v>
      </c>
      <c r="B2" s="10"/>
      <c r="C2" s="10"/>
      <c r="D2" s="10"/>
      <c r="E2" s="10"/>
      <c r="F2" s="10"/>
      <c r="G2" s="274" t="str">
        <f>'[1]Annex-4(b)'!G2</f>
        <v xml:space="preserve"> ANNEX-IV(b)</v>
      </c>
      <c r="H2" s="274"/>
    </row>
    <row r="3" spans="1:8" ht="30" customHeight="1" x14ac:dyDescent="0.3">
      <c r="A3" s="257" t="str">
        <f>'[1]Annex-4(b)'!A3</f>
        <v>DISTRIBUTION OF SAMPLE VILLAGES ACCORDING TO SL./SUB.SURVEY NOS. AND GEOGRAPHICAL AREA DURING  2024-25 AND 2023-24</v>
      </c>
      <c r="B3" s="257"/>
      <c r="C3" s="257"/>
      <c r="D3" s="257"/>
      <c r="E3" s="257"/>
      <c r="F3" s="257"/>
      <c r="G3" s="257"/>
      <c r="H3" s="257"/>
    </row>
    <row r="4" spans="1:8" ht="34.799999999999997" customHeight="1" x14ac:dyDescent="0.3">
      <c r="A4" s="266" t="s">
        <v>207</v>
      </c>
      <c r="B4" s="257" t="s">
        <v>48</v>
      </c>
      <c r="C4" s="257"/>
      <c r="D4" s="257"/>
      <c r="E4" s="29"/>
      <c r="F4" s="257" t="s">
        <v>49</v>
      </c>
      <c r="G4" s="257"/>
      <c r="H4" s="257"/>
    </row>
    <row r="5" spans="1:8" ht="32.4" x14ac:dyDescent="0.3">
      <c r="A5" s="267"/>
      <c r="B5" s="39" t="s">
        <v>208</v>
      </c>
      <c r="C5" s="28" t="s">
        <v>253</v>
      </c>
      <c r="D5" s="28" t="s">
        <v>50</v>
      </c>
      <c r="E5" s="29"/>
      <c r="F5" s="39" t="s">
        <v>254</v>
      </c>
      <c r="G5" s="28" t="s">
        <v>255</v>
      </c>
      <c r="H5" s="28" t="s">
        <v>50</v>
      </c>
    </row>
    <row r="6" spans="1:8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/>
      <c r="F6" s="30" t="s">
        <v>12</v>
      </c>
      <c r="G6" s="30" t="s">
        <v>13</v>
      </c>
      <c r="H6" s="30" t="s">
        <v>14</v>
      </c>
    </row>
    <row r="7" spans="1:8" x14ac:dyDescent="0.3">
      <c r="A7" s="262" t="str">
        <f>common!$J$4</f>
        <v>YEAR 2024-25</v>
      </c>
      <c r="B7" s="262"/>
      <c r="C7" s="2"/>
      <c r="D7" s="2"/>
      <c r="E7" s="2"/>
      <c r="F7" s="2"/>
      <c r="G7" s="2"/>
      <c r="H7" s="2"/>
    </row>
    <row r="8" spans="1:8" x14ac:dyDescent="0.3">
      <c r="A8" s="14">
        <v>1</v>
      </c>
      <c r="B8" s="9" t="s">
        <v>51</v>
      </c>
      <c r="C8" s="14" t="str">
        <f>'[1]Annex-4(b)'!C8&amp;"  "</f>
        <v xml:space="preserve">0  </v>
      </c>
      <c r="D8" s="14" t="str">
        <f>FIXED('[1]Annex-4(b)'!D8,1)&amp;" "</f>
        <v xml:space="preserve">0.0 </v>
      </c>
      <c r="E8" s="15"/>
      <c r="F8" s="9" t="s">
        <v>51</v>
      </c>
      <c r="G8" s="14" t="str">
        <f>'[1]Annex-4(b)'!G8&amp;"  "</f>
        <v xml:space="preserve">0  </v>
      </c>
      <c r="H8" s="14" t="str">
        <f>FIXED('[1]Annex-4(b)'!H8,1)&amp;" "</f>
        <v xml:space="preserve">0.0 </v>
      </c>
    </row>
    <row r="9" spans="1:8" x14ac:dyDescent="0.3">
      <c r="A9" s="14">
        <v>2</v>
      </c>
      <c r="B9" s="9" t="s">
        <v>52</v>
      </c>
      <c r="C9" s="14" t="str">
        <f>'[1]Annex-4(b)'!C9&amp;"  "</f>
        <v xml:space="preserve">0  </v>
      </c>
      <c r="D9" s="14" t="str">
        <f>FIXED('[1]Annex-4(b)'!D9,1)&amp;" "</f>
        <v xml:space="preserve">0.0 </v>
      </c>
      <c r="E9" s="15"/>
      <c r="F9" s="9" t="s">
        <v>52</v>
      </c>
      <c r="G9" s="14" t="str">
        <f>'[1]Annex-4(b)'!G9&amp;"  "</f>
        <v xml:space="preserve">1  </v>
      </c>
      <c r="H9" s="14" t="str">
        <f>FIXED('[1]Annex-4(b)'!H9,1)&amp;" "</f>
        <v xml:space="preserve">5.6 </v>
      </c>
    </row>
    <row r="10" spans="1:8" x14ac:dyDescent="0.3">
      <c r="A10" s="14">
        <v>3</v>
      </c>
      <c r="B10" s="9" t="s">
        <v>53</v>
      </c>
      <c r="C10" s="14" t="str">
        <f>'[1]Annex-4(b)'!C10&amp;"  "</f>
        <v xml:space="preserve">0  </v>
      </c>
      <c r="D10" s="14" t="str">
        <f>FIXED('[1]Annex-4(b)'!D10,1)&amp;" "</f>
        <v xml:space="preserve">0.0 </v>
      </c>
      <c r="E10" s="15"/>
      <c r="F10" s="9" t="s">
        <v>53</v>
      </c>
      <c r="G10" s="14" t="str">
        <f>'[1]Annex-4(b)'!G10&amp;"  "</f>
        <v xml:space="preserve">0  </v>
      </c>
      <c r="H10" s="14" t="str">
        <f>FIXED('[1]Annex-4(b)'!H10,1)&amp;" "</f>
        <v xml:space="preserve">0.0 </v>
      </c>
    </row>
    <row r="11" spans="1:8" x14ac:dyDescent="0.3">
      <c r="A11" s="14">
        <v>4</v>
      </c>
      <c r="B11" s="9" t="s">
        <v>54</v>
      </c>
      <c r="C11" s="14" t="str">
        <f>'[1]Annex-4(b)'!C11&amp;"  "</f>
        <v xml:space="preserve">0  </v>
      </c>
      <c r="D11" s="14" t="str">
        <f>FIXED('[1]Annex-4(b)'!D11,1)&amp;" "</f>
        <v xml:space="preserve">0.0 </v>
      </c>
      <c r="E11" s="15"/>
      <c r="F11" s="9" t="s">
        <v>54</v>
      </c>
      <c r="G11" s="14" t="str">
        <f>'[1]Annex-4(b)'!G11&amp;"  "</f>
        <v xml:space="preserve">9  </v>
      </c>
      <c r="H11" s="14" t="str">
        <f>FIXED('[1]Annex-4(b)'!H11,1)&amp;" "</f>
        <v xml:space="preserve">50.0 </v>
      </c>
    </row>
    <row r="12" spans="1:8" x14ac:dyDescent="0.3">
      <c r="A12" s="14">
        <v>5</v>
      </c>
      <c r="B12" s="9" t="s">
        <v>55</v>
      </c>
      <c r="C12" s="14" t="str">
        <f>'[1]Annex-4(b)'!C12&amp;"  "</f>
        <v xml:space="preserve">0  </v>
      </c>
      <c r="D12" s="14" t="str">
        <f>FIXED('[1]Annex-4(b)'!D12,1)&amp;" "</f>
        <v xml:space="preserve">0.0 </v>
      </c>
      <c r="E12" s="15"/>
      <c r="F12" s="9" t="s">
        <v>55</v>
      </c>
      <c r="G12" s="14" t="str">
        <f>'[1]Annex-4(b)'!G12&amp;"  "</f>
        <v xml:space="preserve">6  </v>
      </c>
      <c r="H12" s="14" t="str">
        <f>FIXED('[1]Annex-4(b)'!H12,1)&amp;" "</f>
        <v xml:space="preserve">33.3 </v>
      </c>
    </row>
    <row r="13" spans="1:8" x14ac:dyDescent="0.3">
      <c r="A13" s="14">
        <v>6</v>
      </c>
      <c r="B13" s="9" t="s">
        <v>56</v>
      </c>
      <c r="C13" s="14" t="str">
        <f>'[1]Annex-4(b)'!C13&amp;"  "</f>
        <v xml:space="preserve">3  </v>
      </c>
      <c r="D13" s="14" t="str">
        <f>FIXED('[1]Annex-4(b)'!D13,1)&amp;" "</f>
        <v xml:space="preserve">16.7 </v>
      </c>
      <c r="E13" s="15"/>
      <c r="F13" s="9" t="s">
        <v>56</v>
      </c>
      <c r="G13" s="14" t="str">
        <f>'[1]Annex-4(b)'!G13&amp;"  "</f>
        <v xml:space="preserve">2  </v>
      </c>
      <c r="H13" s="14" t="str">
        <f>FIXED('[1]Annex-4(b)'!H13,1)&amp;" "</f>
        <v xml:space="preserve">11.1 </v>
      </c>
    </row>
    <row r="14" spans="1:8" x14ac:dyDescent="0.3">
      <c r="A14" s="14">
        <v>7</v>
      </c>
      <c r="B14" s="9" t="s">
        <v>57</v>
      </c>
      <c r="C14" s="14" t="str">
        <f>'[1]Annex-4(b)'!C14&amp;"  "</f>
        <v xml:space="preserve">3  </v>
      </c>
      <c r="D14" s="14" t="str">
        <f>FIXED('[1]Annex-4(b)'!D14,1)&amp;" "</f>
        <v xml:space="preserve">16.7 </v>
      </c>
      <c r="E14" s="15"/>
      <c r="F14" s="9" t="s">
        <v>57</v>
      </c>
      <c r="G14" s="14" t="str">
        <f>'[1]Annex-4(b)'!G14&amp;"  "</f>
        <v xml:space="preserve">0  </v>
      </c>
      <c r="H14" s="14" t="str">
        <f>FIXED('[1]Annex-4(b)'!H14,1)&amp;" "</f>
        <v xml:space="preserve">0.0 </v>
      </c>
    </row>
    <row r="15" spans="1:8" x14ac:dyDescent="0.3">
      <c r="A15" s="14">
        <v>8</v>
      </c>
      <c r="B15" s="9" t="s">
        <v>58</v>
      </c>
      <c r="C15" s="14" t="str">
        <f>'[1]Annex-4(b)'!C15&amp;"  "</f>
        <v xml:space="preserve">12  </v>
      </c>
      <c r="D15" s="14" t="str">
        <f>FIXED('[1]Annex-4(b)'!D15,1)&amp;" "</f>
        <v xml:space="preserve">66.6 </v>
      </c>
      <c r="E15" s="15"/>
      <c r="F15" s="9" t="s">
        <v>274</v>
      </c>
      <c r="G15" s="14" t="str">
        <f>'[1]Annex-4(b)'!G15&amp;"  "</f>
        <v xml:space="preserve">0  </v>
      </c>
      <c r="H15" s="14" t="str">
        <f>FIXED('[1]Annex-4(b)'!H15,1)&amp;" "</f>
        <v xml:space="preserve">0.0 </v>
      </c>
    </row>
    <row r="16" spans="1:8" x14ac:dyDescent="0.3">
      <c r="A16" s="14">
        <v>9</v>
      </c>
      <c r="B16" s="9" t="s">
        <v>59</v>
      </c>
      <c r="C16" s="14" t="str">
        <f>'[1]Annex-4(b)'!C16&amp;"  "</f>
        <v xml:space="preserve">0  </v>
      </c>
      <c r="D16" s="14" t="str">
        <f>FIXED('[1]Annex-4(b)'!D16,1)&amp;" "</f>
        <v xml:space="preserve">0.0 </v>
      </c>
      <c r="E16" s="15"/>
      <c r="F16" s="9" t="s">
        <v>60</v>
      </c>
      <c r="G16" s="14" t="str">
        <f>'[1]Annex-4(b)'!G16&amp;"  "</f>
        <v xml:space="preserve">0  </v>
      </c>
      <c r="H16" s="14" t="str">
        <f>FIXED('[1]Annex-4(b)'!H16,1)&amp;" "</f>
        <v xml:space="preserve">0.0 </v>
      </c>
    </row>
    <row r="17" spans="1:8" x14ac:dyDescent="0.3">
      <c r="A17" s="34">
        <v>10</v>
      </c>
      <c r="B17" s="36" t="s">
        <v>61</v>
      </c>
      <c r="C17" s="34" t="str">
        <f>'[1]Annex-4(b)'!C17&amp;"  "</f>
        <v xml:space="preserve">0  </v>
      </c>
      <c r="D17" s="34" t="str">
        <f>FIXED('[1]Annex-4(b)'!D17,1)&amp;" "</f>
        <v xml:space="preserve">0.0 </v>
      </c>
      <c r="E17" s="37"/>
      <c r="F17" s="36" t="s">
        <v>61</v>
      </c>
      <c r="G17" s="34" t="str">
        <f>'[1]Annex-4(b)'!G17&amp;"  "</f>
        <v xml:space="preserve">0  </v>
      </c>
      <c r="H17" s="34" t="str">
        <f>FIXED('[1]Annex-4(b)'!H17,1)&amp;" "</f>
        <v xml:space="preserve">0.0 </v>
      </c>
    </row>
    <row r="18" spans="1:8" x14ac:dyDescent="0.3">
      <c r="A18" s="272" t="s">
        <v>184</v>
      </c>
      <c r="B18" s="272"/>
      <c r="C18" s="34" t="str">
        <f>'[1]Annex-4(b)'!C18&amp;"  "</f>
        <v xml:space="preserve">18  </v>
      </c>
      <c r="D18" s="34" t="str">
        <f>FIXED('[1]Annex-4(b)'!D18,1)&amp;" "</f>
        <v xml:space="preserve">100.0 </v>
      </c>
      <c r="E18" s="35"/>
      <c r="F18" s="36" t="s">
        <v>39</v>
      </c>
      <c r="G18" s="51" t="str">
        <f>'[1]Annex-4(b)'!G18&amp;"  "</f>
        <v xml:space="preserve">18  </v>
      </c>
      <c r="H18" s="51" t="str">
        <f>FIXED('[1]Annex-4(b)'!H18,1)&amp;" "</f>
        <v xml:space="preserve">100.0 </v>
      </c>
    </row>
    <row r="19" spans="1:8" ht="15" customHeight="1" x14ac:dyDescent="0.3">
      <c r="A19" s="262" t="str">
        <f>common!$J$5</f>
        <v>YEAR 2023-24</v>
      </c>
      <c r="B19" s="262"/>
      <c r="C19" s="2"/>
      <c r="D19" s="2"/>
      <c r="E19" s="2"/>
      <c r="F19" s="2"/>
      <c r="G19" s="2"/>
      <c r="H19" s="2"/>
    </row>
    <row r="20" spans="1:8" x14ac:dyDescent="0.3">
      <c r="A20" s="14">
        <v>1</v>
      </c>
      <c r="B20" s="9" t="s">
        <v>51</v>
      </c>
      <c r="C20" s="14" t="str">
        <f>'[1]Annex-4(b)'!C20&amp;"  "</f>
        <v xml:space="preserve">0  </v>
      </c>
      <c r="D20" s="14" t="str">
        <f>FIXED('[1]Annex-4(b)'!D20,1)&amp;" "</f>
        <v xml:space="preserve">0.0 </v>
      </c>
      <c r="E20" s="15"/>
      <c r="F20" s="9" t="s">
        <v>51</v>
      </c>
      <c r="G20" s="14" t="str">
        <f>'[1]Annex-4(b)'!G20&amp;"  "</f>
        <v xml:space="preserve">0  </v>
      </c>
      <c r="H20" s="14" t="str">
        <f>FIXED('[1]Annex-4(b)'!H20,1)&amp;" "</f>
        <v xml:space="preserve">0.0 </v>
      </c>
    </row>
    <row r="21" spans="1:8" x14ac:dyDescent="0.3">
      <c r="A21" s="14">
        <v>2</v>
      </c>
      <c r="B21" s="9" t="s">
        <v>52</v>
      </c>
      <c r="C21" s="14" t="str">
        <f>'[1]Annex-4(b)'!C21&amp;"  "</f>
        <v xml:space="preserve">0  </v>
      </c>
      <c r="D21" s="14" t="str">
        <f>FIXED('[1]Annex-4(b)'!D21,1)&amp;" "</f>
        <v xml:space="preserve">0.0 </v>
      </c>
      <c r="E21" s="15"/>
      <c r="F21" s="9" t="s">
        <v>52</v>
      </c>
      <c r="G21" s="14" t="str">
        <f>'[1]Annex-4(b)'!G21&amp;"  "</f>
        <v xml:space="preserve">0  </v>
      </c>
      <c r="H21" s="14" t="str">
        <f>FIXED('[1]Annex-4(b)'!H21,1)&amp;" "</f>
        <v xml:space="preserve">0.0 </v>
      </c>
    </row>
    <row r="22" spans="1:8" x14ac:dyDescent="0.3">
      <c r="A22" s="14">
        <v>3</v>
      </c>
      <c r="B22" s="9" t="s">
        <v>53</v>
      </c>
      <c r="C22" s="14" t="str">
        <f>'[1]Annex-4(b)'!C22&amp;"  "</f>
        <v xml:space="preserve">0  </v>
      </c>
      <c r="D22" s="14" t="str">
        <f>FIXED('[1]Annex-4(b)'!D22,1)&amp;" "</f>
        <v xml:space="preserve">0.0 </v>
      </c>
      <c r="E22" s="15"/>
      <c r="F22" s="9" t="s">
        <v>53</v>
      </c>
      <c r="G22" s="14" t="str">
        <f>'[1]Annex-4(b)'!G22&amp;"  "</f>
        <v xml:space="preserve">2  </v>
      </c>
      <c r="H22" s="14" t="str">
        <f>FIXED('[1]Annex-4(b)'!H22,1)&amp;" "</f>
        <v xml:space="preserve">11.1 </v>
      </c>
    </row>
    <row r="23" spans="1:8" x14ac:dyDescent="0.3">
      <c r="A23" s="14">
        <v>4</v>
      </c>
      <c r="B23" s="9" t="s">
        <v>54</v>
      </c>
      <c r="C23" s="14" t="str">
        <f>'[1]Annex-4(b)'!C23&amp;"  "</f>
        <v xml:space="preserve">0  </v>
      </c>
      <c r="D23" s="14" t="str">
        <f>FIXED('[1]Annex-4(b)'!D23,1)&amp;" "</f>
        <v xml:space="preserve">0.0 </v>
      </c>
      <c r="E23" s="15"/>
      <c r="F23" s="9" t="s">
        <v>54</v>
      </c>
      <c r="G23" s="14" t="str">
        <f>'[1]Annex-4(b)'!G23&amp;"  "</f>
        <v xml:space="preserve">8  </v>
      </c>
      <c r="H23" s="14" t="str">
        <f>FIXED('[1]Annex-4(b)'!H23,1)&amp;" "</f>
        <v xml:space="preserve">44.4 </v>
      </c>
    </row>
    <row r="24" spans="1:8" x14ac:dyDescent="0.3">
      <c r="A24" s="14">
        <v>5</v>
      </c>
      <c r="B24" s="9" t="s">
        <v>55</v>
      </c>
      <c r="C24" s="14" t="str">
        <f>'[1]Annex-4(b)'!C24&amp;"  "</f>
        <v xml:space="preserve">2  </v>
      </c>
      <c r="D24" s="14" t="str">
        <f>FIXED('[1]Annex-4(b)'!D24,1)&amp;" "</f>
        <v xml:space="preserve">11.1 </v>
      </c>
      <c r="E24" s="15"/>
      <c r="F24" s="9" t="s">
        <v>55</v>
      </c>
      <c r="G24" s="14" t="str">
        <f>'[1]Annex-4(b)'!G24&amp;"  "</f>
        <v xml:space="preserve">6  </v>
      </c>
      <c r="H24" s="14" t="str">
        <f>FIXED('[1]Annex-4(b)'!H24,1)&amp;" "</f>
        <v xml:space="preserve">33.3 </v>
      </c>
    </row>
    <row r="25" spans="1:8" x14ac:dyDescent="0.3">
      <c r="A25" s="14">
        <v>6</v>
      </c>
      <c r="B25" s="9" t="s">
        <v>56</v>
      </c>
      <c r="C25" s="14" t="str">
        <f>'[1]Annex-4(b)'!C25&amp;"  "</f>
        <v xml:space="preserve">0  </v>
      </c>
      <c r="D25" s="14" t="str">
        <f>FIXED('[1]Annex-4(b)'!D25,1)&amp;" "</f>
        <v xml:space="preserve">0.0 </v>
      </c>
      <c r="E25" s="15"/>
      <c r="F25" s="9" t="s">
        <v>56</v>
      </c>
      <c r="G25" s="14" t="str">
        <f>'[1]Annex-4(b)'!G25&amp;"  "</f>
        <v xml:space="preserve">1  </v>
      </c>
      <c r="H25" s="14" t="str">
        <f>FIXED('[1]Annex-4(b)'!H25,1)&amp;" "</f>
        <v xml:space="preserve">5.6 </v>
      </c>
    </row>
    <row r="26" spans="1:8" x14ac:dyDescent="0.3">
      <c r="A26" s="14">
        <v>7</v>
      </c>
      <c r="B26" s="9" t="s">
        <v>57</v>
      </c>
      <c r="C26" s="14" t="str">
        <f>'[1]Annex-4(b)'!C26&amp;"  "</f>
        <v xml:space="preserve">4  </v>
      </c>
      <c r="D26" s="14" t="str">
        <f>FIXED('[1]Annex-4(b)'!D26,1)&amp;" "</f>
        <v xml:space="preserve">22.2 </v>
      </c>
      <c r="E26" s="15"/>
      <c r="F26" s="9" t="s">
        <v>57</v>
      </c>
      <c r="G26" s="14" t="str">
        <f>'[1]Annex-4(b)'!G26&amp;"  "</f>
        <v xml:space="preserve">1  </v>
      </c>
      <c r="H26" s="14" t="str">
        <f>FIXED('[1]Annex-4(b)'!H26,1)&amp;" "</f>
        <v xml:space="preserve">5.6 </v>
      </c>
    </row>
    <row r="27" spans="1:8" x14ac:dyDescent="0.3">
      <c r="A27" s="14">
        <v>8</v>
      </c>
      <c r="B27" s="9" t="s">
        <v>58</v>
      </c>
      <c r="C27" s="14" t="str">
        <f>'[1]Annex-4(b)'!C27&amp;"  "</f>
        <v xml:space="preserve">12  </v>
      </c>
      <c r="D27" s="14" t="str">
        <f>FIXED('[1]Annex-4(b)'!D27,1)&amp;" "</f>
        <v xml:space="preserve">66.7 </v>
      </c>
      <c r="E27" s="15"/>
      <c r="F27" s="9" t="s">
        <v>274</v>
      </c>
      <c r="G27" s="14" t="str">
        <f>'[1]Annex-4(b)'!G27&amp;"  "</f>
        <v xml:space="preserve">0  </v>
      </c>
      <c r="H27" s="14" t="str">
        <f>FIXED('[1]Annex-4(b)'!H27,1)&amp;" "</f>
        <v xml:space="preserve">0.0 </v>
      </c>
    </row>
    <row r="28" spans="1:8" x14ac:dyDescent="0.3">
      <c r="A28" s="14">
        <v>9</v>
      </c>
      <c r="B28" s="9" t="s">
        <v>59</v>
      </c>
      <c r="C28" s="14" t="str">
        <f>'[1]Annex-4(b)'!C28&amp;"  "</f>
        <v xml:space="preserve">0  </v>
      </c>
      <c r="D28" s="14" t="str">
        <f>FIXED('[1]Annex-4(b)'!D28,1)&amp;" "</f>
        <v xml:space="preserve">0.0 </v>
      </c>
      <c r="E28" s="15"/>
      <c r="F28" s="9" t="s">
        <v>60</v>
      </c>
      <c r="G28" s="14" t="str">
        <f>'[1]Annex-4(b)'!G28&amp;"  "</f>
        <v xml:space="preserve">0  </v>
      </c>
      <c r="H28" s="14" t="str">
        <f>FIXED('[1]Annex-4(b)'!H28,1)&amp;" "</f>
        <v xml:space="preserve">0.0 </v>
      </c>
    </row>
    <row r="29" spans="1:8" x14ac:dyDescent="0.3">
      <c r="A29" s="34">
        <v>10</v>
      </c>
      <c r="B29" s="36" t="s">
        <v>61</v>
      </c>
      <c r="C29" s="34" t="str">
        <f>'[1]Annex-4(b)'!C29&amp;"  "</f>
        <v xml:space="preserve">0  </v>
      </c>
      <c r="D29" s="34" t="str">
        <f>FIXED('[1]Annex-4(b)'!D29,1)&amp;" "</f>
        <v xml:space="preserve">0.0 </v>
      </c>
      <c r="E29" s="37"/>
      <c r="F29" s="36" t="s">
        <v>61</v>
      </c>
      <c r="G29" s="34" t="str">
        <f>'[1]Annex-4(b)'!G29&amp;"  "</f>
        <v xml:space="preserve">0  </v>
      </c>
      <c r="H29" s="34" t="str">
        <f>FIXED('[1]Annex-4(b)'!H29,1)&amp;" "</f>
        <v xml:space="preserve">0.0 </v>
      </c>
    </row>
    <row r="30" spans="1:8" ht="15" thickBot="1" x14ac:dyDescent="0.35">
      <c r="A30" s="273" t="s">
        <v>184</v>
      </c>
      <c r="B30" s="273"/>
      <c r="C30" s="57" t="str">
        <f>'[1]Annex-4(b)'!C30&amp;"  "</f>
        <v xml:space="preserve">18  </v>
      </c>
      <c r="D30" s="57" t="str">
        <f>FIXED('[1]Annex-4(b)'!D30,1)&amp;" "</f>
        <v xml:space="preserve">100.0 </v>
      </c>
      <c r="E30" s="43"/>
      <c r="F30" s="46" t="s">
        <v>39</v>
      </c>
      <c r="G30" s="57" t="str">
        <f>'[1]Annex-4(b)'!G30&amp;"  "</f>
        <v xml:space="preserve">18  </v>
      </c>
      <c r="H30" s="57" t="str">
        <f>FIXED('[1]Annex-4(b)'!H30,1)&amp;" "</f>
        <v xml:space="preserve">100.0 </v>
      </c>
    </row>
    <row r="31" spans="1:8" ht="15" thickTop="1" x14ac:dyDescent="0.3">
      <c r="A31" s="2"/>
      <c r="B31" s="2"/>
      <c r="C31" s="2"/>
      <c r="D31" s="2"/>
      <c r="E31" s="2"/>
      <c r="F31" s="2"/>
      <c r="G31" s="2"/>
      <c r="H31" s="2"/>
    </row>
  </sheetData>
  <mergeCells count="10">
    <mergeCell ref="A7:B7"/>
    <mergeCell ref="A18:B18"/>
    <mergeCell ref="A19:B19"/>
    <mergeCell ref="A30:B30"/>
    <mergeCell ref="A1:H1"/>
    <mergeCell ref="G2:H2"/>
    <mergeCell ref="A3:H3"/>
    <mergeCell ref="A4:A5"/>
    <mergeCell ref="B4:D4"/>
    <mergeCell ref="F4:H4"/>
  </mergeCells>
  <printOptions horizontalCentered="1"/>
  <pageMargins left="0" right="0" top="0.78740157480314965" bottom="0" header="0.31496062992125984" footer="0.31496062992125984"/>
  <pageSetup paperSize="9"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K24"/>
  <sheetViews>
    <sheetView view="pageBreakPreview" zoomScaleNormal="100" zoomScaleSheetLayoutView="100" workbookViewId="0">
      <selection activeCell="C6" sqref="C6"/>
    </sheetView>
  </sheetViews>
  <sheetFormatPr defaultRowHeight="13.8" x14ac:dyDescent="0.3"/>
  <cols>
    <col min="1" max="1" width="17.6640625" style="12" customWidth="1"/>
    <col min="2" max="3" width="11.6640625" style="12" customWidth="1"/>
    <col min="4" max="4" width="10.33203125" style="12" customWidth="1"/>
    <col min="5" max="5" width="12.21875" style="12" customWidth="1"/>
    <col min="6" max="6" width="11.33203125" style="12" customWidth="1"/>
    <col min="7" max="7" width="14.33203125" style="12" customWidth="1"/>
    <col min="8" max="8" width="13.44140625" style="12" customWidth="1"/>
    <col min="9" max="9" width="10" style="12" customWidth="1"/>
    <col min="10" max="10" width="11.5546875" style="12" customWidth="1"/>
    <col min="11" max="11" width="12.88671875" style="12" customWidth="1"/>
    <col min="12" max="16384" width="8.88671875" style="12"/>
  </cols>
  <sheetData>
    <row r="1" spans="1:11" x14ac:dyDescent="0.3">
      <c r="A1" s="256" t="s">
        <v>20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</row>
    <row r="2" spans="1:11" x14ac:dyDescent="0.3">
      <c r="A2" s="277" t="str">
        <f>common!$H$2</f>
        <v>UT : PUDUCHERRY</v>
      </c>
      <c r="B2" s="277" t="str">
        <f>common!$H$2</f>
        <v>UT : PUDUCHERRY</v>
      </c>
      <c r="C2" s="277" t="str">
        <f>common!$H$2</f>
        <v>UT : PUDUCHERRY</v>
      </c>
      <c r="D2" s="277" t="str">
        <f>common!$H$2</f>
        <v>UT : PUDUCHERRY</v>
      </c>
      <c r="E2" s="277" t="str">
        <f>common!$H$2</f>
        <v>UT : PUDUCHERRY</v>
      </c>
      <c r="F2" s="277" t="str">
        <f>common!$H$2</f>
        <v>UT : PUDUCHERRY</v>
      </c>
      <c r="G2" s="277" t="str">
        <f>common!$H$2</f>
        <v>UT : PUDUCHERRY</v>
      </c>
      <c r="H2" s="277" t="str">
        <f>common!$H$2</f>
        <v>UT : PUDUCHERRY</v>
      </c>
      <c r="I2" s="277" t="str">
        <f>common!$H$2</f>
        <v>UT : PUDUCHERRY</v>
      </c>
      <c r="J2" s="278" t="str">
        <f>'[1]Annex-5'!J2</f>
        <v>ANNEX-V</v>
      </c>
      <c r="K2" s="278"/>
    </row>
    <row r="3" spans="1:11" x14ac:dyDescent="0.3">
      <c r="A3" s="279" t="str">
        <f>'[1]Annex-5'!A3</f>
        <v>TIMELINESS IN COMPLETION OF  TRS  AREA ENUMERATION (NO. OF VILLAGES) DURING  2024-25 AND 2023-24.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</row>
    <row r="4" spans="1:11" x14ac:dyDescent="0.3">
      <c r="A4" s="275" t="s">
        <v>63</v>
      </c>
      <c r="B4" s="280" t="s">
        <v>64</v>
      </c>
      <c r="C4" s="280"/>
      <c r="D4" s="280"/>
      <c r="E4" s="280"/>
      <c r="F4" s="280"/>
      <c r="G4" s="280"/>
      <c r="H4" s="280"/>
      <c r="I4" s="280"/>
      <c r="J4" s="280"/>
      <c r="K4" s="280"/>
    </row>
    <row r="5" spans="1:11" ht="26.25" customHeight="1" x14ac:dyDescent="0.3">
      <c r="A5" s="275"/>
      <c r="B5" s="280" t="s">
        <v>65</v>
      </c>
      <c r="C5" s="280"/>
      <c r="D5" s="280"/>
      <c r="E5" s="275" t="s">
        <v>66</v>
      </c>
      <c r="F5" s="275" t="s">
        <v>67</v>
      </c>
      <c r="G5" s="275" t="s">
        <v>68</v>
      </c>
      <c r="H5" s="275" t="s">
        <v>69</v>
      </c>
      <c r="I5" s="275" t="s">
        <v>39</v>
      </c>
      <c r="J5" s="276" t="s">
        <v>70</v>
      </c>
      <c r="K5" s="276"/>
    </row>
    <row r="6" spans="1:11" ht="82.8" x14ac:dyDescent="0.3">
      <c r="A6" s="276"/>
      <c r="B6" s="102" t="s">
        <v>71</v>
      </c>
      <c r="C6" s="102" t="s">
        <v>72</v>
      </c>
      <c r="D6" s="96" t="s">
        <v>73</v>
      </c>
      <c r="E6" s="276"/>
      <c r="F6" s="276"/>
      <c r="G6" s="276"/>
      <c r="H6" s="276"/>
      <c r="I6" s="276"/>
      <c r="J6" s="96" t="s">
        <v>256</v>
      </c>
      <c r="K6" s="96" t="s">
        <v>74</v>
      </c>
    </row>
    <row r="7" spans="1:11" x14ac:dyDescent="0.3">
      <c r="A7" s="103" t="s">
        <v>8</v>
      </c>
      <c r="B7" s="103" t="s">
        <v>9</v>
      </c>
      <c r="C7" s="103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03" t="s">
        <v>75</v>
      </c>
      <c r="J7" s="103" t="s">
        <v>76</v>
      </c>
      <c r="K7" s="103" t="s">
        <v>77</v>
      </c>
    </row>
    <row r="8" spans="1:11" ht="17.399999999999999" customHeight="1" x14ac:dyDescent="0.3">
      <c r="A8" s="104" t="str">
        <f>common!$H$4</f>
        <v>RABI I 2024-25</v>
      </c>
      <c r="B8" s="21"/>
      <c r="C8" s="105"/>
      <c r="D8" s="105"/>
      <c r="E8" s="105"/>
      <c r="F8" s="105"/>
      <c r="G8" s="105"/>
      <c r="H8" s="105"/>
      <c r="I8" s="105"/>
      <c r="J8" s="105"/>
      <c r="K8" s="105"/>
    </row>
    <row r="9" spans="1:11" ht="17.399999999999999" customHeight="1" x14ac:dyDescent="0.3">
      <c r="A9" s="106" t="s">
        <v>16</v>
      </c>
      <c r="B9" s="92" t="str">
        <f>'[1]Annex-5'!B9</f>
        <v>8( 88.9)</v>
      </c>
      <c r="C9" s="92" t="str">
        <f>'[1]Annex-5'!C9</f>
        <v>1( 11.1)</v>
      </c>
      <c r="D9" s="92" t="str">
        <f>'[1]Annex-5'!D9</f>
        <v>0(  0.0)</v>
      </c>
      <c r="E9" s="92" t="str">
        <f>'[1]Annex-5'!E9</f>
        <v>0(  0.0)</v>
      </c>
      <c r="F9" s="92" t="str">
        <f>'[1]Annex-5'!F9</f>
        <v>0(  0.0)</v>
      </c>
      <c r="G9" s="92" t="str">
        <f>'[1]Annex-5'!G9</f>
        <v>0(  0.0)</v>
      </c>
      <c r="H9" s="92" t="str">
        <f>'[1]Annex-5'!H9</f>
        <v>0(  0.0)</v>
      </c>
      <c r="I9" s="92" t="str">
        <f>'[1]Annex-5'!I9</f>
        <v>9(100.0)</v>
      </c>
      <c r="J9" s="92" t="str">
        <f>'[1]Annex-5'!J9</f>
        <v>9(100.0)</v>
      </c>
      <c r="K9" s="92" t="str">
        <f>'[1]Annex-5'!K9</f>
        <v>9(100.0)</v>
      </c>
    </row>
    <row r="10" spans="1:11" ht="17.399999999999999" customHeight="1" x14ac:dyDescent="0.3">
      <c r="A10" s="21" t="s">
        <v>17</v>
      </c>
      <c r="B10" s="92" t="str">
        <f>'[1]Annex-5'!B10</f>
        <v>9(100.0)</v>
      </c>
      <c r="C10" s="92" t="str">
        <f>'[1]Annex-5'!C10</f>
        <v>0(  0.0)</v>
      </c>
      <c r="D10" s="92" t="str">
        <f>'[1]Annex-5'!D10</f>
        <v>0(  0.0)</v>
      </c>
      <c r="E10" s="92" t="str">
        <f>'[1]Annex-5'!E10</f>
        <v>0(  0.0)</v>
      </c>
      <c r="F10" s="92" t="str">
        <f>'[1]Annex-5'!F10</f>
        <v>0(  0.0)</v>
      </c>
      <c r="G10" s="92" t="str">
        <f>'[1]Annex-5'!G10</f>
        <v>0(  0.0)</v>
      </c>
      <c r="H10" s="92" t="str">
        <f>'[1]Annex-5'!H10</f>
        <v>0(  0.0)</v>
      </c>
      <c r="I10" s="92" t="str">
        <f>'[1]Annex-5'!I10</f>
        <v>9(100.0)</v>
      </c>
      <c r="J10" s="92" t="str">
        <f>'[1]Annex-5'!J10</f>
        <v>9(100.0)</v>
      </c>
      <c r="K10" s="92" t="str">
        <f>'[1]Annex-5'!K10</f>
        <v>3( 33.3)</v>
      </c>
    </row>
    <row r="11" spans="1:11" ht="17.399999999999999" customHeight="1" x14ac:dyDescent="0.3">
      <c r="A11" s="106" t="s">
        <v>18</v>
      </c>
      <c r="B11" s="92" t="str">
        <f>'[1]Annex-5'!B11</f>
        <v>17( 94.4)</v>
      </c>
      <c r="C11" s="92" t="str">
        <f>'[1]Annex-5'!C11</f>
        <v>1(  5.6)</v>
      </c>
      <c r="D11" s="92" t="str">
        <f>'[1]Annex-5'!D11</f>
        <v>0(  0.0)</v>
      </c>
      <c r="E11" s="92" t="str">
        <f>'[1]Annex-5'!E11</f>
        <v>0(  0.0)</v>
      </c>
      <c r="F11" s="92" t="str">
        <f>'[1]Annex-5'!F11</f>
        <v>0(  0.0)</v>
      </c>
      <c r="G11" s="92" t="str">
        <f>'[1]Annex-5'!G11</f>
        <v>0(  0.0)</v>
      </c>
      <c r="H11" s="92" t="str">
        <f>'[1]Annex-5'!H11</f>
        <v>0(  0.0)</v>
      </c>
      <c r="I11" s="92" t="str">
        <f>'[1]Annex-5'!I11</f>
        <v>18(100.0)</v>
      </c>
      <c r="J11" s="92" t="str">
        <f>'[1]Annex-5'!J11</f>
        <v>18(100.0)</v>
      </c>
      <c r="K11" s="92" t="str">
        <f>'[1]Annex-5'!K11</f>
        <v>12( 66.7)</v>
      </c>
    </row>
    <row r="12" spans="1:11" ht="17.399999999999999" customHeight="1" x14ac:dyDescent="0.3">
      <c r="A12" s="104" t="str">
        <f>common!$I$4</f>
        <v>RABI II 2024-25</v>
      </c>
      <c r="B12" s="21"/>
      <c r="C12" s="105"/>
      <c r="D12" s="105"/>
      <c r="E12" s="105"/>
      <c r="F12" s="105"/>
      <c r="G12" s="105"/>
      <c r="H12" s="105"/>
      <c r="I12" s="105"/>
      <c r="J12" s="105"/>
      <c r="K12" s="105"/>
    </row>
    <row r="13" spans="1:11" ht="17.399999999999999" customHeight="1" x14ac:dyDescent="0.3">
      <c r="A13" s="106" t="s">
        <v>16</v>
      </c>
      <c r="B13" s="92" t="str">
        <f>'[1]Annex-5'!B13</f>
        <v>9(100.0)</v>
      </c>
      <c r="C13" s="92" t="str">
        <f>'[1]Annex-5'!C13</f>
        <v>0(  0.0)</v>
      </c>
      <c r="D13" s="92" t="str">
        <f>'[1]Annex-5'!D13</f>
        <v>0(  0.0)</v>
      </c>
      <c r="E13" s="92" t="str">
        <f>'[1]Annex-5'!E13</f>
        <v>0(  0.0)</v>
      </c>
      <c r="F13" s="92" t="str">
        <f>'[1]Annex-5'!F13</f>
        <v>0(  0.0)</v>
      </c>
      <c r="G13" s="92" t="str">
        <f>'[1]Annex-5'!G13</f>
        <v>0(  0.0)</v>
      </c>
      <c r="H13" s="92" t="str">
        <f>'[1]Annex-5'!H13</f>
        <v>0(  0.0)</v>
      </c>
      <c r="I13" s="92" t="str">
        <f>'[1]Annex-5'!I13</f>
        <v>9(100.0)</v>
      </c>
      <c r="J13" s="92" t="str">
        <f>'[1]Annex-5'!J13</f>
        <v>9(100.0)</v>
      </c>
      <c r="K13" s="92" t="str">
        <f>'[1]Annex-5'!K13</f>
        <v>9(100.0)</v>
      </c>
    </row>
    <row r="14" spans="1:11" ht="17.399999999999999" customHeight="1" x14ac:dyDescent="0.3">
      <c r="A14" s="21" t="s">
        <v>17</v>
      </c>
      <c r="B14" s="92" t="str">
        <f>'[1]Annex-5'!B14</f>
        <v>9(100.0)</v>
      </c>
      <c r="C14" s="92" t="str">
        <f>'[1]Annex-5'!C14</f>
        <v>0(  0.0)</v>
      </c>
      <c r="D14" s="92" t="str">
        <f>'[1]Annex-5'!D14</f>
        <v>0(  0.0)</v>
      </c>
      <c r="E14" s="92" t="str">
        <f>'[1]Annex-5'!E14</f>
        <v>0(  0.0)</v>
      </c>
      <c r="F14" s="92" t="str">
        <f>'[1]Annex-5'!F14</f>
        <v>0(  0.0)</v>
      </c>
      <c r="G14" s="92" t="str">
        <f>'[1]Annex-5'!G14</f>
        <v>0(  0.0)</v>
      </c>
      <c r="H14" s="92" t="str">
        <f>'[1]Annex-5'!H14</f>
        <v>0(  0.0)</v>
      </c>
      <c r="I14" s="92" t="str">
        <f>'[1]Annex-5'!I14</f>
        <v>9(100.0)</v>
      </c>
      <c r="J14" s="92" t="str">
        <f>'[1]Annex-5'!J14</f>
        <v>9(100.0)</v>
      </c>
      <c r="K14" s="92" t="str">
        <f>'[1]Annex-5'!K14</f>
        <v>5( 55.6)</v>
      </c>
    </row>
    <row r="15" spans="1:11" ht="17.399999999999999" customHeight="1" x14ac:dyDescent="0.3">
      <c r="A15" s="107" t="s">
        <v>18</v>
      </c>
      <c r="B15" s="102" t="str">
        <f>'[1]Annex-5'!B15</f>
        <v>18(100.0)</v>
      </c>
      <c r="C15" s="102" t="str">
        <f>'[1]Annex-5'!C15</f>
        <v>0(  0.0)</v>
      </c>
      <c r="D15" s="102" t="str">
        <f>'[1]Annex-5'!D15</f>
        <v>0(  0.0)</v>
      </c>
      <c r="E15" s="102" t="str">
        <f>'[1]Annex-5'!E15</f>
        <v>0(  0.0)</v>
      </c>
      <c r="F15" s="102" t="str">
        <f>'[1]Annex-5'!F15</f>
        <v>0(  0.0)</v>
      </c>
      <c r="G15" s="102" t="str">
        <f>'[1]Annex-5'!G15</f>
        <v>0(  0.0)</v>
      </c>
      <c r="H15" s="102" t="str">
        <f>'[1]Annex-5'!H15</f>
        <v>0(  0.0)</v>
      </c>
      <c r="I15" s="102" t="str">
        <f>'[1]Annex-5'!I15</f>
        <v>18(100.0)</v>
      </c>
      <c r="J15" s="102" t="str">
        <f>'[1]Annex-5'!J15</f>
        <v>18(100.0)</v>
      </c>
      <c r="K15" s="102" t="str">
        <f>'[1]Annex-5'!K15</f>
        <v>14( 77.8)</v>
      </c>
    </row>
    <row r="16" spans="1:11" ht="17.399999999999999" customHeight="1" x14ac:dyDescent="0.3">
      <c r="A16" s="104" t="str">
        <f>common!$H$5</f>
        <v>RABI I 2023-24</v>
      </c>
      <c r="B16" s="21"/>
      <c r="C16" s="105"/>
      <c r="D16" s="105"/>
      <c r="E16" s="105"/>
      <c r="F16" s="105"/>
      <c r="G16" s="105"/>
      <c r="H16" s="105"/>
      <c r="I16" s="105"/>
      <c r="J16" s="105"/>
      <c r="K16" s="105"/>
    </row>
    <row r="17" spans="1:11" ht="17.399999999999999" customHeight="1" x14ac:dyDescent="0.3">
      <c r="A17" s="106" t="s">
        <v>16</v>
      </c>
      <c r="B17" s="92" t="str">
        <f>'[1]Annex-5'!B18</f>
        <v>9(100.0)</v>
      </c>
      <c r="C17" s="92" t="str">
        <f>'[1]Annex-5'!C18</f>
        <v>0(  0.0)</v>
      </c>
      <c r="D17" s="92" t="str">
        <f>'[1]Annex-5'!D18</f>
        <v>0(  0.0)</v>
      </c>
      <c r="E17" s="92" t="str">
        <f>'[1]Annex-5'!E18</f>
        <v>0(  0.0)</v>
      </c>
      <c r="F17" s="92" t="str">
        <f>'[1]Annex-5'!F18</f>
        <v>0(  0.0)</v>
      </c>
      <c r="G17" s="92" t="str">
        <f>'[1]Annex-5'!G18</f>
        <v>0(  0.0)</v>
      </c>
      <c r="H17" s="92" t="str">
        <f>'[1]Annex-5'!H18</f>
        <v>0(  0.0)</v>
      </c>
      <c r="I17" s="92" t="str">
        <f>'[1]Annex-5'!I18</f>
        <v>9(100.0)</v>
      </c>
      <c r="J17" s="92" t="str">
        <f>'[1]Annex-5'!J18</f>
        <v>9(100.0)</v>
      </c>
      <c r="K17" s="92" t="str">
        <f>'[1]Annex-5'!K18</f>
        <v>9(100.0)</v>
      </c>
    </row>
    <row r="18" spans="1:11" ht="17.399999999999999" customHeight="1" x14ac:dyDescent="0.3">
      <c r="A18" s="21" t="s">
        <v>17</v>
      </c>
      <c r="B18" s="92" t="str">
        <f>'[1]Annex-5'!B19</f>
        <v>9(100.0)</v>
      </c>
      <c r="C18" s="92" t="str">
        <f>'[1]Annex-5'!C19</f>
        <v>0(  0.0)</v>
      </c>
      <c r="D18" s="92" t="str">
        <f>'[1]Annex-5'!D19</f>
        <v>0(  0.0)</v>
      </c>
      <c r="E18" s="92" t="str">
        <f>'[1]Annex-5'!E19</f>
        <v>0(  0.0)</v>
      </c>
      <c r="F18" s="92" t="str">
        <f>'[1]Annex-5'!F19</f>
        <v>0(  0.0)</v>
      </c>
      <c r="G18" s="92" t="str">
        <f>'[1]Annex-5'!G19</f>
        <v>0(  0.0)</v>
      </c>
      <c r="H18" s="92" t="str">
        <f>'[1]Annex-5'!H19</f>
        <v>0(  0.0)</v>
      </c>
      <c r="I18" s="92" t="str">
        <f>'[1]Annex-5'!I19</f>
        <v>9(100.0)</v>
      </c>
      <c r="J18" s="92" t="str">
        <f>'[1]Annex-5'!J19</f>
        <v>9(100.0)</v>
      </c>
      <c r="K18" s="92" t="str">
        <f>'[1]Annex-5'!K19</f>
        <v>9(100.0)</v>
      </c>
    </row>
    <row r="19" spans="1:11" ht="17.399999999999999" customHeight="1" x14ac:dyDescent="0.3">
      <c r="A19" s="106" t="s">
        <v>18</v>
      </c>
      <c r="B19" s="92" t="str">
        <f>'[1]Annex-5'!B20</f>
        <v>18(100.0)</v>
      </c>
      <c r="C19" s="92" t="str">
        <f>'[1]Annex-5'!C20</f>
        <v>0(  0.0)</v>
      </c>
      <c r="D19" s="92" t="str">
        <f>'[1]Annex-5'!D20</f>
        <v>0(  0.0)</v>
      </c>
      <c r="E19" s="92" t="str">
        <f>'[1]Annex-5'!E20</f>
        <v>0(  0.0)</v>
      </c>
      <c r="F19" s="92" t="str">
        <f>'[1]Annex-5'!F20</f>
        <v>0(  0.0)</v>
      </c>
      <c r="G19" s="92" t="str">
        <f>'[1]Annex-5'!G20</f>
        <v>0(  0.0)</v>
      </c>
      <c r="H19" s="92" t="str">
        <f>'[1]Annex-5'!H20</f>
        <v>0(  0.0)</v>
      </c>
      <c r="I19" s="92" t="str">
        <f>'[1]Annex-5'!I20</f>
        <v>18(100.0)</v>
      </c>
      <c r="J19" s="92" t="str">
        <f>'[1]Annex-5'!J20</f>
        <v>18(100.0)</v>
      </c>
      <c r="K19" s="92" t="str">
        <f>'[1]Annex-5'!K20</f>
        <v>18(100.0)</v>
      </c>
    </row>
    <row r="20" spans="1:11" ht="17.399999999999999" customHeight="1" x14ac:dyDescent="0.3">
      <c r="A20" s="104" t="str">
        <f>common!$I$5</f>
        <v>RABI II 2023-24</v>
      </c>
      <c r="B20" s="21"/>
      <c r="C20" s="105"/>
      <c r="D20" s="105"/>
      <c r="E20" s="105"/>
      <c r="F20" s="105"/>
      <c r="G20" s="105"/>
      <c r="H20" s="105"/>
      <c r="I20" s="105"/>
      <c r="J20" s="105"/>
      <c r="K20" s="105"/>
    </row>
    <row r="21" spans="1:11" ht="17.399999999999999" customHeight="1" x14ac:dyDescent="0.3">
      <c r="A21" s="106" t="s">
        <v>16</v>
      </c>
      <c r="B21" s="92" t="str">
        <f>'[1]Annex-5'!B22</f>
        <v>9(100.0)</v>
      </c>
      <c r="C21" s="92" t="str">
        <f>'[1]Annex-5'!C22</f>
        <v>0(  0.0)</v>
      </c>
      <c r="D21" s="92" t="str">
        <f>'[1]Annex-5'!D22</f>
        <v>0(  0.0)</v>
      </c>
      <c r="E21" s="92" t="str">
        <f>'[1]Annex-5'!E22</f>
        <v>0(  0.0)</v>
      </c>
      <c r="F21" s="92" t="str">
        <f>'[1]Annex-5'!F22</f>
        <v>0(  0.0)</v>
      </c>
      <c r="G21" s="92" t="str">
        <f>'[1]Annex-5'!G22</f>
        <v>0(  0.0)</v>
      </c>
      <c r="H21" s="92" t="str">
        <f>'[1]Annex-5'!H22</f>
        <v>0(  0.0)</v>
      </c>
      <c r="I21" s="92" t="str">
        <f>'[1]Annex-5'!I22</f>
        <v>9(100.0)</v>
      </c>
      <c r="J21" s="92" t="str">
        <f>'[1]Annex-5'!J22</f>
        <v>9(100.0)</v>
      </c>
      <c r="K21" s="92" t="str">
        <f>'[1]Annex-5'!K22</f>
        <v>9(100.0)</v>
      </c>
    </row>
    <row r="22" spans="1:11" ht="17.399999999999999" customHeight="1" x14ac:dyDescent="0.3">
      <c r="A22" s="21" t="s">
        <v>17</v>
      </c>
      <c r="B22" s="92" t="str">
        <f>'[1]Annex-5'!B23</f>
        <v>9(100.0)</v>
      </c>
      <c r="C22" s="92" t="str">
        <f>'[1]Annex-5'!C23</f>
        <v>0(  0.0)</v>
      </c>
      <c r="D22" s="92" t="str">
        <f>'[1]Annex-5'!D23</f>
        <v>0(  0.0)</v>
      </c>
      <c r="E22" s="92" t="str">
        <f>'[1]Annex-5'!E23</f>
        <v>0(  0.0)</v>
      </c>
      <c r="F22" s="92" t="str">
        <f>'[1]Annex-5'!F23</f>
        <v>0(  0.0)</v>
      </c>
      <c r="G22" s="92" t="str">
        <f>'[1]Annex-5'!G23</f>
        <v>0(  0.0)</v>
      </c>
      <c r="H22" s="92" t="str">
        <f>'[1]Annex-5'!H23</f>
        <v>0(  0.0)</v>
      </c>
      <c r="I22" s="92" t="str">
        <f>'[1]Annex-5'!I23</f>
        <v>9(100.0)</v>
      </c>
      <c r="J22" s="92" t="str">
        <f>'[1]Annex-5'!J23</f>
        <v>9(100.0)</v>
      </c>
      <c r="K22" s="92" t="str">
        <f>'[1]Annex-5'!K23</f>
        <v>9(100.0)</v>
      </c>
    </row>
    <row r="23" spans="1:11" ht="17.399999999999999" customHeight="1" thickBot="1" x14ac:dyDescent="0.35">
      <c r="A23" s="108" t="s">
        <v>18</v>
      </c>
      <c r="B23" s="93" t="str">
        <f>'[1]Annex-5'!B24</f>
        <v>18(100.0)</v>
      </c>
      <c r="C23" s="93" t="str">
        <f>'[1]Annex-5'!C24</f>
        <v>0(  0.0)</v>
      </c>
      <c r="D23" s="93" t="str">
        <f>'[1]Annex-5'!D24</f>
        <v>0(  0.0)</v>
      </c>
      <c r="E23" s="93" t="str">
        <f>'[1]Annex-5'!E24</f>
        <v>0(  0.0)</v>
      </c>
      <c r="F23" s="93" t="str">
        <f>'[1]Annex-5'!F24</f>
        <v>0(  0.0)</v>
      </c>
      <c r="G23" s="93" t="str">
        <f>'[1]Annex-5'!G24</f>
        <v>0(  0.0)</v>
      </c>
      <c r="H23" s="93" t="str">
        <f>'[1]Annex-5'!H24</f>
        <v>0(  0.0)</v>
      </c>
      <c r="I23" s="93" t="str">
        <f>'[1]Annex-5'!I24</f>
        <v>18(100.0)</v>
      </c>
      <c r="J23" s="93" t="str">
        <f>'[1]Annex-5'!J24</f>
        <v>18(100.0)</v>
      </c>
      <c r="K23" s="93" t="str">
        <f>'[1]Annex-5'!K24</f>
        <v>18(100.0)</v>
      </c>
    </row>
    <row r="24" spans="1:11" ht="14.4" thickTop="1" x14ac:dyDescent="0.3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</row>
  </sheetData>
  <mergeCells count="13">
    <mergeCell ref="H5:H6"/>
    <mergeCell ref="I5:I6"/>
    <mergeCell ref="J5:K5"/>
    <mergeCell ref="A1:K1"/>
    <mergeCell ref="A2:I2"/>
    <mergeCell ref="J2:K2"/>
    <mergeCell ref="A3:K3"/>
    <mergeCell ref="A4:A6"/>
    <mergeCell ref="B4:K4"/>
    <mergeCell ref="B5:D5"/>
    <mergeCell ref="E5:E6"/>
    <mergeCell ref="F5:F6"/>
    <mergeCell ref="G5:G6"/>
  </mergeCells>
  <printOptions horizontalCentered="1"/>
  <pageMargins left="0" right="0" top="0.78740157480314965" bottom="0" header="0.31496062992125984" footer="0.31496062992125984"/>
  <pageSetup paperSize="9" scale="10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P25"/>
  <sheetViews>
    <sheetView view="pageBreakPreview" zoomScale="80" zoomScaleNormal="60" zoomScaleSheetLayoutView="80" workbookViewId="0">
      <selection activeCell="F12" sqref="F12"/>
    </sheetView>
  </sheetViews>
  <sheetFormatPr defaultRowHeight="14.4" x14ac:dyDescent="0.3"/>
  <cols>
    <col min="1" max="1" width="11" customWidth="1"/>
    <col min="2" max="2" width="8.21875" customWidth="1"/>
    <col min="3" max="3" width="10.5546875" customWidth="1"/>
    <col min="4" max="4" width="10.77734375" customWidth="1"/>
    <col min="5" max="6" width="11" bestFit="1" customWidth="1"/>
    <col min="7" max="7" width="10.6640625" customWidth="1"/>
    <col min="8" max="8" width="9.77734375" customWidth="1"/>
    <col min="9" max="9" width="11.6640625" customWidth="1"/>
    <col min="10" max="10" width="10.5546875" bestFit="1" customWidth="1"/>
    <col min="11" max="11" width="9" bestFit="1" customWidth="1"/>
    <col min="12" max="12" width="9.5546875" customWidth="1"/>
    <col min="13" max="13" width="9" bestFit="1" customWidth="1"/>
    <col min="14" max="14" width="10.44140625" customWidth="1"/>
    <col min="15" max="15" width="10.88671875" customWidth="1"/>
    <col min="16" max="16" width="11.109375" customWidth="1"/>
  </cols>
  <sheetData>
    <row r="1" spans="1:16" x14ac:dyDescent="0.3">
      <c r="A1" s="256" t="s">
        <v>34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x14ac:dyDescent="0.3">
      <c r="A2" s="261" t="str">
        <f>common!$H$2</f>
        <v>UT : PUDUCHERRY</v>
      </c>
      <c r="B2" s="261" t="str">
        <f>common!$H$2</f>
        <v>UT : PUDUCHERRY</v>
      </c>
      <c r="C2" s="261" t="str">
        <f>common!$H$2</f>
        <v>UT : PUDUCHERRY</v>
      </c>
      <c r="D2" s="261" t="str">
        <f>common!$H$2</f>
        <v>UT : PUDUCHERRY</v>
      </c>
      <c r="E2" s="261" t="str">
        <f>common!$H$2</f>
        <v>UT : PUDUCHERRY</v>
      </c>
      <c r="F2" s="261" t="str">
        <f>common!$H$2</f>
        <v>UT : PUDUCHERRY</v>
      </c>
      <c r="G2" s="261" t="str">
        <f>common!$H$2</f>
        <v>UT : PUDUCHERRY</v>
      </c>
      <c r="H2" s="261" t="str">
        <f>common!$H$2</f>
        <v>UT : PUDUCHERRY</v>
      </c>
      <c r="I2" s="261" t="str">
        <f>common!$H$2</f>
        <v>UT : PUDUCHERRY</v>
      </c>
      <c r="J2" s="261" t="str">
        <f>common!$H$2</f>
        <v>UT : PUDUCHERRY</v>
      </c>
      <c r="K2" s="261" t="str">
        <f>common!$H$2</f>
        <v>UT : PUDUCHERRY</v>
      </c>
      <c r="L2" s="261" t="str">
        <f>common!$H$2</f>
        <v>UT : PUDUCHERRY</v>
      </c>
      <c r="M2" s="261" t="str">
        <f>common!$H$2</f>
        <v>UT : PUDUCHERRY</v>
      </c>
      <c r="N2" s="261" t="str">
        <f>common!$H$2</f>
        <v>UT : PUDUCHERRY</v>
      </c>
      <c r="O2" s="268" t="str">
        <f>'[1]Annex-6'!O3</f>
        <v xml:space="preserve"> ANNEX-VI</v>
      </c>
      <c r="P2" s="268"/>
    </row>
    <row r="3" spans="1:16" x14ac:dyDescent="0.3">
      <c r="A3" s="272" t="str">
        <f>'[1]Annex-6'!A4</f>
        <v>TIMELINESS IN SUBMISSION OF  TRS STATEMENTS DURING  2024-25 AND 2023-24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</row>
    <row r="4" spans="1:16" x14ac:dyDescent="0.3">
      <c r="A4" s="266" t="s">
        <v>205</v>
      </c>
      <c r="B4" s="266" t="s">
        <v>79</v>
      </c>
      <c r="C4" s="267" t="s">
        <v>80</v>
      </c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</row>
    <row r="5" spans="1:16" x14ac:dyDescent="0.3">
      <c r="A5" s="266"/>
      <c r="B5" s="266"/>
      <c r="C5" s="264" t="s">
        <v>218</v>
      </c>
      <c r="D5" s="264"/>
      <c r="E5" s="264"/>
      <c r="F5" s="264"/>
      <c r="G5" s="264"/>
      <c r="H5" s="264"/>
      <c r="I5" s="264"/>
      <c r="J5" s="264" t="s">
        <v>219</v>
      </c>
      <c r="K5" s="264"/>
      <c r="L5" s="264"/>
      <c r="M5" s="264"/>
      <c r="N5" s="266" t="s">
        <v>221</v>
      </c>
      <c r="O5" s="266" t="s">
        <v>222</v>
      </c>
      <c r="P5" s="266" t="s">
        <v>223</v>
      </c>
    </row>
    <row r="6" spans="1:16" ht="31.5" customHeight="1" x14ac:dyDescent="0.3">
      <c r="A6" s="266"/>
      <c r="B6" s="266"/>
      <c r="C6" s="267" t="s">
        <v>81</v>
      </c>
      <c r="D6" s="267"/>
      <c r="E6" s="267" t="s">
        <v>82</v>
      </c>
      <c r="F6" s="267"/>
      <c r="G6" s="266" t="s">
        <v>220</v>
      </c>
      <c r="H6" s="266" t="s">
        <v>83</v>
      </c>
      <c r="I6" s="266" t="s">
        <v>39</v>
      </c>
      <c r="J6" s="267" t="s">
        <v>84</v>
      </c>
      <c r="K6" s="267"/>
      <c r="L6" s="266" t="s">
        <v>85</v>
      </c>
      <c r="M6" s="266" t="s">
        <v>39</v>
      </c>
      <c r="N6" s="266"/>
      <c r="O6" s="266"/>
      <c r="P6" s="266"/>
    </row>
    <row r="7" spans="1:16" ht="72" customHeight="1" x14ac:dyDescent="0.3">
      <c r="A7" s="267"/>
      <c r="B7" s="267"/>
      <c r="C7" s="28" t="s">
        <v>86</v>
      </c>
      <c r="D7" s="28" t="s">
        <v>87</v>
      </c>
      <c r="E7" s="28" t="s">
        <v>86</v>
      </c>
      <c r="F7" s="28" t="s">
        <v>87</v>
      </c>
      <c r="G7" s="267"/>
      <c r="H7" s="267"/>
      <c r="I7" s="267"/>
      <c r="J7" s="28" t="s">
        <v>88</v>
      </c>
      <c r="K7" s="28" t="s">
        <v>89</v>
      </c>
      <c r="L7" s="267"/>
      <c r="M7" s="267"/>
      <c r="N7" s="267"/>
      <c r="O7" s="267"/>
      <c r="P7" s="267"/>
    </row>
    <row r="8" spans="1:16" x14ac:dyDescent="0.3">
      <c r="A8" s="30" t="s">
        <v>8</v>
      </c>
      <c r="B8" s="30" t="s">
        <v>9</v>
      </c>
      <c r="C8" s="30" t="s">
        <v>10</v>
      </c>
      <c r="D8" s="30" t="s">
        <v>11</v>
      </c>
      <c r="E8" s="30" t="s">
        <v>12</v>
      </c>
      <c r="F8" s="30" t="s">
        <v>13</v>
      </c>
      <c r="G8" s="30" t="s">
        <v>14</v>
      </c>
      <c r="H8" s="30" t="s">
        <v>15</v>
      </c>
      <c r="I8" s="30" t="s">
        <v>75</v>
      </c>
      <c r="J8" s="30" t="s">
        <v>76</v>
      </c>
      <c r="K8" s="30" t="s">
        <v>77</v>
      </c>
      <c r="L8" s="30" t="s">
        <v>90</v>
      </c>
      <c r="M8" s="30" t="s">
        <v>91</v>
      </c>
      <c r="N8" s="30" t="s">
        <v>92</v>
      </c>
      <c r="O8" s="30" t="s">
        <v>93</v>
      </c>
      <c r="P8" s="30" t="s">
        <v>94</v>
      </c>
    </row>
    <row r="9" spans="1:16" ht="21" customHeight="1" x14ac:dyDescent="0.3">
      <c r="A9" s="282" t="str">
        <f>common!$H$4</f>
        <v>RABI I 2024-25</v>
      </c>
      <c r="B9" s="28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ht="21" customHeight="1" x14ac:dyDescent="0.3">
      <c r="A10" s="23" t="s">
        <v>16</v>
      </c>
      <c r="B10" s="25" t="str">
        <f>'[1]Annex-6'!B11&amp;"  "</f>
        <v xml:space="preserve">9  </v>
      </c>
      <c r="C10" s="25" t="str">
        <f>'[1]Annex-6'!C11</f>
        <v>0(  0.0)</v>
      </c>
      <c r="D10" s="25" t="str">
        <f>'[1]Annex-6'!D11</f>
        <v>0(  0.0)</v>
      </c>
      <c r="E10" s="25" t="str">
        <f>'[1]Annex-6'!E11</f>
        <v>8( 88.9)</v>
      </c>
      <c r="F10" s="25" t="str">
        <f>'[1]Annex-6'!F11</f>
        <v>1( 11.1)</v>
      </c>
      <c r="G10" s="25" t="str">
        <f>'[1]Annex-6'!G11</f>
        <v>0(  0.0)</v>
      </c>
      <c r="H10" s="25" t="str">
        <f>'[1]Annex-6'!H11</f>
        <v>0(  0.0)</v>
      </c>
      <c r="I10" s="25" t="str">
        <f>'[1]Annex-6'!I11</f>
        <v>9(100.0)</v>
      </c>
      <c r="J10" s="25" t="str">
        <f>'[1]Annex-6'!J11</f>
        <v>0(  0.0)</v>
      </c>
      <c r="K10" s="25" t="str">
        <f>'[1]Annex-6'!K11</f>
        <v>0(  0.0)</v>
      </c>
      <c r="L10" s="25" t="str">
        <f>'[1]Annex-6'!L11</f>
        <v>0(  0.0)</v>
      </c>
      <c r="M10" s="25" t="str">
        <f>'[1]Annex-6'!M11</f>
        <v>0(  0.0)</v>
      </c>
      <c r="N10" s="25" t="str">
        <f>'[1]Annex-6'!N11</f>
        <v>0(  0.0)</v>
      </c>
      <c r="O10" s="25" t="str">
        <f>'[1]Annex-6'!O11</f>
        <v>9(100.0)</v>
      </c>
      <c r="P10" s="25" t="str">
        <f>'[1]Annex-6'!P11</f>
        <v>9(100.0)</v>
      </c>
    </row>
    <row r="11" spans="1:16" ht="21" customHeight="1" x14ac:dyDescent="0.3">
      <c r="A11" s="24" t="s">
        <v>17</v>
      </c>
      <c r="B11" s="25" t="str">
        <f>'[1]Annex-6'!B12&amp;"  "</f>
        <v xml:space="preserve">9  </v>
      </c>
      <c r="C11" s="25" t="str">
        <f>'[1]Annex-6'!C12</f>
        <v>0(  0.0)</v>
      </c>
      <c r="D11" s="25" t="str">
        <f>'[1]Annex-6'!D12</f>
        <v>0(  0.0)</v>
      </c>
      <c r="E11" s="25" t="str">
        <f>'[1]Annex-6'!E12</f>
        <v>9(100.0)</v>
      </c>
      <c r="F11" s="25" t="str">
        <f>'[1]Annex-6'!F12</f>
        <v>0(  0.0)</v>
      </c>
      <c r="G11" s="25" t="str">
        <f>'[1]Annex-6'!G12</f>
        <v>0(  0.0)</v>
      </c>
      <c r="H11" s="25" t="str">
        <f>'[1]Annex-6'!H12</f>
        <v>0(  0.0)</v>
      </c>
      <c r="I11" s="25" t="str">
        <f>'[1]Annex-6'!I12</f>
        <v>9(100.0)</v>
      </c>
      <c r="J11" s="25" t="str">
        <f>'[1]Annex-6'!J12</f>
        <v>0(  0.0)</v>
      </c>
      <c r="K11" s="25" t="str">
        <f>'[1]Annex-6'!K12</f>
        <v>0(  0.0)</v>
      </c>
      <c r="L11" s="25" t="str">
        <f>'[1]Annex-6'!L12</f>
        <v>0(  0.0)</v>
      </c>
      <c r="M11" s="25" t="str">
        <f>'[1]Annex-6'!M12</f>
        <v>0(  0.0)</v>
      </c>
      <c r="N11" s="25" t="str">
        <f>'[1]Annex-6'!N12</f>
        <v>0(  0.0)</v>
      </c>
      <c r="O11" s="25" t="str">
        <f>'[1]Annex-6'!O12</f>
        <v>9(100.0)</v>
      </c>
      <c r="P11" s="25" t="str">
        <f>'[1]Annex-6'!P12</f>
        <v>9(100.0)</v>
      </c>
    </row>
    <row r="12" spans="1:16" ht="21" customHeight="1" x14ac:dyDescent="0.3">
      <c r="A12" s="23" t="s">
        <v>18</v>
      </c>
      <c r="B12" s="25" t="str">
        <f>'[1]Annex-6'!B13&amp;"  "</f>
        <v xml:space="preserve">18  </v>
      </c>
      <c r="C12" s="25" t="str">
        <f>'[1]Annex-6'!C13</f>
        <v>0(  0.0)</v>
      </c>
      <c r="D12" s="25" t="str">
        <f>'[1]Annex-6'!D13</f>
        <v>0(  0.0)</v>
      </c>
      <c r="E12" s="25" t="str">
        <f>'[1]Annex-6'!E13</f>
        <v>17( 94.4)</v>
      </c>
      <c r="F12" s="25" t="str">
        <f>'[1]Annex-6'!F13</f>
        <v>1(  5.6)</v>
      </c>
      <c r="G12" s="25" t="str">
        <f>'[1]Annex-6'!G13</f>
        <v>0(  0.0)</v>
      </c>
      <c r="H12" s="25" t="str">
        <f>'[1]Annex-6'!H13</f>
        <v>0(  0.0)</v>
      </c>
      <c r="I12" s="25" t="str">
        <f>'[1]Annex-6'!I13</f>
        <v>18(100.0)</v>
      </c>
      <c r="J12" s="25" t="str">
        <f>'[1]Annex-6'!J13</f>
        <v>0(  0.0)</v>
      </c>
      <c r="K12" s="25" t="str">
        <f>'[1]Annex-6'!K13</f>
        <v>0(  0.0)</v>
      </c>
      <c r="L12" s="25" t="str">
        <f>'[1]Annex-6'!L13</f>
        <v>0(  0.0)</v>
      </c>
      <c r="M12" s="25" t="str">
        <f>'[1]Annex-6'!M13</f>
        <v>0(  0.0)</v>
      </c>
      <c r="N12" s="25" t="str">
        <f>'[1]Annex-6'!N13</f>
        <v>0(  0.0)</v>
      </c>
      <c r="O12" s="25" t="str">
        <f>'[1]Annex-6'!O13</f>
        <v>18(100.0)</v>
      </c>
      <c r="P12" s="25" t="str">
        <f>'[1]Annex-6'!P13</f>
        <v>18(100.0)</v>
      </c>
    </row>
    <row r="13" spans="1:16" ht="21" customHeight="1" x14ac:dyDescent="0.3">
      <c r="A13" s="281" t="str">
        <f>common!$I$4</f>
        <v>RABI II 2024-25</v>
      </c>
      <c r="B13" s="28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ht="21" customHeight="1" x14ac:dyDescent="0.3">
      <c r="A14" s="23" t="s">
        <v>16</v>
      </c>
      <c r="B14" s="25" t="str">
        <f>'[1]Annex-6'!B15&amp;"  "</f>
        <v xml:space="preserve">9  </v>
      </c>
      <c r="C14" s="25" t="str">
        <f>'[1]Annex-6'!C15</f>
        <v>0(  0.0)</v>
      </c>
      <c r="D14" s="25" t="str">
        <f>'[1]Annex-6'!D15</f>
        <v>0(  0.0)</v>
      </c>
      <c r="E14" s="25" t="str">
        <f>'[1]Annex-6'!E15</f>
        <v>9(100.0)</v>
      </c>
      <c r="F14" s="25" t="str">
        <f>'[1]Annex-6'!F15</f>
        <v>0(  0.0)</v>
      </c>
      <c r="G14" s="25" t="str">
        <f>'[1]Annex-6'!G15</f>
        <v>0(  0.0)</v>
      </c>
      <c r="H14" s="25" t="str">
        <f>'[1]Annex-6'!H15</f>
        <v>0(  0.0)</v>
      </c>
      <c r="I14" s="25" t="str">
        <f>'[1]Annex-6'!I15</f>
        <v>9(100.0)</v>
      </c>
      <c r="J14" s="25" t="str">
        <f>'[1]Annex-6'!J15</f>
        <v>0(  0.0)</v>
      </c>
      <c r="K14" s="25" t="str">
        <f>'[1]Annex-6'!K15</f>
        <v>0(  0.0)</v>
      </c>
      <c r="L14" s="25" t="str">
        <f>'[1]Annex-6'!L15</f>
        <v>0(  0.0)</v>
      </c>
      <c r="M14" s="25" t="str">
        <f>'[1]Annex-6'!M15</f>
        <v>0(  0.0)</v>
      </c>
      <c r="N14" s="25" t="str">
        <f>'[1]Annex-6'!N15</f>
        <v>0(  0.0)</v>
      </c>
      <c r="O14" s="25" t="str">
        <f>'[1]Annex-6'!O15</f>
        <v>9(100.0)</v>
      </c>
      <c r="P14" s="25" t="str">
        <f>'[1]Annex-6'!P15</f>
        <v>9(100.0)</v>
      </c>
    </row>
    <row r="15" spans="1:16" ht="21" customHeight="1" x14ac:dyDescent="0.3">
      <c r="A15" s="24" t="s">
        <v>17</v>
      </c>
      <c r="B15" s="25" t="str">
        <f>'[1]Annex-6'!B16&amp;"  "</f>
        <v xml:space="preserve">9  </v>
      </c>
      <c r="C15" s="25" t="str">
        <f>'[1]Annex-6'!C16</f>
        <v>0(  0.0)</v>
      </c>
      <c r="D15" s="25" t="str">
        <f>'[1]Annex-6'!D16</f>
        <v>0(  0.0)</v>
      </c>
      <c r="E15" s="25" t="str">
        <f>'[1]Annex-6'!E16</f>
        <v>9(100.0)</v>
      </c>
      <c r="F15" s="25" t="str">
        <f>'[1]Annex-6'!F16</f>
        <v>0(  0.0)</v>
      </c>
      <c r="G15" s="25" t="str">
        <f>'[1]Annex-6'!G16</f>
        <v>0(  0.0)</v>
      </c>
      <c r="H15" s="25" t="str">
        <f>'[1]Annex-6'!H16</f>
        <v>0(  0.0)</v>
      </c>
      <c r="I15" s="25" t="str">
        <f>'[1]Annex-6'!I16</f>
        <v>9(100.0)</v>
      </c>
      <c r="J15" s="25" t="str">
        <f>'[1]Annex-6'!J16</f>
        <v>0(  0.0)</v>
      </c>
      <c r="K15" s="25" t="str">
        <f>'[1]Annex-6'!K16</f>
        <v>0(  0.0)</v>
      </c>
      <c r="L15" s="25" t="str">
        <f>'[1]Annex-6'!L16</f>
        <v>0(  0.0)</v>
      </c>
      <c r="M15" s="25" t="str">
        <f>'[1]Annex-6'!M16</f>
        <v>0(  0.0)</v>
      </c>
      <c r="N15" s="25" t="str">
        <f>'[1]Annex-6'!N16</f>
        <v>0(  0.0)</v>
      </c>
      <c r="O15" s="25" t="str">
        <f>'[1]Annex-6'!O16</f>
        <v>9(100.0)</v>
      </c>
      <c r="P15" s="25" t="str">
        <f>'[1]Annex-6'!P16</f>
        <v>9(100.0)</v>
      </c>
    </row>
    <row r="16" spans="1:16" ht="21" customHeight="1" x14ac:dyDescent="0.3">
      <c r="A16" s="40" t="s">
        <v>18</v>
      </c>
      <c r="B16" s="52" t="str">
        <f>'[1]Annex-6'!B17&amp;"  "</f>
        <v xml:space="preserve">18  </v>
      </c>
      <c r="C16" s="52" t="str">
        <f>'[1]Annex-6'!C17</f>
        <v>0(  0.0)</v>
      </c>
      <c r="D16" s="52" t="str">
        <f>'[1]Annex-6'!D17</f>
        <v>0(  0.0)</v>
      </c>
      <c r="E16" s="52" t="str">
        <f>'[1]Annex-6'!E17</f>
        <v>18(100.0)</v>
      </c>
      <c r="F16" s="52" t="str">
        <f>'[1]Annex-6'!F17</f>
        <v>0(  0.0)</v>
      </c>
      <c r="G16" s="52" t="str">
        <f>'[1]Annex-6'!G17</f>
        <v>0(  0.0)</v>
      </c>
      <c r="H16" s="52" t="str">
        <f>'[1]Annex-6'!H17</f>
        <v>0(  0.0)</v>
      </c>
      <c r="I16" s="52" t="str">
        <f>'[1]Annex-6'!I17</f>
        <v>18(100.0)</v>
      </c>
      <c r="J16" s="52" t="str">
        <f>'[1]Annex-6'!J17</f>
        <v>0(  0.0)</v>
      </c>
      <c r="K16" s="52" t="str">
        <f>'[1]Annex-6'!K17</f>
        <v>0(  0.0)</v>
      </c>
      <c r="L16" s="52" t="str">
        <f>'[1]Annex-6'!L17</f>
        <v>0(  0.0)</v>
      </c>
      <c r="M16" s="52" t="str">
        <f>'[1]Annex-6'!M17</f>
        <v>0(  0.0)</v>
      </c>
      <c r="N16" s="52" t="str">
        <f>'[1]Annex-6'!N17</f>
        <v>0(  0.0)</v>
      </c>
      <c r="O16" s="52" t="str">
        <f>'[1]Annex-6'!O17</f>
        <v>18(100.0)</v>
      </c>
      <c r="P16" s="52" t="str">
        <f>'[1]Annex-6'!P17</f>
        <v>18(100.0)</v>
      </c>
    </row>
    <row r="17" spans="1:16" ht="21" customHeight="1" x14ac:dyDescent="0.3">
      <c r="A17" s="281" t="str">
        <f>common!$H$5</f>
        <v>RABI I 2023-24</v>
      </c>
      <c r="B17" s="28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 ht="21" customHeight="1" x14ac:dyDescent="0.3">
      <c r="A18" s="23" t="s">
        <v>16</v>
      </c>
      <c r="B18" s="25" t="str">
        <f>'[1]Annex-6'!B20&amp;"  "</f>
        <v xml:space="preserve">9  </v>
      </c>
      <c r="C18" s="25" t="str">
        <f>'[1]Annex-6'!C20</f>
        <v>0(  0.0)</v>
      </c>
      <c r="D18" s="25" t="str">
        <f>'[1]Annex-6'!D20</f>
        <v>0(  0.0)</v>
      </c>
      <c r="E18" s="25" t="str">
        <f>'[1]Annex-6'!E20</f>
        <v>9(100.0)</v>
      </c>
      <c r="F18" s="25" t="str">
        <f>'[1]Annex-6'!F20</f>
        <v>0(  0.0)</v>
      </c>
      <c r="G18" s="25" t="str">
        <f>'[1]Annex-6'!G20</f>
        <v>0(  0.0)</v>
      </c>
      <c r="H18" s="25" t="str">
        <f>'[1]Annex-6'!H20</f>
        <v>0(  0.0)</v>
      </c>
      <c r="I18" s="25" t="str">
        <f>'[1]Annex-6'!I20</f>
        <v>9(100.0)</v>
      </c>
      <c r="J18" s="25" t="str">
        <f>'[1]Annex-6'!J20</f>
        <v>0(  0.0)</v>
      </c>
      <c r="K18" s="25" t="str">
        <f>'[1]Annex-6'!K20</f>
        <v>0(  0.0)</v>
      </c>
      <c r="L18" s="25" t="str">
        <f>'[1]Annex-6'!L20</f>
        <v>0(  0.0)</v>
      </c>
      <c r="M18" s="25" t="str">
        <f>'[1]Annex-6'!M20</f>
        <v>0(  0.0)</v>
      </c>
      <c r="N18" s="25" t="str">
        <f>'[1]Annex-6'!N20</f>
        <v>0(  0.0)</v>
      </c>
      <c r="O18" s="25" t="str">
        <f>'[1]Annex-6'!O20</f>
        <v>9(100.0)</v>
      </c>
      <c r="P18" s="25" t="str">
        <f>'[1]Annex-6'!P20</f>
        <v>9(100.0)</v>
      </c>
    </row>
    <row r="19" spans="1:16" ht="21" customHeight="1" x14ac:dyDescent="0.3">
      <c r="A19" s="24" t="s">
        <v>17</v>
      </c>
      <c r="B19" s="25" t="str">
        <f>'[1]Annex-6'!B21&amp;"  "</f>
        <v xml:space="preserve">9  </v>
      </c>
      <c r="C19" s="25" t="str">
        <f>'[1]Annex-6'!C21</f>
        <v>0(  0.0)</v>
      </c>
      <c r="D19" s="25" t="str">
        <f>'[1]Annex-6'!D21</f>
        <v>0(  0.0)</v>
      </c>
      <c r="E19" s="25" t="str">
        <f>'[1]Annex-6'!E21</f>
        <v>9(100.0)</v>
      </c>
      <c r="F19" s="25" t="str">
        <f>'[1]Annex-6'!F21</f>
        <v>0(  0.0)</v>
      </c>
      <c r="G19" s="25" t="str">
        <f>'[1]Annex-6'!G21</f>
        <v>0(  0.0)</v>
      </c>
      <c r="H19" s="25" t="str">
        <f>'[1]Annex-6'!H21</f>
        <v>0(  0.0)</v>
      </c>
      <c r="I19" s="25" t="str">
        <f>'[1]Annex-6'!I21</f>
        <v>9(100.0)</v>
      </c>
      <c r="J19" s="25" t="str">
        <f>'[1]Annex-6'!J21</f>
        <v>0(  0.0)</v>
      </c>
      <c r="K19" s="25" t="str">
        <f>'[1]Annex-6'!K21</f>
        <v>0(  0.0)</v>
      </c>
      <c r="L19" s="25" t="str">
        <f>'[1]Annex-6'!L21</f>
        <v>0(  0.0)</v>
      </c>
      <c r="M19" s="25" t="str">
        <f>'[1]Annex-6'!M21</f>
        <v>0(  0.0)</v>
      </c>
      <c r="N19" s="25" t="str">
        <f>'[1]Annex-6'!N21</f>
        <v>0(  0.0)</v>
      </c>
      <c r="O19" s="25" t="str">
        <f>'[1]Annex-6'!O21</f>
        <v>9(100.0)</v>
      </c>
      <c r="P19" s="25" t="str">
        <f>'[1]Annex-6'!P21</f>
        <v>9(100.0)</v>
      </c>
    </row>
    <row r="20" spans="1:16" ht="21" customHeight="1" x14ac:dyDescent="0.3">
      <c r="A20" s="23" t="s">
        <v>18</v>
      </c>
      <c r="B20" s="25" t="str">
        <f>'[1]Annex-6'!B22&amp;"  "</f>
        <v xml:space="preserve">18  </v>
      </c>
      <c r="C20" s="25" t="str">
        <f>'[1]Annex-6'!C22</f>
        <v>0(  0.0)</v>
      </c>
      <c r="D20" s="25" t="str">
        <f>'[1]Annex-6'!D22</f>
        <v>0(  0.0)</v>
      </c>
      <c r="E20" s="25" t="str">
        <f>'[1]Annex-6'!E22</f>
        <v>18(100.0)</v>
      </c>
      <c r="F20" s="25" t="str">
        <f>'[1]Annex-6'!F22</f>
        <v>0(  0.0)</v>
      </c>
      <c r="G20" s="25" t="str">
        <f>'[1]Annex-6'!G22</f>
        <v>0(  0.0)</v>
      </c>
      <c r="H20" s="25" t="str">
        <f>'[1]Annex-6'!H22</f>
        <v>0(  0.0)</v>
      </c>
      <c r="I20" s="25" t="str">
        <f>'[1]Annex-6'!I22</f>
        <v>18(100.0)</v>
      </c>
      <c r="J20" s="25" t="str">
        <f>'[1]Annex-6'!J22</f>
        <v>0(  0.0)</v>
      </c>
      <c r="K20" s="25" t="str">
        <f>'[1]Annex-6'!K22</f>
        <v>0(  0.0)</v>
      </c>
      <c r="L20" s="25" t="str">
        <f>'[1]Annex-6'!L22</f>
        <v>0(  0.0)</v>
      </c>
      <c r="M20" s="25" t="str">
        <f>'[1]Annex-6'!M22</f>
        <v>0(  0.0)</v>
      </c>
      <c r="N20" s="25" t="str">
        <f>'[1]Annex-6'!N22</f>
        <v>0(  0.0)</v>
      </c>
      <c r="O20" s="25" t="str">
        <f>'[1]Annex-6'!O22</f>
        <v>18(100.0)</v>
      </c>
      <c r="P20" s="25" t="str">
        <f>'[1]Annex-6'!P22</f>
        <v>18(100.0)</v>
      </c>
    </row>
    <row r="21" spans="1:16" ht="21" customHeight="1" x14ac:dyDescent="0.3">
      <c r="A21" s="281" t="str">
        <f>common!$I$5</f>
        <v>RABI II 2023-24</v>
      </c>
      <c r="B21" s="28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ht="21" customHeight="1" x14ac:dyDescent="0.3">
      <c r="A22" s="23" t="s">
        <v>16</v>
      </c>
      <c r="B22" s="25" t="str">
        <f>'[1]Annex-6'!B24&amp;"  "</f>
        <v xml:space="preserve">9  </v>
      </c>
      <c r="C22" s="25" t="str">
        <f>'[1]Annex-6'!C24</f>
        <v>0(  0.0)</v>
      </c>
      <c r="D22" s="25" t="str">
        <f>'[1]Annex-6'!D24</f>
        <v>0(  0.0)</v>
      </c>
      <c r="E22" s="25" t="str">
        <f>'[1]Annex-6'!E24</f>
        <v>9(100.0)</v>
      </c>
      <c r="F22" s="25" t="str">
        <f>'[1]Annex-6'!F24</f>
        <v>0(  0.0)</v>
      </c>
      <c r="G22" s="25" t="str">
        <f>'[1]Annex-6'!G24</f>
        <v>0(  0.0)</v>
      </c>
      <c r="H22" s="25" t="str">
        <f>'[1]Annex-6'!H24</f>
        <v>0(  0.0)</v>
      </c>
      <c r="I22" s="25" t="str">
        <f>'[1]Annex-6'!I24</f>
        <v>9(100.0)</v>
      </c>
      <c r="J22" s="25" t="str">
        <f>'[1]Annex-6'!J24</f>
        <v>0(  0.0)</v>
      </c>
      <c r="K22" s="25" t="str">
        <f>'[1]Annex-6'!K24</f>
        <v>0(  0.0)</v>
      </c>
      <c r="L22" s="25" t="str">
        <f>'[1]Annex-6'!L24</f>
        <v>0(  0.0)</v>
      </c>
      <c r="M22" s="25" t="str">
        <f>'[1]Annex-6'!M24</f>
        <v>0(  0.0)</v>
      </c>
      <c r="N22" s="25" t="str">
        <f>'[1]Annex-6'!N24</f>
        <v>0(  0.0)</v>
      </c>
      <c r="O22" s="25" t="str">
        <f>'[1]Annex-6'!O24</f>
        <v>9(100.0)</v>
      </c>
      <c r="P22" s="25" t="str">
        <f>'[1]Annex-6'!P24</f>
        <v>9(100.0)</v>
      </c>
    </row>
    <row r="23" spans="1:16" ht="21" customHeight="1" x14ac:dyDescent="0.3">
      <c r="A23" s="24" t="s">
        <v>17</v>
      </c>
      <c r="B23" s="25" t="str">
        <f>'[1]Annex-6'!B25&amp;"  "</f>
        <v xml:space="preserve">9  </v>
      </c>
      <c r="C23" s="25" t="str">
        <f>'[1]Annex-6'!C25</f>
        <v>0(  0.0)</v>
      </c>
      <c r="D23" s="25" t="str">
        <f>'[1]Annex-6'!D25</f>
        <v>0(  0.0)</v>
      </c>
      <c r="E23" s="25" t="str">
        <f>'[1]Annex-6'!E25</f>
        <v>9(100.0)</v>
      </c>
      <c r="F23" s="25" t="str">
        <f>'[1]Annex-6'!F25</f>
        <v>0(  0.0)</v>
      </c>
      <c r="G23" s="25" t="str">
        <f>'[1]Annex-6'!G25</f>
        <v>0(  0.0)</v>
      </c>
      <c r="H23" s="25" t="str">
        <f>'[1]Annex-6'!H25</f>
        <v>0(  0.0)</v>
      </c>
      <c r="I23" s="25" t="str">
        <f>'[1]Annex-6'!I25</f>
        <v>9(100.0)</v>
      </c>
      <c r="J23" s="25" t="str">
        <f>'[1]Annex-6'!J25</f>
        <v>0(  0.0)</v>
      </c>
      <c r="K23" s="25" t="str">
        <f>'[1]Annex-6'!K25</f>
        <v>0(  0.0)</v>
      </c>
      <c r="L23" s="25" t="str">
        <f>'[1]Annex-6'!L25</f>
        <v>0(  0.0)</v>
      </c>
      <c r="M23" s="25" t="str">
        <f>'[1]Annex-6'!M25</f>
        <v>0(  0.0)</v>
      </c>
      <c r="N23" s="25" t="str">
        <f>'[1]Annex-6'!N25</f>
        <v>0(  0.0)</v>
      </c>
      <c r="O23" s="25" t="str">
        <f>'[1]Annex-6'!O25</f>
        <v>9(100.0)</v>
      </c>
      <c r="P23" s="25" t="str">
        <f>'[1]Annex-6'!P25</f>
        <v>9(100.0)</v>
      </c>
    </row>
    <row r="24" spans="1:16" ht="21" customHeight="1" thickBot="1" x14ac:dyDescent="0.35">
      <c r="A24" s="47" t="s">
        <v>18</v>
      </c>
      <c r="B24" s="58" t="str">
        <f>'[1]Annex-6'!B26&amp;"  "</f>
        <v xml:space="preserve">18  </v>
      </c>
      <c r="C24" s="58" t="str">
        <f>'[1]Annex-6'!C26</f>
        <v>0(  0.0)</v>
      </c>
      <c r="D24" s="58" t="str">
        <f>'[1]Annex-6'!D26</f>
        <v>0(  0.0)</v>
      </c>
      <c r="E24" s="58" t="str">
        <f>'[1]Annex-6'!E26</f>
        <v>18(100.0)</v>
      </c>
      <c r="F24" s="58" t="str">
        <f>'[1]Annex-6'!F26</f>
        <v>0(  0.0)</v>
      </c>
      <c r="G24" s="58" t="str">
        <f>'[1]Annex-6'!G26</f>
        <v>0(  0.0)</v>
      </c>
      <c r="H24" s="58" t="str">
        <f>'[1]Annex-6'!H26</f>
        <v>0(  0.0)</v>
      </c>
      <c r="I24" s="58" t="str">
        <f>'[1]Annex-6'!I26</f>
        <v>18(100.0)</v>
      </c>
      <c r="J24" s="58" t="str">
        <f>'[1]Annex-6'!J26</f>
        <v>0(  0.0)</v>
      </c>
      <c r="K24" s="58" t="str">
        <f>'[1]Annex-6'!K26</f>
        <v>0(  0.0)</v>
      </c>
      <c r="L24" s="58" t="str">
        <f>'[1]Annex-6'!L26</f>
        <v>0(  0.0)</v>
      </c>
      <c r="M24" s="58" t="str">
        <f>'[1]Annex-6'!M26</f>
        <v>0(  0.0)</v>
      </c>
      <c r="N24" s="58" t="str">
        <f>'[1]Annex-6'!N26</f>
        <v>0(  0.0)</v>
      </c>
      <c r="O24" s="58" t="str">
        <f>'[1]Annex-6'!O26</f>
        <v>18(100.0)</v>
      </c>
      <c r="P24" s="58" t="str">
        <f>'[1]Annex-6'!P26</f>
        <v>18(100.0)</v>
      </c>
    </row>
    <row r="25" spans="1:16" ht="15" thickTop="1" x14ac:dyDescent="0.3"/>
  </sheetData>
  <mergeCells count="24">
    <mergeCell ref="A17:B17"/>
    <mergeCell ref="A21:B21"/>
    <mergeCell ref="O5:O7"/>
    <mergeCell ref="J6:K6"/>
    <mergeCell ref="L6:L7"/>
    <mergeCell ref="M6:M7"/>
    <mergeCell ref="A9:B9"/>
    <mergeCell ref="A13:B13"/>
    <mergeCell ref="A1:P1"/>
    <mergeCell ref="A2:N2"/>
    <mergeCell ref="O2:P2"/>
    <mergeCell ref="A3:P3"/>
    <mergeCell ref="A4:A7"/>
    <mergeCell ref="B4:B7"/>
    <mergeCell ref="C4:P4"/>
    <mergeCell ref="C5:I5"/>
    <mergeCell ref="J5:M5"/>
    <mergeCell ref="N5:N7"/>
    <mergeCell ref="P5:P7"/>
    <mergeCell ref="C6:D6"/>
    <mergeCell ref="E6:F6"/>
    <mergeCell ref="G6:G7"/>
    <mergeCell ref="H6:H7"/>
    <mergeCell ref="I6:I7"/>
  </mergeCells>
  <printOptions horizontalCentered="1"/>
  <pageMargins left="0" right="0" top="0.78740157480314965" bottom="0" header="0.31496062992125984" footer="0.31496062992125984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G14"/>
  <sheetViews>
    <sheetView view="pageBreakPreview" zoomScaleNormal="100" zoomScaleSheetLayoutView="100" workbookViewId="0">
      <selection activeCell="D9" sqref="D9"/>
    </sheetView>
  </sheetViews>
  <sheetFormatPr defaultRowHeight="14.4" x14ac:dyDescent="0.3"/>
  <cols>
    <col min="1" max="1" width="21.88671875" customWidth="1"/>
    <col min="2" max="2" width="11" customWidth="1"/>
    <col min="3" max="5" width="25.109375" customWidth="1"/>
  </cols>
  <sheetData>
    <row r="1" spans="1:7" x14ac:dyDescent="0.3">
      <c r="A1" s="235" t="s">
        <v>40</v>
      </c>
      <c r="B1" s="235"/>
      <c r="C1" s="235"/>
      <c r="D1" s="235"/>
      <c r="E1" s="235"/>
    </row>
    <row r="2" spans="1:7" x14ac:dyDescent="0.3">
      <c r="A2" s="62" t="str">
        <f>common!$H$2</f>
        <v>UT : PUDUCHERRY</v>
      </c>
      <c r="B2" s="62"/>
      <c r="C2" s="62"/>
      <c r="D2" s="236" t="str">
        <f>'[1]Annex-7(a)'!D2</f>
        <v xml:space="preserve"> ANNEX-VII(a)</v>
      </c>
      <c r="E2" s="236"/>
    </row>
    <row r="3" spans="1:7" ht="41.4" customHeight="1" x14ac:dyDescent="0.3">
      <c r="A3" s="283" t="str">
        <f>'[1]Annex-7(a)'!A3</f>
        <v>AVAILABILITY OF FIGURES OF CROP AREA  DURING  2024-25 AND 2023-24   (POOLED SAMPLE)</v>
      </c>
      <c r="B3" s="283"/>
      <c r="C3" s="283"/>
      <c r="D3" s="283"/>
      <c r="E3" s="283"/>
    </row>
    <row r="4" spans="1:7" ht="31.8" customHeight="1" x14ac:dyDescent="0.3">
      <c r="A4" s="252" t="s">
        <v>287</v>
      </c>
      <c r="B4" s="252" t="s">
        <v>96</v>
      </c>
      <c r="C4" s="253" t="s">
        <v>97</v>
      </c>
      <c r="D4" s="253"/>
      <c r="E4" s="253"/>
    </row>
    <row r="5" spans="1:7" ht="31.8" customHeight="1" x14ac:dyDescent="0.3">
      <c r="A5" s="252"/>
      <c r="B5" s="252"/>
      <c r="C5" s="99" t="s">
        <v>98</v>
      </c>
      <c r="D5" s="255" t="s">
        <v>305</v>
      </c>
      <c r="E5" s="255"/>
    </row>
    <row r="6" spans="1:7" ht="28.8" x14ac:dyDescent="0.3">
      <c r="A6" s="252"/>
      <c r="B6" s="252"/>
      <c r="C6" s="71" t="s">
        <v>99</v>
      </c>
      <c r="D6" s="71" t="s">
        <v>100</v>
      </c>
      <c r="E6" s="71" t="s">
        <v>101</v>
      </c>
      <c r="G6" s="109"/>
    </row>
    <row r="7" spans="1:7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</row>
    <row r="8" spans="1:7" ht="29.4" customHeight="1" x14ac:dyDescent="0.3">
      <c r="A8" s="67" t="str">
        <f>common!$J$4</f>
        <v>YEAR 2024-25</v>
      </c>
      <c r="B8" s="68"/>
      <c r="C8" s="101"/>
      <c r="D8" s="101"/>
      <c r="E8" s="101"/>
    </row>
    <row r="9" spans="1:7" ht="29.4" customHeight="1" x14ac:dyDescent="0.3">
      <c r="A9" s="68" t="str">
        <f>'[1]Annex-7(a)'!A10</f>
        <v>RABI I</v>
      </c>
      <c r="B9" s="72">
        <f>'[1]Annex-7(a)'!B10</f>
        <v>18</v>
      </c>
      <c r="C9" s="72" t="str">
        <f>'[1]Annex-7(a)'!C10</f>
        <v>0(  0.0)</v>
      </c>
      <c r="D9" s="72" t="str">
        <f>'[1]Annex-7(a)'!D10</f>
        <v>5( 27.8)</v>
      </c>
      <c r="E9" s="72" t="str">
        <f>'[1]Annex-7(a)'!E10</f>
        <v>0(  0.0)</v>
      </c>
    </row>
    <row r="10" spans="1:7" ht="29.4" customHeight="1" x14ac:dyDescent="0.3">
      <c r="A10" s="67" t="str">
        <f>'[1]Annex-7(a)'!A11</f>
        <v>RABI II</v>
      </c>
      <c r="B10" s="74">
        <f>'[1]Annex-7(a)'!B11</f>
        <v>18</v>
      </c>
      <c r="C10" s="74" t="str">
        <f>'[1]Annex-7(a)'!C11</f>
        <v>0(  0.0)</v>
      </c>
      <c r="D10" s="74" t="str">
        <f>'[1]Annex-7(a)'!D11</f>
        <v>8( 44.4)</v>
      </c>
      <c r="E10" s="74" t="str">
        <f>'[1]Annex-7(a)'!E11</f>
        <v>0(  0.0)</v>
      </c>
    </row>
    <row r="11" spans="1:7" ht="29.4" customHeight="1" x14ac:dyDescent="0.3">
      <c r="A11" s="67" t="str">
        <f>common!$J$5</f>
        <v>YEAR 2023-24</v>
      </c>
      <c r="B11" s="68"/>
      <c r="C11" s="101"/>
      <c r="D11" s="101"/>
      <c r="E11" s="101"/>
    </row>
    <row r="12" spans="1:7" ht="29.4" customHeight="1" x14ac:dyDescent="0.3">
      <c r="A12" s="68" t="str">
        <f>'[1]Annex-7(a)'!A13</f>
        <v>RABI I</v>
      </c>
      <c r="B12" s="72">
        <f>'[1]Annex-7(a)'!B13</f>
        <v>18</v>
      </c>
      <c r="C12" s="72" t="str">
        <f>'[1]Annex-7(a)'!C13</f>
        <v>2( 11.1)</v>
      </c>
      <c r="D12" s="72" t="str">
        <f>'[1]Annex-7(a)'!D13</f>
        <v>2( 11.1)</v>
      </c>
      <c r="E12" s="72" t="str">
        <f>'[1]Annex-7(a)'!E13</f>
        <v>0(  0.0)</v>
      </c>
    </row>
    <row r="13" spans="1:7" ht="29.4" customHeight="1" thickBot="1" x14ac:dyDescent="0.35">
      <c r="A13" s="84" t="str">
        <f>'[1]Annex-7(a)'!A14</f>
        <v>RABI II</v>
      </c>
      <c r="B13" s="86">
        <f>'[1]Annex-7(a)'!B14</f>
        <v>18</v>
      </c>
      <c r="C13" s="86" t="str">
        <f>'[1]Annex-7(a)'!C14</f>
        <v>0(  0.0)</v>
      </c>
      <c r="D13" s="86" t="str">
        <f>'[1]Annex-7(a)'!D14</f>
        <v>7( 38.9)</v>
      </c>
      <c r="E13" s="86" t="str">
        <f>'[1]Annex-7(a)'!E14</f>
        <v>0(  0.0)</v>
      </c>
    </row>
    <row r="14" spans="1:7" ht="15" thickTop="1" x14ac:dyDescent="0.3">
      <c r="A14" s="1"/>
      <c r="B14" s="101"/>
      <c r="C14" s="101"/>
      <c r="D14" s="101"/>
      <c r="E14" s="101"/>
    </row>
  </sheetData>
  <mergeCells count="7">
    <mergeCell ref="A1:E1"/>
    <mergeCell ref="D2:E2"/>
    <mergeCell ref="A3:E3"/>
    <mergeCell ref="A4:A6"/>
    <mergeCell ref="B4:B6"/>
    <mergeCell ref="C4:E4"/>
    <mergeCell ref="D5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G24"/>
  <sheetViews>
    <sheetView view="pageBreakPreview" zoomScale="70" zoomScaleNormal="90" zoomScaleSheetLayoutView="70" workbookViewId="0">
      <selection activeCell="F18" sqref="F18"/>
    </sheetView>
  </sheetViews>
  <sheetFormatPr defaultRowHeight="14.4" x14ac:dyDescent="0.3"/>
  <cols>
    <col min="1" max="1" width="17.88671875" customWidth="1"/>
    <col min="2" max="2" width="9.5546875" customWidth="1"/>
    <col min="3" max="3" width="14.6640625" customWidth="1"/>
    <col min="4" max="4" width="20" customWidth="1"/>
    <col min="5" max="5" width="19.77734375" customWidth="1"/>
    <col min="6" max="6" width="20.5546875" customWidth="1"/>
    <col min="7" max="7" width="14.77734375" customWidth="1"/>
  </cols>
  <sheetData>
    <row r="1" spans="1:7" x14ac:dyDescent="0.3">
      <c r="A1" s="235" t="s">
        <v>46</v>
      </c>
      <c r="B1" s="235"/>
      <c r="C1" s="235"/>
      <c r="D1" s="235"/>
      <c r="E1" s="235"/>
      <c r="F1" s="235"/>
      <c r="G1" s="235"/>
    </row>
    <row r="2" spans="1:7" x14ac:dyDescent="0.3">
      <c r="A2" s="284" t="str">
        <f>common!$H$2</f>
        <v>UT : PUDUCHERRY</v>
      </c>
      <c r="B2" s="284" t="str">
        <f>common!$H$2</f>
        <v>UT : PUDUCHERRY</v>
      </c>
      <c r="C2" s="284" t="str">
        <f>common!$H$2</f>
        <v>UT : PUDUCHERRY</v>
      </c>
      <c r="D2" s="284" t="str">
        <f>common!$H$2</f>
        <v>UT : PUDUCHERRY</v>
      </c>
      <c r="E2" s="284" t="str">
        <f>common!$H$2</f>
        <v>UT : PUDUCHERRY</v>
      </c>
      <c r="F2" s="285" t="str">
        <f>'[2]Annex-7(b)'!F2</f>
        <v xml:space="preserve"> ANNEX-VII(b)</v>
      </c>
      <c r="G2" s="285"/>
    </row>
    <row r="3" spans="1:7" x14ac:dyDescent="0.3">
      <c r="A3" s="286" t="str">
        <f>'[2]Annex-7(b)'!A3</f>
        <v>DISCREPANCIES IN RECORDING OF CROPS AND CROP AREAS DURING 0 AND 0.</v>
      </c>
      <c r="B3" s="286"/>
      <c r="C3" s="286"/>
      <c r="D3" s="286"/>
      <c r="E3" s="286"/>
      <c r="F3" s="286"/>
      <c r="G3" s="286"/>
    </row>
    <row r="4" spans="1:7" x14ac:dyDescent="0.3">
      <c r="A4" s="250" t="s">
        <v>293</v>
      </c>
      <c r="B4" s="253" t="s">
        <v>103</v>
      </c>
      <c r="C4" s="253"/>
      <c r="D4" s="253"/>
      <c r="E4" s="253"/>
      <c r="F4" s="253"/>
      <c r="G4" s="253"/>
    </row>
    <row r="5" spans="1:7" x14ac:dyDescent="0.3">
      <c r="A5" s="250"/>
      <c r="B5" s="252" t="s">
        <v>39</v>
      </c>
      <c r="C5" s="252" t="s">
        <v>209</v>
      </c>
      <c r="D5" s="253" t="s">
        <v>104</v>
      </c>
      <c r="E5" s="253"/>
      <c r="F5" s="253"/>
      <c r="G5" s="253"/>
    </row>
    <row r="6" spans="1:7" ht="86.4" x14ac:dyDescent="0.3">
      <c r="A6" s="251"/>
      <c r="B6" s="253"/>
      <c r="C6" s="253"/>
      <c r="D6" s="99" t="s">
        <v>297</v>
      </c>
      <c r="E6" s="99" t="s">
        <v>210</v>
      </c>
      <c r="F6" s="99" t="s">
        <v>211</v>
      </c>
      <c r="G6" s="99" t="s">
        <v>196</v>
      </c>
    </row>
    <row r="7" spans="1:7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</row>
    <row r="8" spans="1:7" x14ac:dyDescent="0.3">
      <c r="A8" s="111" t="str">
        <f>common!$H$4</f>
        <v>RABI I 2024-25</v>
      </c>
      <c r="B8" s="101"/>
      <c r="C8" s="76"/>
      <c r="D8" s="101"/>
      <c r="E8" s="101"/>
      <c r="F8" s="101"/>
      <c r="G8" s="101"/>
    </row>
    <row r="9" spans="1:7" x14ac:dyDescent="0.3">
      <c r="A9" s="112" t="str">
        <f>'[2]Annex-7(b)'!A9</f>
        <v>CENTRAL</v>
      </c>
      <c r="B9" s="72" t="str">
        <f>'[2]Annex-7(b)'!B9&amp;"  "</f>
        <v xml:space="preserve">52  </v>
      </c>
      <c r="C9" s="72" t="str">
        <f>'[2]Annex-7(b)'!C9</f>
        <v>34( 65.4)</v>
      </c>
      <c r="D9" s="72" t="str">
        <f>'[2]Annex-7(b)'!D9&amp;" "</f>
        <v xml:space="preserve">0(  0.0) </v>
      </c>
      <c r="E9" s="72" t="str">
        <f>'[2]Annex-7(b)'!E9&amp;" "</f>
        <v xml:space="preserve">14( 26.9) </v>
      </c>
      <c r="F9" s="72" t="str">
        <f>'[2]Annex-7(b)'!F9&amp;" "</f>
        <v xml:space="preserve">4(  7.7) </v>
      </c>
      <c r="G9" s="72" t="str">
        <f>'[2]Annex-7(b)'!G9&amp;" "</f>
        <v xml:space="preserve">18( 34.6) </v>
      </c>
    </row>
    <row r="10" spans="1:7" x14ac:dyDescent="0.3">
      <c r="A10" s="112" t="str">
        <f>'[2]Annex-7(b)'!A10</f>
        <v>STATE</v>
      </c>
      <c r="B10" s="72" t="str">
        <f>'[2]Annex-7(b)'!B10&amp;"  "</f>
        <v xml:space="preserve">182  </v>
      </c>
      <c r="C10" s="72" t="str">
        <f>'[2]Annex-7(b)'!C10</f>
        <v>176( 96.7)</v>
      </c>
      <c r="D10" s="72" t="str">
        <f>'[2]Annex-7(b)'!D10&amp;" "</f>
        <v xml:space="preserve">2(  1.1) </v>
      </c>
      <c r="E10" s="72" t="str">
        <f>'[2]Annex-7(b)'!E10&amp;" "</f>
        <v xml:space="preserve">2(  1.1) </v>
      </c>
      <c r="F10" s="72" t="str">
        <f>'[2]Annex-7(b)'!F10&amp;" "</f>
        <v xml:space="preserve">2(  1.1) </v>
      </c>
      <c r="G10" s="72" t="str">
        <f>'[2]Annex-7(b)'!G10&amp;" "</f>
        <v xml:space="preserve">6(  3.3) </v>
      </c>
    </row>
    <row r="11" spans="1:7" x14ac:dyDescent="0.3">
      <c r="A11" s="112" t="str">
        <f>'[2]Annex-7(b)'!A11</f>
        <v>POOLED</v>
      </c>
      <c r="B11" s="72" t="str">
        <f>'[2]Annex-7(b)'!B11&amp;"  "</f>
        <v xml:space="preserve">234  </v>
      </c>
      <c r="C11" s="72" t="str">
        <f>'[2]Annex-7(b)'!C11</f>
        <v>210( 89.7)</v>
      </c>
      <c r="D11" s="72" t="str">
        <f>'[2]Annex-7(b)'!D11&amp;" "</f>
        <v xml:space="preserve">2(  0.9) </v>
      </c>
      <c r="E11" s="72" t="str">
        <f>'[2]Annex-7(b)'!E11&amp;" "</f>
        <v xml:space="preserve">16(  6.8) </v>
      </c>
      <c r="F11" s="72" t="str">
        <f>'[2]Annex-7(b)'!F11&amp;" "</f>
        <v xml:space="preserve">6(  2.6) </v>
      </c>
      <c r="G11" s="72" t="str">
        <f>'[2]Annex-7(b)'!G11&amp;" "</f>
        <v xml:space="preserve">24( 10.3) </v>
      </c>
    </row>
    <row r="12" spans="1:7" x14ac:dyDescent="0.3">
      <c r="A12" s="111" t="str">
        <f>common!$I$4</f>
        <v>RABI II 2024-25</v>
      </c>
      <c r="B12" s="113"/>
      <c r="C12" s="72"/>
      <c r="D12" s="113"/>
      <c r="E12" s="113"/>
      <c r="F12" s="113"/>
      <c r="G12" s="113"/>
    </row>
    <row r="13" spans="1:7" x14ac:dyDescent="0.3">
      <c r="A13" s="112" t="str">
        <f>'[2]Annex-7(b)'!A13</f>
        <v>CENTRAL</v>
      </c>
      <c r="B13" s="72" t="str">
        <f>'[2]Annex-7(b)'!B13&amp;"  "</f>
        <v xml:space="preserve">32  </v>
      </c>
      <c r="C13" s="72" t="str">
        <f>'[2]Annex-7(b)'!C13</f>
        <v>20( 62.5)</v>
      </c>
      <c r="D13" s="72" t="str">
        <f>'[2]Annex-7(b)'!D13&amp;" "</f>
        <v xml:space="preserve">0(  0.0) </v>
      </c>
      <c r="E13" s="72" t="str">
        <f>'[2]Annex-7(b)'!E13&amp;" "</f>
        <v xml:space="preserve">12( 37.5) </v>
      </c>
      <c r="F13" s="72" t="str">
        <f>'[2]Annex-7(b)'!F13&amp;" "</f>
        <v xml:space="preserve">0(  0.0) </v>
      </c>
      <c r="G13" s="72" t="str">
        <f>'[2]Annex-7(b)'!G13&amp;" "</f>
        <v xml:space="preserve">12( 37.5) </v>
      </c>
    </row>
    <row r="14" spans="1:7" x14ac:dyDescent="0.3">
      <c r="A14" s="112" t="str">
        <f>'[2]Annex-7(b)'!A14</f>
        <v>STATE</v>
      </c>
      <c r="B14" s="72" t="str">
        <f>'[2]Annex-7(b)'!B14&amp;"  "</f>
        <v xml:space="preserve">110  </v>
      </c>
      <c r="C14" s="72" t="str">
        <f>'[2]Annex-7(b)'!C14</f>
        <v>108( 98.2)</v>
      </c>
      <c r="D14" s="72" t="str">
        <f>'[2]Annex-7(b)'!D14&amp;" "</f>
        <v xml:space="preserve">0(  0.0) </v>
      </c>
      <c r="E14" s="72" t="str">
        <f>'[2]Annex-7(b)'!E14&amp;" "</f>
        <v xml:space="preserve">0(  0.0) </v>
      </c>
      <c r="F14" s="72" t="str">
        <f>'[2]Annex-7(b)'!F14&amp;" "</f>
        <v xml:space="preserve">2(  1.8) </v>
      </c>
      <c r="G14" s="72" t="str">
        <f>'[2]Annex-7(b)'!G14&amp;" "</f>
        <v xml:space="preserve">2(  1.8) </v>
      </c>
    </row>
    <row r="15" spans="1:7" x14ac:dyDescent="0.3">
      <c r="A15" s="111" t="str">
        <f>'[2]Annex-7(b)'!A15</f>
        <v>POOLED</v>
      </c>
      <c r="B15" s="74" t="str">
        <f>'[2]Annex-7(b)'!B15&amp;"  "</f>
        <v xml:space="preserve">142  </v>
      </c>
      <c r="C15" s="74" t="str">
        <f>'[2]Annex-7(b)'!C15</f>
        <v>128( 90.1)</v>
      </c>
      <c r="D15" s="74" t="str">
        <f>'[2]Annex-7(b)'!D15&amp;" "</f>
        <v xml:space="preserve">0(  0.0) </v>
      </c>
      <c r="E15" s="74" t="str">
        <f>'[2]Annex-7(b)'!E15&amp;" "</f>
        <v xml:space="preserve">12(  8.5) </v>
      </c>
      <c r="F15" s="74" t="str">
        <f>'[2]Annex-7(b)'!F15&amp;" "</f>
        <v xml:space="preserve">2(  1.4) </v>
      </c>
      <c r="G15" s="74" t="str">
        <f>'[2]Annex-7(b)'!G15&amp;" "</f>
        <v xml:space="preserve">14(  9.9) </v>
      </c>
    </row>
    <row r="16" spans="1:7" x14ac:dyDescent="0.3">
      <c r="A16" s="111" t="str">
        <f>common!$H$5</f>
        <v>RABI I 2023-24</v>
      </c>
      <c r="B16" s="101"/>
      <c r="C16" s="76"/>
      <c r="D16" s="101"/>
      <c r="E16" s="101"/>
      <c r="F16" s="101"/>
      <c r="G16" s="101"/>
    </row>
    <row r="17" spans="1:7" x14ac:dyDescent="0.3">
      <c r="A17" s="112" t="str">
        <f>'[2]Annex-7(b)'!A18</f>
        <v>CENTRAL</v>
      </c>
      <c r="B17" s="72" t="str">
        <f>'[2]Annex-7(b)'!B18&amp;"  "</f>
        <v xml:space="preserve">50  </v>
      </c>
      <c r="C17" s="72" t="str">
        <f>'[2]Annex-7(b)'!C18</f>
        <v>42( 84.0)</v>
      </c>
      <c r="D17" s="72" t="str">
        <f>'[2]Annex-7(b)'!D18&amp;" "</f>
        <v xml:space="preserve">0(  0.0) </v>
      </c>
      <c r="E17" s="72" t="str">
        <f>'[2]Annex-7(b)'!E18&amp;" "</f>
        <v xml:space="preserve">5( 10.0) </v>
      </c>
      <c r="F17" s="72" t="str">
        <f>'[2]Annex-7(b)'!F18&amp;" "</f>
        <v xml:space="preserve">3(  6.0) </v>
      </c>
      <c r="G17" s="72" t="str">
        <f>'[2]Annex-7(b)'!G18&amp;" "</f>
        <v xml:space="preserve">8( 16.0) </v>
      </c>
    </row>
    <row r="18" spans="1:7" x14ac:dyDescent="0.3">
      <c r="A18" s="112" t="str">
        <f>'[2]Annex-7(b)'!A19</f>
        <v>STATE</v>
      </c>
      <c r="B18" s="72" t="str">
        <f>'[2]Annex-7(b)'!B19&amp;"  "</f>
        <v xml:space="preserve">37  </v>
      </c>
      <c r="C18" s="72" t="str">
        <f>'[2]Annex-7(b)'!C19</f>
        <v>37(100.0)</v>
      </c>
      <c r="D18" s="72" t="str">
        <f>'[2]Annex-7(b)'!D19&amp;" "</f>
        <v xml:space="preserve">0(  0.0) </v>
      </c>
      <c r="E18" s="72" t="str">
        <f>'[2]Annex-7(b)'!E19&amp;" "</f>
        <v xml:space="preserve">0(  0.0) </v>
      </c>
      <c r="F18" s="72" t="str">
        <f>'[2]Annex-7(b)'!F19&amp;" "</f>
        <v xml:space="preserve">0(  0.0) </v>
      </c>
      <c r="G18" s="72" t="str">
        <f>'[2]Annex-7(b)'!G19&amp;" "</f>
        <v xml:space="preserve">0(  0.0) </v>
      </c>
    </row>
    <row r="19" spans="1:7" x14ac:dyDescent="0.3">
      <c r="A19" s="112" t="str">
        <f>'[2]Annex-7(b)'!A20</f>
        <v>POOLED</v>
      </c>
      <c r="B19" s="72" t="str">
        <f>'[2]Annex-7(b)'!B20&amp;"  "</f>
        <v xml:space="preserve">87  </v>
      </c>
      <c r="C19" s="72" t="str">
        <f>'[2]Annex-7(b)'!C20</f>
        <v>79( 90.9)</v>
      </c>
      <c r="D19" s="72" t="str">
        <f>'[2]Annex-7(b)'!D20&amp;" "</f>
        <v xml:space="preserve">0(  0.0) </v>
      </c>
      <c r="E19" s="72" t="str">
        <f>'[2]Annex-7(b)'!E20&amp;" "</f>
        <v xml:space="preserve">5(  5.7) </v>
      </c>
      <c r="F19" s="72" t="str">
        <f>'[2]Annex-7(b)'!F20&amp;" "</f>
        <v xml:space="preserve">3(  3.4) </v>
      </c>
      <c r="G19" s="72" t="str">
        <f>'[2]Annex-7(b)'!G20&amp;" "</f>
        <v xml:space="preserve">8(  9.1) </v>
      </c>
    </row>
    <row r="20" spans="1:7" x14ac:dyDescent="0.3">
      <c r="A20" s="111" t="str">
        <f>common!$I$5</f>
        <v>RABI II 2023-24</v>
      </c>
      <c r="B20" s="113"/>
      <c r="C20" s="72"/>
      <c r="D20" s="113"/>
      <c r="E20" s="113"/>
      <c r="F20" s="113"/>
      <c r="G20" s="113"/>
    </row>
    <row r="21" spans="1:7" x14ac:dyDescent="0.3">
      <c r="A21" s="112" t="str">
        <f>'[2]Annex-7(b)'!A22</f>
        <v>CENTRAL</v>
      </c>
      <c r="B21" s="72" t="str">
        <f>'[2]Annex-7(b)'!B22&amp;"  "</f>
        <v xml:space="preserve">35  </v>
      </c>
      <c r="C21" s="72" t="str">
        <f>'[2]Annex-7(b)'!C22</f>
        <v>31( 88.6)</v>
      </c>
      <c r="D21" s="72" t="str">
        <f>'[2]Annex-7(b)'!D22&amp;" "</f>
        <v xml:space="preserve">0(  0.0) </v>
      </c>
      <c r="E21" s="72" t="str">
        <f>'[2]Annex-7(b)'!E22&amp;" "</f>
        <v xml:space="preserve">4( 11.4) </v>
      </c>
      <c r="F21" s="72" t="str">
        <f>'[2]Annex-7(b)'!F22&amp;" "</f>
        <v xml:space="preserve">0(  0.0) </v>
      </c>
      <c r="G21" s="72" t="str">
        <f>'[2]Annex-7(b)'!G22&amp;" "</f>
        <v xml:space="preserve">4( 11.4) </v>
      </c>
    </row>
    <row r="22" spans="1:7" x14ac:dyDescent="0.3">
      <c r="A22" s="112" t="str">
        <f>'[2]Annex-7(b)'!A23</f>
        <v>STATE</v>
      </c>
      <c r="B22" s="72" t="str">
        <f>'[2]Annex-7(b)'!B23&amp;"  "</f>
        <v xml:space="preserve">44  </v>
      </c>
      <c r="C22" s="72" t="str">
        <f>'[2]Annex-7(b)'!C23</f>
        <v>43( 97.7)</v>
      </c>
      <c r="D22" s="72" t="str">
        <f>'[2]Annex-7(b)'!D23&amp;" "</f>
        <v xml:space="preserve">0(  0.0) </v>
      </c>
      <c r="E22" s="72" t="str">
        <f>'[2]Annex-7(b)'!E23&amp;" "</f>
        <v xml:space="preserve">0(  0.0) </v>
      </c>
      <c r="F22" s="72" t="str">
        <f>'[2]Annex-7(b)'!F23&amp;" "</f>
        <v xml:space="preserve">1(  2.3) </v>
      </c>
      <c r="G22" s="72" t="str">
        <f>'[2]Annex-7(b)'!G23&amp;" "</f>
        <v xml:space="preserve">1(  2.3) </v>
      </c>
    </row>
    <row r="23" spans="1:7" ht="15" thickBot="1" x14ac:dyDescent="0.35">
      <c r="A23" s="114" t="str">
        <f>'[2]Annex-7(b)'!A24</f>
        <v>POOLED</v>
      </c>
      <c r="B23" s="86" t="str">
        <f>'[2]Annex-7(b)'!B24&amp;"  "</f>
        <v xml:space="preserve">79  </v>
      </c>
      <c r="C23" s="86" t="str">
        <f>'[2]Annex-7(b)'!C24</f>
        <v>74( 93.6)</v>
      </c>
      <c r="D23" s="86" t="str">
        <f>'[2]Annex-7(b)'!D24&amp;" "</f>
        <v xml:space="preserve">0(  0.0) </v>
      </c>
      <c r="E23" s="86" t="str">
        <f>'[2]Annex-7(b)'!E24&amp;" "</f>
        <v xml:space="preserve">4(  5.1) </v>
      </c>
      <c r="F23" s="86" t="str">
        <f>'[2]Annex-7(b)'!F24&amp;" "</f>
        <v xml:space="preserve">1(  1.3) </v>
      </c>
      <c r="G23" s="86" t="str">
        <f>'[2]Annex-7(b)'!G24&amp;" "</f>
        <v xml:space="preserve">5(  6.4) </v>
      </c>
    </row>
    <row r="24" spans="1:7" ht="15" thickTop="1" x14ac:dyDescent="0.3">
      <c r="A24" s="115"/>
      <c r="B24" s="115"/>
      <c r="C24" s="115"/>
      <c r="D24" s="115"/>
      <c r="E24" s="115"/>
      <c r="F24" s="115"/>
      <c r="G24" s="115"/>
    </row>
  </sheetData>
  <mergeCells count="9">
    <mergeCell ref="A1:G1"/>
    <mergeCell ref="A2:E2"/>
    <mergeCell ref="F2:G2"/>
    <mergeCell ref="A3:G3"/>
    <mergeCell ref="A4:A6"/>
    <mergeCell ref="B4:G4"/>
    <mergeCell ref="B5:B6"/>
    <mergeCell ref="C5:C6"/>
    <mergeCell ref="D5:G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81"/>
  <sheetViews>
    <sheetView view="pageBreakPreview" zoomScale="70" zoomScaleNormal="90" zoomScaleSheetLayoutView="70" workbookViewId="0">
      <selection activeCell="H26" sqref="H26"/>
    </sheetView>
  </sheetViews>
  <sheetFormatPr defaultRowHeight="14.4" x14ac:dyDescent="0.3"/>
  <cols>
    <col min="1" max="1" width="23.5546875" style="4" customWidth="1"/>
    <col min="2" max="7" width="11.77734375" style="4" customWidth="1"/>
    <col min="8" max="8" width="18.88671875" style="4" customWidth="1"/>
  </cols>
  <sheetData>
    <row r="1" spans="1:8" x14ac:dyDescent="0.3">
      <c r="A1" s="235" t="s">
        <v>62</v>
      </c>
      <c r="B1" s="235"/>
      <c r="C1" s="235"/>
      <c r="D1" s="235"/>
      <c r="E1" s="235"/>
      <c r="F1" s="235"/>
      <c r="G1" s="235"/>
      <c r="H1" s="235"/>
    </row>
    <row r="2" spans="1:8" x14ac:dyDescent="0.3">
      <c r="A2" s="284" t="str">
        <f>common!$H$2</f>
        <v>UT : PUDUCHERRY</v>
      </c>
      <c r="B2" s="284" t="str">
        <f>common!$H$2</f>
        <v>UT : PUDUCHERRY</v>
      </c>
      <c r="C2" s="284" t="str">
        <f>common!$H$2</f>
        <v>UT : PUDUCHERRY</v>
      </c>
      <c r="D2" s="284" t="str">
        <f>common!$H$2</f>
        <v>UT : PUDUCHERRY</v>
      </c>
      <c r="E2" s="284" t="str">
        <f>common!$H$2</f>
        <v>UT : PUDUCHERRY</v>
      </c>
      <c r="F2" s="284" t="str">
        <f>common!$H$2</f>
        <v>UT : PUDUCHERRY</v>
      </c>
      <c r="G2" s="285" t="str">
        <f>'[3]Annex-8'!$G$3</f>
        <v>ANNEX-VIII</v>
      </c>
      <c r="H2" s="285"/>
    </row>
    <row r="3" spans="1:8" x14ac:dyDescent="0.3">
      <c r="A3" s="251" t="str">
        <f>'[3]Annex-8'!$A$4</f>
        <v>IMPACT OF DISCREPANCIES IN RECORDING AREA UNDER CROPS DURING 0 AND 0.</v>
      </c>
      <c r="B3" s="251"/>
      <c r="C3" s="251"/>
      <c r="D3" s="251"/>
      <c r="E3" s="251"/>
      <c r="F3" s="251"/>
      <c r="G3" s="251"/>
      <c r="H3" s="251"/>
    </row>
    <row r="4" spans="1:8" ht="29.4" customHeight="1" x14ac:dyDescent="0.3">
      <c r="A4" s="250" t="s">
        <v>280</v>
      </c>
      <c r="B4" s="255" t="s">
        <v>261</v>
      </c>
      <c r="C4" s="255"/>
      <c r="D4" s="255"/>
      <c r="E4" s="255"/>
      <c r="F4" s="255"/>
      <c r="G4" s="255"/>
      <c r="H4" s="255"/>
    </row>
    <row r="5" spans="1:8" ht="29.4" customHeight="1" x14ac:dyDescent="0.3">
      <c r="A5" s="250"/>
      <c r="B5" s="255" t="s">
        <v>262</v>
      </c>
      <c r="C5" s="255"/>
      <c r="D5" s="255" t="s">
        <v>263</v>
      </c>
      <c r="E5" s="255"/>
      <c r="F5" s="255" t="s">
        <v>264</v>
      </c>
      <c r="G5" s="255"/>
      <c r="H5" s="252" t="s">
        <v>298</v>
      </c>
    </row>
    <row r="6" spans="1:8" ht="49.5" customHeight="1" x14ac:dyDescent="0.3">
      <c r="A6" s="251"/>
      <c r="B6" s="99" t="s">
        <v>258</v>
      </c>
      <c r="C6" s="99" t="s">
        <v>259</v>
      </c>
      <c r="D6" s="99" t="s">
        <v>258</v>
      </c>
      <c r="E6" s="99" t="s">
        <v>259</v>
      </c>
      <c r="F6" s="99" t="s">
        <v>272</v>
      </c>
      <c r="G6" s="99" t="s">
        <v>273</v>
      </c>
      <c r="H6" s="253"/>
    </row>
    <row r="7" spans="1:8" x14ac:dyDescent="0.3">
      <c r="A7" s="100" t="str">
        <f>'[3]Annex-8'!A$8</f>
        <v>(1)</v>
      </c>
      <c r="B7" s="100" t="str">
        <f>'[3]Annex-8'!B$8</f>
        <v>(2)</v>
      </c>
      <c r="C7" s="100" t="str">
        <f>'[3]Annex-8'!C$8</f>
        <v>(3)</v>
      </c>
      <c r="D7" s="100" t="str">
        <f>'[3]Annex-8'!D$8</f>
        <v>(4)</v>
      </c>
      <c r="E7" s="100" t="str">
        <f>'[3]Annex-8'!E$8</f>
        <v>(5)</v>
      </c>
      <c r="F7" s="100" t="str">
        <f>'[3]Annex-8'!F$8</f>
        <v>(6)</v>
      </c>
      <c r="G7" s="100" t="str">
        <f>'[3]Annex-8'!G$8</f>
        <v>(7)</v>
      </c>
      <c r="H7" s="100" t="str">
        <f>'[3]Annex-8'!I$8</f>
        <v>(8)</v>
      </c>
    </row>
    <row r="8" spans="1:8" ht="21.6" customHeight="1" x14ac:dyDescent="0.3">
      <c r="A8" s="98" t="str">
        <f>common!$H$4</f>
        <v>RABI I 2024-25</v>
      </c>
      <c r="B8" s="78"/>
      <c r="C8" s="78"/>
      <c r="D8" s="78"/>
      <c r="E8" s="78"/>
      <c r="F8" s="78"/>
      <c r="G8" s="78"/>
      <c r="H8" s="78"/>
    </row>
    <row r="9" spans="1:8" ht="21.6" customHeight="1" x14ac:dyDescent="0.3">
      <c r="A9" s="112" t="str">
        <f>IF([4]Crops!$A7="","",[4]Crops!$A7)</f>
        <v>PADDY</v>
      </c>
      <c r="B9" s="116" t="str">
        <f>IF(INT('[3]Annex-8'!B10)='[3]Annex-8'!B10,'[3]Annex-8'!B10&amp;".00  ",IF(INT('[3]Annex-8'!B10*10)='[3]Annex-8'!B10*10,'[3]Annex-8'!B10&amp;"0  ",ROUND('[3]Annex-8'!B10,2)&amp;"  "))</f>
        <v xml:space="preserve">4.46  </v>
      </c>
      <c r="C9" s="116" t="str">
        <f>IF(INT('[3]Annex-8'!C10)='[3]Annex-8'!C10,'[3]Annex-8'!C10&amp;".00  ",IF(INT('[3]Annex-8'!C10*10)='[3]Annex-8'!C10*10,'[3]Annex-8'!C10&amp;"0  ",ROUND('[3]Annex-8'!C10,2)&amp;"  "))</f>
        <v xml:space="preserve">4.59  </v>
      </c>
      <c r="D9" s="116" t="str">
        <f>IF(INT('[3]Annex-8'!D10)='[3]Annex-8'!D10,'[3]Annex-8'!D10&amp;".00  ",IF(INT('[3]Annex-8'!D10*10)='[3]Annex-8'!D10*10,'[3]Annex-8'!D10&amp;"0  ",ROUND('[3]Annex-8'!D10,2)&amp;"  "))</f>
        <v xml:space="preserve">15.62  </v>
      </c>
      <c r="E9" s="116" t="str">
        <f>IF(INT('[3]Annex-8'!E10)='[3]Annex-8'!E10,'[3]Annex-8'!E10&amp;".00  ",IF(INT('[3]Annex-8'!E10*10)='[3]Annex-8'!E10*10,'[3]Annex-8'!E10&amp;"0  ",ROUND('[3]Annex-8'!E10,2)&amp;"  "))</f>
        <v xml:space="preserve">15.51  </v>
      </c>
      <c r="F9" s="116" t="str">
        <f>IF(INT('[3]Annex-8'!F10)='[3]Annex-8'!F10,'[3]Annex-8'!F10&amp;".00  ",IF(INT('[3]Annex-8'!F10*10)='[3]Annex-8'!F10*10,'[3]Annex-8'!F10&amp;"0  ",ROUND('[3]Annex-8'!F10,2)&amp;"  "))</f>
        <v xml:space="preserve">20.08  </v>
      </c>
      <c r="G9" s="116" t="str">
        <f>IF(INT('[3]Annex-8'!G10)='[3]Annex-8'!G10,'[3]Annex-8'!G10&amp;".00  ",IF(INT('[3]Annex-8'!G10*10)='[3]Annex-8'!G10*10,'[3]Annex-8'!G10&amp;"0  ",ROUND('[3]Annex-8'!G10,2)&amp;"  "))</f>
        <v xml:space="preserve">20.1  </v>
      </c>
      <c r="H9" s="116" t="str">
        <f>IF('[3]Annex-8'!H10&lt;0,"(-)"&amp;FIXED(ABS('[3]Annex-8'!H10),2)&amp;"    ",FIXED('[3]Annex-8'!H10,2)&amp;"    ")</f>
        <v xml:space="preserve">0.10    </v>
      </c>
    </row>
    <row r="10" spans="1:8" ht="21.6" customHeight="1" x14ac:dyDescent="0.3">
      <c r="A10" s="112" t="str">
        <f>IF([4]Crops!$A8="","",[4]Crops!$A8)</f>
        <v>OTHERS</v>
      </c>
      <c r="B10" s="116" t="str">
        <f>IF(INT('[3]Annex-8'!B11)='[3]Annex-8'!B11,'[3]Annex-8'!B11&amp;".00  ",IF(INT('[3]Annex-8'!B11*10)='[3]Annex-8'!B11*10,'[3]Annex-8'!B11&amp;"0  ",ROUND('[3]Annex-8'!B11,2)&amp;"  "))</f>
        <v xml:space="preserve">1.73  </v>
      </c>
      <c r="C10" s="116" t="str">
        <f>IF(INT('[3]Annex-8'!C11)='[3]Annex-8'!C11,'[3]Annex-8'!C11&amp;".00  ",IF(INT('[3]Annex-8'!C11*10)='[3]Annex-8'!C11*10,'[3]Annex-8'!C11&amp;"0  ",ROUND('[3]Annex-8'!C11,2)&amp;"  "))</f>
        <v xml:space="preserve">2.59  </v>
      </c>
      <c r="D10" s="116" t="str">
        <f>IF(INT('[3]Annex-8'!D11)='[3]Annex-8'!D11,'[3]Annex-8'!D11&amp;".00  ",IF(INT('[3]Annex-8'!D11*10)='[3]Annex-8'!D11*10,'[3]Annex-8'!D11&amp;"0  ",ROUND('[3]Annex-8'!D11,2)&amp;"  "))</f>
        <v xml:space="preserve">5.89  </v>
      </c>
      <c r="E10" s="116" t="str">
        <f>IF(INT('[3]Annex-8'!E11)='[3]Annex-8'!E11,'[3]Annex-8'!E11&amp;".00  ",IF(INT('[3]Annex-8'!E11*10)='[3]Annex-8'!E11*10,'[3]Annex-8'!E11&amp;"0  ",ROUND('[3]Annex-8'!E11,2)&amp;"  "))</f>
        <v xml:space="preserve">5.99  </v>
      </c>
      <c r="F10" s="116" t="str">
        <f>IF(INT('[3]Annex-8'!F11)='[3]Annex-8'!F11,'[3]Annex-8'!F11&amp;".00  ",IF(INT('[3]Annex-8'!F11*10)='[3]Annex-8'!F11*10,'[3]Annex-8'!F11&amp;"0  ",ROUND('[3]Annex-8'!F11,2)&amp;"  "))</f>
        <v xml:space="preserve">7.62  </v>
      </c>
      <c r="G10" s="116" t="str">
        <f>IF(INT('[3]Annex-8'!G11)='[3]Annex-8'!G11,'[3]Annex-8'!G11&amp;".00  ",IF(INT('[3]Annex-8'!G11*10)='[3]Annex-8'!G11*10,'[3]Annex-8'!G11&amp;"0  ",ROUND('[3]Annex-8'!G11,2)&amp;"  "))</f>
        <v xml:space="preserve">8.58  </v>
      </c>
      <c r="H10" s="116" t="str">
        <f>IF('[3]Annex-8'!H11&lt;0,"(-)"&amp;FIXED(ABS('[3]Annex-8'!H11),2)&amp;"    ",FIXED('[3]Annex-8'!H11,2)&amp;"    ")</f>
        <v xml:space="preserve">12.70    </v>
      </c>
    </row>
    <row r="11" spans="1:8" hidden="1" x14ac:dyDescent="0.3">
      <c r="A11" s="112" t="str">
        <f>IF([4]Crops!$A9="","",[4]Crops!$A9)</f>
        <v/>
      </c>
      <c r="B11" s="116" t="e">
        <f>IF(INT('[3]Annex-8'!B12)='[3]Annex-8'!B12,'[3]Annex-8'!B12&amp;".00  ",IF(INT('[3]Annex-8'!B12*10)='[3]Annex-8'!B12*10,'[3]Annex-8'!B12&amp;"0  ",ROUND('[3]Annex-8'!B12,2)&amp;"  "))</f>
        <v>#VALUE!</v>
      </c>
      <c r="C11" s="116" t="e">
        <f>IF(INT('[3]Annex-8'!C12)='[3]Annex-8'!C12,'[3]Annex-8'!C12&amp;".00  ",IF(INT('[3]Annex-8'!C12*10)='[3]Annex-8'!C12*10,'[3]Annex-8'!C12&amp;"0  ",ROUND('[3]Annex-8'!C12,2)&amp;"  "))</f>
        <v>#VALUE!</v>
      </c>
      <c r="D11" s="116" t="e">
        <f>IF(INT('[3]Annex-8'!D12)='[3]Annex-8'!D12,'[3]Annex-8'!D12&amp;".00  ",IF(INT('[3]Annex-8'!D12*10)='[3]Annex-8'!D12*10,'[3]Annex-8'!D12&amp;"0  ",ROUND('[3]Annex-8'!D12,2)&amp;"  "))</f>
        <v>#VALUE!</v>
      </c>
      <c r="E11" s="116" t="e">
        <f>IF(INT('[3]Annex-8'!E12)='[3]Annex-8'!E12,'[3]Annex-8'!E12&amp;".00  ",IF(INT('[3]Annex-8'!E12*10)='[3]Annex-8'!E12*10,'[3]Annex-8'!E12&amp;"0  ",ROUND('[3]Annex-8'!E12,2)&amp;"  "))</f>
        <v>#VALUE!</v>
      </c>
      <c r="F11" s="116" t="e">
        <f>IF(INT('[3]Annex-8'!F12)='[3]Annex-8'!F12,'[3]Annex-8'!F12&amp;".00  ",IF(INT('[3]Annex-8'!F12*10)='[3]Annex-8'!F12*10,'[3]Annex-8'!F12&amp;"0  ",ROUND('[3]Annex-8'!F12,2)&amp;"  "))</f>
        <v>#VALUE!</v>
      </c>
      <c r="G11" s="116" t="e">
        <f>IF(INT('[3]Annex-8'!G12)='[3]Annex-8'!G12,'[3]Annex-8'!G12&amp;".00  ",IF(INT('[3]Annex-8'!G12*10)='[3]Annex-8'!G12*10,'[3]Annex-8'!G12&amp;"0  ",ROUND('[3]Annex-8'!G12,2)&amp;"  "))</f>
        <v>#VALUE!</v>
      </c>
      <c r="H11" s="116" t="e">
        <f>IF('[3]Annex-8'!H12&lt;0,"(-)"&amp;FIXED(ABS('[3]Annex-8'!H12),2)&amp;"    ",FIXED('[3]Annex-8'!H12,2)&amp;"    ")</f>
        <v>#VALUE!</v>
      </c>
    </row>
    <row r="12" spans="1:8" hidden="1" x14ac:dyDescent="0.3">
      <c r="A12" s="112" t="str">
        <f>IF([4]Crops!$A10="","",[4]Crops!$A10)</f>
        <v/>
      </c>
      <c r="B12" s="116" t="e">
        <f>IF(INT('[3]Annex-8'!B13)='[3]Annex-8'!B13,'[3]Annex-8'!B13&amp;".00  ",IF(INT('[3]Annex-8'!B13*10)='[3]Annex-8'!B13*10,'[3]Annex-8'!B13&amp;"0  ",ROUND('[3]Annex-8'!B13,2)&amp;"  "))</f>
        <v>#VALUE!</v>
      </c>
      <c r="C12" s="116" t="e">
        <f>IF(INT('[3]Annex-8'!C13)='[3]Annex-8'!C13,'[3]Annex-8'!C13&amp;".00  ",IF(INT('[3]Annex-8'!C13*10)='[3]Annex-8'!C13*10,'[3]Annex-8'!C13&amp;"0  ",ROUND('[3]Annex-8'!C13,2)&amp;"  "))</f>
        <v>#VALUE!</v>
      </c>
      <c r="D12" s="116" t="e">
        <f>IF(INT('[3]Annex-8'!D13)='[3]Annex-8'!D13,'[3]Annex-8'!D13&amp;".00  ",IF(INT('[3]Annex-8'!D13*10)='[3]Annex-8'!D13*10,'[3]Annex-8'!D13&amp;"0  ",ROUND('[3]Annex-8'!D13,2)&amp;"  "))</f>
        <v>#VALUE!</v>
      </c>
      <c r="E12" s="116" t="e">
        <f>IF(INT('[3]Annex-8'!E13)='[3]Annex-8'!E13,'[3]Annex-8'!E13&amp;".00  ",IF(INT('[3]Annex-8'!E13*10)='[3]Annex-8'!E13*10,'[3]Annex-8'!E13&amp;"0  ",ROUND('[3]Annex-8'!E13,2)&amp;"  "))</f>
        <v>#VALUE!</v>
      </c>
      <c r="F12" s="116" t="e">
        <f>IF(INT('[3]Annex-8'!F13)='[3]Annex-8'!F13,'[3]Annex-8'!F13&amp;".00  ",IF(INT('[3]Annex-8'!F13*10)='[3]Annex-8'!F13*10,'[3]Annex-8'!F13&amp;"0  ",ROUND('[3]Annex-8'!F13,2)&amp;"  "))</f>
        <v>#VALUE!</v>
      </c>
      <c r="G12" s="116" t="e">
        <f>IF(INT('[3]Annex-8'!G13)='[3]Annex-8'!G13,'[3]Annex-8'!G13&amp;".00  ",IF(INT('[3]Annex-8'!G13*10)='[3]Annex-8'!G13*10,'[3]Annex-8'!G13&amp;"0  ",ROUND('[3]Annex-8'!G13,2)&amp;"  "))</f>
        <v>#VALUE!</v>
      </c>
      <c r="H12" s="116" t="e">
        <f>IF('[3]Annex-8'!H13&lt;0,"(-)"&amp;FIXED(ABS('[3]Annex-8'!H13),2)&amp;"    ",FIXED('[3]Annex-8'!H13,2)&amp;"    ")</f>
        <v>#VALUE!</v>
      </c>
    </row>
    <row r="13" spans="1:8" hidden="1" x14ac:dyDescent="0.3">
      <c r="A13" s="112" t="str">
        <f>IF([4]Crops!$A11="","",[4]Crops!$A11)</f>
        <v/>
      </c>
      <c r="B13" s="116" t="e">
        <f>IF(INT('[3]Annex-8'!B14)='[3]Annex-8'!B14,'[3]Annex-8'!B14&amp;".00  ",IF(INT('[3]Annex-8'!B14*10)='[3]Annex-8'!B14*10,'[3]Annex-8'!B14&amp;"0  ",ROUND('[3]Annex-8'!B14,2)&amp;"  "))</f>
        <v>#VALUE!</v>
      </c>
      <c r="C13" s="116" t="e">
        <f>IF(INT('[3]Annex-8'!C14)='[3]Annex-8'!C14,'[3]Annex-8'!C14&amp;".00  ",IF(INT('[3]Annex-8'!C14*10)='[3]Annex-8'!C14*10,'[3]Annex-8'!C14&amp;"0  ",ROUND('[3]Annex-8'!C14,2)&amp;"  "))</f>
        <v>#VALUE!</v>
      </c>
      <c r="D13" s="116" t="e">
        <f>IF(INT('[3]Annex-8'!D14)='[3]Annex-8'!D14,'[3]Annex-8'!D14&amp;".00  ",IF(INT('[3]Annex-8'!D14*10)='[3]Annex-8'!D14*10,'[3]Annex-8'!D14&amp;"0  ",ROUND('[3]Annex-8'!D14,2)&amp;"  "))</f>
        <v>#VALUE!</v>
      </c>
      <c r="E13" s="116" t="e">
        <f>IF(INT('[3]Annex-8'!E14)='[3]Annex-8'!E14,'[3]Annex-8'!E14&amp;".00  ",IF(INT('[3]Annex-8'!E14*10)='[3]Annex-8'!E14*10,'[3]Annex-8'!E14&amp;"0  ",ROUND('[3]Annex-8'!E14,2)&amp;"  "))</f>
        <v>#VALUE!</v>
      </c>
      <c r="F13" s="116" t="e">
        <f>IF(INT('[3]Annex-8'!F14)='[3]Annex-8'!F14,'[3]Annex-8'!F14&amp;".00  ",IF(INT('[3]Annex-8'!F14*10)='[3]Annex-8'!F14*10,'[3]Annex-8'!F14&amp;"0  ",ROUND('[3]Annex-8'!F14,2)&amp;"  "))</f>
        <v>#VALUE!</v>
      </c>
      <c r="G13" s="116" t="e">
        <f>IF(INT('[3]Annex-8'!G14)='[3]Annex-8'!G14,'[3]Annex-8'!G14&amp;".00  ",IF(INT('[3]Annex-8'!G14*10)='[3]Annex-8'!G14*10,'[3]Annex-8'!G14&amp;"0  ",ROUND('[3]Annex-8'!G14,2)&amp;"  "))</f>
        <v>#VALUE!</v>
      </c>
      <c r="H13" s="116" t="e">
        <f>IF('[3]Annex-8'!H14&lt;0,"(-)"&amp;FIXED(ABS('[3]Annex-8'!H14),2)&amp;"    ",FIXED('[3]Annex-8'!H14,2)&amp;"    ")</f>
        <v>#VALUE!</v>
      </c>
    </row>
    <row r="14" spans="1:8" hidden="1" x14ac:dyDescent="0.3">
      <c r="A14" s="112" t="str">
        <f>IF([4]Crops!$A12="","",[4]Crops!$A12)</f>
        <v/>
      </c>
      <c r="B14" s="116" t="e">
        <f>IF(INT('[3]Annex-8'!B15)='[3]Annex-8'!B15,'[3]Annex-8'!B15&amp;".00  ",IF(INT('[3]Annex-8'!B15*10)='[3]Annex-8'!B15*10,'[3]Annex-8'!B15&amp;"0  ",ROUND('[3]Annex-8'!B15,2)&amp;"  "))</f>
        <v>#VALUE!</v>
      </c>
      <c r="C14" s="116" t="e">
        <f>IF(INT('[3]Annex-8'!C15)='[3]Annex-8'!C15,'[3]Annex-8'!C15&amp;".00  ",IF(INT('[3]Annex-8'!C15*10)='[3]Annex-8'!C15*10,'[3]Annex-8'!C15&amp;"0  ",ROUND('[3]Annex-8'!C15,2)&amp;"  "))</f>
        <v>#VALUE!</v>
      </c>
      <c r="D14" s="116" t="e">
        <f>IF(INT('[3]Annex-8'!D15)='[3]Annex-8'!D15,'[3]Annex-8'!D15&amp;".00  ",IF(INT('[3]Annex-8'!D15*10)='[3]Annex-8'!D15*10,'[3]Annex-8'!D15&amp;"0  ",ROUND('[3]Annex-8'!D15,2)&amp;"  "))</f>
        <v>#VALUE!</v>
      </c>
      <c r="E14" s="116" t="e">
        <f>IF(INT('[3]Annex-8'!E15)='[3]Annex-8'!E15,'[3]Annex-8'!E15&amp;".00  ",IF(INT('[3]Annex-8'!E15*10)='[3]Annex-8'!E15*10,'[3]Annex-8'!E15&amp;"0  ",ROUND('[3]Annex-8'!E15,2)&amp;"  "))</f>
        <v>#VALUE!</v>
      </c>
      <c r="F14" s="116" t="e">
        <f>IF(INT('[3]Annex-8'!F15)='[3]Annex-8'!F15,'[3]Annex-8'!F15&amp;".00  ",IF(INT('[3]Annex-8'!F15*10)='[3]Annex-8'!F15*10,'[3]Annex-8'!F15&amp;"0  ",ROUND('[3]Annex-8'!F15,2)&amp;"  "))</f>
        <v>#VALUE!</v>
      </c>
      <c r="G14" s="116" t="e">
        <f>IF(INT('[3]Annex-8'!G15)='[3]Annex-8'!G15,'[3]Annex-8'!G15&amp;".00  ",IF(INT('[3]Annex-8'!G15*10)='[3]Annex-8'!G15*10,'[3]Annex-8'!G15&amp;"0  ",ROUND('[3]Annex-8'!G15,2)&amp;"  "))</f>
        <v>#VALUE!</v>
      </c>
      <c r="H14" s="116" t="e">
        <f>IF('[3]Annex-8'!H15&lt;0,"(-)"&amp;FIXED(ABS('[3]Annex-8'!H15),2)&amp;"    ",FIXED('[3]Annex-8'!H15,2)&amp;"    ")</f>
        <v>#VALUE!</v>
      </c>
    </row>
    <row r="15" spans="1:8" hidden="1" x14ac:dyDescent="0.3">
      <c r="A15" s="112" t="str">
        <f>IF([4]Crops!$A13="","",[4]Crops!$A13)</f>
        <v/>
      </c>
      <c r="B15" s="116" t="e">
        <f>IF(INT('[3]Annex-8'!B16)='[3]Annex-8'!B16,'[3]Annex-8'!B16&amp;".00  ",IF(INT('[3]Annex-8'!B16*10)='[3]Annex-8'!B16*10,'[3]Annex-8'!B16&amp;"0  ",ROUND('[3]Annex-8'!B16,2)&amp;"  "))</f>
        <v>#VALUE!</v>
      </c>
      <c r="C15" s="116" t="e">
        <f>IF(INT('[3]Annex-8'!C16)='[3]Annex-8'!C16,'[3]Annex-8'!C16&amp;".00  ",IF(INT('[3]Annex-8'!C16*10)='[3]Annex-8'!C16*10,'[3]Annex-8'!C16&amp;"0  ",ROUND('[3]Annex-8'!C16,2)&amp;"  "))</f>
        <v>#VALUE!</v>
      </c>
      <c r="D15" s="116" t="e">
        <f>IF(INT('[3]Annex-8'!D16)='[3]Annex-8'!D16,'[3]Annex-8'!D16&amp;".00  ",IF(INT('[3]Annex-8'!D16*10)='[3]Annex-8'!D16*10,'[3]Annex-8'!D16&amp;"0  ",ROUND('[3]Annex-8'!D16,2)&amp;"  "))</f>
        <v>#VALUE!</v>
      </c>
      <c r="E15" s="116" t="e">
        <f>IF(INT('[3]Annex-8'!E16)='[3]Annex-8'!E16,'[3]Annex-8'!E16&amp;".00  ",IF(INT('[3]Annex-8'!E16*10)='[3]Annex-8'!E16*10,'[3]Annex-8'!E16&amp;"0  ",ROUND('[3]Annex-8'!E16,2)&amp;"  "))</f>
        <v>#VALUE!</v>
      </c>
      <c r="F15" s="116" t="e">
        <f>IF(INT('[3]Annex-8'!F16)='[3]Annex-8'!F16,'[3]Annex-8'!F16&amp;".00  ",IF(INT('[3]Annex-8'!F16*10)='[3]Annex-8'!F16*10,'[3]Annex-8'!F16&amp;"0  ",ROUND('[3]Annex-8'!F16,2)&amp;"  "))</f>
        <v>#VALUE!</v>
      </c>
      <c r="G15" s="116" t="e">
        <f>IF(INT('[3]Annex-8'!G16)='[3]Annex-8'!G16,'[3]Annex-8'!G16&amp;".00  ",IF(INT('[3]Annex-8'!G16*10)='[3]Annex-8'!G16*10,'[3]Annex-8'!G16&amp;"0  ",ROUND('[3]Annex-8'!G16,2)&amp;"  "))</f>
        <v>#VALUE!</v>
      </c>
      <c r="H15" s="116" t="e">
        <f>IF('[3]Annex-8'!H16&lt;0,"(-)"&amp;FIXED(ABS('[3]Annex-8'!H16),2)&amp;"    ",FIXED('[3]Annex-8'!H16,2)&amp;"    ")</f>
        <v>#VALUE!</v>
      </c>
    </row>
    <row r="16" spans="1:8" hidden="1" x14ac:dyDescent="0.3">
      <c r="A16" s="112" t="str">
        <f>IF([4]Crops!$A14="","",[4]Crops!$A14)</f>
        <v/>
      </c>
      <c r="B16" s="116" t="e">
        <f>IF(INT('[3]Annex-8'!B17)='[3]Annex-8'!B17,'[3]Annex-8'!B17&amp;".00  ",IF(INT('[3]Annex-8'!B17*10)='[3]Annex-8'!B17*10,'[3]Annex-8'!B17&amp;"0  ",ROUND('[3]Annex-8'!B17,2)&amp;"  "))</f>
        <v>#VALUE!</v>
      </c>
      <c r="C16" s="116" t="e">
        <f>IF(INT('[3]Annex-8'!C17)='[3]Annex-8'!C17,'[3]Annex-8'!C17&amp;".00  ",IF(INT('[3]Annex-8'!C17*10)='[3]Annex-8'!C17*10,'[3]Annex-8'!C17&amp;"0  ",ROUND('[3]Annex-8'!C17,2)&amp;"  "))</f>
        <v>#VALUE!</v>
      </c>
      <c r="D16" s="116" t="e">
        <f>IF(INT('[3]Annex-8'!D17)='[3]Annex-8'!D17,'[3]Annex-8'!D17&amp;".00  ",IF(INT('[3]Annex-8'!D17*10)='[3]Annex-8'!D17*10,'[3]Annex-8'!D17&amp;"0  ",ROUND('[3]Annex-8'!D17,2)&amp;"  "))</f>
        <v>#VALUE!</v>
      </c>
      <c r="E16" s="116" t="e">
        <f>IF(INT('[3]Annex-8'!E17)='[3]Annex-8'!E17,'[3]Annex-8'!E17&amp;".00  ",IF(INT('[3]Annex-8'!E17*10)='[3]Annex-8'!E17*10,'[3]Annex-8'!E17&amp;"0  ",ROUND('[3]Annex-8'!E17,2)&amp;"  "))</f>
        <v>#VALUE!</v>
      </c>
      <c r="F16" s="116" t="e">
        <f>IF(INT('[3]Annex-8'!F17)='[3]Annex-8'!F17,'[3]Annex-8'!F17&amp;".00  ",IF(INT('[3]Annex-8'!F17*10)='[3]Annex-8'!F17*10,'[3]Annex-8'!F17&amp;"0  ",ROUND('[3]Annex-8'!F17,2)&amp;"  "))</f>
        <v>#VALUE!</v>
      </c>
      <c r="G16" s="116" t="e">
        <f>IF(INT('[3]Annex-8'!G17)='[3]Annex-8'!G17,'[3]Annex-8'!G17&amp;".00  ",IF(INT('[3]Annex-8'!G17*10)='[3]Annex-8'!G17*10,'[3]Annex-8'!G17&amp;"0  ",ROUND('[3]Annex-8'!G17,2)&amp;"  "))</f>
        <v>#VALUE!</v>
      </c>
      <c r="H16" s="116" t="e">
        <f>IF('[3]Annex-8'!H17&lt;0,"(-)"&amp;FIXED(ABS('[3]Annex-8'!H17),2)&amp;"    ",FIXED('[3]Annex-8'!H17,2)&amp;"    ")</f>
        <v>#VALUE!</v>
      </c>
    </row>
    <row r="17" spans="1:8" hidden="1" x14ac:dyDescent="0.3">
      <c r="A17" s="112" t="str">
        <f>IF([4]Crops!$A15="","",[4]Crops!$A15)</f>
        <v/>
      </c>
      <c r="B17" s="116" t="e">
        <f>IF(INT('[3]Annex-8'!B18)='[3]Annex-8'!B18,'[3]Annex-8'!B18&amp;".00  ",IF(INT('[3]Annex-8'!B18*10)='[3]Annex-8'!B18*10,'[3]Annex-8'!B18&amp;"0  ",ROUND('[3]Annex-8'!B18,2)&amp;"  "))</f>
        <v>#VALUE!</v>
      </c>
      <c r="C17" s="116" t="e">
        <f>IF(INT('[3]Annex-8'!C18)='[3]Annex-8'!C18,'[3]Annex-8'!C18&amp;".00  ",IF(INT('[3]Annex-8'!C18*10)='[3]Annex-8'!C18*10,'[3]Annex-8'!C18&amp;"0  ",ROUND('[3]Annex-8'!C18,2)&amp;"  "))</f>
        <v>#VALUE!</v>
      </c>
      <c r="D17" s="116" t="e">
        <f>IF(INT('[3]Annex-8'!D18)='[3]Annex-8'!D18,'[3]Annex-8'!D18&amp;".00  ",IF(INT('[3]Annex-8'!D18*10)='[3]Annex-8'!D18*10,'[3]Annex-8'!D18&amp;"0  ",ROUND('[3]Annex-8'!D18,2)&amp;"  "))</f>
        <v>#VALUE!</v>
      </c>
      <c r="E17" s="116" t="e">
        <f>IF(INT('[3]Annex-8'!E18)='[3]Annex-8'!E18,'[3]Annex-8'!E18&amp;".00  ",IF(INT('[3]Annex-8'!E18*10)='[3]Annex-8'!E18*10,'[3]Annex-8'!E18&amp;"0  ",ROUND('[3]Annex-8'!E18,2)&amp;"  "))</f>
        <v>#VALUE!</v>
      </c>
      <c r="F17" s="116" t="e">
        <f>IF(INT('[3]Annex-8'!F18)='[3]Annex-8'!F18,'[3]Annex-8'!F18&amp;".00  ",IF(INT('[3]Annex-8'!F18*10)='[3]Annex-8'!F18*10,'[3]Annex-8'!F18&amp;"0  ",ROUND('[3]Annex-8'!F18,2)&amp;"  "))</f>
        <v>#VALUE!</v>
      </c>
      <c r="G17" s="116" t="e">
        <f>IF(INT('[3]Annex-8'!G18)='[3]Annex-8'!G18,'[3]Annex-8'!G18&amp;".00  ",IF(INT('[3]Annex-8'!G18*10)='[3]Annex-8'!G18*10,'[3]Annex-8'!G18&amp;"0  ",ROUND('[3]Annex-8'!G18,2)&amp;"  "))</f>
        <v>#VALUE!</v>
      </c>
      <c r="H17" s="116" t="e">
        <f>IF('[3]Annex-8'!H18&lt;0,"(-)"&amp;FIXED(ABS('[3]Annex-8'!H18),2)&amp;"    ",FIXED('[3]Annex-8'!H18,2)&amp;"    ")</f>
        <v>#VALUE!</v>
      </c>
    </row>
    <row r="18" spans="1:8" hidden="1" x14ac:dyDescent="0.3">
      <c r="A18" s="111" t="str">
        <f>IF([4]Crops!$A16="","",[4]Crops!$A16)</f>
        <v/>
      </c>
      <c r="B18" s="117" t="e">
        <f>IF(INT('[3]Annex-8'!B19)='[3]Annex-8'!B19,'[3]Annex-8'!B19&amp;".00  ",IF(INT('[3]Annex-8'!B19*10)='[3]Annex-8'!B19*10,'[3]Annex-8'!B19&amp;"0  ",ROUND('[3]Annex-8'!B19,2)&amp;"  "))</f>
        <v>#VALUE!</v>
      </c>
      <c r="C18" s="117" t="e">
        <f>IF(INT('[3]Annex-8'!C19)='[3]Annex-8'!C19,'[3]Annex-8'!C19&amp;".00  ",IF(INT('[3]Annex-8'!C19*10)='[3]Annex-8'!C19*10,'[3]Annex-8'!C19&amp;"0  ",ROUND('[3]Annex-8'!C19,2)&amp;"  "))</f>
        <v>#VALUE!</v>
      </c>
      <c r="D18" s="117" t="e">
        <f>IF(INT('[3]Annex-8'!D19)='[3]Annex-8'!D19,'[3]Annex-8'!D19&amp;".00  ",IF(INT('[3]Annex-8'!D19*10)='[3]Annex-8'!D19*10,'[3]Annex-8'!D19&amp;"0  ",ROUND('[3]Annex-8'!D19,2)&amp;"  "))</f>
        <v>#VALUE!</v>
      </c>
      <c r="E18" s="117" t="e">
        <f>IF(INT('[3]Annex-8'!E19)='[3]Annex-8'!E19,'[3]Annex-8'!E19&amp;".00  ",IF(INT('[3]Annex-8'!E19*10)='[3]Annex-8'!E19*10,'[3]Annex-8'!E19&amp;"0  ",ROUND('[3]Annex-8'!E19,2)&amp;"  "))</f>
        <v>#VALUE!</v>
      </c>
      <c r="F18" s="117" t="e">
        <f>IF(INT('[3]Annex-8'!F19)='[3]Annex-8'!F19,'[3]Annex-8'!F19&amp;".00  ",IF(INT('[3]Annex-8'!F19*10)='[3]Annex-8'!F19*10,'[3]Annex-8'!F19&amp;"0  ",ROUND('[3]Annex-8'!F19,2)&amp;"  "))</f>
        <v>#VALUE!</v>
      </c>
      <c r="G18" s="117" t="e">
        <f>IF(INT('[3]Annex-8'!G19)='[3]Annex-8'!G19,'[3]Annex-8'!G19&amp;".00  ",IF(INT('[3]Annex-8'!G19*10)='[3]Annex-8'!G19*10,'[3]Annex-8'!G19&amp;"0  ",ROUND('[3]Annex-8'!G19,2)&amp;"  "))</f>
        <v>#VALUE!</v>
      </c>
      <c r="H18" s="117" t="e">
        <f>IF('[3]Annex-8'!H19&lt;0,"(-)"&amp;FIXED(ABS('[3]Annex-8'!H19),2)&amp;"    ",FIXED('[3]Annex-8'!H19,2)&amp;"    ")</f>
        <v>#VALUE!</v>
      </c>
    </row>
    <row r="19" spans="1:8" hidden="1" x14ac:dyDescent="0.3">
      <c r="A19" s="112" t="str">
        <f>IF([4]Crops!$A17="","",[4]Crops!$A17)</f>
        <v/>
      </c>
      <c r="B19" s="118" t="e">
        <f>IF(INT('[3]Annex-8'!B20)='[3]Annex-8'!B20,'[3]Annex-8'!B20&amp;".00  ",IF(INT('[3]Annex-8'!B20*10)='[3]Annex-8'!B20*10,'[3]Annex-8'!B20&amp;"0  ",ROUND('[3]Annex-8'!B20,2)&amp;"  "))</f>
        <v>#VALUE!</v>
      </c>
      <c r="C19" s="118" t="e">
        <f>IF(INT('[3]Annex-8'!C20)='[3]Annex-8'!C20,'[3]Annex-8'!C20&amp;".00  ",IF(INT('[3]Annex-8'!C20*10)='[3]Annex-8'!C20*10,'[3]Annex-8'!C20&amp;"0  ",ROUND('[3]Annex-8'!C20,2)&amp;"  "))</f>
        <v>#VALUE!</v>
      </c>
      <c r="D19" s="118" t="e">
        <f>IF(INT('[3]Annex-8'!D20)='[3]Annex-8'!D20,'[3]Annex-8'!D20&amp;".00  ",IF(INT('[3]Annex-8'!D20*10)='[3]Annex-8'!D20*10,'[3]Annex-8'!D20&amp;"0  ",ROUND('[3]Annex-8'!D20,2)&amp;"  "))</f>
        <v>#VALUE!</v>
      </c>
      <c r="E19" s="118" t="e">
        <f>IF(INT('[3]Annex-8'!E20)='[3]Annex-8'!E20,'[3]Annex-8'!E20&amp;".00  ",IF(INT('[3]Annex-8'!E20*10)='[3]Annex-8'!E20*10,'[3]Annex-8'!E20&amp;"0  ",ROUND('[3]Annex-8'!E20,2)&amp;"  "))</f>
        <v>#VALUE!</v>
      </c>
      <c r="F19" s="118" t="e">
        <f>IF(INT('[3]Annex-8'!F20)='[3]Annex-8'!F20,'[3]Annex-8'!F20&amp;".00  ",IF(INT('[3]Annex-8'!F20*10)='[3]Annex-8'!F20*10,'[3]Annex-8'!F20&amp;"0  ",ROUND('[3]Annex-8'!F20,2)&amp;"  "))</f>
        <v>#VALUE!</v>
      </c>
      <c r="G19" s="118" t="e">
        <f>IF(INT('[3]Annex-8'!G20)='[3]Annex-8'!G20,'[3]Annex-8'!G20&amp;".00  ",IF(INT('[3]Annex-8'!G20*10)='[3]Annex-8'!G20*10,'[3]Annex-8'!G20&amp;"0  ",ROUND('[3]Annex-8'!G20,2)&amp;"  "))</f>
        <v>#VALUE!</v>
      </c>
      <c r="H19" s="118" t="e">
        <f>IF('[3]Annex-8'!H20&lt;0,"(-)"&amp;FIXED(ABS('[3]Annex-8'!H20),2)&amp;"    ",FIXED('[3]Annex-8'!H20,2)&amp;"    ")</f>
        <v>#VALUE!</v>
      </c>
    </row>
    <row r="20" spans="1:8" hidden="1" x14ac:dyDescent="0.3">
      <c r="A20" s="112" t="str">
        <f>IF([4]Crops!$A18="","",[4]Crops!$A18)</f>
        <v/>
      </c>
      <c r="B20" s="118" t="e">
        <f>IF(INT('[3]Annex-8'!B21)='[3]Annex-8'!B21,'[3]Annex-8'!B21&amp;".00  ",IF(INT('[3]Annex-8'!B21*10)='[3]Annex-8'!B21*10,'[3]Annex-8'!B21&amp;"0  ",ROUND('[3]Annex-8'!B21,2)&amp;"  "))</f>
        <v>#VALUE!</v>
      </c>
      <c r="C20" s="118" t="e">
        <f>IF(INT('[3]Annex-8'!C21)='[3]Annex-8'!C21,'[3]Annex-8'!C21&amp;".00  ",IF(INT('[3]Annex-8'!C21*10)='[3]Annex-8'!C21*10,'[3]Annex-8'!C21&amp;"0  ",ROUND('[3]Annex-8'!C21,2)&amp;"  "))</f>
        <v>#VALUE!</v>
      </c>
      <c r="D20" s="118" t="e">
        <f>IF(INT('[3]Annex-8'!D21)='[3]Annex-8'!D21,'[3]Annex-8'!D21&amp;".00  ",IF(INT('[3]Annex-8'!D21*10)='[3]Annex-8'!D21*10,'[3]Annex-8'!D21&amp;"0  ",ROUND('[3]Annex-8'!D21,2)&amp;"  "))</f>
        <v>#VALUE!</v>
      </c>
      <c r="E20" s="118" t="e">
        <f>IF(INT('[3]Annex-8'!E21)='[3]Annex-8'!E21,'[3]Annex-8'!E21&amp;".00  ",IF(INT('[3]Annex-8'!E21*10)='[3]Annex-8'!E21*10,'[3]Annex-8'!E21&amp;"0  ",ROUND('[3]Annex-8'!E21,2)&amp;"  "))</f>
        <v>#VALUE!</v>
      </c>
      <c r="F20" s="118" t="e">
        <f>IF(INT('[3]Annex-8'!F21)='[3]Annex-8'!F21,'[3]Annex-8'!F21&amp;".00  ",IF(INT('[3]Annex-8'!F21*10)='[3]Annex-8'!F21*10,'[3]Annex-8'!F21&amp;"0  ",ROUND('[3]Annex-8'!F21,2)&amp;"  "))</f>
        <v>#VALUE!</v>
      </c>
      <c r="G20" s="118" t="e">
        <f>IF(INT('[3]Annex-8'!G21)='[3]Annex-8'!G21,'[3]Annex-8'!G21&amp;".00  ",IF(INT('[3]Annex-8'!G21*10)='[3]Annex-8'!G21*10,'[3]Annex-8'!G21&amp;"0  ",ROUND('[3]Annex-8'!G21,2)&amp;"  "))</f>
        <v>#VALUE!</v>
      </c>
      <c r="H20" s="118" t="e">
        <f>IF('[3]Annex-8'!H21&lt;0,"(-)"&amp;FIXED(ABS('[3]Annex-8'!H21),2)&amp;"    ",FIXED('[3]Annex-8'!H21,2)&amp;"    ")</f>
        <v>#VALUE!</v>
      </c>
    </row>
    <row r="21" spans="1:8" hidden="1" x14ac:dyDescent="0.3">
      <c r="A21" s="112" t="str">
        <f>IF([4]Crops!$A19="","",[4]Crops!$A19)</f>
        <v/>
      </c>
      <c r="B21" s="118" t="e">
        <f>IF(INT('[3]Annex-8'!B22)='[3]Annex-8'!B22,'[3]Annex-8'!B22&amp;".00  ",IF(INT('[3]Annex-8'!B22*10)='[3]Annex-8'!B22*10,'[3]Annex-8'!B22&amp;"0  ",ROUND('[3]Annex-8'!B22,2)&amp;"  "))</f>
        <v>#VALUE!</v>
      </c>
      <c r="C21" s="118" t="e">
        <f>IF(INT('[3]Annex-8'!C22)='[3]Annex-8'!C22,'[3]Annex-8'!C22&amp;".00  ",IF(INT('[3]Annex-8'!C22*10)='[3]Annex-8'!C22*10,'[3]Annex-8'!C22&amp;"0  ",ROUND('[3]Annex-8'!C22,2)&amp;"  "))</f>
        <v>#VALUE!</v>
      </c>
      <c r="D21" s="118" t="e">
        <f>IF(INT('[3]Annex-8'!D22)='[3]Annex-8'!D22,'[3]Annex-8'!D22&amp;".00  ",IF(INT('[3]Annex-8'!D22*10)='[3]Annex-8'!D22*10,'[3]Annex-8'!D22&amp;"0  ",ROUND('[3]Annex-8'!D22,2)&amp;"  "))</f>
        <v>#VALUE!</v>
      </c>
      <c r="E21" s="118" t="e">
        <f>IF(INT('[3]Annex-8'!E22)='[3]Annex-8'!E22,'[3]Annex-8'!E22&amp;".00  ",IF(INT('[3]Annex-8'!E22*10)='[3]Annex-8'!E22*10,'[3]Annex-8'!E22&amp;"0  ",ROUND('[3]Annex-8'!E22,2)&amp;"  "))</f>
        <v>#VALUE!</v>
      </c>
      <c r="F21" s="118" t="e">
        <f>IF(INT('[3]Annex-8'!F22)='[3]Annex-8'!F22,'[3]Annex-8'!F22&amp;".00  ",IF(INT('[3]Annex-8'!F22*10)='[3]Annex-8'!F22*10,'[3]Annex-8'!F22&amp;"0  ",ROUND('[3]Annex-8'!F22,2)&amp;"  "))</f>
        <v>#VALUE!</v>
      </c>
      <c r="G21" s="118" t="e">
        <f>IF(INT('[3]Annex-8'!G22)='[3]Annex-8'!G22,'[3]Annex-8'!G22&amp;".00  ",IF(INT('[3]Annex-8'!G22*10)='[3]Annex-8'!G22*10,'[3]Annex-8'!G22&amp;"0  ",ROUND('[3]Annex-8'!G22,2)&amp;"  "))</f>
        <v>#VALUE!</v>
      </c>
      <c r="H21" s="118" t="e">
        <f>IF('[3]Annex-8'!H22&lt;0,"(-)"&amp;FIXED(ABS('[3]Annex-8'!H22),2)&amp;"    ",FIXED('[3]Annex-8'!H22,2)&amp;"    ")</f>
        <v>#VALUE!</v>
      </c>
    </row>
    <row r="22" spans="1:8" hidden="1" x14ac:dyDescent="0.3">
      <c r="A22" s="112" t="str">
        <f>IF([4]Crops!$A20="","",[4]Crops!$A20)</f>
        <v/>
      </c>
      <c r="B22" s="118" t="e">
        <f>IF(INT('[3]Annex-8'!B23)='[3]Annex-8'!B23,'[3]Annex-8'!B23&amp;".00  ",IF(INT('[3]Annex-8'!B23*10)='[3]Annex-8'!B23*10,'[3]Annex-8'!B23&amp;"0  ",ROUND('[3]Annex-8'!B23,2)&amp;"  "))</f>
        <v>#VALUE!</v>
      </c>
      <c r="C22" s="118" t="e">
        <f>IF(INT('[3]Annex-8'!C23)='[3]Annex-8'!C23,'[3]Annex-8'!C23&amp;".00  ",IF(INT('[3]Annex-8'!C23*10)='[3]Annex-8'!C23*10,'[3]Annex-8'!C23&amp;"0  ",ROUND('[3]Annex-8'!C23,2)&amp;"  "))</f>
        <v>#VALUE!</v>
      </c>
      <c r="D22" s="118" t="e">
        <f>IF(INT('[3]Annex-8'!D23)='[3]Annex-8'!D23,'[3]Annex-8'!D23&amp;".00  ",IF(INT('[3]Annex-8'!D23*10)='[3]Annex-8'!D23*10,'[3]Annex-8'!D23&amp;"0  ",ROUND('[3]Annex-8'!D23,2)&amp;"  "))</f>
        <v>#VALUE!</v>
      </c>
      <c r="E22" s="118" t="e">
        <f>IF(INT('[3]Annex-8'!E23)='[3]Annex-8'!E23,'[3]Annex-8'!E23&amp;".00  ",IF(INT('[3]Annex-8'!E23*10)='[3]Annex-8'!E23*10,'[3]Annex-8'!E23&amp;"0  ",ROUND('[3]Annex-8'!E23,2)&amp;"  "))</f>
        <v>#VALUE!</v>
      </c>
      <c r="F22" s="118" t="e">
        <f>IF(INT('[3]Annex-8'!F23)='[3]Annex-8'!F23,'[3]Annex-8'!F23&amp;".00  ",IF(INT('[3]Annex-8'!F23*10)='[3]Annex-8'!F23*10,'[3]Annex-8'!F23&amp;"0  ",ROUND('[3]Annex-8'!F23,2)&amp;"  "))</f>
        <v>#VALUE!</v>
      </c>
      <c r="G22" s="118" t="e">
        <f>IF(INT('[3]Annex-8'!G23)='[3]Annex-8'!G23,'[3]Annex-8'!G23&amp;".00  ",IF(INT('[3]Annex-8'!G23*10)='[3]Annex-8'!G23*10,'[3]Annex-8'!G23&amp;"0  ",ROUND('[3]Annex-8'!G23,2)&amp;"  "))</f>
        <v>#VALUE!</v>
      </c>
      <c r="H22" s="118" t="e">
        <f>IF('[3]Annex-8'!H23&lt;0,"(-)"&amp;FIXED(ABS('[3]Annex-8'!H23),2)&amp;"    ",FIXED('[3]Annex-8'!H23,2)&amp;"    ")</f>
        <v>#VALUE!</v>
      </c>
    </row>
    <row r="23" spans="1:8" hidden="1" x14ac:dyDescent="0.3">
      <c r="A23" s="119" t="str">
        <f>IF([4]Crops!$A21="","",[4]Crops!$A21)</f>
        <v/>
      </c>
      <c r="B23" s="120" t="e">
        <f>IF(INT('[3]Annex-8'!B24)='[3]Annex-8'!B24,'[3]Annex-8'!B24&amp;".00  ",IF(INT('[3]Annex-8'!B24*10)='[3]Annex-8'!B24*10,'[3]Annex-8'!B24&amp;"0  ",ROUND('[3]Annex-8'!B24,2)&amp;"  "))</f>
        <v>#VALUE!</v>
      </c>
      <c r="C23" s="120" t="e">
        <f>IF(INT('[3]Annex-8'!C24)='[3]Annex-8'!C24,'[3]Annex-8'!C24&amp;".00  ",IF(INT('[3]Annex-8'!C24*10)='[3]Annex-8'!C24*10,'[3]Annex-8'!C24&amp;"0  ",ROUND('[3]Annex-8'!C24,2)&amp;"  "))</f>
        <v>#VALUE!</v>
      </c>
      <c r="D23" s="120" t="e">
        <f>IF(INT('[3]Annex-8'!D24)='[3]Annex-8'!D24,'[3]Annex-8'!D24&amp;".00  ",IF(INT('[3]Annex-8'!D24*10)='[3]Annex-8'!D24*10,'[3]Annex-8'!D24&amp;"0  ",ROUND('[3]Annex-8'!D24,2)&amp;"  "))</f>
        <v>#VALUE!</v>
      </c>
      <c r="E23" s="120" t="e">
        <f>IF(INT('[3]Annex-8'!E24)='[3]Annex-8'!E24,'[3]Annex-8'!E24&amp;".00  ",IF(INT('[3]Annex-8'!E24*10)='[3]Annex-8'!E24*10,'[3]Annex-8'!E24&amp;"0  ",ROUND('[3]Annex-8'!E24,2)&amp;"  "))</f>
        <v>#VALUE!</v>
      </c>
      <c r="F23" s="120" t="e">
        <f>IF(INT('[3]Annex-8'!F24)='[3]Annex-8'!F24,'[3]Annex-8'!F24&amp;".00  ",IF(INT('[3]Annex-8'!F24*10)='[3]Annex-8'!F24*10,'[3]Annex-8'!F24&amp;"0  ",ROUND('[3]Annex-8'!F24,2)&amp;"  "))</f>
        <v>#VALUE!</v>
      </c>
      <c r="G23" s="120" t="e">
        <f>IF(INT('[3]Annex-8'!G24)='[3]Annex-8'!G24,'[3]Annex-8'!G24&amp;".00  ",IF(INT('[3]Annex-8'!G24*10)='[3]Annex-8'!G24*10,'[3]Annex-8'!G24&amp;"0  ",ROUND('[3]Annex-8'!G24,2)&amp;"  "))</f>
        <v>#VALUE!</v>
      </c>
      <c r="H23" s="120" t="e">
        <f>IF('[3]Annex-8'!H24&lt;0,"(-)"&amp;FIXED(ABS('[3]Annex-8'!H24),2)&amp;"    ",FIXED('[3]Annex-8'!H24,2)&amp;"    ")</f>
        <v>#VALUE!</v>
      </c>
    </row>
    <row r="24" spans="1:8" ht="21.6" customHeight="1" x14ac:dyDescent="0.3">
      <c r="A24" s="98" t="str">
        <f>common!$I$4</f>
        <v>RABI II 2024-25</v>
      </c>
      <c r="B24" s="78"/>
      <c r="C24" s="78"/>
      <c r="D24" s="78"/>
      <c r="E24" s="78"/>
      <c r="F24" s="78"/>
      <c r="G24" s="78"/>
      <c r="H24" s="78"/>
    </row>
    <row r="25" spans="1:8" ht="21.6" customHeight="1" x14ac:dyDescent="0.3">
      <c r="A25" s="112" t="str">
        <f>IF([4]Crops!$C7="","",[4]Crops!$C7)</f>
        <v>PADDY</v>
      </c>
      <c r="B25" s="116" t="str">
        <f>IF(INT('[3]Annex-8'!B26)='[3]Annex-8'!B26,'[3]Annex-8'!B26&amp;".00  ",IF(INT('[3]Annex-8'!B26*10)='[3]Annex-8'!B26*10,'[3]Annex-8'!B26&amp;"0  ",ROUND('[3]Annex-8'!B26,2)&amp;"  "))</f>
        <v xml:space="preserve">0.03  </v>
      </c>
      <c r="C25" s="116" t="str">
        <f>IF(INT('[3]Annex-8'!C26)='[3]Annex-8'!C26,'[3]Annex-8'!C26&amp;".00  ",IF(INT('[3]Annex-8'!C26*10)='[3]Annex-8'!C26*10,'[3]Annex-8'!C26&amp;"0  ",ROUND('[3]Annex-8'!C26,2)&amp;"  "))</f>
        <v xml:space="preserve">0.03  </v>
      </c>
      <c r="D25" s="116" t="str">
        <f>IF(INT('[3]Annex-8'!D26)='[3]Annex-8'!D26,'[3]Annex-8'!D26&amp;".00  ",IF(INT('[3]Annex-8'!D26*10)='[3]Annex-8'!D26*10,'[3]Annex-8'!D26&amp;"0  ",ROUND('[3]Annex-8'!D26,2)&amp;"  "))</f>
        <v xml:space="preserve">8.79  </v>
      </c>
      <c r="E25" s="116" t="str">
        <f>IF(INT('[3]Annex-8'!E26)='[3]Annex-8'!E26,'[3]Annex-8'!E26&amp;".00  ",IF(INT('[3]Annex-8'!E26*10)='[3]Annex-8'!E26*10,'[3]Annex-8'!E26&amp;"0  ",ROUND('[3]Annex-8'!E26,2)&amp;"  "))</f>
        <v xml:space="preserve">8.60  </v>
      </c>
      <c r="F25" s="116" t="str">
        <f>IF(INT('[3]Annex-8'!F26)='[3]Annex-8'!F26,'[3]Annex-8'!F26&amp;".00  ",IF(INT('[3]Annex-8'!F26*10)='[3]Annex-8'!F26*10,'[3]Annex-8'!F26&amp;"0  ",ROUND('[3]Annex-8'!F26,2)&amp;"  "))</f>
        <v xml:space="preserve">8.81  </v>
      </c>
      <c r="G25" s="116" t="str">
        <f>IF(INT('[3]Annex-8'!G26)='[3]Annex-8'!G26,'[3]Annex-8'!G26&amp;".00  ",IF(INT('[3]Annex-8'!G26*10)='[3]Annex-8'!G26*10,'[3]Annex-8'!G26&amp;"0  ",ROUND('[3]Annex-8'!G26,2)&amp;"  "))</f>
        <v xml:space="preserve">8.63  </v>
      </c>
      <c r="H25" s="116" t="str">
        <f>IF('[3]Annex-8'!H26&lt;0,"(-)"&amp;FIXED(ABS('[3]Annex-8'!H26),2)&amp;"    ",FIXED('[3]Annex-8'!H26,2)&amp;"    ")</f>
        <v xml:space="preserve">(-)2.10    </v>
      </c>
    </row>
    <row r="26" spans="1:8" ht="21.6" customHeight="1" x14ac:dyDescent="0.3">
      <c r="A26" s="111" t="str">
        <f>IF([4]Crops!$C8="","",[4]Crops!$C8)</f>
        <v>OTHERS</v>
      </c>
      <c r="B26" s="117" t="str">
        <f>IF(INT('[3]Annex-8'!B27)='[3]Annex-8'!B27,'[3]Annex-8'!B27&amp;".00  ",IF(INT('[3]Annex-8'!B27*10)='[3]Annex-8'!B27*10,'[3]Annex-8'!B27&amp;"0  ",ROUND('[3]Annex-8'!B27,2)&amp;"  "))</f>
        <v xml:space="preserve">1.77  </v>
      </c>
      <c r="C26" s="117" t="str">
        <f>IF(INT('[3]Annex-8'!C27)='[3]Annex-8'!C27,'[3]Annex-8'!C27&amp;".00  ",IF(INT('[3]Annex-8'!C27*10)='[3]Annex-8'!C27*10,'[3]Annex-8'!C27&amp;"0  ",ROUND('[3]Annex-8'!C27,2)&amp;"  "))</f>
        <v xml:space="preserve">2.62  </v>
      </c>
      <c r="D26" s="117" t="str">
        <f>IF(INT('[3]Annex-8'!D27)='[3]Annex-8'!D27,'[3]Annex-8'!D27&amp;".00  ",IF(INT('[3]Annex-8'!D27*10)='[3]Annex-8'!D27*10,'[3]Annex-8'!D27&amp;"0  ",ROUND('[3]Annex-8'!D27,2)&amp;"  "))</f>
        <v xml:space="preserve">4.49  </v>
      </c>
      <c r="E26" s="117" t="str">
        <f>IF(INT('[3]Annex-8'!E27)='[3]Annex-8'!E27,'[3]Annex-8'!E27&amp;".00  ",IF(INT('[3]Annex-8'!E27*10)='[3]Annex-8'!E27*10,'[3]Annex-8'!E27&amp;"0  ",ROUND('[3]Annex-8'!E27,2)&amp;"  "))</f>
        <v xml:space="preserve">4.49  </v>
      </c>
      <c r="F26" s="117" t="str">
        <f>IF(INT('[3]Annex-8'!F27)='[3]Annex-8'!F27,'[3]Annex-8'!F27&amp;".00  ",IF(INT('[3]Annex-8'!F27*10)='[3]Annex-8'!F27*10,'[3]Annex-8'!F27&amp;"0  ",ROUND('[3]Annex-8'!F27,2)&amp;"  "))</f>
        <v xml:space="preserve">6.26  </v>
      </c>
      <c r="G26" s="117" t="str">
        <f>IF(INT('[3]Annex-8'!G27)='[3]Annex-8'!G27,'[3]Annex-8'!G27&amp;".00  ",IF(INT('[3]Annex-8'!G27*10)='[3]Annex-8'!G27*10,'[3]Annex-8'!G27&amp;"0  ",ROUND('[3]Annex-8'!G27,2)&amp;"  "))</f>
        <v xml:space="preserve">7.11  </v>
      </c>
      <c r="H26" s="117" t="str">
        <f>IF('[3]Annex-8'!H27&lt;0,"(-)"&amp;FIXED(ABS('[3]Annex-8'!H27),2)&amp;"    ",FIXED('[3]Annex-8'!H27,2)&amp;"    ")</f>
        <v xml:space="preserve">13.53    </v>
      </c>
    </row>
    <row r="27" spans="1:8" hidden="1" x14ac:dyDescent="0.3">
      <c r="A27" s="112" t="str">
        <f>IF([4]Crops!$C9="","",[4]Crops!$C9)</f>
        <v/>
      </c>
      <c r="B27" s="116" t="e">
        <f>IF(INT('[3]Annex-8'!B28)='[3]Annex-8'!B28,'[3]Annex-8'!B28&amp;".00  ",IF(INT('[3]Annex-8'!B28*10)='[3]Annex-8'!B28*10,'[3]Annex-8'!B28&amp;"0  ",ROUND('[3]Annex-8'!B28,2)&amp;"  "))</f>
        <v>#VALUE!</v>
      </c>
      <c r="C27" s="116" t="e">
        <f>IF(INT('[3]Annex-8'!C28)='[3]Annex-8'!C28,'[3]Annex-8'!C28&amp;".00  ",IF(INT('[3]Annex-8'!C28*10)='[3]Annex-8'!C28*10,'[3]Annex-8'!C28&amp;"0  ",ROUND('[3]Annex-8'!C28,2)&amp;"  "))</f>
        <v>#VALUE!</v>
      </c>
      <c r="D27" s="116" t="e">
        <f>IF(INT('[3]Annex-8'!D28)='[3]Annex-8'!D28,'[3]Annex-8'!D28&amp;".00  ",IF(INT('[3]Annex-8'!D28*10)='[3]Annex-8'!D28*10,'[3]Annex-8'!D28&amp;"0  ",ROUND('[3]Annex-8'!D28,2)&amp;"  "))</f>
        <v>#VALUE!</v>
      </c>
      <c r="E27" s="116" t="e">
        <f>IF(INT('[3]Annex-8'!E28)='[3]Annex-8'!E28,'[3]Annex-8'!E28&amp;".00  ",IF(INT('[3]Annex-8'!E28*10)='[3]Annex-8'!E28*10,'[3]Annex-8'!E28&amp;"0  ",ROUND('[3]Annex-8'!E28,2)&amp;"  "))</f>
        <v>#VALUE!</v>
      </c>
      <c r="F27" s="116" t="e">
        <f>IF(INT('[3]Annex-8'!F28)='[3]Annex-8'!F28,'[3]Annex-8'!F28&amp;".00  ",IF(INT('[3]Annex-8'!F28*10)='[3]Annex-8'!F28*10,'[3]Annex-8'!F28&amp;"0  ",ROUND('[3]Annex-8'!F28,2)&amp;"  "))</f>
        <v>#VALUE!</v>
      </c>
      <c r="G27" s="116" t="e">
        <f>IF(INT('[3]Annex-8'!G28)='[3]Annex-8'!G28,'[3]Annex-8'!G28&amp;".00  ",IF(INT('[3]Annex-8'!G28*10)='[3]Annex-8'!G28*10,'[3]Annex-8'!G28&amp;"0  ",ROUND('[3]Annex-8'!G28,2)&amp;"  "))</f>
        <v>#VALUE!</v>
      </c>
      <c r="H27" s="116" t="e">
        <f>IF('[3]Annex-8'!H28&lt;0,"(-)"&amp;FIXED(ABS('[3]Annex-8'!H28),2)&amp;"    ",FIXED('[3]Annex-8'!H28,2)&amp;"    ")</f>
        <v>#VALUE!</v>
      </c>
    </row>
    <row r="28" spans="1:8" hidden="1" x14ac:dyDescent="0.3">
      <c r="A28" s="112" t="str">
        <f>IF([4]Crops!$C10="","",[4]Crops!$C10)</f>
        <v/>
      </c>
      <c r="B28" s="116" t="e">
        <f>IF(INT('[3]Annex-8'!B29)='[3]Annex-8'!B29,'[3]Annex-8'!B29&amp;".00  ",IF(INT('[3]Annex-8'!B29*10)='[3]Annex-8'!B29*10,'[3]Annex-8'!B29&amp;"0  ",ROUND('[3]Annex-8'!B29,2)&amp;"  "))</f>
        <v>#VALUE!</v>
      </c>
      <c r="C28" s="116" t="e">
        <f>IF(INT('[3]Annex-8'!C29)='[3]Annex-8'!C29,'[3]Annex-8'!C29&amp;".00  ",IF(INT('[3]Annex-8'!C29*10)='[3]Annex-8'!C29*10,'[3]Annex-8'!C29&amp;"0  ",ROUND('[3]Annex-8'!C29,2)&amp;"  "))</f>
        <v>#VALUE!</v>
      </c>
      <c r="D28" s="116" t="e">
        <f>IF(INT('[3]Annex-8'!D29)='[3]Annex-8'!D29,'[3]Annex-8'!D29&amp;".00  ",IF(INT('[3]Annex-8'!D29*10)='[3]Annex-8'!D29*10,'[3]Annex-8'!D29&amp;"0  ",ROUND('[3]Annex-8'!D29,2)&amp;"  "))</f>
        <v>#VALUE!</v>
      </c>
      <c r="E28" s="116" t="e">
        <f>IF(INT('[3]Annex-8'!E29)='[3]Annex-8'!E29,'[3]Annex-8'!E29&amp;".00  ",IF(INT('[3]Annex-8'!E29*10)='[3]Annex-8'!E29*10,'[3]Annex-8'!E29&amp;"0  ",ROUND('[3]Annex-8'!E29,2)&amp;"  "))</f>
        <v>#VALUE!</v>
      </c>
      <c r="F28" s="116" t="e">
        <f>IF(INT('[3]Annex-8'!F29)='[3]Annex-8'!F29,'[3]Annex-8'!F29&amp;".00  ",IF(INT('[3]Annex-8'!F29*10)='[3]Annex-8'!F29*10,'[3]Annex-8'!F29&amp;"0  ",ROUND('[3]Annex-8'!F29,2)&amp;"  "))</f>
        <v>#VALUE!</v>
      </c>
      <c r="G28" s="116" t="e">
        <f>IF(INT('[3]Annex-8'!G29)='[3]Annex-8'!G29,'[3]Annex-8'!G29&amp;".00  ",IF(INT('[3]Annex-8'!G29*10)='[3]Annex-8'!G29*10,'[3]Annex-8'!G29&amp;"0  ",ROUND('[3]Annex-8'!G29,2)&amp;"  "))</f>
        <v>#VALUE!</v>
      </c>
      <c r="H28" s="116" t="e">
        <f>IF('[3]Annex-8'!H29&lt;0,"(-)"&amp;FIXED(ABS('[3]Annex-8'!H29),2)&amp;"    ",FIXED('[3]Annex-8'!H29,2)&amp;"    ")</f>
        <v>#VALUE!</v>
      </c>
    </row>
    <row r="29" spans="1:8" hidden="1" x14ac:dyDescent="0.3">
      <c r="A29" s="112" t="str">
        <f>IF([4]Crops!$C11="","",[4]Crops!$C11)</f>
        <v/>
      </c>
      <c r="B29" s="116" t="e">
        <f>IF(INT('[3]Annex-8'!B30)='[3]Annex-8'!B30,'[3]Annex-8'!B30&amp;".00  ",IF(INT('[3]Annex-8'!B30*10)='[3]Annex-8'!B30*10,'[3]Annex-8'!B30&amp;"0  ",ROUND('[3]Annex-8'!B30,2)&amp;"  "))</f>
        <v>#VALUE!</v>
      </c>
      <c r="C29" s="116" t="e">
        <f>IF(INT('[3]Annex-8'!C30)='[3]Annex-8'!C30,'[3]Annex-8'!C30&amp;".00  ",IF(INT('[3]Annex-8'!C30*10)='[3]Annex-8'!C30*10,'[3]Annex-8'!C30&amp;"0  ",ROUND('[3]Annex-8'!C30,2)&amp;"  "))</f>
        <v>#VALUE!</v>
      </c>
      <c r="D29" s="116" t="e">
        <f>IF(INT('[3]Annex-8'!D30)='[3]Annex-8'!D30,'[3]Annex-8'!D30&amp;".00  ",IF(INT('[3]Annex-8'!D30*10)='[3]Annex-8'!D30*10,'[3]Annex-8'!D30&amp;"0  ",ROUND('[3]Annex-8'!D30,2)&amp;"  "))</f>
        <v>#VALUE!</v>
      </c>
      <c r="E29" s="116" t="e">
        <f>IF(INT('[3]Annex-8'!E30)='[3]Annex-8'!E30,'[3]Annex-8'!E30&amp;".00  ",IF(INT('[3]Annex-8'!E30*10)='[3]Annex-8'!E30*10,'[3]Annex-8'!E30&amp;"0  ",ROUND('[3]Annex-8'!E30,2)&amp;"  "))</f>
        <v>#VALUE!</v>
      </c>
      <c r="F29" s="116" t="e">
        <f>IF(INT('[3]Annex-8'!F30)='[3]Annex-8'!F30,'[3]Annex-8'!F30&amp;".00  ",IF(INT('[3]Annex-8'!F30*10)='[3]Annex-8'!F30*10,'[3]Annex-8'!F30&amp;"0  ",ROUND('[3]Annex-8'!F30,2)&amp;"  "))</f>
        <v>#VALUE!</v>
      </c>
      <c r="G29" s="116" t="e">
        <f>IF(INT('[3]Annex-8'!G30)='[3]Annex-8'!G30,'[3]Annex-8'!G30&amp;".00  ",IF(INT('[3]Annex-8'!G30*10)='[3]Annex-8'!G30*10,'[3]Annex-8'!G30&amp;"0  ",ROUND('[3]Annex-8'!G30,2)&amp;"  "))</f>
        <v>#VALUE!</v>
      </c>
      <c r="H29" s="116" t="e">
        <f>IF('[3]Annex-8'!H30&lt;0,"(-)"&amp;FIXED(ABS('[3]Annex-8'!H30),2)&amp;"    ",FIXED('[3]Annex-8'!H30,2)&amp;"    ")</f>
        <v>#VALUE!</v>
      </c>
    </row>
    <row r="30" spans="1:8" hidden="1" x14ac:dyDescent="0.3">
      <c r="A30" s="112" t="str">
        <f>IF([4]Crops!$C12="","",[4]Crops!$C12)</f>
        <v/>
      </c>
      <c r="B30" s="116" t="e">
        <f>IF(INT('[3]Annex-8'!B31)='[3]Annex-8'!B31,'[3]Annex-8'!B31&amp;".00  ",IF(INT('[3]Annex-8'!B31*10)='[3]Annex-8'!B31*10,'[3]Annex-8'!B31&amp;"0  ",ROUND('[3]Annex-8'!B31,2)&amp;"  "))</f>
        <v>#VALUE!</v>
      </c>
      <c r="C30" s="116" t="e">
        <f>IF(INT('[3]Annex-8'!C31)='[3]Annex-8'!C31,'[3]Annex-8'!C31&amp;".00  ",IF(INT('[3]Annex-8'!C31*10)='[3]Annex-8'!C31*10,'[3]Annex-8'!C31&amp;"0  ",ROUND('[3]Annex-8'!C31,2)&amp;"  "))</f>
        <v>#VALUE!</v>
      </c>
      <c r="D30" s="116" t="e">
        <f>IF(INT('[3]Annex-8'!D31)='[3]Annex-8'!D31,'[3]Annex-8'!D31&amp;".00  ",IF(INT('[3]Annex-8'!D31*10)='[3]Annex-8'!D31*10,'[3]Annex-8'!D31&amp;"0  ",ROUND('[3]Annex-8'!D31,2)&amp;"  "))</f>
        <v>#VALUE!</v>
      </c>
      <c r="E30" s="116" t="e">
        <f>IF(INT('[3]Annex-8'!E31)='[3]Annex-8'!E31,'[3]Annex-8'!E31&amp;".00  ",IF(INT('[3]Annex-8'!E31*10)='[3]Annex-8'!E31*10,'[3]Annex-8'!E31&amp;"0  ",ROUND('[3]Annex-8'!E31,2)&amp;"  "))</f>
        <v>#VALUE!</v>
      </c>
      <c r="F30" s="116" t="e">
        <f>IF(INT('[3]Annex-8'!F31)='[3]Annex-8'!F31,'[3]Annex-8'!F31&amp;".00  ",IF(INT('[3]Annex-8'!F31*10)='[3]Annex-8'!F31*10,'[3]Annex-8'!F31&amp;"0  ",ROUND('[3]Annex-8'!F31,2)&amp;"  "))</f>
        <v>#VALUE!</v>
      </c>
      <c r="G30" s="116" t="e">
        <f>IF(INT('[3]Annex-8'!G31)='[3]Annex-8'!G31,'[3]Annex-8'!G31&amp;".00  ",IF(INT('[3]Annex-8'!G31*10)='[3]Annex-8'!G31*10,'[3]Annex-8'!G31&amp;"0  ",ROUND('[3]Annex-8'!G31,2)&amp;"  "))</f>
        <v>#VALUE!</v>
      </c>
      <c r="H30" s="116" t="e">
        <f>IF('[3]Annex-8'!H31&lt;0,"(-)"&amp;FIXED(ABS('[3]Annex-8'!H31),2)&amp;"    ",FIXED('[3]Annex-8'!H31,2)&amp;"    ")</f>
        <v>#VALUE!</v>
      </c>
    </row>
    <row r="31" spans="1:8" hidden="1" x14ac:dyDescent="0.3">
      <c r="A31" s="112" t="str">
        <f>IF([4]Crops!$C13="","",[4]Crops!$C13)</f>
        <v/>
      </c>
      <c r="B31" s="116" t="e">
        <f>IF(INT('[3]Annex-8'!B32)='[3]Annex-8'!B32,'[3]Annex-8'!B32&amp;".00  ",IF(INT('[3]Annex-8'!B32*10)='[3]Annex-8'!B32*10,'[3]Annex-8'!B32&amp;"0  ",ROUND('[3]Annex-8'!B32,2)&amp;"  "))</f>
        <v>#VALUE!</v>
      </c>
      <c r="C31" s="116" t="e">
        <f>IF(INT('[3]Annex-8'!C32)='[3]Annex-8'!C32,'[3]Annex-8'!C32&amp;".00  ",IF(INT('[3]Annex-8'!C32*10)='[3]Annex-8'!C32*10,'[3]Annex-8'!C32&amp;"0  ",ROUND('[3]Annex-8'!C32,2)&amp;"  "))</f>
        <v>#VALUE!</v>
      </c>
      <c r="D31" s="116" t="e">
        <f>IF(INT('[3]Annex-8'!D32)='[3]Annex-8'!D32,'[3]Annex-8'!D32&amp;".00  ",IF(INT('[3]Annex-8'!D32*10)='[3]Annex-8'!D32*10,'[3]Annex-8'!D32&amp;"0  ",ROUND('[3]Annex-8'!D32,2)&amp;"  "))</f>
        <v>#VALUE!</v>
      </c>
      <c r="E31" s="116" t="e">
        <f>IF(INT('[3]Annex-8'!E32)='[3]Annex-8'!E32,'[3]Annex-8'!E32&amp;".00  ",IF(INT('[3]Annex-8'!E32*10)='[3]Annex-8'!E32*10,'[3]Annex-8'!E32&amp;"0  ",ROUND('[3]Annex-8'!E32,2)&amp;"  "))</f>
        <v>#VALUE!</v>
      </c>
      <c r="F31" s="116" t="e">
        <f>IF(INT('[3]Annex-8'!F32)='[3]Annex-8'!F32,'[3]Annex-8'!F32&amp;".00  ",IF(INT('[3]Annex-8'!F32*10)='[3]Annex-8'!F32*10,'[3]Annex-8'!F32&amp;"0  ",ROUND('[3]Annex-8'!F32,2)&amp;"  "))</f>
        <v>#VALUE!</v>
      </c>
      <c r="G31" s="116" t="e">
        <f>IF(INT('[3]Annex-8'!G32)='[3]Annex-8'!G32,'[3]Annex-8'!G32&amp;".00  ",IF(INT('[3]Annex-8'!G32*10)='[3]Annex-8'!G32*10,'[3]Annex-8'!G32&amp;"0  ",ROUND('[3]Annex-8'!G32,2)&amp;"  "))</f>
        <v>#VALUE!</v>
      </c>
      <c r="H31" s="116" t="e">
        <f>IF('[3]Annex-8'!H32&lt;0,"(-)"&amp;FIXED(ABS('[3]Annex-8'!H32),2)&amp;"    ",FIXED('[3]Annex-8'!H32,2)&amp;"    ")</f>
        <v>#VALUE!</v>
      </c>
    </row>
    <row r="32" spans="1:8" hidden="1" x14ac:dyDescent="0.3">
      <c r="A32" s="112" t="str">
        <f>IF([4]Crops!$C14="","",[4]Crops!$C14)</f>
        <v/>
      </c>
      <c r="B32" s="116" t="e">
        <f>IF(INT('[3]Annex-8'!B33)='[3]Annex-8'!B33,'[3]Annex-8'!B33&amp;".00  ",IF(INT('[3]Annex-8'!B33*10)='[3]Annex-8'!B33*10,'[3]Annex-8'!B33&amp;"0  ",ROUND('[3]Annex-8'!B33,2)&amp;"  "))</f>
        <v>#VALUE!</v>
      </c>
      <c r="C32" s="116" t="e">
        <f>IF(INT('[3]Annex-8'!C33)='[3]Annex-8'!C33,'[3]Annex-8'!C33&amp;".00  ",IF(INT('[3]Annex-8'!C33*10)='[3]Annex-8'!C33*10,'[3]Annex-8'!C33&amp;"0  ",ROUND('[3]Annex-8'!C33,2)&amp;"  "))</f>
        <v>#VALUE!</v>
      </c>
      <c r="D32" s="116" t="e">
        <f>IF(INT('[3]Annex-8'!D33)='[3]Annex-8'!D33,'[3]Annex-8'!D33&amp;".00  ",IF(INT('[3]Annex-8'!D33*10)='[3]Annex-8'!D33*10,'[3]Annex-8'!D33&amp;"0  ",ROUND('[3]Annex-8'!D33,2)&amp;"  "))</f>
        <v>#VALUE!</v>
      </c>
      <c r="E32" s="116" t="e">
        <f>IF(INT('[3]Annex-8'!E33)='[3]Annex-8'!E33,'[3]Annex-8'!E33&amp;".00  ",IF(INT('[3]Annex-8'!E33*10)='[3]Annex-8'!E33*10,'[3]Annex-8'!E33&amp;"0  ",ROUND('[3]Annex-8'!E33,2)&amp;"  "))</f>
        <v>#VALUE!</v>
      </c>
      <c r="F32" s="116" t="e">
        <f>IF(INT('[3]Annex-8'!F33)='[3]Annex-8'!F33,'[3]Annex-8'!F33&amp;".00  ",IF(INT('[3]Annex-8'!F33*10)='[3]Annex-8'!F33*10,'[3]Annex-8'!F33&amp;"0  ",ROUND('[3]Annex-8'!F33,2)&amp;"  "))</f>
        <v>#VALUE!</v>
      </c>
      <c r="G32" s="116" t="e">
        <f>IF(INT('[3]Annex-8'!G33)='[3]Annex-8'!G33,'[3]Annex-8'!G33&amp;".00  ",IF(INT('[3]Annex-8'!G33*10)='[3]Annex-8'!G33*10,'[3]Annex-8'!G33&amp;"0  ",ROUND('[3]Annex-8'!G33,2)&amp;"  "))</f>
        <v>#VALUE!</v>
      </c>
      <c r="H32" s="116" t="e">
        <f>IF('[3]Annex-8'!H33&lt;0,"(-)"&amp;FIXED(ABS('[3]Annex-8'!H33),2)&amp;"    ",FIXED('[3]Annex-8'!H33,2)&amp;"    ")</f>
        <v>#VALUE!</v>
      </c>
    </row>
    <row r="33" spans="1:8" hidden="1" x14ac:dyDescent="0.3">
      <c r="A33" s="112" t="str">
        <f>IF([4]Crops!$C15="","",[4]Crops!$C15)</f>
        <v/>
      </c>
      <c r="B33" s="116" t="e">
        <f>IF(INT('[3]Annex-8'!B34)='[3]Annex-8'!B34,'[3]Annex-8'!B34&amp;".00  ",IF(INT('[3]Annex-8'!B34*10)='[3]Annex-8'!B34*10,'[3]Annex-8'!B34&amp;"0  ",ROUND('[3]Annex-8'!B34,2)&amp;"  "))</f>
        <v>#VALUE!</v>
      </c>
      <c r="C33" s="116" t="e">
        <f>IF(INT('[3]Annex-8'!C34)='[3]Annex-8'!C34,'[3]Annex-8'!C34&amp;".00  ",IF(INT('[3]Annex-8'!C34*10)='[3]Annex-8'!C34*10,'[3]Annex-8'!C34&amp;"0  ",ROUND('[3]Annex-8'!C34,2)&amp;"  "))</f>
        <v>#VALUE!</v>
      </c>
      <c r="D33" s="116" t="e">
        <f>IF(INT('[3]Annex-8'!D34)='[3]Annex-8'!D34,'[3]Annex-8'!D34&amp;".00  ",IF(INT('[3]Annex-8'!D34*10)='[3]Annex-8'!D34*10,'[3]Annex-8'!D34&amp;"0  ",ROUND('[3]Annex-8'!D34,2)&amp;"  "))</f>
        <v>#VALUE!</v>
      </c>
      <c r="E33" s="116" t="e">
        <f>IF(INT('[3]Annex-8'!E34)='[3]Annex-8'!E34,'[3]Annex-8'!E34&amp;".00  ",IF(INT('[3]Annex-8'!E34*10)='[3]Annex-8'!E34*10,'[3]Annex-8'!E34&amp;"0  ",ROUND('[3]Annex-8'!E34,2)&amp;"  "))</f>
        <v>#VALUE!</v>
      </c>
      <c r="F33" s="116" t="e">
        <f>IF(INT('[3]Annex-8'!F34)='[3]Annex-8'!F34,'[3]Annex-8'!F34&amp;".00  ",IF(INT('[3]Annex-8'!F34*10)='[3]Annex-8'!F34*10,'[3]Annex-8'!F34&amp;"0  ",ROUND('[3]Annex-8'!F34,2)&amp;"  "))</f>
        <v>#VALUE!</v>
      </c>
      <c r="G33" s="116" t="e">
        <f>IF(INT('[3]Annex-8'!G34)='[3]Annex-8'!G34,'[3]Annex-8'!G34&amp;".00  ",IF(INT('[3]Annex-8'!G34*10)='[3]Annex-8'!G34*10,'[3]Annex-8'!G34&amp;"0  ",ROUND('[3]Annex-8'!G34,2)&amp;"  "))</f>
        <v>#VALUE!</v>
      </c>
      <c r="H33" s="116" t="e">
        <f>IF('[3]Annex-8'!H34&lt;0,"(-)"&amp;FIXED(ABS('[3]Annex-8'!H34),2)&amp;"    ",FIXED('[3]Annex-8'!H34,2)&amp;"    ")</f>
        <v>#VALUE!</v>
      </c>
    </row>
    <row r="34" spans="1:8" ht="15" hidden="1" thickBot="1" x14ac:dyDescent="0.35">
      <c r="A34" s="114" t="str">
        <f>IF([4]Crops!$C16="","",[4]Crops!$C16)</f>
        <v/>
      </c>
      <c r="B34" s="121" t="e">
        <f>IF(INT('[3]Annex-8'!B35)='[3]Annex-8'!B35,'[3]Annex-8'!B35&amp;".00  ",IF(INT('[3]Annex-8'!B35*10)='[3]Annex-8'!B35*10,'[3]Annex-8'!B35&amp;"0  ",ROUND('[3]Annex-8'!B35,2)&amp;"  "))</f>
        <v>#VALUE!</v>
      </c>
      <c r="C34" s="121" t="e">
        <f>IF(INT('[3]Annex-8'!C35)='[3]Annex-8'!C35,'[3]Annex-8'!C35&amp;".00  ",IF(INT('[3]Annex-8'!C35*10)='[3]Annex-8'!C35*10,'[3]Annex-8'!C35&amp;"0  ",ROUND('[3]Annex-8'!C35,2)&amp;"  "))</f>
        <v>#VALUE!</v>
      </c>
      <c r="D34" s="121" t="e">
        <f>IF(INT('[3]Annex-8'!D35)='[3]Annex-8'!D35,'[3]Annex-8'!D35&amp;".00  ",IF(INT('[3]Annex-8'!D35*10)='[3]Annex-8'!D35*10,'[3]Annex-8'!D35&amp;"0  ",ROUND('[3]Annex-8'!D35,2)&amp;"  "))</f>
        <v>#VALUE!</v>
      </c>
      <c r="E34" s="121" t="e">
        <f>IF(INT('[3]Annex-8'!E35)='[3]Annex-8'!E35,'[3]Annex-8'!E35&amp;".00  ",IF(INT('[3]Annex-8'!E35*10)='[3]Annex-8'!E35*10,'[3]Annex-8'!E35&amp;"0  ",ROUND('[3]Annex-8'!E35,2)&amp;"  "))</f>
        <v>#VALUE!</v>
      </c>
      <c r="F34" s="121" t="e">
        <f>IF(INT('[3]Annex-8'!F35)='[3]Annex-8'!F35,'[3]Annex-8'!F35&amp;".00  ",IF(INT('[3]Annex-8'!F35*10)='[3]Annex-8'!F35*10,'[3]Annex-8'!F35&amp;"0  ",ROUND('[3]Annex-8'!F35,2)&amp;"  "))</f>
        <v>#VALUE!</v>
      </c>
      <c r="G34" s="121" t="e">
        <f>IF(INT('[3]Annex-8'!G35)='[3]Annex-8'!G35,'[3]Annex-8'!G35&amp;".00  ",IF(INT('[3]Annex-8'!G35*10)='[3]Annex-8'!G35*10,'[3]Annex-8'!G35&amp;"0  ",ROUND('[3]Annex-8'!G35,2)&amp;"  "))</f>
        <v>#VALUE!</v>
      </c>
      <c r="H34" s="121" t="e">
        <f>IF('[3]Annex-8'!H35&lt;0,"(-)"&amp;FIXED(ABS('[3]Annex-8'!H35),2)&amp;"    ",FIXED('[3]Annex-8'!H35,2)&amp;"    ")</f>
        <v>#VALUE!</v>
      </c>
    </row>
    <row r="35" spans="1:8" hidden="1" x14ac:dyDescent="0.3">
      <c r="A35" s="112" t="str">
        <f>IF([4]Crops!$C17="","",[4]Crops!$C17)</f>
        <v/>
      </c>
      <c r="B35" s="118" t="e">
        <f>IF(INT('[3]Annex-8'!B36)='[3]Annex-8'!B36,'[3]Annex-8'!B36&amp;".00  ",IF(INT('[3]Annex-8'!B36*10)='[3]Annex-8'!B36*10,'[3]Annex-8'!B36&amp;"0  ",ROUND('[3]Annex-8'!B36,2)&amp;"  "))</f>
        <v>#VALUE!</v>
      </c>
      <c r="C35" s="118" t="e">
        <f>IF(INT('[3]Annex-8'!C36)='[3]Annex-8'!C36,'[3]Annex-8'!C36&amp;".00  ",IF(INT('[3]Annex-8'!C36*10)='[3]Annex-8'!C36*10,'[3]Annex-8'!C36&amp;"0  ",ROUND('[3]Annex-8'!C36,2)&amp;"  "))</f>
        <v>#VALUE!</v>
      </c>
      <c r="D35" s="118" t="e">
        <f>IF(INT('[3]Annex-8'!D36)='[3]Annex-8'!D36,'[3]Annex-8'!D36&amp;".00  ",IF(INT('[3]Annex-8'!D36*10)='[3]Annex-8'!D36*10,'[3]Annex-8'!D36&amp;"0  ",ROUND('[3]Annex-8'!D36,2)&amp;"  "))</f>
        <v>#VALUE!</v>
      </c>
      <c r="E35" s="118" t="e">
        <f>IF(INT('[3]Annex-8'!E36)='[3]Annex-8'!E36,'[3]Annex-8'!E36&amp;".00  ",IF(INT('[3]Annex-8'!E36*10)='[3]Annex-8'!E36*10,'[3]Annex-8'!E36&amp;"0  ",ROUND('[3]Annex-8'!E36,2)&amp;"  "))</f>
        <v>#VALUE!</v>
      </c>
      <c r="F35" s="118" t="e">
        <f>IF(INT('[3]Annex-8'!F36)='[3]Annex-8'!F36,'[3]Annex-8'!F36&amp;".00  ",IF(INT('[3]Annex-8'!F36*10)='[3]Annex-8'!F36*10,'[3]Annex-8'!F36&amp;"0  ",ROUND('[3]Annex-8'!F36,2)&amp;"  "))</f>
        <v>#VALUE!</v>
      </c>
      <c r="G35" s="118" t="e">
        <f>IF(INT('[3]Annex-8'!G36)='[3]Annex-8'!G36,'[3]Annex-8'!G36&amp;".00  ",IF(INT('[3]Annex-8'!G36*10)='[3]Annex-8'!G36*10,'[3]Annex-8'!G36&amp;"0  ",ROUND('[3]Annex-8'!G36,2)&amp;"  "))</f>
        <v>#VALUE!</v>
      </c>
      <c r="H35" s="118" t="e">
        <f>IF('[3]Annex-8'!H36&lt;0,"(-)"&amp;FIXED(ABS('[3]Annex-8'!H36),2)&amp;"    ",FIXED('[3]Annex-8'!H36,2)&amp;"    ")</f>
        <v>#VALUE!</v>
      </c>
    </row>
    <row r="36" spans="1:8" hidden="1" x14ac:dyDescent="0.3">
      <c r="A36" s="112" t="str">
        <f>IF([4]Crops!$C18="","",[4]Crops!$C18)</f>
        <v/>
      </c>
      <c r="B36" s="118" t="e">
        <f>IF(INT('[3]Annex-8'!B37)='[3]Annex-8'!B37,'[3]Annex-8'!B37&amp;".00  ",IF(INT('[3]Annex-8'!B37*10)='[3]Annex-8'!B37*10,'[3]Annex-8'!B37&amp;"0  ",ROUND('[3]Annex-8'!B37,2)&amp;"  "))</f>
        <v>#VALUE!</v>
      </c>
      <c r="C36" s="118" t="e">
        <f>IF(INT('[3]Annex-8'!C37)='[3]Annex-8'!C37,'[3]Annex-8'!C37&amp;".00  ",IF(INT('[3]Annex-8'!C37*10)='[3]Annex-8'!C37*10,'[3]Annex-8'!C37&amp;"0  ",ROUND('[3]Annex-8'!C37,2)&amp;"  "))</f>
        <v>#VALUE!</v>
      </c>
      <c r="D36" s="118" t="e">
        <f>IF(INT('[3]Annex-8'!D37)='[3]Annex-8'!D37,'[3]Annex-8'!D37&amp;".00  ",IF(INT('[3]Annex-8'!D37*10)='[3]Annex-8'!D37*10,'[3]Annex-8'!D37&amp;"0  ",ROUND('[3]Annex-8'!D37,2)&amp;"  "))</f>
        <v>#VALUE!</v>
      </c>
      <c r="E36" s="118" t="e">
        <f>IF(INT('[3]Annex-8'!E37)='[3]Annex-8'!E37,'[3]Annex-8'!E37&amp;".00  ",IF(INT('[3]Annex-8'!E37*10)='[3]Annex-8'!E37*10,'[3]Annex-8'!E37&amp;"0  ",ROUND('[3]Annex-8'!E37,2)&amp;"  "))</f>
        <v>#VALUE!</v>
      </c>
      <c r="F36" s="118" t="e">
        <f>IF(INT('[3]Annex-8'!F37)='[3]Annex-8'!F37,'[3]Annex-8'!F37&amp;".00  ",IF(INT('[3]Annex-8'!F37*10)='[3]Annex-8'!F37*10,'[3]Annex-8'!F37&amp;"0  ",ROUND('[3]Annex-8'!F37,2)&amp;"  "))</f>
        <v>#VALUE!</v>
      </c>
      <c r="G36" s="118" t="e">
        <f>IF(INT('[3]Annex-8'!G37)='[3]Annex-8'!G37,'[3]Annex-8'!G37&amp;".00  ",IF(INT('[3]Annex-8'!G37*10)='[3]Annex-8'!G37*10,'[3]Annex-8'!G37&amp;"0  ",ROUND('[3]Annex-8'!G37,2)&amp;"  "))</f>
        <v>#VALUE!</v>
      </c>
      <c r="H36" s="118" t="e">
        <f>IF('[3]Annex-8'!H37&lt;0,"(-)"&amp;FIXED(ABS('[3]Annex-8'!H37),2)&amp;"    ",FIXED('[3]Annex-8'!H37,2)&amp;"    ")</f>
        <v>#VALUE!</v>
      </c>
    </row>
    <row r="37" spans="1:8" hidden="1" x14ac:dyDescent="0.3">
      <c r="A37" s="112" t="str">
        <f>IF([4]Crops!$C19="","",[4]Crops!$C19)</f>
        <v/>
      </c>
      <c r="B37" s="118" t="e">
        <f>IF(INT('[3]Annex-8'!B38)='[3]Annex-8'!B38,'[3]Annex-8'!B38&amp;".00  ",IF(INT('[3]Annex-8'!B38*10)='[3]Annex-8'!B38*10,'[3]Annex-8'!B38&amp;"0  ",ROUND('[3]Annex-8'!B38,2)&amp;"  "))</f>
        <v>#VALUE!</v>
      </c>
      <c r="C37" s="118" t="e">
        <f>IF(INT('[3]Annex-8'!C38)='[3]Annex-8'!C38,'[3]Annex-8'!C38&amp;".00  ",IF(INT('[3]Annex-8'!C38*10)='[3]Annex-8'!C38*10,'[3]Annex-8'!C38&amp;"0  ",ROUND('[3]Annex-8'!C38,2)&amp;"  "))</f>
        <v>#VALUE!</v>
      </c>
      <c r="D37" s="118" t="e">
        <f>IF(INT('[3]Annex-8'!D38)='[3]Annex-8'!D38,'[3]Annex-8'!D38&amp;".00  ",IF(INT('[3]Annex-8'!D38*10)='[3]Annex-8'!D38*10,'[3]Annex-8'!D38&amp;"0  ",ROUND('[3]Annex-8'!D38,2)&amp;"  "))</f>
        <v>#VALUE!</v>
      </c>
      <c r="E37" s="118" t="e">
        <f>IF(INT('[3]Annex-8'!E38)='[3]Annex-8'!E38,'[3]Annex-8'!E38&amp;".00  ",IF(INT('[3]Annex-8'!E38*10)='[3]Annex-8'!E38*10,'[3]Annex-8'!E38&amp;"0  ",ROUND('[3]Annex-8'!E38,2)&amp;"  "))</f>
        <v>#VALUE!</v>
      </c>
      <c r="F37" s="118" t="e">
        <f>IF(INT('[3]Annex-8'!F38)='[3]Annex-8'!F38,'[3]Annex-8'!F38&amp;".00  ",IF(INT('[3]Annex-8'!F38*10)='[3]Annex-8'!F38*10,'[3]Annex-8'!F38&amp;"0  ",ROUND('[3]Annex-8'!F38,2)&amp;"  "))</f>
        <v>#VALUE!</v>
      </c>
      <c r="G37" s="118" t="e">
        <f>IF(INT('[3]Annex-8'!G38)='[3]Annex-8'!G38,'[3]Annex-8'!G38&amp;".00  ",IF(INT('[3]Annex-8'!G38*10)='[3]Annex-8'!G38*10,'[3]Annex-8'!G38&amp;"0  ",ROUND('[3]Annex-8'!G38,2)&amp;"  "))</f>
        <v>#VALUE!</v>
      </c>
      <c r="H37" s="118" t="e">
        <f>IF('[3]Annex-8'!H38&lt;0,"(-)"&amp;FIXED(ABS('[3]Annex-8'!H38),2)&amp;"    ",FIXED('[3]Annex-8'!H38,2)&amp;"    ")</f>
        <v>#VALUE!</v>
      </c>
    </row>
    <row r="38" spans="1:8" hidden="1" x14ac:dyDescent="0.3">
      <c r="A38" s="112" t="str">
        <f>IF([4]Crops!$C20="","",[4]Crops!$C20)</f>
        <v/>
      </c>
      <c r="B38" s="118" t="e">
        <f>IF(INT('[3]Annex-8'!B39)='[3]Annex-8'!B39,'[3]Annex-8'!B39&amp;".00  ",IF(INT('[3]Annex-8'!B39*10)='[3]Annex-8'!B39*10,'[3]Annex-8'!B39&amp;"0  ",ROUND('[3]Annex-8'!B39,2)&amp;"  "))</f>
        <v>#VALUE!</v>
      </c>
      <c r="C38" s="118" t="e">
        <f>IF(INT('[3]Annex-8'!C39)='[3]Annex-8'!C39,'[3]Annex-8'!C39&amp;".00  ",IF(INT('[3]Annex-8'!C39*10)='[3]Annex-8'!C39*10,'[3]Annex-8'!C39&amp;"0  ",ROUND('[3]Annex-8'!C39,2)&amp;"  "))</f>
        <v>#VALUE!</v>
      </c>
      <c r="D38" s="118" t="e">
        <f>IF(INT('[3]Annex-8'!D39)='[3]Annex-8'!D39,'[3]Annex-8'!D39&amp;".00  ",IF(INT('[3]Annex-8'!D39*10)='[3]Annex-8'!D39*10,'[3]Annex-8'!D39&amp;"0  ",ROUND('[3]Annex-8'!D39,2)&amp;"  "))</f>
        <v>#VALUE!</v>
      </c>
      <c r="E38" s="118" t="e">
        <f>IF(INT('[3]Annex-8'!E39)='[3]Annex-8'!E39,'[3]Annex-8'!E39&amp;".00  ",IF(INT('[3]Annex-8'!E39*10)='[3]Annex-8'!E39*10,'[3]Annex-8'!E39&amp;"0  ",ROUND('[3]Annex-8'!E39,2)&amp;"  "))</f>
        <v>#VALUE!</v>
      </c>
      <c r="F38" s="118" t="e">
        <f>IF(INT('[3]Annex-8'!F39)='[3]Annex-8'!F39,'[3]Annex-8'!F39&amp;".00  ",IF(INT('[3]Annex-8'!F39*10)='[3]Annex-8'!F39*10,'[3]Annex-8'!F39&amp;"0  ",ROUND('[3]Annex-8'!F39,2)&amp;"  "))</f>
        <v>#VALUE!</v>
      </c>
      <c r="G38" s="118" t="e">
        <f>IF(INT('[3]Annex-8'!G39)='[3]Annex-8'!G39,'[3]Annex-8'!G39&amp;".00  ",IF(INT('[3]Annex-8'!G39*10)='[3]Annex-8'!G39*10,'[3]Annex-8'!G39&amp;"0  ",ROUND('[3]Annex-8'!G39,2)&amp;"  "))</f>
        <v>#VALUE!</v>
      </c>
      <c r="H38" s="118" t="e">
        <f>IF('[3]Annex-8'!H39&lt;0,"(-)"&amp;FIXED(ABS('[3]Annex-8'!H39),2)&amp;"    ",FIXED('[3]Annex-8'!H39,2)&amp;"    ")</f>
        <v>#VALUE!</v>
      </c>
    </row>
    <row r="39" spans="1:8" hidden="1" x14ac:dyDescent="0.3">
      <c r="A39" s="112" t="str">
        <f>IF([4]Crops!$C21="","",[4]Crops!$C21)</f>
        <v/>
      </c>
      <c r="B39" s="118" t="e">
        <f>IF(INT('[3]Annex-8'!B40)='[3]Annex-8'!B40,'[3]Annex-8'!B40&amp;".00  ",IF(INT('[3]Annex-8'!B40*10)='[3]Annex-8'!B40*10,'[3]Annex-8'!B40&amp;"0  ",ROUND('[3]Annex-8'!B40,2)&amp;"  "))</f>
        <v>#VALUE!</v>
      </c>
      <c r="C39" s="118" t="e">
        <f>IF(INT('[3]Annex-8'!C40)='[3]Annex-8'!C40,'[3]Annex-8'!C40&amp;".00  ",IF(INT('[3]Annex-8'!C40*10)='[3]Annex-8'!C40*10,'[3]Annex-8'!C40&amp;"0  ",ROUND('[3]Annex-8'!C40,2)&amp;"  "))</f>
        <v>#VALUE!</v>
      </c>
      <c r="D39" s="118" t="e">
        <f>IF(INT('[3]Annex-8'!D40)='[3]Annex-8'!D40,'[3]Annex-8'!D40&amp;".00  ",IF(INT('[3]Annex-8'!D40*10)='[3]Annex-8'!D40*10,'[3]Annex-8'!D40&amp;"0  ",ROUND('[3]Annex-8'!D40,2)&amp;"  "))</f>
        <v>#VALUE!</v>
      </c>
      <c r="E39" s="118" t="e">
        <f>IF(INT('[3]Annex-8'!E40)='[3]Annex-8'!E40,'[3]Annex-8'!E40&amp;".00  ",IF(INT('[3]Annex-8'!E40*10)='[3]Annex-8'!E40*10,'[3]Annex-8'!E40&amp;"0  ",ROUND('[3]Annex-8'!E40,2)&amp;"  "))</f>
        <v>#VALUE!</v>
      </c>
      <c r="F39" s="118" t="e">
        <f>IF(INT('[3]Annex-8'!F40)='[3]Annex-8'!F40,'[3]Annex-8'!F40&amp;".00  ",IF(INT('[3]Annex-8'!F40*10)='[3]Annex-8'!F40*10,'[3]Annex-8'!F40&amp;"0  ",ROUND('[3]Annex-8'!F40,2)&amp;"  "))</f>
        <v>#VALUE!</v>
      </c>
      <c r="G39" s="118" t="e">
        <f>IF(INT('[3]Annex-8'!G40)='[3]Annex-8'!G40,'[3]Annex-8'!G40&amp;".00  ",IF(INT('[3]Annex-8'!G40*10)='[3]Annex-8'!G40*10,'[3]Annex-8'!G40&amp;"0  ",ROUND('[3]Annex-8'!G40,2)&amp;"  "))</f>
        <v>#VALUE!</v>
      </c>
      <c r="H39" s="118" t="e">
        <f>IF('[3]Annex-8'!H40&lt;0,"(-)"&amp;FIXED(ABS('[3]Annex-8'!H40),2)&amp;"    ",FIXED('[3]Annex-8'!H40,2)&amp;"    ")</f>
        <v>#VALUE!</v>
      </c>
    </row>
    <row r="40" spans="1:8" ht="15" hidden="1" customHeight="1" x14ac:dyDescent="0.3">
      <c r="A40" s="287" t="str">
        <f>'[3]Annex-8'!A73</f>
        <v># NOT COMPARABLE AS THE IMPACT IS 100% OR MORE</v>
      </c>
      <c r="B40" s="287"/>
      <c r="C40" s="287"/>
      <c r="D40" s="287"/>
      <c r="E40" s="287"/>
      <c r="F40" s="287"/>
      <c r="G40" s="287"/>
      <c r="H40" s="287"/>
    </row>
    <row r="41" spans="1:8" hidden="1" x14ac:dyDescent="0.3">
      <c r="A41" s="235" t="s">
        <v>252</v>
      </c>
      <c r="B41" s="235"/>
      <c r="C41" s="235"/>
      <c r="D41" s="235"/>
      <c r="E41" s="235"/>
      <c r="F41" s="235"/>
      <c r="G41" s="235"/>
      <c r="H41" s="235"/>
    </row>
    <row r="42" spans="1:8" hidden="1" x14ac:dyDescent="0.3">
      <c r="A42" s="284" t="str">
        <f>'[3]Annex-8'!$A$3</f>
        <v>STATE:PUDUCHERRY</v>
      </c>
      <c r="B42" s="284"/>
      <c r="C42" s="284"/>
      <c r="D42" s="284"/>
      <c r="E42" s="284"/>
      <c r="F42" s="284"/>
      <c r="G42" s="285" t="str">
        <f>'[3]Annex-8'!$G$3</f>
        <v>ANNEX-VIII</v>
      </c>
      <c r="H42" s="285"/>
    </row>
    <row r="43" spans="1:8" hidden="1" x14ac:dyDescent="0.3">
      <c r="A43" s="251" t="str">
        <f>'[3]Annex-8'!$A$4</f>
        <v>IMPACT OF DISCREPANCIES IN RECORDING AREA UNDER CROPS DURING 0 AND 0.</v>
      </c>
      <c r="B43" s="251"/>
      <c r="C43" s="251"/>
      <c r="D43" s="251"/>
      <c r="E43" s="251"/>
      <c r="F43" s="251"/>
      <c r="G43" s="251"/>
      <c r="H43" s="251"/>
    </row>
    <row r="44" spans="1:8" hidden="1" x14ac:dyDescent="0.3">
      <c r="A44" s="252" t="str">
        <f>'[3]Annex-8'!$A$5</f>
        <v>SEASON / CROP</v>
      </c>
      <c r="B44" s="255" t="str">
        <f>'[3]Annex-8'!$B$5</f>
        <v xml:space="preserve">AREA IN HECTARES AS OBSERVED IN SAMPLE CLUSTERS </v>
      </c>
      <c r="C44" s="255"/>
      <c r="D44" s="255"/>
      <c r="E44" s="255"/>
      <c r="F44" s="255"/>
      <c r="G44" s="255"/>
      <c r="H44" s="255"/>
    </row>
    <row r="45" spans="1:8" ht="14.4" hidden="1" customHeight="1" x14ac:dyDescent="0.3">
      <c r="A45" s="252"/>
      <c r="B45" s="255" t="str">
        <f>'[3]Annex-8'!$B$6</f>
        <v>CENTRAL SAMPLE</v>
      </c>
      <c r="C45" s="255"/>
      <c r="D45" s="255" t="str">
        <f>'[3]Annex-8'!$D$6</f>
        <v>STATE SAMPLE</v>
      </c>
      <c r="E45" s="255"/>
      <c r="F45" s="255" t="str">
        <f>'[3]Annex-8'!$F$6</f>
        <v>POOLED SAMPLE</v>
      </c>
      <c r="G45" s="255"/>
      <c r="H45" s="252" t="s">
        <v>265</v>
      </c>
    </row>
    <row r="46" spans="1:8" ht="48" hidden="1" customHeight="1" x14ac:dyDescent="0.3">
      <c r="A46" s="253"/>
      <c r="B46" s="99" t="str">
        <f>'[3]Annex-8'!$B$7</f>
        <v xml:space="preserve">AS PER SUPERVISOR </v>
      </c>
      <c r="C46" s="99" t="str">
        <f>'[3]Annex-8'!$C$7</f>
        <v>AS PER PATWARI</v>
      </c>
      <c r="D46" s="99" t="str">
        <f>'[3]Annex-8'!$D$7</f>
        <v xml:space="preserve">AS PER SUPERVISOR </v>
      </c>
      <c r="E46" s="99" t="str">
        <f>'[3]Annex-8'!$E$7</f>
        <v>AS PER PATWARI</v>
      </c>
      <c r="F46" s="99" t="s">
        <v>272</v>
      </c>
      <c r="G46" s="99" t="s">
        <v>273</v>
      </c>
      <c r="H46" s="253"/>
    </row>
    <row r="47" spans="1:8" hidden="1" x14ac:dyDescent="0.3">
      <c r="A47" s="100" t="str">
        <f>'[3]Annex-8'!A$8</f>
        <v>(1)</v>
      </c>
      <c r="B47" s="100" t="str">
        <f>'[3]Annex-8'!B$8</f>
        <v>(2)</v>
      </c>
      <c r="C47" s="100" t="str">
        <f>'[3]Annex-8'!C$8</f>
        <v>(3)</v>
      </c>
      <c r="D47" s="100" t="str">
        <f>'[3]Annex-8'!D$8</f>
        <v>(4)</v>
      </c>
      <c r="E47" s="100" t="str">
        <f>'[3]Annex-8'!E$8</f>
        <v>(5)</v>
      </c>
      <c r="F47" s="100" t="str">
        <f>'[3]Annex-8'!F$8</f>
        <v>(6)</v>
      </c>
      <c r="G47" s="100" t="str">
        <f>'[3]Annex-8'!G$8</f>
        <v>(7)</v>
      </c>
      <c r="H47" s="100" t="str">
        <f>'[3]Annex-8'!I$8</f>
        <v>(8)</v>
      </c>
    </row>
    <row r="48" spans="1:8" ht="21.6" customHeight="1" x14ac:dyDescent="0.3">
      <c r="A48" s="98" t="str">
        <f>common!$H$5</f>
        <v>RABI I 2023-24</v>
      </c>
      <c r="B48" s="78"/>
      <c r="C48" s="78"/>
      <c r="D48" s="78"/>
      <c r="E48" s="78"/>
      <c r="F48" s="78"/>
      <c r="G48" s="78"/>
      <c r="H48" s="78"/>
    </row>
    <row r="49" spans="1:8" ht="21.6" customHeight="1" x14ac:dyDescent="0.3">
      <c r="A49" s="112" t="str">
        <f>A9</f>
        <v>PADDY</v>
      </c>
      <c r="B49" s="116" t="str">
        <f>IF(INT('[3]Annex-8'!B42)='[3]Annex-8'!B42,'[3]Annex-8'!B42&amp;".00  ",IF(INT('[3]Annex-8'!B42*10)='[3]Annex-8'!B42*10,'[3]Annex-8'!B42&amp;"0  ",ROUND('[3]Annex-8'!B42,2)&amp;"  "))</f>
        <v xml:space="preserve">26.55  </v>
      </c>
      <c r="C49" s="116" t="str">
        <f>IF(INT('[3]Annex-8'!C42)='[3]Annex-8'!C42,'[3]Annex-8'!C42&amp;".00  ",IF(INT('[3]Annex-8'!C42*10)='[3]Annex-8'!C42*10,'[3]Annex-8'!C42&amp;"0  ",ROUND('[3]Annex-8'!C42,2)&amp;"  "))</f>
        <v xml:space="preserve">26.63  </v>
      </c>
      <c r="D49" s="116" t="str">
        <f>IF(INT('[3]Annex-8'!D42)='[3]Annex-8'!D42,'[3]Annex-8'!D42&amp;".00  ",IF(INT('[3]Annex-8'!D42*10)='[3]Annex-8'!D42*10,'[3]Annex-8'!D42&amp;"0  ",ROUND('[3]Annex-8'!D42,2)&amp;"  "))</f>
        <v xml:space="preserve">7.65  </v>
      </c>
      <c r="E49" s="116" t="str">
        <f>IF(INT('[3]Annex-8'!E42)='[3]Annex-8'!E42,'[3]Annex-8'!E42&amp;".00  ",IF(INT('[3]Annex-8'!E42*10)='[3]Annex-8'!E42*10,'[3]Annex-8'!E42&amp;"0  ",ROUND('[3]Annex-8'!E42,2)&amp;"  "))</f>
        <v xml:space="preserve">7.54  </v>
      </c>
      <c r="F49" s="116" t="str">
        <f>IF(INT('[3]Annex-8'!F42)='[3]Annex-8'!F42,'[3]Annex-8'!F42&amp;".00  ",IF(INT('[3]Annex-8'!F42*10)='[3]Annex-8'!F42*10,'[3]Annex-8'!F42&amp;"0  ",ROUND('[3]Annex-8'!F42,2)&amp;"  "))</f>
        <v xml:space="preserve">34.19  </v>
      </c>
      <c r="G49" s="116" t="str">
        <f>IF(INT('[3]Annex-8'!G42)='[3]Annex-8'!G42,'[3]Annex-8'!G42&amp;".00  ",IF(INT('[3]Annex-8'!G42*10)='[3]Annex-8'!G42*10,'[3]Annex-8'!G42&amp;"0  ",ROUND('[3]Annex-8'!G42,2)&amp;"  "))</f>
        <v xml:space="preserve">34.17  </v>
      </c>
      <c r="H49" s="116" t="str">
        <f>IF('[3]Annex-8'!H42&lt;0,"(-)"&amp;FIXED(ABS('[3]Annex-8'!H42),2)&amp;"    ",FIXED('[3]Annex-8'!H42,2)&amp;"    ")</f>
        <v xml:space="preserve">(-)0.07    </v>
      </c>
    </row>
    <row r="50" spans="1:8" ht="21.6" customHeight="1" x14ac:dyDescent="0.3">
      <c r="A50" s="112" t="str">
        <f t="shared" ref="A50:A63" si="0">A10</f>
        <v>OTHERS</v>
      </c>
      <c r="B50" s="116" t="str">
        <f>IF(INT('[3]Annex-8'!B43)='[3]Annex-8'!B43,'[3]Annex-8'!B43&amp;".00  ",IF(INT('[3]Annex-8'!B43*10)='[3]Annex-8'!B43*10,'[3]Annex-8'!B43&amp;"0  ",ROUND('[3]Annex-8'!B43,2)&amp;"  "))</f>
        <v xml:space="preserve">3.3  </v>
      </c>
      <c r="C50" s="116" t="str">
        <f>IF(INT('[3]Annex-8'!C43)='[3]Annex-8'!C43,'[3]Annex-8'!C43&amp;".00  ",IF(INT('[3]Annex-8'!C43*10)='[3]Annex-8'!C43*10,'[3]Annex-8'!C43&amp;"0  ",ROUND('[3]Annex-8'!C43,2)&amp;"  "))</f>
        <v xml:space="preserve">3.03  </v>
      </c>
      <c r="D50" s="116" t="str">
        <f>IF(INT('[3]Annex-8'!D43)='[3]Annex-8'!D43,'[3]Annex-8'!D43&amp;".00  ",IF(INT('[3]Annex-8'!D43*10)='[3]Annex-8'!D43*10,'[3]Annex-8'!D43&amp;"0  ",ROUND('[3]Annex-8'!D43,2)&amp;"  "))</f>
        <v xml:space="preserve">3.38  </v>
      </c>
      <c r="E50" s="116" t="str">
        <f>IF(INT('[3]Annex-8'!E43)='[3]Annex-8'!E43,'[3]Annex-8'!E43&amp;".00  ",IF(INT('[3]Annex-8'!E43*10)='[3]Annex-8'!E43*10,'[3]Annex-8'!E43&amp;"0  ",ROUND('[3]Annex-8'!E43,2)&amp;"  "))</f>
        <v xml:space="preserve">3.38  </v>
      </c>
      <c r="F50" s="116" t="str">
        <f>IF(INT('[3]Annex-8'!F43)='[3]Annex-8'!F43,'[3]Annex-8'!F43&amp;".00  ",IF(INT('[3]Annex-8'!F43*10)='[3]Annex-8'!F43*10,'[3]Annex-8'!F43&amp;"0  ",ROUND('[3]Annex-8'!F43,2)&amp;"  "))</f>
        <v xml:space="preserve">6.68  </v>
      </c>
      <c r="G50" s="116" t="str">
        <f>IF(INT('[3]Annex-8'!G43)='[3]Annex-8'!G43,'[3]Annex-8'!G43&amp;".00  ",IF(INT('[3]Annex-8'!G43*10)='[3]Annex-8'!G43*10,'[3]Annex-8'!G43&amp;"0  ",ROUND('[3]Annex-8'!G43,2)&amp;"  "))</f>
        <v xml:space="preserve">6.41  </v>
      </c>
      <c r="H50" s="116" t="str">
        <f>IF('[3]Annex-8'!H43&lt;0,"(-)"&amp;FIXED(ABS('[3]Annex-8'!H43),2)&amp;"    ",FIXED('[3]Annex-8'!H43,2)&amp;"    ")</f>
        <v xml:space="preserve">(-)4.04    </v>
      </c>
    </row>
    <row r="51" spans="1:8" hidden="1" x14ac:dyDescent="0.3">
      <c r="A51" s="112" t="str">
        <f t="shared" si="0"/>
        <v/>
      </c>
      <c r="B51" s="116" t="e">
        <f>IF(INT('[3]Annex-8'!B44)='[3]Annex-8'!B44,'[3]Annex-8'!B44&amp;".00  ",IF(INT('[3]Annex-8'!B44*10)='[3]Annex-8'!B44*10,'[3]Annex-8'!B44&amp;"0  ",ROUND('[3]Annex-8'!B44,2)&amp;"  "))</f>
        <v>#VALUE!</v>
      </c>
      <c r="C51" s="116" t="e">
        <f>IF(INT('[3]Annex-8'!C44)='[3]Annex-8'!C44,'[3]Annex-8'!C44&amp;".00  ",IF(INT('[3]Annex-8'!C44*10)='[3]Annex-8'!C44*10,'[3]Annex-8'!C44&amp;"0  ",ROUND('[3]Annex-8'!C44,2)&amp;"  "))</f>
        <v>#VALUE!</v>
      </c>
      <c r="D51" s="116" t="e">
        <f>IF(INT('[3]Annex-8'!D44)='[3]Annex-8'!D44,'[3]Annex-8'!D44&amp;".00  ",IF(INT('[3]Annex-8'!D44*10)='[3]Annex-8'!D44*10,'[3]Annex-8'!D44&amp;"0  ",ROUND('[3]Annex-8'!D44,2)&amp;"  "))</f>
        <v>#VALUE!</v>
      </c>
      <c r="E51" s="116" t="e">
        <f>IF(INT('[3]Annex-8'!E44)='[3]Annex-8'!E44,'[3]Annex-8'!E44&amp;".00  ",IF(INT('[3]Annex-8'!E44*10)='[3]Annex-8'!E44*10,'[3]Annex-8'!E44&amp;"0  ",ROUND('[3]Annex-8'!E44,2)&amp;"  "))</f>
        <v>#VALUE!</v>
      </c>
      <c r="F51" s="116" t="e">
        <f>IF(INT('[3]Annex-8'!F44)='[3]Annex-8'!F44,'[3]Annex-8'!F44&amp;".00  ",IF(INT('[3]Annex-8'!F44*10)='[3]Annex-8'!F44*10,'[3]Annex-8'!F44&amp;"0  ",ROUND('[3]Annex-8'!F44,2)&amp;"  "))</f>
        <v>#VALUE!</v>
      </c>
      <c r="G51" s="116" t="e">
        <f>IF(INT('[3]Annex-8'!G44)='[3]Annex-8'!G44,'[3]Annex-8'!G44&amp;".00  ",IF(INT('[3]Annex-8'!G44*10)='[3]Annex-8'!G44*10,'[3]Annex-8'!G44&amp;"0  ",ROUND('[3]Annex-8'!G44,2)&amp;"  "))</f>
        <v>#VALUE!</v>
      </c>
      <c r="H51" s="116" t="e">
        <f>IF('[3]Annex-8'!H44&lt;0,"(-)"&amp;FIXED(ABS('[3]Annex-8'!H44),2)&amp;"    ",FIXED('[3]Annex-8'!H44,2)&amp;"    ")</f>
        <v>#VALUE!</v>
      </c>
    </row>
    <row r="52" spans="1:8" hidden="1" x14ac:dyDescent="0.3">
      <c r="A52" s="112" t="str">
        <f t="shared" si="0"/>
        <v/>
      </c>
      <c r="B52" s="116" t="e">
        <f>IF(INT('[3]Annex-8'!B45)='[3]Annex-8'!B45,'[3]Annex-8'!B45&amp;".00  ",IF(INT('[3]Annex-8'!B45*10)='[3]Annex-8'!B45*10,'[3]Annex-8'!B45&amp;"0  ",ROUND('[3]Annex-8'!B45,2)&amp;"  "))</f>
        <v>#VALUE!</v>
      </c>
      <c r="C52" s="116" t="e">
        <f>IF(INT('[3]Annex-8'!C45)='[3]Annex-8'!C45,'[3]Annex-8'!C45&amp;".00  ",IF(INT('[3]Annex-8'!C45*10)='[3]Annex-8'!C45*10,'[3]Annex-8'!C45&amp;"0  ",ROUND('[3]Annex-8'!C45,2)&amp;"  "))</f>
        <v>#VALUE!</v>
      </c>
      <c r="D52" s="116" t="e">
        <f>IF(INT('[3]Annex-8'!D45)='[3]Annex-8'!D45,'[3]Annex-8'!D45&amp;".00  ",IF(INT('[3]Annex-8'!D45*10)='[3]Annex-8'!D45*10,'[3]Annex-8'!D45&amp;"0  ",ROUND('[3]Annex-8'!D45,2)&amp;"  "))</f>
        <v>#VALUE!</v>
      </c>
      <c r="E52" s="116" t="e">
        <f>IF(INT('[3]Annex-8'!E45)='[3]Annex-8'!E45,'[3]Annex-8'!E45&amp;".00  ",IF(INT('[3]Annex-8'!E45*10)='[3]Annex-8'!E45*10,'[3]Annex-8'!E45&amp;"0  ",ROUND('[3]Annex-8'!E45,2)&amp;"  "))</f>
        <v>#VALUE!</v>
      </c>
      <c r="F52" s="116" t="e">
        <f>IF(INT('[3]Annex-8'!F45)='[3]Annex-8'!F45,'[3]Annex-8'!F45&amp;".00  ",IF(INT('[3]Annex-8'!F45*10)='[3]Annex-8'!F45*10,'[3]Annex-8'!F45&amp;"0  ",ROUND('[3]Annex-8'!F45,2)&amp;"  "))</f>
        <v>#VALUE!</v>
      </c>
      <c r="G52" s="116" t="e">
        <f>IF(INT('[3]Annex-8'!G45)='[3]Annex-8'!G45,'[3]Annex-8'!G45&amp;".00  ",IF(INT('[3]Annex-8'!G45*10)='[3]Annex-8'!G45*10,'[3]Annex-8'!G45&amp;"0  ",ROUND('[3]Annex-8'!G45,2)&amp;"  "))</f>
        <v>#VALUE!</v>
      </c>
      <c r="H52" s="116" t="e">
        <f>IF('[3]Annex-8'!H45&lt;0,"(-)"&amp;FIXED(ABS('[3]Annex-8'!H45),2)&amp;"    ",FIXED('[3]Annex-8'!H45,2)&amp;"    ")</f>
        <v>#VALUE!</v>
      </c>
    </row>
    <row r="53" spans="1:8" hidden="1" x14ac:dyDescent="0.3">
      <c r="A53" s="112" t="str">
        <f t="shared" si="0"/>
        <v/>
      </c>
      <c r="B53" s="116" t="e">
        <f>IF(INT('[3]Annex-8'!B46)='[3]Annex-8'!B46,'[3]Annex-8'!B46&amp;".00  ",IF(INT('[3]Annex-8'!B46*10)='[3]Annex-8'!B46*10,'[3]Annex-8'!B46&amp;"0  ",ROUND('[3]Annex-8'!B46,2)&amp;"  "))</f>
        <v>#VALUE!</v>
      </c>
      <c r="C53" s="116" t="e">
        <f>IF(INT('[3]Annex-8'!C46)='[3]Annex-8'!C46,'[3]Annex-8'!C46&amp;".00  ",IF(INT('[3]Annex-8'!C46*10)='[3]Annex-8'!C46*10,'[3]Annex-8'!C46&amp;"0  ",ROUND('[3]Annex-8'!C46,2)&amp;"  "))</f>
        <v>#VALUE!</v>
      </c>
      <c r="D53" s="116" t="e">
        <f>IF(INT('[3]Annex-8'!D46)='[3]Annex-8'!D46,'[3]Annex-8'!D46&amp;".00  ",IF(INT('[3]Annex-8'!D46*10)='[3]Annex-8'!D46*10,'[3]Annex-8'!D46&amp;"0  ",ROUND('[3]Annex-8'!D46,2)&amp;"  "))</f>
        <v>#VALUE!</v>
      </c>
      <c r="E53" s="116" t="e">
        <f>IF(INT('[3]Annex-8'!E46)='[3]Annex-8'!E46,'[3]Annex-8'!E46&amp;".00  ",IF(INT('[3]Annex-8'!E46*10)='[3]Annex-8'!E46*10,'[3]Annex-8'!E46&amp;"0  ",ROUND('[3]Annex-8'!E46,2)&amp;"  "))</f>
        <v>#VALUE!</v>
      </c>
      <c r="F53" s="116" t="e">
        <f>IF(INT('[3]Annex-8'!F46)='[3]Annex-8'!F46,'[3]Annex-8'!F46&amp;".00  ",IF(INT('[3]Annex-8'!F46*10)='[3]Annex-8'!F46*10,'[3]Annex-8'!F46&amp;"0  ",ROUND('[3]Annex-8'!F46,2)&amp;"  "))</f>
        <v>#VALUE!</v>
      </c>
      <c r="G53" s="116" t="e">
        <f>IF(INT('[3]Annex-8'!G46)='[3]Annex-8'!G46,'[3]Annex-8'!G46&amp;".00  ",IF(INT('[3]Annex-8'!G46*10)='[3]Annex-8'!G46*10,'[3]Annex-8'!G46&amp;"0  ",ROUND('[3]Annex-8'!G46,2)&amp;"  "))</f>
        <v>#VALUE!</v>
      </c>
      <c r="H53" s="116" t="e">
        <f>IF('[3]Annex-8'!H46&lt;0,"(-)"&amp;FIXED(ABS('[3]Annex-8'!H46),2)&amp;"    ",FIXED('[3]Annex-8'!H46,2)&amp;"    ")</f>
        <v>#VALUE!</v>
      </c>
    </row>
    <row r="54" spans="1:8" hidden="1" x14ac:dyDescent="0.3">
      <c r="A54" s="112" t="str">
        <f t="shared" si="0"/>
        <v/>
      </c>
      <c r="B54" s="116" t="e">
        <f>IF(INT('[3]Annex-8'!B47)='[3]Annex-8'!B47,'[3]Annex-8'!B47&amp;".00  ",IF(INT('[3]Annex-8'!B47*10)='[3]Annex-8'!B47*10,'[3]Annex-8'!B47&amp;"0  ",ROUND('[3]Annex-8'!B47,2)&amp;"  "))</f>
        <v>#VALUE!</v>
      </c>
      <c r="C54" s="116" t="e">
        <f>IF(INT('[3]Annex-8'!C47)='[3]Annex-8'!C47,'[3]Annex-8'!C47&amp;".00  ",IF(INT('[3]Annex-8'!C47*10)='[3]Annex-8'!C47*10,'[3]Annex-8'!C47&amp;"0  ",ROUND('[3]Annex-8'!C47,2)&amp;"  "))</f>
        <v>#VALUE!</v>
      </c>
      <c r="D54" s="116" t="e">
        <f>IF(INT('[3]Annex-8'!D47)='[3]Annex-8'!D47,'[3]Annex-8'!D47&amp;".00  ",IF(INT('[3]Annex-8'!D47*10)='[3]Annex-8'!D47*10,'[3]Annex-8'!D47&amp;"0  ",ROUND('[3]Annex-8'!D47,2)&amp;"  "))</f>
        <v>#VALUE!</v>
      </c>
      <c r="E54" s="116" t="e">
        <f>IF(INT('[3]Annex-8'!E47)='[3]Annex-8'!E47,'[3]Annex-8'!E47&amp;".00  ",IF(INT('[3]Annex-8'!E47*10)='[3]Annex-8'!E47*10,'[3]Annex-8'!E47&amp;"0  ",ROUND('[3]Annex-8'!E47,2)&amp;"  "))</f>
        <v>#VALUE!</v>
      </c>
      <c r="F54" s="116" t="e">
        <f>IF(INT('[3]Annex-8'!F47)='[3]Annex-8'!F47,'[3]Annex-8'!F47&amp;".00  ",IF(INT('[3]Annex-8'!F47*10)='[3]Annex-8'!F47*10,'[3]Annex-8'!F47&amp;"0  ",ROUND('[3]Annex-8'!F47,2)&amp;"  "))</f>
        <v>#VALUE!</v>
      </c>
      <c r="G54" s="116" t="e">
        <f>IF(INT('[3]Annex-8'!G47)='[3]Annex-8'!G47,'[3]Annex-8'!G47&amp;".00  ",IF(INT('[3]Annex-8'!G47*10)='[3]Annex-8'!G47*10,'[3]Annex-8'!G47&amp;"0  ",ROUND('[3]Annex-8'!G47,2)&amp;"  "))</f>
        <v>#VALUE!</v>
      </c>
      <c r="H54" s="116" t="e">
        <f>IF('[3]Annex-8'!H47&lt;0,"(-)"&amp;FIXED(ABS('[3]Annex-8'!H47),2)&amp;"    ",FIXED('[3]Annex-8'!H47,2)&amp;"    ")</f>
        <v>#VALUE!</v>
      </c>
    </row>
    <row r="55" spans="1:8" hidden="1" x14ac:dyDescent="0.3">
      <c r="A55" s="112" t="str">
        <f t="shared" si="0"/>
        <v/>
      </c>
      <c r="B55" s="116" t="e">
        <f>IF(INT('[3]Annex-8'!B48)='[3]Annex-8'!B48,'[3]Annex-8'!B48&amp;".00  ",IF(INT('[3]Annex-8'!B48*10)='[3]Annex-8'!B48*10,'[3]Annex-8'!B48&amp;"0  ",ROUND('[3]Annex-8'!B48,2)&amp;"  "))</f>
        <v>#VALUE!</v>
      </c>
      <c r="C55" s="116" t="e">
        <f>IF(INT('[3]Annex-8'!C48)='[3]Annex-8'!C48,'[3]Annex-8'!C48&amp;".00  ",IF(INT('[3]Annex-8'!C48*10)='[3]Annex-8'!C48*10,'[3]Annex-8'!C48&amp;"0  ",ROUND('[3]Annex-8'!C48,2)&amp;"  "))</f>
        <v>#VALUE!</v>
      </c>
      <c r="D55" s="116" t="e">
        <f>IF(INT('[3]Annex-8'!D48)='[3]Annex-8'!D48,'[3]Annex-8'!D48&amp;".00  ",IF(INT('[3]Annex-8'!D48*10)='[3]Annex-8'!D48*10,'[3]Annex-8'!D48&amp;"0  ",ROUND('[3]Annex-8'!D48,2)&amp;"  "))</f>
        <v>#VALUE!</v>
      </c>
      <c r="E55" s="116" t="e">
        <f>IF(INT('[3]Annex-8'!E48)='[3]Annex-8'!E48,'[3]Annex-8'!E48&amp;".00  ",IF(INT('[3]Annex-8'!E48*10)='[3]Annex-8'!E48*10,'[3]Annex-8'!E48&amp;"0  ",ROUND('[3]Annex-8'!E48,2)&amp;"  "))</f>
        <v>#VALUE!</v>
      </c>
      <c r="F55" s="116" t="e">
        <f>IF(INT('[3]Annex-8'!F48)='[3]Annex-8'!F48,'[3]Annex-8'!F48&amp;".00  ",IF(INT('[3]Annex-8'!F48*10)='[3]Annex-8'!F48*10,'[3]Annex-8'!F48&amp;"0  ",ROUND('[3]Annex-8'!F48,2)&amp;"  "))</f>
        <v>#VALUE!</v>
      </c>
      <c r="G55" s="116" t="e">
        <f>IF(INT('[3]Annex-8'!G48)='[3]Annex-8'!G48,'[3]Annex-8'!G48&amp;".00  ",IF(INT('[3]Annex-8'!G48*10)='[3]Annex-8'!G48*10,'[3]Annex-8'!G48&amp;"0  ",ROUND('[3]Annex-8'!G48,2)&amp;"  "))</f>
        <v>#VALUE!</v>
      </c>
      <c r="H55" s="116" t="e">
        <f>IF('[3]Annex-8'!H48&lt;0,"(-)"&amp;FIXED(ABS('[3]Annex-8'!H48),2)&amp;"    ",FIXED('[3]Annex-8'!H48,2)&amp;"    ")</f>
        <v>#VALUE!</v>
      </c>
    </row>
    <row r="56" spans="1:8" hidden="1" x14ac:dyDescent="0.3">
      <c r="A56" s="112" t="str">
        <f t="shared" si="0"/>
        <v/>
      </c>
      <c r="B56" s="116" t="e">
        <f>IF(INT('[3]Annex-8'!B49)='[3]Annex-8'!B49,'[3]Annex-8'!B49&amp;".00  ",IF(INT('[3]Annex-8'!B49*10)='[3]Annex-8'!B49*10,'[3]Annex-8'!B49&amp;"0  ",ROUND('[3]Annex-8'!B49,2)&amp;"  "))</f>
        <v>#VALUE!</v>
      </c>
      <c r="C56" s="116" t="e">
        <f>IF(INT('[3]Annex-8'!C49)='[3]Annex-8'!C49,'[3]Annex-8'!C49&amp;".00  ",IF(INT('[3]Annex-8'!C49*10)='[3]Annex-8'!C49*10,'[3]Annex-8'!C49&amp;"0  ",ROUND('[3]Annex-8'!C49,2)&amp;"  "))</f>
        <v>#VALUE!</v>
      </c>
      <c r="D56" s="116" t="e">
        <f>IF(INT('[3]Annex-8'!D49)='[3]Annex-8'!D49,'[3]Annex-8'!D49&amp;".00  ",IF(INT('[3]Annex-8'!D49*10)='[3]Annex-8'!D49*10,'[3]Annex-8'!D49&amp;"0  ",ROUND('[3]Annex-8'!D49,2)&amp;"  "))</f>
        <v>#VALUE!</v>
      </c>
      <c r="E56" s="116" t="e">
        <f>IF(INT('[3]Annex-8'!E49)='[3]Annex-8'!E49,'[3]Annex-8'!E49&amp;".00  ",IF(INT('[3]Annex-8'!E49*10)='[3]Annex-8'!E49*10,'[3]Annex-8'!E49&amp;"0  ",ROUND('[3]Annex-8'!E49,2)&amp;"  "))</f>
        <v>#VALUE!</v>
      </c>
      <c r="F56" s="116" t="e">
        <f>IF(INT('[3]Annex-8'!F49)='[3]Annex-8'!F49,'[3]Annex-8'!F49&amp;".00  ",IF(INT('[3]Annex-8'!F49*10)='[3]Annex-8'!F49*10,'[3]Annex-8'!F49&amp;"0  ",ROUND('[3]Annex-8'!F49,2)&amp;"  "))</f>
        <v>#VALUE!</v>
      </c>
      <c r="G56" s="116" t="e">
        <f>IF(INT('[3]Annex-8'!G49)='[3]Annex-8'!G49,'[3]Annex-8'!G49&amp;".00  ",IF(INT('[3]Annex-8'!G49*10)='[3]Annex-8'!G49*10,'[3]Annex-8'!G49&amp;"0  ",ROUND('[3]Annex-8'!G49,2)&amp;"  "))</f>
        <v>#VALUE!</v>
      </c>
      <c r="H56" s="116" t="e">
        <f>IF('[3]Annex-8'!H49&lt;0,"(-)"&amp;FIXED(ABS('[3]Annex-8'!H49),2)&amp;"    ",FIXED('[3]Annex-8'!H49,2)&amp;"    ")</f>
        <v>#VALUE!</v>
      </c>
    </row>
    <row r="57" spans="1:8" hidden="1" x14ac:dyDescent="0.3">
      <c r="A57" s="112" t="str">
        <f t="shared" si="0"/>
        <v/>
      </c>
      <c r="B57" s="116" t="e">
        <f>IF(INT('[3]Annex-8'!B50)='[3]Annex-8'!B50,'[3]Annex-8'!B50&amp;".00  ",IF(INT('[3]Annex-8'!B50*10)='[3]Annex-8'!B50*10,'[3]Annex-8'!B50&amp;"0  ",ROUND('[3]Annex-8'!B50,2)&amp;"  "))</f>
        <v>#VALUE!</v>
      </c>
      <c r="C57" s="116" t="e">
        <f>IF(INT('[3]Annex-8'!C50)='[3]Annex-8'!C50,'[3]Annex-8'!C50&amp;".00  ",IF(INT('[3]Annex-8'!C50*10)='[3]Annex-8'!C50*10,'[3]Annex-8'!C50&amp;"0  ",ROUND('[3]Annex-8'!C50,2)&amp;"  "))</f>
        <v>#VALUE!</v>
      </c>
      <c r="D57" s="116" t="e">
        <f>IF(INT('[3]Annex-8'!D50)='[3]Annex-8'!D50,'[3]Annex-8'!D50&amp;".00  ",IF(INT('[3]Annex-8'!D50*10)='[3]Annex-8'!D50*10,'[3]Annex-8'!D50&amp;"0  ",ROUND('[3]Annex-8'!D50,2)&amp;"  "))</f>
        <v>#VALUE!</v>
      </c>
      <c r="E57" s="116" t="e">
        <f>IF(INT('[3]Annex-8'!E50)='[3]Annex-8'!E50,'[3]Annex-8'!E50&amp;".00  ",IF(INT('[3]Annex-8'!E50*10)='[3]Annex-8'!E50*10,'[3]Annex-8'!E50&amp;"0  ",ROUND('[3]Annex-8'!E50,2)&amp;"  "))</f>
        <v>#VALUE!</v>
      </c>
      <c r="F57" s="116" t="e">
        <f>IF(INT('[3]Annex-8'!F50)='[3]Annex-8'!F50,'[3]Annex-8'!F50&amp;".00  ",IF(INT('[3]Annex-8'!F50*10)='[3]Annex-8'!F50*10,'[3]Annex-8'!F50&amp;"0  ",ROUND('[3]Annex-8'!F50,2)&amp;"  "))</f>
        <v>#VALUE!</v>
      </c>
      <c r="G57" s="116" t="e">
        <f>IF(INT('[3]Annex-8'!G50)='[3]Annex-8'!G50,'[3]Annex-8'!G50&amp;".00  ",IF(INT('[3]Annex-8'!G50*10)='[3]Annex-8'!G50*10,'[3]Annex-8'!G50&amp;"0  ",ROUND('[3]Annex-8'!G50,2)&amp;"  "))</f>
        <v>#VALUE!</v>
      </c>
      <c r="H57" s="116" t="e">
        <f>IF('[3]Annex-8'!H50&lt;0,"(-)"&amp;FIXED(ABS('[3]Annex-8'!H50),2)&amp;"    ",FIXED('[3]Annex-8'!H50,2)&amp;"    ")</f>
        <v>#VALUE!</v>
      </c>
    </row>
    <row r="58" spans="1:8" hidden="1" x14ac:dyDescent="0.3">
      <c r="A58" s="111" t="str">
        <f t="shared" si="0"/>
        <v/>
      </c>
      <c r="B58" s="117" t="e">
        <f>IF(INT('[3]Annex-8'!B51)='[3]Annex-8'!B51,'[3]Annex-8'!B51&amp;".00  ",IF(INT('[3]Annex-8'!B51*10)='[3]Annex-8'!B51*10,'[3]Annex-8'!B51&amp;"0  ",ROUND('[3]Annex-8'!B51,2)&amp;"  "))</f>
        <v>#VALUE!</v>
      </c>
      <c r="C58" s="117" t="e">
        <f>IF(INT('[3]Annex-8'!C51)='[3]Annex-8'!C51,'[3]Annex-8'!C51&amp;".00  ",IF(INT('[3]Annex-8'!C51*10)='[3]Annex-8'!C51*10,'[3]Annex-8'!C51&amp;"0  ",ROUND('[3]Annex-8'!C51,2)&amp;"  "))</f>
        <v>#VALUE!</v>
      </c>
      <c r="D58" s="117" t="e">
        <f>IF(INT('[3]Annex-8'!D51)='[3]Annex-8'!D51,'[3]Annex-8'!D51&amp;".00  ",IF(INT('[3]Annex-8'!D51*10)='[3]Annex-8'!D51*10,'[3]Annex-8'!D51&amp;"0  ",ROUND('[3]Annex-8'!D51,2)&amp;"  "))</f>
        <v>#VALUE!</v>
      </c>
      <c r="E58" s="117" t="e">
        <f>IF(INT('[3]Annex-8'!E51)='[3]Annex-8'!E51,'[3]Annex-8'!E51&amp;".00  ",IF(INT('[3]Annex-8'!E51*10)='[3]Annex-8'!E51*10,'[3]Annex-8'!E51&amp;"0  ",ROUND('[3]Annex-8'!E51,2)&amp;"  "))</f>
        <v>#VALUE!</v>
      </c>
      <c r="F58" s="117" t="e">
        <f>IF(INT('[3]Annex-8'!F51)='[3]Annex-8'!F51,'[3]Annex-8'!F51&amp;".00  ",IF(INT('[3]Annex-8'!F51*10)='[3]Annex-8'!F51*10,'[3]Annex-8'!F51&amp;"0  ",ROUND('[3]Annex-8'!F51,2)&amp;"  "))</f>
        <v>#VALUE!</v>
      </c>
      <c r="G58" s="117" t="e">
        <f>IF(INT('[3]Annex-8'!G51)='[3]Annex-8'!G51,'[3]Annex-8'!G51&amp;".00  ",IF(INT('[3]Annex-8'!G51*10)='[3]Annex-8'!G51*10,'[3]Annex-8'!G51&amp;"0  ",ROUND('[3]Annex-8'!G51,2)&amp;"  "))</f>
        <v>#VALUE!</v>
      </c>
      <c r="H58" s="117" t="e">
        <f>IF('[3]Annex-8'!H51&lt;0,"(-)"&amp;FIXED(ABS('[3]Annex-8'!H51),2)&amp;"    ",FIXED('[3]Annex-8'!H51,2)&amp;"    ")</f>
        <v>#VALUE!</v>
      </c>
    </row>
    <row r="59" spans="1:8" hidden="1" x14ac:dyDescent="0.3">
      <c r="A59" s="112" t="str">
        <f t="shared" si="0"/>
        <v/>
      </c>
      <c r="B59" s="118" t="e">
        <f>IF(INT('[3]Annex-8'!B52)='[3]Annex-8'!B52,'[3]Annex-8'!B52&amp;".00  ",IF(INT('[3]Annex-8'!B52*10)='[3]Annex-8'!B52*10,'[3]Annex-8'!B52&amp;"0  ",ROUND('[3]Annex-8'!B52,2)&amp;"  "))</f>
        <v>#VALUE!</v>
      </c>
      <c r="C59" s="118" t="e">
        <f>IF(INT('[3]Annex-8'!C52)='[3]Annex-8'!C52,'[3]Annex-8'!C52&amp;".00  ",IF(INT('[3]Annex-8'!C52*10)='[3]Annex-8'!C52*10,'[3]Annex-8'!C52&amp;"0  ",ROUND('[3]Annex-8'!C52,2)&amp;"  "))</f>
        <v>#VALUE!</v>
      </c>
      <c r="D59" s="118" t="e">
        <f>IF(INT('[3]Annex-8'!D52)='[3]Annex-8'!D52,'[3]Annex-8'!D52&amp;".00  ",IF(INT('[3]Annex-8'!D52*10)='[3]Annex-8'!D52*10,'[3]Annex-8'!D52&amp;"0  ",ROUND('[3]Annex-8'!D52,2)&amp;"  "))</f>
        <v>#VALUE!</v>
      </c>
      <c r="E59" s="118" t="e">
        <f>IF(INT('[3]Annex-8'!E52)='[3]Annex-8'!E52,'[3]Annex-8'!E52&amp;".00  ",IF(INT('[3]Annex-8'!E52*10)='[3]Annex-8'!E52*10,'[3]Annex-8'!E52&amp;"0  ",ROUND('[3]Annex-8'!E52,2)&amp;"  "))</f>
        <v>#VALUE!</v>
      </c>
      <c r="F59" s="118" t="e">
        <f>IF(INT('[3]Annex-8'!F52)='[3]Annex-8'!F52,'[3]Annex-8'!F52&amp;".00  ",IF(INT('[3]Annex-8'!F52*10)='[3]Annex-8'!F52*10,'[3]Annex-8'!F52&amp;"0  ",ROUND('[3]Annex-8'!F52,2)&amp;"  "))</f>
        <v>#VALUE!</v>
      </c>
      <c r="G59" s="118" t="e">
        <f>IF(INT('[3]Annex-8'!G52)='[3]Annex-8'!G52,'[3]Annex-8'!G52&amp;".00  ",IF(INT('[3]Annex-8'!G52*10)='[3]Annex-8'!G52*10,'[3]Annex-8'!G52&amp;"0  ",ROUND('[3]Annex-8'!G52,2)&amp;"  "))</f>
        <v>#VALUE!</v>
      </c>
      <c r="H59" s="118" t="e">
        <f>IF('[3]Annex-8'!H52&lt;0,"(-)"&amp;FIXED(ABS('[3]Annex-8'!H52),2)&amp;"    ",FIXED('[3]Annex-8'!H52,2)&amp;"    ")</f>
        <v>#VALUE!</v>
      </c>
    </row>
    <row r="60" spans="1:8" hidden="1" x14ac:dyDescent="0.3">
      <c r="A60" s="112" t="str">
        <f t="shared" si="0"/>
        <v/>
      </c>
      <c r="B60" s="118" t="e">
        <f>IF(INT('[3]Annex-8'!B53)='[3]Annex-8'!B53,'[3]Annex-8'!B53&amp;".00  ",IF(INT('[3]Annex-8'!B53*10)='[3]Annex-8'!B53*10,'[3]Annex-8'!B53&amp;"0  ",ROUND('[3]Annex-8'!B53,2)&amp;"  "))</f>
        <v>#VALUE!</v>
      </c>
      <c r="C60" s="118" t="e">
        <f>IF(INT('[3]Annex-8'!C53)='[3]Annex-8'!C53,'[3]Annex-8'!C53&amp;".00  ",IF(INT('[3]Annex-8'!C53*10)='[3]Annex-8'!C53*10,'[3]Annex-8'!C53&amp;"0  ",ROUND('[3]Annex-8'!C53,2)&amp;"  "))</f>
        <v>#VALUE!</v>
      </c>
      <c r="D60" s="118" t="e">
        <f>IF(INT('[3]Annex-8'!D53)='[3]Annex-8'!D53,'[3]Annex-8'!D53&amp;".00  ",IF(INT('[3]Annex-8'!D53*10)='[3]Annex-8'!D53*10,'[3]Annex-8'!D53&amp;"0  ",ROUND('[3]Annex-8'!D53,2)&amp;"  "))</f>
        <v>#VALUE!</v>
      </c>
      <c r="E60" s="118" t="e">
        <f>IF(INT('[3]Annex-8'!E53)='[3]Annex-8'!E53,'[3]Annex-8'!E53&amp;".00  ",IF(INT('[3]Annex-8'!E53*10)='[3]Annex-8'!E53*10,'[3]Annex-8'!E53&amp;"0  ",ROUND('[3]Annex-8'!E53,2)&amp;"  "))</f>
        <v>#VALUE!</v>
      </c>
      <c r="F60" s="118" t="e">
        <f>IF(INT('[3]Annex-8'!F53)='[3]Annex-8'!F53,'[3]Annex-8'!F53&amp;".00  ",IF(INT('[3]Annex-8'!F53*10)='[3]Annex-8'!F53*10,'[3]Annex-8'!F53&amp;"0  ",ROUND('[3]Annex-8'!F53,2)&amp;"  "))</f>
        <v>#VALUE!</v>
      </c>
      <c r="G60" s="118" t="e">
        <f>IF(INT('[3]Annex-8'!G53)='[3]Annex-8'!G53,'[3]Annex-8'!G53&amp;".00  ",IF(INT('[3]Annex-8'!G53*10)='[3]Annex-8'!G53*10,'[3]Annex-8'!G53&amp;"0  ",ROUND('[3]Annex-8'!G53,2)&amp;"  "))</f>
        <v>#VALUE!</v>
      </c>
      <c r="H60" s="118" t="e">
        <f>IF('[3]Annex-8'!H53&lt;0,"(-)"&amp;FIXED(ABS('[3]Annex-8'!H53),2)&amp;"    ",FIXED('[3]Annex-8'!H53,2)&amp;"    ")</f>
        <v>#VALUE!</v>
      </c>
    </row>
    <row r="61" spans="1:8" hidden="1" x14ac:dyDescent="0.3">
      <c r="A61" s="112" t="str">
        <f t="shared" si="0"/>
        <v/>
      </c>
      <c r="B61" s="118" t="e">
        <f>IF(INT('[3]Annex-8'!B54)='[3]Annex-8'!B54,'[3]Annex-8'!B54&amp;".00  ",IF(INT('[3]Annex-8'!B54*10)='[3]Annex-8'!B54*10,'[3]Annex-8'!B54&amp;"0  ",ROUND('[3]Annex-8'!B54,2)&amp;"  "))</f>
        <v>#VALUE!</v>
      </c>
      <c r="C61" s="118" t="e">
        <f>IF(INT('[3]Annex-8'!C54)='[3]Annex-8'!C54,'[3]Annex-8'!C54&amp;".00  ",IF(INT('[3]Annex-8'!C54*10)='[3]Annex-8'!C54*10,'[3]Annex-8'!C54&amp;"0  ",ROUND('[3]Annex-8'!C54,2)&amp;"  "))</f>
        <v>#VALUE!</v>
      </c>
      <c r="D61" s="118" t="e">
        <f>IF(INT('[3]Annex-8'!D54)='[3]Annex-8'!D54,'[3]Annex-8'!D54&amp;".00  ",IF(INT('[3]Annex-8'!D54*10)='[3]Annex-8'!D54*10,'[3]Annex-8'!D54&amp;"0  ",ROUND('[3]Annex-8'!D54,2)&amp;"  "))</f>
        <v>#VALUE!</v>
      </c>
      <c r="E61" s="118" t="e">
        <f>IF(INT('[3]Annex-8'!E54)='[3]Annex-8'!E54,'[3]Annex-8'!E54&amp;".00  ",IF(INT('[3]Annex-8'!E54*10)='[3]Annex-8'!E54*10,'[3]Annex-8'!E54&amp;"0  ",ROUND('[3]Annex-8'!E54,2)&amp;"  "))</f>
        <v>#VALUE!</v>
      </c>
      <c r="F61" s="118" t="e">
        <f>IF(INT('[3]Annex-8'!F54)='[3]Annex-8'!F54,'[3]Annex-8'!F54&amp;".00  ",IF(INT('[3]Annex-8'!F54*10)='[3]Annex-8'!F54*10,'[3]Annex-8'!F54&amp;"0  ",ROUND('[3]Annex-8'!F54,2)&amp;"  "))</f>
        <v>#VALUE!</v>
      </c>
      <c r="G61" s="118" t="e">
        <f>IF(INT('[3]Annex-8'!G54)='[3]Annex-8'!G54,'[3]Annex-8'!G54&amp;".00  ",IF(INT('[3]Annex-8'!G54*10)='[3]Annex-8'!G54*10,'[3]Annex-8'!G54&amp;"0  ",ROUND('[3]Annex-8'!G54,2)&amp;"  "))</f>
        <v>#VALUE!</v>
      </c>
      <c r="H61" s="118" t="e">
        <f>IF('[3]Annex-8'!H54&lt;0,"(-)"&amp;FIXED(ABS('[3]Annex-8'!H54),2)&amp;"    ",FIXED('[3]Annex-8'!H54,2)&amp;"    ")</f>
        <v>#VALUE!</v>
      </c>
    </row>
    <row r="62" spans="1:8" hidden="1" x14ac:dyDescent="0.3">
      <c r="A62" s="112" t="str">
        <f t="shared" si="0"/>
        <v/>
      </c>
      <c r="B62" s="118" t="e">
        <f>IF(INT('[3]Annex-8'!B55)='[3]Annex-8'!B55,'[3]Annex-8'!B55&amp;".00  ",IF(INT('[3]Annex-8'!B55*10)='[3]Annex-8'!B55*10,'[3]Annex-8'!B55&amp;"0  ",ROUND('[3]Annex-8'!B55,2)&amp;"  "))</f>
        <v>#VALUE!</v>
      </c>
      <c r="C62" s="118" t="e">
        <f>IF(INT('[3]Annex-8'!C55)='[3]Annex-8'!C55,'[3]Annex-8'!C55&amp;".00  ",IF(INT('[3]Annex-8'!C55*10)='[3]Annex-8'!C55*10,'[3]Annex-8'!C55&amp;"0  ",ROUND('[3]Annex-8'!C55,2)&amp;"  "))</f>
        <v>#VALUE!</v>
      </c>
      <c r="D62" s="118" t="e">
        <f>IF(INT('[3]Annex-8'!D55)='[3]Annex-8'!D55,'[3]Annex-8'!D55&amp;".00  ",IF(INT('[3]Annex-8'!D55*10)='[3]Annex-8'!D55*10,'[3]Annex-8'!D55&amp;"0  ",ROUND('[3]Annex-8'!D55,2)&amp;"  "))</f>
        <v>#VALUE!</v>
      </c>
      <c r="E62" s="118" t="e">
        <f>IF(INT('[3]Annex-8'!E55)='[3]Annex-8'!E55,'[3]Annex-8'!E55&amp;".00  ",IF(INT('[3]Annex-8'!E55*10)='[3]Annex-8'!E55*10,'[3]Annex-8'!E55&amp;"0  ",ROUND('[3]Annex-8'!E55,2)&amp;"  "))</f>
        <v>#VALUE!</v>
      </c>
      <c r="F62" s="118" t="e">
        <f>IF(INT('[3]Annex-8'!F55)='[3]Annex-8'!F55,'[3]Annex-8'!F55&amp;".00  ",IF(INT('[3]Annex-8'!F55*10)='[3]Annex-8'!F55*10,'[3]Annex-8'!F55&amp;"0  ",ROUND('[3]Annex-8'!F55,2)&amp;"  "))</f>
        <v>#VALUE!</v>
      </c>
      <c r="G62" s="118" t="e">
        <f>IF(INT('[3]Annex-8'!G55)='[3]Annex-8'!G55,'[3]Annex-8'!G55&amp;".00  ",IF(INT('[3]Annex-8'!G55*10)='[3]Annex-8'!G55*10,'[3]Annex-8'!G55&amp;"0  ",ROUND('[3]Annex-8'!G55,2)&amp;"  "))</f>
        <v>#VALUE!</v>
      </c>
      <c r="H62" s="118" t="e">
        <f>IF('[3]Annex-8'!H55&lt;0,"(-)"&amp;FIXED(ABS('[3]Annex-8'!H55),2)&amp;"    ",FIXED('[3]Annex-8'!H55,2)&amp;"    ")</f>
        <v>#VALUE!</v>
      </c>
    </row>
    <row r="63" spans="1:8" hidden="1" x14ac:dyDescent="0.3">
      <c r="A63" s="119" t="str">
        <f t="shared" si="0"/>
        <v/>
      </c>
      <c r="B63" s="120" t="e">
        <f>IF(INT('[3]Annex-8'!B56)='[3]Annex-8'!B56,'[3]Annex-8'!B56&amp;".00  ",IF(INT('[3]Annex-8'!B56*10)='[3]Annex-8'!B56*10,'[3]Annex-8'!B56&amp;"0  ",ROUND('[3]Annex-8'!B56,2)&amp;"  "))</f>
        <v>#VALUE!</v>
      </c>
      <c r="C63" s="120" t="e">
        <f>IF(INT('[3]Annex-8'!C56)='[3]Annex-8'!C56,'[3]Annex-8'!C56&amp;".00  ",IF(INT('[3]Annex-8'!C56*10)='[3]Annex-8'!C56*10,'[3]Annex-8'!C56&amp;"0  ",ROUND('[3]Annex-8'!C56,2)&amp;"  "))</f>
        <v>#VALUE!</v>
      </c>
      <c r="D63" s="120" t="e">
        <f>IF(INT('[3]Annex-8'!D56)='[3]Annex-8'!D56,'[3]Annex-8'!D56&amp;".00  ",IF(INT('[3]Annex-8'!D56*10)='[3]Annex-8'!D56*10,'[3]Annex-8'!D56&amp;"0  ",ROUND('[3]Annex-8'!D56,2)&amp;"  "))</f>
        <v>#VALUE!</v>
      </c>
      <c r="E63" s="120" t="e">
        <f>IF(INT('[3]Annex-8'!E56)='[3]Annex-8'!E56,'[3]Annex-8'!E56&amp;".00  ",IF(INT('[3]Annex-8'!E56*10)='[3]Annex-8'!E56*10,'[3]Annex-8'!E56&amp;"0  ",ROUND('[3]Annex-8'!E56,2)&amp;"  "))</f>
        <v>#VALUE!</v>
      </c>
      <c r="F63" s="120" t="e">
        <f>IF(INT('[3]Annex-8'!F56)='[3]Annex-8'!F56,'[3]Annex-8'!F56&amp;".00  ",IF(INT('[3]Annex-8'!F56*10)='[3]Annex-8'!F56*10,'[3]Annex-8'!F56&amp;"0  ",ROUND('[3]Annex-8'!F56,2)&amp;"  "))</f>
        <v>#VALUE!</v>
      </c>
      <c r="G63" s="120" t="e">
        <f>IF(INT('[3]Annex-8'!G56)='[3]Annex-8'!G56,'[3]Annex-8'!G56&amp;".00  ",IF(INT('[3]Annex-8'!G56*10)='[3]Annex-8'!G56*10,'[3]Annex-8'!G56&amp;"0  ",ROUND('[3]Annex-8'!G56,2)&amp;"  "))</f>
        <v>#VALUE!</v>
      </c>
      <c r="H63" s="120" t="e">
        <f>IF('[3]Annex-8'!H56&lt;0,"(-)"&amp;FIXED(ABS('[3]Annex-8'!H56),2)&amp;"    ",FIXED('[3]Annex-8'!H56,2)&amp;"    ")</f>
        <v>#VALUE!</v>
      </c>
    </row>
    <row r="64" spans="1:8" ht="21.6" customHeight="1" x14ac:dyDescent="0.3">
      <c r="A64" s="98" t="str">
        <f>common!$I$5</f>
        <v>RABI II 2023-24</v>
      </c>
      <c r="B64" s="78"/>
      <c r="C64" s="78"/>
      <c r="D64" s="78"/>
      <c r="E64" s="78"/>
      <c r="F64" s="78"/>
      <c r="G64" s="78"/>
      <c r="H64" s="78"/>
    </row>
    <row r="65" spans="1:8" ht="21.6" customHeight="1" x14ac:dyDescent="0.3">
      <c r="A65" s="112" t="str">
        <f>A25</f>
        <v>PADDY</v>
      </c>
      <c r="B65" s="116" t="str">
        <f>IF(INT('[3]Annex-8'!B58)='[3]Annex-8'!B58,'[3]Annex-8'!B58&amp;".00  ",IF(INT('[3]Annex-8'!B58*10)='[3]Annex-8'!B58*10,'[3]Annex-8'!B58&amp;"0  ",ROUND('[3]Annex-8'!B58,2)&amp;"  "))</f>
        <v xml:space="preserve">9.52  </v>
      </c>
      <c r="C65" s="116" t="str">
        <f>IF(INT('[3]Annex-8'!C58)='[3]Annex-8'!C58,'[3]Annex-8'!C58&amp;".00  ",IF(INT('[3]Annex-8'!C58*10)='[3]Annex-8'!C58*10,'[3]Annex-8'!C58&amp;"0  ",ROUND('[3]Annex-8'!C58,2)&amp;"  "))</f>
        <v xml:space="preserve">9.52  </v>
      </c>
      <c r="D65" s="116" t="str">
        <f>IF(INT('[3]Annex-8'!D58)='[3]Annex-8'!D58,'[3]Annex-8'!D58&amp;".00  ",IF(INT('[3]Annex-8'!D58*10)='[3]Annex-8'!D58*10,'[3]Annex-8'!D58&amp;"0  ",ROUND('[3]Annex-8'!D58,2)&amp;"  "))</f>
        <v xml:space="preserve">3.17  </v>
      </c>
      <c r="E65" s="116" t="str">
        <f>IF(INT('[3]Annex-8'!E58)='[3]Annex-8'!E58,'[3]Annex-8'!E58&amp;".00  ",IF(INT('[3]Annex-8'!E58*10)='[3]Annex-8'!E58*10,'[3]Annex-8'!E58&amp;"0  ",ROUND('[3]Annex-8'!E58,2)&amp;"  "))</f>
        <v xml:space="preserve">3.17  </v>
      </c>
      <c r="F65" s="116" t="str">
        <f>IF(INT('[3]Annex-8'!F58)='[3]Annex-8'!F58,'[3]Annex-8'!F58&amp;".00  ",IF(INT('[3]Annex-8'!F58*10)='[3]Annex-8'!F58*10,'[3]Annex-8'!F58&amp;"0  ",ROUND('[3]Annex-8'!F58,2)&amp;"  "))</f>
        <v xml:space="preserve">12.69  </v>
      </c>
      <c r="G65" s="116" t="str">
        <f>IF(INT('[3]Annex-8'!G58)='[3]Annex-8'!G58,'[3]Annex-8'!G58&amp;".00  ",IF(INT('[3]Annex-8'!G58*10)='[3]Annex-8'!G58*10,'[3]Annex-8'!G58&amp;"0  ",ROUND('[3]Annex-8'!G58,2)&amp;"  "))</f>
        <v xml:space="preserve">12.69  </v>
      </c>
      <c r="H65" s="116" t="str">
        <f>IF('[3]Annex-8'!H58&lt;0,"(-)"&amp;FIXED(ABS('[3]Annex-8'!H58),2)&amp;"    ",FIXED('[3]Annex-8'!H58,2)&amp;"    ")</f>
        <v xml:space="preserve">0.00    </v>
      </c>
    </row>
    <row r="66" spans="1:8" ht="21.6" customHeight="1" thickBot="1" x14ac:dyDescent="0.35">
      <c r="A66" s="114" t="str">
        <f t="shared" ref="A66:A79" si="1">A26</f>
        <v>OTHERS</v>
      </c>
      <c r="B66" s="121" t="str">
        <f>IF(INT('[3]Annex-8'!B59)='[3]Annex-8'!B59,'[3]Annex-8'!B59&amp;".00  ",IF(INT('[3]Annex-8'!B59*10)='[3]Annex-8'!B59*10,'[3]Annex-8'!B59&amp;"0  ",ROUND('[3]Annex-8'!B59,2)&amp;"  "))</f>
        <v xml:space="preserve">2.53  </v>
      </c>
      <c r="C66" s="121" t="str">
        <f>IF(INT('[3]Annex-8'!C59)='[3]Annex-8'!C59,'[3]Annex-8'!C59&amp;".00  ",IF(INT('[3]Annex-8'!C59*10)='[3]Annex-8'!C59*10,'[3]Annex-8'!C59&amp;"0  ",ROUND('[3]Annex-8'!C59,2)&amp;"  "))</f>
        <v xml:space="preserve">2.53  </v>
      </c>
      <c r="D66" s="121" t="str">
        <f>IF(INT('[3]Annex-8'!D59)='[3]Annex-8'!D59,'[3]Annex-8'!D59&amp;".00  ",IF(INT('[3]Annex-8'!D59*10)='[3]Annex-8'!D59*10,'[3]Annex-8'!D59&amp;"0  ",ROUND('[3]Annex-8'!D59,2)&amp;"  "))</f>
        <v xml:space="preserve">2.89  </v>
      </c>
      <c r="E66" s="121" t="str">
        <f>IF(INT('[3]Annex-8'!E59)='[3]Annex-8'!E59,'[3]Annex-8'!E59&amp;".00  ",IF(INT('[3]Annex-8'!E59*10)='[3]Annex-8'!E59*10,'[3]Annex-8'!E59&amp;"0  ",ROUND('[3]Annex-8'!E59,2)&amp;"  "))</f>
        <v xml:space="preserve">2.81  </v>
      </c>
      <c r="F66" s="121" t="str">
        <f>IF(INT('[3]Annex-8'!F59)='[3]Annex-8'!F59,'[3]Annex-8'!F59&amp;".00  ",IF(INT('[3]Annex-8'!F59*10)='[3]Annex-8'!F59*10,'[3]Annex-8'!F59&amp;"0  ",ROUND('[3]Annex-8'!F59,2)&amp;"  "))</f>
        <v xml:space="preserve">5.42  </v>
      </c>
      <c r="G66" s="121" t="str">
        <f>IF(INT('[3]Annex-8'!G59)='[3]Annex-8'!G59,'[3]Annex-8'!G59&amp;".00  ",IF(INT('[3]Annex-8'!G59*10)='[3]Annex-8'!G59*10,'[3]Annex-8'!G59&amp;"0  ",ROUND('[3]Annex-8'!G59,2)&amp;"  "))</f>
        <v xml:space="preserve">5.34  </v>
      </c>
      <c r="H66" s="121" t="str">
        <f>IF('[3]Annex-8'!H59&lt;0,"(-)"&amp;FIXED(ABS('[3]Annex-8'!H59),2)&amp;"    ",FIXED('[3]Annex-8'!H59,2)&amp;"    ")</f>
        <v xml:space="preserve">(-)1.48    </v>
      </c>
    </row>
    <row r="67" spans="1:8" hidden="1" x14ac:dyDescent="0.3">
      <c r="A67" s="112" t="str">
        <f t="shared" si="1"/>
        <v/>
      </c>
      <c r="B67" s="116" t="e">
        <f>IF(INT('[3]Annex-8'!B60)='[3]Annex-8'!B60,'[3]Annex-8'!B60&amp;".00  ",IF(INT('[3]Annex-8'!B60*10)='[3]Annex-8'!B60*10,'[3]Annex-8'!B60&amp;"0  ",ROUND('[3]Annex-8'!B60,2)&amp;"  "))</f>
        <v>#VALUE!</v>
      </c>
      <c r="C67" s="116" t="e">
        <f>IF(INT('[3]Annex-8'!C60)='[3]Annex-8'!C60,'[3]Annex-8'!C60&amp;".00  ",IF(INT('[3]Annex-8'!C60*10)='[3]Annex-8'!C60*10,'[3]Annex-8'!C60&amp;"0  ",ROUND('[3]Annex-8'!C60,2)&amp;"  "))</f>
        <v>#VALUE!</v>
      </c>
      <c r="D67" s="116" t="e">
        <f>IF(INT('[3]Annex-8'!D60)='[3]Annex-8'!D60,'[3]Annex-8'!D60&amp;".00  ",IF(INT('[3]Annex-8'!D60*10)='[3]Annex-8'!D60*10,'[3]Annex-8'!D60&amp;"0  ",ROUND('[3]Annex-8'!D60,2)&amp;"  "))</f>
        <v>#VALUE!</v>
      </c>
      <c r="E67" s="116" t="e">
        <f>IF(INT('[3]Annex-8'!E60)='[3]Annex-8'!E60,'[3]Annex-8'!E60&amp;".00  ",IF(INT('[3]Annex-8'!E60*10)='[3]Annex-8'!E60*10,'[3]Annex-8'!E60&amp;"0  ",ROUND('[3]Annex-8'!E60,2)&amp;"  "))</f>
        <v>#VALUE!</v>
      </c>
      <c r="F67" s="116" t="e">
        <f>IF(INT('[3]Annex-8'!F60)='[3]Annex-8'!F60,'[3]Annex-8'!F60&amp;".00  ",IF(INT('[3]Annex-8'!F60*10)='[3]Annex-8'!F60*10,'[3]Annex-8'!F60&amp;"0  ",ROUND('[3]Annex-8'!F60,2)&amp;"  "))</f>
        <v>#VALUE!</v>
      </c>
      <c r="G67" s="116" t="e">
        <f>IF(INT('[3]Annex-8'!G60)='[3]Annex-8'!G60,'[3]Annex-8'!G60&amp;".00  ",IF(INT('[3]Annex-8'!G60*10)='[3]Annex-8'!G60*10,'[3]Annex-8'!G60&amp;"0  ",ROUND('[3]Annex-8'!G60,2)&amp;"  "))</f>
        <v>#VALUE!</v>
      </c>
      <c r="H67" s="116" t="e">
        <f>IF('[3]Annex-8'!H60&lt;0,"(-)"&amp;FIXED(ABS('[3]Annex-8'!H60),2)&amp;"    ",FIXED('[3]Annex-8'!H60,2)&amp;"    ")</f>
        <v>#VALUE!</v>
      </c>
    </row>
    <row r="68" spans="1:8" hidden="1" x14ac:dyDescent="0.3">
      <c r="A68" s="112" t="str">
        <f t="shared" si="1"/>
        <v/>
      </c>
      <c r="B68" s="116" t="e">
        <f>IF(INT('[3]Annex-8'!B61)='[3]Annex-8'!B61,'[3]Annex-8'!B61&amp;".00  ",IF(INT('[3]Annex-8'!B61*10)='[3]Annex-8'!B61*10,'[3]Annex-8'!B61&amp;"0  ",ROUND('[3]Annex-8'!B61,2)&amp;"  "))</f>
        <v>#VALUE!</v>
      </c>
      <c r="C68" s="116" t="e">
        <f>IF(INT('[3]Annex-8'!C61)='[3]Annex-8'!C61,'[3]Annex-8'!C61&amp;".00  ",IF(INT('[3]Annex-8'!C61*10)='[3]Annex-8'!C61*10,'[3]Annex-8'!C61&amp;"0  ",ROUND('[3]Annex-8'!C61,2)&amp;"  "))</f>
        <v>#VALUE!</v>
      </c>
      <c r="D68" s="116" t="e">
        <f>IF(INT('[3]Annex-8'!D61)='[3]Annex-8'!D61,'[3]Annex-8'!D61&amp;".00  ",IF(INT('[3]Annex-8'!D61*10)='[3]Annex-8'!D61*10,'[3]Annex-8'!D61&amp;"0  ",ROUND('[3]Annex-8'!D61,2)&amp;"  "))</f>
        <v>#VALUE!</v>
      </c>
      <c r="E68" s="116" t="e">
        <f>IF(INT('[3]Annex-8'!E61)='[3]Annex-8'!E61,'[3]Annex-8'!E61&amp;".00  ",IF(INT('[3]Annex-8'!E61*10)='[3]Annex-8'!E61*10,'[3]Annex-8'!E61&amp;"0  ",ROUND('[3]Annex-8'!E61,2)&amp;"  "))</f>
        <v>#VALUE!</v>
      </c>
      <c r="F68" s="116" t="e">
        <f>IF(INT('[3]Annex-8'!F61)='[3]Annex-8'!F61,'[3]Annex-8'!F61&amp;".00  ",IF(INT('[3]Annex-8'!F61*10)='[3]Annex-8'!F61*10,'[3]Annex-8'!F61&amp;"0  ",ROUND('[3]Annex-8'!F61,2)&amp;"  "))</f>
        <v>#VALUE!</v>
      </c>
      <c r="G68" s="116" t="e">
        <f>IF(INT('[3]Annex-8'!G61)='[3]Annex-8'!G61,'[3]Annex-8'!G61&amp;".00  ",IF(INT('[3]Annex-8'!G61*10)='[3]Annex-8'!G61*10,'[3]Annex-8'!G61&amp;"0  ",ROUND('[3]Annex-8'!G61,2)&amp;"  "))</f>
        <v>#VALUE!</v>
      </c>
      <c r="H68" s="116" t="e">
        <f>IF('[3]Annex-8'!H61&lt;0,"(-)"&amp;FIXED(ABS('[3]Annex-8'!H61),2)&amp;"    ",FIXED('[3]Annex-8'!H61,2)&amp;"    ")</f>
        <v>#VALUE!</v>
      </c>
    </row>
    <row r="69" spans="1:8" hidden="1" x14ac:dyDescent="0.3">
      <c r="A69" s="112" t="str">
        <f t="shared" si="1"/>
        <v/>
      </c>
      <c r="B69" s="116" t="e">
        <f>IF(INT('[3]Annex-8'!B62)='[3]Annex-8'!B62,'[3]Annex-8'!B62&amp;".00  ",IF(INT('[3]Annex-8'!B62*10)='[3]Annex-8'!B62*10,'[3]Annex-8'!B62&amp;"0  ",ROUND('[3]Annex-8'!B62,2)&amp;"  "))</f>
        <v>#VALUE!</v>
      </c>
      <c r="C69" s="116" t="e">
        <f>IF(INT('[3]Annex-8'!C62)='[3]Annex-8'!C62,'[3]Annex-8'!C62&amp;".00  ",IF(INT('[3]Annex-8'!C62*10)='[3]Annex-8'!C62*10,'[3]Annex-8'!C62&amp;"0  ",ROUND('[3]Annex-8'!C62,2)&amp;"  "))</f>
        <v>#VALUE!</v>
      </c>
      <c r="D69" s="116" t="e">
        <f>IF(INT('[3]Annex-8'!D62)='[3]Annex-8'!D62,'[3]Annex-8'!D62&amp;".00  ",IF(INT('[3]Annex-8'!D62*10)='[3]Annex-8'!D62*10,'[3]Annex-8'!D62&amp;"0  ",ROUND('[3]Annex-8'!D62,2)&amp;"  "))</f>
        <v>#VALUE!</v>
      </c>
      <c r="E69" s="116" t="e">
        <f>IF(INT('[3]Annex-8'!E62)='[3]Annex-8'!E62,'[3]Annex-8'!E62&amp;".00  ",IF(INT('[3]Annex-8'!E62*10)='[3]Annex-8'!E62*10,'[3]Annex-8'!E62&amp;"0  ",ROUND('[3]Annex-8'!E62,2)&amp;"  "))</f>
        <v>#VALUE!</v>
      </c>
      <c r="F69" s="116" t="e">
        <f>IF(INT('[3]Annex-8'!F62)='[3]Annex-8'!F62,'[3]Annex-8'!F62&amp;".00  ",IF(INT('[3]Annex-8'!F62*10)='[3]Annex-8'!F62*10,'[3]Annex-8'!F62&amp;"0  ",ROUND('[3]Annex-8'!F62,2)&amp;"  "))</f>
        <v>#VALUE!</v>
      </c>
      <c r="G69" s="116" t="e">
        <f>IF(INT('[3]Annex-8'!G62)='[3]Annex-8'!G62,'[3]Annex-8'!G62&amp;".00  ",IF(INT('[3]Annex-8'!G62*10)='[3]Annex-8'!G62*10,'[3]Annex-8'!G62&amp;"0  ",ROUND('[3]Annex-8'!G62,2)&amp;"  "))</f>
        <v>#VALUE!</v>
      </c>
      <c r="H69" s="116" t="e">
        <f>IF('[3]Annex-8'!H62&lt;0,"(-)"&amp;FIXED(ABS('[3]Annex-8'!H62),2)&amp;"    ",FIXED('[3]Annex-8'!H62,2)&amp;"    ")</f>
        <v>#VALUE!</v>
      </c>
    </row>
    <row r="70" spans="1:8" hidden="1" x14ac:dyDescent="0.3">
      <c r="A70" s="112" t="str">
        <f t="shared" si="1"/>
        <v/>
      </c>
      <c r="B70" s="116" t="e">
        <f>IF(INT('[3]Annex-8'!B63)='[3]Annex-8'!B63,'[3]Annex-8'!B63&amp;".00  ",IF(INT('[3]Annex-8'!B63*10)='[3]Annex-8'!B63*10,'[3]Annex-8'!B63&amp;"0  ",ROUND('[3]Annex-8'!B63,2)&amp;"  "))</f>
        <v>#VALUE!</v>
      </c>
      <c r="C70" s="116" t="e">
        <f>IF(INT('[3]Annex-8'!C63)='[3]Annex-8'!C63,'[3]Annex-8'!C63&amp;".00  ",IF(INT('[3]Annex-8'!C63*10)='[3]Annex-8'!C63*10,'[3]Annex-8'!C63&amp;"0  ",ROUND('[3]Annex-8'!C63,2)&amp;"  "))</f>
        <v>#VALUE!</v>
      </c>
      <c r="D70" s="116" t="e">
        <f>IF(INT('[3]Annex-8'!D63)='[3]Annex-8'!D63,'[3]Annex-8'!D63&amp;".00  ",IF(INT('[3]Annex-8'!D63*10)='[3]Annex-8'!D63*10,'[3]Annex-8'!D63&amp;"0  ",ROUND('[3]Annex-8'!D63,2)&amp;"  "))</f>
        <v>#VALUE!</v>
      </c>
      <c r="E70" s="116" t="e">
        <f>IF(INT('[3]Annex-8'!E63)='[3]Annex-8'!E63,'[3]Annex-8'!E63&amp;".00  ",IF(INT('[3]Annex-8'!E63*10)='[3]Annex-8'!E63*10,'[3]Annex-8'!E63&amp;"0  ",ROUND('[3]Annex-8'!E63,2)&amp;"  "))</f>
        <v>#VALUE!</v>
      </c>
      <c r="F70" s="116" t="e">
        <f>IF(INT('[3]Annex-8'!F63)='[3]Annex-8'!F63,'[3]Annex-8'!F63&amp;".00  ",IF(INT('[3]Annex-8'!F63*10)='[3]Annex-8'!F63*10,'[3]Annex-8'!F63&amp;"0  ",ROUND('[3]Annex-8'!F63,2)&amp;"  "))</f>
        <v>#VALUE!</v>
      </c>
      <c r="G70" s="116" t="e">
        <f>IF(INT('[3]Annex-8'!G63)='[3]Annex-8'!G63,'[3]Annex-8'!G63&amp;".00  ",IF(INT('[3]Annex-8'!G63*10)='[3]Annex-8'!G63*10,'[3]Annex-8'!G63&amp;"0  ",ROUND('[3]Annex-8'!G63,2)&amp;"  "))</f>
        <v>#VALUE!</v>
      </c>
      <c r="H70" s="116" t="e">
        <f>IF('[3]Annex-8'!H63&lt;0,"(-)"&amp;FIXED(ABS('[3]Annex-8'!H63),2)&amp;"    ",FIXED('[3]Annex-8'!H63,2)&amp;"    ")</f>
        <v>#VALUE!</v>
      </c>
    </row>
    <row r="71" spans="1:8" hidden="1" x14ac:dyDescent="0.3">
      <c r="A71" s="112" t="str">
        <f t="shared" si="1"/>
        <v/>
      </c>
      <c r="B71" s="116" t="e">
        <f>IF(INT('[3]Annex-8'!B64)='[3]Annex-8'!B64,'[3]Annex-8'!B64&amp;".00  ",IF(INT('[3]Annex-8'!B64*10)='[3]Annex-8'!B64*10,'[3]Annex-8'!B64&amp;"0  ",ROUND('[3]Annex-8'!B64,2)&amp;"  "))</f>
        <v>#VALUE!</v>
      </c>
      <c r="C71" s="116" t="e">
        <f>IF(INT('[3]Annex-8'!C64)='[3]Annex-8'!C64,'[3]Annex-8'!C64&amp;".00  ",IF(INT('[3]Annex-8'!C64*10)='[3]Annex-8'!C64*10,'[3]Annex-8'!C64&amp;"0  ",ROUND('[3]Annex-8'!C64,2)&amp;"  "))</f>
        <v>#VALUE!</v>
      </c>
      <c r="D71" s="116" t="e">
        <f>IF(INT('[3]Annex-8'!D64)='[3]Annex-8'!D64,'[3]Annex-8'!D64&amp;".00  ",IF(INT('[3]Annex-8'!D64*10)='[3]Annex-8'!D64*10,'[3]Annex-8'!D64&amp;"0  ",ROUND('[3]Annex-8'!D64,2)&amp;"  "))</f>
        <v>#VALUE!</v>
      </c>
      <c r="E71" s="116" t="e">
        <f>IF(INT('[3]Annex-8'!E64)='[3]Annex-8'!E64,'[3]Annex-8'!E64&amp;".00  ",IF(INT('[3]Annex-8'!E64*10)='[3]Annex-8'!E64*10,'[3]Annex-8'!E64&amp;"0  ",ROUND('[3]Annex-8'!E64,2)&amp;"  "))</f>
        <v>#VALUE!</v>
      </c>
      <c r="F71" s="116" t="e">
        <f>IF(INT('[3]Annex-8'!F64)='[3]Annex-8'!F64,'[3]Annex-8'!F64&amp;".00  ",IF(INT('[3]Annex-8'!F64*10)='[3]Annex-8'!F64*10,'[3]Annex-8'!F64&amp;"0  ",ROUND('[3]Annex-8'!F64,2)&amp;"  "))</f>
        <v>#VALUE!</v>
      </c>
      <c r="G71" s="116" t="e">
        <f>IF(INT('[3]Annex-8'!G64)='[3]Annex-8'!G64,'[3]Annex-8'!G64&amp;".00  ",IF(INT('[3]Annex-8'!G64*10)='[3]Annex-8'!G64*10,'[3]Annex-8'!G64&amp;"0  ",ROUND('[3]Annex-8'!G64,2)&amp;"  "))</f>
        <v>#VALUE!</v>
      </c>
      <c r="H71" s="116" t="e">
        <f>IF('[3]Annex-8'!H64&lt;0,"(-)"&amp;FIXED(ABS('[3]Annex-8'!H64),2)&amp;"    ",FIXED('[3]Annex-8'!H64,2)&amp;"    ")</f>
        <v>#VALUE!</v>
      </c>
    </row>
    <row r="72" spans="1:8" hidden="1" x14ac:dyDescent="0.3">
      <c r="A72" s="112" t="str">
        <f t="shared" si="1"/>
        <v/>
      </c>
      <c r="B72" s="116" t="e">
        <f>IF(INT('[3]Annex-8'!B65)='[3]Annex-8'!B65,'[3]Annex-8'!B65&amp;".00  ",IF(INT('[3]Annex-8'!B65*10)='[3]Annex-8'!B65*10,'[3]Annex-8'!B65&amp;"0  ",ROUND('[3]Annex-8'!B65,2)&amp;"  "))</f>
        <v>#VALUE!</v>
      </c>
      <c r="C72" s="116" t="e">
        <f>IF(INT('[3]Annex-8'!C65)='[3]Annex-8'!C65,'[3]Annex-8'!C65&amp;".00  ",IF(INT('[3]Annex-8'!C65*10)='[3]Annex-8'!C65*10,'[3]Annex-8'!C65&amp;"0  ",ROUND('[3]Annex-8'!C65,2)&amp;"  "))</f>
        <v>#VALUE!</v>
      </c>
      <c r="D72" s="116" t="e">
        <f>IF(INT('[3]Annex-8'!D65)='[3]Annex-8'!D65,'[3]Annex-8'!D65&amp;".00  ",IF(INT('[3]Annex-8'!D65*10)='[3]Annex-8'!D65*10,'[3]Annex-8'!D65&amp;"0  ",ROUND('[3]Annex-8'!D65,2)&amp;"  "))</f>
        <v>#VALUE!</v>
      </c>
      <c r="E72" s="116" t="e">
        <f>IF(INT('[3]Annex-8'!E65)='[3]Annex-8'!E65,'[3]Annex-8'!E65&amp;".00  ",IF(INT('[3]Annex-8'!E65*10)='[3]Annex-8'!E65*10,'[3]Annex-8'!E65&amp;"0  ",ROUND('[3]Annex-8'!E65,2)&amp;"  "))</f>
        <v>#VALUE!</v>
      </c>
      <c r="F72" s="116" t="e">
        <f>IF(INT('[3]Annex-8'!F65)='[3]Annex-8'!F65,'[3]Annex-8'!F65&amp;".00  ",IF(INT('[3]Annex-8'!F65*10)='[3]Annex-8'!F65*10,'[3]Annex-8'!F65&amp;"0  ",ROUND('[3]Annex-8'!F65,2)&amp;"  "))</f>
        <v>#VALUE!</v>
      </c>
      <c r="G72" s="116" t="e">
        <f>IF(INT('[3]Annex-8'!G65)='[3]Annex-8'!G65,'[3]Annex-8'!G65&amp;".00  ",IF(INT('[3]Annex-8'!G65*10)='[3]Annex-8'!G65*10,'[3]Annex-8'!G65&amp;"0  ",ROUND('[3]Annex-8'!G65,2)&amp;"  "))</f>
        <v>#VALUE!</v>
      </c>
      <c r="H72" s="116" t="e">
        <f>IF('[3]Annex-8'!H65&lt;0,"(-)"&amp;FIXED(ABS('[3]Annex-8'!H65),2)&amp;"    ",FIXED('[3]Annex-8'!H65,2)&amp;"    ")</f>
        <v>#VALUE!</v>
      </c>
    </row>
    <row r="73" spans="1:8" hidden="1" x14ac:dyDescent="0.3">
      <c r="A73" s="112" t="str">
        <f t="shared" si="1"/>
        <v/>
      </c>
      <c r="B73" s="116" t="e">
        <f>IF(INT('[3]Annex-8'!B66)='[3]Annex-8'!B66,'[3]Annex-8'!B66&amp;".00  ",IF(INT('[3]Annex-8'!B66*10)='[3]Annex-8'!B66*10,'[3]Annex-8'!B66&amp;"0  ",ROUND('[3]Annex-8'!B66,2)&amp;"  "))</f>
        <v>#VALUE!</v>
      </c>
      <c r="C73" s="116" t="e">
        <f>IF(INT('[3]Annex-8'!C66)='[3]Annex-8'!C66,'[3]Annex-8'!C66&amp;".00  ",IF(INT('[3]Annex-8'!C66*10)='[3]Annex-8'!C66*10,'[3]Annex-8'!C66&amp;"0  ",ROUND('[3]Annex-8'!C66,2)&amp;"  "))</f>
        <v>#VALUE!</v>
      </c>
      <c r="D73" s="116" t="e">
        <f>IF(INT('[3]Annex-8'!D66)='[3]Annex-8'!D66,'[3]Annex-8'!D66&amp;".00  ",IF(INT('[3]Annex-8'!D66*10)='[3]Annex-8'!D66*10,'[3]Annex-8'!D66&amp;"0  ",ROUND('[3]Annex-8'!D66,2)&amp;"  "))</f>
        <v>#VALUE!</v>
      </c>
      <c r="E73" s="116" t="e">
        <f>IF(INT('[3]Annex-8'!E66)='[3]Annex-8'!E66,'[3]Annex-8'!E66&amp;".00  ",IF(INT('[3]Annex-8'!E66*10)='[3]Annex-8'!E66*10,'[3]Annex-8'!E66&amp;"0  ",ROUND('[3]Annex-8'!E66,2)&amp;"  "))</f>
        <v>#VALUE!</v>
      </c>
      <c r="F73" s="116" t="e">
        <f>IF(INT('[3]Annex-8'!F66)='[3]Annex-8'!F66,'[3]Annex-8'!F66&amp;".00  ",IF(INT('[3]Annex-8'!F66*10)='[3]Annex-8'!F66*10,'[3]Annex-8'!F66&amp;"0  ",ROUND('[3]Annex-8'!F66,2)&amp;"  "))</f>
        <v>#VALUE!</v>
      </c>
      <c r="G73" s="116" t="e">
        <f>IF(INT('[3]Annex-8'!G66)='[3]Annex-8'!G66,'[3]Annex-8'!G66&amp;".00  ",IF(INT('[3]Annex-8'!G66*10)='[3]Annex-8'!G66*10,'[3]Annex-8'!G66&amp;"0  ",ROUND('[3]Annex-8'!G66,2)&amp;"  "))</f>
        <v>#VALUE!</v>
      </c>
      <c r="H73" s="116" t="e">
        <f>IF('[3]Annex-8'!H66&lt;0,"(-)"&amp;FIXED(ABS('[3]Annex-8'!H66),2)&amp;"    ",FIXED('[3]Annex-8'!H66,2)&amp;"    ")</f>
        <v>#VALUE!</v>
      </c>
    </row>
    <row r="74" spans="1:8" ht="15" hidden="1" thickBot="1" x14ac:dyDescent="0.35">
      <c r="A74" s="114" t="str">
        <f t="shared" si="1"/>
        <v/>
      </c>
      <c r="B74" s="121" t="e">
        <f>IF(INT('[3]Annex-8'!B67)='[3]Annex-8'!B67,'[3]Annex-8'!B67&amp;".00  ",IF(INT('[3]Annex-8'!B67*10)='[3]Annex-8'!B67*10,'[3]Annex-8'!B67&amp;"0  ",ROUND('[3]Annex-8'!B67,2)&amp;"  "))</f>
        <v>#VALUE!</v>
      </c>
      <c r="C74" s="121" t="e">
        <f>IF(INT('[3]Annex-8'!C67)='[3]Annex-8'!C67,'[3]Annex-8'!C67&amp;".00  ",IF(INT('[3]Annex-8'!C67*10)='[3]Annex-8'!C67*10,'[3]Annex-8'!C67&amp;"0  ",ROUND('[3]Annex-8'!C67,2)&amp;"  "))</f>
        <v>#VALUE!</v>
      </c>
      <c r="D74" s="121" t="e">
        <f>IF(INT('[3]Annex-8'!D67)='[3]Annex-8'!D67,'[3]Annex-8'!D67&amp;".00  ",IF(INT('[3]Annex-8'!D67*10)='[3]Annex-8'!D67*10,'[3]Annex-8'!D67&amp;"0  ",ROUND('[3]Annex-8'!D67,2)&amp;"  "))</f>
        <v>#VALUE!</v>
      </c>
      <c r="E74" s="121" t="e">
        <f>IF(INT('[3]Annex-8'!E67)='[3]Annex-8'!E67,'[3]Annex-8'!E67&amp;".00  ",IF(INT('[3]Annex-8'!E67*10)='[3]Annex-8'!E67*10,'[3]Annex-8'!E67&amp;"0  ",ROUND('[3]Annex-8'!E67,2)&amp;"  "))</f>
        <v>#VALUE!</v>
      </c>
      <c r="F74" s="121" t="e">
        <f>IF(INT('[3]Annex-8'!F67)='[3]Annex-8'!F67,'[3]Annex-8'!F67&amp;".00  ",IF(INT('[3]Annex-8'!F67*10)='[3]Annex-8'!F67*10,'[3]Annex-8'!F67&amp;"0  ",ROUND('[3]Annex-8'!F67,2)&amp;"  "))</f>
        <v>#VALUE!</v>
      </c>
      <c r="G74" s="121" t="e">
        <f>IF(INT('[3]Annex-8'!G67)='[3]Annex-8'!G67,'[3]Annex-8'!G67&amp;".00  ",IF(INT('[3]Annex-8'!G67*10)='[3]Annex-8'!G67*10,'[3]Annex-8'!G67&amp;"0  ",ROUND('[3]Annex-8'!G67,2)&amp;"  "))</f>
        <v>#VALUE!</v>
      </c>
      <c r="H74" s="121" t="e">
        <f>IF('[3]Annex-8'!H67&lt;0,"(-)"&amp;FIXED(ABS('[3]Annex-8'!H67),2)&amp;"    ",FIXED('[3]Annex-8'!H67,2)&amp;"    ")</f>
        <v>#VALUE!</v>
      </c>
    </row>
    <row r="75" spans="1:8" hidden="1" x14ac:dyDescent="0.3">
      <c r="A75" s="112" t="str">
        <f t="shared" si="1"/>
        <v/>
      </c>
      <c r="B75" s="118" t="e">
        <f>IF(INT('[3]Annex-8'!B68)='[3]Annex-8'!B68,'[3]Annex-8'!B68&amp;".00  ",IF(INT('[3]Annex-8'!B68*10)='[3]Annex-8'!B68*10,'[3]Annex-8'!B68&amp;"0  ",ROUND('[3]Annex-8'!B68,2)&amp;"  "))</f>
        <v>#VALUE!</v>
      </c>
      <c r="C75" s="118" t="e">
        <f>IF(INT('[3]Annex-8'!C68)='[3]Annex-8'!C68,'[3]Annex-8'!C68&amp;".00  ",IF(INT('[3]Annex-8'!C68*10)='[3]Annex-8'!C68*10,'[3]Annex-8'!C68&amp;"0  ",ROUND('[3]Annex-8'!C68,2)&amp;"  "))</f>
        <v>#VALUE!</v>
      </c>
      <c r="D75" s="118" t="e">
        <f>IF(INT('[3]Annex-8'!D68)='[3]Annex-8'!D68,'[3]Annex-8'!D68&amp;".00  ",IF(INT('[3]Annex-8'!D68*10)='[3]Annex-8'!D68*10,'[3]Annex-8'!D68&amp;"0  ",ROUND('[3]Annex-8'!D68,2)&amp;"  "))</f>
        <v>#VALUE!</v>
      </c>
      <c r="E75" s="118" t="e">
        <f>IF(INT('[3]Annex-8'!E68)='[3]Annex-8'!E68,'[3]Annex-8'!E68&amp;".00  ",IF(INT('[3]Annex-8'!E68*10)='[3]Annex-8'!E68*10,'[3]Annex-8'!E68&amp;"0  ",ROUND('[3]Annex-8'!E68,2)&amp;"  "))</f>
        <v>#VALUE!</v>
      </c>
      <c r="F75" s="118" t="e">
        <f>IF(INT('[3]Annex-8'!F68)='[3]Annex-8'!F68,'[3]Annex-8'!F68&amp;".00  ",IF(INT('[3]Annex-8'!F68*10)='[3]Annex-8'!F68*10,'[3]Annex-8'!F68&amp;"0  ",ROUND('[3]Annex-8'!F68,2)&amp;"  "))</f>
        <v>#VALUE!</v>
      </c>
      <c r="G75" s="118" t="e">
        <f>IF(INT('[3]Annex-8'!G68)='[3]Annex-8'!G68,'[3]Annex-8'!G68&amp;".00  ",IF(INT('[3]Annex-8'!G68*10)='[3]Annex-8'!G68*10,'[3]Annex-8'!G68&amp;"0  ",ROUND('[3]Annex-8'!G68,2)&amp;"  "))</f>
        <v>#VALUE!</v>
      </c>
      <c r="H75" s="118" t="e">
        <f>IF('[3]Annex-8'!H68&lt;0,"(-)"&amp;FIXED(ABS('[3]Annex-8'!H68),2)&amp;"    ",FIXED('[3]Annex-8'!H68,2)&amp;"    ")</f>
        <v>#VALUE!</v>
      </c>
    </row>
    <row r="76" spans="1:8" hidden="1" x14ac:dyDescent="0.3">
      <c r="A76" s="112" t="str">
        <f t="shared" si="1"/>
        <v/>
      </c>
      <c r="B76" s="118" t="e">
        <f>IF(INT('[3]Annex-8'!B69)='[3]Annex-8'!B69,'[3]Annex-8'!B69&amp;".00  ",IF(INT('[3]Annex-8'!B69*10)='[3]Annex-8'!B69*10,'[3]Annex-8'!B69&amp;"0  ",ROUND('[3]Annex-8'!B69,2)&amp;"  "))</f>
        <v>#VALUE!</v>
      </c>
      <c r="C76" s="118" t="e">
        <f>IF(INT('[3]Annex-8'!C69)='[3]Annex-8'!C69,'[3]Annex-8'!C69&amp;".00  ",IF(INT('[3]Annex-8'!C69*10)='[3]Annex-8'!C69*10,'[3]Annex-8'!C69&amp;"0  ",ROUND('[3]Annex-8'!C69,2)&amp;"  "))</f>
        <v>#VALUE!</v>
      </c>
      <c r="D76" s="118" t="e">
        <f>IF(INT('[3]Annex-8'!D69)='[3]Annex-8'!D69,'[3]Annex-8'!D69&amp;".00  ",IF(INT('[3]Annex-8'!D69*10)='[3]Annex-8'!D69*10,'[3]Annex-8'!D69&amp;"0  ",ROUND('[3]Annex-8'!D69,2)&amp;"  "))</f>
        <v>#VALUE!</v>
      </c>
      <c r="E76" s="118" t="e">
        <f>IF(INT('[3]Annex-8'!E69)='[3]Annex-8'!E69,'[3]Annex-8'!E69&amp;".00  ",IF(INT('[3]Annex-8'!E69*10)='[3]Annex-8'!E69*10,'[3]Annex-8'!E69&amp;"0  ",ROUND('[3]Annex-8'!E69,2)&amp;"  "))</f>
        <v>#VALUE!</v>
      </c>
      <c r="F76" s="118" t="e">
        <f>IF(INT('[3]Annex-8'!F69)='[3]Annex-8'!F69,'[3]Annex-8'!F69&amp;".00  ",IF(INT('[3]Annex-8'!F69*10)='[3]Annex-8'!F69*10,'[3]Annex-8'!F69&amp;"0  ",ROUND('[3]Annex-8'!F69,2)&amp;"  "))</f>
        <v>#VALUE!</v>
      </c>
      <c r="G76" s="118" t="e">
        <f>IF(INT('[3]Annex-8'!G69)='[3]Annex-8'!G69,'[3]Annex-8'!G69&amp;".00  ",IF(INT('[3]Annex-8'!G69*10)='[3]Annex-8'!G69*10,'[3]Annex-8'!G69&amp;"0  ",ROUND('[3]Annex-8'!G69,2)&amp;"  "))</f>
        <v>#VALUE!</v>
      </c>
      <c r="H76" s="118" t="e">
        <f>IF('[3]Annex-8'!H69&lt;0,"(-)"&amp;FIXED(ABS('[3]Annex-8'!H69),2)&amp;"    ",FIXED('[3]Annex-8'!H69,2)&amp;"    ")</f>
        <v>#VALUE!</v>
      </c>
    </row>
    <row r="77" spans="1:8" hidden="1" x14ac:dyDescent="0.3">
      <c r="A77" s="112" t="str">
        <f t="shared" si="1"/>
        <v/>
      </c>
      <c r="B77" s="118" t="e">
        <f>IF(INT('[3]Annex-8'!B70)='[3]Annex-8'!B70,'[3]Annex-8'!B70&amp;".00  ",IF(INT('[3]Annex-8'!B70*10)='[3]Annex-8'!B70*10,'[3]Annex-8'!B70&amp;"0  ",ROUND('[3]Annex-8'!B70,2)&amp;"  "))</f>
        <v>#VALUE!</v>
      </c>
      <c r="C77" s="118" t="e">
        <f>IF(INT('[3]Annex-8'!C70)='[3]Annex-8'!C70,'[3]Annex-8'!C70&amp;".00  ",IF(INT('[3]Annex-8'!C70*10)='[3]Annex-8'!C70*10,'[3]Annex-8'!C70&amp;"0  ",ROUND('[3]Annex-8'!C70,2)&amp;"  "))</f>
        <v>#VALUE!</v>
      </c>
      <c r="D77" s="118" t="e">
        <f>IF(INT('[3]Annex-8'!D70)='[3]Annex-8'!D70,'[3]Annex-8'!D70&amp;".00  ",IF(INT('[3]Annex-8'!D70*10)='[3]Annex-8'!D70*10,'[3]Annex-8'!D70&amp;"0  ",ROUND('[3]Annex-8'!D70,2)&amp;"  "))</f>
        <v>#VALUE!</v>
      </c>
      <c r="E77" s="118" t="e">
        <f>IF(INT('[3]Annex-8'!E70)='[3]Annex-8'!E70,'[3]Annex-8'!E70&amp;".00  ",IF(INT('[3]Annex-8'!E70*10)='[3]Annex-8'!E70*10,'[3]Annex-8'!E70&amp;"0  ",ROUND('[3]Annex-8'!E70,2)&amp;"  "))</f>
        <v>#VALUE!</v>
      </c>
      <c r="F77" s="118" t="e">
        <f>IF(INT('[3]Annex-8'!F70)='[3]Annex-8'!F70,'[3]Annex-8'!F70&amp;".00  ",IF(INT('[3]Annex-8'!F70*10)='[3]Annex-8'!F70*10,'[3]Annex-8'!F70&amp;"0  ",ROUND('[3]Annex-8'!F70,2)&amp;"  "))</f>
        <v>#VALUE!</v>
      </c>
      <c r="G77" s="118" t="e">
        <f>IF(INT('[3]Annex-8'!G70)='[3]Annex-8'!G70,'[3]Annex-8'!G70&amp;".00  ",IF(INT('[3]Annex-8'!G70*10)='[3]Annex-8'!G70*10,'[3]Annex-8'!G70&amp;"0  ",ROUND('[3]Annex-8'!G70,2)&amp;"  "))</f>
        <v>#VALUE!</v>
      </c>
      <c r="H77" s="118" t="e">
        <f>IF('[3]Annex-8'!H70&lt;0,"(-)"&amp;FIXED(ABS('[3]Annex-8'!H70),2)&amp;"    ",FIXED('[3]Annex-8'!H70,2)&amp;"    ")</f>
        <v>#VALUE!</v>
      </c>
    </row>
    <row r="78" spans="1:8" hidden="1" x14ac:dyDescent="0.3">
      <c r="A78" s="112" t="str">
        <f t="shared" si="1"/>
        <v/>
      </c>
      <c r="B78" s="118" t="e">
        <f>IF(INT('[3]Annex-8'!B71)='[3]Annex-8'!B71,'[3]Annex-8'!B71&amp;".00  ",IF(INT('[3]Annex-8'!B71*10)='[3]Annex-8'!B71*10,'[3]Annex-8'!B71&amp;"0  ",ROUND('[3]Annex-8'!B71,2)&amp;"  "))</f>
        <v>#VALUE!</v>
      </c>
      <c r="C78" s="118" t="e">
        <f>IF(INT('[3]Annex-8'!C71)='[3]Annex-8'!C71,'[3]Annex-8'!C71&amp;".00  ",IF(INT('[3]Annex-8'!C71*10)='[3]Annex-8'!C71*10,'[3]Annex-8'!C71&amp;"0  ",ROUND('[3]Annex-8'!C71,2)&amp;"  "))</f>
        <v>#VALUE!</v>
      </c>
      <c r="D78" s="118" t="e">
        <f>IF(INT('[3]Annex-8'!D71)='[3]Annex-8'!D71,'[3]Annex-8'!D71&amp;".00  ",IF(INT('[3]Annex-8'!D71*10)='[3]Annex-8'!D71*10,'[3]Annex-8'!D71&amp;"0  ",ROUND('[3]Annex-8'!D71,2)&amp;"  "))</f>
        <v>#VALUE!</v>
      </c>
      <c r="E78" s="118" t="e">
        <f>IF(INT('[3]Annex-8'!E71)='[3]Annex-8'!E71,'[3]Annex-8'!E71&amp;".00  ",IF(INT('[3]Annex-8'!E71*10)='[3]Annex-8'!E71*10,'[3]Annex-8'!E71&amp;"0  ",ROUND('[3]Annex-8'!E71,2)&amp;"  "))</f>
        <v>#VALUE!</v>
      </c>
      <c r="F78" s="118" t="e">
        <f>IF(INT('[3]Annex-8'!F71)='[3]Annex-8'!F71,'[3]Annex-8'!F71&amp;".00  ",IF(INT('[3]Annex-8'!F71*10)='[3]Annex-8'!F71*10,'[3]Annex-8'!F71&amp;"0  ",ROUND('[3]Annex-8'!F71,2)&amp;"  "))</f>
        <v>#VALUE!</v>
      </c>
      <c r="G78" s="118" t="e">
        <f>IF(INT('[3]Annex-8'!G71)='[3]Annex-8'!G71,'[3]Annex-8'!G71&amp;".00  ",IF(INT('[3]Annex-8'!G71*10)='[3]Annex-8'!G71*10,'[3]Annex-8'!G71&amp;"0  ",ROUND('[3]Annex-8'!G71,2)&amp;"  "))</f>
        <v>#VALUE!</v>
      </c>
      <c r="H78" s="118" t="e">
        <f>IF('[3]Annex-8'!H71&lt;0,"(-)"&amp;FIXED(ABS('[3]Annex-8'!H71),2)&amp;"    ",FIXED('[3]Annex-8'!H71,2)&amp;"    ")</f>
        <v>#VALUE!</v>
      </c>
    </row>
    <row r="79" spans="1:8" hidden="1" x14ac:dyDescent="0.3">
      <c r="A79" s="112" t="str">
        <f t="shared" si="1"/>
        <v/>
      </c>
      <c r="B79" s="118" t="e">
        <f>IF(INT('[3]Annex-8'!B72)='[3]Annex-8'!B72,'[3]Annex-8'!B72&amp;".00  ",IF(INT('[3]Annex-8'!B72*10)='[3]Annex-8'!B72*10,'[3]Annex-8'!B72&amp;"0  ",ROUND('[3]Annex-8'!B72,2)&amp;"  "))</f>
        <v>#VALUE!</v>
      </c>
      <c r="C79" s="118" t="e">
        <f>IF(INT('[3]Annex-8'!C72)='[3]Annex-8'!C72,'[3]Annex-8'!C72&amp;".00  ",IF(INT('[3]Annex-8'!C72*10)='[3]Annex-8'!C72*10,'[3]Annex-8'!C72&amp;"0  ",ROUND('[3]Annex-8'!C72,2)&amp;"  "))</f>
        <v>#VALUE!</v>
      </c>
      <c r="D79" s="118" t="e">
        <f>IF(INT('[3]Annex-8'!D72)='[3]Annex-8'!D72,'[3]Annex-8'!D72&amp;".00  ",IF(INT('[3]Annex-8'!D72*10)='[3]Annex-8'!D72*10,'[3]Annex-8'!D72&amp;"0  ",ROUND('[3]Annex-8'!D72,2)&amp;"  "))</f>
        <v>#VALUE!</v>
      </c>
      <c r="E79" s="118" t="e">
        <f>IF(INT('[3]Annex-8'!E72)='[3]Annex-8'!E72,'[3]Annex-8'!E72&amp;".00  ",IF(INT('[3]Annex-8'!E72*10)='[3]Annex-8'!E72*10,'[3]Annex-8'!E72&amp;"0  ",ROUND('[3]Annex-8'!E72,2)&amp;"  "))</f>
        <v>#VALUE!</v>
      </c>
      <c r="F79" s="118" t="e">
        <f>IF(INT('[3]Annex-8'!F72)='[3]Annex-8'!F72,'[3]Annex-8'!F72&amp;".00  ",IF(INT('[3]Annex-8'!F72*10)='[3]Annex-8'!F72*10,'[3]Annex-8'!F72&amp;"0  ",ROUND('[3]Annex-8'!F72,2)&amp;"  "))</f>
        <v>#VALUE!</v>
      </c>
      <c r="G79" s="118" t="e">
        <f>IF(INT('[3]Annex-8'!G72)='[3]Annex-8'!G72,'[3]Annex-8'!G72&amp;".00  ",IF(INT('[3]Annex-8'!G72*10)='[3]Annex-8'!G72*10,'[3]Annex-8'!G72&amp;"0  ",ROUND('[3]Annex-8'!G72,2)&amp;"  "))</f>
        <v>#VALUE!</v>
      </c>
      <c r="H79" s="118" t="e">
        <f>IF('[3]Annex-8'!H72&lt;0,"(-)"&amp;FIXED(ABS('[3]Annex-8'!H72),2)&amp;"    ",FIXED('[3]Annex-8'!H72,2)&amp;"    ")</f>
        <v>#VALUE!</v>
      </c>
    </row>
    <row r="80" spans="1:8" ht="15" thickTop="1" x14ac:dyDescent="0.3">
      <c r="A80" s="287"/>
      <c r="B80" s="287"/>
      <c r="C80" s="287"/>
      <c r="D80" s="287"/>
      <c r="E80" s="287"/>
      <c r="F80" s="287"/>
      <c r="G80" s="287"/>
      <c r="H80" s="287"/>
    </row>
    <row r="81" spans="1:8" x14ac:dyDescent="0.3">
      <c r="A81" s="78"/>
      <c r="B81" s="78"/>
      <c r="C81" s="78"/>
      <c r="D81" s="78"/>
      <c r="E81" s="78"/>
      <c r="F81" s="78"/>
      <c r="G81" s="78"/>
      <c r="H81" s="78"/>
    </row>
  </sheetData>
  <mergeCells count="22">
    <mergeCell ref="A80:H80"/>
    <mergeCell ref="A44:A46"/>
    <mergeCell ref="B44:H44"/>
    <mergeCell ref="B45:C45"/>
    <mergeCell ref="D45:E45"/>
    <mergeCell ref="F45:G45"/>
    <mergeCell ref="H45:H46"/>
    <mergeCell ref="A43:H43"/>
    <mergeCell ref="A1:H1"/>
    <mergeCell ref="A2:F2"/>
    <mergeCell ref="G2:H2"/>
    <mergeCell ref="A3:H3"/>
    <mergeCell ref="A4:A6"/>
    <mergeCell ref="B4:H4"/>
    <mergeCell ref="B5:C5"/>
    <mergeCell ref="D5:E5"/>
    <mergeCell ref="F5:G5"/>
    <mergeCell ref="H5:H6"/>
    <mergeCell ref="A41:H41"/>
    <mergeCell ref="A42:F42"/>
    <mergeCell ref="G42:H42"/>
    <mergeCell ref="A40:H40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F45"/>
  <sheetViews>
    <sheetView view="pageBreakPreview" zoomScale="70" zoomScaleNormal="100" zoomScaleSheetLayoutView="70" workbookViewId="0">
      <selection activeCell="V19" sqref="V19"/>
    </sheetView>
  </sheetViews>
  <sheetFormatPr defaultRowHeight="14.4" x14ac:dyDescent="0.3"/>
  <cols>
    <col min="1" max="1" width="20.5546875" customWidth="1"/>
    <col min="2" max="2" width="14.109375" customWidth="1"/>
    <col min="3" max="16" width="9" customWidth="1"/>
  </cols>
  <sheetData>
    <row r="1" spans="1:32" x14ac:dyDescent="0.3">
      <c r="A1" s="235" t="s">
        <v>78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</row>
    <row r="2" spans="1:32" x14ac:dyDescent="0.3">
      <c r="A2" s="284" t="str">
        <f>common!$H$2</f>
        <v>UT : PUDUCHERRY</v>
      </c>
      <c r="B2" s="284" t="str">
        <f>common!$H$2</f>
        <v>UT : PUDUCHERRY</v>
      </c>
      <c r="C2" s="284" t="str">
        <f>common!$H$2</f>
        <v>UT : PUDUCHERRY</v>
      </c>
      <c r="D2" s="284" t="str">
        <f>common!$H$2</f>
        <v>UT : PUDUCHERRY</v>
      </c>
      <c r="E2" s="284" t="str">
        <f>common!$H$2</f>
        <v>UT : PUDUCHERRY</v>
      </c>
      <c r="F2" s="284" t="str">
        <f>common!$H$2</f>
        <v>UT : PUDUCHERRY</v>
      </c>
      <c r="G2" s="284" t="str">
        <f>common!$H$2</f>
        <v>UT : PUDUCHERRY</v>
      </c>
      <c r="H2" s="284" t="str">
        <f>common!$H$2</f>
        <v>UT : PUDUCHERRY</v>
      </c>
      <c r="I2" s="284" t="str">
        <f>common!$H$2</f>
        <v>UT : PUDUCHERRY</v>
      </c>
      <c r="J2" s="284" t="str">
        <f>common!$H$2</f>
        <v>UT : PUDUCHERRY</v>
      </c>
      <c r="K2" s="284" t="str">
        <f>common!$H$2</f>
        <v>UT : PUDUCHERRY</v>
      </c>
      <c r="L2" s="284" t="str">
        <f>common!$H$2</f>
        <v>UT : PUDUCHERRY</v>
      </c>
      <c r="M2" s="284" t="str">
        <f>common!$H$2</f>
        <v>UT : PUDUCHERRY</v>
      </c>
      <c r="N2" s="284" t="str">
        <f>common!$H$2</f>
        <v>UT : PUDUCHERRY</v>
      </c>
      <c r="O2" s="285" t="str">
        <f>'[2]Annex-9'!O2</f>
        <v xml:space="preserve"> ANNEX-IX</v>
      </c>
      <c r="P2" s="285"/>
    </row>
    <row r="3" spans="1:32" ht="15" customHeight="1" x14ac:dyDescent="0.3">
      <c r="A3" s="251" t="str">
        <f>'[2]Annex-9'!A3</f>
        <v>DISCREPANCIES IN RECORDING IRRIGATION PARTICULARS DURING 0 AND 0.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</row>
    <row r="4" spans="1:32" ht="49.2" customHeight="1" x14ac:dyDescent="0.3">
      <c r="A4" s="250" t="s">
        <v>293</v>
      </c>
      <c r="B4" s="252" t="s">
        <v>294</v>
      </c>
      <c r="C4" s="253" t="s">
        <v>105</v>
      </c>
      <c r="D4" s="253"/>
      <c r="E4" s="253"/>
      <c r="F4" s="253"/>
      <c r="G4" s="253" t="s">
        <v>106</v>
      </c>
      <c r="H4" s="253"/>
      <c r="I4" s="253"/>
      <c r="J4" s="253"/>
      <c r="K4" s="253"/>
      <c r="L4" s="253"/>
      <c r="M4" s="253"/>
      <c r="N4" s="253"/>
      <c r="O4" s="253"/>
      <c r="P4" s="253"/>
    </row>
    <row r="5" spans="1:32" x14ac:dyDescent="0.3">
      <c r="A5" s="250"/>
      <c r="B5" s="252"/>
      <c r="C5" s="254" t="s">
        <v>107</v>
      </c>
      <c r="D5" s="254" t="s">
        <v>108</v>
      </c>
      <c r="E5" s="254" t="s">
        <v>278</v>
      </c>
      <c r="F5" s="254" t="s">
        <v>39</v>
      </c>
      <c r="G5" s="253" t="s">
        <v>109</v>
      </c>
      <c r="H5" s="253"/>
      <c r="I5" s="253"/>
      <c r="J5" s="253"/>
      <c r="K5" s="253"/>
      <c r="L5" s="255" t="s">
        <v>110</v>
      </c>
      <c r="M5" s="255"/>
      <c r="N5" s="255"/>
      <c r="O5" s="255"/>
      <c r="P5" s="255"/>
    </row>
    <row r="6" spans="1:32" ht="12.6" customHeight="1" x14ac:dyDescent="0.3">
      <c r="A6" s="251"/>
      <c r="B6" s="253"/>
      <c r="C6" s="255"/>
      <c r="D6" s="255"/>
      <c r="E6" s="255"/>
      <c r="F6" s="255"/>
      <c r="G6" s="74" t="s">
        <v>107</v>
      </c>
      <c r="H6" s="74" t="s">
        <v>108</v>
      </c>
      <c r="I6" s="74" t="s">
        <v>111</v>
      </c>
      <c r="J6" s="74" t="s">
        <v>112</v>
      </c>
      <c r="K6" s="74" t="s">
        <v>39</v>
      </c>
      <c r="L6" s="74" t="s">
        <v>107</v>
      </c>
      <c r="M6" s="74" t="s">
        <v>108</v>
      </c>
      <c r="N6" s="74" t="s">
        <v>111</v>
      </c>
      <c r="O6" s="74" t="s">
        <v>112</v>
      </c>
      <c r="P6" s="74" t="s">
        <v>39</v>
      </c>
    </row>
    <row r="7" spans="1:32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00" t="s">
        <v>92</v>
      </c>
      <c r="O7" s="100" t="s">
        <v>93</v>
      </c>
      <c r="P7" s="100" t="s">
        <v>94</v>
      </c>
    </row>
    <row r="8" spans="1:32" x14ac:dyDescent="0.3">
      <c r="A8" s="111" t="str">
        <f>common!$H$4</f>
        <v>RABI I 2024-25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</row>
    <row r="9" spans="1:32" x14ac:dyDescent="0.3">
      <c r="A9" s="112" t="str">
        <f>'[2]Annex-9'!A9</f>
        <v>CENTRAL</v>
      </c>
      <c r="B9" s="72" t="str">
        <f>'[2]Annex-9'!B9&amp;"  "</f>
        <v xml:space="preserve">52  </v>
      </c>
      <c r="C9" s="72" t="str">
        <f>'[2]Annex-9'!C9&amp;" "</f>
        <v xml:space="preserve">38 </v>
      </c>
      <c r="D9" s="72" t="str">
        <f>'[2]Annex-9'!D9&amp;" "</f>
        <v xml:space="preserve">0 </v>
      </c>
      <c r="E9" s="72" t="str">
        <f>'[2]Annex-9'!E9&amp;" "</f>
        <v xml:space="preserve">0 </v>
      </c>
      <c r="F9" s="72" t="str">
        <f>'[2]Annex-9'!F9&amp;" "</f>
        <v xml:space="preserve">38 </v>
      </c>
      <c r="G9" s="72" t="str">
        <f>'[2]Annex-9'!G9&amp;" "</f>
        <v xml:space="preserve">0 </v>
      </c>
      <c r="H9" s="72" t="str">
        <f>'[2]Annex-9'!H9&amp;" "</f>
        <v xml:space="preserve">0 </v>
      </c>
      <c r="I9" s="72" t="str">
        <f>'[2]Annex-9'!I9&amp;" "</f>
        <v xml:space="preserve">0 </v>
      </c>
      <c r="J9" s="72" t="str">
        <f>'[2]Annex-9'!J9&amp;" "</f>
        <v xml:space="preserve">14 </v>
      </c>
      <c r="K9" s="72" t="str">
        <f>'[2]Annex-9'!K9&amp;" "</f>
        <v xml:space="preserve">14 </v>
      </c>
      <c r="L9" s="72" t="str">
        <f>'[2]Annex-9'!L9&amp;" "</f>
        <v xml:space="preserve">12 </v>
      </c>
      <c r="M9" s="72" t="str">
        <f>'[2]Annex-9'!M9&amp;" "</f>
        <v xml:space="preserve">2 </v>
      </c>
      <c r="N9" s="72" t="str">
        <f>'[2]Annex-9'!N9&amp;" "</f>
        <v xml:space="preserve">0 </v>
      </c>
      <c r="O9" s="72" t="str">
        <f>'[2]Annex-9'!O9&amp;" "</f>
        <v xml:space="preserve">0 </v>
      </c>
      <c r="P9" s="72" t="str">
        <f>'[2]Annex-9'!P9&amp;" "</f>
        <v xml:space="preserve">14 </v>
      </c>
      <c r="R9" s="122"/>
      <c r="S9" s="122"/>
      <c r="T9" s="122"/>
      <c r="U9" s="122"/>
      <c r="V9" s="122"/>
      <c r="W9" s="26"/>
      <c r="X9" s="26"/>
      <c r="Y9" s="122"/>
      <c r="Z9" s="122"/>
      <c r="AA9" s="26"/>
      <c r="AB9" s="26"/>
      <c r="AC9" s="122"/>
      <c r="AD9" s="26"/>
      <c r="AE9" s="122"/>
      <c r="AF9" s="122"/>
    </row>
    <row r="10" spans="1:32" x14ac:dyDescent="0.3">
      <c r="A10" s="112" t="str">
        <f>'[2]Annex-9'!A10</f>
        <v>(%)</v>
      </c>
      <c r="B10" s="72"/>
      <c r="C10" s="72" t="str">
        <f>'[2]Annex-9'!C10</f>
        <v>( 73.1)</v>
      </c>
      <c r="D10" s="72" t="str">
        <f>'[2]Annex-9'!D10</f>
        <v>( 0.0)</v>
      </c>
      <c r="E10" s="72" t="str">
        <f>'[2]Annex-9'!E10</f>
        <v>( 0.0)</v>
      </c>
      <c r="F10" s="72" t="str">
        <f>'[2]Annex-9'!F10</f>
        <v>( 73.1)</v>
      </c>
      <c r="G10" s="72" t="str">
        <f>'[2]Annex-9'!G10</f>
        <v>( 0.0)</v>
      </c>
      <c r="H10" s="72" t="str">
        <f>'[2]Annex-9'!H10</f>
        <v>( 0.0)</v>
      </c>
      <c r="I10" s="72" t="str">
        <f>'[2]Annex-9'!I10</f>
        <v>( 0.0)</v>
      </c>
      <c r="J10" s="72" t="str">
        <f>'[2]Annex-9'!J10</f>
        <v>( 26.9)</v>
      </c>
      <c r="K10" s="72" t="str">
        <f>'[2]Annex-9'!K10</f>
        <v>( 26.9)</v>
      </c>
      <c r="L10" s="72" t="str">
        <f>'[2]Annex-9'!L10</f>
        <v>( 23.1)</v>
      </c>
      <c r="M10" s="72" t="str">
        <f>'[2]Annex-9'!M10</f>
        <v>( 3.8)</v>
      </c>
      <c r="N10" s="72" t="str">
        <f>'[2]Annex-9'!N10</f>
        <v>( 0.0)</v>
      </c>
      <c r="O10" s="72" t="str">
        <f>'[2]Annex-9'!O10</f>
        <v>( 0.0)</v>
      </c>
      <c r="P10" s="72" t="str">
        <f>'[2]Annex-9'!P10</f>
        <v>( 26.9)</v>
      </c>
    </row>
    <row r="11" spans="1:32" x14ac:dyDescent="0.3">
      <c r="A11" s="112" t="str">
        <f>'[2]Annex-9'!A11</f>
        <v>STATE</v>
      </c>
      <c r="B11" s="72" t="str">
        <f>'[2]Annex-9'!B11&amp;"  "</f>
        <v xml:space="preserve">182  </v>
      </c>
      <c r="C11" s="72" t="str">
        <f>'[2]Annex-9'!C11&amp;" "</f>
        <v xml:space="preserve">166 </v>
      </c>
      <c r="D11" s="72" t="str">
        <f>'[2]Annex-9'!D11&amp;" "</f>
        <v xml:space="preserve">4 </v>
      </c>
      <c r="E11" s="72" t="str">
        <f>'[2]Annex-9'!E11&amp;" "</f>
        <v xml:space="preserve">8 </v>
      </c>
      <c r="F11" s="72" t="str">
        <f>'[2]Annex-9'!F11&amp;" "</f>
        <v xml:space="preserve">178 </v>
      </c>
      <c r="G11" s="72" t="str">
        <f>'[2]Annex-9'!G11&amp;" "</f>
        <v xml:space="preserve">2 </v>
      </c>
      <c r="H11" s="72" t="str">
        <f>'[2]Annex-9'!H11&amp;" "</f>
        <v xml:space="preserve">0 </v>
      </c>
      <c r="I11" s="72" t="str">
        <f>'[2]Annex-9'!I11&amp;" "</f>
        <v xml:space="preserve">0 </v>
      </c>
      <c r="J11" s="72" t="str">
        <f>'[2]Annex-9'!J11&amp;" "</f>
        <v xml:space="preserve">2 </v>
      </c>
      <c r="K11" s="72" t="str">
        <f>'[2]Annex-9'!K11&amp;" "</f>
        <v xml:space="preserve">4 </v>
      </c>
      <c r="L11" s="72" t="str">
        <f>'[2]Annex-9'!L11&amp;" "</f>
        <v xml:space="preserve">2 </v>
      </c>
      <c r="M11" s="72" t="str">
        <f>'[2]Annex-9'!M11&amp;" "</f>
        <v xml:space="preserve">0 </v>
      </c>
      <c r="N11" s="72" t="str">
        <f>'[2]Annex-9'!N11&amp;" "</f>
        <v xml:space="preserve">0 </v>
      </c>
      <c r="O11" s="72" t="str">
        <f>'[2]Annex-9'!O11&amp;" "</f>
        <v xml:space="preserve">2 </v>
      </c>
      <c r="P11" s="72" t="str">
        <f>'[2]Annex-9'!P11&amp;" "</f>
        <v xml:space="preserve">4 </v>
      </c>
    </row>
    <row r="12" spans="1:32" x14ac:dyDescent="0.3">
      <c r="A12" s="112" t="str">
        <f>'[2]Annex-9'!A12</f>
        <v>(%)</v>
      </c>
      <c r="B12" s="72"/>
      <c r="C12" s="72" t="str">
        <f>'[2]Annex-9'!C12</f>
        <v>( 91.2)</v>
      </c>
      <c r="D12" s="72" t="str">
        <f>'[2]Annex-9'!D12</f>
        <v>( 2.2)</v>
      </c>
      <c r="E12" s="72" t="str">
        <f>'[2]Annex-9'!E12</f>
        <v>( 4.4)</v>
      </c>
      <c r="F12" s="72" t="str">
        <f>'[2]Annex-9'!F12</f>
        <v>( 97.8)</v>
      </c>
      <c r="G12" s="72" t="str">
        <f>'[2]Annex-9'!G12</f>
        <v>( 1.1)</v>
      </c>
      <c r="H12" s="72" t="str">
        <f>'[2]Annex-9'!H12</f>
        <v>( 0.0)</v>
      </c>
      <c r="I12" s="72" t="str">
        <f>'[2]Annex-9'!I12</f>
        <v>( 0.0)</v>
      </c>
      <c r="J12" s="72" t="str">
        <f>'[2]Annex-9'!J12</f>
        <v>( 1.1)</v>
      </c>
      <c r="K12" s="72" t="str">
        <f>'[2]Annex-9'!K12</f>
        <v>( 2.2)</v>
      </c>
      <c r="L12" s="72" t="str">
        <f>'[2]Annex-9'!L12</f>
        <v>( 1.1)</v>
      </c>
      <c r="M12" s="72" t="str">
        <f>'[2]Annex-9'!M12</f>
        <v>( 0.0)</v>
      </c>
      <c r="N12" s="72" t="str">
        <f>'[2]Annex-9'!N12</f>
        <v>( 0.0)</v>
      </c>
      <c r="O12" s="72" t="str">
        <f>'[2]Annex-9'!O12</f>
        <v>( 1.1)</v>
      </c>
      <c r="P12" s="72" t="str">
        <f>'[2]Annex-9'!P12</f>
        <v>( 2.2)</v>
      </c>
    </row>
    <row r="13" spans="1:32" x14ac:dyDescent="0.3">
      <c r="A13" s="112" t="str">
        <f>'[2]Annex-9'!A13</f>
        <v>POOLED</v>
      </c>
      <c r="B13" s="72" t="str">
        <f>'[2]Annex-9'!B13&amp;"  "</f>
        <v xml:space="preserve">234  </v>
      </c>
      <c r="C13" s="72" t="str">
        <f>'[2]Annex-9'!C13&amp;" "</f>
        <v xml:space="preserve">204 </v>
      </c>
      <c r="D13" s="72" t="str">
        <f>'[2]Annex-9'!D13&amp;" "</f>
        <v xml:space="preserve">4 </v>
      </c>
      <c r="E13" s="72" t="str">
        <f>'[2]Annex-9'!E13&amp;" "</f>
        <v xml:space="preserve">8 </v>
      </c>
      <c r="F13" s="72" t="str">
        <f>'[2]Annex-9'!F13&amp;" "</f>
        <v xml:space="preserve">216 </v>
      </c>
      <c r="G13" s="72" t="str">
        <f>'[2]Annex-9'!G13&amp;" "</f>
        <v xml:space="preserve">2 </v>
      </c>
      <c r="H13" s="72" t="str">
        <f>'[2]Annex-9'!H13&amp;" "</f>
        <v xml:space="preserve">0 </v>
      </c>
      <c r="I13" s="72" t="str">
        <f>'[2]Annex-9'!I13&amp;" "</f>
        <v xml:space="preserve">0 </v>
      </c>
      <c r="J13" s="72" t="str">
        <f>'[2]Annex-9'!J13&amp;" "</f>
        <v xml:space="preserve">16 </v>
      </c>
      <c r="K13" s="72" t="str">
        <f>'[2]Annex-9'!K13&amp;" "</f>
        <v xml:space="preserve">18 </v>
      </c>
      <c r="L13" s="72" t="str">
        <f>'[2]Annex-9'!L13&amp;" "</f>
        <v xml:space="preserve">14 </v>
      </c>
      <c r="M13" s="72" t="str">
        <f>'[2]Annex-9'!M13&amp;" "</f>
        <v xml:space="preserve">2 </v>
      </c>
      <c r="N13" s="72" t="str">
        <f>'[2]Annex-9'!N13&amp;" "</f>
        <v xml:space="preserve">0 </v>
      </c>
      <c r="O13" s="72" t="str">
        <f>'[2]Annex-9'!O13&amp;" "</f>
        <v xml:space="preserve">2 </v>
      </c>
      <c r="P13" s="72" t="str">
        <f>'[2]Annex-9'!P13&amp;" "</f>
        <v xml:space="preserve">18 </v>
      </c>
    </row>
    <row r="14" spans="1:32" x14ac:dyDescent="0.3">
      <c r="A14" s="112" t="str">
        <f>'[2]Annex-9'!A14</f>
        <v>(%)</v>
      </c>
      <c r="B14" s="72"/>
      <c r="C14" s="72" t="str">
        <f>'[2]Annex-9'!C14</f>
        <v>( 87.2)</v>
      </c>
      <c r="D14" s="72" t="str">
        <f>'[2]Annex-9'!D14</f>
        <v>( 1.7)</v>
      </c>
      <c r="E14" s="72" t="str">
        <f>'[2]Annex-9'!E14</f>
        <v>( 3.4)</v>
      </c>
      <c r="F14" s="72" t="str">
        <f>'[2]Annex-9'!F14</f>
        <v>( 92.3)</v>
      </c>
      <c r="G14" s="72" t="str">
        <f>'[2]Annex-9'!G14</f>
        <v>( 0.9)</v>
      </c>
      <c r="H14" s="72" t="str">
        <f>'[2]Annex-9'!H14</f>
        <v>( 0.0)</v>
      </c>
      <c r="I14" s="72" t="str">
        <f>'[2]Annex-9'!I14</f>
        <v>( 0.0)</v>
      </c>
      <c r="J14" s="72" t="str">
        <f>'[2]Annex-9'!J14</f>
        <v>( 6.8)</v>
      </c>
      <c r="K14" s="72" t="str">
        <f>'[2]Annex-9'!K14</f>
        <v>( 7.7)</v>
      </c>
      <c r="L14" s="72" t="str">
        <f>'[2]Annex-9'!L14</f>
        <v>( 6.0)</v>
      </c>
      <c r="M14" s="72" t="str">
        <f>'[2]Annex-9'!M14</f>
        <v>( 0.9)</v>
      </c>
      <c r="N14" s="72" t="str">
        <f>'[2]Annex-9'!N14</f>
        <v>( 0.0)</v>
      </c>
      <c r="O14" s="72" t="str">
        <f>'[2]Annex-9'!O14</f>
        <v>( 0.9)</v>
      </c>
      <c r="P14" s="72" t="str">
        <f>'[2]Annex-9'!P14</f>
        <v>( 7.7)</v>
      </c>
    </row>
    <row r="15" spans="1:32" x14ac:dyDescent="0.3">
      <c r="A15" s="111" t="str">
        <f>common!$I$4</f>
        <v>RABI II 2024-25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</row>
    <row r="16" spans="1:32" x14ac:dyDescent="0.3">
      <c r="A16" s="112" t="str">
        <f>'[2]Annex-9'!A16</f>
        <v>CENTRAL</v>
      </c>
      <c r="B16" s="72" t="str">
        <f>'[2]Annex-9'!B16&amp;"  "</f>
        <v xml:space="preserve">32  </v>
      </c>
      <c r="C16" s="72" t="str">
        <f>'[2]Annex-9'!C16&amp;" "</f>
        <v xml:space="preserve">20 </v>
      </c>
      <c r="D16" s="72" t="str">
        <f>'[2]Annex-9'!D16&amp;" "</f>
        <v xml:space="preserve">0 </v>
      </c>
      <c r="E16" s="72" t="str">
        <f>'[2]Annex-9'!E16&amp;" "</f>
        <v xml:space="preserve">0 </v>
      </c>
      <c r="F16" s="72" t="str">
        <f>'[2]Annex-9'!F16&amp;" "</f>
        <v xml:space="preserve">20 </v>
      </c>
      <c r="G16" s="72" t="str">
        <f>'[2]Annex-9'!G16&amp;" "</f>
        <v xml:space="preserve">0 </v>
      </c>
      <c r="H16" s="72" t="str">
        <f>'[2]Annex-9'!H16&amp;" "</f>
        <v xml:space="preserve">0 </v>
      </c>
      <c r="I16" s="72" t="str">
        <f>'[2]Annex-9'!I16&amp;" "</f>
        <v xml:space="preserve">0 </v>
      </c>
      <c r="J16" s="72" t="str">
        <f>'[2]Annex-9'!J16&amp;" "</f>
        <v xml:space="preserve">12 </v>
      </c>
      <c r="K16" s="72" t="str">
        <f>'[2]Annex-9'!K16&amp;" "</f>
        <v xml:space="preserve">12 </v>
      </c>
      <c r="L16" s="72" t="str">
        <f>'[2]Annex-9'!L16&amp;" "</f>
        <v xml:space="preserve">10 </v>
      </c>
      <c r="M16" s="72" t="str">
        <f>'[2]Annex-9'!M16&amp;" "</f>
        <v xml:space="preserve">2 </v>
      </c>
      <c r="N16" s="72" t="str">
        <f>'[2]Annex-9'!N16&amp;" "</f>
        <v xml:space="preserve">0 </v>
      </c>
      <c r="O16" s="72" t="str">
        <f>'[2]Annex-9'!O16&amp;" "</f>
        <v xml:space="preserve">0 </v>
      </c>
      <c r="P16" s="72" t="str">
        <f>'[2]Annex-9'!P16&amp;" "</f>
        <v xml:space="preserve">12 </v>
      </c>
    </row>
    <row r="17" spans="1:16" x14ac:dyDescent="0.3">
      <c r="A17" s="112" t="str">
        <f>'[2]Annex-9'!A17</f>
        <v>(%)</v>
      </c>
      <c r="B17" s="72"/>
      <c r="C17" s="72" t="str">
        <f>'[2]Annex-9'!C17</f>
        <v>( 62.5)</v>
      </c>
      <c r="D17" s="72" t="str">
        <f>'[2]Annex-9'!D17</f>
        <v>( 0.0)</v>
      </c>
      <c r="E17" s="72" t="str">
        <f>'[2]Annex-9'!E17</f>
        <v>( 0.0)</v>
      </c>
      <c r="F17" s="72" t="str">
        <f>'[2]Annex-9'!F17</f>
        <v>( 62.5)</v>
      </c>
      <c r="G17" s="72" t="str">
        <f>'[2]Annex-9'!G17</f>
        <v>( 0.0)</v>
      </c>
      <c r="H17" s="72" t="str">
        <f>'[2]Annex-9'!H17</f>
        <v>( 0.0)</v>
      </c>
      <c r="I17" s="72" t="str">
        <f>'[2]Annex-9'!I17</f>
        <v>( 0.0)</v>
      </c>
      <c r="J17" s="72" t="str">
        <f>'[2]Annex-9'!J17</f>
        <v>( 37.5)</v>
      </c>
      <c r="K17" s="72" t="str">
        <f>'[2]Annex-9'!K17</f>
        <v>( 37.5)</v>
      </c>
      <c r="L17" s="72" t="str">
        <f>'[2]Annex-9'!L17</f>
        <v>( 31.3)</v>
      </c>
      <c r="M17" s="72" t="str">
        <f>'[2]Annex-9'!M17</f>
        <v>( 6.3)</v>
      </c>
      <c r="N17" s="72" t="str">
        <f>'[2]Annex-9'!N17</f>
        <v>( 0.0)</v>
      </c>
      <c r="O17" s="72" t="str">
        <f>'[2]Annex-9'!O17</f>
        <v>( 0.0)</v>
      </c>
      <c r="P17" s="72" t="str">
        <f>'[2]Annex-9'!P17</f>
        <v>( 37.5)</v>
      </c>
    </row>
    <row r="18" spans="1:16" x14ac:dyDescent="0.3">
      <c r="A18" s="112" t="str">
        <f>'[2]Annex-9'!A18</f>
        <v>STATE</v>
      </c>
      <c r="B18" s="72" t="str">
        <f>'[2]Annex-9'!B18&amp;"  "</f>
        <v xml:space="preserve">110  </v>
      </c>
      <c r="C18" s="72" t="str">
        <f>'[2]Annex-9'!C18&amp;" "</f>
        <v xml:space="preserve">94 </v>
      </c>
      <c r="D18" s="72" t="str">
        <f>'[2]Annex-9'!D18&amp;" "</f>
        <v xml:space="preserve">8 </v>
      </c>
      <c r="E18" s="72" t="str">
        <f>'[2]Annex-9'!E18&amp;" "</f>
        <v xml:space="preserve">8 </v>
      </c>
      <c r="F18" s="72" t="str">
        <f>'[2]Annex-9'!F18&amp;" "</f>
        <v xml:space="preserve">110 </v>
      </c>
      <c r="G18" s="72" t="str">
        <f>'[2]Annex-9'!G18&amp;" "</f>
        <v xml:space="preserve">0 </v>
      </c>
      <c r="H18" s="72" t="str">
        <f>'[2]Annex-9'!H18&amp;" "</f>
        <v xml:space="preserve">0 </v>
      </c>
      <c r="I18" s="72" t="str">
        <f>'[2]Annex-9'!I18&amp;" "</f>
        <v xml:space="preserve">0 </v>
      </c>
      <c r="J18" s="72" t="str">
        <f>'[2]Annex-9'!J18&amp;" "</f>
        <v xml:space="preserve">0 </v>
      </c>
      <c r="K18" s="72" t="str">
        <f>'[2]Annex-9'!K18&amp;" "</f>
        <v xml:space="preserve">0 </v>
      </c>
      <c r="L18" s="72" t="str">
        <f>'[2]Annex-9'!L18&amp;" "</f>
        <v xml:space="preserve">0 </v>
      </c>
      <c r="M18" s="72" t="str">
        <f>'[2]Annex-9'!M18&amp;" "</f>
        <v xml:space="preserve">0 </v>
      </c>
      <c r="N18" s="72" t="str">
        <f>'[2]Annex-9'!N18&amp;" "</f>
        <v xml:space="preserve">0 </v>
      </c>
      <c r="O18" s="72" t="str">
        <f>'[2]Annex-9'!O18&amp;" "</f>
        <v xml:space="preserve">0 </v>
      </c>
      <c r="P18" s="72" t="str">
        <f>'[2]Annex-9'!P18&amp;" "</f>
        <v xml:space="preserve">0 </v>
      </c>
    </row>
    <row r="19" spans="1:16" x14ac:dyDescent="0.3">
      <c r="A19" s="112" t="str">
        <f>'[2]Annex-9'!A19</f>
        <v>(%)</v>
      </c>
      <c r="B19" s="72"/>
      <c r="C19" s="72" t="str">
        <f>'[2]Annex-9'!C19</f>
        <v>( 85.5)</v>
      </c>
      <c r="D19" s="72" t="str">
        <f>'[2]Annex-9'!D19</f>
        <v>( 7.3)</v>
      </c>
      <c r="E19" s="72" t="str">
        <f>'[2]Annex-9'!E19</f>
        <v>( 7.3)</v>
      </c>
      <c r="F19" s="72" t="str">
        <f>'[2]Annex-9'!F19</f>
        <v>( 100.0)</v>
      </c>
      <c r="G19" s="72" t="str">
        <f>'[2]Annex-9'!G19</f>
        <v>( 0.0)</v>
      </c>
      <c r="H19" s="72" t="str">
        <f>'[2]Annex-9'!H19</f>
        <v>( 0.0)</v>
      </c>
      <c r="I19" s="72" t="str">
        <f>'[2]Annex-9'!I19</f>
        <v>( 0.0)</v>
      </c>
      <c r="J19" s="72" t="str">
        <f>'[2]Annex-9'!J19</f>
        <v>( 0.0)</v>
      </c>
      <c r="K19" s="72" t="str">
        <f>'[2]Annex-9'!K19</f>
        <v>( 0.0)</v>
      </c>
      <c r="L19" s="72" t="str">
        <f>'[2]Annex-9'!L19</f>
        <v>( 0.0)</v>
      </c>
      <c r="M19" s="72" t="str">
        <f>'[2]Annex-9'!M19</f>
        <v>( 0.0)</v>
      </c>
      <c r="N19" s="72" t="str">
        <f>'[2]Annex-9'!N19</f>
        <v>( 0.0)</v>
      </c>
      <c r="O19" s="72" t="str">
        <f>'[2]Annex-9'!O19</f>
        <v>( 0.0)</v>
      </c>
      <c r="P19" s="72" t="str">
        <f>'[2]Annex-9'!P19</f>
        <v>( 0.0)</v>
      </c>
    </row>
    <row r="20" spans="1:16" x14ac:dyDescent="0.3">
      <c r="A20" s="112" t="str">
        <f>'[2]Annex-9'!A20</f>
        <v>POOLED</v>
      </c>
      <c r="B20" s="72" t="str">
        <f>'[2]Annex-9'!B20&amp;"  "</f>
        <v xml:space="preserve">142  </v>
      </c>
      <c r="C20" s="72" t="str">
        <f>'[2]Annex-9'!C20&amp;" "</f>
        <v xml:space="preserve">114 </v>
      </c>
      <c r="D20" s="72" t="str">
        <f>'[2]Annex-9'!D20&amp;" "</f>
        <v xml:space="preserve">8 </v>
      </c>
      <c r="E20" s="72" t="str">
        <f>'[2]Annex-9'!E20&amp;" "</f>
        <v xml:space="preserve">8 </v>
      </c>
      <c r="F20" s="72" t="str">
        <f>'[2]Annex-9'!F20&amp;" "</f>
        <v xml:space="preserve">130 </v>
      </c>
      <c r="G20" s="72" t="str">
        <f>'[2]Annex-9'!G20&amp;" "</f>
        <v xml:space="preserve">0 </v>
      </c>
      <c r="H20" s="72" t="str">
        <f>'[2]Annex-9'!H20&amp;" "</f>
        <v xml:space="preserve">0 </v>
      </c>
      <c r="I20" s="72" t="str">
        <f>'[2]Annex-9'!I20&amp;" "</f>
        <v xml:space="preserve">0 </v>
      </c>
      <c r="J20" s="72" t="str">
        <f>'[2]Annex-9'!J20&amp;" "</f>
        <v xml:space="preserve">12 </v>
      </c>
      <c r="K20" s="72" t="str">
        <f>'[2]Annex-9'!K20&amp;" "</f>
        <v xml:space="preserve">12 </v>
      </c>
      <c r="L20" s="72" t="str">
        <f>'[2]Annex-9'!L20&amp;" "</f>
        <v xml:space="preserve">10 </v>
      </c>
      <c r="M20" s="72" t="str">
        <f>'[2]Annex-9'!M20&amp;" "</f>
        <v xml:space="preserve">2 </v>
      </c>
      <c r="N20" s="72" t="str">
        <f>'[2]Annex-9'!N20&amp;" "</f>
        <v xml:space="preserve">0 </v>
      </c>
      <c r="O20" s="72" t="str">
        <f>'[2]Annex-9'!O20&amp;" "</f>
        <v xml:space="preserve">0 </v>
      </c>
      <c r="P20" s="72" t="str">
        <f>'[2]Annex-9'!P20&amp;" "</f>
        <v xml:space="preserve">12 </v>
      </c>
    </row>
    <row r="21" spans="1:16" x14ac:dyDescent="0.3">
      <c r="A21" s="111" t="str">
        <f>'[2]Annex-9'!A21</f>
        <v>(%)</v>
      </c>
      <c r="B21" s="74"/>
      <c r="C21" s="74" t="str">
        <f>'[2]Annex-9'!C21</f>
        <v>( 80.3)</v>
      </c>
      <c r="D21" s="74" t="str">
        <f>'[2]Annex-9'!D21</f>
        <v>( 5.6)</v>
      </c>
      <c r="E21" s="74" t="str">
        <f>'[2]Annex-9'!E21</f>
        <v>( 5.6)</v>
      </c>
      <c r="F21" s="74" t="str">
        <f>'[2]Annex-9'!F21</f>
        <v>( 91.5)</v>
      </c>
      <c r="G21" s="74" t="str">
        <f>'[2]Annex-9'!G21</f>
        <v>( 0.0)</v>
      </c>
      <c r="H21" s="74" t="str">
        <f>'[2]Annex-9'!H21</f>
        <v>( 0.0)</v>
      </c>
      <c r="I21" s="74" t="str">
        <f>'[2]Annex-9'!I21</f>
        <v>( 0.0)</v>
      </c>
      <c r="J21" s="74" t="str">
        <f>'[2]Annex-9'!J21</f>
        <v>( 8.5)</v>
      </c>
      <c r="K21" s="74" t="str">
        <f>'[2]Annex-9'!K21</f>
        <v>( 8.5)</v>
      </c>
      <c r="L21" s="74" t="str">
        <f>'[2]Annex-9'!L21</f>
        <v>( 7.0)</v>
      </c>
      <c r="M21" s="74" t="str">
        <f>'[2]Annex-9'!M21</f>
        <v>( 1.4)</v>
      </c>
      <c r="N21" s="74" t="str">
        <f>'[2]Annex-9'!N21</f>
        <v>( 0.0)</v>
      </c>
      <c r="O21" s="74" t="str">
        <f>'[2]Annex-9'!O21</f>
        <v>( 0.0)</v>
      </c>
      <c r="P21" s="74" t="str">
        <f>'[2]Annex-9'!P21</f>
        <v>( 8.5)</v>
      </c>
    </row>
    <row r="22" spans="1:16" x14ac:dyDescent="0.3">
      <c r="A22" s="111" t="str">
        <f>common!$H$5</f>
        <v>RABI I 2023-24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</row>
    <row r="23" spans="1:16" x14ac:dyDescent="0.3">
      <c r="A23" s="112" t="str">
        <f>'[2]Annex-9'!A24</f>
        <v>CENTRAL</v>
      </c>
      <c r="B23" s="72" t="str">
        <f>'[2]Annex-9'!B24&amp;"  "</f>
        <v xml:space="preserve">50  </v>
      </c>
      <c r="C23" s="72" t="str">
        <f>'[2]Annex-9'!C24&amp;" "</f>
        <v xml:space="preserve">47 </v>
      </c>
      <c r="D23" s="72" t="str">
        <f>'[2]Annex-9'!D24&amp;" "</f>
        <v xml:space="preserve">1 </v>
      </c>
      <c r="E23" s="72" t="str">
        <f>'[2]Annex-9'!E24&amp;" "</f>
        <v xml:space="preserve">0 </v>
      </c>
      <c r="F23" s="72" t="str">
        <f>'[2]Annex-9'!F24&amp;" "</f>
        <v xml:space="preserve">48 </v>
      </c>
      <c r="G23" s="72" t="str">
        <f>'[2]Annex-9'!G24&amp;" "</f>
        <v xml:space="preserve">0 </v>
      </c>
      <c r="H23" s="72" t="str">
        <f>'[2]Annex-9'!H24&amp;" "</f>
        <v xml:space="preserve">0 </v>
      </c>
      <c r="I23" s="72" t="str">
        <f>'[2]Annex-9'!I24&amp;" "</f>
        <v xml:space="preserve">0 </v>
      </c>
      <c r="J23" s="72" t="str">
        <f>'[2]Annex-9'!J24&amp;" "</f>
        <v xml:space="preserve">2 </v>
      </c>
      <c r="K23" s="72" t="str">
        <f>'[2]Annex-9'!K24&amp;" "</f>
        <v xml:space="preserve">2 </v>
      </c>
      <c r="L23" s="72" t="str">
        <f>'[2]Annex-9'!L24&amp;" "</f>
        <v xml:space="preserve">2 </v>
      </c>
      <c r="M23" s="72" t="str">
        <f>'[2]Annex-9'!M24&amp;" "</f>
        <v xml:space="preserve">0 </v>
      </c>
      <c r="N23" s="72" t="str">
        <f>'[2]Annex-9'!N24&amp;" "</f>
        <v xml:space="preserve">0 </v>
      </c>
      <c r="O23" s="72" t="str">
        <f>'[2]Annex-9'!O24&amp;" "</f>
        <v xml:space="preserve">0 </v>
      </c>
      <c r="P23" s="72" t="str">
        <f>'[2]Annex-9'!P24&amp;" "</f>
        <v xml:space="preserve">2 </v>
      </c>
    </row>
    <row r="24" spans="1:16" x14ac:dyDescent="0.3">
      <c r="A24" s="112" t="str">
        <f>'[2]Annex-9'!A25</f>
        <v>(%)</v>
      </c>
      <c r="B24" s="72"/>
      <c r="C24" s="72" t="str">
        <f>'[2]Annex-9'!C25</f>
        <v>( 94.0)</v>
      </c>
      <c r="D24" s="72" t="str">
        <f>'[2]Annex-9'!D25</f>
        <v>( 2.0)</v>
      </c>
      <c r="E24" s="72" t="str">
        <f>'[2]Annex-9'!E25</f>
        <v>( 0.0)</v>
      </c>
      <c r="F24" s="72" t="str">
        <f>'[2]Annex-9'!F25</f>
        <v>( 96.0)</v>
      </c>
      <c r="G24" s="72" t="str">
        <f>'[2]Annex-9'!G25</f>
        <v>( 0.0)</v>
      </c>
      <c r="H24" s="72" t="str">
        <f>'[2]Annex-9'!H25</f>
        <v>( 0.0)</v>
      </c>
      <c r="I24" s="72" t="str">
        <f>'[2]Annex-9'!I25</f>
        <v>( 0.0)</v>
      </c>
      <c r="J24" s="72" t="str">
        <f>'[2]Annex-9'!J25</f>
        <v>( 4.0)</v>
      </c>
      <c r="K24" s="72" t="str">
        <f>'[2]Annex-9'!K25</f>
        <v>( 4.0)</v>
      </c>
      <c r="L24" s="72" t="str">
        <f>'[2]Annex-9'!L25</f>
        <v>( 4.0)</v>
      </c>
      <c r="M24" s="72" t="str">
        <f>'[2]Annex-9'!M25</f>
        <v>( 0.0)</v>
      </c>
      <c r="N24" s="72" t="str">
        <f>'[2]Annex-9'!N25</f>
        <v>( 0.0)</v>
      </c>
      <c r="O24" s="72" t="str">
        <f>'[2]Annex-9'!O25</f>
        <v>( 0.0)</v>
      </c>
      <c r="P24" s="72" t="str">
        <f>'[2]Annex-9'!P25</f>
        <v>( 4.0)</v>
      </c>
    </row>
    <row r="25" spans="1:16" x14ac:dyDescent="0.3">
      <c r="A25" s="112" t="str">
        <f>'[2]Annex-9'!A26</f>
        <v>STATE</v>
      </c>
      <c r="B25" s="72" t="str">
        <f>'[2]Annex-9'!B26&amp;"  "</f>
        <v xml:space="preserve">37  </v>
      </c>
      <c r="C25" s="72" t="str">
        <f>'[2]Annex-9'!C26&amp;" "</f>
        <v xml:space="preserve">35 </v>
      </c>
      <c r="D25" s="72" t="str">
        <f>'[2]Annex-9'!D26&amp;" "</f>
        <v xml:space="preserve">2 </v>
      </c>
      <c r="E25" s="72" t="str">
        <f>'[2]Annex-9'!E26&amp;" "</f>
        <v xml:space="preserve">0 </v>
      </c>
      <c r="F25" s="72" t="str">
        <f>'[2]Annex-9'!F26&amp;" "</f>
        <v xml:space="preserve">37 </v>
      </c>
      <c r="G25" s="72" t="str">
        <f>'[2]Annex-9'!G26&amp;" "</f>
        <v xml:space="preserve">0 </v>
      </c>
      <c r="H25" s="72" t="str">
        <f>'[2]Annex-9'!H26&amp;" "</f>
        <v xml:space="preserve">0 </v>
      </c>
      <c r="I25" s="72" t="str">
        <f>'[2]Annex-9'!I26&amp;" "</f>
        <v xml:space="preserve">0 </v>
      </c>
      <c r="J25" s="72" t="str">
        <f>'[2]Annex-9'!J26&amp;" "</f>
        <v xml:space="preserve">0 </v>
      </c>
      <c r="K25" s="72" t="str">
        <f>'[2]Annex-9'!K26&amp;" "</f>
        <v xml:space="preserve">0 </v>
      </c>
      <c r="L25" s="72" t="str">
        <f>'[2]Annex-9'!L26&amp;" "</f>
        <v xml:space="preserve">0 </v>
      </c>
      <c r="M25" s="72" t="str">
        <f>'[2]Annex-9'!M26&amp;" "</f>
        <v xml:space="preserve">0 </v>
      </c>
      <c r="N25" s="72" t="str">
        <f>'[2]Annex-9'!N26&amp;" "</f>
        <v xml:space="preserve">0 </v>
      </c>
      <c r="O25" s="72" t="str">
        <f>'[2]Annex-9'!O26&amp;" "</f>
        <v xml:space="preserve">0 </v>
      </c>
      <c r="P25" s="72" t="str">
        <f>'[2]Annex-9'!P26&amp;" "</f>
        <v xml:space="preserve">0 </v>
      </c>
    </row>
    <row r="26" spans="1:16" x14ac:dyDescent="0.3">
      <c r="A26" s="112" t="str">
        <f>'[2]Annex-9'!A27</f>
        <v>(%)</v>
      </c>
      <c r="B26" s="72"/>
      <c r="C26" s="72" t="str">
        <f>'[2]Annex-9'!C27</f>
        <v>( 94.6)</v>
      </c>
      <c r="D26" s="72" t="str">
        <f>'[2]Annex-9'!D27</f>
        <v>( 5.4)</v>
      </c>
      <c r="E26" s="72" t="str">
        <f>'[2]Annex-9'!E27</f>
        <v>( 0.0)</v>
      </c>
      <c r="F26" s="72" t="str">
        <f>'[2]Annex-9'!F27</f>
        <v>( 100.0)</v>
      </c>
      <c r="G26" s="72" t="str">
        <f>'[2]Annex-9'!G27</f>
        <v>( 0.0)</v>
      </c>
      <c r="H26" s="72" t="str">
        <f>'[2]Annex-9'!H27</f>
        <v>( 0.0)</v>
      </c>
      <c r="I26" s="72" t="str">
        <f>'[2]Annex-9'!I27</f>
        <v>( 0.0)</v>
      </c>
      <c r="J26" s="72" t="str">
        <f>'[2]Annex-9'!J27</f>
        <v>( 0.0)</v>
      </c>
      <c r="K26" s="72" t="str">
        <f>'[2]Annex-9'!K27</f>
        <v>( 0.0)</v>
      </c>
      <c r="L26" s="72" t="str">
        <f>'[2]Annex-9'!L27</f>
        <v>( 0.0)</v>
      </c>
      <c r="M26" s="72" t="str">
        <f>'[2]Annex-9'!M27</f>
        <v>( 0.0)</v>
      </c>
      <c r="N26" s="72" t="str">
        <f>'[2]Annex-9'!N27</f>
        <v>( 0.0)</v>
      </c>
      <c r="O26" s="72" t="str">
        <f>'[2]Annex-9'!O27</f>
        <v>( 0.0)</v>
      </c>
      <c r="P26" s="72" t="str">
        <f>'[2]Annex-9'!P27</f>
        <v>( 0.0)</v>
      </c>
    </row>
    <row r="27" spans="1:16" x14ac:dyDescent="0.3">
      <c r="A27" s="112" t="str">
        <f>'[2]Annex-9'!A28</f>
        <v>POOLED</v>
      </c>
      <c r="B27" s="72" t="str">
        <f>'[2]Annex-9'!B28&amp;"  "</f>
        <v xml:space="preserve">87  </v>
      </c>
      <c r="C27" s="72" t="str">
        <f>'[2]Annex-9'!C28&amp;" "</f>
        <v xml:space="preserve">82 </v>
      </c>
      <c r="D27" s="72" t="str">
        <f>'[2]Annex-9'!D28&amp;" "</f>
        <v xml:space="preserve">3 </v>
      </c>
      <c r="E27" s="72" t="str">
        <f>'[2]Annex-9'!E28&amp;" "</f>
        <v xml:space="preserve">0 </v>
      </c>
      <c r="F27" s="72" t="str">
        <f>'[2]Annex-9'!F28&amp;" "</f>
        <v xml:space="preserve">85 </v>
      </c>
      <c r="G27" s="72" t="str">
        <f>'[2]Annex-9'!G28&amp;" "</f>
        <v xml:space="preserve">0 </v>
      </c>
      <c r="H27" s="72" t="str">
        <f>'[2]Annex-9'!H28&amp;" "</f>
        <v xml:space="preserve">0 </v>
      </c>
      <c r="I27" s="72" t="str">
        <f>'[2]Annex-9'!I28&amp;" "</f>
        <v xml:space="preserve">0 </v>
      </c>
      <c r="J27" s="72" t="str">
        <f>'[2]Annex-9'!J28&amp;" "</f>
        <v xml:space="preserve">2 </v>
      </c>
      <c r="K27" s="72" t="str">
        <f>'[2]Annex-9'!K28&amp;" "</f>
        <v xml:space="preserve">2 </v>
      </c>
      <c r="L27" s="72" t="str">
        <f>'[2]Annex-9'!L28&amp;" "</f>
        <v xml:space="preserve">2 </v>
      </c>
      <c r="M27" s="72" t="str">
        <f>'[2]Annex-9'!M28&amp;" "</f>
        <v xml:space="preserve">0 </v>
      </c>
      <c r="N27" s="72" t="str">
        <f>'[2]Annex-9'!N28&amp;" "</f>
        <v xml:space="preserve">0 </v>
      </c>
      <c r="O27" s="72" t="str">
        <f>'[2]Annex-9'!O28&amp;" "</f>
        <v xml:space="preserve">0 </v>
      </c>
      <c r="P27" s="72" t="str">
        <f>'[2]Annex-9'!P28&amp;" "</f>
        <v xml:space="preserve">2 </v>
      </c>
    </row>
    <row r="28" spans="1:16" x14ac:dyDescent="0.3">
      <c r="A28" s="112" t="str">
        <f>'[2]Annex-9'!A29</f>
        <v>(%)</v>
      </c>
      <c r="B28" s="72"/>
      <c r="C28" s="72" t="str">
        <f>'[2]Annex-9'!C29</f>
        <v>( 94.3)</v>
      </c>
      <c r="D28" s="72" t="str">
        <f>'[2]Annex-9'!D29</f>
        <v>( 3.4)</v>
      </c>
      <c r="E28" s="72" t="str">
        <f>'[2]Annex-9'!E29</f>
        <v>( 0.0)</v>
      </c>
      <c r="F28" s="72" t="str">
        <f>'[2]Annex-9'!F29</f>
        <v>( 97.7)</v>
      </c>
      <c r="G28" s="72" t="str">
        <f>'[2]Annex-9'!G29</f>
        <v>( 0.0)</v>
      </c>
      <c r="H28" s="72" t="str">
        <f>'[2]Annex-9'!H29</f>
        <v>( 0.0)</v>
      </c>
      <c r="I28" s="72" t="str">
        <f>'[2]Annex-9'!I29</f>
        <v>( 0.0)</v>
      </c>
      <c r="J28" s="72" t="str">
        <f>'[2]Annex-9'!J29</f>
        <v>( 2.3)</v>
      </c>
      <c r="K28" s="72" t="str">
        <f>'[2]Annex-9'!K29</f>
        <v>( 2.3)</v>
      </c>
      <c r="L28" s="72" t="str">
        <f>'[2]Annex-9'!L29</f>
        <v>( 2.3)</v>
      </c>
      <c r="M28" s="72" t="str">
        <f>'[2]Annex-9'!M29</f>
        <v>( 0.0)</v>
      </c>
      <c r="N28" s="72" t="str">
        <f>'[2]Annex-9'!N29</f>
        <v>( 0.0)</v>
      </c>
      <c r="O28" s="72" t="str">
        <f>'[2]Annex-9'!O29</f>
        <v>( 0.0)</v>
      </c>
      <c r="P28" s="72" t="str">
        <f>'[2]Annex-9'!P29</f>
        <v>( 2.3)</v>
      </c>
    </row>
    <row r="29" spans="1:16" x14ac:dyDescent="0.3">
      <c r="A29" s="111" t="str">
        <f>common!$I$5</f>
        <v>RABI II 2023-24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</row>
    <row r="30" spans="1:16" x14ac:dyDescent="0.3">
      <c r="A30" s="112" t="str">
        <f>'[2]Annex-9'!A31</f>
        <v>CENTRAL</v>
      </c>
      <c r="B30" s="72" t="str">
        <f>'[2]Annex-9'!B31&amp;"  "</f>
        <v xml:space="preserve">35  </v>
      </c>
      <c r="C30" s="72" t="str">
        <f>'[2]Annex-9'!C31&amp;" "</f>
        <v xml:space="preserve">30 </v>
      </c>
      <c r="D30" s="72" t="str">
        <f>'[2]Annex-9'!D31&amp;" "</f>
        <v xml:space="preserve">2 </v>
      </c>
      <c r="E30" s="72" t="str">
        <f>'[2]Annex-9'!E31&amp;" "</f>
        <v xml:space="preserve">0 </v>
      </c>
      <c r="F30" s="72" t="str">
        <f>'[2]Annex-9'!F31&amp;" "</f>
        <v xml:space="preserve">32 </v>
      </c>
      <c r="G30" s="72" t="str">
        <f>'[2]Annex-9'!G31&amp;" "</f>
        <v xml:space="preserve">0 </v>
      </c>
      <c r="H30" s="72" t="str">
        <f>'[2]Annex-9'!H31&amp;" "</f>
        <v xml:space="preserve">0 </v>
      </c>
      <c r="I30" s="72" t="str">
        <f>'[2]Annex-9'!I31&amp;" "</f>
        <v xml:space="preserve">0 </v>
      </c>
      <c r="J30" s="72" t="str">
        <f>'[2]Annex-9'!J31&amp;" "</f>
        <v xml:space="preserve">3 </v>
      </c>
      <c r="K30" s="72" t="str">
        <f>'[2]Annex-9'!K31&amp;" "</f>
        <v xml:space="preserve">3 </v>
      </c>
      <c r="L30" s="72" t="str">
        <f>'[2]Annex-9'!L31&amp;" "</f>
        <v xml:space="preserve">3 </v>
      </c>
      <c r="M30" s="72" t="str">
        <f>'[2]Annex-9'!M31&amp;" "</f>
        <v xml:space="preserve">0 </v>
      </c>
      <c r="N30" s="72" t="str">
        <f>'[2]Annex-9'!N31&amp;" "</f>
        <v xml:space="preserve">0 </v>
      </c>
      <c r="O30" s="72" t="str">
        <f>'[2]Annex-9'!O31&amp;" "</f>
        <v xml:space="preserve">0 </v>
      </c>
      <c r="P30" s="72" t="str">
        <f>'[2]Annex-9'!P31&amp;" "</f>
        <v xml:space="preserve">3 </v>
      </c>
    </row>
    <row r="31" spans="1:16" x14ac:dyDescent="0.3">
      <c r="A31" s="112" t="str">
        <f>'[2]Annex-9'!A32</f>
        <v>(%)</v>
      </c>
      <c r="B31" s="72"/>
      <c r="C31" s="72" t="str">
        <f>'[2]Annex-9'!C32</f>
        <v>( 85.7)</v>
      </c>
      <c r="D31" s="72" t="str">
        <f>'[2]Annex-9'!D32</f>
        <v>( 5.7)</v>
      </c>
      <c r="E31" s="72" t="str">
        <f>'[2]Annex-9'!E32</f>
        <v>( 0.0)</v>
      </c>
      <c r="F31" s="72" t="str">
        <f>'[2]Annex-9'!F32</f>
        <v>( 91.4)</v>
      </c>
      <c r="G31" s="72" t="str">
        <f>'[2]Annex-9'!G32</f>
        <v>( 0.0)</v>
      </c>
      <c r="H31" s="72" t="str">
        <f>'[2]Annex-9'!H32</f>
        <v>( 0.0)</v>
      </c>
      <c r="I31" s="72" t="str">
        <f>'[2]Annex-9'!I32</f>
        <v>( 0.0)</v>
      </c>
      <c r="J31" s="72" t="str">
        <f>'[2]Annex-9'!J32</f>
        <v>( 8.6)</v>
      </c>
      <c r="K31" s="72" t="str">
        <f>'[2]Annex-9'!K32</f>
        <v>( 8.6)</v>
      </c>
      <c r="L31" s="72" t="str">
        <f>'[2]Annex-9'!L32</f>
        <v>( 8.6)</v>
      </c>
      <c r="M31" s="72" t="str">
        <f>'[2]Annex-9'!M32</f>
        <v>( 0.0)</v>
      </c>
      <c r="N31" s="72" t="str">
        <f>'[2]Annex-9'!N32</f>
        <v>( 0.0)</v>
      </c>
      <c r="O31" s="72" t="str">
        <f>'[2]Annex-9'!O32</f>
        <v>( 0.0)</v>
      </c>
      <c r="P31" s="72" t="str">
        <f>'[2]Annex-9'!P32</f>
        <v>( 8.6)</v>
      </c>
    </row>
    <row r="32" spans="1:16" x14ac:dyDescent="0.3">
      <c r="A32" s="112" t="str">
        <f>'[2]Annex-9'!A33</f>
        <v>STATE</v>
      </c>
      <c r="B32" s="72" t="str">
        <f>'[2]Annex-9'!B33&amp;"  "</f>
        <v xml:space="preserve">44  </v>
      </c>
      <c r="C32" s="72" t="str">
        <f>'[2]Annex-9'!C33&amp;" "</f>
        <v xml:space="preserve">28 </v>
      </c>
      <c r="D32" s="72" t="str">
        <f>'[2]Annex-9'!D33&amp;" "</f>
        <v xml:space="preserve">16 </v>
      </c>
      <c r="E32" s="72" t="str">
        <f>'[2]Annex-9'!E33&amp;" "</f>
        <v xml:space="preserve">0 </v>
      </c>
      <c r="F32" s="72" t="str">
        <f>'[2]Annex-9'!F33&amp;" "</f>
        <v xml:space="preserve">44 </v>
      </c>
      <c r="G32" s="72" t="str">
        <f>'[2]Annex-9'!G33&amp;" "</f>
        <v xml:space="preserve">0 </v>
      </c>
      <c r="H32" s="72" t="str">
        <f>'[2]Annex-9'!H33&amp;" "</f>
        <v xml:space="preserve">0 </v>
      </c>
      <c r="I32" s="72" t="str">
        <f>'[2]Annex-9'!I33&amp;" "</f>
        <v xml:space="preserve">0 </v>
      </c>
      <c r="J32" s="72" t="str">
        <f>'[2]Annex-9'!J33&amp;" "</f>
        <v xml:space="preserve">0 </v>
      </c>
      <c r="K32" s="72" t="str">
        <f>'[2]Annex-9'!K33&amp;" "</f>
        <v xml:space="preserve">0 </v>
      </c>
      <c r="L32" s="72" t="str">
        <f>'[2]Annex-9'!L33&amp;" "</f>
        <v xml:space="preserve">0 </v>
      </c>
      <c r="M32" s="72" t="str">
        <f>'[2]Annex-9'!M33&amp;" "</f>
        <v xml:space="preserve">0 </v>
      </c>
      <c r="N32" s="72" t="str">
        <f>'[2]Annex-9'!N33&amp;" "</f>
        <v xml:space="preserve">0 </v>
      </c>
      <c r="O32" s="72" t="str">
        <f>'[2]Annex-9'!O33&amp;" "</f>
        <v xml:space="preserve">0 </v>
      </c>
      <c r="P32" s="72" t="str">
        <f>'[2]Annex-9'!P33&amp;" "</f>
        <v xml:space="preserve">0 </v>
      </c>
    </row>
    <row r="33" spans="1:16" x14ac:dyDescent="0.3">
      <c r="A33" s="112" t="str">
        <f>'[2]Annex-9'!A34</f>
        <v>(%)</v>
      </c>
      <c r="B33" s="72"/>
      <c r="C33" s="72" t="str">
        <f>'[2]Annex-9'!C34</f>
        <v>( 63.6)</v>
      </c>
      <c r="D33" s="72" t="str">
        <f>'[2]Annex-9'!D34</f>
        <v>( 36.4)</v>
      </c>
      <c r="E33" s="72" t="str">
        <f>'[2]Annex-9'!E34</f>
        <v>( 0.0)</v>
      </c>
      <c r="F33" s="72" t="str">
        <f>'[2]Annex-9'!F34</f>
        <v>( 100.0)</v>
      </c>
      <c r="G33" s="72" t="str">
        <f>'[2]Annex-9'!G34</f>
        <v>( 0.0)</v>
      </c>
      <c r="H33" s="72" t="str">
        <f>'[2]Annex-9'!H34</f>
        <v>( 0.0)</v>
      </c>
      <c r="I33" s="72" t="str">
        <f>'[2]Annex-9'!I34</f>
        <v>( 0.0)</v>
      </c>
      <c r="J33" s="72" t="str">
        <f>'[2]Annex-9'!J34</f>
        <v>( 0.0)</v>
      </c>
      <c r="K33" s="72" t="str">
        <f>'[2]Annex-9'!K34</f>
        <v>( 0.0)</v>
      </c>
      <c r="L33" s="72" t="str">
        <f>'[2]Annex-9'!L34</f>
        <v>( 0.0)</v>
      </c>
      <c r="M33" s="72" t="str">
        <f>'[2]Annex-9'!M34</f>
        <v>( 0.0)</v>
      </c>
      <c r="N33" s="72" t="str">
        <f>'[2]Annex-9'!N34</f>
        <v>( 0.0)</v>
      </c>
      <c r="O33" s="72" t="str">
        <f>'[2]Annex-9'!O34</f>
        <v>( 0.0)</v>
      </c>
      <c r="P33" s="72" t="str">
        <f>'[2]Annex-9'!P34</f>
        <v>( 0.0)</v>
      </c>
    </row>
    <row r="34" spans="1:16" x14ac:dyDescent="0.3">
      <c r="A34" s="112" t="str">
        <f>'[2]Annex-9'!A35</f>
        <v>POOLED</v>
      </c>
      <c r="B34" s="72" t="str">
        <f>'[2]Annex-9'!B35&amp;"  "</f>
        <v xml:space="preserve">79  </v>
      </c>
      <c r="C34" s="72" t="str">
        <f>'[2]Annex-9'!C35&amp;" "</f>
        <v xml:space="preserve">58 </v>
      </c>
      <c r="D34" s="72" t="str">
        <f>'[2]Annex-9'!D35&amp;" "</f>
        <v xml:space="preserve">18 </v>
      </c>
      <c r="E34" s="72" t="str">
        <f>'[2]Annex-9'!E35&amp;" "</f>
        <v xml:space="preserve">0 </v>
      </c>
      <c r="F34" s="72" t="str">
        <f>'[2]Annex-9'!F35&amp;" "</f>
        <v xml:space="preserve">76 </v>
      </c>
      <c r="G34" s="72" t="str">
        <f>'[2]Annex-9'!G35&amp;" "</f>
        <v xml:space="preserve">0 </v>
      </c>
      <c r="H34" s="72" t="str">
        <f>'[2]Annex-9'!H35&amp;" "</f>
        <v xml:space="preserve">0 </v>
      </c>
      <c r="I34" s="72" t="str">
        <f>'[2]Annex-9'!I35&amp;" "</f>
        <v xml:space="preserve">0 </v>
      </c>
      <c r="J34" s="72" t="str">
        <f>'[2]Annex-9'!J35&amp;" "</f>
        <v xml:space="preserve">3 </v>
      </c>
      <c r="K34" s="72" t="str">
        <f>'[2]Annex-9'!K35&amp;" "</f>
        <v xml:space="preserve">3 </v>
      </c>
      <c r="L34" s="72" t="str">
        <f>'[2]Annex-9'!L35&amp;" "</f>
        <v xml:space="preserve">3 </v>
      </c>
      <c r="M34" s="72" t="str">
        <f>'[2]Annex-9'!M35&amp;" "</f>
        <v xml:space="preserve">0 </v>
      </c>
      <c r="N34" s="72" t="str">
        <f>'[2]Annex-9'!N35&amp;" "</f>
        <v xml:space="preserve">0 </v>
      </c>
      <c r="O34" s="72" t="str">
        <f>'[2]Annex-9'!O35&amp;" "</f>
        <v xml:space="preserve">0 </v>
      </c>
      <c r="P34" s="72" t="str">
        <f>'[2]Annex-9'!P35&amp;" "</f>
        <v xml:space="preserve">3 </v>
      </c>
    </row>
    <row r="35" spans="1:16" ht="15" thickBot="1" x14ac:dyDescent="0.35">
      <c r="A35" s="114" t="str">
        <f>'[2]Annex-9'!A36</f>
        <v>(%)</v>
      </c>
      <c r="B35" s="86"/>
      <c r="C35" s="86" t="str">
        <f>'[2]Annex-9'!C36</f>
        <v>( 73.4)</v>
      </c>
      <c r="D35" s="86" t="str">
        <f>'[2]Annex-9'!D36</f>
        <v>( 22.8)</v>
      </c>
      <c r="E35" s="86" t="str">
        <f>'[2]Annex-9'!E36</f>
        <v>( 0.0)</v>
      </c>
      <c r="F35" s="86" t="str">
        <f>'[2]Annex-9'!F36</f>
        <v>( 96.2)</v>
      </c>
      <c r="G35" s="86" t="str">
        <f>'[2]Annex-9'!G36</f>
        <v>( 0.0)</v>
      </c>
      <c r="H35" s="86" t="str">
        <f>'[2]Annex-9'!H36</f>
        <v>( 0.0)</v>
      </c>
      <c r="I35" s="86" t="str">
        <f>'[2]Annex-9'!I36</f>
        <v>( 0.0)</v>
      </c>
      <c r="J35" s="86" t="str">
        <f>'[2]Annex-9'!J36</f>
        <v>( 3.8)</v>
      </c>
      <c r="K35" s="86" t="str">
        <f>'[2]Annex-9'!K36</f>
        <v>( 3.8)</v>
      </c>
      <c r="L35" s="86" t="str">
        <f>'[2]Annex-9'!L36</f>
        <v>( 3.8)</v>
      </c>
      <c r="M35" s="86" t="str">
        <f>'[2]Annex-9'!M36</f>
        <v>( 0.0)</v>
      </c>
      <c r="N35" s="86" t="str">
        <f>'[2]Annex-9'!N36</f>
        <v>( 0.0)</v>
      </c>
      <c r="O35" s="86" t="str">
        <f>'[2]Annex-9'!O36</f>
        <v>( 0.0)</v>
      </c>
      <c r="P35" s="86" t="str">
        <f>'[2]Annex-9'!P36</f>
        <v>( 3.8)</v>
      </c>
    </row>
    <row r="36" spans="1:16" ht="15" thickTop="1" x14ac:dyDescent="0.3"/>
    <row r="42" spans="1:16" ht="15" customHeight="1" x14ac:dyDescent="0.3"/>
    <row r="43" spans="1:16" ht="15" customHeight="1" x14ac:dyDescent="0.3"/>
    <row r="45" spans="1:16" ht="15" customHeight="1" x14ac:dyDescent="0.3"/>
  </sheetData>
  <mergeCells count="14"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  <mergeCell ref="E5:E6"/>
    <mergeCell ref="F5:F6"/>
    <mergeCell ref="G5:K5"/>
    <mergeCell ref="L5:P5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L81"/>
  <sheetViews>
    <sheetView view="pageBreakPreview" zoomScale="55" zoomScaleNormal="70" zoomScaleSheetLayoutView="55" workbookViewId="0">
      <selection activeCell="K5" sqref="K5:K6"/>
    </sheetView>
  </sheetViews>
  <sheetFormatPr defaultRowHeight="13.8" x14ac:dyDescent="0.3"/>
  <cols>
    <col min="1" max="1" width="17.88671875" style="11" bestFit="1" customWidth="1"/>
    <col min="2" max="2" width="11.44140625" style="11" customWidth="1"/>
    <col min="3" max="3" width="12.109375" style="11" customWidth="1"/>
    <col min="4" max="4" width="9.109375" style="11" customWidth="1"/>
    <col min="5" max="5" width="11.77734375" style="11" customWidth="1"/>
    <col min="6" max="6" width="12.6640625" style="11" customWidth="1"/>
    <col min="7" max="7" width="8.88671875" style="11" customWidth="1"/>
    <col min="8" max="8" width="11.44140625" style="11" customWidth="1"/>
    <col min="9" max="9" width="12.44140625" style="11" customWidth="1"/>
    <col min="10" max="10" width="10" style="11" customWidth="1"/>
    <col min="11" max="11" width="18.77734375" style="11" customWidth="1"/>
    <col min="12" max="12" width="9.109375" style="11"/>
    <col min="13" max="16384" width="8.88671875" style="12"/>
  </cols>
  <sheetData>
    <row r="1" spans="1:11" x14ac:dyDescent="0.3">
      <c r="A1" s="256" t="s">
        <v>95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</row>
    <row r="2" spans="1:11" x14ac:dyDescent="0.3">
      <c r="A2" s="289" t="str">
        <f>common!$H$2</f>
        <v>UT : PUDUCHERRY</v>
      </c>
      <c r="B2" s="289" t="str">
        <f>common!$H$2</f>
        <v>UT : PUDUCHERRY</v>
      </c>
      <c r="C2" s="289" t="str">
        <f>common!$H$2</f>
        <v>UT : PUDUCHERRY</v>
      </c>
      <c r="D2" s="289" t="str">
        <f>common!$H$2</f>
        <v>UT : PUDUCHERRY</v>
      </c>
      <c r="E2" s="289" t="str">
        <f>common!$H$2</f>
        <v>UT : PUDUCHERRY</v>
      </c>
      <c r="F2" s="289" t="str">
        <f>common!$H$2</f>
        <v>UT : PUDUCHERRY</v>
      </c>
      <c r="G2" s="289" t="str">
        <f>common!$H$2</f>
        <v>UT : PUDUCHERRY</v>
      </c>
      <c r="H2" s="289" t="str">
        <f>common!$H$2</f>
        <v>UT : PUDUCHERRY</v>
      </c>
      <c r="I2" s="289" t="str">
        <f>common!$H$2</f>
        <v>UT : PUDUCHERRY</v>
      </c>
      <c r="J2" s="290" t="str">
        <f>'[3]Annex-10'!J$3</f>
        <v>ANNEX-X</v>
      </c>
      <c r="K2" s="290"/>
    </row>
    <row r="3" spans="1:11" x14ac:dyDescent="0.3">
      <c r="A3" s="279" t="str">
        <f>'[3]Annex-10'!A$4</f>
        <v>IMPACT OF DISCREPANCIES IN RECORDING AREA UNDER CROPS(IRRIGATED) DURING 0 AND 0.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</row>
    <row r="4" spans="1:11" ht="17.399999999999999" customHeight="1" x14ac:dyDescent="0.3">
      <c r="A4" s="291" t="s">
        <v>280</v>
      </c>
      <c r="B4" s="280" t="s">
        <v>261</v>
      </c>
      <c r="C4" s="280"/>
      <c r="D4" s="280"/>
      <c r="E4" s="280"/>
      <c r="F4" s="280"/>
      <c r="G4" s="280"/>
      <c r="H4" s="280"/>
      <c r="I4" s="280"/>
      <c r="J4" s="280"/>
      <c r="K4" s="280"/>
    </row>
    <row r="5" spans="1:11" ht="17.399999999999999" customHeight="1" x14ac:dyDescent="0.3">
      <c r="A5" s="292"/>
      <c r="B5" s="276" t="s">
        <v>262</v>
      </c>
      <c r="C5" s="276"/>
      <c r="D5" s="276"/>
      <c r="E5" s="276" t="s">
        <v>263</v>
      </c>
      <c r="F5" s="276"/>
      <c r="G5" s="276"/>
      <c r="H5" s="276" t="s">
        <v>264</v>
      </c>
      <c r="I5" s="276"/>
      <c r="J5" s="276"/>
      <c r="K5" s="275" t="s">
        <v>298</v>
      </c>
    </row>
    <row r="6" spans="1:11" ht="55.2" x14ac:dyDescent="0.3">
      <c r="A6" s="293"/>
      <c r="B6" s="96" t="s">
        <v>266</v>
      </c>
      <c r="C6" s="96" t="s">
        <v>258</v>
      </c>
      <c r="D6" s="96" t="s">
        <v>259</v>
      </c>
      <c r="E6" s="96" t="s">
        <v>266</v>
      </c>
      <c r="F6" s="96" t="s">
        <v>258</v>
      </c>
      <c r="G6" s="96" t="s">
        <v>259</v>
      </c>
      <c r="H6" s="96" t="s">
        <v>266</v>
      </c>
      <c r="I6" s="96" t="s">
        <v>272</v>
      </c>
      <c r="J6" s="96" t="s">
        <v>273</v>
      </c>
      <c r="K6" s="276"/>
    </row>
    <row r="7" spans="1:11" x14ac:dyDescent="0.3">
      <c r="A7" s="102" t="str">
        <f>'[3]Annex-10'!A$8</f>
        <v>(1)</v>
      </c>
      <c r="B7" s="145" t="str">
        <f>'[3]Annex-10'!B$8</f>
        <v>(2)</v>
      </c>
      <c r="C7" s="102" t="str">
        <f>'[3]Annex-10'!C$8</f>
        <v>(3)</v>
      </c>
      <c r="D7" s="102" t="str">
        <f>'[3]Annex-10'!D$8</f>
        <v>(4)</v>
      </c>
      <c r="E7" s="102" t="str">
        <f>'[3]Annex-10'!E$8</f>
        <v>(5)</v>
      </c>
      <c r="F7" s="102" t="str">
        <f>'[3]Annex-10'!F$8</f>
        <v>(6)</v>
      </c>
      <c r="G7" s="102" t="str">
        <f>'[3]Annex-10'!G$8</f>
        <v>(7)</v>
      </c>
      <c r="H7" s="102" t="str">
        <f>'[3]Annex-10'!H$8</f>
        <v>(8)</v>
      </c>
      <c r="I7" s="102" t="str">
        <f>'[3]Annex-10'!I$8</f>
        <v>(9)</v>
      </c>
      <c r="J7" s="102" t="str">
        <f>'[3]Annex-10'!J$8</f>
        <v>(10)</v>
      </c>
      <c r="K7" s="102" t="str">
        <f>'[3]Annex-10'!L$8</f>
        <v>(11)</v>
      </c>
    </row>
    <row r="8" spans="1:11" ht="28.8" customHeight="1" x14ac:dyDescent="0.3">
      <c r="A8" s="104" t="str">
        <f>common!$H$4</f>
        <v>RABI I 2024-25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28.8" customHeight="1" x14ac:dyDescent="0.3">
      <c r="A9" s="124" t="str">
        <f>IF([4]Crops!$A7="","",[4]Crops!$A7)</f>
        <v>PADDY</v>
      </c>
      <c r="B9" s="199" t="str">
        <f>ROUND('[3]Annex-10'!B10,2)&amp;"  "</f>
        <v xml:space="preserve">3  </v>
      </c>
      <c r="C9" s="199" t="str">
        <f>IF(INT('[3]Annex-10'!C10)='[3]Annex-10'!C10,'[3]Annex-10'!C10&amp;".00  ",IF(INT('[3]Annex-10'!C10*10)='[3]Annex-10'!C10*10,'[3]Annex-10'!C10&amp;"0  ",ROUND('[3]Annex-10'!C10,2)&amp;"  "))</f>
        <v xml:space="preserve">4.46  </v>
      </c>
      <c r="D9" s="199" t="str">
        <f>IF(INT('[3]Annex-10'!D10)='[3]Annex-10'!D10,'[3]Annex-10'!D10&amp;".00  ",IF(INT('[3]Annex-10'!D10*10)='[3]Annex-10'!D10*10,'[3]Annex-10'!D10&amp;"0  ",ROUND('[3]Annex-10'!D10,2)&amp;"  "))</f>
        <v xml:space="preserve">4.59  </v>
      </c>
      <c r="E9" s="199" t="str">
        <f>ROUND('[3]Annex-10'!E10,2)&amp;"  "</f>
        <v xml:space="preserve">8  </v>
      </c>
      <c r="F9" s="199" t="str">
        <f>IF(INT('[3]Annex-10'!F10)='[3]Annex-10'!F10,'[3]Annex-10'!F10&amp;".00  ",IF(INT('[3]Annex-10'!F10*10)='[3]Annex-10'!F10*10,'[3]Annex-10'!F10&amp;"0  ",ROUND('[3]Annex-10'!F10,2)&amp;"  "))</f>
        <v xml:space="preserve">15.62  </v>
      </c>
      <c r="G9" s="199" t="str">
        <f>IF(INT('[3]Annex-10'!G10)='[3]Annex-10'!G10,'[3]Annex-10'!G10&amp;".00  ",IF(INT('[3]Annex-10'!G10*10)='[3]Annex-10'!G10*10,'[3]Annex-10'!G10&amp;"0  ",ROUND('[3]Annex-10'!G10,2)&amp;"  "))</f>
        <v xml:space="preserve">15.51  </v>
      </c>
      <c r="H9" s="199" t="str">
        <f>ROUND('[3]Annex-10'!H10,2)&amp;"  "</f>
        <v xml:space="preserve">11  </v>
      </c>
      <c r="I9" s="199" t="str">
        <f>IF(INT('[3]Annex-10'!I10)='[3]Annex-10'!I10,'[3]Annex-10'!I10&amp;".00  ",IF(INT('[3]Annex-10'!I10*10)='[3]Annex-10'!I10*10,'[3]Annex-10'!I10&amp;"0  ",ROUND('[3]Annex-10'!I10,2)&amp;"  "))</f>
        <v xml:space="preserve">20.08  </v>
      </c>
      <c r="J9" s="199" t="str">
        <f>IF(INT('[3]Annex-10'!J10)='[3]Annex-10'!J10,'[3]Annex-10'!J10&amp;".00  ",IF(INT('[3]Annex-10'!J10*10)='[3]Annex-10'!J10*10,'[3]Annex-10'!J10&amp;"0  ",ROUND('[3]Annex-10'!J10,2)&amp;"  "))</f>
        <v xml:space="preserve">20.1  </v>
      </c>
      <c r="K9" s="199" t="str">
        <f>IF('[3]Annex-10'!K10&lt;0,"(-)"&amp;FIXED(ABS('[3]Annex-10'!K10),2)&amp;"    ",FIXED('[3]Annex-10'!K10,2)&amp;"    ")</f>
        <v xml:space="preserve">0.10    </v>
      </c>
    </row>
    <row r="10" spans="1:11" ht="28.8" customHeight="1" x14ac:dyDescent="0.3">
      <c r="A10" s="124" t="str">
        <f>IF([4]Crops!$A8="","",[4]Crops!$A8)</f>
        <v>OTHERS</v>
      </c>
      <c r="B10" s="199" t="str">
        <f>ROUND('[3]Annex-10'!B11,2)&amp;"  "</f>
        <v xml:space="preserve">4  </v>
      </c>
      <c r="C10" s="199" t="str">
        <f>IF(INT('[3]Annex-10'!C11)='[3]Annex-10'!C11,'[3]Annex-10'!C11&amp;".00  ",IF(INT('[3]Annex-10'!C11*10)='[3]Annex-10'!C11*10,'[3]Annex-10'!C11&amp;"0  ",ROUND('[3]Annex-10'!C11,2)&amp;"  "))</f>
        <v xml:space="preserve">1.73  </v>
      </c>
      <c r="D10" s="199" t="str">
        <f>IF(INT('[3]Annex-10'!D11)='[3]Annex-10'!D11,'[3]Annex-10'!D11&amp;".00  ",IF(INT('[3]Annex-10'!D11*10)='[3]Annex-10'!D11*10,'[3]Annex-10'!D11&amp;"0  ",ROUND('[3]Annex-10'!D11,2)&amp;"  "))</f>
        <v xml:space="preserve">2.59  </v>
      </c>
      <c r="E10" s="199" t="str">
        <f>ROUND('[3]Annex-10'!E11,2)&amp;"  "</f>
        <v xml:space="preserve">7  </v>
      </c>
      <c r="F10" s="199" t="str">
        <f>IF(INT('[3]Annex-10'!F11)='[3]Annex-10'!F11,'[3]Annex-10'!F11&amp;".00  ",IF(INT('[3]Annex-10'!F11*10)='[3]Annex-10'!F11*10,'[3]Annex-10'!F11&amp;"0  ",ROUND('[3]Annex-10'!F11,2)&amp;"  "))</f>
        <v xml:space="preserve">5.72  </v>
      </c>
      <c r="G10" s="199" t="str">
        <f>IF(INT('[3]Annex-10'!G11)='[3]Annex-10'!G11,'[3]Annex-10'!G11&amp;".00  ",IF(INT('[3]Annex-10'!G11*10)='[3]Annex-10'!G11*10,'[3]Annex-10'!G11&amp;"0  ",ROUND('[3]Annex-10'!G11,2)&amp;"  "))</f>
        <v xml:space="preserve">5.82  </v>
      </c>
      <c r="H10" s="199" t="str">
        <f>ROUND('[3]Annex-10'!H11,2)&amp;"  "</f>
        <v xml:space="preserve">11  </v>
      </c>
      <c r="I10" s="199" t="str">
        <f>IF(INT('[3]Annex-10'!I11)='[3]Annex-10'!I11,'[3]Annex-10'!I11&amp;".00  ",IF(INT('[3]Annex-10'!I11*10)='[3]Annex-10'!I11*10,'[3]Annex-10'!I11&amp;"0  ",ROUND('[3]Annex-10'!I11,2)&amp;"  "))</f>
        <v xml:space="preserve">7.45  </v>
      </c>
      <c r="J10" s="199" t="str">
        <f>IF(INT('[3]Annex-10'!J11)='[3]Annex-10'!J11,'[3]Annex-10'!J11&amp;".00  ",IF(INT('[3]Annex-10'!J11*10)='[3]Annex-10'!J11*10,'[3]Annex-10'!J11&amp;"0  ",ROUND('[3]Annex-10'!J11,2)&amp;"  "))</f>
        <v xml:space="preserve">8.41  </v>
      </c>
      <c r="K10" s="199" t="str">
        <f>IF('[3]Annex-10'!K11&lt;0,"(-)"&amp;FIXED(ABS('[3]Annex-10'!K11),2)&amp;"    ",FIXED('[3]Annex-10'!K11,2)&amp;"    ")</f>
        <v xml:space="preserve">12.95    </v>
      </c>
    </row>
    <row r="11" spans="1:11" hidden="1" x14ac:dyDescent="0.3">
      <c r="A11" s="124" t="str">
        <f>IF([4]Crops!$A9="","",[4]Crops!$A9)</f>
        <v/>
      </c>
      <c r="B11" s="199" t="e">
        <f>ROUND('[3]Annex-10'!B12,2)&amp;"  "</f>
        <v>#VALUE!</v>
      </c>
      <c r="C11" s="199" t="e">
        <f>IF(INT('[3]Annex-10'!C12)='[3]Annex-10'!C12,'[3]Annex-10'!C12&amp;".00  ",IF(INT('[3]Annex-10'!C12*10)='[3]Annex-10'!C12*10,'[3]Annex-10'!C12&amp;"0  ",ROUND('[3]Annex-10'!C12,2)&amp;"  "))</f>
        <v>#VALUE!</v>
      </c>
      <c r="D11" s="199" t="e">
        <f>IF(INT('[3]Annex-10'!D12)='[3]Annex-10'!D12,'[3]Annex-10'!D12&amp;".00  ",IF(INT('[3]Annex-10'!D12*10)='[3]Annex-10'!D12*10,'[3]Annex-10'!D12&amp;"0  ",ROUND('[3]Annex-10'!D12,2)&amp;"  "))</f>
        <v>#VALUE!</v>
      </c>
      <c r="E11" s="199" t="e">
        <f>ROUND('[3]Annex-10'!E12,2)&amp;"  "</f>
        <v>#VALUE!</v>
      </c>
      <c r="F11" s="199" t="e">
        <f>IF(INT('[3]Annex-10'!F12)='[3]Annex-10'!F12,'[3]Annex-10'!F12&amp;".00  ",IF(INT('[3]Annex-10'!F12*10)='[3]Annex-10'!F12*10,'[3]Annex-10'!F12&amp;"0  ",ROUND('[3]Annex-10'!F12,2)&amp;"  "))</f>
        <v>#VALUE!</v>
      </c>
      <c r="G11" s="199" t="e">
        <f>IF(INT('[3]Annex-10'!G12)='[3]Annex-10'!G12,'[3]Annex-10'!G12&amp;".00  ",IF(INT('[3]Annex-10'!G12*10)='[3]Annex-10'!G12*10,'[3]Annex-10'!G12&amp;"0  ",ROUND('[3]Annex-10'!G12,2)&amp;"  "))</f>
        <v>#VALUE!</v>
      </c>
      <c r="H11" s="199" t="e">
        <f>ROUND('[3]Annex-10'!H12,2)&amp;"  "</f>
        <v>#VALUE!</v>
      </c>
      <c r="I11" s="199" t="e">
        <f>IF(INT('[3]Annex-10'!I12)='[3]Annex-10'!I12,'[3]Annex-10'!I12&amp;".00  ",IF(INT('[3]Annex-10'!I12*10)='[3]Annex-10'!I12*10,'[3]Annex-10'!I12&amp;"0  ",ROUND('[3]Annex-10'!I12,2)&amp;"  "))</f>
        <v>#VALUE!</v>
      </c>
      <c r="J11" s="199" t="e">
        <f>IF(INT('[3]Annex-10'!J12)='[3]Annex-10'!J12,'[3]Annex-10'!J12&amp;".00  ",IF(INT('[3]Annex-10'!J12*10)='[3]Annex-10'!J12*10,'[3]Annex-10'!J12&amp;"0  ",ROUND('[3]Annex-10'!J12,2)&amp;"  "))</f>
        <v>#VALUE!</v>
      </c>
      <c r="K11" s="199" t="e">
        <f>IF('[3]Annex-10'!K12&lt;0,"(-)"&amp;FIXED(ABS('[3]Annex-10'!K12),2)&amp;"    ",FIXED('[3]Annex-10'!K12,2)&amp;"    ")</f>
        <v>#VALUE!</v>
      </c>
    </row>
    <row r="12" spans="1:11" hidden="1" x14ac:dyDescent="0.3">
      <c r="A12" s="124" t="str">
        <f>IF([4]Crops!$A10="","",[4]Crops!$A10)</f>
        <v/>
      </c>
      <c r="B12" s="199" t="e">
        <f>ROUND('[3]Annex-10'!B13,2)&amp;"  "</f>
        <v>#VALUE!</v>
      </c>
      <c r="C12" s="199" t="e">
        <f>IF(INT('[3]Annex-10'!C13)='[3]Annex-10'!C13,'[3]Annex-10'!C13&amp;".00  ",IF(INT('[3]Annex-10'!C13*10)='[3]Annex-10'!C13*10,'[3]Annex-10'!C13&amp;"0  ",ROUND('[3]Annex-10'!C13,2)&amp;"  "))</f>
        <v>#VALUE!</v>
      </c>
      <c r="D12" s="199" t="e">
        <f>IF(INT('[3]Annex-10'!D13)='[3]Annex-10'!D13,'[3]Annex-10'!D13&amp;".00  ",IF(INT('[3]Annex-10'!D13*10)='[3]Annex-10'!D13*10,'[3]Annex-10'!D13&amp;"0  ",ROUND('[3]Annex-10'!D13,2)&amp;"  "))</f>
        <v>#VALUE!</v>
      </c>
      <c r="E12" s="199" t="e">
        <f>ROUND('[3]Annex-10'!E13,2)&amp;"  "</f>
        <v>#VALUE!</v>
      </c>
      <c r="F12" s="199" t="e">
        <f>IF(INT('[3]Annex-10'!F13)='[3]Annex-10'!F13,'[3]Annex-10'!F13&amp;".00  ",IF(INT('[3]Annex-10'!F13*10)='[3]Annex-10'!F13*10,'[3]Annex-10'!F13&amp;"0  ",ROUND('[3]Annex-10'!F13,2)&amp;"  "))</f>
        <v>#VALUE!</v>
      </c>
      <c r="G12" s="199" t="e">
        <f>IF(INT('[3]Annex-10'!G13)='[3]Annex-10'!G13,'[3]Annex-10'!G13&amp;".00  ",IF(INT('[3]Annex-10'!G13*10)='[3]Annex-10'!G13*10,'[3]Annex-10'!G13&amp;"0  ",ROUND('[3]Annex-10'!G13,2)&amp;"  "))</f>
        <v>#VALUE!</v>
      </c>
      <c r="H12" s="199" t="e">
        <f>ROUND('[3]Annex-10'!H13,2)&amp;"  "</f>
        <v>#VALUE!</v>
      </c>
      <c r="I12" s="199" t="e">
        <f>IF(INT('[3]Annex-10'!I13)='[3]Annex-10'!I13,'[3]Annex-10'!I13&amp;".00  ",IF(INT('[3]Annex-10'!I13*10)='[3]Annex-10'!I13*10,'[3]Annex-10'!I13&amp;"0  ",ROUND('[3]Annex-10'!I13,2)&amp;"  "))</f>
        <v>#VALUE!</v>
      </c>
      <c r="J12" s="199" t="e">
        <f>IF(INT('[3]Annex-10'!J13)='[3]Annex-10'!J13,'[3]Annex-10'!J13&amp;".00  ",IF(INT('[3]Annex-10'!J13*10)='[3]Annex-10'!J13*10,'[3]Annex-10'!J13&amp;"0  ",ROUND('[3]Annex-10'!J13,2)&amp;"  "))</f>
        <v>#VALUE!</v>
      </c>
      <c r="K12" s="199" t="e">
        <f>IF('[3]Annex-10'!K13&lt;0,"(-)"&amp;FIXED(ABS('[3]Annex-10'!K13),2)&amp;"    ",FIXED('[3]Annex-10'!K13,2)&amp;"    ")</f>
        <v>#VALUE!</v>
      </c>
    </row>
    <row r="13" spans="1:11" hidden="1" x14ac:dyDescent="0.3">
      <c r="A13" s="124" t="str">
        <f>IF([4]Crops!$A11="","",[4]Crops!$A11)</f>
        <v/>
      </c>
      <c r="B13" s="199" t="e">
        <f>ROUND('[3]Annex-10'!B14,2)&amp;"  "</f>
        <v>#VALUE!</v>
      </c>
      <c r="C13" s="199" t="e">
        <f>IF(INT('[3]Annex-10'!C14)='[3]Annex-10'!C14,'[3]Annex-10'!C14&amp;".00  ",IF(INT('[3]Annex-10'!C14*10)='[3]Annex-10'!C14*10,'[3]Annex-10'!C14&amp;"0  ",ROUND('[3]Annex-10'!C14,2)&amp;"  "))</f>
        <v>#VALUE!</v>
      </c>
      <c r="D13" s="199" t="e">
        <f>IF(INT('[3]Annex-10'!D14)='[3]Annex-10'!D14,'[3]Annex-10'!D14&amp;".00  ",IF(INT('[3]Annex-10'!D14*10)='[3]Annex-10'!D14*10,'[3]Annex-10'!D14&amp;"0  ",ROUND('[3]Annex-10'!D14,2)&amp;"  "))</f>
        <v>#VALUE!</v>
      </c>
      <c r="E13" s="199" t="e">
        <f>ROUND('[3]Annex-10'!E14,2)&amp;"  "</f>
        <v>#VALUE!</v>
      </c>
      <c r="F13" s="199" t="e">
        <f>IF(INT('[3]Annex-10'!F14)='[3]Annex-10'!F14,'[3]Annex-10'!F14&amp;".00  ",IF(INT('[3]Annex-10'!F14*10)='[3]Annex-10'!F14*10,'[3]Annex-10'!F14&amp;"0  ",ROUND('[3]Annex-10'!F14,2)&amp;"  "))</f>
        <v>#VALUE!</v>
      </c>
      <c r="G13" s="199" t="e">
        <f>IF(INT('[3]Annex-10'!G14)='[3]Annex-10'!G14,'[3]Annex-10'!G14&amp;".00  ",IF(INT('[3]Annex-10'!G14*10)='[3]Annex-10'!G14*10,'[3]Annex-10'!G14&amp;"0  ",ROUND('[3]Annex-10'!G14,2)&amp;"  "))</f>
        <v>#VALUE!</v>
      </c>
      <c r="H13" s="199" t="e">
        <f>ROUND('[3]Annex-10'!H14,2)&amp;"  "</f>
        <v>#VALUE!</v>
      </c>
      <c r="I13" s="199" t="e">
        <f>IF(INT('[3]Annex-10'!I14)='[3]Annex-10'!I14,'[3]Annex-10'!I14&amp;".00  ",IF(INT('[3]Annex-10'!I14*10)='[3]Annex-10'!I14*10,'[3]Annex-10'!I14&amp;"0  ",ROUND('[3]Annex-10'!I14,2)&amp;"  "))</f>
        <v>#VALUE!</v>
      </c>
      <c r="J13" s="199" t="e">
        <f>IF(INT('[3]Annex-10'!J14)='[3]Annex-10'!J14,'[3]Annex-10'!J14&amp;".00  ",IF(INT('[3]Annex-10'!J14*10)='[3]Annex-10'!J14*10,'[3]Annex-10'!J14&amp;"0  ",ROUND('[3]Annex-10'!J14,2)&amp;"  "))</f>
        <v>#VALUE!</v>
      </c>
      <c r="K13" s="199" t="e">
        <f>IF('[3]Annex-10'!K14&lt;0,"(-)"&amp;FIXED(ABS('[3]Annex-10'!K14),2)&amp;"    ",FIXED('[3]Annex-10'!K14,2)&amp;"    ")</f>
        <v>#VALUE!</v>
      </c>
    </row>
    <row r="14" spans="1:11" hidden="1" x14ac:dyDescent="0.3">
      <c r="A14" s="124" t="str">
        <f>IF([4]Crops!$A12="","",[4]Crops!$A12)</f>
        <v/>
      </c>
      <c r="B14" s="199" t="e">
        <f>ROUND('[3]Annex-10'!B15,2)&amp;"  "</f>
        <v>#VALUE!</v>
      </c>
      <c r="C14" s="199" t="e">
        <f>IF(INT('[3]Annex-10'!C15)='[3]Annex-10'!C15,'[3]Annex-10'!C15&amp;".00  ",IF(INT('[3]Annex-10'!C15*10)='[3]Annex-10'!C15*10,'[3]Annex-10'!C15&amp;"0  ",ROUND('[3]Annex-10'!C15,2)&amp;"  "))</f>
        <v>#VALUE!</v>
      </c>
      <c r="D14" s="199" t="e">
        <f>IF(INT('[3]Annex-10'!D15)='[3]Annex-10'!D15,'[3]Annex-10'!D15&amp;".00  ",IF(INT('[3]Annex-10'!D15*10)='[3]Annex-10'!D15*10,'[3]Annex-10'!D15&amp;"0  ",ROUND('[3]Annex-10'!D15,2)&amp;"  "))</f>
        <v>#VALUE!</v>
      </c>
      <c r="E14" s="199" t="e">
        <f>ROUND('[3]Annex-10'!E15,2)&amp;"  "</f>
        <v>#VALUE!</v>
      </c>
      <c r="F14" s="199" t="e">
        <f>IF(INT('[3]Annex-10'!F15)='[3]Annex-10'!F15,'[3]Annex-10'!F15&amp;".00  ",IF(INT('[3]Annex-10'!F15*10)='[3]Annex-10'!F15*10,'[3]Annex-10'!F15&amp;"0  ",ROUND('[3]Annex-10'!F15,2)&amp;"  "))</f>
        <v>#VALUE!</v>
      </c>
      <c r="G14" s="199" t="e">
        <f>IF(INT('[3]Annex-10'!G15)='[3]Annex-10'!G15,'[3]Annex-10'!G15&amp;".00  ",IF(INT('[3]Annex-10'!G15*10)='[3]Annex-10'!G15*10,'[3]Annex-10'!G15&amp;"0  ",ROUND('[3]Annex-10'!G15,2)&amp;"  "))</f>
        <v>#VALUE!</v>
      </c>
      <c r="H14" s="199" t="e">
        <f>ROUND('[3]Annex-10'!H15,2)&amp;"  "</f>
        <v>#VALUE!</v>
      </c>
      <c r="I14" s="199" t="e">
        <f>IF(INT('[3]Annex-10'!I15)='[3]Annex-10'!I15,'[3]Annex-10'!I15&amp;".00  ",IF(INT('[3]Annex-10'!I15*10)='[3]Annex-10'!I15*10,'[3]Annex-10'!I15&amp;"0  ",ROUND('[3]Annex-10'!I15,2)&amp;"  "))</f>
        <v>#VALUE!</v>
      </c>
      <c r="J14" s="199" t="e">
        <f>IF(INT('[3]Annex-10'!J15)='[3]Annex-10'!J15,'[3]Annex-10'!J15&amp;".00  ",IF(INT('[3]Annex-10'!J15*10)='[3]Annex-10'!J15*10,'[3]Annex-10'!J15&amp;"0  ",ROUND('[3]Annex-10'!J15,2)&amp;"  "))</f>
        <v>#VALUE!</v>
      </c>
      <c r="K14" s="199" t="e">
        <f>IF('[3]Annex-10'!K15&lt;0,"(-)"&amp;FIXED(ABS('[3]Annex-10'!K15),2)&amp;"    ",FIXED('[3]Annex-10'!K15,2)&amp;"    ")</f>
        <v>#VALUE!</v>
      </c>
    </row>
    <row r="15" spans="1:11" hidden="1" x14ac:dyDescent="0.3">
      <c r="A15" s="124" t="str">
        <f>IF([4]Crops!$A13="","",[4]Crops!$A13)</f>
        <v/>
      </c>
      <c r="B15" s="199" t="e">
        <f>ROUND('[3]Annex-10'!B16,2)&amp;"  "</f>
        <v>#VALUE!</v>
      </c>
      <c r="C15" s="199" t="e">
        <f>IF(INT('[3]Annex-10'!C16)='[3]Annex-10'!C16,'[3]Annex-10'!C16&amp;".00  ",IF(INT('[3]Annex-10'!C16*10)='[3]Annex-10'!C16*10,'[3]Annex-10'!C16&amp;"0  ",ROUND('[3]Annex-10'!C16,2)&amp;"  "))</f>
        <v>#VALUE!</v>
      </c>
      <c r="D15" s="199" t="e">
        <f>IF(INT('[3]Annex-10'!D16)='[3]Annex-10'!D16,'[3]Annex-10'!D16&amp;".00  ",IF(INT('[3]Annex-10'!D16*10)='[3]Annex-10'!D16*10,'[3]Annex-10'!D16&amp;"0  ",ROUND('[3]Annex-10'!D16,2)&amp;"  "))</f>
        <v>#VALUE!</v>
      </c>
      <c r="E15" s="199" t="e">
        <f>ROUND('[3]Annex-10'!E16,2)&amp;"  "</f>
        <v>#VALUE!</v>
      </c>
      <c r="F15" s="199" t="e">
        <f>IF(INT('[3]Annex-10'!F16)='[3]Annex-10'!F16,'[3]Annex-10'!F16&amp;".00  ",IF(INT('[3]Annex-10'!F16*10)='[3]Annex-10'!F16*10,'[3]Annex-10'!F16&amp;"0  ",ROUND('[3]Annex-10'!F16,2)&amp;"  "))</f>
        <v>#VALUE!</v>
      </c>
      <c r="G15" s="199" t="e">
        <f>IF(INT('[3]Annex-10'!G16)='[3]Annex-10'!G16,'[3]Annex-10'!G16&amp;".00  ",IF(INT('[3]Annex-10'!G16*10)='[3]Annex-10'!G16*10,'[3]Annex-10'!G16&amp;"0  ",ROUND('[3]Annex-10'!G16,2)&amp;"  "))</f>
        <v>#VALUE!</v>
      </c>
      <c r="H15" s="199" t="e">
        <f>ROUND('[3]Annex-10'!H16,2)&amp;"  "</f>
        <v>#VALUE!</v>
      </c>
      <c r="I15" s="199" t="e">
        <f>IF(INT('[3]Annex-10'!I16)='[3]Annex-10'!I16,'[3]Annex-10'!I16&amp;".00  ",IF(INT('[3]Annex-10'!I16*10)='[3]Annex-10'!I16*10,'[3]Annex-10'!I16&amp;"0  ",ROUND('[3]Annex-10'!I16,2)&amp;"  "))</f>
        <v>#VALUE!</v>
      </c>
      <c r="J15" s="199" t="e">
        <f>IF(INT('[3]Annex-10'!J16)='[3]Annex-10'!J16,'[3]Annex-10'!J16&amp;".00  ",IF(INT('[3]Annex-10'!J16*10)='[3]Annex-10'!J16*10,'[3]Annex-10'!J16&amp;"0  ",ROUND('[3]Annex-10'!J16,2)&amp;"  "))</f>
        <v>#VALUE!</v>
      </c>
      <c r="K15" s="199" t="e">
        <f>IF('[3]Annex-10'!K16&lt;0,"(-)"&amp;FIXED(ABS('[3]Annex-10'!K16),2)&amp;"    ",FIXED('[3]Annex-10'!K16,2)&amp;"    ")</f>
        <v>#VALUE!</v>
      </c>
    </row>
    <row r="16" spans="1:11" hidden="1" x14ac:dyDescent="0.3">
      <c r="A16" s="124" t="str">
        <f>IF([4]Crops!$A14="","",[4]Crops!$A14)</f>
        <v/>
      </c>
      <c r="B16" s="199" t="e">
        <f>ROUND('[3]Annex-10'!B17,2)&amp;"  "</f>
        <v>#VALUE!</v>
      </c>
      <c r="C16" s="199" t="e">
        <f>IF(INT('[3]Annex-10'!C17)='[3]Annex-10'!C17,'[3]Annex-10'!C17&amp;".00  ",IF(INT('[3]Annex-10'!C17*10)='[3]Annex-10'!C17*10,'[3]Annex-10'!C17&amp;"0  ",ROUND('[3]Annex-10'!C17,2)&amp;"  "))</f>
        <v>#VALUE!</v>
      </c>
      <c r="D16" s="199" t="e">
        <f>IF(INT('[3]Annex-10'!D17)='[3]Annex-10'!D17,'[3]Annex-10'!D17&amp;".00  ",IF(INT('[3]Annex-10'!D17*10)='[3]Annex-10'!D17*10,'[3]Annex-10'!D17&amp;"0  ",ROUND('[3]Annex-10'!D17,2)&amp;"  "))</f>
        <v>#VALUE!</v>
      </c>
      <c r="E16" s="199" t="e">
        <f>ROUND('[3]Annex-10'!E17,2)&amp;"  "</f>
        <v>#VALUE!</v>
      </c>
      <c r="F16" s="199" t="e">
        <f>IF(INT('[3]Annex-10'!F17)='[3]Annex-10'!F17,'[3]Annex-10'!F17&amp;".00  ",IF(INT('[3]Annex-10'!F17*10)='[3]Annex-10'!F17*10,'[3]Annex-10'!F17&amp;"0  ",ROUND('[3]Annex-10'!F17,2)&amp;"  "))</f>
        <v>#VALUE!</v>
      </c>
      <c r="G16" s="199" t="e">
        <f>IF(INT('[3]Annex-10'!G17)='[3]Annex-10'!G17,'[3]Annex-10'!G17&amp;".00  ",IF(INT('[3]Annex-10'!G17*10)='[3]Annex-10'!G17*10,'[3]Annex-10'!G17&amp;"0  ",ROUND('[3]Annex-10'!G17,2)&amp;"  "))</f>
        <v>#VALUE!</v>
      </c>
      <c r="H16" s="199" t="e">
        <f>ROUND('[3]Annex-10'!H17,2)&amp;"  "</f>
        <v>#VALUE!</v>
      </c>
      <c r="I16" s="199" t="e">
        <f>IF(INT('[3]Annex-10'!I17)='[3]Annex-10'!I17,'[3]Annex-10'!I17&amp;".00  ",IF(INT('[3]Annex-10'!I17*10)='[3]Annex-10'!I17*10,'[3]Annex-10'!I17&amp;"0  ",ROUND('[3]Annex-10'!I17,2)&amp;"  "))</f>
        <v>#VALUE!</v>
      </c>
      <c r="J16" s="199" t="e">
        <f>IF(INT('[3]Annex-10'!J17)='[3]Annex-10'!J17,'[3]Annex-10'!J17&amp;".00  ",IF(INT('[3]Annex-10'!J17*10)='[3]Annex-10'!J17*10,'[3]Annex-10'!J17&amp;"0  ",ROUND('[3]Annex-10'!J17,2)&amp;"  "))</f>
        <v>#VALUE!</v>
      </c>
      <c r="K16" s="199" t="e">
        <f>IF('[3]Annex-10'!K17&lt;0,"(-)"&amp;FIXED(ABS('[3]Annex-10'!K17),2)&amp;"    ",FIXED('[3]Annex-10'!K17,2)&amp;"    ")</f>
        <v>#VALUE!</v>
      </c>
    </row>
    <row r="17" spans="1:11" hidden="1" x14ac:dyDescent="0.3">
      <c r="A17" s="124" t="str">
        <f>IF([4]Crops!$A15="","",[4]Crops!$A15)</f>
        <v/>
      </c>
      <c r="B17" s="199" t="e">
        <f>ROUND('[3]Annex-10'!B18,2)&amp;"  "</f>
        <v>#VALUE!</v>
      </c>
      <c r="C17" s="199" t="e">
        <f>IF(INT('[3]Annex-10'!C18)='[3]Annex-10'!C18,'[3]Annex-10'!C18&amp;".00  ",IF(INT('[3]Annex-10'!C18*10)='[3]Annex-10'!C18*10,'[3]Annex-10'!C18&amp;"0  ",ROUND('[3]Annex-10'!C18,2)&amp;"  "))</f>
        <v>#VALUE!</v>
      </c>
      <c r="D17" s="199" t="e">
        <f>IF(INT('[3]Annex-10'!D18)='[3]Annex-10'!D18,'[3]Annex-10'!D18&amp;".00  ",IF(INT('[3]Annex-10'!D18*10)='[3]Annex-10'!D18*10,'[3]Annex-10'!D18&amp;"0  ",ROUND('[3]Annex-10'!D18,2)&amp;"  "))</f>
        <v>#VALUE!</v>
      </c>
      <c r="E17" s="199" t="e">
        <f>ROUND('[3]Annex-10'!E18,2)&amp;"  "</f>
        <v>#VALUE!</v>
      </c>
      <c r="F17" s="199" t="e">
        <f>IF(INT('[3]Annex-10'!F18)='[3]Annex-10'!F18,'[3]Annex-10'!F18&amp;".00  ",IF(INT('[3]Annex-10'!F18*10)='[3]Annex-10'!F18*10,'[3]Annex-10'!F18&amp;"0  ",ROUND('[3]Annex-10'!F18,2)&amp;"  "))</f>
        <v>#VALUE!</v>
      </c>
      <c r="G17" s="199" t="e">
        <f>IF(INT('[3]Annex-10'!G18)='[3]Annex-10'!G18,'[3]Annex-10'!G18&amp;".00  ",IF(INT('[3]Annex-10'!G18*10)='[3]Annex-10'!G18*10,'[3]Annex-10'!G18&amp;"0  ",ROUND('[3]Annex-10'!G18,2)&amp;"  "))</f>
        <v>#VALUE!</v>
      </c>
      <c r="H17" s="199" t="e">
        <f>ROUND('[3]Annex-10'!H18,2)&amp;"  "</f>
        <v>#VALUE!</v>
      </c>
      <c r="I17" s="199" t="e">
        <f>IF(INT('[3]Annex-10'!I18)='[3]Annex-10'!I18,'[3]Annex-10'!I18&amp;".00  ",IF(INT('[3]Annex-10'!I18*10)='[3]Annex-10'!I18*10,'[3]Annex-10'!I18&amp;"0  ",ROUND('[3]Annex-10'!I18,2)&amp;"  "))</f>
        <v>#VALUE!</v>
      </c>
      <c r="J17" s="199" t="e">
        <f>IF(INT('[3]Annex-10'!J18)='[3]Annex-10'!J18,'[3]Annex-10'!J18&amp;".00  ",IF(INT('[3]Annex-10'!J18*10)='[3]Annex-10'!J18*10,'[3]Annex-10'!J18&amp;"0  ",ROUND('[3]Annex-10'!J18,2)&amp;"  "))</f>
        <v>#VALUE!</v>
      </c>
      <c r="K17" s="199" t="e">
        <f>IF('[3]Annex-10'!K18&lt;0,"(-)"&amp;FIXED(ABS('[3]Annex-10'!K18),2)&amp;"    ",FIXED('[3]Annex-10'!K18,2)&amp;"    ")</f>
        <v>#VALUE!</v>
      </c>
    </row>
    <row r="18" spans="1:11" hidden="1" x14ac:dyDescent="0.3">
      <c r="A18" s="123" t="str">
        <f>IF([4]Crops!$A16="","",[4]Crops!$A16)</f>
        <v/>
      </c>
      <c r="B18" s="200" t="e">
        <f>ROUND('[3]Annex-10'!B19,2)&amp;"  "</f>
        <v>#VALUE!</v>
      </c>
      <c r="C18" s="200" t="e">
        <f>IF(INT('[3]Annex-10'!C19)='[3]Annex-10'!C19,'[3]Annex-10'!C19&amp;".00  ",IF(INT('[3]Annex-10'!C19*10)='[3]Annex-10'!C19*10,'[3]Annex-10'!C19&amp;"0  ",ROUND('[3]Annex-10'!C19,2)&amp;"  "))</f>
        <v>#VALUE!</v>
      </c>
      <c r="D18" s="200" t="e">
        <f>IF(INT('[3]Annex-10'!D19)='[3]Annex-10'!D19,'[3]Annex-10'!D19&amp;".00  ",IF(INT('[3]Annex-10'!D19*10)='[3]Annex-10'!D19*10,'[3]Annex-10'!D19&amp;"0  ",ROUND('[3]Annex-10'!D19,2)&amp;"  "))</f>
        <v>#VALUE!</v>
      </c>
      <c r="E18" s="200" t="e">
        <f>ROUND('[3]Annex-10'!E19,2)&amp;"  "</f>
        <v>#VALUE!</v>
      </c>
      <c r="F18" s="200" t="e">
        <f>IF(INT('[3]Annex-10'!F19)='[3]Annex-10'!F19,'[3]Annex-10'!F19&amp;".00  ",IF(INT('[3]Annex-10'!F19*10)='[3]Annex-10'!F19*10,'[3]Annex-10'!F19&amp;"0  ",ROUND('[3]Annex-10'!F19,2)&amp;"  "))</f>
        <v>#VALUE!</v>
      </c>
      <c r="G18" s="200" t="e">
        <f>IF(INT('[3]Annex-10'!G19)='[3]Annex-10'!G19,'[3]Annex-10'!G19&amp;".00  ",IF(INT('[3]Annex-10'!G19*10)='[3]Annex-10'!G19*10,'[3]Annex-10'!G19&amp;"0  ",ROUND('[3]Annex-10'!G19,2)&amp;"  "))</f>
        <v>#VALUE!</v>
      </c>
      <c r="H18" s="200" t="e">
        <f>ROUND('[3]Annex-10'!H19,2)&amp;"  "</f>
        <v>#VALUE!</v>
      </c>
      <c r="I18" s="200" t="e">
        <f>IF(INT('[3]Annex-10'!I19)='[3]Annex-10'!I19,'[3]Annex-10'!I19&amp;".00  ",IF(INT('[3]Annex-10'!I19*10)='[3]Annex-10'!I19*10,'[3]Annex-10'!I19&amp;"0  ",ROUND('[3]Annex-10'!I19,2)&amp;"  "))</f>
        <v>#VALUE!</v>
      </c>
      <c r="J18" s="200" t="e">
        <f>IF(INT('[3]Annex-10'!J19)='[3]Annex-10'!J19,'[3]Annex-10'!J19&amp;".00  ",IF(INT('[3]Annex-10'!J19*10)='[3]Annex-10'!J19*10,'[3]Annex-10'!J19&amp;"0  ",ROUND('[3]Annex-10'!J19,2)&amp;"  "))</f>
        <v>#VALUE!</v>
      </c>
      <c r="K18" s="200" t="e">
        <f>IF('[3]Annex-10'!K19&lt;0,"(-)"&amp;FIXED(ABS('[3]Annex-10'!K19),2)&amp;"    ",FIXED('[3]Annex-10'!K19,2)&amp;"    ")</f>
        <v>#VALUE!</v>
      </c>
    </row>
    <row r="19" spans="1:11" hidden="1" x14ac:dyDescent="0.3">
      <c r="A19" s="124" t="str">
        <f>IF([4]Crops!$A17="","",[4]Crops!$A17)</f>
        <v/>
      </c>
      <c r="B19" s="201" t="e">
        <f>ROUND('[3]Annex-10'!B20,2)&amp;"  "</f>
        <v>#VALUE!</v>
      </c>
      <c r="C19" s="201" t="e">
        <f>IF(INT('[3]Annex-10'!C20)='[3]Annex-10'!C20,'[3]Annex-10'!C20&amp;".00  ",IF(INT('[3]Annex-10'!C20*10)='[3]Annex-10'!C20*10,'[3]Annex-10'!C20&amp;"0  ",ROUND('[3]Annex-10'!C20,2)&amp;"  "))</f>
        <v>#VALUE!</v>
      </c>
      <c r="D19" s="201" t="e">
        <f>IF(INT('[3]Annex-10'!D20)='[3]Annex-10'!D20,'[3]Annex-10'!D20&amp;".00  ",IF(INT('[3]Annex-10'!D20*10)='[3]Annex-10'!D20*10,'[3]Annex-10'!D20&amp;"0  ",ROUND('[3]Annex-10'!D20,2)&amp;"  "))</f>
        <v>#VALUE!</v>
      </c>
      <c r="E19" s="201" t="e">
        <f>ROUND('[3]Annex-10'!E20,2)&amp;"  "</f>
        <v>#VALUE!</v>
      </c>
      <c r="F19" s="201" t="e">
        <f>IF(INT('[3]Annex-10'!F20)='[3]Annex-10'!F20,'[3]Annex-10'!F20&amp;".00  ",IF(INT('[3]Annex-10'!F20*10)='[3]Annex-10'!F20*10,'[3]Annex-10'!F20&amp;"0  ",ROUND('[3]Annex-10'!F20,2)&amp;"  "))</f>
        <v>#VALUE!</v>
      </c>
      <c r="G19" s="201" t="e">
        <f>IF(INT('[3]Annex-10'!G20)='[3]Annex-10'!G20,'[3]Annex-10'!G20&amp;".00  ",IF(INT('[3]Annex-10'!G20*10)='[3]Annex-10'!G20*10,'[3]Annex-10'!G20&amp;"0  ",ROUND('[3]Annex-10'!G20,2)&amp;"  "))</f>
        <v>#VALUE!</v>
      </c>
      <c r="H19" s="201" t="e">
        <f>ROUND('[3]Annex-10'!H20,2)&amp;"  "</f>
        <v>#VALUE!</v>
      </c>
      <c r="I19" s="201" t="e">
        <f>IF(INT('[3]Annex-10'!I20)='[3]Annex-10'!I20,'[3]Annex-10'!I20&amp;".00  ",IF(INT('[3]Annex-10'!I20*10)='[3]Annex-10'!I20*10,'[3]Annex-10'!I20&amp;"0  ",ROUND('[3]Annex-10'!I20,2)&amp;"  "))</f>
        <v>#VALUE!</v>
      </c>
      <c r="J19" s="201" t="e">
        <f>IF(INT('[3]Annex-10'!J20)='[3]Annex-10'!J20,'[3]Annex-10'!J20&amp;".00  ",IF(INT('[3]Annex-10'!J20*10)='[3]Annex-10'!J20*10,'[3]Annex-10'!J20&amp;"0  ",ROUND('[3]Annex-10'!J20,2)&amp;"  "))</f>
        <v>#VALUE!</v>
      </c>
      <c r="K19" s="201" t="e">
        <f>IF('[3]Annex-10'!K20&lt;0,"(-)"&amp;FIXED(ABS('[3]Annex-10'!K20),2)&amp;"    ",FIXED('[3]Annex-10'!K20,2)&amp;"    ")</f>
        <v>#VALUE!</v>
      </c>
    </row>
    <row r="20" spans="1:11" hidden="1" x14ac:dyDescent="0.3">
      <c r="A20" s="124" t="str">
        <f>IF([4]Crops!$A18="","",[4]Crops!$A18)</f>
        <v/>
      </c>
      <c r="B20" s="201" t="e">
        <f>ROUND('[3]Annex-10'!B21,2)&amp;"  "</f>
        <v>#VALUE!</v>
      </c>
      <c r="C20" s="201" t="e">
        <f>IF(INT('[3]Annex-10'!C21)='[3]Annex-10'!C21,'[3]Annex-10'!C21&amp;".00  ",IF(INT('[3]Annex-10'!C21*10)='[3]Annex-10'!C21*10,'[3]Annex-10'!C21&amp;"0  ",ROUND('[3]Annex-10'!C21,2)&amp;"  "))</f>
        <v>#VALUE!</v>
      </c>
      <c r="D20" s="201" t="e">
        <f>IF(INT('[3]Annex-10'!D21)='[3]Annex-10'!D21,'[3]Annex-10'!D21&amp;".00  ",IF(INT('[3]Annex-10'!D21*10)='[3]Annex-10'!D21*10,'[3]Annex-10'!D21&amp;"0  ",ROUND('[3]Annex-10'!D21,2)&amp;"  "))</f>
        <v>#VALUE!</v>
      </c>
      <c r="E20" s="201" t="e">
        <f>ROUND('[3]Annex-10'!E21,2)&amp;"  "</f>
        <v>#VALUE!</v>
      </c>
      <c r="F20" s="201" t="e">
        <f>IF(INT('[3]Annex-10'!F21)='[3]Annex-10'!F21,'[3]Annex-10'!F21&amp;".00  ",IF(INT('[3]Annex-10'!F21*10)='[3]Annex-10'!F21*10,'[3]Annex-10'!F21&amp;"0  ",ROUND('[3]Annex-10'!F21,2)&amp;"  "))</f>
        <v>#VALUE!</v>
      </c>
      <c r="G20" s="201" t="e">
        <f>IF(INT('[3]Annex-10'!G21)='[3]Annex-10'!G21,'[3]Annex-10'!G21&amp;".00  ",IF(INT('[3]Annex-10'!G21*10)='[3]Annex-10'!G21*10,'[3]Annex-10'!G21&amp;"0  ",ROUND('[3]Annex-10'!G21,2)&amp;"  "))</f>
        <v>#VALUE!</v>
      </c>
      <c r="H20" s="201" t="e">
        <f>ROUND('[3]Annex-10'!H21,2)&amp;"  "</f>
        <v>#VALUE!</v>
      </c>
      <c r="I20" s="201" t="e">
        <f>IF(INT('[3]Annex-10'!I21)='[3]Annex-10'!I21,'[3]Annex-10'!I21&amp;".00  ",IF(INT('[3]Annex-10'!I21*10)='[3]Annex-10'!I21*10,'[3]Annex-10'!I21&amp;"0  ",ROUND('[3]Annex-10'!I21,2)&amp;"  "))</f>
        <v>#VALUE!</v>
      </c>
      <c r="J20" s="201" t="e">
        <f>IF(INT('[3]Annex-10'!J21)='[3]Annex-10'!J21,'[3]Annex-10'!J21&amp;".00  ",IF(INT('[3]Annex-10'!J21*10)='[3]Annex-10'!J21*10,'[3]Annex-10'!J21&amp;"0  ",ROUND('[3]Annex-10'!J21,2)&amp;"  "))</f>
        <v>#VALUE!</v>
      </c>
      <c r="K20" s="201" t="e">
        <f>IF('[3]Annex-10'!K21&lt;0,"(-)"&amp;FIXED(ABS('[3]Annex-10'!K21),2)&amp;"    ",FIXED('[3]Annex-10'!K21,2)&amp;"    ")</f>
        <v>#VALUE!</v>
      </c>
    </row>
    <row r="21" spans="1:11" hidden="1" x14ac:dyDescent="0.3">
      <c r="A21" s="124" t="str">
        <f>IF([4]Crops!$A19="","",[4]Crops!$A19)</f>
        <v/>
      </c>
      <c r="B21" s="201" t="e">
        <f>ROUND('[3]Annex-10'!B22,2)&amp;"  "</f>
        <v>#VALUE!</v>
      </c>
      <c r="C21" s="201" t="e">
        <f>IF(INT('[3]Annex-10'!C22)='[3]Annex-10'!C22,'[3]Annex-10'!C22&amp;".00  ",IF(INT('[3]Annex-10'!C22*10)='[3]Annex-10'!C22*10,'[3]Annex-10'!C22&amp;"0  ",ROUND('[3]Annex-10'!C22,2)&amp;"  "))</f>
        <v>#VALUE!</v>
      </c>
      <c r="D21" s="201" t="e">
        <f>IF(INT('[3]Annex-10'!D22)='[3]Annex-10'!D22,'[3]Annex-10'!D22&amp;".00  ",IF(INT('[3]Annex-10'!D22*10)='[3]Annex-10'!D22*10,'[3]Annex-10'!D22&amp;"0  ",ROUND('[3]Annex-10'!D22,2)&amp;"  "))</f>
        <v>#VALUE!</v>
      </c>
      <c r="E21" s="201" t="e">
        <f>ROUND('[3]Annex-10'!E22,2)&amp;"  "</f>
        <v>#VALUE!</v>
      </c>
      <c r="F21" s="201" t="e">
        <f>IF(INT('[3]Annex-10'!F22)='[3]Annex-10'!F22,'[3]Annex-10'!F22&amp;".00  ",IF(INT('[3]Annex-10'!F22*10)='[3]Annex-10'!F22*10,'[3]Annex-10'!F22&amp;"0  ",ROUND('[3]Annex-10'!F22,2)&amp;"  "))</f>
        <v>#VALUE!</v>
      </c>
      <c r="G21" s="201" t="e">
        <f>IF(INT('[3]Annex-10'!G22)='[3]Annex-10'!G22,'[3]Annex-10'!G22&amp;".00  ",IF(INT('[3]Annex-10'!G22*10)='[3]Annex-10'!G22*10,'[3]Annex-10'!G22&amp;"0  ",ROUND('[3]Annex-10'!G22,2)&amp;"  "))</f>
        <v>#VALUE!</v>
      </c>
      <c r="H21" s="201" t="e">
        <f>ROUND('[3]Annex-10'!H22,2)&amp;"  "</f>
        <v>#VALUE!</v>
      </c>
      <c r="I21" s="201" t="e">
        <f>IF(INT('[3]Annex-10'!I22)='[3]Annex-10'!I22,'[3]Annex-10'!I22&amp;".00  ",IF(INT('[3]Annex-10'!I22*10)='[3]Annex-10'!I22*10,'[3]Annex-10'!I22&amp;"0  ",ROUND('[3]Annex-10'!I22,2)&amp;"  "))</f>
        <v>#VALUE!</v>
      </c>
      <c r="J21" s="201" t="e">
        <f>IF(INT('[3]Annex-10'!J22)='[3]Annex-10'!J22,'[3]Annex-10'!J22&amp;".00  ",IF(INT('[3]Annex-10'!J22*10)='[3]Annex-10'!J22*10,'[3]Annex-10'!J22&amp;"0  ",ROUND('[3]Annex-10'!J22,2)&amp;"  "))</f>
        <v>#VALUE!</v>
      </c>
      <c r="K21" s="201" t="e">
        <f>IF('[3]Annex-10'!K22&lt;0,"(-)"&amp;FIXED(ABS('[3]Annex-10'!K22),2)&amp;"    ",FIXED('[3]Annex-10'!K22,2)&amp;"    ")</f>
        <v>#VALUE!</v>
      </c>
    </row>
    <row r="22" spans="1:11" hidden="1" x14ac:dyDescent="0.3">
      <c r="A22" s="124" t="str">
        <f>IF([4]Crops!$A20="","",[4]Crops!$A20)</f>
        <v/>
      </c>
      <c r="B22" s="201" t="e">
        <f>ROUND('[3]Annex-10'!B23,2)&amp;"  "</f>
        <v>#VALUE!</v>
      </c>
      <c r="C22" s="201" t="e">
        <f>IF(INT('[3]Annex-10'!C23)='[3]Annex-10'!C23,'[3]Annex-10'!C23&amp;".00  ",IF(INT('[3]Annex-10'!C23*10)='[3]Annex-10'!C23*10,'[3]Annex-10'!C23&amp;"0  ",ROUND('[3]Annex-10'!C23,2)&amp;"  "))</f>
        <v>#VALUE!</v>
      </c>
      <c r="D22" s="201" t="e">
        <f>IF(INT('[3]Annex-10'!D23)='[3]Annex-10'!D23,'[3]Annex-10'!D23&amp;".00  ",IF(INT('[3]Annex-10'!D23*10)='[3]Annex-10'!D23*10,'[3]Annex-10'!D23&amp;"0  ",ROUND('[3]Annex-10'!D23,2)&amp;"  "))</f>
        <v>#VALUE!</v>
      </c>
      <c r="E22" s="201" t="e">
        <f>ROUND('[3]Annex-10'!E23,2)&amp;"  "</f>
        <v>#VALUE!</v>
      </c>
      <c r="F22" s="201" t="e">
        <f>IF(INT('[3]Annex-10'!F23)='[3]Annex-10'!F23,'[3]Annex-10'!F23&amp;".00  ",IF(INT('[3]Annex-10'!F23*10)='[3]Annex-10'!F23*10,'[3]Annex-10'!F23&amp;"0  ",ROUND('[3]Annex-10'!F23,2)&amp;"  "))</f>
        <v>#VALUE!</v>
      </c>
      <c r="G22" s="201" t="e">
        <f>IF(INT('[3]Annex-10'!G23)='[3]Annex-10'!G23,'[3]Annex-10'!G23&amp;".00  ",IF(INT('[3]Annex-10'!G23*10)='[3]Annex-10'!G23*10,'[3]Annex-10'!G23&amp;"0  ",ROUND('[3]Annex-10'!G23,2)&amp;"  "))</f>
        <v>#VALUE!</v>
      </c>
      <c r="H22" s="201" t="e">
        <f>ROUND('[3]Annex-10'!H23,2)&amp;"  "</f>
        <v>#VALUE!</v>
      </c>
      <c r="I22" s="201" t="e">
        <f>IF(INT('[3]Annex-10'!I23)='[3]Annex-10'!I23,'[3]Annex-10'!I23&amp;".00  ",IF(INT('[3]Annex-10'!I23*10)='[3]Annex-10'!I23*10,'[3]Annex-10'!I23&amp;"0  ",ROUND('[3]Annex-10'!I23,2)&amp;"  "))</f>
        <v>#VALUE!</v>
      </c>
      <c r="J22" s="201" t="e">
        <f>IF(INT('[3]Annex-10'!J23)='[3]Annex-10'!J23,'[3]Annex-10'!J23&amp;".00  ",IF(INT('[3]Annex-10'!J23*10)='[3]Annex-10'!J23*10,'[3]Annex-10'!J23&amp;"0  ",ROUND('[3]Annex-10'!J23,2)&amp;"  "))</f>
        <v>#VALUE!</v>
      </c>
      <c r="K22" s="201" t="e">
        <f>IF('[3]Annex-10'!K23&lt;0,"(-)"&amp;FIXED(ABS('[3]Annex-10'!K23),2)&amp;"    ",FIXED('[3]Annex-10'!K23,2)&amp;"    ")</f>
        <v>#VALUE!</v>
      </c>
    </row>
    <row r="23" spans="1:11" hidden="1" x14ac:dyDescent="0.3">
      <c r="A23" s="124" t="str">
        <f>IF([4]Crops!$A21="","",[4]Crops!$A21)</f>
        <v/>
      </c>
      <c r="B23" s="201" t="e">
        <f>ROUND('[3]Annex-10'!B24,2)&amp;"  "</f>
        <v>#VALUE!</v>
      </c>
      <c r="C23" s="201" t="e">
        <f>IF(INT('[3]Annex-10'!C24)='[3]Annex-10'!C24,'[3]Annex-10'!C24&amp;".00  ",IF(INT('[3]Annex-10'!C24*10)='[3]Annex-10'!C24*10,'[3]Annex-10'!C24&amp;"0  ",ROUND('[3]Annex-10'!C24,2)&amp;"  "))</f>
        <v>#VALUE!</v>
      </c>
      <c r="D23" s="201" t="e">
        <f>IF(INT('[3]Annex-10'!D24)='[3]Annex-10'!D24,'[3]Annex-10'!D24&amp;".00  ",IF(INT('[3]Annex-10'!D24*10)='[3]Annex-10'!D24*10,'[3]Annex-10'!D24&amp;"0  ",ROUND('[3]Annex-10'!D24,2)&amp;"  "))</f>
        <v>#VALUE!</v>
      </c>
      <c r="E23" s="201" t="e">
        <f>ROUND('[3]Annex-10'!E24,2)&amp;"  "</f>
        <v>#VALUE!</v>
      </c>
      <c r="F23" s="201" t="e">
        <f>IF(INT('[3]Annex-10'!F24)='[3]Annex-10'!F24,'[3]Annex-10'!F24&amp;".00  ",IF(INT('[3]Annex-10'!F24*10)='[3]Annex-10'!F24*10,'[3]Annex-10'!F24&amp;"0  ",ROUND('[3]Annex-10'!F24,2)&amp;"  "))</f>
        <v>#VALUE!</v>
      </c>
      <c r="G23" s="201" t="e">
        <f>IF(INT('[3]Annex-10'!G24)='[3]Annex-10'!G24,'[3]Annex-10'!G24&amp;".00  ",IF(INT('[3]Annex-10'!G24*10)='[3]Annex-10'!G24*10,'[3]Annex-10'!G24&amp;"0  ",ROUND('[3]Annex-10'!G24,2)&amp;"  "))</f>
        <v>#VALUE!</v>
      </c>
      <c r="H23" s="201" t="e">
        <f>ROUND('[3]Annex-10'!H24,2)&amp;"  "</f>
        <v>#VALUE!</v>
      </c>
      <c r="I23" s="201" t="e">
        <f>IF(INT('[3]Annex-10'!I24)='[3]Annex-10'!I24,'[3]Annex-10'!I24&amp;".00  ",IF(INT('[3]Annex-10'!I24*10)='[3]Annex-10'!I24*10,'[3]Annex-10'!I24&amp;"0  ",ROUND('[3]Annex-10'!I24,2)&amp;"  "))</f>
        <v>#VALUE!</v>
      </c>
      <c r="J23" s="201" t="e">
        <f>IF(INT('[3]Annex-10'!J24)='[3]Annex-10'!J24,'[3]Annex-10'!J24&amp;".00  ",IF(INT('[3]Annex-10'!J24*10)='[3]Annex-10'!J24*10,'[3]Annex-10'!J24&amp;"0  ",ROUND('[3]Annex-10'!J24,2)&amp;"  "))</f>
        <v>#VALUE!</v>
      </c>
      <c r="K23" s="201" t="e">
        <f>IF('[3]Annex-10'!K24&lt;0,"(-)"&amp;FIXED(ABS('[3]Annex-10'!K24),2)&amp;"    ",FIXED('[3]Annex-10'!K24,2)&amp;"    ")</f>
        <v>#VALUE!</v>
      </c>
    </row>
    <row r="24" spans="1:11" ht="28.8" customHeight="1" x14ac:dyDescent="0.3">
      <c r="A24" s="202" t="str">
        <f>common!$I$4</f>
        <v>RABI II 2024-25</v>
      </c>
      <c r="B24" s="204"/>
      <c r="C24" s="204"/>
      <c r="D24" s="204"/>
      <c r="E24" s="204"/>
      <c r="F24" s="204"/>
      <c r="G24" s="204"/>
      <c r="H24" s="204"/>
      <c r="I24" s="204"/>
      <c r="J24" s="204"/>
      <c r="K24" s="204"/>
    </row>
    <row r="25" spans="1:11" ht="28.8" customHeight="1" x14ac:dyDescent="0.3">
      <c r="A25" s="124" t="str">
        <f>IF([4]Crops!$C7="","",[4]Crops!$C7)</f>
        <v>PADDY</v>
      </c>
      <c r="B25" s="199" t="str">
        <f>ROUND('[3]Annex-10'!B26,2)&amp;"  "</f>
        <v xml:space="preserve">1  </v>
      </c>
      <c r="C25" s="199" t="str">
        <f>IF(INT('[3]Annex-10'!C26)='[3]Annex-10'!C26,'[3]Annex-10'!C26&amp;".00  ",IF(INT('[3]Annex-10'!C26*10)='[3]Annex-10'!C26*10,'[3]Annex-10'!C26&amp;"0  ",ROUND('[3]Annex-10'!C26,2)&amp;"  "))</f>
        <v xml:space="preserve">0.03  </v>
      </c>
      <c r="D25" s="199" t="str">
        <f>IF(INT('[3]Annex-10'!D26)='[3]Annex-10'!D26,'[3]Annex-10'!D26&amp;".00  ",IF(INT('[3]Annex-10'!D26*10)='[3]Annex-10'!D26*10,'[3]Annex-10'!D26&amp;"0  ",ROUND('[3]Annex-10'!D26,2)&amp;"  "))</f>
        <v xml:space="preserve">0.03  </v>
      </c>
      <c r="E25" s="199" t="str">
        <f>ROUND('[3]Annex-10'!E26,2)&amp;"  "</f>
        <v xml:space="preserve">5  </v>
      </c>
      <c r="F25" s="199" t="str">
        <f>IF(INT('[3]Annex-10'!F26)='[3]Annex-10'!F26,'[3]Annex-10'!F26&amp;".00  ",IF(INT('[3]Annex-10'!F26*10)='[3]Annex-10'!F26*10,'[3]Annex-10'!F26&amp;"0  ",ROUND('[3]Annex-10'!F26,2)&amp;"  "))</f>
        <v xml:space="preserve">8.79  </v>
      </c>
      <c r="G25" s="199" t="str">
        <f>IF(INT('[3]Annex-10'!G26)='[3]Annex-10'!G26,'[3]Annex-10'!G26&amp;".00  ",IF(INT('[3]Annex-10'!G26*10)='[3]Annex-10'!G26*10,'[3]Annex-10'!G26&amp;"0  ",ROUND('[3]Annex-10'!G26,2)&amp;"  "))</f>
        <v xml:space="preserve">8.60  </v>
      </c>
      <c r="H25" s="199" t="str">
        <f>ROUND('[3]Annex-10'!H26,2)&amp;"  "</f>
        <v xml:space="preserve">6  </v>
      </c>
      <c r="I25" s="199" t="str">
        <f>IF(INT('[3]Annex-10'!I26)='[3]Annex-10'!I26,'[3]Annex-10'!I26&amp;".00  ",IF(INT('[3]Annex-10'!I26*10)='[3]Annex-10'!I26*10,'[3]Annex-10'!I26&amp;"0  ",ROUND('[3]Annex-10'!I26,2)&amp;"  "))</f>
        <v xml:space="preserve">8.81  </v>
      </c>
      <c r="J25" s="199" t="str">
        <f>IF(INT('[3]Annex-10'!J26)='[3]Annex-10'!J26,'[3]Annex-10'!J26&amp;".00  ",IF(INT('[3]Annex-10'!J26*10)='[3]Annex-10'!J26*10,'[3]Annex-10'!J26&amp;"0  ",ROUND('[3]Annex-10'!J26,2)&amp;"  "))</f>
        <v xml:space="preserve">8.63  </v>
      </c>
      <c r="K25" s="199" t="str">
        <f>IF('[3]Annex-10'!K26&lt;0,"(-)"&amp;FIXED(ABS('[3]Annex-10'!K26),2)&amp;"    ",FIXED('[3]Annex-10'!K26,2)&amp;"    ")</f>
        <v xml:space="preserve">(-)2.10    </v>
      </c>
    </row>
    <row r="26" spans="1:11" ht="28.8" customHeight="1" x14ac:dyDescent="0.3">
      <c r="A26" s="123" t="str">
        <f>IF([4]Crops!$C8="","",[4]Crops!$C8)</f>
        <v>OTHERS</v>
      </c>
      <c r="B26" s="200" t="str">
        <f>ROUND('[3]Annex-10'!B27,2)&amp;"  "</f>
        <v xml:space="preserve">4  </v>
      </c>
      <c r="C26" s="200" t="str">
        <f>IF(INT('[3]Annex-10'!C27)='[3]Annex-10'!C27,'[3]Annex-10'!C27&amp;".00  ",IF(INT('[3]Annex-10'!C27*10)='[3]Annex-10'!C27*10,'[3]Annex-10'!C27&amp;"0  ",ROUND('[3]Annex-10'!C27,2)&amp;"  "))</f>
        <v xml:space="preserve">1.77  </v>
      </c>
      <c r="D26" s="200" t="str">
        <f>IF(INT('[3]Annex-10'!D27)='[3]Annex-10'!D27,'[3]Annex-10'!D27&amp;".00  ",IF(INT('[3]Annex-10'!D27*10)='[3]Annex-10'!D27*10,'[3]Annex-10'!D27&amp;"0  ",ROUND('[3]Annex-10'!D27,2)&amp;"  "))</f>
        <v xml:space="preserve">2.62  </v>
      </c>
      <c r="E26" s="200" t="str">
        <f>ROUND('[3]Annex-10'!E27,2)&amp;"  "</f>
        <v xml:space="preserve">7  </v>
      </c>
      <c r="F26" s="200" t="str">
        <f>IF(INT('[3]Annex-10'!F27)='[3]Annex-10'!F27,'[3]Annex-10'!F27&amp;".00  ",IF(INT('[3]Annex-10'!F27*10)='[3]Annex-10'!F27*10,'[3]Annex-10'!F27&amp;"0  ",ROUND('[3]Annex-10'!F27,2)&amp;"  "))</f>
        <v xml:space="preserve">3.59  </v>
      </c>
      <c r="G26" s="200" t="str">
        <f>IF(INT('[3]Annex-10'!G27)='[3]Annex-10'!G27,'[3]Annex-10'!G27&amp;".00  ",IF(INT('[3]Annex-10'!G27*10)='[3]Annex-10'!G27*10,'[3]Annex-10'!G27&amp;"0  ",ROUND('[3]Annex-10'!G27,2)&amp;"  "))</f>
        <v xml:space="preserve">3.59  </v>
      </c>
      <c r="H26" s="200" t="str">
        <f>ROUND('[3]Annex-10'!H27,2)&amp;"  "</f>
        <v xml:space="preserve">11  </v>
      </c>
      <c r="I26" s="200" t="str">
        <f>IF(INT('[3]Annex-10'!I27)='[3]Annex-10'!I27,'[3]Annex-10'!I27&amp;".00  ",IF(INT('[3]Annex-10'!I27*10)='[3]Annex-10'!I27*10,'[3]Annex-10'!I27&amp;"0  ",ROUND('[3]Annex-10'!I27,2)&amp;"  "))</f>
        <v xml:space="preserve">5.36  </v>
      </c>
      <c r="J26" s="200" t="str">
        <f>IF(INT('[3]Annex-10'!J27)='[3]Annex-10'!J27,'[3]Annex-10'!J27&amp;".00  ",IF(INT('[3]Annex-10'!J27*10)='[3]Annex-10'!J27*10,'[3]Annex-10'!J27&amp;"0  ",ROUND('[3]Annex-10'!J27,2)&amp;"  "))</f>
        <v xml:space="preserve">6.2  </v>
      </c>
      <c r="K26" s="200" t="str">
        <f>IF('[3]Annex-10'!K27&lt;0,"(-)"&amp;FIXED(ABS('[3]Annex-10'!K27),2)&amp;"    ",FIXED('[3]Annex-10'!K27,2)&amp;"    ")</f>
        <v xml:space="preserve">15.77    </v>
      </c>
    </row>
    <row r="27" spans="1:11" hidden="1" x14ac:dyDescent="0.3">
      <c r="A27" s="124" t="str">
        <f>IF([4]Crops!$C9="","",[4]Crops!$C9)</f>
        <v/>
      </c>
      <c r="B27" s="199" t="e">
        <f>ROUND('[3]Annex-10'!B28,2)&amp;"  "</f>
        <v>#VALUE!</v>
      </c>
      <c r="C27" s="199" t="e">
        <f>IF(INT('[3]Annex-10'!C28)='[3]Annex-10'!C28,'[3]Annex-10'!C28&amp;".00  ",IF(INT('[3]Annex-10'!C28*10)='[3]Annex-10'!C28*10,'[3]Annex-10'!C28&amp;"0  ",ROUND('[3]Annex-10'!C28,2)&amp;"  "))</f>
        <v>#VALUE!</v>
      </c>
      <c r="D27" s="199" t="e">
        <f>IF(INT('[3]Annex-10'!D28)='[3]Annex-10'!D28,'[3]Annex-10'!D28&amp;".00  ",IF(INT('[3]Annex-10'!D28*10)='[3]Annex-10'!D28*10,'[3]Annex-10'!D28&amp;"0  ",ROUND('[3]Annex-10'!D28,2)&amp;"  "))</f>
        <v>#VALUE!</v>
      </c>
      <c r="E27" s="199" t="e">
        <f>ROUND('[3]Annex-10'!E28,2)&amp;"  "</f>
        <v>#VALUE!</v>
      </c>
      <c r="F27" s="199" t="e">
        <f>IF(INT('[3]Annex-10'!F28)='[3]Annex-10'!F28,'[3]Annex-10'!F28&amp;".00  ",IF(INT('[3]Annex-10'!F28*10)='[3]Annex-10'!F28*10,'[3]Annex-10'!F28&amp;"0  ",ROUND('[3]Annex-10'!F28,2)&amp;"  "))</f>
        <v>#VALUE!</v>
      </c>
      <c r="G27" s="199" t="e">
        <f>IF(INT('[3]Annex-10'!G28)='[3]Annex-10'!G28,'[3]Annex-10'!G28&amp;".00  ",IF(INT('[3]Annex-10'!G28*10)='[3]Annex-10'!G28*10,'[3]Annex-10'!G28&amp;"0  ",ROUND('[3]Annex-10'!G28,2)&amp;"  "))</f>
        <v>#VALUE!</v>
      </c>
      <c r="H27" s="199" t="e">
        <f>ROUND('[3]Annex-10'!H28,2)&amp;"  "</f>
        <v>#VALUE!</v>
      </c>
      <c r="I27" s="199" t="e">
        <f>IF(INT('[3]Annex-10'!I28)='[3]Annex-10'!I28,'[3]Annex-10'!I28&amp;".00  ",IF(INT('[3]Annex-10'!I28*10)='[3]Annex-10'!I28*10,'[3]Annex-10'!I28&amp;"0  ",ROUND('[3]Annex-10'!I28,2)&amp;"  "))</f>
        <v>#VALUE!</v>
      </c>
      <c r="J27" s="199" t="e">
        <f>IF(INT('[3]Annex-10'!J28)='[3]Annex-10'!J28,'[3]Annex-10'!J28&amp;".00  ",IF(INT('[3]Annex-10'!J28*10)='[3]Annex-10'!J28*10,'[3]Annex-10'!J28&amp;"0  ",ROUND('[3]Annex-10'!J28,2)&amp;"  "))</f>
        <v>#VALUE!</v>
      </c>
      <c r="K27" s="199" t="e">
        <f>IF('[3]Annex-10'!K28&lt;0,"(-)"&amp;FIXED(ABS('[3]Annex-10'!K28),2)&amp;"    ",FIXED('[3]Annex-10'!K28,2)&amp;"    ")</f>
        <v>#VALUE!</v>
      </c>
    </row>
    <row r="28" spans="1:11" hidden="1" x14ac:dyDescent="0.3">
      <c r="A28" s="124" t="str">
        <f>IF([4]Crops!$C10="","",[4]Crops!$C10)</f>
        <v/>
      </c>
      <c r="B28" s="199" t="e">
        <f>ROUND('[3]Annex-10'!B29,2)&amp;"  "</f>
        <v>#VALUE!</v>
      </c>
      <c r="C28" s="199" t="e">
        <f>IF(INT('[3]Annex-10'!C29)='[3]Annex-10'!C29,'[3]Annex-10'!C29&amp;".00  ",IF(INT('[3]Annex-10'!C29*10)='[3]Annex-10'!C29*10,'[3]Annex-10'!C29&amp;"0  ",ROUND('[3]Annex-10'!C29,2)&amp;"  "))</f>
        <v>#VALUE!</v>
      </c>
      <c r="D28" s="199" t="e">
        <f>IF(INT('[3]Annex-10'!D29)='[3]Annex-10'!D29,'[3]Annex-10'!D29&amp;".00  ",IF(INT('[3]Annex-10'!D29*10)='[3]Annex-10'!D29*10,'[3]Annex-10'!D29&amp;"0  ",ROUND('[3]Annex-10'!D29,2)&amp;"  "))</f>
        <v>#VALUE!</v>
      </c>
      <c r="E28" s="199" t="e">
        <f>ROUND('[3]Annex-10'!E29,2)&amp;"  "</f>
        <v>#VALUE!</v>
      </c>
      <c r="F28" s="199" t="e">
        <f>IF(INT('[3]Annex-10'!F29)='[3]Annex-10'!F29,'[3]Annex-10'!F29&amp;".00  ",IF(INT('[3]Annex-10'!F29*10)='[3]Annex-10'!F29*10,'[3]Annex-10'!F29&amp;"0  ",ROUND('[3]Annex-10'!F29,2)&amp;"  "))</f>
        <v>#VALUE!</v>
      </c>
      <c r="G28" s="199" t="e">
        <f>IF(INT('[3]Annex-10'!G29)='[3]Annex-10'!G29,'[3]Annex-10'!G29&amp;".00  ",IF(INT('[3]Annex-10'!G29*10)='[3]Annex-10'!G29*10,'[3]Annex-10'!G29&amp;"0  ",ROUND('[3]Annex-10'!G29,2)&amp;"  "))</f>
        <v>#VALUE!</v>
      </c>
      <c r="H28" s="199" t="e">
        <f>ROUND('[3]Annex-10'!H29,2)&amp;"  "</f>
        <v>#VALUE!</v>
      </c>
      <c r="I28" s="199" t="e">
        <f>IF(INT('[3]Annex-10'!I29)='[3]Annex-10'!I29,'[3]Annex-10'!I29&amp;".00  ",IF(INT('[3]Annex-10'!I29*10)='[3]Annex-10'!I29*10,'[3]Annex-10'!I29&amp;"0  ",ROUND('[3]Annex-10'!I29,2)&amp;"  "))</f>
        <v>#VALUE!</v>
      </c>
      <c r="J28" s="199" t="e">
        <f>IF(INT('[3]Annex-10'!J29)='[3]Annex-10'!J29,'[3]Annex-10'!J29&amp;".00  ",IF(INT('[3]Annex-10'!J29*10)='[3]Annex-10'!J29*10,'[3]Annex-10'!J29&amp;"0  ",ROUND('[3]Annex-10'!J29,2)&amp;"  "))</f>
        <v>#VALUE!</v>
      </c>
      <c r="K28" s="199" t="e">
        <f>IF('[3]Annex-10'!K29&lt;0,"(-)"&amp;FIXED(ABS('[3]Annex-10'!K29),2)&amp;"    ",FIXED('[3]Annex-10'!K29,2)&amp;"    ")</f>
        <v>#VALUE!</v>
      </c>
    </row>
    <row r="29" spans="1:11" hidden="1" x14ac:dyDescent="0.3">
      <c r="A29" s="124" t="str">
        <f>IF([4]Crops!$C11="","",[4]Crops!$C11)</f>
        <v/>
      </c>
      <c r="B29" s="199" t="e">
        <f>ROUND('[3]Annex-10'!B30,2)&amp;"  "</f>
        <v>#VALUE!</v>
      </c>
      <c r="C29" s="199" t="e">
        <f>IF(INT('[3]Annex-10'!C30)='[3]Annex-10'!C30,'[3]Annex-10'!C30&amp;".00  ",IF(INT('[3]Annex-10'!C30*10)='[3]Annex-10'!C30*10,'[3]Annex-10'!C30&amp;"0  ",ROUND('[3]Annex-10'!C30,2)&amp;"  "))</f>
        <v>#VALUE!</v>
      </c>
      <c r="D29" s="199" t="e">
        <f>IF(INT('[3]Annex-10'!D30)='[3]Annex-10'!D30,'[3]Annex-10'!D30&amp;".00  ",IF(INT('[3]Annex-10'!D30*10)='[3]Annex-10'!D30*10,'[3]Annex-10'!D30&amp;"0  ",ROUND('[3]Annex-10'!D30,2)&amp;"  "))</f>
        <v>#VALUE!</v>
      </c>
      <c r="E29" s="199" t="e">
        <f>ROUND('[3]Annex-10'!E30,2)&amp;"  "</f>
        <v>#VALUE!</v>
      </c>
      <c r="F29" s="199" t="e">
        <f>IF(INT('[3]Annex-10'!F30)='[3]Annex-10'!F30,'[3]Annex-10'!F30&amp;".00  ",IF(INT('[3]Annex-10'!F30*10)='[3]Annex-10'!F30*10,'[3]Annex-10'!F30&amp;"0  ",ROUND('[3]Annex-10'!F30,2)&amp;"  "))</f>
        <v>#VALUE!</v>
      </c>
      <c r="G29" s="199" t="e">
        <f>IF(INT('[3]Annex-10'!G30)='[3]Annex-10'!G30,'[3]Annex-10'!G30&amp;".00  ",IF(INT('[3]Annex-10'!G30*10)='[3]Annex-10'!G30*10,'[3]Annex-10'!G30&amp;"0  ",ROUND('[3]Annex-10'!G30,2)&amp;"  "))</f>
        <v>#VALUE!</v>
      </c>
      <c r="H29" s="199" t="e">
        <f>ROUND('[3]Annex-10'!H30,2)&amp;"  "</f>
        <v>#VALUE!</v>
      </c>
      <c r="I29" s="199" t="e">
        <f>IF(INT('[3]Annex-10'!I30)='[3]Annex-10'!I30,'[3]Annex-10'!I30&amp;".00  ",IF(INT('[3]Annex-10'!I30*10)='[3]Annex-10'!I30*10,'[3]Annex-10'!I30&amp;"0  ",ROUND('[3]Annex-10'!I30,2)&amp;"  "))</f>
        <v>#VALUE!</v>
      </c>
      <c r="J29" s="199" t="e">
        <f>IF(INT('[3]Annex-10'!J30)='[3]Annex-10'!J30,'[3]Annex-10'!J30&amp;".00  ",IF(INT('[3]Annex-10'!J30*10)='[3]Annex-10'!J30*10,'[3]Annex-10'!J30&amp;"0  ",ROUND('[3]Annex-10'!J30,2)&amp;"  "))</f>
        <v>#VALUE!</v>
      </c>
      <c r="K29" s="199" t="e">
        <f>IF('[3]Annex-10'!K30&lt;0,"(-)"&amp;FIXED(ABS('[3]Annex-10'!K30),2)&amp;"    ",FIXED('[3]Annex-10'!K30,2)&amp;"    ")</f>
        <v>#VALUE!</v>
      </c>
    </row>
    <row r="30" spans="1:11" hidden="1" x14ac:dyDescent="0.3">
      <c r="A30" s="124" t="str">
        <f>IF([4]Crops!$C12="","",[4]Crops!$C12)</f>
        <v/>
      </c>
      <c r="B30" s="199" t="e">
        <f>ROUND('[3]Annex-10'!B31,2)&amp;"  "</f>
        <v>#VALUE!</v>
      </c>
      <c r="C30" s="199" t="e">
        <f>IF(INT('[3]Annex-10'!C31)='[3]Annex-10'!C31,'[3]Annex-10'!C31&amp;".00  ",IF(INT('[3]Annex-10'!C31*10)='[3]Annex-10'!C31*10,'[3]Annex-10'!C31&amp;"0  ",ROUND('[3]Annex-10'!C31,2)&amp;"  "))</f>
        <v>#VALUE!</v>
      </c>
      <c r="D30" s="199" t="e">
        <f>IF(INT('[3]Annex-10'!D31)='[3]Annex-10'!D31,'[3]Annex-10'!D31&amp;".00  ",IF(INT('[3]Annex-10'!D31*10)='[3]Annex-10'!D31*10,'[3]Annex-10'!D31&amp;"0  ",ROUND('[3]Annex-10'!D31,2)&amp;"  "))</f>
        <v>#VALUE!</v>
      </c>
      <c r="E30" s="199" t="e">
        <f>ROUND('[3]Annex-10'!E31,2)&amp;"  "</f>
        <v>#VALUE!</v>
      </c>
      <c r="F30" s="199" t="e">
        <f>IF(INT('[3]Annex-10'!F31)='[3]Annex-10'!F31,'[3]Annex-10'!F31&amp;".00  ",IF(INT('[3]Annex-10'!F31*10)='[3]Annex-10'!F31*10,'[3]Annex-10'!F31&amp;"0  ",ROUND('[3]Annex-10'!F31,2)&amp;"  "))</f>
        <v>#VALUE!</v>
      </c>
      <c r="G30" s="199" t="e">
        <f>IF(INT('[3]Annex-10'!G31)='[3]Annex-10'!G31,'[3]Annex-10'!G31&amp;".00  ",IF(INT('[3]Annex-10'!G31*10)='[3]Annex-10'!G31*10,'[3]Annex-10'!G31&amp;"0  ",ROUND('[3]Annex-10'!G31,2)&amp;"  "))</f>
        <v>#VALUE!</v>
      </c>
      <c r="H30" s="199" t="e">
        <f>ROUND('[3]Annex-10'!H31,2)&amp;"  "</f>
        <v>#VALUE!</v>
      </c>
      <c r="I30" s="199" t="e">
        <f>IF(INT('[3]Annex-10'!I31)='[3]Annex-10'!I31,'[3]Annex-10'!I31&amp;".00  ",IF(INT('[3]Annex-10'!I31*10)='[3]Annex-10'!I31*10,'[3]Annex-10'!I31&amp;"0  ",ROUND('[3]Annex-10'!I31,2)&amp;"  "))</f>
        <v>#VALUE!</v>
      </c>
      <c r="J30" s="199" t="e">
        <f>IF(INT('[3]Annex-10'!J31)='[3]Annex-10'!J31,'[3]Annex-10'!J31&amp;".00  ",IF(INT('[3]Annex-10'!J31*10)='[3]Annex-10'!J31*10,'[3]Annex-10'!J31&amp;"0  ",ROUND('[3]Annex-10'!J31,2)&amp;"  "))</f>
        <v>#VALUE!</v>
      </c>
      <c r="K30" s="199" t="e">
        <f>IF('[3]Annex-10'!K31&lt;0,"(-)"&amp;FIXED(ABS('[3]Annex-10'!K31),2)&amp;"    ",FIXED('[3]Annex-10'!K31,2)&amp;"    ")</f>
        <v>#VALUE!</v>
      </c>
    </row>
    <row r="31" spans="1:11" hidden="1" x14ac:dyDescent="0.3">
      <c r="A31" s="124" t="str">
        <f>IF([4]Crops!$C13="","",[4]Crops!$C13)</f>
        <v/>
      </c>
      <c r="B31" s="199" t="e">
        <f>ROUND('[3]Annex-10'!B32,2)&amp;"  "</f>
        <v>#VALUE!</v>
      </c>
      <c r="C31" s="199" t="e">
        <f>IF(INT('[3]Annex-10'!C32)='[3]Annex-10'!C32,'[3]Annex-10'!C32&amp;".00  ",IF(INT('[3]Annex-10'!C32*10)='[3]Annex-10'!C32*10,'[3]Annex-10'!C32&amp;"0  ",ROUND('[3]Annex-10'!C32,2)&amp;"  "))</f>
        <v>#VALUE!</v>
      </c>
      <c r="D31" s="199" t="e">
        <f>IF(INT('[3]Annex-10'!D32)='[3]Annex-10'!D32,'[3]Annex-10'!D32&amp;".00  ",IF(INT('[3]Annex-10'!D32*10)='[3]Annex-10'!D32*10,'[3]Annex-10'!D32&amp;"0  ",ROUND('[3]Annex-10'!D32,2)&amp;"  "))</f>
        <v>#VALUE!</v>
      </c>
      <c r="E31" s="199" t="e">
        <f>ROUND('[3]Annex-10'!E32,2)&amp;"  "</f>
        <v>#VALUE!</v>
      </c>
      <c r="F31" s="199" t="e">
        <f>IF(INT('[3]Annex-10'!F32)='[3]Annex-10'!F32,'[3]Annex-10'!F32&amp;".00  ",IF(INT('[3]Annex-10'!F32*10)='[3]Annex-10'!F32*10,'[3]Annex-10'!F32&amp;"0  ",ROUND('[3]Annex-10'!F32,2)&amp;"  "))</f>
        <v>#VALUE!</v>
      </c>
      <c r="G31" s="199" t="e">
        <f>IF(INT('[3]Annex-10'!G32)='[3]Annex-10'!G32,'[3]Annex-10'!G32&amp;".00  ",IF(INT('[3]Annex-10'!G32*10)='[3]Annex-10'!G32*10,'[3]Annex-10'!G32&amp;"0  ",ROUND('[3]Annex-10'!G32,2)&amp;"  "))</f>
        <v>#VALUE!</v>
      </c>
      <c r="H31" s="199" t="e">
        <f>ROUND('[3]Annex-10'!H32,2)&amp;"  "</f>
        <v>#VALUE!</v>
      </c>
      <c r="I31" s="199" t="e">
        <f>IF(INT('[3]Annex-10'!I32)='[3]Annex-10'!I32,'[3]Annex-10'!I32&amp;".00  ",IF(INT('[3]Annex-10'!I32*10)='[3]Annex-10'!I32*10,'[3]Annex-10'!I32&amp;"0  ",ROUND('[3]Annex-10'!I32,2)&amp;"  "))</f>
        <v>#VALUE!</v>
      </c>
      <c r="J31" s="199" t="e">
        <f>IF(INT('[3]Annex-10'!J32)='[3]Annex-10'!J32,'[3]Annex-10'!J32&amp;".00  ",IF(INT('[3]Annex-10'!J32*10)='[3]Annex-10'!J32*10,'[3]Annex-10'!J32&amp;"0  ",ROUND('[3]Annex-10'!J32,2)&amp;"  "))</f>
        <v>#VALUE!</v>
      </c>
      <c r="K31" s="199" t="e">
        <f>IF('[3]Annex-10'!K32&lt;0,"(-)"&amp;FIXED(ABS('[3]Annex-10'!K32),2)&amp;"    ",FIXED('[3]Annex-10'!K32,2)&amp;"    ")</f>
        <v>#VALUE!</v>
      </c>
    </row>
    <row r="32" spans="1:11" hidden="1" x14ac:dyDescent="0.3">
      <c r="A32" s="124" t="str">
        <f>IF([4]Crops!$C14="","",[4]Crops!$C14)</f>
        <v/>
      </c>
      <c r="B32" s="199" t="e">
        <f>ROUND('[3]Annex-10'!B33,2)&amp;"  "</f>
        <v>#VALUE!</v>
      </c>
      <c r="C32" s="199" t="e">
        <f>IF(INT('[3]Annex-10'!C33)='[3]Annex-10'!C33,'[3]Annex-10'!C33&amp;".00  ",IF(INT('[3]Annex-10'!C33*10)='[3]Annex-10'!C33*10,'[3]Annex-10'!C33&amp;"0  ",ROUND('[3]Annex-10'!C33,2)&amp;"  "))</f>
        <v>#VALUE!</v>
      </c>
      <c r="D32" s="199" t="e">
        <f>IF(INT('[3]Annex-10'!D33)='[3]Annex-10'!D33,'[3]Annex-10'!D33&amp;".00  ",IF(INT('[3]Annex-10'!D33*10)='[3]Annex-10'!D33*10,'[3]Annex-10'!D33&amp;"0  ",ROUND('[3]Annex-10'!D33,2)&amp;"  "))</f>
        <v>#VALUE!</v>
      </c>
      <c r="E32" s="199" t="e">
        <f>ROUND('[3]Annex-10'!E33,2)&amp;"  "</f>
        <v>#VALUE!</v>
      </c>
      <c r="F32" s="199" t="e">
        <f>IF(INT('[3]Annex-10'!F33)='[3]Annex-10'!F33,'[3]Annex-10'!F33&amp;".00  ",IF(INT('[3]Annex-10'!F33*10)='[3]Annex-10'!F33*10,'[3]Annex-10'!F33&amp;"0  ",ROUND('[3]Annex-10'!F33,2)&amp;"  "))</f>
        <v>#VALUE!</v>
      </c>
      <c r="G32" s="199" t="e">
        <f>IF(INT('[3]Annex-10'!G33)='[3]Annex-10'!G33,'[3]Annex-10'!G33&amp;".00  ",IF(INT('[3]Annex-10'!G33*10)='[3]Annex-10'!G33*10,'[3]Annex-10'!G33&amp;"0  ",ROUND('[3]Annex-10'!G33,2)&amp;"  "))</f>
        <v>#VALUE!</v>
      </c>
      <c r="H32" s="199" t="e">
        <f>ROUND('[3]Annex-10'!H33,2)&amp;"  "</f>
        <v>#VALUE!</v>
      </c>
      <c r="I32" s="199" t="e">
        <f>IF(INT('[3]Annex-10'!I33)='[3]Annex-10'!I33,'[3]Annex-10'!I33&amp;".00  ",IF(INT('[3]Annex-10'!I33*10)='[3]Annex-10'!I33*10,'[3]Annex-10'!I33&amp;"0  ",ROUND('[3]Annex-10'!I33,2)&amp;"  "))</f>
        <v>#VALUE!</v>
      </c>
      <c r="J32" s="199" t="e">
        <f>IF(INT('[3]Annex-10'!J33)='[3]Annex-10'!J33,'[3]Annex-10'!J33&amp;".00  ",IF(INT('[3]Annex-10'!J33*10)='[3]Annex-10'!J33*10,'[3]Annex-10'!J33&amp;"0  ",ROUND('[3]Annex-10'!J33,2)&amp;"  "))</f>
        <v>#VALUE!</v>
      </c>
      <c r="K32" s="199" t="e">
        <f>IF('[3]Annex-10'!K33&lt;0,"(-)"&amp;FIXED(ABS('[3]Annex-10'!K33),2)&amp;"    ",FIXED('[3]Annex-10'!K33,2)&amp;"    ")</f>
        <v>#VALUE!</v>
      </c>
    </row>
    <row r="33" spans="1:11" hidden="1" x14ac:dyDescent="0.3">
      <c r="A33" s="124" t="str">
        <f>IF([4]Crops!$C15="","",[4]Crops!$C15)</f>
        <v/>
      </c>
      <c r="B33" s="199" t="e">
        <f>ROUND('[3]Annex-10'!B34,2)&amp;"  "</f>
        <v>#VALUE!</v>
      </c>
      <c r="C33" s="199" t="e">
        <f>IF(INT('[3]Annex-10'!C34)='[3]Annex-10'!C34,'[3]Annex-10'!C34&amp;".00  ",IF(INT('[3]Annex-10'!C34*10)='[3]Annex-10'!C34*10,'[3]Annex-10'!C34&amp;"0  ",ROUND('[3]Annex-10'!C34,2)&amp;"  "))</f>
        <v>#VALUE!</v>
      </c>
      <c r="D33" s="199" t="e">
        <f>IF(INT('[3]Annex-10'!D34)='[3]Annex-10'!D34,'[3]Annex-10'!D34&amp;".00  ",IF(INT('[3]Annex-10'!D34*10)='[3]Annex-10'!D34*10,'[3]Annex-10'!D34&amp;"0  ",ROUND('[3]Annex-10'!D34,2)&amp;"  "))</f>
        <v>#VALUE!</v>
      </c>
      <c r="E33" s="199" t="e">
        <f>ROUND('[3]Annex-10'!E34,2)&amp;"  "</f>
        <v>#VALUE!</v>
      </c>
      <c r="F33" s="199" t="e">
        <f>IF(INT('[3]Annex-10'!F34)='[3]Annex-10'!F34,'[3]Annex-10'!F34&amp;".00  ",IF(INT('[3]Annex-10'!F34*10)='[3]Annex-10'!F34*10,'[3]Annex-10'!F34&amp;"0  ",ROUND('[3]Annex-10'!F34,2)&amp;"  "))</f>
        <v>#VALUE!</v>
      </c>
      <c r="G33" s="199" t="e">
        <f>IF(INT('[3]Annex-10'!G34)='[3]Annex-10'!G34,'[3]Annex-10'!G34&amp;".00  ",IF(INT('[3]Annex-10'!G34*10)='[3]Annex-10'!G34*10,'[3]Annex-10'!G34&amp;"0  ",ROUND('[3]Annex-10'!G34,2)&amp;"  "))</f>
        <v>#VALUE!</v>
      </c>
      <c r="H33" s="199" t="e">
        <f>ROUND('[3]Annex-10'!H34,2)&amp;"  "</f>
        <v>#VALUE!</v>
      </c>
      <c r="I33" s="199" t="e">
        <f>IF(INT('[3]Annex-10'!I34)='[3]Annex-10'!I34,'[3]Annex-10'!I34&amp;".00  ",IF(INT('[3]Annex-10'!I34*10)='[3]Annex-10'!I34*10,'[3]Annex-10'!I34&amp;"0  ",ROUND('[3]Annex-10'!I34,2)&amp;"  "))</f>
        <v>#VALUE!</v>
      </c>
      <c r="J33" s="199" t="e">
        <f>IF(INT('[3]Annex-10'!J34)='[3]Annex-10'!J34,'[3]Annex-10'!J34&amp;".00  ",IF(INT('[3]Annex-10'!J34*10)='[3]Annex-10'!J34*10,'[3]Annex-10'!J34&amp;"0  ",ROUND('[3]Annex-10'!J34,2)&amp;"  "))</f>
        <v>#VALUE!</v>
      </c>
      <c r="K33" s="199" t="e">
        <f>IF('[3]Annex-10'!K34&lt;0,"(-)"&amp;FIXED(ABS('[3]Annex-10'!K34),2)&amp;"    ",FIXED('[3]Annex-10'!K34,2)&amp;"    ")</f>
        <v>#VALUE!</v>
      </c>
    </row>
    <row r="34" spans="1:11" ht="14.4" hidden="1" thickBot="1" x14ac:dyDescent="0.35">
      <c r="A34" s="125" t="str">
        <f>IF([4]Crops!$C16="","",[4]Crops!$C16)</f>
        <v/>
      </c>
      <c r="B34" s="205" t="e">
        <f>ROUND('[3]Annex-10'!B35,2)&amp;"  "</f>
        <v>#VALUE!</v>
      </c>
      <c r="C34" s="205" t="e">
        <f>IF(INT('[3]Annex-10'!C35)='[3]Annex-10'!C35,'[3]Annex-10'!C35&amp;".00  ",IF(INT('[3]Annex-10'!C35*10)='[3]Annex-10'!C35*10,'[3]Annex-10'!C35&amp;"0  ",ROUND('[3]Annex-10'!C35,2)&amp;"  "))</f>
        <v>#VALUE!</v>
      </c>
      <c r="D34" s="205" t="e">
        <f>IF(INT('[3]Annex-10'!D35)='[3]Annex-10'!D35,'[3]Annex-10'!D35&amp;".00  ",IF(INT('[3]Annex-10'!D35*10)='[3]Annex-10'!D35*10,'[3]Annex-10'!D35&amp;"0  ",ROUND('[3]Annex-10'!D35,2)&amp;"  "))</f>
        <v>#VALUE!</v>
      </c>
      <c r="E34" s="205" t="e">
        <f>ROUND('[3]Annex-10'!E35,2)&amp;"  "</f>
        <v>#VALUE!</v>
      </c>
      <c r="F34" s="205" t="e">
        <f>IF(INT('[3]Annex-10'!F35)='[3]Annex-10'!F35,'[3]Annex-10'!F35&amp;".00  ",IF(INT('[3]Annex-10'!F35*10)='[3]Annex-10'!F35*10,'[3]Annex-10'!F35&amp;"0  ",ROUND('[3]Annex-10'!F35,2)&amp;"  "))</f>
        <v>#VALUE!</v>
      </c>
      <c r="G34" s="205" t="e">
        <f>IF(INT('[3]Annex-10'!G35)='[3]Annex-10'!G35,'[3]Annex-10'!G35&amp;".00  ",IF(INT('[3]Annex-10'!G35*10)='[3]Annex-10'!G35*10,'[3]Annex-10'!G35&amp;"0  ",ROUND('[3]Annex-10'!G35,2)&amp;"  "))</f>
        <v>#VALUE!</v>
      </c>
      <c r="H34" s="205" t="e">
        <f>ROUND('[3]Annex-10'!H35,2)&amp;"  "</f>
        <v>#VALUE!</v>
      </c>
      <c r="I34" s="205" t="e">
        <f>IF(INT('[3]Annex-10'!I35)='[3]Annex-10'!I35,'[3]Annex-10'!I35&amp;".00  ",IF(INT('[3]Annex-10'!I35*10)='[3]Annex-10'!I35*10,'[3]Annex-10'!I35&amp;"0  ",ROUND('[3]Annex-10'!I35,2)&amp;"  "))</f>
        <v>#VALUE!</v>
      </c>
      <c r="J34" s="205" t="e">
        <f>IF(INT('[3]Annex-10'!J35)='[3]Annex-10'!J35,'[3]Annex-10'!J35&amp;".00  ",IF(INT('[3]Annex-10'!J35*10)='[3]Annex-10'!J35*10,'[3]Annex-10'!J35&amp;"0  ",ROUND('[3]Annex-10'!J35,2)&amp;"  "))</f>
        <v>#VALUE!</v>
      </c>
      <c r="K34" s="205" t="e">
        <f>IF('[3]Annex-10'!K35&lt;0,"(-)"&amp;FIXED(ABS('[3]Annex-10'!K35),2)&amp;"    ",FIXED('[3]Annex-10'!K35,2)&amp;"    ")</f>
        <v>#VALUE!</v>
      </c>
    </row>
    <row r="35" spans="1:11" ht="14.4" hidden="1" thickTop="1" x14ac:dyDescent="0.3">
      <c r="A35" s="124" t="str">
        <f>IF([4]Crops!$C17="","",[4]Crops!$C17)</f>
        <v/>
      </c>
      <c r="B35" s="201" t="e">
        <f>ROUND('[3]Annex-10'!B36,2)&amp;"  "</f>
        <v>#VALUE!</v>
      </c>
      <c r="C35" s="201" t="e">
        <f>IF(INT('[3]Annex-10'!C36)='[3]Annex-10'!C36,'[3]Annex-10'!C36&amp;".00  ",IF(INT('[3]Annex-10'!C36*10)='[3]Annex-10'!C36*10,'[3]Annex-10'!C36&amp;"0  ",ROUND('[3]Annex-10'!C36,2)&amp;"  "))</f>
        <v>#VALUE!</v>
      </c>
      <c r="D35" s="201" t="e">
        <f>IF(INT('[3]Annex-10'!D36)='[3]Annex-10'!D36,'[3]Annex-10'!D36&amp;".00  ",IF(INT('[3]Annex-10'!D36*10)='[3]Annex-10'!D36*10,'[3]Annex-10'!D36&amp;"0  ",ROUND('[3]Annex-10'!D36,2)&amp;"  "))</f>
        <v>#VALUE!</v>
      </c>
      <c r="E35" s="201" t="e">
        <f>ROUND('[3]Annex-10'!E36,2)&amp;"  "</f>
        <v>#VALUE!</v>
      </c>
      <c r="F35" s="201" t="e">
        <f>IF(INT('[3]Annex-10'!F36)='[3]Annex-10'!F36,'[3]Annex-10'!F36&amp;".00  ",IF(INT('[3]Annex-10'!F36*10)='[3]Annex-10'!F36*10,'[3]Annex-10'!F36&amp;"0  ",ROUND('[3]Annex-10'!F36,2)&amp;"  "))</f>
        <v>#VALUE!</v>
      </c>
      <c r="G35" s="201" t="e">
        <f>IF(INT('[3]Annex-10'!G36)='[3]Annex-10'!G36,'[3]Annex-10'!G36&amp;".00  ",IF(INT('[3]Annex-10'!G36*10)='[3]Annex-10'!G36*10,'[3]Annex-10'!G36&amp;"0  ",ROUND('[3]Annex-10'!G36,2)&amp;"  "))</f>
        <v>#VALUE!</v>
      </c>
      <c r="H35" s="201" t="e">
        <f>ROUND('[3]Annex-10'!H36,2)&amp;"  "</f>
        <v>#VALUE!</v>
      </c>
      <c r="I35" s="201" t="e">
        <f>IF(INT('[3]Annex-10'!I36)='[3]Annex-10'!I36,'[3]Annex-10'!I36&amp;".00  ",IF(INT('[3]Annex-10'!I36*10)='[3]Annex-10'!I36*10,'[3]Annex-10'!I36&amp;"0  ",ROUND('[3]Annex-10'!I36,2)&amp;"  "))</f>
        <v>#VALUE!</v>
      </c>
      <c r="J35" s="201" t="e">
        <f>IF(INT('[3]Annex-10'!J36)='[3]Annex-10'!J36,'[3]Annex-10'!J36&amp;".00  ",IF(INT('[3]Annex-10'!J36*10)='[3]Annex-10'!J36*10,'[3]Annex-10'!J36&amp;"0  ",ROUND('[3]Annex-10'!J36,2)&amp;"  "))</f>
        <v>#VALUE!</v>
      </c>
      <c r="K35" s="201" t="e">
        <f>IF('[3]Annex-10'!K36&lt;0,"(-)"&amp;FIXED(ABS('[3]Annex-10'!K36),2)&amp;"    ",FIXED('[3]Annex-10'!K36,2)&amp;"    ")</f>
        <v>#VALUE!</v>
      </c>
    </row>
    <row r="36" spans="1:11" hidden="1" x14ac:dyDescent="0.3">
      <c r="A36" s="124" t="str">
        <f>IF([4]Crops!$C18="","",[4]Crops!$C18)</f>
        <v/>
      </c>
      <c r="B36" s="201" t="e">
        <f>ROUND('[3]Annex-10'!B37,2)&amp;"  "</f>
        <v>#VALUE!</v>
      </c>
      <c r="C36" s="201" t="e">
        <f>IF(INT('[3]Annex-10'!C37)='[3]Annex-10'!C37,'[3]Annex-10'!C37&amp;".00  ",IF(INT('[3]Annex-10'!C37*10)='[3]Annex-10'!C37*10,'[3]Annex-10'!C37&amp;"0  ",ROUND('[3]Annex-10'!C37,2)&amp;"  "))</f>
        <v>#VALUE!</v>
      </c>
      <c r="D36" s="201" t="e">
        <f>IF(INT('[3]Annex-10'!D37)='[3]Annex-10'!D37,'[3]Annex-10'!D37&amp;".00  ",IF(INT('[3]Annex-10'!D37*10)='[3]Annex-10'!D37*10,'[3]Annex-10'!D37&amp;"0  ",ROUND('[3]Annex-10'!D37,2)&amp;"  "))</f>
        <v>#VALUE!</v>
      </c>
      <c r="E36" s="201" t="e">
        <f>ROUND('[3]Annex-10'!E37,2)&amp;"  "</f>
        <v>#VALUE!</v>
      </c>
      <c r="F36" s="201" t="e">
        <f>IF(INT('[3]Annex-10'!F37)='[3]Annex-10'!F37,'[3]Annex-10'!F37&amp;".00  ",IF(INT('[3]Annex-10'!F37*10)='[3]Annex-10'!F37*10,'[3]Annex-10'!F37&amp;"0  ",ROUND('[3]Annex-10'!F37,2)&amp;"  "))</f>
        <v>#VALUE!</v>
      </c>
      <c r="G36" s="201" t="e">
        <f>IF(INT('[3]Annex-10'!G37)='[3]Annex-10'!G37,'[3]Annex-10'!G37&amp;".00  ",IF(INT('[3]Annex-10'!G37*10)='[3]Annex-10'!G37*10,'[3]Annex-10'!G37&amp;"0  ",ROUND('[3]Annex-10'!G37,2)&amp;"  "))</f>
        <v>#VALUE!</v>
      </c>
      <c r="H36" s="201" t="e">
        <f>ROUND('[3]Annex-10'!H37,2)&amp;"  "</f>
        <v>#VALUE!</v>
      </c>
      <c r="I36" s="201" t="e">
        <f>IF(INT('[3]Annex-10'!I37)='[3]Annex-10'!I37,'[3]Annex-10'!I37&amp;".00  ",IF(INT('[3]Annex-10'!I37*10)='[3]Annex-10'!I37*10,'[3]Annex-10'!I37&amp;"0  ",ROUND('[3]Annex-10'!I37,2)&amp;"  "))</f>
        <v>#VALUE!</v>
      </c>
      <c r="J36" s="201" t="e">
        <f>IF(INT('[3]Annex-10'!J37)='[3]Annex-10'!J37,'[3]Annex-10'!J37&amp;".00  ",IF(INT('[3]Annex-10'!J37*10)='[3]Annex-10'!J37*10,'[3]Annex-10'!J37&amp;"0  ",ROUND('[3]Annex-10'!J37,2)&amp;"  "))</f>
        <v>#VALUE!</v>
      </c>
      <c r="K36" s="201" t="e">
        <f>IF('[3]Annex-10'!K37&lt;0,"(-)"&amp;FIXED(ABS('[3]Annex-10'!K37),2)&amp;"    ",FIXED('[3]Annex-10'!K37,2)&amp;"    ")</f>
        <v>#VALUE!</v>
      </c>
    </row>
    <row r="37" spans="1:11" hidden="1" x14ac:dyDescent="0.3">
      <c r="A37" s="124" t="str">
        <f>IF([4]Crops!$C19="","",[4]Crops!$C19)</f>
        <v/>
      </c>
      <c r="B37" s="201" t="e">
        <f>ROUND('[3]Annex-10'!B38,2)&amp;"  "</f>
        <v>#VALUE!</v>
      </c>
      <c r="C37" s="201" t="e">
        <f>IF(INT('[3]Annex-10'!C38)='[3]Annex-10'!C38,'[3]Annex-10'!C38&amp;".00  ",IF(INT('[3]Annex-10'!C38*10)='[3]Annex-10'!C38*10,'[3]Annex-10'!C38&amp;"0  ",ROUND('[3]Annex-10'!C38,2)&amp;"  "))</f>
        <v>#VALUE!</v>
      </c>
      <c r="D37" s="201" t="e">
        <f>IF(INT('[3]Annex-10'!D38)='[3]Annex-10'!D38,'[3]Annex-10'!D38&amp;".00  ",IF(INT('[3]Annex-10'!D38*10)='[3]Annex-10'!D38*10,'[3]Annex-10'!D38&amp;"0  ",ROUND('[3]Annex-10'!D38,2)&amp;"  "))</f>
        <v>#VALUE!</v>
      </c>
      <c r="E37" s="201" t="e">
        <f>ROUND('[3]Annex-10'!E38,2)&amp;"  "</f>
        <v>#VALUE!</v>
      </c>
      <c r="F37" s="201" t="e">
        <f>IF(INT('[3]Annex-10'!F38)='[3]Annex-10'!F38,'[3]Annex-10'!F38&amp;".00  ",IF(INT('[3]Annex-10'!F38*10)='[3]Annex-10'!F38*10,'[3]Annex-10'!F38&amp;"0  ",ROUND('[3]Annex-10'!F38,2)&amp;"  "))</f>
        <v>#VALUE!</v>
      </c>
      <c r="G37" s="201" t="e">
        <f>IF(INT('[3]Annex-10'!G38)='[3]Annex-10'!G38,'[3]Annex-10'!G38&amp;".00  ",IF(INT('[3]Annex-10'!G38*10)='[3]Annex-10'!G38*10,'[3]Annex-10'!G38&amp;"0  ",ROUND('[3]Annex-10'!G38,2)&amp;"  "))</f>
        <v>#VALUE!</v>
      </c>
      <c r="H37" s="201" t="e">
        <f>ROUND('[3]Annex-10'!H38,2)&amp;"  "</f>
        <v>#VALUE!</v>
      </c>
      <c r="I37" s="201" t="e">
        <f>IF(INT('[3]Annex-10'!I38)='[3]Annex-10'!I38,'[3]Annex-10'!I38&amp;".00  ",IF(INT('[3]Annex-10'!I38*10)='[3]Annex-10'!I38*10,'[3]Annex-10'!I38&amp;"0  ",ROUND('[3]Annex-10'!I38,2)&amp;"  "))</f>
        <v>#VALUE!</v>
      </c>
      <c r="J37" s="201" t="e">
        <f>IF(INT('[3]Annex-10'!J38)='[3]Annex-10'!J38,'[3]Annex-10'!J38&amp;".00  ",IF(INT('[3]Annex-10'!J38*10)='[3]Annex-10'!J38*10,'[3]Annex-10'!J38&amp;"0  ",ROUND('[3]Annex-10'!J38,2)&amp;"  "))</f>
        <v>#VALUE!</v>
      </c>
      <c r="K37" s="201" t="e">
        <f>IF('[3]Annex-10'!K38&lt;0,"(-)"&amp;FIXED(ABS('[3]Annex-10'!K38),2)&amp;"    ",FIXED('[3]Annex-10'!K38,2)&amp;"    ")</f>
        <v>#VALUE!</v>
      </c>
    </row>
    <row r="38" spans="1:11" hidden="1" x14ac:dyDescent="0.3">
      <c r="A38" s="124" t="str">
        <f>IF([4]Crops!$C20="","",[4]Crops!$C20)</f>
        <v/>
      </c>
      <c r="B38" s="201" t="e">
        <f>ROUND('[3]Annex-10'!B39,2)&amp;"  "</f>
        <v>#VALUE!</v>
      </c>
      <c r="C38" s="201" t="e">
        <f>IF(INT('[3]Annex-10'!C39)='[3]Annex-10'!C39,'[3]Annex-10'!C39&amp;".00  ",IF(INT('[3]Annex-10'!C39*10)='[3]Annex-10'!C39*10,'[3]Annex-10'!C39&amp;"0  ",ROUND('[3]Annex-10'!C39,2)&amp;"  "))</f>
        <v>#VALUE!</v>
      </c>
      <c r="D38" s="201" t="e">
        <f>IF(INT('[3]Annex-10'!D39)='[3]Annex-10'!D39,'[3]Annex-10'!D39&amp;".00  ",IF(INT('[3]Annex-10'!D39*10)='[3]Annex-10'!D39*10,'[3]Annex-10'!D39&amp;"0  ",ROUND('[3]Annex-10'!D39,2)&amp;"  "))</f>
        <v>#VALUE!</v>
      </c>
      <c r="E38" s="201" t="e">
        <f>ROUND('[3]Annex-10'!E39,2)&amp;"  "</f>
        <v>#VALUE!</v>
      </c>
      <c r="F38" s="201" t="e">
        <f>IF(INT('[3]Annex-10'!F39)='[3]Annex-10'!F39,'[3]Annex-10'!F39&amp;".00  ",IF(INT('[3]Annex-10'!F39*10)='[3]Annex-10'!F39*10,'[3]Annex-10'!F39&amp;"0  ",ROUND('[3]Annex-10'!F39,2)&amp;"  "))</f>
        <v>#VALUE!</v>
      </c>
      <c r="G38" s="201" t="e">
        <f>IF(INT('[3]Annex-10'!G39)='[3]Annex-10'!G39,'[3]Annex-10'!G39&amp;".00  ",IF(INT('[3]Annex-10'!G39*10)='[3]Annex-10'!G39*10,'[3]Annex-10'!G39&amp;"0  ",ROUND('[3]Annex-10'!G39,2)&amp;"  "))</f>
        <v>#VALUE!</v>
      </c>
      <c r="H38" s="201" t="e">
        <f>ROUND('[3]Annex-10'!H39,2)&amp;"  "</f>
        <v>#VALUE!</v>
      </c>
      <c r="I38" s="201" t="e">
        <f>IF(INT('[3]Annex-10'!I39)='[3]Annex-10'!I39,'[3]Annex-10'!I39&amp;".00  ",IF(INT('[3]Annex-10'!I39*10)='[3]Annex-10'!I39*10,'[3]Annex-10'!I39&amp;"0  ",ROUND('[3]Annex-10'!I39,2)&amp;"  "))</f>
        <v>#VALUE!</v>
      </c>
      <c r="J38" s="201" t="e">
        <f>IF(INT('[3]Annex-10'!J39)='[3]Annex-10'!J39,'[3]Annex-10'!J39&amp;".00  ",IF(INT('[3]Annex-10'!J39*10)='[3]Annex-10'!J39*10,'[3]Annex-10'!J39&amp;"0  ",ROUND('[3]Annex-10'!J39,2)&amp;"  "))</f>
        <v>#VALUE!</v>
      </c>
      <c r="K38" s="201" t="e">
        <f>IF('[3]Annex-10'!K39&lt;0,"(-)"&amp;FIXED(ABS('[3]Annex-10'!K39),2)&amp;"    ",FIXED('[3]Annex-10'!K39,2)&amp;"    ")</f>
        <v>#VALUE!</v>
      </c>
    </row>
    <row r="39" spans="1:11" hidden="1" x14ac:dyDescent="0.3">
      <c r="A39" s="124" t="str">
        <f>IF([4]Crops!$C21="","",[4]Crops!$C21)</f>
        <v/>
      </c>
      <c r="B39" s="201" t="e">
        <f>ROUND('[3]Annex-10'!B40,2)&amp;"  "</f>
        <v>#VALUE!</v>
      </c>
      <c r="C39" s="201" t="e">
        <f>IF(INT('[3]Annex-10'!C40)='[3]Annex-10'!C40,'[3]Annex-10'!C40&amp;".00  ",IF(INT('[3]Annex-10'!C40*10)='[3]Annex-10'!C40*10,'[3]Annex-10'!C40&amp;"0  ",ROUND('[3]Annex-10'!C40,2)&amp;"  "))</f>
        <v>#VALUE!</v>
      </c>
      <c r="D39" s="201" t="e">
        <f>IF(INT('[3]Annex-10'!D40)='[3]Annex-10'!D40,'[3]Annex-10'!D40&amp;".00  ",IF(INT('[3]Annex-10'!D40*10)='[3]Annex-10'!D40*10,'[3]Annex-10'!D40&amp;"0  ",ROUND('[3]Annex-10'!D40,2)&amp;"  "))</f>
        <v>#VALUE!</v>
      </c>
      <c r="E39" s="201" t="e">
        <f>ROUND('[3]Annex-10'!E40,2)&amp;"  "</f>
        <v>#VALUE!</v>
      </c>
      <c r="F39" s="201" t="e">
        <f>IF(INT('[3]Annex-10'!F40)='[3]Annex-10'!F40,'[3]Annex-10'!F40&amp;".00  ",IF(INT('[3]Annex-10'!F40*10)='[3]Annex-10'!F40*10,'[3]Annex-10'!F40&amp;"0  ",ROUND('[3]Annex-10'!F40,2)&amp;"  "))</f>
        <v>#VALUE!</v>
      </c>
      <c r="G39" s="201" t="e">
        <f>IF(INT('[3]Annex-10'!G40)='[3]Annex-10'!G40,'[3]Annex-10'!G40&amp;".00  ",IF(INT('[3]Annex-10'!G40*10)='[3]Annex-10'!G40*10,'[3]Annex-10'!G40&amp;"0  ",ROUND('[3]Annex-10'!G40,2)&amp;"  "))</f>
        <v>#VALUE!</v>
      </c>
      <c r="H39" s="201" t="e">
        <f>ROUND('[3]Annex-10'!H40,2)&amp;"  "</f>
        <v>#VALUE!</v>
      </c>
      <c r="I39" s="201" t="e">
        <f>IF(INT('[3]Annex-10'!I40)='[3]Annex-10'!I40,'[3]Annex-10'!I40&amp;".00  ",IF(INT('[3]Annex-10'!I40*10)='[3]Annex-10'!I40*10,'[3]Annex-10'!I40&amp;"0  ",ROUND('[3]Annex-10'!I40,2)&amp;"  "))</f>
        <v>#VALUE!</v>
      </c>
      <c r="J39" s="201" t="e">
        <f>IF(INT('[3]Annex-10'!J40)='[3]Annex-10'!J40,'[3]Annex-10'!J40&amp;".00  ",IF(INT('[3]Annex-10'!J40*10)='[3]Annex-10'!J40*10,'[3]Annex-10'!J40&amp;"0  ",ROUND('[3]Annex-10'!J40,2)&amp;"  "))</f>
        <v>#VALUE!</v>
      </c>
      <c r="K39" s="201" t="e">
        <f>IF('[3]Annex-10'!K40&lt;0,"(-)"&amp;FIXED(ABS('[3]Annex-10'!K40),2)&amp;"    ",FIXED('[3]Annex-10'!K40,2)&amp;"    ")</f>
        <v>#VALUE!</v>
      </c>
    </row>
    <row r="40" spans="1:11" hidden="1" x14ac:dyDescent="0.3">
      <c r="A40" s="288" t="s">
        <v>102</v>
      </c>
      <c r="B40" s="288"/>
      <c r="C40" s="288"/>
      <c r="D40" s="288"/>
      <c r="E40" s="288"/>
      <c r="F40" s="288"/>
      <c r="G40" s="288"/>
      <c r="H40" s="288"/>
      <c r="I40" s="288"/>
      <c r="J40" s="288"/>
      <c r="K40" s="288"/>
    </row>
    <row r="41" spans="1:11" hidden="1" x14ac:dyDescent="0.3">
      <c r="A41" s="256" t="s">
        <v>215</v>
      </c>
      <c r="B41" s="256"/>
      <c r="C41" s="256"/>
      <c r="D41" s="256"/>
      <c r="E41" s="256"/>
      <c r="F41" s="256"/>
      <c r="G41" s="256"/>
      <c r="H41" s="256"/>
      <c r="I41" s="256"/>
      <c r="J41" s="256"/>
      <c r="K41" s="256"/>
    </row>
    <row r="42" spans="1:11" hidden="1" x14ac:dyDescent="0.3">
      <c r="A42" s="295" t="str">
        <f>common!$H$2</f>
        <v>UT : PUDUCHERRY</v>
      </c>
      <c r="B42" s="295" t="str">
        <f>common!$H$2</f>
        <v>UT : PUDUCHERRY</v>
      </c>
      <c r="C42" s="295" t="str">
        <f>common!$H$2</f>
        <v>UT : PUDUCHERRY</v>
      </c>
      <c r="D42" s="295" t="str">
        <f>common!$H$2</f>
        <v>UT : PUDUCHERRY</v>
      </c>
      <c r="E42" s="295" t="str">
        <f>common!$H$2</f>
        <v>UT : PUDUCHERRY</v>
      </c>
      <c r="F42" s="295" t="str">
        <f>common!$H$2</f>
        <v>UT : PUDUCHERRY</v>
      </c>
      <c r="G42" s="295" t="str">
        <f>common!$H$2</f>
        <v>UT : PUDUCHERRY</v>
      </c>
      <c r="H42" s="295" t="str">
        <f>common!$H$2</f>
        <v>UT : PUDUCHERRY</v>
      </c>
      <c r="I42" s="295" t="str">
        <f>common!$H$2</f>
        <v>UT : PUDUCHERRY</v>
      </c>
      <c r="J42" s="296" t="str">
        <f>'[3]Annex-10'!J$3</f>
        <v>ANNEX-X</v>
      </c>
      <c r="K42" s="296"/>
    </row>
    <row r="43" spans="1:11" hidden="1" x14ac:dyDescent="0.3">
      <c r="A43" s="294" t="str">
        <f>'[3]Annex-10'!A$4</f>
        <v>IMPACT OF DISCREPANCIES IN RECORDING AREA UNDER CROPS(IRRIGATED) DURING 0 AND 0.</v>
      </c>
      <c r="B43" s="294"/>
      <c r="C43" s="294"/>
      <c r="D43" s="294"/>
      <c r="E43" s="294"/>
      <c r="F43" s="294"/>
      <c r="G43" s="294"/>
      <c r="H43" s="294"/>
      <c r="I43" s="294"/>
      <c r="J43" s="294"/>
      <c r="K43" s="294"/>
    </row>
    <row r="44" spans="1:11" hidden="1" x14ac:dyDescent="0.3">
      <c r="A44" s="292" t="s">
        <v>260</v>
      </c>
      <c r="B44" s="280" t="s">
        <v>261</v>
      </c>
      <c r="C44" s="280"/>
      <c r="D44" s="280"/>
      <c r="E44" s="280"/>
      <c r="F44" s="280"/>
      <c r="G44" s="280"/>
      <c r="H44" s="280"/>
      <c r="I44" s="280"/>
      <c r="J44" s="280"/>
      <c r="K44" s="280"/>
    </row>
    <row r="45" spans="1:11" ht="21" hidden="1" customHeight="1" x14ac:dyDescent="0.3">
      <c r="A45" s="292"/>
      <c r="B45" s="276" t="s">
        <v>262</v>
      </c>
      <c r="C45" s="276"/>
      <c r="D45" s="276"/>
      <c r="E45" s="276" t="s">
        <v>263</v>
      </c>
      <c r="F45" s="276"/>
      <c r="G45" s="276"/>
      <c r="H45" s="276" t="s">
        <v>264</v>
      </c>
      <c r="I45" s="276"/>
      <c r="J45" s="276"/>
      <c r="K45" s="275" t="s">
        <v>265</v>
      </c>
    </row>
    <row r="46" spans="1:11" ht="21" hidden="1" customHeight="1" x14ac:dyDescent="0.3">
      <c r="A46" s="293"/>
      <c r="B46" s="96" t="s">
        <v>266</v>
      </c>
      <c r="C46" s="96" t="s">
        <v>258</v>
      </c>
      <c r="D46" s="96" t="s">
        <v>259</v>
      </c>
      <c r="E46" s="96" t="s">
        <v>266</v>
      </c>
      <c r="F46" s="96" t="s">
        <v>258</v>
      </c>
      <c r="G46" s="96" t="s">
        <v>259</v>
      </c>
      <c r="H46" s="96" t="s">
        <v>266</v>
      </c>
      <c r="I46" s="96" t="s">
        <v>272</v>
      </c>
      <c r="J46" s="96" t="s">
        <v>273</v>
      </c>
      <c r="K46" s="276"/>
    </row>
    <row r="47" spans="1:11" hidden="1" x14ac:dyDescent="0.3">
      <c r="A47" s="207" t="str">
        <f>'[3]Annex-10'!A$8</f>
        <v>(1)</v>
      </c>
      <c r="B47" s="209" t="str">
        <f>'[3]Annex-10'!B$8</f>
        <v>(2)</v>
      </c>
      <c r="C47" s="207" t="str">
        <f>'[3]Annex-10'!C$8</f>
        <v>(3)</v>
      </c>
      <c r="D47" s="207" t="str">
        <f>'[3]Annex-10'!D$8</f>
        <v>(4)</v>
      </c>
      <c r="E47" s="207" t="str">
        <f>'[3]Annex-10'!E$8</f>
        <v>(5)</v>
      </c>
      <c r="F47" s="207" t="str">
        <f>'[3]Annex-10'!F$8</f>
        <v>(6)</v>
      </c>
      <c r="G47" s="207" t="str">
        <f>'[3]Annex-10'!G$8</f>
        <v>(7)</v>
      </c>
      <c r="H47" s="207" t="str">
        <f>'[3]Annex-10'!H$8</f>
        <v>(8)</v>
      </c>
      <c r="I47" s="207" t="str">
        <f>'[3]Annex-10'!I$8</f>
        <v>(9)</v>
      </c>
      <c r="J47" s="207" t="str">
        <f>'[3]Annex-10'!J$8</f>
        <v>(10)</v>
      </c>
      <c r="K47" s="207" t="str">
        <f>'[3]Annex-10'!L$8</f>
        <v>(11)</v>
      </c>
    </row>
    <row r="48" spans="1:11" ht="28.8" customHeight="1" x14ac:dyDescent="0.3">
      <c r="A48" s="203" t="str">
        <f>common!$H$5</f>
        <v>RABI I 2023-24</v>
      </c>
      <c r="B48" s="204"/>
      <c r="C48" s="204"/>
      <c r="D48" s="204"/>
      <c r="E48" s="204"/>
      <c r="F48" s="204"/>
      <c r="G48" s="204"/>
      <c r="H48" s="204"/>
      <c r="I48" s="204"/>
      <c r="J48" s="204"/>
      <c r="K48" s="204"/>
    </row>
    <row r="49" spans="1:11" ht="28.8" customHeight="1" x14ac:dyDescent="0.3">
      <c r="A49" s="124" t="str">
        <f>A9</f>
        <v>PADDY</v>
      </c>
      <c r="B49" s="199" t="str">
        <f>ROUND('[3]Annex-10'!B42,2)&amp;"  "</f>
        <v xml:space="preserve">7  </v>
      </c>
      <c r="C49" s="199" t="str">
        <f>IF(INT('[3]Annex-10'!C42)='[3]Annex-10'!C42,'[3]Annex-10'!C42&amp;".00  ",IF(INT('[3]Annex-10'!C42*10)='[3]Annex-10'!C42*10,'[3]Annex-10'!C42&amp;"0  ",ROUND('[3]Annex-10'!C42,2)&amp;"  "))</f>
        <v xml:space="preserve">26.43  </v>
      </c>
      <c r="D49" s="199" t="str">
        <f>IF(INT('[3]Annex-10'!D42)='[3]Annex-10'!D42,'[3]Annex-10'!D42&amp;".00  ",IF(INT('[3]Annex-10'!D42*10)='[3]Annex-10'!D42*10,'[3]Annex-10'!D42&amp;"0  ",ROUND('[3]Annex-10'!D42,2)&amp;"  "))</f>
        <v xml:space="preserve">26.51  </v>
      </c>
      <c r="E49" s="199" t="str">
        <f>ROUND('[3]Annex-10'!E42,2)&amp;"  "</f>
        <v xml:space="preserve">7  </v>
      </c>
      <c r="F49" s="199" t="str">
        <f>IF(INT('[3]Annex-10'!F42)='[3]Annex-10'!F42,'[3]Annex-10'!F42&amp;".00  ",IF(INT('[3]Annex-10'!F42*10)='[3]Annex-10'!F42*10,'[3]Annex-10'!F42&amp;"0  ",ROUND('[3]Annex-10'!F42,2)&amp;"  "))</f>
        <v xml:space="preserve">7.65  </v>
      </c>
      <c r="G49" s="199" t="str">
        <f>IF(INT('[3]Annex-10'!G42)='[3]Annex-10'!G42,'[3]Annex-10'!G42&amp;".00  ",IF(INT('[3]Annex-10'!G42*10)='[3]Annex-10'!G42*10,'[3]Annex-10'!G42&amp;"0  ",ROUND('[3]Annex-10'!G42,2)&amp;"  "))</f>
        <v xml:space="preserve">7.54  </v>
      </c>
      <c r="H49" s="199" t="str">
        <f>ROUND('[3]Annex-10'!H42,2)&amp;"  "</f>
        <v xml:space="preserve">14  </v>
      </c>
      <c r="I49" s="199" t="str">
        <f>IF(INT('[3]Annex-10'!I42)='[3]Annex-10'!I42,'[3]Annex-10'!I42&amp;".00  ",IF(INT('[3]Annex-10'!I42*10)='[3]Annex-10'!I42*10,'[3]Annex-10'!I42&amp;"0  ",ROUND('[3]Annex-10'!I42,2)&amp;"  "))</f>
        <v xml:space="preserve">34.08  </v>
      </c>
      <c r="J49" s="199" t="str">
        <f>IF(INT('[3]Annex-10'!J42)='[3]Annex-10'!J42,'[3]Annex-10'!J42&amp;".00  ",IF(INT('[3]Annex-10'!J42*10)='[3]Annex-10'!J42*10,'[3]Annex-10'!J42&amp;"0  ",ROUND('[3]Annex-10'!J42,2)&amp;"  "))</f>
        <v xml:space="preserve">34.05  </v>
      </c>
      <c r="K49" s="199" t="str">
        <f>IF('[3]Annex-10'!K42&lt;0,"(-)"&amp;FIXED(ABS('[3]Annex-10'!K42),2)&amp;"    ",FIXED('[3]Annex-10'!K42,2)&amp;"    ")</f>
        <v xml:space="preserve">(-)0.07    </v>
      </c>
    </row>
    <row r="50" spans="1:11" ht="28.8" customHeight="1" x14ac:dyDescent="0.3">
      <c r="A50" s="124" t="str">
        <f t="shared" ref="A50:A63" si="0">A10</f>
        <v>OTHERS</v>
      </c>
      <c r="B50" s="199" t="str">
        <f>ROUND('[3]Annex-10'!B43,2)&amp;"  "</f>
        <v xml:space="preserve">3  </v>
      </c>
      <c r="C50" s="199" t="str">
        <f>IF(INT('[3]Annex-10'!C43)='[3]Annex-10'!C43,'[3]Annex-10'!C43&amp;".00  ",IF(INT('[3]Annex-10'!C43*10)='[3]Annex-10'!C43*10,'[3]Annex-10'!C43&amp;"0  ",ROUND('[3]Annex-10'!C43,2)&amp;"  "))</f>
        <v xml:space="preserve">3.3  </v>
      </c>
      <c r="D50" s="199" t="str">
        <f>IF(INT('[3]Annex-10'!D43)='[3]Annex-10'!D43,'[3]Annex-10'!D43&amp;".00  ",IF(INT('[3]Annex-10'!D43*10)='[3]Annex-10'!D43*10,'[3]Annex-10'!D43&amp;"0  ",ROUND('[3]Annex-10'!D43,2)&amp;"  "))</f>
        <v xml:space="preserve">3.03  </v>
      </c>
      <c r="E50" s="199" t="str">
        <f>ROUND('[3]Annex-10'!E43,2)&amp;"  "</f>
        <v xml:space="preserve">3  </v>
      </c>
      <c r="F50" s="199" t="str">
        <f>IF(INT('[3]Annex-10'!F43)='[3]Annex-10'!F43,'[3]Annex-10'!F43&amp;".00  ",IF(INT('[3]Annex-10'!F43*10)='[3]Annex-10'!F43*10,'[3]Annex-10'!F43&amp;"0  ",ROUND('[3]Annex-10'!F43,2)&amp;"  "))</f>
        <v xml:space="preserve">2.63  </v>
      </c>
      <c r="G50" s="199" t="str">
        <f>IF(INT('[3]Annex-10'!G43)='[3]Annex-10'!G43,'[3]Annex-10'!G43&amp;".00  ",IF(INT('[3]Annex-10'!G43*10)='[3]Annex-10'!G43*10,'[3]Annex-10'!G43&amp;"0  ",ROUND('[3]Annex-10'!G43,2)&amp;"  "))</f>
        <v xml:space="preserve">2.63  </v>
      </c>
      <c r="H50" s="199" t="str">
        <f>ROUND('[3]Annex-10'!H43,2)&amp;"  "</f>
        <v xml:space="preserve">6  </v>
      </c>
      <c r="I50" s="199" t="str">
        <f>IF(INT('[3]Annex-10'!I43)='[3]Annex-10'!I43,'[3]Annex-10'!I43&amp;".00  ",IF(INT('[3]Annex-10'!I43*10)='[3]Annex-10'!I43*10,'[3]Annex-10'!I43&amp;"0  ",ROUND('[3]Annex-10'!I43,2)&amp;"  "))</f>
        <v xml:space="preserve">5.93  </v>
      </c>
      <c r="J50" s="199" t="str">
        <f>IF(INT('[3]Annex-10'!J43)='[3]Annex-10'!J43,'[3]Annex-10'!J43&amp;".00  ",IF(INT('[3]Annex-10'!J43*10)='[3]Annex-10'!J43*10,'[3]Annex-10'!J43&amp;"0  ",ROUND('[3]Annex-10'!J43,2)&amp;"  "))</f>
        <v xml:space="preserve">5.66  </v>
      </c>
      <c r="K50" s="199" t="str">
        <f>IF('[3]Annex-10'!K43&lt;0,"(-)"&amp;FIXED(ABS('[3]Annex-10'!K43),2)&amp;"    ",FIXED('[3]Annex-10'!K43,2)&amp;"    ")</f>
        <v xml:space="preserve">(-)4.55    </v>
      </c>
    </row>
    <row r="51" spans="1:11" hidden="1" x14ac:dyDescent="0.3">
      <c r="A51" s="124" t="str">
        <f t="shared" si="0"/>
        <v/>
      </c>
      <c r="B51" s="199" t="e">
        <f>ROUND('[3]Annex-10'!B44,2)&amp;"  "</f>
        <v>#VALUE!</v>
      </c>
      <c r="C51" s="199" t="e">
        <f>IF(INT('[3]Annex-10'!C44)='[3]Annex-10'!C44,'[3]Annex-10'!C44&amp;".00  ",IF(INT('[3]Annex-10'!C44*10)='[3]Annex-10'!C44*10,'[3]Annex-10'!C44&amp;"0  ",ROUND('[3]Annex-10'!C44,2)&amp;"  "))</f>
        <v>#VALUE!</v>
      </c>
      <c r="D51" s="199" t="e">
        <f>IF(INT('[3]Annex-10'!D44)='[3]Annex-10'!D44,'[3]Annex-10'!D44&amp;".00  ",IF(INT('[3]Annex-10'!D44*10)='[3]Annex-10'!D44*10,'[3]Annex-10'!D44&amp;"0  ",ROUND('[3]Annex-10'!D44,2)&amp;"  "))</f>
        <v>#VALUE!</v>
      </c>
      <c r="E51" s="199" t="e">
        <f>ROUND('[3]Annex-10'!E44,2)&amp;"  "</f>
        <v>#VALUE!</v>
      </c>
      <c r="F51" s="199" t="e">
        <f>IF(INT('[3]Annex-10'!F44)='[3]Annex-10'!F44,'[3]Annex-10'!F44&amp;".00  ",IF(INT('[3]Annex-10'!F44*10)='[3]Annex-10'!F44*10,'[3]Annex-10'!F44&amp;"0  ",ROUND('[3]Annex-10'!F44,2)&amp;"  "))</f>
        <v>#VALUE!</v>
      </c>
      <c r="G51" s="199" t="e">
        <f>IF(INT('[3]Annex-10'!G44)='[3]Annex-10'!G44,'[3]Annex-10'!G44&amp;".00  ",IF(INT('[3]Annex-10'!G44*10)='[3]Annex-10'!G44*10,'[3]Annex-10'!G44&amp;"0  ",ROUND('[3]Annex-10'!G44,2)&amp;"  "))</f>
        <v>#VALUE!</v>
      </c>
      <c r="H51" s="199" t="e">
        <f>ROUND('[3]Annex-10'!H44,2)&amp;"  "</f>
        <v>#VALUE!</v>
      </c>
      <c r="I51" s="199" t="e">
        <f>IF(INT('[3]Annex-10'!I44)='[3]Annex-10'!I44,'[3]Annex-10'!I44&amp;".00  ",IF(INT('[3]Annex-10'!I44*10)='[3]Annex-10'!I44*10,'[3]Annex-10'!I44&amp;"0  ",ROUND('[3]Annex-10'!I44,2)&amp;"  "))</f>
        <v>#VALUE!</v>
      </c>
      <c r="J51" s="199" t="e">
        <f>IF(INT('[3]Annex-10'!J44)='[3]Annex-10'!J44,'[3]Annex-10'!J44&amp;".00  ",IF(INT('[3]Annex-10'!J44*10)='[3]Annex-10'!J44*10,'[3]Annex-10'!J44&amp;"0  ",ROUND('[3]Annex-10'!J44,2)&amp;"  "))</f>
        <v>#VALUE!</v>
      </c>
      <c r="K51" s="199" t="e">
        <f>IF('[3]Annex-10'!K44&lt;0,"(-)"&amp;FIXED(ABS('[3]Annex-10'!K44),2)&amp;"    ",FIXED('[3]Annex-10'!K44,2)&amp;"    ")</f>
        <v>#VALUE!</v>
      </c>
    </row>
    <row r="52" spans="1:11" hidden="1" x14ac:dyDescent="0.3">
      <c r="A52" s="124" t="str">
        <f t="shared" si="0"/>
        <v/>
      </c>
      <c r="B52" s="199" t="e">
        <f>ROUND('[3]Annex-10'!B45,2)&amp;"  "</f>
        <v>#VALUE!</v>
      </c>
      <c r="C52" s="199" t="e">
        <f>IF(INT('[3]Annex-10'!C45)='[3]Annex-10'!C45,'[3]Annex-10'!C45&amp;".00  ",IF(INT('[3]Annex-10'!C45*10)='[3]Annex-10'!C45*10,'[3]Annex-10'!C45&amp;"0  ",ROUND('[3]Annex-10'!C45,2)&amp;"  "))</f>
        <v>#VALUE!</v>
      </c>
      <c r="D52" s="199" t="e">
        <f>IF(INT('[3]Annex-10'!D45)='[3]Annex-10'!D45,'[3]Annex-10'!D45&amp;".00  ",IF(INT('[3]Annex-10'!D45*10)='[3]Annex-10'!D45*10,'[3]Annex-10'!D45&amp;"0  ",ROUND('[3]Annex-10'!D45,2)&amp;"  "))</f>
        <v>#VALUE!</v>
      </c>
      <c r="E52" s="199" t="e">
        <f>ROUND('[3]Annex-10'!E45,2)&amp;"  "</f>
        <v>#VALUE!</v>
      </c>
      <c r="F52" s="199" t="e">
        <f>IF(INT('[3]Annex-10'!F45)='[3]Annex-10'!F45,'[3]Annex-10'!F45&amp;".00  ",IF(INT('[3]Annex-10'!F45*10)='[3]Annex-10'!F45*10,'[3]Annex-10'!F45&amp;"0  ",ROUND('[3]Annex-10'!F45,2)&amp;"  "))</f>
        <v>#VALUE!</v>
      </c>
      <c r="G52" s="199" t="e">
        <f>IF(INT('[3]Annex-10'!G45)='[3]Annex-10'!G45,'[3]Annex-10'!G45&amp;".00  ",IF(INT('[3]Annex-10'!G45*10)='[3]Annex-10'!G45*10,'[3]Annex-10'!G45&amp;"0  ",ROUND('[3]Annex-10'!G45,2)&amp;"  "))</f>
        <v>#VALUE!</v>
      </c>
      <c r="H52" s="199" t="e">
        <f>ROUND('[3]Annex-10'!H45,2)&amp;"  "</f>
        <v>#VALUE!</v>
      </c>
      <c r="I52" s="199" t="e">
        <f>IF(INT('[3]Annex-10'!I45)='[3]Annex-10'!I45,'[3]Annex-10'!I45&amp;".00  ",IF(INT('[3]Annex-10'!I45*10)='[3]Annex-10'!I45*10,'[3]Annex-10'!I45&amp;"0  ",ROUND('[3]Annex-10'!I45,2)&amp;"  "))</f>
        <v>#VALUE!</v>
      </c>
      <c r="J52" s="199" t="e">
        <f>IF(INT('[3]Annex-10'!J45)='[3]Annex-10'!J45,'[3]Annex-10'!J45&amp;".00  ",IF(INT('[3]Annex-10'!J45*10)='[3]Annex-10'!J45*10,'[3]Annex-10'!J45&amp;"0  ",ROUND('[3]Annex-10'!J45,2)&amp;"  "))</f>
        <v>#VALUE!</v>
      </c>
      <c r="K52" s="199" t="e">
        <f>IF('[3]Annex-10'!K45&lt;0,"(-)"&amp;FIXED(ABS('[3]Annex-10'!K45),2)&amp;"    ",FIXED('[3]Annex-10'!K45,2)&amp;"    ")</f>
        <v>#VALUE!</v>
      </c>
    </row>
    <row r="53" spans="1:11" hidden="1" x14ac:dyDescent="0.3">
      <c r="A53" s="124" t="str">
        <f t="shared" si="0"/>
        <v/>
      </c>
      <c r="B53" s="199" t="e">
        <f>ROUND('[3]Annex-10'!B46,2)&amp;"  "</f>
        <v>#VALUE!</v>
      </c>
      <c r="C53" s="199" t="e">
        <f>IF(INT('[3]Annex-10'!C46)='[3]Annex-10'!C46,'[3]Annex-10'!C46&amp;".00  ",IF(INT('[3]Annex-10'!C46*10)='[3]Annex-10'!C46*10,'[3]Annex-10'!C46&amp;"0  ",ROUND('[3]Annex-10'!C46,2)&amp;"  "))</f>
        <v>#VALUE!</v>
      </c>
      <c r="D53" s="199" t="e">
        <f>IF(INT('[3]Annex-10'!D46)='[3]Annex-10'!D46,'[3]Annex-10'!D46&amp;".00  ",IF(INT('[3]Annex-10'!D46*10)='[3]Annex-10'!D46*10,'[3]Annex-10'!D46&amp;"0  ",ROUND('[3]Annex-10'!D46,2)&amp;"  "))</f>
        <v>#VALUE!</v>
      </c>
      <c r="E53" s="199" t="e">
        <f>ROUND('[3]Annex-10'!E46,2)&amp;"  "</f>
        <v>#VALUE!</v>
      </c>
      <c r="F53" s="199" t="e">
        <f>IF(INT('[3]Annex-10'!F46)='[3]Annex-10'!F46,'[3]Annex-10'!F46&amp;".00  ",IF(INT('[3]Annex-10'!F46*10)='[3]Annex-10'!F46*10,'[3]Annex-10'!F46&amp;"0  ",ROUND('[3]Annex-10'!F46,2)&amp;"  "))</f>
        <v>#VALUE!</v>
      </c>
      <c r="G53" s="199" t="e">
        <f>IF(INT('[3]Annex-10'!G46)='[3]Annex-10'!G46,'[3]Annex-10'!G46&amp;".00  ",IF(INT('[3]Annex-10'!G46*10)='[3]Annex-10'!G46*10,'[3]Annex-10'!G46&amp;"0  ",ROUND('[3]Annex-10'!G46,2)&amp;"  "))</f>
        <v>#VALUE!</v>
      </c>
      <c r="H53" s="199" t="e">
        <f>ROUND('[3]Annex-10'!H46,2)&amp;"  "</f>
        <v>#VALUE!</v>
      </c>
      <c r="I53" s="199" t="e">
        <f>IF(INT('[3]Annex-10'!I46)='[3]Annex-10'!I46,'[3]Annex-10'!I46&amp;".00  ",IF(INT('[3]Annex-10'!I46*10)='[3]Annex-10'!I46*10,'[3]Annex-10'!I46&amp;"0  ",ROUND('[3]Annex-10'!I46,2)&amp;"  "))</f>
        <v>#VALUE!</v>
      </c>
      <c r="J53" s="199" t="e">
        <f>IF(INT('[3]Annex-10'!J46)='[3]Annex-10'!J46,'[3]Annex-10'!J46&amp;".00  ",IF(INT('[3]Annex-10'!J46*10)='[3]Annex-10'!J46*10,'[3]Annex-10'!J46&amp;"0  ",ROUND('[3]Annex-10'!J46,2)&amp;"  "))</f>
        <v>#VALUE!</v>
      </c>
      <c r="K53" s="199" t="e">
        <f>IF('[3]Annex-10'!K46&lt;0,"(-)"&amp;FIXED(ABS('[3]Annex-10'!K46),2)&amp;"    ",FIXED('[3]Annex-10'!K46,2)&amp;"    ")</f>
        <v>#VALUE!</v>
      </c>
    </row>
    <row r="54" spans="1:11" hidden="1" x14ac:dyDescent="0.3">
      <c r="A54" s="124" t="str">
        <f t="shared" si="0"/>
        <v/>
      </c>
      <c r="B54" s="199" t="e">
        <f>ROUND('[3]Annex-10'!B47,2)&amp;"  "</f>
        <v>#VALUE!</v>
      </c>
      <c r="C54" s="199" t="e">
        <f>IF(INT('[3]Annex-10'!C47)='[3]Annex-10'!C47,'[3]Annex-10'!C47&amp;".00  ",IF(INT('[3]Annex-10'!C47*10)='[3]Annex-10'!C47*10,'[3]Annex-10'!C47&amp;"0  ",ROUND('[3]Annex-10'!C47,2)&amp;"  "))</f>
        <v>#VALUE!</v>
      </c>
      <c r="D54" s="199" t="e">
        <f>IF(INT('[3]Annex-10'!D47)='[3]Annex-10'!D47,'[3]Annex-10'!D47&amp;".00  ",IF(INT('[3]Annex-10'!D47*10)='[3]Annex-10'!D47*10,'[3]Annex-10'!D47&amp;"0  ",ROUND('[3]Annex-10'!D47,2)&amp;"  "))</f>
        <v>#VALUE!</v>
      </c>
      <c r="E54" s="199" t="e">
        <f>ROUND('[3]Annex-10'!E47,2)&amp;"  "</f>
        <v>#VALUE!</v>
      </c>
      <c r="F54" s="199" t="e">
        <f>IF(INT('[3]Annex-10'!F47)='[3]Annex-10'!F47,'[3]Annex-10'!F47&amp;".00  ",IF(INT('[3]Annex-10'!F47*10)='[3]Annex-10'!F47*10,'[3]Annex-10'!F47&amp;"0  ",ROUND('[3]Annex-10'!F47,2)&amp;"  "))</f>
        <v>#VALUE!</v>
      </c>
      <c r="G54" s="199" t="e">
        <f>IF(INT('[3]Annex-10'!G47)='[3]Annex-10'!G47,'[3]Annex-10'!G47&amp;".00  ",IF(INT('[3]Annex-10'!G47*10)='[3]Annex-10'!G47*10,'[3]Annex-10'!G47&amp;"0  ",ROUND('[3]Annex-10'!G47,2)&amp;"  "))</f>
        <v>#VALUE!</v>
      </c>
      <c r="H54" s="199" t="e">
        <f>ROUND('[3]Annex-10'!H47,2)&amp;"  "</f>
        <v>#VALUE!</v>
      </c>
      <c r="I54" s="199" t="e">
        <f>IF(INT('[3]Annex-10'!I47)='[3]Annex-10'!I47,'[3]Annex-10'!I47&amp;".00  ",IF(INT('[3]Annex-10'!I47*10)='[3]Annex-10'!I47*10,'[3]Annex-10'!I47&amp;"0  ",ROUND('[3]Annex-10'!I47,2)&amp;"  "))</f>
        <v>#VALUE!</v>
      </c>
      <c r="J54" s="199" t="e">
        <f>IF(INT('[3]Annex-10'!J47)='[3]Annex-10'!J47,'[3]Annex-10'!J47&amp;".00  ",IF(INT('[3]Annex-10'!J47*10)='[3]Annex-10'!J47*10,'[3]Annex-10'!J47&amp;"0  ",ROUND('[3]Annex-10'!J47,2)&amp;"  "))</f>
        <v>#VALUE!</v>
      </c>
      <c r="K54" s="199" t="e">
        <f>IF('[3]Annex-10'!K47&lt;0,"(-)"&amp;FIXED(ABS('[3]Annex-10'!K47),2)&amp;"    ",FIXED('[3]Annex-10'!K47,2)&amp;"    ")</f>
        <v>#VALUE!</v>
      </c>
    </row>
    <row r="55" spans="1:11" hidden="1" x14ac:dyDescent="0.3">
      <c r="A55" s="124" t="str">
        <f t="shared" si="0"/>
        <v/>
      </c>
      <c r="B55" s="199" t="e">
        <f>ROUND('[3]Annex-10'!B48,2)&amp;"  "</f>
        <v>#VALUE!</v>
      </c>
      <c r="C55" s="199" t="e">
        <f>IF(INT('[3]Annex-10'!C48)='[3]Annex-10'!C48,'[3]Annex-10'!C48&amp;".00  ",IF(INT('[3]Annex-10'!C48*10)='[3]Annex-10'!C48*10,'[3]Annex-10'!C48&amp;"0  ",ROUND('[3]Annex-10'!C48,2)&amp;"  "))</f>
        <v>#VALUE!</v>
      </c>
      <c r="D55" s="199" t="e">
        <f>IF(INT('[3]Annex-10'!D48)='[3]Annex-10'!D48,'[3]Annex-10'!D48&amp;".00  ",IF(INT('[3]Annex-10'!D48*10)='[3]Annex-10'!D48*10,'[3]Annex-10'!D48&amp;"0  ",ROUND('[3]Annex-10'!D48,2)&amp;"  "))</f>
        <v>#VALUE!</v>
      </c>
      <c r="E55" s="199" t="e">
        <f>ROUND('[3]Annex-10'!E48,2)&amp;"  "</f>
        <v>#VALUE!</v>
      </c>
      <c r="F55" s="199" t="e">
        <f>IF(INT('[3]Annex-10'!F48)='[3]Annex-10'!F48,'[3]Annex-10'!F48&amp;".00  ",IF(INT('[3]Annex-10'!F48*10)='[3]Annex-10'!F48*10,'[3]Annex-10'!F48&amp;"0  ",ROUND('[3]Annex-10'!F48,2)&amp;"  "))</f>
        <v>#VALUE!</v>
      </c>
      <c r="G55" s="199" t="e">
        <f>IF(INT('[3]Annex-10'!G48)='[3]Annex-10'!G48,'[3]Annex-10'!G48&amp;".00  ",IF(INT('[3]Annex-10'!G48*10)='[3]Annex-10'!G48*10,'[3]Annex-10'!G48&amp;"0  ",ROUND('[3]Annex-10'!G48,2)&amp;"  "))</f>
        <v>#VALUE!</v>
      </c>
      <c r="H55" s="199" t="e">
        <f>ROUND('[3]Annex-10'!H48,2)&amp;"  "</f>
        <v>#VALUE!</v>
      </c>
      <c r="I55" s="199" t="e">
        <f>IF(INT('[3]Annex-10'!I48)='[3]Annex-10'!I48,'[3]Annex-10'!I48&amp;".00  ",IF(INT('[3]Annex-10'!I48*10)='[3]Annex-10'!I48*10,'[3]Annex-10'!I48&amp;"0  ",ROUND('[3]Annex-10'!I48,2)&amp;"  "))</f>
        <v>#VALUE!</v>
      </c>
      <c r="J55" s="199" t="e">
        <f>IF(INT('[3]Annex-10'!J48)='[3]Annex-10'!J48,'[3]Annex-10'!J48&amp;".00  ",IF(INT('[3]Annex-10'!J48*10)='[3]Annex-10'!J48*10,'[3]Annex-10'!J48&amp;"0  ",ROUND('[3]Annex-10'!J48,2)&amp;"  "))</f>
        <v>#VALUE!</v>
      </c>
      <c r="K55" s="199" t="e">
        <f>IF('[3]Annex-10'!K48&lt;0,"(-)"&amp;FIXED(ABS('[3]Annex-10'!K48),2)&amp;"    ",FIXED('[3]Annex-10'!K48,2)&amp;"    ")</f>
        <v>#VALUE!</v>
      </c>
    </row>
    <row r="56" spans="1:11" hidden="1" x14ac:dyDescent="0.3">
      <c r="A56" s="124" t="str">
        <f t="shared" si="0"/>
        <v/>
      </c>
      <c r="B56" s="199" t="e">
        <f>ROUND('[3]Annex-10'!B49,2)&amp;"  "</f>
        <v>#VALUE!</v>
      </c>
      <c r="C56" s="199" t="e">
        <f>IF(INT('[3]Annex-10'!C49)='[3]Annex-10'!C49,'[3]Annex-10'!C49&amp;".00  ",IF(INT('[3]Annex-10'!C49*10)='[3]Annex-10'!C49*10,'[3]Annex-10'!C49&amp;"0  ",ROUND('[3]Annex-10'!C49,2)&amp;"  "))</f>
        <v>#VALUE!</v>
      </c>
      <c r="D56" s="199" t="e">
        <f>IF(INT('[3]Annex-10'!D49)='[3]Annex-10'!D49,'[3]Annex-10'!D49&amp;".00  ",IF(INT('[3]Annex-10'!D49*10)='[3]Annex-10'!D49*10,'[3]Annex-10'!D49&amp;"0  ",ROUND('[3]Annex-10'!D49,2)&amp;"  "))</f>
        <v>#VALUE!</v>
      </c>
      <c r="E56" s="199" t="e">
        <f>ROUND('[3]Annex-10'!E49,2)&amp;"  "</f>
        <v>#VALUE!</v>
      </c>
      <c r="F56" s="199" t="e">
        <f>IF(INT('[3]Annex-10'!F49)='[3]Annex-10'!F49,'[3]Annex-10'!F49&amp;".00  ",IF(INT('[3]Annex-10'!F49*10)='[3]Annex-10'!F49*10,'[3]Annex-10'!F49&amp;"0  ",ROUND('[3]Annex-10'!F49,2)&amp;"  "))</f>
        <v>#VALUE!</v>
      </c>
      <c r="G56" s="199" t="e">
        <f>IF(INT('[3]Annex-10'!G49)='[3]Annex-10'!G49,'[3]Annex-10'!G49&amp;".00  ",IF(INT('[3]Annex-10'!G49*10)='[3]Annex-10'!G49*10,'[3]Annex-10'!G49&amp;"0  ",ROUND('[3]Annex-10'!G49,2)&amp;"  "))</f>
        <v>#VALUE!</v>
      </c>
      <c r="H56" s="199" t="e">
        <f>ROUND('[3]Annex-10'!H49,2)&amp;"  "</f>
        <v>#VALUE!</v>
      </c>
      <c r="I56" s="199" t="e">
        <f>IF(INT('[3]Annex-10'!I49)='[3]Annex-10'!I49,'[3]Annex-10'!I49&amp;".00  ",IF(INT('[3]Annex-10'!I49*10)='[3]Annex-10'!I49*10,'[3]Annex-10'!I49&amp;"0  ",ROUND('[3]Annex-10'!I49,2)&amp;"  "))</f>
        <v>#VALUE!</v>
      </c>
      <c r="J56" s="199" t="e">
        <f>IF(INT('[3]Annex-10'!J49)='[3]Annex-10'!J49,'[3]Annex-10'!J49&amp;".00  ",IF(INT('[3]Annex-10'!J49*10)='[3]Annex-10'!J49*10,'[3]Annex-10'!J49&amp;"0  ",ROUND('[3]Annex-10'!J49,2)&amp;"  "))</f>
        <v>#VALUE!</v>
      </c>
      <c r="K56" s="199" t="e">
        <f>IF('[3]Annex-10'!K49&lt;0,"(-)"&amp;FIXED(ABS('[3]Annex-10'!K49),2)&amp;"    ",FIXED('[3]Annex-10'!K49,2)&amp;"    ")</f>
        <v>#VALUE!</v>
      </c>
    </row>
    <row r="57" spans="1:11" hidden="1" x14ac:dyDescent="0.3">
      <c r="A57" s="124" t="str">
        <f t="shared" si="0"/>
        <v/>
      </c>
      <c r="B57" s="199" t="e">
        <f>ROUND('[3]Annex-10'!B50,2)&amp;"  "</f>
        <v>#VALUE!</v>
      </c>
      <c r="C57" s="199" t="e">
        <f>IF(INT('[3]Annex-10'!C50)='[3]Annex-10'!C50,'[3]Annex-10'!C50&amp;".00  ",IF(INT('[3]Annex-10'!C50*10)='[3]Annex-10'!C50*10,'[3]Annex-10'!C50&amp;"0  ",ROUND('[3]Annex-10'!C50,2)&amp;"  "))</f>
        <v>#VALUE!</v>
      </c>
      <c r="D57" s="199" t="e">
        <f>IF(INT('[3]Annex-10'!D50)='[3]Annex-10'!D50,'[3]Annex-10'!D50&amp;".00  ",IF(INT('[3]Annex-10'!D50*10)='[3]Annex-10'!D50*10,'[3]Annex-10'!D50&amp;"0  ",ROUND('[3]Annex-10'!D50,2)&amp;"  "))</f>
        <v>#VALUE!</v>
      </c>
      <c r="E57" s="199" t="e">
        <f>ROUND('[3]Annex-10'!E50,2)&amp;"  "</f>
        <v>#VALUE!</v>
      </c>
      <c r="F57" s="199" t="e">
        <f>IF(INT('[3]Annex-10'!F50)='[3]Annex-10'!F50,'[3]Annex-10'!F50&amp;".00  ",IF(INT('[3]Annex-10'!F50*10)='[3]Annex-10'!F50*10,'[3]Annex-10'!F50&amp;"0  ",ROUND('[3]Annex-10'!F50,2)&amp;"  "))</f>
        <v>#VALUE!</v>
      </c>
      <c r="G57" s="199" t="e">
        <f>IF(INT('[3]Annex-10'!G50)='[3]Annex-10'!G50,'[3]Annex-10'!G50&amp;".00  ",IF(INT('[3]Annex-10'!G50*10)='[3]Annex-10'!G50*10,'[3]Annex-10'!G50&amp;"0  ",ROUND('[3]Annex-10'!G50,2)&amp;"  "))</f>
        <v>#VALUE!</v>
      </c>
      <c r="H57" s="199" t="e">
        <f>ROUND('[3]Annex-10'!H50,2)&amp;"  "</f>
        <v>#VALUE!</v>
      </c>
      <c r="I57" s="199" t="e">
        <f>IF(INT('[3]Annex-10'!I50)='[3]Annex-10'!I50,'[3]Annex-10'!I50&amp;".00  ",IF(INT('[3]Annex-10'!I50*10)='[3]Annex-10'!I50*10,'[3]Annex-10'!I50&amp;"0  ",ROUND('[3]Annex-10'!I50,2)&amp;"  "))</f>
        <v>#VALUE!</v>
      </c>
      <c r="J57" s="199" t="e">
        <f>IF(INT('[3]Annex-10'!J50)='[3]Annex-10'!J50,'[3]Annex-10'!J50&amp;".00  ",IF(INT('[3]Annex-10'!J50*10)='[3]Annex-10'!J50*10,'[3]Annex-10'!J50&amp;"0  ",ROUND('[3]Annex-10'!J50,2)&amp;"  "))</f>
        <v>#VALUE!</v>
      </c>
      <c r="K57" s="199" t="e">
        <f>IF('[3]Annex-10'!K50&lt;0,"(-)"&amp;FIXED(ABS('[3]Annex-10'!K50),2)&amp;"    ",FIXED('[3]Annex-10'!K50,2)&amp;"    ")</f>
        <v>#VALUE!</v>
      </c>
    </row>
    <row r="58" spans="1:11" hidden="1" x14ac:dyDescent="0.3">
      <c r="A58" s="123" t="str">
        <f t="shared" si="0"/>
        <v/>
      </c>
      <c r="B58" s="200" t="e">
        <f>ROUND('[3]Annex-10'!B51,2)&amp;"  "</f>
        <v>#VALUE!</v>
      </c>
      <c r="C58" s="200" t="e">
        <f>IF(INT('[3]Annex-10'!C51)='[3]Annex-10'!C51,'[3]Annex-10'!C51&amp;".00  ",IF(INT('[3]Annex-10'!C51*10)='[3]Annex-10'!C51*10,'[3]Annex-10'!C51&amp;"0  ",ROUND('[3]Annex-10'!C51,2)&amp;"  "))</f>
        <v>#VALUE!</v>
      </c>
      <c r="D58" s="200" t="e">
        <f>IF(INT('[3]Annex-10'!D51)='[3]Annex-10'!D51,'[3]Annex-10'!D51&amp;".00  ",IF(INT('[3]Annex-10'!D51*10)='[3]Annex-10'!D51*10,'[3]Annex-10'!D51&amp;"0  ",ROUND('[3]Annex-10'!D51,2)&amp;"  "))</f>
        <v>#VALUE!</v>
      </c>
      <c r="E58" s="200" t="e">
        <f>ROUND('[3]Annex-10'!E51,2)&amp;"  "</f>
        <v>#VALUE!</v>
      </c>
      <c r="F58" s="200" t="e">
        <f>IF(INT('[3]Annex-10'!F51)='[3]Annex-10'!F51,'[3]Annex-10'!F51&amp;".00  ",IF(INT('[3]Annex-10'!F51*10)='[3]Annex-10'!F51*10,'[3]Annex-10'!F51&amp;"0  ",ROUND('[3]Annex-10'!F51,2)&amp;"  "))</f>
        <v>#VALUE!</v>
      </c>
      <c r="G58" s="200" t="e">
        <f>IF(INT('[3]Annex-10'!G51)='[3]Annex-10'!G51,'[3]Annex-10'!G51&amp;".00  ",IF(INT('[3]Annex-10'!G51*10)='[3]Annex-10'!G51*10,'[3]Annex-10'!G51&amp;"0  ",ROUND('[3]Annex-10'!G51,2)&amp;"  "))</f>
        <v>#VALUE!</v>
      </c>
      <c r="H58" s="200" t="e">
        <f>ROUND('[3]Annex-10'!H51,2)&amp;"  "</f>
        <v>#VALUE!</v>
      </c>
      <c r="I58" s="200" t="e">
        <f>IF(INT('[3]Annex-10'!I51)='[3]Annex-10'!I51,'[3]Annex-10'!I51&amp;".00  ",IF(INT('[3]Annex-10'!I51*10)='[3]Annex-10'!I51*10,'[3]Annex-10'!I51&amp;"0  ",ROUND('[3]Annex-10'!I51,2)&amp;"  "))</f>
        <v>#VALUE!</v>
      </c>
      <c r="J58" s="200" t="e">
        <f>IF(INT('[3]Annex-10'!J51)='[3]Annex-10'!J51,'[3]Annex-10'!J51&amp;".00  ",IF(INT('[3]Annex-10'!J51*10)='[3]Annex-10'!J51*10,'[3]Annex-10'!J51&amp;"0  ",ROUND('[3]Annex-10'!J51,2)&amp;"  "))</f>
        <v>#VALUE!</v>
      </c>
      <c r="K58" s="200" t="e">
        <f>IF('[3]Annex-10'!K51&lt;0,"(-)"&amp;FIXED(ABS('[3]Annex-10'!K51),2)&amp;"    ",FIXED('[3]Annex-10'!K51,2)&amp;"    ")</f>
        <v>#VALUE!</v>
      </c>
    </row>
    <row r="59" spans="1:11" hidden="1" x14ac:dyDescent="0.3">
      <c r="A59" s="124" t="str">
        <f t="shared" si="0"/>
        <v/>
      </c>
      <c r="B59" s="201" t="e">
        <f>ROUND('[3]Annex-10'!B52,2)&amp;"  "</f>
        <v>#VALUE!</v>
      </c>
      <c r="C59" s="201" t="e">
        <f>IF(INT('[3]Annex-10'!C52)='[3]Annex-10'!C52,'[3]Annex-10'!C52&amp;".00  ",IF(INT('[3]Annex-10'!C52*10)='[3]Annex-10'!C52*10,'[3]Annex-10'!C52&amp;"0  ",ROUND('[3]Annex-10'!C52,2)&amp;"  "))</f>
        <v>#VALUE!</v>
      </c>
      <c r="D59" s="201" t="e">
        <f>IF(INT('[3]Annex-10'!D52)='[3]Annex-10'!D52,'[3]Annex-10'!D52&amp;".00  ",IF(INT('[3]Annex-10'!D52*10)='[3]Annex-10'!D52*10,'[3]Annex-10'!D52&amp;"0  ",ROUND('[3]Annex-10'!D52,2)&amp;"  "))</f>
        <v>#VALUE!</v>
      </c>
      <c r="E59" s="201" t="e">
        <f>ROUND('[3]Annex-10'!E52,2)&amp;"  "</f>
        <v>#VALUE!</v>
      </c>
      <c r="F59" s="201" t="e">
        <f>IF(INT('[3]Annex-10'!F52)='[3]Annex-10'!F52,'[3]Annex-10'!F52&amp;".00  ",IF(INT('[3]Annex-10'!F52*10)='[3]Annex-10'!F52*10,'[3]Annex-10'!F52&amp;"0  ",ROUND('[3]Annex-10'!F52,2)&amp;"  "))</f>
        <v>#VALUE!</v>
      </c>
      <c r="G59" s="201" t="e">
        <f>IF(INT('[3]Annex-10'!G52)='[3]Annex-10'!G52,'[3]Annex-10'!G52&amp;".00  ",IF(INT('[3]Annex-10'!G52*10)='[3]Annex-10'!G52*10,'[3]Annex-10'!G52&amp;"0  ",ROUND('[3]Annex-10'!G52,2)&amp;"  "))</f>
        <v>#VALUE!</v>
      </c>
      <c r="H59" s="201" t="e">
        <f>ROUND('[3]Annex-10'!H52,2)&amp;"  "</f>
        <v>#VALUE!</v>
      </c>
      <c r="I59" s="201" t="e">
        <f>IF(INT('[3]Annex-10'!I52)='[3]Annex-10'!I52,'[3]Annex-10'!I52&amp;".00  ",IF(INT('[3]Annex-10'!I52*10)='[3]Annex-10'!I52*10,'[3]Annex-10'!I52&amp;"0  ",ROUND('[3]Annex-10'!I52,2)&amp;"  "))</f>
        <v>#VALUE!</v>
      </c>
      <c r="J59" s="201" t="e">
        <f>IF(INT('[3]Annex-10'!J52)='[3]Annex-10'!J52,'[3]Annex-10'!J52&amp;".00  ",IF(INT('[3]Annex-10'!J52*10)='[3]Annex-10'!J52*10,'[3]Annex-10'!J52&amp;"0  ",ROUND('[3]Annex-10'!J52,2)&amp;"  "))</f>
        <v>#VALUE!</v>
      </c>
      <c r="K59" s="201" t="e">
        <f>IF('[3]Annex-10'!K52&lt;0,"(-)"&amp;FIXED(ABS('[3]Annex-10'!K52),2)&amp;"    ",FIXED('[3]Annex-10'!K52,2)&amp;"    ")</f>
        <v>#VALUE!</v>
      </c>
    </row>
    <row r="60" spans="1:11" hidden="1" x14ac:dyDescent="0.3">
      <c r="A60" s="124" t="str">
        <f t="shared" si="0"/>
        <v/>
      </c>
      <c r="B60" s="201" t="e">
        <f>ROUND('[3]Annex-10'!B53,2)&amp;"  "</f>
        <v>#VALUE!</v>
      </c>
      <c r="C60" s="201" t="e">
        <f>IF(INT('[3]Annex-10'!C53)='[3]Annex-10'!C53,'[3]Annex-10'!C53&amp;".00  ",IF(INT('[3]Annex-10'!C53*10)='[3]Annex-10'!C53*10,'[3]Annex-10'!C53&amp;"0  ",ROUND('[3]Annex-10'!C53,2)&amp;"  "))</f>
        <v>#VALUE!</v>
      </c>
      <c r="D60" s="201" t="e">
        <f>IF(INT('[3]Annex-10'!D53)='[3]Annex-10'!D53,'[3]Annex-10'!D53&amp;".00  ",IF(INT('[3]Annex-10'!D53*10)='[3]Annex-10'!D53*10,'[3]Annex-10'!D53&amp;"0  ",ROUND('[3]Annex-10'!D53,2)&amp;"  "))</f>
        <v>#VALUE!</v>
      </c>
      <c r="E60" s="201" t="e">
        <f>ROUND('[3]Annex-10'!E53,2)&amp;"  "</f>
        <v>#VALUE!</v>
      </c>
      <c r="F60" s="201" t="e">
        <f>IF(INT('[3]Annex-10'!F53)='[3]Annex-10'!F53,'[3]Annex-10'!F53&amp;".00  ",IF(INT('[3]Annex-10'!F53*10)='[3]Annex-10'!F53*10,'[3]Annex-10'!F53&amp;"0  ",ROUND('[3]Annex-10'!F53,2)&amp;"  "))</f>
        <v>#VALUE!</v>
      </c>
      <c r="G60" s="201" t="e">
        <f>IF(INT('[3]Annex-10'!G53)='[3]Annex-10'!G53,'[3]Annex-10'!G53&amp;".00  ",IF(INT('[3]Annex-10'!G53*10)='[3]Annex-10'!G53*10,'[3]Annex-10'!G53&amp;"0  ",ROUND('[3]Annex-10'!G53,2)&amp;"  "))</f>
        <v>#VALUE!</v>
      </c>
      <c r="H60" s="201" t="e">
        <f>ROUND('[3]Annex-10'!H53,2)&amp;"  "</f>
        <v>#VALUE!</v>
      </c>
      <c r="I60" s="201" t="e">
        <f>IF(INT('[3]Annex-10'!I53)='[3]Annex-10'!I53,'[3]Annex-10'!I53&amp;".00  ",IF(INT('[3]Annex-10'!I53*10)='[3]Annex-10'!I53*10,'[3]Annex-10'!I53&amp;"0  ",ROUND('[3]Annex-10'!I53,2)&amp;"  "))</f>
        <v>#VALUE!</v>
      </c>
      <c r="J60" s="201" t="e">
        <f>IF(INT('[3]Annex-10'!J53)='[3]Annex-10'!J53,'[3]Annex-10'!J53&amp;".00  ",IF(INT('[3]Annex-10'!J53*10)='[3]Annex-10'!J53*10,'[3]Annex-10'!J53&amp;"0  ",ROUND('[3]Annex-10'!J53,2)&amp;"  "))</f>
        <v>#VALUE!</v>
      </c>
      <c r="K60" s="201" t="e">
        <f>IF('[3]Annex-10'!K53&lt;0,"(-)"&amp;FIXED(ABS('[3]Annex-10'!K53),2)&amp;"    ",FIXED('[3]Annex-10'!K53,2)&amp;"    ")</f>
        <v>#VALUE!</v>
      </c>
    </row>
    <row r="61" spans="1:11" hidden="1" x14ac:dyDescent="0.3">
      <c r="A61" s="124" t="str">
        <f t="shared" si="0"/>
        <v/>
      </c>
      <c r="B61" s="201" t="e">
        <f>ROUND('[3]Annex-10'!B54,2)&amp;"  "</f>
        <v>#VALUE!</v>
      </c>
      <c r="C61" s="201" t="e">
        <f>IF(INT('[3]Annex-10'!C54)='[3]Annex-10'!C54,'[3]Annex-10'!C54&amp;".00  ",IF(INT('[3]Annex-10'!C54*10)='[3]Annex-10'!C54*10,'[3]Annex-10'!C54&amp;"0  ",ROUND('[3]Annex-10'!C54,2)&amp;"  "))</f>
        <v>#VALUE!</v>
      </c>
      <c r="D61" s="201" t="e">
        <f>IF(INT('[3]Annex-10'!D54)='[3]Annex-10'!D54,'[3]Annex-10'!D54&amp;".00  ",IF(INT('[3]Annex-10'!D54*10)='[3]Annex-10'!D54*10,'[3]Annex-10'!D54&amp;"0  ",ROUND('[3]Annex-10'!D54,2)&amp;"  "))</f>
        <v>#VALUE!</v>
      </c>
      <c r="E61" s="201" t="e">
        <f>ROUND('[3]Annex-10'!E54,2)&amp;"  "</f>
        <v>#VALUE!</v>
      </c>
      <c r="F61" s="201" t="e">
        <f>IF(INT('[3]Annex-10'!F54)='[3]Annex-10'!F54,'[3]Annex-10'!F54&amp;".00  ",IF(INT('[3]Annex-10'!F54*10)='[3]Annex-10'!F54*10,'[3]Annex-10'!F54&amp;"0  ",ROUND('[3]Annex-10'!F54,2)&amp;"  "))</f>
        <v>#VALUE!</v>
      </c>
      <c r="G61" s="201" t="e">
        <f>IF(INT('[3]Annex-10'!G54)='[3]Annex-10'!G54,'[3]Annex-10'!G54&amp;".00  ",IF(INT('[3]Annex-10'!G54*10)='[3]Annex-10'!G54*10,'[3]Annex-10'!G54&amp;"0  ",ROUND('[3]Annex-10'!G54,2)&amp;"  "))</f>
        <v>#VALUE!</v>
      </c>
      <c r="H61" s="201" t="e">
        <f>ROUND('[3]Annex-10'!H54,2)&amp;"  "</f>
        <v>#VALUE!</v>
      </c>
      <c r="I61" s="201" t="e">
        <f>IF(INT('[3]Annex-10'!I54)='[3]Annex-10'!I54,'[3]Annex-10'!I54&amp;".00  ",IF(INT('[3]Annex-10'!I54*10)='[3]Annex-10'!I54*10,'[3]Annex-10'!I54&amp;"0  ",ROUND('[3]Annex-10'!I54,2)&amp;"  "))</f>
        <v>#VALUE!</v>
      </c>
      <c r="J61" s="201" t="e">
        <f>IF(INT('[3]Annex-10'!J54)='[3]Annex-10'!J54,'[3]Annex-10'!J54&amp;".00  ",IF(INT('[3]Annex-10'!J54*10)='[3]Annex-10'!J54*10,'[3]Annex-10'!J54&amp;"0  ",ROUND('[3]Annex-10'!J54,2)&amp;"  "))</f>
        <v>#VALUE!</v>
      </c>
      <c r="K61" s="201" t="e">
        <f>IF('[3]Annex-10'!K54&lt;0,"(-)"&amp;FIXED(ABS('[3]Annex-10'!K54),2)&amp;"    ",FIXED('[3]Annex-10'!K54,2)&amp;"    ")</f>
        <v>#VALUE!</v>
      </c>
    </row>
    <row r="62" spans="1:11" hidden="1" x14ac:dyDescent="0.3">
      <c r="A62" s="124" t="str">
        <f t="shared" si="0"/>
        <v/>
      </c>
      <c r="B62" s="201" t="e">
        <f>ROUND('[3]Annex-10'!B55,2)&amp;"  "</f>
        <v>#VALUE!</v>
      </c>
      <c r="C62" s="201" t="e">
        <f>IF(INT('[3]Annex-10'!C55)='[3]Annex-10'!C55,'[3]Annex-10'!C55&amp;".00  ",IF(INT('[3]Annex-10'!C55*10)='[3]Annex-10'!C55*10,'[3]Annex-10'!C55&amp;"0  ",ROUND('[3]Annex-10'!C55,2)&amp;"  "))</f>
        <v>#VALUE!</v>
      </c>
      <c r="D62" s="201" t="e">
        <f>IF(INT('[3]Annex-10'!D55)='[3]Annex-10'!D55,'[3]Annex-10'!D55&amp;".00  ",IF(INT('[3]Annex-10'!D55*10)='[3]Annex-10'!D55*10,'[3]Annex-10'!D55&amp;"0  ",ROUND('[3]Annex-10'!D55,2)&amp;"  "))</f>
        <v>#VALUE!</v>
      </c>
      <c r="E62" s="201" t="e">
        <f>ROUND('[3]Annex-10'!E55,2)&amp;"  "</f>
        <v>#VALUE!</v>
      </c>
      <c r="F62" s="201" t="e">
        <f>IF(INT('[3]Annex-10'!F55)='[3]Annex-10'!F55,'[3]Annex-10'!F55&amp;".00  ",IF(INT('[3]Annex-10'!F55*10)='[3]Annex-10'!F55*10,'[3]Annex-10'!F55&amp;"0  ",ROUND('[3]Annex-10'!F55,2)&amp;"  "))</f>
        <v>#VALUE!</v>
      </c>
      <c r="G62" s="201" t="e">
        <f>IF(INT('[3]Annex-10'!G55)='[3]Annex-10'!G55,'[3]Annex-10'!G55&amp;".00  ",IF(INT('[3]Annex-10'!G55*10)='[3]Annex-10'!G55*10,'[3]Annex-10'!G55&amp;"0  ",ROUND('[3]Annex-10'!G55,2)&amp;"  "))</f>
        <v>#VALUE!</v>
      </c>
      <c r="H62" s="201" t="e">
        <f>ROUND('[3]Annex-10'!H55,2)&amp;"  "</f>
        <v>#VALUE!</v>
      </c>
      <c r="I62" s="201" t="e">
        <f>IF(INT('[3]Annex-10'!I55)='[3]Annex-10'!I55,'[3]Annex-10'!I55&amp;".00  ",IF(INT('[3]Annex-10'!I55*10)='[3]Annex-10'!I55*10,'[3]Annex-10'!I55&amp;"0  ",ROUND('[3]Annex-10'!I55,2)&amp;"  "))</f>
        <v>#VALUE!</v>
      </c>
      <c r="J62" s="201" t="e">
        <f>IF(INT('[3]Annex-10'!J55)='[3]Annex-10'!J55,'[3]Annex-10'!J55&amp;".00  ",IF(INT('[3]Annex-10'!J55*10)='[3]Annex-10'!J55*10,'[3]Annex-10'!J55&amp;"0  ",ROUND('[3]Annex-10'!J55,2)&amp;"  "))</f>
        <v>#VALUE!</v>
      </c>
      <c r="K62" s="201" t="e">
        <f>IF('[3]Annex-10'!K55&lt;0,"(-)"&amp;FIXED(ABS('[3]Annex-10'!K55),2)&amp;"    ",FIXED('[3]Annex-10'!K55,2)&amp;"    ")</f>
        <v>#VALUE!</v>
      </c>
    </row>
    <row r="63" spans="1:11" hidden="1" x14ac:dyDescent="0.3">
      <c r="A63" s="124" t="str">
        <f t="shared" si="0"/>
        <v/>
      </c>
      <c r="B63" s="201" t="e">
        <f>ROUND('[3]Annex-10'!B56,2)&amp;"  "</f>
        <v>#VALUE!</v>
      </c>
      <c r="C63" s="201" t="e">
        <f>IF(INT('[3]Annex-10'!C56)='[3]Annex-10'!C56,'[3]Annex-10'!C56&amp;".00  ",IF(INT('[3]Annex-10'!C56*10)='[3]Annex-10'!C56*10,'[3]Annex-10'!C56&amp;"0  ",ROUND('[3]Annex-10'!C56,2)&amp;"  "))</f>
        <v>#VALUE!</v>
      </c>
      <c r="D63" s="201" t="e">
        <f>IF(INT('[3]Annex-10'!D56)='[3]Annex-10'!D56,'[3]Annex-10'!D56&amp;".00  ",IF(INT('[3]Annex-10'!D56*10)='[3]Annex-10'!D56*10,'[3]Annex-10'!D56&amp;"0  ",ROUND('[3]Annex-10'!D56,2)&amp;"  "))</f>
        <v>#VALUE!</v>
      </c>
      <c r="E63" s="201" t="e">
        <f>ROUND('[3]Annex-10'!E56,2)&amp;"  "</f>
        <v>#VALUE!</v>
      </c>
      <c r="F63" s="201" t="e">
        <f>IF(INT('[3]Annex-10'!F56)='[3]Annex-10'!F56,'[3]Annex-10'!F56&amp;".00  ",IF(INT('[3]Annex-10'!F56*10)='[3]Annex-10'!F56*10,'[3]Annex-10'!F56&amp;"0  ",ROUND('[3]Annex-10'!F56,2)&amp;"  "))</f>
        <v>#VALUE!</v>
      </c>
      <c r="G63" s="201" t="e">
        <f>IF(INT('[3]Annex-10'!G56)='[3]Annex-10'!G56,'[3]Annex-10'!G56&amp;".00  ",IF(INT('[3]Annex-10'!G56*10)='[3]Annex-10'!G56*10,'[3]Annex-10'!G56&amp;"0  ",ROUND('[3]Annex-10'!G56,2)&amp;"  "))</f>
        <v>#VALUE!</v>
      </c>
      <c r="H63" s="201" t="e">
        <f>ROUND('[3]Annex-10'!H56,2)&amp;"  "</f>
        <v>#VALUE!</v>
      </c>
      <c r="I63" s="201" t="e">
        <f>IF(INT('[3]Annex-10'!I56)='[3]Annex-10'!I56,'[3]Annex-10'!I56&amp;".00  ",IF(INT('[3]Annex-10'!I56*10)='[3]Annex-10'!I56*10,'[3]Annex-10'!I56&amp;"0  ",ROUND('[3]Annex-10'!I56,2)&amp;"  "))</f>
        <v>#VALUE!</v>
      </c>
      <c r="J63" s="201" t="e">
        <f>IF(INT('[3]Annex-10'!J56)='[3]Annex-10'!J56,'[3]Annex-10'!J56&amp;".00  ",IF(INT('[3]Annex-10'!J56*10)='[3]Annex-10'!J56*10,'[3]Annex-10'!J56&amp;"0  ",ROUND('[3]Annex-10'!J56,2)&amp;"  "))</f>
        <v>#VALUE!</v>
      </c>
      <c r="K63" s="201" t="e">
        <f>IF('[3]Annex-10'!K56&lt;0,"(-)"&amp;FIXED(ABS('[3]Annex-10'!K56),2)&amp;"    ",FIXED('[3]Annex-10'!K56,2)&amp;"    ")</f>
        <v>#VALUE!</v>
      </c>
    </row>
    <row r="64" spans="1:11" ht="28.8" customHeight="1" x14ac:dyDescent="0.3">
      <c r="A64" s="202" t="str">
        <f>common!$I$5</f>
        <v>RABI II 2023-24</v>
      </c>
      <c r="B64" s="204"/>
      <c r="C64" s="204"/>
      <c r="D64" s="204"/>
      <c r="E64" s="204"/>
      <c r="F64" s="204"/>
      <c r="G64" s="204"/>
      <c r="H64" s="204"/>
      <c r="I64" s="204"/>
      <c r="J64" s="204"/>
      <c r="K64" s="204"/>
    </row>
    <row r="65" spans="1:11" ht="28.8" customHeight="1" x14ac:dyDescent="0.3">
      <c r="A65" s="206" t="str">
        <f>A25</f>
        <v>PADDY</v>
      </c>
      <c r="B65" s="199" t="str">
        <f>ROUND('[3]Annex-10'!B58,2)&amp;"  "</f>
        <v xml:space="preserve">5  </v>
      </c>
      <c r="C65" s="199" t="str">
        <f>IF(INT('[3]Annex-10'!C58)='[3]Annex-10'!C58,'[3]Annex-10'!C58&amp;".00  ",IF(INT('[3]Annex-10'!C58*10)='[3]Annex-10'!C58*10,'[3]Annex-10'!C58&amp;"0  ",ROUND('[3]Annex-10'!C58,2)&amp;"  "))</f>
        <v xml:space="preserve">8.65  </v>
      </c>
      <c r="D65" s="199" t="str">
        <f>IF(INT('[3]Annex-10'!D58)='[3]Annex-10'!D58,'[3]Annex-10'!D58&amp;".00  ",IF(INT('[3]Annex-10'!D58*10)='[3]Annex-10'!D58*10,'[3]Annex-10'!D58&amp;"0  ",ROUND('[3]Annex-10'!D58,2)&amp;"  "))</f>
        <v xml:space="preserve">8.8  </v>
      </c>
      <c r="E65" s="199" t="str">
        <f>ROUND('[3]Annex-10'!E58,2)&amp;"  "</f>
        <v xml:space="preserve">2  </v>
      </c>
      <c r="F65" s="199" t="str">
        <f>IF(INT('[3]Annex-10'!F58)='[3]Annex-10'!F58,'[3]Annex-10'!F58&amp;".00  ",IF(INT('[3]Annex-10'!F58*10)='[3]Annex-10'!F58*10,'[3]Annex-10'!F58&amp;"0  ",ROUND('[3]Annex-10'!F58,2)&amp;"  "))</f>
        <v xml:space="preserve">2.46  </v>
      </c>
      <c r="G65" s="199" t="str">
        <f>IF(INT('[3]Annex-10'!G58)='[3]Annex-10'!G58,'[3]Annex-10'!G58&amp;".00  ",IF(INT('[3]Annex-10'!G58*10)='[3]Annex-10'!G58*10,'[3]Annex-10'!G58&amp;"0  ",ROUND('[3]Annex-10'!G58,2)&amp;"  "))</f>
        <v xml:space="preserve">2.46  </v>
      </c>
      <c r="H65" s="199" t="str">
        <f>ROUND('[3]Annex-10'!H58,2)&amp;"  "</f>
        <v xml:space="preserve">7  </v>
      </c>
      <c r="I65" s="199" t="str">
        <f>IF(INT('[3]Annex-10'!I58)='[3]Annex-10'!I58,'[3]Annex-10'!I58&amp;".00  ",IF(INT('[3]Annex-10'!I58*10)='[3]Annex-10'!I58*10,'[3]Annex-10'!I58&amp;"0  ",ROUND('[3]Annex-10'!I58,2)&amp;"  "))</f>
        <v xml:space="preserve">11.11  </v>
      </c>
      <c r="J65" s="199" t="str">
        <f>IF(INT('[3]Annex-10'!J58)='[3]Annex-10'!J58,'[3]Annex-10'!J58&amp;".00  ",IF(INT('[3]Annex-10'!J58*10)='[3]Annex-10'!J58*10,'[3]Annex-10'!J58&amp;"0  ",ROUND('[3]Annex-10'!J58,2)&amp;"  "))</f>
        <v xml:space="preserve">11.26  </v>
      </c>
      <c r="K65" s="199" t="str">
        <f>IF('[3]Annex-10'!K58&lt;0,"(-)"&amp;FIXED(ABS('[3]Annex-10'!K58),2)&amp;"    ",FIXED('[3]Annex-10'!K58,2)&amp;"    ")</f>
        <v xml:space="preserve">1.35    </v>
      </c>
    </row>
    <row r="66" spans="1:11" ht="28.8" customHeight="1" thickBot="1" x14ac:dyDescent="0.35">
      <c r="A66" s="208" t="str">
        <f t="shared" ref="A66:A79" si="1">A26</f>
        <v>OTHERS</v>
      </c>
      <c r="B66" s="205" t="str">
        <f>ROUND('[3]Annex-10'!B59,2)&amp;"  "</f>
        <v xml:space="preserve">4  </v>
      </c>
      <c r="C66" s="205" t="str">
        <f>IF(INT('[3]Annex-10'!C59)='[3]Annex-10'!C59,'[3]Annex-10'!C59&amp;".00  ",IF(INT('[3]Annex-10'!C59*10)='[3]Annex-10'!C59*10,'[3]Annex-10'!C59&amp;"0  ",ROUND('[3]Annex-10'!C59,2)&amp;"  "))</f>
        <v xml:space="preserve">2.53  </v>
      </c>
      <c r="D66" s="205" t="str">
        <f>IF(INT('[3]Annex-10'!D59)='[3]Annex-10'!D59,'[3]Annex-10'!D59&amp;".00  ",IF(INT('[3]Annex-10'!D59*10)='[3]Annex-10'!D59*10,'[3]Annex-10'!D59&amp;"0  ",ROUND('[3]Annex-10'!D59,2)&amp;"  "))</f>
        <v xml:space="preserve">2.53  </v>
      </c>
      <c r="E66" s="205" t="str">
        <f>ROUND('[3]Annex-10'!E59,2)&amp;"  "</f>
        <v xml:space="preserve">3  </v>
      </c>
      <c r="F66" s="205" t="str">
        <f>IF(INT('[3]Annex-10'!F59)='[3]Annex-10'!F59,'[3]Annex-10'!F59&amp;".00  ",IF(INT('[3]Annex-10'!F59*10)='[3]Annex-10'!F59*10,'[3]Annex-10'!F59&amp;"0  ",ROUND('[3]Annex-10'!F59,2)&amp;"  "))</f>
        <v xml:space="preserve">1.74  </v>
      </c>
      <c r="G66" s="205" t="str">
        <f>IF(INT('[3]Annex-10'!G59)='[3]Annex-10'!G59,'[3]Annex-10'!G59&amp;".00  ",IF(INT('[3]Annex-10'!G59*10)='[3]Annex-10'!G59*10,'[3]Annex-10'!G59&amp;"0  ",ROUND('[3]Annex-10'!G59,2)&amp;"  "))</f>
        <v xml:space="preserve">1.74  </v>
      </c>
      <c r="H66" s="205" t="str">
        <f>ROUND('[3]Annex-10'!H59,2)&amp;"  "</f>
        <v xml:space="preserve">7  </v>
      </c>
      <c r="I66" s="205" t="str">
        <f>IF(INT('[3]Annex-10'!I59)='[3]Annex-10'!I59,'[3]Annex-10'!I59&amp;".00  ",IF(INT('[3]Annex-10'!I59*10)='[3]Annex-10'!I59*10,'[3]Annex-10'!I59&amp;"0  ",ROUND('[3]Annex-10'!I59,2)&amp;"  "))</f>
        <v xml:space="preserve">4.27  </v>
      </c>
      <c r="J66" s="205" t="str">
        <f>IF(INT('[3]Annex-10'!J59)='[3]Annex-10'!J59,'[3]Annex-10'!J59&amp;".00  ",IF(INT('[3]Annex-10'!J59*10)='[3]Annex-10'!J59*10,'[3]Annex-10'!J59&amp;"0  ",ROUND('[3]Annex-10'!J59,2)&amp;"  "))</f>
        <v xml:space="preserve">4.27  </v>
      </c>
      <c r="K66" s="205" t="str">
        <f>IF('[3]Annex-10'!K59&lt;0,"(-)"&amp;FIXED(ABS('[3]Annex-10'!K59),2)&amp;"    ",FIXED('[3]Annex-10'!K59,2)&amp;"    ")</f>
        <v xml:space="preserve">0.00    </v>
      </c>
    </row>
    <row r="67" spans="1:11" ht="14.4" hidden="1" thickTop="1" x14ac:dyDescent="0.3">
      <c r="A67" s="206" t="str">
        <f t="shared" si="1"/>
        <v/>
      </c>
      <c r="B67" s="199" t="e">
        <f>ROUND('[3]Annex-10'!B60,2)&amp;"  "</f>
        <v>#VALUE!</v>
      </c>
      <c r="C67" s="199" t="e">
        <f>IF(INT('[3]Annex-10'!C60)='[3]Annex-10'!C60,'[3]Annex-10'!C60&amp;".00  ",IF(INT('[3]Annex-10'!C60*10)='[3]Annex-10'!C60*10,'[3]Annex-10'!C60&amp;"0  ",ROUND('[3]Annex-10'!C60,2)&amp;"  "))</f>
        <v>#VALUE!</v>
      </c>
      <c r="D67" s="199" t="e">
        <f>IF(INT('[3]Annex-10'!D60)='[3]Annex-10'!D60,'[3]Annex-10'!D60&amp;".00  ",IF(INT('[3]Annex-10'!D60*10)='[3]Annex-10'!D60*10,'[3]Annex-10'!D60&amp;"0  ",ROUND('[3]Annex-10'!D60,2)&amp;"  "))</f>
        <v>#VALUE!</v>
      </c>
      <c r="E67" s="199" t="e">
        <f>ROUND('[3]Annex-10'!E60,2)&amp;"  "</f>
        <v>#VALUE!</v>
      </c>
      <c r="F67" s="199" t="e">
        <f>IF(INT('[3]Annex-10'!F60)='[3]Annex-10'!F60,'[3]Annex-10'!F60&amp;".00  ",IF(INT('[3]Annex-10'!F60*10)='[3]Annex-10'!F60*10,'[3]Annex-10'!F60&amp;"0  ",ROUND('[3]Annex-10'!F60,2)&amp;"  "))</f>
        <v>#VALUE!</v>
      </c>
      <c r="G67" s="199" t="e">
        <f>IF(INT('[3]Annex-10'!G60)='[3]Annex-10'!G60,'[3]Annex-10'!G60&amp;".00  ",IF(INT('[3]Annex-10'!G60*10)='[3]Annex-10'!G60*10,'[3]Annex-10'!G60&amp;"0  ",ROUND('[3]Annex-10'!G60,2)&amp;"  "))</f>
        <v>#VALUE!</v>
      </c>
      <c r="H67" s="199" t="e">
        <f>ROUND('[3]Annex-10'!H60,2)&amp;"  "</f>
        <v>#VALUE!</v>
      </c>
      <c r="I67" s="199" t="e">
        <f>IF(INT('[3]Annex-10'!I60)='[3]Annex-10'!I60,'[3]Annex-10'!I60&amp;".00  ",IF(INT('[3]Annex-10'!I60*10)='[3]Annex-10'!I60*10,'[3]Annex-10'!I60&amp;"0  ",ROUND('[3]Annex-10'!I60,2)&amp;"  "))</f>
        <v>#VALUE!</v>
      </c>
      <c r="J67" s="199" t="e">
        <f>IF(INT('[3]Annex-10'!J60)='[3]Annex-10'!J60,'[3]Annex-10'!J60&amp;".00  ",IF(INT('[3]Annex-10'!J60*10)='[3]Annex-10'!J60*10,'[3]Annex-10'!J60&amp;"0  ",ROUND('[3]Annex-10'!J60,2)&amp;"  "))</f>
        <v>#VALUE!</v>
      </c>
      <c r="K67" s="199" t="e">
        <f>IF('[3]Annex-10'!K60&lt;0,"(-)"&amp;FIXED(ABS('[3]Annex-10'!K60),2)&amp;"    ",FIXED('[3]Annex-10'!K60,2)&amp;"    ")</f>
        <v>#VALUE!</v>
      </c>
    </row>
    <row r="68" spans="1:11" hidden="1" x14ac:dyDescent="0.3">
      <c r="A68" s="206" t="str">
        <f t="shared" si="1"/>
        <v/>
      </c>
      <c r="B68" s="199" t="e">
        <f>ROUND('[3]Annex-10'!B61,2)&amp;"  "</f>
        <v>#VALUE!</v>
      </c>
      <c r="C68" s="199" t="e">
        <f>IF(INT('[3]Annex-10'!C61)='[3]Annex-10'!C61,'[3]Annex-10'!C61&amp;".00  ",IF(INT('[3]Annex-10'!C61*10)='[3]Annex-10'!C61*10,'[3]Annex-10'!C61&amp;"0  ",ROUND('[3]Annex-10'!C61,2)&amp;"  "))</f>
        <v>#VALUE!</v>
      </c>
      <c r="D68" s="199" t="e">
        <f>IF(INT('[3]Annex-10'!D61)='[3]Annex-10'!D61,'[3]Annex-10'!D61&amp;".00  ",IF(INT('[3]Annex-10'!D61*10)='[3]Annex-10'!D61*10,'[3]Annex-10'!D61&amp;"0  ",ROUND('[3]Annex-10'!D61,2)&amp;"  "))</f>
        <v>#VALUE!</v>
      </c>
      <c r="E68" s="199" t="e">
        <f>ROUND('[3]Annex-10'!E61,2)&amp;"  "</f>
        <v>#VALUE!</v>
      </c>
      <c r="F68" s="199" t="e">
        <f>IF(INT('[3]Annex-10'!F61)='[3]Annex-10'!F61,'[3]Annex-10'!F61&amp;".00  ",IF(INT('[3]Annex-10'!F61*10)='[3]Annex-10'!F61*10,'[3]Annex-10'!F61&amp;"0  ",ROUND('[3]Annex-10'!F61,2)&amp;"  "))</f>
        <v>#VALUE!</v>
      </c>
      <c r="G68" s="199" t="e">
        <f>IF(INT('[3]Annex-10'!G61)='[3]Annex-10'!G61,'[3]Annex-10'!G61&amp;".00  ",IF(INT('[3]Annex-10'!G61*10)='[3]Annex-10'!G61*10,'[3]Annex-10'!G61&amp;"0  ",ROUND('[3]Annex-10'!G61,2)&amp;"  "))</f>
        <v>#VALUE!</v>
      </c>
      <c r="H68" s="199" t="e">
        <f>ROUND('[3]Annex-10'!H61,2)&amp;"  "</f>
        <v>#VALUE!</v>
      </c>
      <c r="I68" s="199" t="e">
        <f>IF(INT('[3]Annex-10'!I61)='[3]Annex-10'!I61,'[3]Annex-10'!I61&amp;".00  ",IF(INT('[3]Annex-10'!I61*10)='[3]Annex-10'!I61*10,'[3]Annex-10'!I61&amp;"0  ",ROUND('[3]Annex-10'!I61,2)&amp;"  "))</f>
        <v>#VALUE!</v>
      </c>
      <c r="J68" s="199" t="e">
        <f>IF(INT('[3]Annex-10'!J61)='[3]Annex-10'!J61,'[3]Annex-10'!J61&amp;".00  ",IF(INT('[3]Annex-10'!J61*10)='[3]Annex-10'!J61*10,'[3]Annex-10'!J61&amp;"0  ",ROUND('[3]Annex-10'!J61,2)&amp;"  "))</f>
        <v>#VALUE!</v>
      </c>
      <c r="K68" s="199" t="e">
        <f>IF('[3]Annex-10'!K61&lt;0,"(-)"&amp;FIXED(ABS('[3]Annex-10'!K61),2)&amp;"    ",FIXED('[3]Annex-10'!K61,2)&amp;"    ")</f>
        <v>#VALUE!</v>
      </c>
    </row>
    <row r="69" spans="1:11" hidden="1" x14ac:dyDescent="0.3">
      <c r="A69" s="206" t="str">
        <f t="shared" si="1"/>
        <v/>
      </c>
      <c r="B69" s="199" t="e">
        <f>ROUND('[3]Annex-10'!B62,2)&amp;"  "</f>
        <v>#VALUE!</v>
      </c>
      <c r="C69" s="199" t="e">
        <f>IF(INT('[3]Annex-10'!C62)='[3]Annex-10'!C62,'[3]Annex-10'!C62&amp;".00  ",IF(INT('[3]Annex-10'!C62*10)='[3]Annex-10'!C62*10,'[3]Annex-10'!C62&amp;"0  ",ROUND('[3]Annex-10'!C62,2)&amp;"  "))</f>
        <v>#VALUE!</v>
      </c>
      <c r="D69" s="199" t="e">
        <f>IF(INT('[3]Annex-10'!D62)='[3]Annex-10'!D62,'[3]Annex-10'!D62&amp;".00  ",IF(INT('[3]Annex-10'!D62*10)='[3]Annex-10'!D62*10,'[3]Annex-10'!D62&amp;"0  ",ROUND('[3]Annex-10'!D62,2)&amp;"  "))</f>
        <v>#VALUE!</v>
      </c>
      <c r="E69" s="199" t="e">
        <f>ROUND('[3]Annex-10'!E62,2)&amp;"  "</f>
        <v>#VALUE!</v>
      </c>
      <c r="F69" s="199" t="e">
        <f>IF(INT('[3]Annex-10'!F62)='[3]Annex-10'!F62,'[3]Annex-10'!F62&amp;".00  ",IF(INT('[3]Annex-10'!F62*10)='[3]Annex-10'!F62*10,'[3]Annex-10'!F62&amp;"0  ",ROUND('[3]Annex-10'!F62,2)&amp;"  "))</f>
        <v>#VALUE!</v>
      </c>
      <c r="G69" s="199" t="e">
        <f>IF(INT('[3]Annex-10'!G62)='[3]Annex-10'!G62,'[3]Annex-10'!G62&amp;".00  ",IF(INT('[3]Annex-10'!G62*10)='[3]Annex-10'!G62*10,'[3]Annex-10'!G62&amp;"0  ",ROUND('[3]Annex-10'!G62,2)&amp;"  "))</f>
        <v>#VALUE!</v>
      </c>
      <c r="H69" s="199" t="e">
        <f>ROUND('[3]Annex-10'!H62,2)&amp;"  "</f>
        <v>#VALUE!</v>
      </c>
      <c r="I69" s="199" t="e">
        <f>IF(INT('[3]Annex-10'!I62)='[3]Annex-10'!I62,'[3]Annex-10'!I62&amp;".00  ",IF(INT('[3]Annex-10'!I62*10)='[3]Annex-10'!I62*10,'[3]Annex-10'!I62&amp;"0  ",ROUND('[3]Annex-10'!I62,2)&amp;"  "))</f>
        <v>#VALUE!</v>
      </c>
      <c r="J69" s="199" t="e">
        <f>IF(INT('[3]Annex-10'!J62)='[3]Annex-10'!J62,'[3]Annex-10'!J62&amp;".00  ",IF(INT('[3]Annex-10'!J62*10)='[3]Annex-10'!J62*10,'[3]Annex-10'!J62&amp;"0  ",ROUND('[3]Annex-10'!J62,2)&amp;"  "))</f>
        <v>#VALUE!</v>
      </c>
      <c r="K69" s="199" t="e">
        <f>IF('[3]Annex-10'!K62&lt;0,"(-)"&amp;FIXED(ABS('[3]Annex-10'!K62),2)&amp;"    ",FIXED('[3]Annex-10'!K62,2)&amp;"    ")</f>
        <v>#VALUE!</v>
      </c>
    </row>
    <row r="70" spans="1:11" hidden="1" x14ac:dyDescent="0.3">
      <c r="A70" s="206" t="str">
        <f t="shared" si="1"/>
        <v/>
      </c>
      <c r="B70" s="199" t="e">
        <f>ROUND('[3]Annex-10'!B63,2)&amp;"  "</f>
        <v>#VALUE!</v>
      </c>
      <c r="C70" s="199" t="e">
        <f>IF(INT('[3]Annex-10'!C63)='[3]Annex-10'!C63,'[3]Annex-10'!C63&amp;".00  ",IF(INT('[3]Annex-10'!C63*10)='[3]Annex-10'!C63*10,'[3]Annex-10'!C63&amp;"0  ",ROUND('[3]Annex-10'!C63,2)&amp;"  "))</f>
        <v>#VALUE!</v>
      </c>
      <c r="D70" s="199" t="e">
        <f>IF(INT('[3]Annex-10'!D63)='[3]Annex-10'!D63,'[3]Annex-10'!D63&amp;".00  ",IF(INT('[3]Annex-10'!D63*10)='[3]Annex-10'!D63*10,'[3]Annex-10'!D63&amp;"0  ",ROUND('[3]Annex-10'!D63,2)&amp;"  "))</f>
        <v>#VALUE!</v>
      </c>
      <c r="E70" s="199" t="e">
        <f>ROUND('[3]Annex-10'!E63,2)&amp;"  "</f>
        <v>#VALUE!</v>
      </c>
      <c r="F70" s="199" t="e">
        <f>IF(INT('[3]Annex-10'!F63)='[3]Annex-10'!F63,'[3]Annex-10'!F63&amp;".00  ",IF(INT('[3]Annex-10'!F63*10)='[3]Annex-10'!F63*10,'[3]Annex-10'!F63&amp;"0  ",ROUND('[3]Annex-10'!F63,2)&amp;"  "))</f>
        <v>#VALUE!</v>
      </c>
      <c r="G70" s="199" t="e">
        <f>IF(INT('[3]Annex-10'!G63)='[3]Annex-10'!G63,'[3]Annex-10'!G63&amp;".00  ",IF(INT('[3]Annex-10'!G63*10)='[3]Annex-10'!G63*10,'[3]Annex-10'!G63&amp;"0  ",ROUND('[3]Annex-10'!G63,2)&amp;"  "))</f>
        <v>#VALUE!</v>
      </c>
      <c r="H70" s="199" t="e">
        <f>ROUND('[3]Annex-10'!H63,2)&amp;"  "</f>
        <v>#VALUE!</v>
      </c>
      <c r="I70" s="199" t="e">
        <f>IF(INT('[3]Annex-10'!I63)='[3]Annex-10'!I63,'[3]Annex-10'!I63&amp;".00  ",IF(INT('[3]Annex-10'!I63*10)='[3]Annex-10'!I63*10,'[3]Annex-10'!I63&amp;"0  ",ROUND('[3]Annex-10'!I63,2)&amp;"  "))</f>
        <v>#VALUE!</v>
      </c>
      <c r="J70" s="199" t="e">
        <f>IF(INT('[3]Annex-10'!J63)='[3]Annex-10'!J63,'[3]Annex-10'!J63&amp;".00  ",IF(INT('[3]Annex-10'!J63*10)='[3]Annex-10'!J63*10,'[3]Annex-10'!J63&amp;"0  ",ROUND('[3]Annex-10'!J63,2)&amp;"  "))</f>
        <v>#VALUE!</v>
      </c>
      <c r="K70" s="199" t="e">
        <f>IF('[3]Annex-10'!K63&lt;0,"(-)"&amp;FIXED(ABS('[3]Annex-10'!K63),2)&amp;"    ",FIXED('[3]Annex-10'!K63,2)&amp;"    ")</f>
        <v>#VALUE!</v>
      </c>
    </row>
    <row r="71" spans="1:11" hidden="1" x14ac:dyDescent="0.3">
      <c r="A71" s="206" t="str">
        <f t="shared" si="1"/>
        <v/>
      </c>
      <c r="B71" s="199" t="e">
        <f>ROUND('[3]Annex-10'!B64,2)&amp;"  "</f>
        <v>#VALUE!</v>
      </c>
      <c r="C71" s="199" t="e">
        <f>IF(INT('[3]Annex-10'!C64)='[3]Annex-10'!C64,'[3]Annex-10'!C64&amp;".00  ",IF(INT('[3]Annex-10'!C64*10)='[3]Annex-10'!C64*10,'[3]Annex-10'!C64&amp;"0  ",ROUND('[3]Annex-10'!C64,2)&amp;"  "))</f>
        <v>#VALUE!</v>
      </c>
      <c r="D71" s="199" t="e">
        <f>IF(INT('[3]Annex-10'!D64)='[3]Annex-10'!D64,'[3]Annex-10'!D64&amp;".00  ",IF(INT('[3]Annex-10'!D64*10)='[3]Annex-10'!D64*10,'[3]Annex-10'!D64&amp;"0  ",ROUND('[3]Annex-10'!D64,2)&amp;"  "))</f>
        <v>#VALUE!</v>
      </c>
      <c r="E71" s="199" t="e">
        <f>ROUND('[3]Annex-10'!E64,2)&amp;"  "</f>
        <v>#VALUE!</v>
      </c>
      <c r="F71" s="199" t="e">
        <f>IF(INT('[3]Annex-10'!F64)='[3]Annex-10'!F64,'[3]Annex-10'!F64&amp;".00  ",IF(INT('[3]Annex-10'!F64*10)='[3]Annex-10'!F64*10,'[3]Annex-10'!F64&amp;"0  ",ROUND('[3]Annex-10'!F64,2)&amp;"  "))</f>
        <v>#VALUE!</v>
      </c>
      <c r="G71" s="199" t="e">
        <f>IF(INT('[3]Annex-10'!G64)='[3]Annex-10'!G64,'[3]Annex-10'!G64&amp;".00  ",IF(INT('[3]Annex-10'!G64*10)='[3]Annex-10'!G64*10,'[3]Annex-10'!G64&amp;"0  ",ROUND('[3]Annex-10'!G64,2)&amp;"  "))</f>
        <v>#VALUE!</v>
      </c>
      <c r="H71" s="199" t="e">
        <f>ROUND('[3]Annex-10'!H64,2)&amp;"  "</f>
        <v>#VALUE!</v>
      </c>
      <c r="I71" s="199" t="e">
        <f>IF(INT('[3]Annex-10'!I64)='[3]Annex-10'!I64,'[3]Annex-10'!I64&amp;".00  ",IF(INT('[3]Annex-10'!I64*10)='[3]Annex-10'!I64*10,'[3]Annex-10'!I64&amp;"0  ",ROUND('[3]Annex-10'!I64,2)&amp;"  "))</f>
        <v>#VALUE!</v>
      </c>
      <c r="J71" s="199" t="e">
        <f>IF(INT('[3]Annex-10'!J64)='[3]Annex-10'!J64,'[3]Annex-10'!J64&amp;".00  ",IF(INT('[3]Annex-10'!J64*10)='[3]Annex-10'!J64*10,'[3]Annex-10'!J64&amp;"0  ",ROUND('[3]Annex-10'!J64,2)&amp;"  "))</f>
        <v>#VALUE!</v>
      </c>
      <c r="K71" s="199" t="e">
        <f>IF('[3]Annex-10'!K64&lt;0,"(-)"&amp;FIXED(ABS('[3]Annex-10'!K64),2)&amp;"    ",FIXED('[3]Annex-10'!K64,2)&amp;"    ")</f>
        <v>#VALUE!</v>
      </c>
    </row>
    <row r="72" spans="1:11" hidden="1" x14ac:dyDescent="0.3">
      <c r="A72" s="206" t="str">
        <f t="shared" si="1"/>
        <v/>
      </c>
      <c r="B72" s="199" t="e">
        <f>ROUND('[3]Annex-10'!B65,2)&amp;"  "</f>
        <v>#VALUE!</v>
      </c>
      <c r="C72" s="199" t="e">
        <f>IF(INT('[3]Annex-10'!C65)='[3]Annex-10'!C65,'[3]Annex-10'!C65&amp;".00  ",IF(INT('[3]Annex-10'!C65*10)='[3]Annex-10'!C65*10,'[3]Annex-10'!C65&amp;"0  ",ROUND('[3]Annex-10'!C65,2)&amp;"  "))</f>
        <v>#VALUE!</v>
      </c>
      <c r="D72" s="199" t="e">
        <f>IF(INT('[3]Annex-10'!D65)='[3]Annex-10'!D65,'[3]Annex-10'!D65&amp;".00  ",IF(INT('[3]Annex-10'!D65*10)='[3]Annex-10'!D65*10,'[3]Annex-10'!D65&amp;"0  ",ROUND('[3]Annex-10'!D65,2)&amp;"  "))</f>
        <v>#VALUE!</v>
      </c>
      <c r="E72" s="199" t="e">
        <f>ROUND('[3]Annex-10'!E65,2)&amp;"  "</f>
        <v>#VALUE!</v>
      </c>
      <c r="F72" s="199" t="e">
        <f>IF(INT('[3]Annex-10'!F65)='[3]Annex-10'!F65,'[3]Annex-10'!F65&amp;".00  ",IF(INT('[3]Annex-10'!F65*10)='[3]Annex-10'!F65*10,'[3]Annex-10'!F65&amp;"0  ",ROUND('[3]Annex-10'!F65,2)&amp;"  "))</f>
        <v>#VALUE!</v>
      </c>
      <c r="G72" s="199" t="e">
        <f>IF(INT('[3]Annex-10'!G65)='[3]Annex-10'!G65,'[3]Annex-10'!G65&amp;".00  ",IF(INT('[3]Annex-10'!G65*10)='[3]Annex-10'!G65*10,'[3]Annex-10'!G65&amp;"0  ",ROUND('[3]Annex-10'!G65,2)&amp;"  "))</f>
        <v>#VALUE!</v>
      </c>
      <c r="H72" s="199" t="e">
        <f>ROUND('[3]Annex-10'!H65,2)&amp;"  "</f>
        <v>#VALUE!</v>
      </c>
      <c r="I72" s="199" t="e">
        <f>IF(INT('[3]Annex-10'!I65)='[3]Annex-10'!I65,'[3]Annex-10'!I65&amp;".00  ",IF(INT('[3]Annex-10'!I65*10)='[3]Annex-10'!I65*10,'[3]Annex-10'!I65&amp;"0  ",ROUND('[3]Annex-10'!I65,2)&amp;"  "))</f>
        <v>#VALUE!</v>
      </c>
      <c r="J72" s="199" t="e">
        <f>IF(INT('[3]Annex-10'!J65)='[3]Annex-10'!J65,'[3]Annex-10'!J65&amp;".00  ",IF(INT('[3]Annex-10'!J65*10)='[3]Annex-10'!J65*10,'[3]Annex-10'!J65&amp;"0  ",ROUND('[3]Annex-10'!J65,2)&amp;"  "))</f>
        <v>#VALUE!</v>
      </c>
      <c r="K72" s="199" t="e">
        <f>IF('[3]Annex-10'!K65&lt;0,"(-)"&amp;FIXED(ABS('[3]Annex-10'!K65),2)&amp;"    ",FIXED('[3]Annex-10'!K65,2)&amp;"    ")</f>
        <v>#VALUE!</v>
      </c>
    </row>
    <row r="73" spans="1:11" hidden="1" x14ac:dyDescent="0.3">
      <c r="A73" s="206" t="str">
        <f t="shared" si="1"/>
        <v/>
      </c>
      <c r="B73" s="199" t="e">
        <f>ROUND('[3]Annex-10'!B66,2)&amp;"  "</f>
        <v>#VALUE!</v>
      </c>
      <c r="C73" s="199" t="e">
        <f>IF(INT('[3]Annex-10'!C66)='[3]Annex-10'!C66,'[3]Annex-10'!C66&amp;".00  ",IF(INT('[3]Annex-10'!C66*10)='[3]Annex-10'!C66*10,'[3]Annex-10'!C66&amp;"0  ",ROUND('[3]Annex-10'!C66,2)&amp;"  "))</f>
        <v>#VALUE!</v>
      </c>
      <c r="D73" s="199" t="e">
        <f>IF(INT('[3]Annex-10'!D66)='[3]Annex-10'!D66,'[3]Annex-10'!D66&amp;".00  ",IF(INT('[3]Annex-10'!D66*10)='[3]Annex-10'!D66*10,'[3]Annex-10'!D66&amp;"0  ",ROUND('[3]Annex-10'!D66,2)&amp;"  "))</f>
        <v>#VALUE!</v>
      </c>
      <c r="E73" s="199" t="e">
        <f>ROUND('[3]Annex-10'!E66,2)&amp;"  "</f>
        <v>#VALUE!</v>
      </c>
      <c r="F73" s="199" t="e">
        <f>IF(INT('[3]Annex-10'!F66)='[3]Annex-10'!F66,'[3]Annex-10'!F66&amp;".00  ",IF(INT('[3]Annex-10'!F66*10)='[3]Annex-10'!F66*10,'[3]Annex-10'!F66&amp;"0  ",ROUND('[3]Annex-10'!F66,2)&amp;"  "))</f>
        <v>#VALUE!</v>
      </c>
      <c r="G73" s="199" t="e">
        <f>IF(INT('[3]Annex-10'!G66)='[3]Annex-10'!G66,'[3]Annex-10'!G66&amp;".00  ",IF(INT('[3]Annex-10'!G66*10)='[3]Annex-10'!G66*10,'[3]Annex-10'!G66&amp;"0  ",ROUND('[3]Annex-10'!G66,2)&amp;"  "))</f>
        <v>#VALUE!</v>
      </c>
      <c r="H73" s="199" t="e">
        <f>ROUND('[3]Annex-10'!H66,2)&amp;"  "</f>
        <v>#VALUE!</v>
      </c>
      <c r="I73" s="199" t="e">
        <f>IF(INT('[3]Annex-10'!I66)='[3]Annex-10'!I66,'[3]Annex-10'!I66&amp;".00  ",IF(INT('[3]Annex-10'!I66*10)='[3]Annex-10'!I66*10,'[3]Annex-10'!I66&amp;"0  ",ROUND('[3]Annex-10'!I66,2)&amp;"  "))</f>
        <v>#VALUE!</v>
      </c>
      <c r="J73" s="199" t="e">
        <f>IF(INT('[3]Annex-10'!J66)='[3]Annex-10'!J66,'[3]Annex-10'!J66&amp;".00  ",IF(INT('[3]Annex-10'!J66*10)='[3]Annex-10'!J66*10,'[3]Annex-10'!J66&amp;"0  ",ROUND('[3]Annex-10'!J66,2)&amp;"  "))</f>
        <v>#VALUE!</v>
      </c>
      <c r="K73" s="199" t="e">
        <f>IF('[3]Annex-10'!K66&lt;0,"(-)"&amp;FIXED(ABS('[3]Annex-10'!K66),2)&amp;"    ",FIXED('[3]Annex-10'!K66,2)&amp;"    ")</f>
        <v>#VALUE!</v>
      </c>
    </row>
    <row r="74" spans="1:11" ht="14.4" hidden="1" thickBot="1" x14ac:dyDescent="0.35">
      <c r="A74" s="208" t="str">
        <f t="shared" si="1"/>
        <v/>
      </c>
      <c r="B74" s="205" t="e">
        <f>ROUND('[3]Annex-10'!B67,2)&amp;"  "</f>
        <v>#VALUE!</v>
      </c>
      <c r="C74" s="205" t="e">
        <f>IF(INT('[3]Annex-10'!C67)='[3]Annex-10'!C67,'[3]Annex-10'!C67&amp;".00  ",IF(INT('[3]Annex-10'!C67*10)='[3]Annex-10'!C67*10,'[3]Annex-10'!C67&amp;"0  ",ROUND('[3]Annex-10'!C67,2)&amp;"  "))</f>
        <v>#VALUE!</v>
      </c>
      <c r="D74" s="205" t="e">
        <f>IF(INT('[3]Annex-10'!D67)='[3]Annex-10'!D67,'[3]Annex-10'!D67&amp;".00  ",IF(INT('[3]Annex-10'!D67*10)='[3]Annex-10'!D67*10,'[3]Annex-10'!D67&amp;"0  ",ROUND('[3]Annex-10'!D67,2)&amp;"  "))</f>
        <v>#VALUE!</v>
      </c>
      <c r="E74" s="205" t="e">
        <f>ROUND('[3]Annex-10'!E67,2)&amp;"  "</f>
        <v>#VALUE!</v>
      </c>
      <c r="F74" s="205" t="e">
        <f>IF(INT('[3]Annex-10'!F67)='[3]Annex-10'!F67,'[3]Annex-10'!F67&amp;".00  ",IF(INT('[3]Annex-10'!F67*10)='[3]Annex-10'!F67*10,'[3]Annex-10'!F67&amp;"0  ",ROUND('[3]Annex-10'!F67,2)&amp;"  "))</f>
        <v>#VALUE!</v>
      </c>
      <c r="G74" s="205" t="e">
        <f>IF(INT('[3]Annex-10'!G67)='[3]Annex-10'!G67,'[3]Annex-10'!G67&amp;".00  ",IF(INT('[3]Annex-10'!G67*10)='[3]Annex-10'!G67*10,'[3]Annex-10'!G67&amp;"0  ",ROUND('[3]Annex-10'!G67,2)&amp;"  "))</f>
        <v>#VALUE!</v>
      </c>
      <c r="H74" s="205" t="e">
        <f>ROUND('[3]Annex-10'!H67,2)&amp;"  "</f>
        <v>#VALUE!</v>
      </c>
      <c r="I74" s="205" t="e">
        <f>IF(INT('[3]Annex-10'!I67)='[3]Annex-10'!I67,'[3]Annex-10'!I67&amp;".00  ",IF(INT('[3]Annex-10'!I67*10)='[3]Annex-10'!I67*10,'[3]Annex-10'!I67&amp;"0  ",ROUND('[3]Annex-10'!I67,2)&amp;"  "))</f>
        <v>#VALUE!</v>
      </c>
      <c r="J74" s="205" t="e">
        <f>IF(INT('[3]Annex-10'!J67)='[3]Annex-10'!J67,'[3]Annex-10'!J67&amp;".00  ",IF(INT('[3]Annex-10'!J67*10)='[3]Annex-10'!J67*10,'[3]Annex-10'!J67&amp;"0  ",ROUND('[3]Annex-10'!J67,2)&amp;"  "))</f>
        <v>#VALUE!</v>
      </c>
      <c r="K74" s="205" t="e">
        <f>IF('[3]Annex-10'!K67&lt;0,"(-)"&amp;FIXED(ABS('[3]Annex-10'!K67),2)&amp;"    ",FIXED('[3]Annex-10'!K67,2)&amp;"    ")</f>
        <v>#VALUE!</v>
      </c>
    </row>
    <row r="75" spans="1:11" ht="14.4" hidden="1" thickTop="1" x14ac:dyDescent="0.3">
      <c r="A75" s="206" t="str">
        <f t="shared" si="1"/>
        <v/>
      </c>
      <c r="B75" s="201" t="e">
        <f>ROUND('[3]Annex-10'!B68,2)&amp;"  "</f>
        <v>#VALUE!</v>
      </c>
      <c r="C75" s="201" t="e">
        <f>IF(INT('[3]Annex-10'!C68)='[3]Annex-10'!C68,'[3]Annex-10'!C68&amp;".00  ",IF(INT('[3]Annex-10'!C68*10)='[3]Annex-10'!C68*10,'[3]Annex-10'!C68&amp;"0  ",ROUND('[3]Annex-10'!C68,2)&amp;"  "))</f>
        <v>#VALUE!</v>
      </c>
      <c r="D75" s="201" t="e">
        <f>IF(INT('[3]Annex-10'!D68)='[3]Annex-10'!D68,'[3]Annex-10'!D68&amp;".00  ",IF(INT('[3]Annex-10'!D68*10)='[3]Annex-10'!D68*10,'[3]Annex-10'!D68&amp;"0  ",ROUND('[3]Annex-10'!D68,2)&amp;"  "))</f>
        <v>#VALUE!</v>
      </c>
      <c r="E75" s="201" t="e">
        <f>ROUND('[3]Annex-10'!E68,2)&amp;"  "</f>
        <v>#VALUE!</v>
      </c>
      <c r="F75" s="201" t="e">
        <f>IF(INT('[3]Annex-10'!F68)='[3]Annex-10'!F68,'[3]Annex-10'!F68&amp;".00  ",IF(INT('[3]Annex-10'!F68*10)='[3]Annex-10'!F68*10,'[3]Annex-10'!F68&amp;"0  ",ROUND('[3]Annex-10'!F68,2)&amp;"  "))</f>
        <v>#VALUE!</v>
      </c>
      <c r="G75" s="201" t="e">
        <f>IF(INT('[3]Annex-10'!G68)='[3]Annex-10'!G68,'[3]Annex-10'!G68&amp;".00  ",IF(INT('[3]Annex-10'!G68*10)='[3]Annex-10'!G68*10,'[3]Annex-10'!G68&amp;"0  ",ROUND('[3]Annex-10'!G68,2)&amp;"  "))</f>
        <v>#VALUE!</v>
      </c>
      <c r="H75" s="201" t="e">
        <f>ROUND('[3]Annex-10'!H68,2)&amp;"  "</f>
        <v>#VALUE!</v>
      </c>
      <c r="I75" s="201" t="e">
        <f>IF(INT('[3]Annex-10'!I68)='[3]Annex-10'!I68,'[3]Annex-10'!I68&amp;".00  ",IF(INT('[3]Annex-10'!I68*10)='[3]Annex-10'!I68*10,'[3]Annex-10'!I68&amp;"0  ",ROUND('[3]Annex-10'!I68,2)&amp;"  "))</f>
        <v>#VALUE!</v>
      </c>
      <c r="J75" s="201" t="e">
        <f>IF(INT('[3]Annex-10'!J68)='[3]Annex-10'!J68,'[3]Annex-10'!J68&amp;".00  ",IF(INT('[3]Annex-10'!J68*10)='[3]Annex-10'!J68*10,'[3]Annex-10'!J68&amp;"0  ",ROUND('[3]Annex-10'!J68,2)&amp;"  "))</f>
        <v>#VALUE!</v>
      </c>
      <c r="K75" s="201" t="e">
        <f>IF('[3]Annex-10'!K68&lt;0,"(-)"&amp;FIXED(ABS('[3]Annex-10'!K68),2)&amp;"    ",FIXED('[3]Annex-10'!K68,2)&amp;"    ")</f>
        <v>#VALUE!</v>
      </c>
    </row>
    <row r="76" spans="1:11" hidden="1" x14ac:dyDescent="0.3">
      <c r="A76" s="206" t="str">
        <f t="shared" si="1"/>
        <v/>
      </c>
      <c r="B76" s="201" t="e">
        <f>ROUND('[3]Annex-10'!B69,2)&amp;"  "</f>
        <v>#VALUE!</v>
      </c>
      <c r="C76" s="201" t="e">
        <f>IF(INT('[3]Annex-10'!C69)='[3]Annex-10'!C69,'[3]Annex-10'!C69&amp;".00  ",IF(INT('[3]Annex-10'!C69*10)='[3]Annex-10'!C69*10,'[3]Annex-10'!C69&amp;"0  ",ROUND('[3]Annex-10'!C69,2)&amp;"  "))</f>
        <v>#VALUE!</v>
      </c>
      <c r="D76" s="201" t="e">
        <f>IF(INT('[3]Annex-10'!D69)='[3]Annex-10'!D69,'[3]Annex-10'!D69&amp;".00  ",IF(INT('[3]Annex-10'!D69*10)='[3]Annex-10'!D69*10,'[3]Annex-10'!D69&amp;"0  ",ROUND('[3]Annex-10'!D69,2)&amp;"  "))</f>
        <v>#VALUE!</v>
      </c>
      <c r="E76" s="201" t="e">
        <f>ROUND('[3]Annex-10'!E69,2)&amp;"  "</f>
        <v>#VALUE!</v>
      </c>
      <c r="F76" s="201" t="e">
        <f>IF(INT('[3]Annex-10'!F69)='[3]Annex-10'!F69,'[3]Annex-10'!F69&amp;".00  ",IF(INT('[3]Annex-10'!F69*10)='[3]Annex-10'!F69*10,'[3]Annex-10'!F69&amp;"0  ",ROUND('[3]Annex-10'!F69,2)&amp;"  "))</f>
        <v>#VALUE!</v>
      </c>
      <c r="G76" s="201" t="e">
        <f>IF(INT('[3]Annex-10'!G69)='[3]Annex-10'!G69,'[3]Annex-10'!G69&amp;".00  ",IF(INT('[3]Annex-10'!G69*10)='[3]Annex-10'!G69*10,'[3]Annex-10'!G69&amp;"0  ",ROUND('[3]Annex-10'!G69,2)&amp;"  "))</f>
        <v>#VALUE!</v>
      </c>
      <c r="H76" s="201" t="e">
        <f>ROUND('[3]Annex-10'!H69,2)&amp;"  "</f>
        <v>#VALUE!</v>
      </c>
      <c r="I76" s="201" t="e">
        <f>IF(INT('[3]Annex-10'!I69)='[3]Annex-10'!I69,'[3]Annex-10'!I69&amp;".00  ",IF(INT('[3]Annex-10'!I69*10)='[3]Annex-10'!I69*10,'[3]Annex-10'!I69&amp;"0  ",ROUND('[3]Annex-10'!I69,2)&amp;"  "))</f>
        <v>#VALUE!</v>
      </c>
      <c r="J76" s="201" t="e">
        <f>IF(INT('[3]Annex-10'!J69)='[3]Annex-10'!J69,'[3]Annex-10'!J69&amp;".00  ",IF(INT('[3]Annex-10'!J69*10)='[3]Annex-10'!J69*10,'[3]Annex-10'!J69&amp;"0  ",ROUND('[3]Annex-10'!J69,2)&amp;"  "))</f>
        <v>#VALUE!</v>
      </c>
      <c r="K76" s="201" t="e">
        <f>IF('[3]Annex-10'!K69&lt;0,"(-)"&amp;FIXED(ABS('[3]Annex-10'!K69),2)&amp;"    ",FIXED('[3]Annex-10'!K69,2)&amp;"    ")</f>
        <v>#VALUE!</v>
      </c>
    </row>
    <row r="77" spans="1:11" hidden="1" x14ac:dyDescent="0.3">
      <c r="A77" s="206" t="str">
        <f t="shared" si="1"/>
        <v/>
      </c>
      <c r="B77" s="201" t="e">
        <f>ROUND('[3]Annex-10'!B70,2)&amp;"  "</f>
        <v>#VALUE!</v>
      </c>
      <c r="C77" s="201" t="e">
        <f>IF(INT('[3]Annex-10'!C70)='[3]Annex-10'!C70,'[3]Annex-10'!C70&amp;".00  ",IF(INT('[3]Annex-10'!C70*10)='[3]Annex-10'!C70*10,'[3]Annex-10'!C70&amp;"0  ",ROUND('[3]Annex-10'!C70,2)&amp;"  "))</f>
        <v>#VALUE!</v>
      </c>
      <c r="D77" s="201" t="e">
        <f>IF(INT('[3]Annex-10'!D70)='[3]Annex-10'!D70,'[3]Annex-10'!D70&amp;".00  ",IF(INT('[3]Annex-10'!D70*10)='[3]Annex-10'!D70*10,'[3]Annex-10'!D70&amp;"0  ",ROUND('[3]Annex-10'!D70,2)&amp;"  "))</f>
        <v>#VALUE!</v>
      </c>
      <c r="E77" s="201" t="e">
        <f>ROUND('[3]Annex-10'!E70,2)&amp;"  "</f>
        <v>#VALUE!</v>
      </c>
      <c r="F77" s="201" t="e">
        <f>IF(INT('[3]Annex-10'!F70)='[3]Annex-10'!F70,'[3]Annex-10'!F70&amp;".00  ",IF(INT('[3]Annex-10'!F70*10)='[3]Annex-10'!F70*10,'[3]Annex-10'!F70&amp;"0  ",ROUND('[3]Annex-10'!F70,2)&amp;"  "))</f>
        <v>#VALUE!</v>
      </c>
      <c r="G77" s="201" t="e">
        <f>IF(INT('[3]Annex-10'!G70)='[3]Annex-10'!G70,'[3]Annex-10'!G70&amp;".00  ",IF(INT('[3]Annex-10'!G70*10)='[3]Annex-10'!G70*10,'[3]Annex-10'!G70&amp;"0  ",ROUND('[3]Annex-10'!G70,2)&amp;"  "))</f>
        <v>#VALUE!</v>
      </c>
      <c r="H77" s="201" t="e">
        <f>ROUND('[3]Annex-10'!H70,2)&amp;"  "</f>
        <v>#VALUE!</v>
      </c>
      <c r="I77" s="201" t="e">
        <f>IF(INT('[3]Annex-10'!I70)='[3]Annex-10'!I70,'[3]Annex-10'!I70&amp;".00  ",IF(INT('[3]Annex-10'!I70*10)='[3]Annex-10'!I70*10,'[3]Annex-10'!I70&amp;"0  ",ROUND('[3]Annex-10'!I70,2)&amp;"  "))</f>
        <v>#VALUE!</v>
      </c>
      <c r="J77" s="201" t="e">
        <f>IF(INT('[3]Annex-10'!J70)='[3]Annex-10'!J70,'[3]Annex-10'!J70&amp;".00  ",IF(INT('[3]Annex-10'!J70*10)='[3]Annex-10'!J70*10,'[3]Annex-10'!J70&amp;"0  ",ROUND('[3]Annex-10'!J70,2)&amp;"  "))</f>
        <v>#VALUE!</v>
      </c>
      <c r="K77" s="201" t="e">
        <f>IF('[3]Annex-10'!K70&lt;0,"(-)"&amp;FIXED(ABS('[3]Annex-10'!K70),2)&amp;"    ",FIXED('[3]Annex-10'!K70,2)&amp;"    ")</f>
        <v>#VALUE!</v>
      </c>
    </row>
    <row r="78" spans="1:11" hidden="1" x14ac:dyDescent="0.3">
      <c r="A78" s="206" t="str">
        <f t="shared" si="1"/>
        <v/>
      </c>
      <c r="B78" s="201" t="e">
        <f>ROUND('[3]Annex-10'!B71,2)&amp;"  "</f>
        <v>#VALUE!</v>
      </c>
      <c r="C78" s="201" t="e">
        <f>IF(INT('[3]Annex-10'!C71)='[3]Annex-10'!C71,'[3]Annex-10'!C71&amp;".00  ",IF(INT('[3]Annex-10'!C71*10)='[3]Annex-10'!C71*10,'[3]Annex-10'!C71&amp;"0  ",ROUND('[3]Annex-10'!C71,2)&amp;"  "))</f>
        <v>#VALUE!</v>
      </c>
      <c r="D78" s="201" t="e">
        <f>IF(INT('[3]Annex-10'!D71)='[3]Annex-10'!D71,'[3]Annex-10'!D71&amp;".00  ",IF(INT('[3]Annex-10'!D71*10)='[3]Annex-10'!D71*10,'[3]Annex-10'!D71&amp;"0  ",ROUND('[3]Annex-10'!D71,2)&amp;"  "))</f>
        <v>#VALUE!</v>
      </c>
      <c r="E78" s="201" t="e">
        <f>ROUND('[3]Annex-10'!E71,2)&amp;"  "</f>
        <v>#VALUE!</v>
      </c>
      <c r="F78" s="201" t="e">
        <f>IF(INT('[3]Annex-10'!F71)='[3]Annex-10'!F71,'[3]Annex-10'!F71&amp;".00  ",IF(INT('[3]Annex-10'!F71*10)='[3]Annex-10'!F71*10,'[3]Annex-10'!F71&amp;"0  ",ROUND('[3]Annex-10'!F71,2)&amp;"  "))</f>
        <v>#VALUE!</v>
      </c>
      <c r="G78" s="201" t="e">
        <f>IF(INT('[3]Annex-10'!G71)='[3]Annex-10'!G71,'[3]Annex-10'!G71&amp;".00  ",IF(INT('[3]Annex-10'!G71*10)='[3]Annex-10'!G71*10,'[3]Annex-10'!G71&amp;"0  ",ROUND('[3]Annex-10'!G71,2)&amp;"  "))</f>
        <v>#VALUE!</v>
      </c>
      <c r="H78" s="201" t="e">
        <f>ROUND('[3]Annex-10'!H71,2)&amp;"  "</f>
        <v>#VALUE!</v>
      </c>
      <c r="I78" s="201" t="e">
        <f>IF(INT('[3]Annex-10'!I71)='[3]Annex-10'!I71,'[3]Annex-10'!I71&amp;".00  ",IF(INT('[3]Annex-10'!I71*10)='[3]Annex-10'!I71*10,'[3]Annex-10'!I71&amp;"0  ",ROUND('[3]Annex-10'!I71,2)&amp;"  "))</f>
        <v>#VALUE!</v>
      </c>
      <c r="J78" s="201" t="e">
        <f>IF(INT('[3]Annex-10'!J71)='[3]Annex-10'!J71,'[3]Annex-10'!J71&amp;".00  ",IF(INT('[3]Annex-10'!J71*10)='[3]Annex-10'!J71*10,'[3]Annex-10'!J71&amp;"0  ",ROUND('[3]Annex-10'!J71,2)&amp;"  "))</f>
        <v>#VALUE!</v>
      </c>
      <c r="K78" s="201" t="e">
        <f>IF('[3]Annex-10'!K71&lt;0,"(-)"&amp;FIXED(ABS('[3]Annex-10'!K71),2)&amp;"    ",FIXED('[3]Annex-10'!K71,2)&amp;"    ")</f>
        <v>#VALUE!</v>
      </c>
    </row>
    <row r="79" spans="1:11" hidden="1" x14ac:dyDescent="0.3">
      <c r="A79" s="206" t="str">
        <f t="shared" si="1"/>
        <v/>
      </c>
      <c r="B79" s="201" t="e">
        <f>ROUND('[3]Annex-10'!B72,2)&amp;"  "</f>
        <v>#VALUE!</v>
      </c>
      <c r="C79" s="201" t="e">
        <f>IF(INT('[3]Annex-10'!C72)='[3]Annex-10'!C72,'[3]Annex-10'!C72&amp;".00  ",IF(INT('[3]Annex-10'!C72*10)='[3]Annex-10'!C72*10,'[3]Annex-10'!C72&amp;"0  ",ROUND('[3]Annex-10'!C72,2)&amp;"  "))</f>
        <v>#VALUE!</v>
      </c>
      <c r="D79" s="201" t="e">
        <f>IF(INT('[3]Annex-10'!D72)='[3]Annex-10'!D72,'[3]Annex-10'!D72&amp;".00  ",IF(INT('[3]Annex-10'!D72*10)='[3]Annex-10'!D72*10,'[3]Annex-10'!D72&amp;"0  ",ROUND('[3]Annex-10'!D72,2)&amp;"  "))</f>
        <v>#VALUE!</v>
      </c>
      <c r="E79" s="201" t="e">
        <f>ROUND('[3]Annex-10'!E72,2)&amp;"  "</f>
        <v>#VALUE!</v>
      </c>
      <c r="F79" s="201" t="e">
        <f>IF(INT('[3]Annex-10'!F72)='[3]Annex-10'!F72,'[3]Annex-10'!F72&amp;".00  ",IF(INT('[3]Annex-10'!F72*10)='[3]Annex-10'!F72*10,'[3]Annex-10'!F72&amp;"0  ",ROUND('[3]Annex-10'!F72,2)&amp;"  "))</f>
        <v>#VALUE!</v>
      </c>
      <c r="G79" s="201" t="e">
        <f>IF(INT('[3]Annex-10'!G72)='[3]Annex-10'!G72,'[3]Annex-10'!G72&amp;".00  ",IF(INT('[3]Annex-10'!G72*10)='[3]Annex-10'!G72*10,'[3]Annex-10'!G72&amp;"0  ",ROUND('[3]Annex-10'!G72,2)&amp;"  "))</f>
        <v>#VALUE!</v>
      </c>
      <c r="H79" s="201" t="e">
        <f>ROUND('[3]Annex-10'!H72,2)&amp;"  "</f>
        <v>#VALUE!</v>
      </c>
      <c r="I79" s="201" t="e">
        <f>IF(INT('[3]Annex-10'!I72)='[3]Annex-10'!I72,'[3]Annex-10'!I72&amp;".00  ",IF(INT('[3]Annex-10'!I72*10)='[3]Annex-10'!I72*10,'[3]Annex-10'!I72&amp;"0  ",ROUND('[3]Annex-10'!I72,2)&amp;"  "))</f>
        <v>#VALUE!</v>
      </c>
      <c r="J79" s="201" t="e">
        <f>IF(INT('[3]Annex-10'!J72)='[3]Annex-10'!J72,'[3]Annex-10'!J72&amp;".00  ",IF(INT('[3]Annex-10'!J72*10)='[3]Annex-10'!J72*10,'[3]Annex-10'!J72&amp;"0  ",ROUND('[3]Annex-10'!J72,2)&amp;"  "))</f>
        <v>#VALUE!</v>
      </c>
      <c r="K79" s="201" t="e">
        <f>IF('[3]Annex-10'!K72&lt;0,"(-)"&amp;FIXED(ABS('[3]Annex-10'!K72),2)&amp;"    ",FIXED('[3]Annex-10'!K72,2)&amp;"    ")</f>
        <v>#VALUE!</v>
      </c>
    </row>
    <row r="80" spans="1:11" ht="14.4" thickTop="1" x14ac:dyDescent="0.3">
      <c r="A80" s="288"/>
      <c r="B80" s="288"/>
      <c r="C80" s="288"/>
      <c r="D80" s="288"/>
      <c r="E80" s="288"/>
      <c r="F80" s="288"/>
      <c r="G80" s="288"/>
      <c r="H80" s="288"/>
      <c r="I80" s="288"/>
      <c r="J80" s="288"/>
      <c r="K80" s="288"/>
    </row>
    <row r="81" spans="1:11" x14ac:dyDescent="0.3">
      <c r="A81" s="292"/>
      <c r="B81" s="292"/>
      <c r="C81" s="292"/>
      <c r="D81" s="292"/>
      <c r="E81" s="292"/>
      <c r="F81" s="292"/>
      <c r="G81" s="292"/>
      <c r="H81" s="292"/>
      <c r="I81" s="292"/>
      <c r="J81" s="292"/>
      <c r="K81" s="292"/>
    </row>
  </sheetData>
  <mergeCells count="23"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P36"/>
  <sheetViews>
    <sheetView view="pageBreakPreview" topLeftCell="A4" zoomScale="70" zoomScaleNormal="100" zoomScaleSheetLayoutView="70" workbookViewId="0">
      <selection activeCell="U15" sqref="U15"/>
    </sheetView>
  </sheetViews>
  <sheetFormatPr defaultRowHeight="14.4" x14ac:dyDescent="0.3"/>
  <cols>
    <col min="1" max="1" width="21.109375" customWidth="1"/>
    <col min="2" max="2" width="15.21875" customWidth="1"/>
    <col min="3" max="16" width="9.44140625" customWidth="1"/>
  </cols>
  <sheetData>
    <row r="1" spans="1:16" x14ac:dyDescent="0.3">
      <c r="A1" s="235" t="s">
        <v>283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</row>
    <row r="2" spans="1:16" x14ac:dyDescent="0.3">
      <c r="A2" s="284" t="str">
        <f>common!$H$2</f>
        <v>UT : PUDUCHERRY</v>
      </c>
      <c r="B2" s="284" t="str">
        <f>common!$H$2</f>
        <v>UT : PUDUCHERRY</v>
      </c>
      <c r="C2" s="284" t="str">
        <f>common!$H$2</f>
        <v>UT : PUDUCHERRY</v>
      </c>
      <c r="D2" s="284" t="str">
        <f>common!$H$2</f>
        <v>UT : PUDUCHERRY</v>
      </c>
      <c r="E2" s="284" t="str">
        <f>common!$H$2</f>
        <v>UT : PUDUCHERRY</v>
      </c>
      <c r="F2" s="284" t="str">
        <f>common!$H$2</f>
        <v>UT : PUDUCHERRY</v>
      </c>
      <c r="G2" s="284" t="str">
        <f>common!$H$2</f>
        <v>UT : PUDUCHERRY</v>
      </c>
      <c r="H2" s="284" t="str">
        <f>common!$H$2</f>
        <v>UT : PUDUCHERRY</v>
      </c>
      <c r="I2" s="284" t="str">
        <f>common!$H$2</f>
        <v>UT : PUDUCHERRY</v>
      </c>
      <c r="J2" s="284" t="str">
        <f>common!$H$2</f>
        <v>UT : PUDUCHERRY</v>
      </c>
      <c r="K2" s="284" t="str">
        <f>common!$H$2</f>
        <v>UT : PUDUCHERRY</v>
      </c>
      <c r="L2" s="284" t="str">
        <f>common!$H$2</f>
        <v>UT : PUDUCHERRY</v>
      </c>
      <c r="M2" s="284" t="str">
        <f>common!$H$2</f>
        <v>UT : PUDUCHERRY</v>
      </c>
      <c r="N2" s="284" t="str">
        <f>common!$H$2</f>
        <v>UT : PUDUCHERRY</v>
      </c>
      <c r="O2" s="285" t="str">
        <f>'[2]Annex-11'!O2</f>
        <v xml:space="preserve"> ANNEX-XI</v>
      </c>
      <c r="P2" s="285"/>
    </row>
    <row r="3" spans="1:16" x14ac:dyDescent="0.3">
      <c r="A3" s="251" t="str">
        <f>'[2]Annex-11'!A3</f>
        <v>DISCREPANCIES IN RECORDING SEED VARIETY PARTICULARS DURING 0 AND 0.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</row>
    <row r="4" spans="1:16" ht="64.2" customHeight="1" x14ac:dyDescent="0.3">
      <c r="A4" s="250" t="s">
        <v>293</v>
      </c>
      <c r="B4" s="252" t="s">
        <v>257</v>
      </c>
      <c r="C4" s="253" t="s">
        <v>105</v>
      </c>
      <c r="D4" s="253"/>
      <c r="E4" s="253"/>
      <c r="F4" s="253"/>
      <c r="G4" s="253" t="s">
        <v>106</v>
      </c>
      <c r="H4" s="253"/>
      <c r="I4" s="253"/>
      <c r="J4" s="253"/>
      <c r="K4" s="253"/>
      <c r="L4" s="253"/>
      <c r="M4" s="253"/>
      <c r="N4" s="253"/>
      <c r="O4" s="253"/>
      <c r="P4" s="253"/>
    </row>
    <row r="5" spans="1:16" ht="28.2" customHeight="1" x14ac:dyDescent="0.3">
      <c r="A5" s="250"/>
      <c r="B5" s="252"/>
      <c r="C5" s="254" t="s">
        <v>113</v>
      </c>
      <c r="D5" s="254" t="s">
        <v>114</v>
      </c>
      <c r="E5" s="254" t="s">
        <v>115</v>
      </c>
      <c r="F5" s="254" t="s">
        <v>39</v>
      </c>
      <c r="G5" s="253" t="s">
        <v>109</v>
      </c>
      <c r="H5" s="253"/>
      <c r="I5" s="253"/>
      <c r="J5" s="253"/>
      <c r="K5" s="253"/>
      <c r="L5" s="255" t="s">
        <v>110</v>
      </c>
      <c r="M5" s="255"/>
      <c r="N5" s="255"/>
      <c r="O5" s="255"/>
      <c r="P5" s="255"/>
    </row>
    <row r="6" spans="1:16" ht="26.4" customHeight="1" x14ac:dyDescent="0.3">
      <c r="A6" s="251"/>
      <c r="B6" s="253"/>
      <c r="C6" s="255"/>
      <c r="D6" s="255"/>
      <c r="E6" s="255"/>
      <c r="F6" s="255"/>
      <c r="G6" s="74" t="s">
        <v>113</v>
      </c>
      <c r="H6" s="74" t="s">
        <v>114</v>
      </c>
      <c r="I6" s="74" t="s">
        <v>115</v>
      </c>
      <c r="J6" s="74" t="s">
        <v>112</v>
      </c>
      <c r="K6" s="74" t="s">
        <v>39</v>
      </c>
      <c r="L6" s="74" t="s">
        <v>113</v>
      </c>
      <c r="M6" s="74" t="s">
        <v>114</v>
      </c>
      <c r="N6" s="74" t="s">
        <v>115</v>
      </c>
      <c r="O6" s="74" t="s">
        <v>112</v>
      </c>
      <c r="P6" s="74" t="s">
        <v>39</v>
      </c>
    </row>
    <row r="7" spans="1:16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00" t="s">
        <v>92</v>
      </c>
      <c r="O7" s="100" t="s">
        <v>93</v>
      </c>
      <c r="P7" s="100" t="s">
        <v>94</v>
      </c>
    </row>
    <row r="8" spans="1:16" x14ac:dyDescent="0.3">
      <c r="A8" s="111" t="str">
        <f>common!$H$4</f>
        <v>RABI I 2024-25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</row>
    <row r="9" spans="1:16" x14ac:dyDescent="0.3">
      <c r="A9" s="112" t="str">
        <f>'[2]Annex-11'!A9</f>
        <v>CENTRAL</v>
      </c>
      <c r="B9" s="72" t="str">
        <f>'[2]Annex-11'!B9&amp;"  "</f>
        <v xml:space="preserve">52  </v>
      </c>
      <c r="C9" s="72" t="str">
        <f>'[2]Annex-11'!C9&amp;" "</f>
        <v xml:space="preserve">38 </v>
      </c>
      <c r="D9" s="72" t="str">
        <f>'[2]Annex-11'!D9&amp;" "</f>
        <v xml:space="preserve">0 </v>
      </c>
      <c r="E9" s="72" t="str">
        <f>'[2]Annex-11'!E9&amp;" "</f>
        <v xml:space="preserve">0 </v>
      </c>
      <c r="F9" s="72" t="str">
        <f>'[2]Annex-11'!F9&amp;" "</f>
        <v xml:space="preserve">38 </v>
      </c>
      <c r="G9" s="72" t="str">
        <f>'[2]Annex-11'!G9&amp;" "</f>
        <v xml:space="preserve">0 </v>
      </c>
      <c r="H9" s="72" t="str">
        <f>'[2]Annex-11'!H9&amp;" "</f>
        <v xml:space="preserve">0 </v>
      </c>
      <c r="I9" s="72" t="str">
        <f>'[2]Annex-11'!I9&amp;" "</f>
        <v xml:space="preserve">0 </v>
      </c>
      <c r="J9" s="72" t="str">
        <f>'[2]Annex-11'!J9&amp;" "</f>
        <v xml:space="preserve">14 </v>
      </c>
      <c r="K9" s="72" t="str">
        <f>'[2]Annex-11'!K9&amp;" "</f>
        <v xml:space="preserve">14 </v>
      </c>
      <c r="L9" s="72" t="str">
        <f>'[2]Annex-11'!L9&amp;" "</f>
        <v xml:space="preserve">14 </v>
      </c>
      <c r="M9" s="72" t="str">
        <f>'[2]Annex-11'!M9&amp;" "</f>
        <v xml:space="preserve">0 </v>
      </c>
      <c r="N9" s="72" t="str">
        <f>'[2]Annex-11'!N9&amp;" "</f>
        <v xml:space="preserve">0 </v>
      </c>
      <c r="O9" s="72" t="str">
        <f>'[2]Annex-11'!O9&amp;" "</f>
        <v xml:space="preserve">0 </v>
      </c>
      <c r="P9" s="72" t="str">
        <f>'[2]Annex-11'!P9&amp;" "</f>
        <v xml:space="preserve">14 </v>
      </c>
    </row>
    <row r="10" spans="1:16" x14ac:dyDescent="0.3">
      <c r="A10" s="112" t="str">
        <f>'[2]Annex-11'!A10</f>
        <v>(%)</v>
      </c>
      <c r="B10" s="72"/>
      <c r="C10" s="72" t="str">
        <f>'[2]Annex-11'!C10</f>
        <v>( 73.1)</v>
      </c>
      <c r="D10" s="72" t="str">
        <f>'[2]Annex-11'!D10</f>
        <v>( 0.0)</v>
      </c>
      <c r="E10" s="72" t="str">
        <f>'[2]Annex-11'!E10</f>
        <v>( 0.0)</v>
      </c>
      <c r="F10" s="72" t="str">
        <f>'[2]Annex-11'!F10</f>
        <v>( 73.1)</v>
      </c>
      <c r="G10" s="72" t="str">
        <f>'[2]Annex-11'!G10</f>
        <v>( 0.0)</v>
      </c>
      <c r="H10" s="72" t="str">
        <f>'[2]Annex-11'!H10</f>
        <v>( 0.0)</v>
      </c>
      <c r="I10" s="72" t="str">
        <f>'[2]Annex-11'!I10</f>
        <v>( 0.0)</v>
      </c>
      <c r="J10" s="72" t="str">
        <f>'[2]Annex-11'!J10</f>
        <v>( 26.9)</v>
      </c>
      <c r="K10" s="72" t="str">
        <f>'[2]Annex-11'!K10</f>
        <v>( 26.9)</v>
      </c>
      <c r="L10" s="72" t="str">
        <f>'[2]Annex-11'!L10</f>
        <v>( 26.9)</v>
      </c>
      <c r="M10" s="72" t="str">
        <f>'[2]Annex-11'!M10</f>
        <v>( 0.0)</v>
      </c>
      <c r="N10" s="72" t="str">
        <f>'[2]Annex-11'!N10</f>
        <v>( 0.0)</v>
      </c>
      <c r="O10" s="72" t="str">
        <f>'[2]Annex-11'!O10</f>
        <v>( 0.0)</v>
      </c>
      <c r="P10" s="72" t="str">
        <f>'[2]Annex-11'!P10</f>
        <v>( 26.9)</v>
      </c>
    </row>
    <row r="11" spans="1:16" x14ac:dyDescent="0.3">
      <c r="A11" s="112" t="str">
        <f>'[2]Annex-11'!A11</f>
        <v>STATE</v>
      </c>
      <c r="B11" s="72" t="str">
        <f>'[2]Annex-11'!B11&amp;"  "</f>
        <v xml:space="preserve">182  </v>
      </c>
      <c r="C11" s="72" t="str">
        <f>'[2]Annex-11'!C11&amp;" "</f>
        <v xml:space="preserve">174 </v>
      </c>
      <c r="D11" s="72" t="str">
        <f>'[2]Annex-11'!D11&amp;" "</f>
        <v xml:space="preserve">4 </v>
      </c>
      <c r="E11" s="72" t="str">
        <f>'[2]Annex-11'!E11&amp;" "</f>
        <v xml:space="preserve">0 </v>
      </c>
      <c r="F11" s="72" t="str">
        <f>'[2]Annex-11'!F11&amp;" "</f>
        <v xml:space="preserve">178 </v>
      </c>
      <c r="G11" s="72" t="str">
        <f>'[2]Annex-11'!G11&amp;" "</f>
        <v xml:space="preserve">2 </v>
      </c>
      <c r="H11" s="72" t="str">
        <f>'[2]Annex-11'!H11&amp;" "</f>
        <v xml:space="preserve">0 </v>
      </c>
      <c r="I11" s="72" t="str">
        <f>'[2]Annex-11'!I11&amp;" "</f>
        <v xml:space="preserve">0 </v>
      </c>
      <c r="J11" s="72" t="str">
        <f>'[2]Annex-11'!J11&amp;" "</f>
        <v xml:space="preserve">2 </v>
      </c>
      <c r="K11" s="72" t="str">
        <f>'[2]Annex-11'!K11&amp;" "</f>
        <v xml:space="preserve">4 </v>
      </c>
      <c r="L11" s="72" t="str">
        <f>'[2]Annex-11'!L11&amp;" "</f>
        <v xml:space="preserve">2 </v>
      </c>
      <c r="M11" s="72" t="str">
        <f>'[2]Annex-11'!M11&amp;" "</f>
        <v xml:space="preserve">0 </v>
      </c>
      <c r="N11" s="72" t="str">
        <f>'[2]Annex-11'!N11&amp;" "</f>
        <v xml:space="preserve">0 </v>
      </c>
      <c r="O11" s="72" t="str">
        <f>'[2]Annex-11'!O11&amp;" "</f>
        <v xml:space="preserve">2 </v>
      </c>
      <c r="P11" s="72" t="str">
        <f>'[2]Annex-11'!P11&amp;" "</f>
        <v xml:space="preserve">4 </v>
      </c>
    </row>
    <row r="12" spans="1:16" x14ac:dyDescent="0.3">
      <c r="A12" s="112" t="str">
        <f>'[2]Annex-11'!A12</f>
        <v>(%)</v>
      </c>
      <c r="B12" s="72"/>
      <c r="C12" s="72" t="str">
        <f>'[2]Annex-11'!C12</f>
        <v>( 95.6)</v>
      </c>
      <c r="D12" s="72" t="str">
        <f>'[2]Annex-11'!D12</f>
        <v>( 2.2)</v>
      </c>
      <c r="E12" s="72" t="str">
        <f>'[2]Annex-11'!E12</f>
        <v>( 0.0)</v>
      </c>
      <c r="F12" s="72" t="str">
        <f>'[2]Annex-11'!F12</f>
        <v>( 97.8)</v>
      </c>
      <c r="G12" s="72" t="str">
        <f>'[2]Annex-11'!G12</f>
        <v>( 1.1)</v>
      </c>
      <c r="H12" s="72" t="str">
        <f>'[2]Annex-11'!H12</f>
        <v>( 0.0)</v>
      </c>
      <c r="I12" s="72" t="str">
        <f>'[2]Annex-11'!I12</f>
        <v>( 0.0)</v>
      </c>
      <c r="J12" s="72" t="str">
        <f>'[2]Annex-11'!J12</f>
        <v>( 1.1)</v>
      </c>
      <c r="K12" s="72" t="str">
        <f>'[2]Annex-11'!K12</f>
        <v>( 2.2)</v>
      </c>
      <c r="L12" s="72" t="str">
        <f>'[2]Annex-11'!L12</f>
        <v>( 1.1)</v>
      </c>
      <c r="M12" s="72" t="str">
        <f>'[2]Annex-11'!M12</f>
        <v>( 0.0)</v>
      </c>
      <c r="N12" s="72" t="str">
        <f>'[2]Annex-11'!N12</f>
        <v>( 0.0)</v>
      </c>
      <c r="O12" s="72" t="str">
        <f>'[2]Annex-11'!O12</f>
        <v>( 1.1)</v>
      </c>
      <c r="P12" s="72" t="str">
        <f>'[2]Annex-11'!P12</f>
        <v>( 2.2)</v>
      </c>
    </row>
    <row r="13" spans="1:16" x14ac:dyDescent="0.3">
      <c r="A13" s="112" t="str">
        <f>'[2]Annex-11'!A13</f>
        <v>POOLED</v>
      </c>
      <c r="B13" s="72" t="str">
        <f>'[2]Annex-11'!B13&amp;"  "</f>
        <v xml:space="preserve">234  </v>
      </c>
      <c r="C13" s="72" t="str">
        <f>'[2]Annex-11'!C13&amp;" "</f>
        <v xml:space="preserve">212 </v>
      </c>
      <c r="D13" s="72" t="str">
        <f>'[2]Annex-11'!D13&amp;" "</f>
        <v xml:space="preserve">4 </v>
      </c>
      <c r="E13" s="72" t="str">
        <f>'[2]Annex-11'!E13&amp;" "</f>
        <v xml:space="preserve">0 </v>
      </c>
      <c r="F13" s="72" t="str">
        <f>'[2]Annex-11'!F13&amp;" "</f>
        <v xml:space="preserve">216 </v>
      </c>
      <c r="G13" s="72" t="str">
        <f>'[2]Annex-11'!G13&amp;" "</f>
        <v xml:space="preserve">2 </v>
      </c>
      <c r="H13" s="72" t="str">
        <f>'[2]Annex-11'!H13&amp;" "</f>
        <v xml:space="preserve">0 </v>
      </c>
      <c r="I13" s="72" t="str">
        <f>'[2]Annex-11'!I13&amp;" "</f>
        <v xml:space="preserve">0 </v>
      </c>
      <c r="J13" s="72" t="str">
        <f>'[2]Annex-11'!J13&amp;" "</f>
        <v xml:space="preserve">16 </v>
      </c>
      <c r="K13" s="72" t="str">
        <f>'[2]Annex-11'!K13&amp;" "</f>
        <v xml:space="preserve">18 </v>
      </c>
      <c r="L13" s="72" t="str">
        <f>'[2]Annex-11'!L13&amp;" "</f>
        <v xml:space="preserve">16 </v>
      </c>
      <c r="M13" s="72" t="str">
        <f>'[2]Annex-11'!M13&amp;" "</f>
        <v xml:space="preserve">0 </v>
      </c>
      <c r="N13" s="72" t="str">
        <f>'[2]Annex-11'!N13&amp;" "</f>
        <v xml:space="preserve">0 </v>
      </c>
      <c r="O13" s="72" t="str">
        <f>'[2]Annex-11'!O13&amp;" "</f>
        <v xml:space="preserve">2 </v>
      </c>
      <c r="P13" s="72" t="str">
        <f>'[2]Annex-11'!P13&amp;" "</f>
        <v xml:space="preserve">18 </v>
      </c>
    </row>
    <row r="14" spans="1:16" x14ac:dyDescent="0.3">
      <c r="A14" s="112" t="str">
        <f>'[2]Annex-11'!A14</f>
        <v>(%)</v>
      </c>
      <c r="B14" s="72"/>
      <c r="C14" s="72" t="str">
        <f>'[2]Annex-11'!C14</f>
        <v>( 90.6)</v>
      </c>
      <c r="D14" s="72" t="str">
        <f>'[2]Annex-11'!D14</f>
        <v>( 1.7)</v>
      </c>
      <c r="E14" s="72" t="str">
        <f>'[2]Annex-11'!E14</f>
        <v>( 0.0)</v>
      </c>
      <c r="F14" s="72" t="str">
        <f>'[2]Annex-11'!F14</f>
        <v>( 92.3)</v>
      </c>
      <c r="G14" s="72" t="str">
        <f>'[2]Annex-11'!G14</f>
        <v>( 0.9)</v>
      </c>
      <c r="H14" s="72" t="str">
        <f>'[2]Annex-11'!H14</f>
        <v>( 0.0)</v>
      </c>
      <c r="I14" s="72" t="str">
        <f>'[2]Annex-11'!I14</f>
        <v>( 0.0)</v>
      </c>
      <c r="J14" s="72" t="str">
        <f>'[2]Annex-11'!J14</f>
        <v>( 6.8)</v>
      </c>
      <c r="K14" s="72" t="str">
        <f>'[2]Annex-11'!K14</f>
        <v>( 7.7)</v>
      </c>
      <c r="L14" s="72" t="str">
        <f>'[2]Annex-11'!L14</f>
        <v>( 6.8)</v>
      </c>
      <c r="M14" s="72" t="str">
        <f>'[2]Annex-11'!M14</f>
        <v>( 0.0)</v>
      </c>
      <c r="N14" s="72" t="str">
        <f>'[2]Annex-11'!N14</f>
        <v>( 0.0)</v>
      </c>
      <c r="O14" s="72" t="str">
        <f>'[2]Annex-11'!O14</f>
        <v>( 0.9)</v>
      </c>
      <c r="P14" s="72" t="str">
        <f>'[2]Annex-11'!P14</f>
        <v>( 7.7)</v>
      </c>
    </row>
    <row r="15" spans="1:16" x14ac:dyDescent="0.3">
      <c r="A15" s="111" t="str">
        <f>common!$I$4</f>
        <v>RABI II 2024-25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</row>
    <row r="16" spans="1:16" x14ac:dyDescent="0.3">
      <c r="A16" s="112" t="str">
        <f>'[2]Annex-11'!A16</f>
        <v>CENTRAL</v>
      </c>
      <c r="B16" s="72" t="str">
        <f>'[2]Annex-11'!B16&amp;"  "</f>
        <v xml:space="preserve">32  </v>
      </c>
      <c r="C16" s="72" t="str">
        <f>'[2]Annex-11'!C16&amp;" "</f>
        <v xml:space="preserve">20 </v>
      </c>
      <c r="D16" s="72" t="str">
        <f>'[2]Annex-11'!D16&amp;" "</f>
        <v xml:space="preserve">0 </v>
      </c>
      <c r="E16" s="72" t="str">
        <f>'[2]Annex-11'!E16&amp;" "</f>
        <v xml:space="preserve">0 </v>
      </c>
      <c r="F16" s="72" t="str">
        <f>'[2]Annex-11'!F16&amp;" "</f>
        <v xml:space="preserve">20 </v>
      </c>
      <c r="G16" s="72" t="str">
        <f>'[2]Annex-11'!G16&amp;" "</f>
        <v xml:space="preserve">0 </v>
      </c>
      <c r="H16" s="72" t="str">
        <f>'[2]Annex-11'!H16&amp;" "</f>
        <v xml:space="preserve">0 </v>
      </c>
      <c r="I16" s="72" t="str">
        <f>'[2]Annex-11'!I16&amp;" "</f>
        <v xml:space="preserve">0 </v>
      </c>
      <c r="J16" s="72" t="str">
        <f>'[2]Annex-11'!J16&amp;" "</f>
        <v xml:space="preserve">12 </v>
      </c>
      <c r="K16" s="72" t="str">
        <f>'[2]Annex-11'!K16&amp;" "</f>
        <v xml:space="preserve">12 </v>
      </c>
      <c r="L16" s="72" t="str">
        <f>'[2]Annex-11'!L16&amp;" "</f>
        <v xml:space="preserve">12 </v>
      </c>
      <c r="M16" s="72" t="str">
        <f>'[2]Annex-11'!M16&amp;" "</f>
        <v xml:space="preserve">0 </v>
      </c>
      <c r="N16" s="72" t="str">
        <f>'[2]Annex-11'!N16&amp;" "</f>
        <v xml:space="preserve">0 </v>
      </c>
      <c r="O16" s="72" t="str">
        <f>'[2]Annex-11'!O16&amp;" "</f>
        <v xml:space="preserve">0 </v>
      </c>
      <c r="P16" s="72" t="str">
        <f>'[2]Annex-11'!P16&amp;" "</f>
        <v xml:space="preserve">12 </v>
      </c>
    </row>
    <row r="17" spans="1:16" x14ac:dyDescent="0.3">
      <c r="A17" s="112" t="str">
        <f>'[2]Annex-11'!A17</f>
        <v>(%)</v>
      </c>
      <c r="B17" s="72"/>
      <c r="C17" s="72" t="str">
        <f>'[2]Annex-11'!C17</f>
        <v>( 62.5)</v>
      </c>
      <c r="D17" s="72" t="str">
        <f>'[2]Annex-11'!D17</f>
        <v>( 0.0)</v>
      </c>
      <c r="E17" s="72" t="str">
        <f>'[2]Annex-11'!E17</f>
        <v>( 0.0)</v>
      </c>
      <c r="F17" s="72" t="str">
        <f>'[2]Annex-11'!F17</f>
        <v>( 62.5)</v>
      </c>
      <c r="G17" s="72" t="str">
        <f>'[2]Annex-11'!G17</f>
        <v>( 0.0)</v>
      </c>
      <c r="H17" s="72" t="str">
        <f>'[2]Annex-11'!H17</f>
        <v>( 0.0)</v>
      </c>
      <c r="I17" s="72" t="str">
        <f>'[2]Annex-11'!I17</f>
        <v>( 0.0)</v>
      </c>
      <c r="J17" s="72" t="str">
        <f>'[2]Annex-11'!J17</f>
        <v>( 37.5)</v>
      </c>
      <c r="K17" s="72" t="str">
        <f>'[2]Annex-11'!K17</f>
        <v>( 37.5)</v>
      </c>
      <c r="L17" s="72" t="str">
        <f>'[2]Annex-11'!L17</f>
        <v>( 37.5)</v>
      </c>
      <c r="M17" s="72" t="str">
        <f>'[2]Annex-11'!M17</f>
        <v>( 0.0)</v>
      </c>
      <c r="N17" s="72" t="str">
        <f>'[2]Annex-11'!N17</f>
        <v>( 0.0)</v>
      </c>
      <c r="O17" s="72" t="str">
        <f>'[2]Annex-11'!O17</f>
        <v>( 0.0)</v>
      </c>
      <c r="P17" s="72" t="str">
        <f>'[2]Annex-11'!P17</f>
        <v>( 37.5)</v>
      </c>
    </row>
    <row r="18" spans="1:16" x14ac:dyDescent="0.3">
      <c r="A18" s="112" t="str">
        <f>'[2]Annex-11'!A18</f>
        <v>STATE</v>
      </c>
      <c r="B18" s="72" t="str">
        <f>'[2]Annex-11'!B18&amp;"  "</f>
        <v xml:space="preserve">110  </v>
      </c>
      <c r="C18" s="72" t="str">
        <f>'[2]Annex-11'!C18&amp;" "</f>
        <v xml:space="preserve">84 </v>
      </c>
      <c r="D18" s="72" t="str">
        <f>'[2]Annex-11'!D18&amp;" "</f>
        <v xml:space="preserve">10 </v>
      </c>
      <c r="E18" s="72" t="str">
        <f>'[2]Annex-11'!E18&amp;" "</f>
        <v xml:space="preserve">16 </v>
      </c>
      <c r="F18" s="72" t="str">
        <f>'[2]Annex-11'!F18&amp;" "</f>
        <v xml:space="preserve">110 </v>
      </c>
      <c r="G18" s="72" t="str">
        <f>'[2]Annex-11'!G18&amp;" "</f>
        <v xml:space="preserve">0 </v>
      </c>
      <c r="H18" s="72" t="str">
        <f>'[2]Annex-11'!H18&amp;" "</f>
        <v xml:space="preserve">0 </v>
      </c>
      <c r="I18" s="72" t="str">
        <f>'[2]Annex-11'!I18&amp;" "</f>
        <v xml:space="preserve">0 </v>
      </c>
      <c r="J18" s="72" t="str">
        <f>'[2]Annex-11'!J18&amp;" "</f>
        <v xml:space="preserve">0 </v>
      </c>
      <c r="K18" s="72" t="str">
        <f>'[2]Annex-11'!K18&amp;" "</f>
        <v xml:space="preserve">0 </v>
      </c>
      <c r="L18" s="72" t="str">
        <f>'[2]Annex-11'!L18&amp;" "</f>
        <v xml:space="preserve">0 </v>
      </c>
      <c r="M18" s="72" t="str">
        <f>'[2]Annex-11'!M18&amp;" "</f>
        <v xml:space="preserve">0 </v>
      </c>
      <c r="N18" s="72" t="str">
        <f>'[2]Annex-11'!N18&amp;" "</f>
        <v xml:space="preserve">0 </v>
      </c>
      <c r="O18" s="72" t="str">
        <f>'[2]Annex-11'!O18&amp;" "</f>
        <v xml:space="preserve">0 </v>
      </c>
      <c r="P18" s="72" t="str">
        <f>'[2]Annex-11'!P18&amp;" "</f>
        <v xml:space="preserve">0 </v>
      </c>
    </row>
    <row r="19" spans="1:16" x14ac:dyDescent="0.3">
      <c r="A19" s="112" t="str">
        <f>'[2]Annex-11'!A19</f>
        <v>(%)</v>
      </c>
      <c r="B19" s="72"/>
      <c r="C19" s="72" t="str">
        <f>'[2]Annex-11'!C19</f>
        <v>( 76.4)</v>
      </c>
      <c r="D19" s="72" t="str">
        <f>'[2]Annex-11'!D19</f>
        <v>( 9.1)</v>
      </c>
      <c r="E19" s="72" t="str">
        <f>'[2]Annex-11'!E19</f>
        <v>( 14.5)</v>
      </c>
      <c r="F19" s="72" t="str">
        <f>'[2]Annex-11'!F19</f>
        <v>( 100.0)</v>
      </c>
      <c r="G19" s="72" t="str">
        <f>'[2]Annex-11'!G19</f>
        <v>( 0.0)</v>
      </c>
      <c r="H19" s="72" t="str">
        <f>'[2]Annex-11'!H19</f>
        <v>( 0.0)</v>
      </c>
      <c r="I19" s="72" t="str">
        <f>'[2]Annex-11'!I19</f>
        <v>( 0.0)</v>
      </c>
      <c r="J19" s="72" t="str">
        <f>'[2]Annex-11'!J19</f>
        <v>( 0.0)</v>
      </c>
      <c r="K19" s="72" t="str">
        <f>'[2]Annex-11'!K19</f>
        <v>( 0.0)</v>
      </c>
      <c r="L19" s="72" t="str">
        <f>'[2]Annex-11'!L19</f>
        <v>( 0.0)</v>
      </c>
      <c r="M19" s="72" t="str">
        <f>'[2]Annex-11'!M19</f>
        <v>( 0.0)</v>
      </c>
      <c r="N19" s="72" t="str">
        <f>'[2]Annex-11'!N19</f>
        <v>( 0.0)</v>
      </c>
      <c r="O19" s="72" t="str">
        <f>'[2]Annex-11'!O19</f>
        <v>( 0.0)</v>
      </c>
      <c r="P19" s="72" t="str">
        <f>'[2]Annex-11'!P19</f>
        <v>( 0.0)</v>
      </c>
    </row>
    <row r="20" spans="1:16" x14ac:dyDescent="0.3">
      <c r="A20" s="112" t="str">
        <f>'[2]Annex-11'!A20</f>
        <v>POOLED</v>
      </c>
      <c r="B20" s="72" t="str">
        <f>'[2]Annex-11'!B20&amp;"  "</f>
        <v xml:space="preserve">142  </v>
      </c>
      <c r="C20" s="72" t="str">
        <f>'[2]Annex-11'!C20&amp;" "</f>
        <v xml:space="preserve">104 </v>
      </c>
      <c r="D20" s="72" t="str">
        <f>'[2]Annex-11'!D20&amp;" "</f>
        <v xml:space="preserve">10 </v>
      </c>
      <c r="E20" s="72" t="str">
        <f>'[2]Annex-11'!E20&amp;" "</f>
        <v xml:space="preserve">16 </v>
      </c>
      <c r="F20" s="72" t="str">
        <f>'[2]Annex-11'!F20&amp;" "</f>
        <v xml:space="preserve">130 </v>
      </c>
      <c r="G20" s="72" t="str">
        <f>'[2]Annex-11'!G20&amp;" "</f>
        <v xml:space="preserve">0 </v>
      </c>
      <c r="H20" s="72" t="str">
        <f>'[2]Annex-11'!H20&amp;" "</f>
        <v xml:space="preserve">0 </v>
      </c>
      <c r="I20" s="72" t="str">
        <f>'[2]Annex-11'!I20&amp;" "</f>
        <v xml:space="preserve">0 </v>
      </c>
      <c r="J20" s="72" t="str">
        <f>'[2]Annex-11'!J20&amp;" "</f>
        <v xml:space="preserve">12 </v>
      </c>
      <c r="K20" s="72" t="str">
        <f>'[2]Annex-11'!K20&amp;" "</f>
        <v xml:space="preserve">12 </v>
      </c>
      <c r="L20" s="72" t="str">
        <f>'[2]Annex-11'!L20&amp;" "</f>
        <v xml:space="preserve">12 </v>
      </c>
      <c r="M20" s="72" t="str">
        <f>'[2]Annex-11'!M20&amp;" "</f>
        <v xml:space="preserve">0 </v>
      </c>
      <c r="N20" s="72" t="str">
        <f>'[2]Annex-11'!N20&amp;" "</f>
        <v xml:space="preserve">0 </v>
      </c>
      <c r="O20" s="72" t="str">
        <f>'[2]Annex-11'!O20&amp;" "</f>
        <v xml:space="preserve">0 </v>
      </c>
      <c r="P20" s="72" t="str">
        <f>'[2]Annex-11'!P20&amp;" "</f>
        <v xml:space="preserve">12 </v>
      </c>
    </row>
    <row r="21" spans="1:16" x14ac:dyDescent="0.3">
      <c r="A21" s="111" t="str">
        <f>'[2]Annex-11'!A21</f>
        <v>(%)</v>
      </c>
      <c r="B21" s="74"/>
      <c r="C21" s="74" t="str">
        <f>'[2]Annex-11'!C21</f>
        <v>( 73.2)</v>
      </c>
      <c r="D21" s="74" t="str">
        <f>'[2]Annex-11'!D21</f>
        <v>( 7.0)</v>
      </c>
      <c r="E21" s="74" t="str">
        <f>'[2]Annex-11'!E21</f>
        <v>( 11.3)</v>
      </c>
      <c r="F21" s="74" t="str">
        <f>'[2]Annex-11'!F21</f>
        <v>( 91.5)</v>
      </c>
      <c r="G21" s="74" t="str">
        <f>'[2]Annex-11'!G21</f>
        <v>( 0.0)</v>
      </c>
      <c r="H21" s="74" t="str">
        <f>'[2]Annex-11'!H21</f>
        <v>( 0.0)</v>
      </c>
      <c r="I21" s="74" t="str">
        <f>'[2]Annex-11'!I21</f>
        <v>( 0.0)</v>
      </c>
      <c r="J21" s="74" t="str">
        <f>'[2]Annex-11'!J21</f>
        <v>( 8.5)</v>
      </c>
      <c r="K21" s="74" t="str">
        <f>'[2]Annex-11'!K21</f>
        <v>( 8.5)</v>
      </c>
      <c r="L21" s="74" t="str">
        <f>'[2]Annex-11'!L21</f>
        <v>( 8.5)</v>
      </c>
      <c r="M21" s="74" t="str">
        <f>'[2]Annex-11'!M21</f>
        <v>( 0.0)</v>
      </c>
      <c r="N21" s="74" t="str">
        <f>'[2]Annex-11'!N21</f>
        <v>( 0.0)</v>
      </c>
      <c r="O21" s="74" t="str">
        <f>'[2]Annex-11'!O21</f>
        <v>( 0.0)</v>
      </c>
      <c r="P21" s="74" t="str">
        <f>'[2]Annex-11'!P21</f>
        <v>( 8.5)</v>
      </c>
    </row>
    <row r="22" spans="1:16" x14ac:dyDescent="0.3">
      <c r="A22" s="111" t="str">
        <f>common!$H$5</f>
        <v>RABI I 2023-24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</row>
    <row r="23" spans="1:16" x14ac:dyDescent="0.3">
      <c r="A23" s="112" t="str">
        <f>'[2]Annex-11'!A24</f>
        <v>CENTRAL</v>
      </c>
      <c r="B23" s="72" t="str">
        <f>'[2]Annex-11'!B24&amp;"  "</f>
        <v xml:space="preserve">50  </v>
      </c>
      <c r="C23" s="72" t="str">
        <f>'[2]Annex-11'!C24&amp;" "</f>
        <v xml:space="preserve">39 </v>
      </c>
      <c r="D23" s="72" t="str">
        <f>'[2]Annex-11'!D24&amp;" "</f>
        <v xml:space="preserve">8 </v>
      </c>
      <c r="E23" s="72" t="str">
        <f>'[2]Annex-11'!E24&amp;" "</f>
        <v xml:space="preserve">1 </v>
      </c>
      <c r="F23" s="72" t="str">
        <f>'[2]Annex-11'!F24&amp;" "</f>
        <v xml:space="preserve">48 </v>
      </c>
      <c r="G23" s="72" t="str">
        <f>'[2]Annex-11'!G24&amp;" "</f>
        <v xml:space="preserve">1 </v>
      </c>
      <c r="H23" s="72" t="str">
        <f>'[2]Annex-11'!H24&amp;" "</f>
        <v xml:space="preserve">0 </v>
      </c>
      <c r="I23" s="72" t="str">
        <f>'[2]Annex-11'!I24&amp;" "</f>
        <v xml:space="preserve">0 </v>
      </c>
      <c r="J23" s="72" t="str">
        <f>'[2]Annex-11'!J24&amp;" "</f>
        <v xml:space="preserve">1 </v>
      </c>
      <c r="K23" s="72" t="str">
        <f>'[2]Annex-11'!K24&amp;" "</f>
        <v xml:space="preserve">2 </v>
      </c>
      <c r="L23" s="72" t="str">
        <f>'[2]Annex-11'!L24&amp;" "</f>
        <v xml:space="preserve">0 </v>
      </c>
      <c r="M23" s="72" t="str">
        <f>'[2]Annex-11'!M24&amp;" "</f>
        <v xml:space="preserve">2 </v>
      </c>
      <c r="N23" s="72" t="str">
        <f>'[2]Annex-11'!N24&amp;" "</f>
        <v xml:space="preserve">0 </v>
      </c>
      <c r="O23" s="72" t="str">
        <f>'[2]Annex-11'!O24&amp;" "</f>
        <v xml:space="preserve">0 </v>
      </c>
      <c r="P23" s="72" t="str">
        <f>'[2]Annex-11'!P24&amp;" "</f>
        <v xml:space="preserve">2 </v>
      </c>
    </row>
    <row r="24" spans="1:16" x14ac:dyDescent="0.3">
      <c r="A24" s="112" t="str">
        <f>'[2]Annex-11'!A25</f>
        <v>(%)</v>
      </c>
      <c r="B24" s="72"/>
      <c r="C24" s="72" t="str">
        <f>'[2]Annex-11'!C25</f>
        <v>( 78.0)</v>
      </c>
      <c r="D24" s="72" t="str">
        <f>'[2]Annex-11'!D25</f>
        <v>( 16.0)</v>
      </c>
      <c r="E24" s="72" t="str">
        <f>'[2]Annex-11'!E25</f>
        <v>( 2.0)</v>
      </c>
      <c r="F24" s="72" t="str">
        <f>'[2]Annex-11'!F25</f>
        <v>( 96.0)</v>
      </c>
      <c r="G24" s="72" t="str">
        <f>'[2]Annex-11'!G25</f>
        <v>( 2.0)</v>
      </c>
      <c r="H24" s="72" t="str">
        <f>'[2]Annex-11'!H25</f>
        <v>( 0.0)</v>
      </c>
      <c r="I24" s="72" t="str">
        <f>'[2]Annex-11'!I25</f>
        <v>( 0.0)</v>
      </c>
      <c r="J24" s="72" t="str">
        <f>'[2]Annex-11'!J25</f>
        <v>( 2.0)</v>
      </c>
      <c r="K24" s="72" t="str">
        <f>'[2]Annex-11'!K25</f>
        <v>( 4.0)</v>
      </c>
      <c r="L24" s="72" t="str">
        <f>'[2]Annex-11'!L25</f>
        <v>( 0.0)</v>
      </c>
      <c r="M24" s="72" t="str">
        <f>'[2]Annex-11'!M25</f>
        <v>( 4.0)</v>
      </c>
      <c r="N24" s="72" t="str">
        <f>'[2]Annex-11'!N25</f>
        <v>( 0.0)</v>
      </c>
      <c r="O24" s="72" t="str">
        <f>'[2]Annex-11'!O25</f>
        <v>( 0.0)</v>
      </c>
      <c r="P24" s="72" t="str">
        <f>'[2]Annex-11'!P25</f>
        <v>( 4.0)</v>
      </c>
    </row>
    <row r="25" spans="1:16" x14ac:dyDescent="0.3">
      <c r="A25" s="112" t="str">
        <f>'[2]Annex-11'!A26</f>
        <v>STATE</v>
      </c>
      <c r="B25" s="72" t="str">
        <f>'[2]Annex-11'!B26&amp;"  "</f>
        <v xml:space="preserve">37  </v>
      </c>
      <c r="C25" s="72" t="str">
        <f>'[2]Annex-11'!C26&amp;" "</f>
        <v xml:space="preserve">37 </v>
      </c>
      <c r="D25" s="72" t="str">
        <f>'[2]Annex-11'!D26&amp;" "</f>
        <v xml:space="preserve">0 </v>
      </c>
      <c r="E25" s="72" t="str">
        <f>'[2]Annex-11'!E26&amp;" "</f>
        <v xml:space="preserve">0 </v>
      </c>
      <c r="F25" s="72" t="str">
        <f>'[2]Annex-11'!F26&amp;" "</f>
        <v xml:space="preserve">37 </v>
      </c>
      <c r="G25" s="72" t="str">
        <f>'[2]Annex-11'!G26&amp;" "</f>
        <v xml:space="preserve">0 </v>
      </c>
      <c r="H25" s="72" t="str">
        <f>'[2]Annex-11'!H26&amp;" "</f>
        <v xml:space="preserve">0 </v>
      </c>
      <c r="I25" s="72" t="str">
        <f>'[2]Annex-11'!I26&amp;" "</f>
        <v xml:space="preserve">0 </v>
      </c>
      <c r="J25" s="72" t="str">
        <f>'[2]Annex-11'!J26&amp;" "</f>
        <v xml:space="preserve">0 </v>
      </c>
      <c r="K25" s="72" t="str">
        <f>'[2]Annex-11'!K26&amp;" "</f>
        <v xml:space="preserve">0 </v>
      </c>
      <c r="L25" s="72" t="str">
        <f>'[2]Annex-11'!L26&amp;" "</f>
        <v xml:space="preserve">0 </v>
      </c>
      <c r="M25" s="72" t="str">
        <f>'[2]Annex-11'!M26&amp;" "</f>
        <v xml:space="preserve">0 </v>
      </c>
      <c r="N25" s="72" t="str">
        <f>'[2]Annex-11'!N26&amp;" "</f>
        <v xml:space="preserve">0 </v>
      </c>
      <c r="O25" s="72" t="str">
        <f>'[2]Annex-11'!O26&amp;" "</f>
        <v xml:space="preserve">0 </v>
      </c>
      <c r="P25" s="72" t="str">
        <f>'[2]Annex-11'!P26&amp;" "</f>
        <v xml:space="preserve">0 </v>
      </c>
    </row>
    <row r="26" spans="1:16" x14ac:dyDescent="0.3">
      <c r="A26" s="112" t="str">
        <f>'[2]Annex-11'!A27</f>
        <v>(%)</v>
      </c>
      <c r="B26" s="72"/>
      <c r="C26" s="72" t="str">
        <f>'[2]Annex-11'!C27</f>
        <v>( 100.0)</v>
      </c>
      <c r="D26" s="72" t="str">
        <f>'[2]Annex-11'!D27</f>
        <v>( 0.0)</v>
      </c>
      <c r="E26" s="72" t="str">
        <f>'[2]Annex-11'!E27</f>
        <v>( 0.0)</v>
      </c>
      <c r="F26" s="72" t="str">
        <f>'[2]Annex-11'!F27</f>
        <v>( 100.0)</v>
      </c>
      <c r="G26" s="72" t="str">
        <f>'[2]Annex-11'!G27</f>
        <v>( 0.0)</v>
      </c>
      <c r="H26" s="72" t="str">
        <f>'[2]Annex-11'!H27</f>
        <v>( 0.0)</v>
      </c>
      <c r="I26" s="72" t="str">
        <f>'[2]Annex-11'!I27</f>
        <v>( 0.0)</v>
      </c>
      <c r="J26" s="72" t="str">
        <f>'[2]Annex-11'!J27</f>
        <v>( 0.0)</v>
      </c>
      <c r="K26" s="72" t="str">
        <f>'[2]Annex-11'!K27</f>
        <v>( 0.0)</v>
      </c>
      <c r="L26" s="72" t="str">
        <f>'[2]Annex-11'!L27</f>
        <v>( 0.0)</v>
      </c>
      <c r="M26" s="72" t="str">
        <f>'[2]Annex-11'!M27</f>
        <v>( 0.0)</v>
      </c>
      <c r="N26" s="72" t="str">
        <f>'[2]Annex-11'!N27</f>
        <v>( 0.0)</v>
      </c>
      <c r="O26" s="72" t="str">
        <f>'[2]Annex-11'!O27</f>
        <v>( 0.0)</v>
      </c>
      <c r="P26" s="72" t="str">
        <f>'[2]Annex-11'!P27</f>
        <v>( 0.0)</v>
      </c>
    </row>
    <row r="27" spans="1:16" x14ac:dyDescent="0.3">
      <c r="A27" s="112" t="str">
        <f>'[2]Annex-11'!A28</f>
        <v>POOLED</v>
      </c>
      <c r="B27" s="72" t="str">
        <f>'[2]Annex-11'!B28&amp;"  "</f>
        <v xml:space="preserve">87  </v>
      </c>
      <c r="C27" s="72" t="str">
        <f>'[2]Annex-11'!C28&amp;" "</f>
        <v xml:space="preserve">76 </v>
      </c>
      <c r="D27" s="72" t="str">
        <f>'[2]Annex-11'!D28&amp;" "</f>
        <v xml:space="preserve">8 </v>
      </c>
      <c r="E27" s="72" t="str">
        <f>'[2]Annex-11'!E28&amp;" "</f>
        <v xml:space="preserve">1 </v>
      </c>
      <c r="F27" s="72" t="str">
        <f>'[2]Annex-11'!F28&amp;" "</f>
        <v xml:space="preserve">85 </v>
      </c>
      <c r="G27" s="72" t="str">
        <f>'[2]Annex-11'!G28&amp;" "</f>
        <v xml:space="preserve">1 </v>
      </c>
      <c r="H27" s="72" t="str">
        <f>'[2]Annex-11'!H28&amp;" "</f>
        <v xml:space="preserve">0 </v>
      </c>
      <c r="I27" s="72" t="str">
        <f>'[2]Annex-11'!I28&amp;" "</f>
        <v xml:space="preserve">0 </v>
      </c>
      <c r="J27" s="72" t="str">
        <f>'[2]Annex-11'!J28&amp;" "</f>
        <v xml:space="preserve">1 </v>
      </c>
      <c r="K27" s="72" t="str">
        <f>'[2]Annex-11'!K28&amp;" "</f>
        <v xml:space="preserve">2 </v>
      </c>
      <c r="L27" s="72" t="str">
        <f>'[2]Annex-11'!L28&amp;" "</f>
        <v xml:space="preserve">0 </v>
      </c>
      <c r="M27" s="72" t="str">
        <f>'[2]Annex-11'!M28&amp;" "</f>
        <v xml:space="preserve">2 </v>
      </c>
      <c r="N27" s="72" t="str">
        <f>'[2]Annex-11'!N28&amp;" "</f>
        <v xml:space="preserve">0 </v>
      </c>
      <c r="O27" s="72" t="str">
        <f>'[2]Annex-11'!O28&amp;" "</f>
        <v xml:space="preserve">0 </v>
      </c>
      <c r="P27" s="72" t="str">
        <f>'[2]Annex-11'!P28&amp;" "</f>
        <v xml:space="preserve">2 </v>
      </c>
    </row>
    <row r="28" spans="1:16" x14ac:dyDescent="0.3">
      <c r="A28" s="112" t="str">
        <f>'[2]Annex-11'!A29</f>
        <v>(%)</v>
      </c>
      <c r="B28" s="72"/>
      <c r="C28" s="72" t="str">
        <f>'[2]Annex-11'!C29</f>
        <v>( 87.4)</v>
      </c>
      <c r="D28" s="72" t="str">
        <f>'[2]Annex-11'!D29</f>
        <v>( 9.2)</v>
      </c>
      <c r="E28" s="72" t="str">
        <f>'[2]Annex-11'!E29</f>
        <v>( 1.1)</v>
      </c>
      <c r="F28" s="72" t="str">
        <f>'[2]Annex-11'!F29</f>
        <v>( 97.7)</v>
      </c>
      <c r="G28" s="72" t="str">
        <f>'[2]Annex-11'!G29</f>
        <v>( 1.1)</v>
      </c>
      <c r="H28" s="72" t="str">
        <f>'[2]Annex-11'!H29</f>
        <v>( 0.0)</v>
      </c>
      <c r="I28" s="72" t="str">
        <f>'[2]Annex-11'!I29</f>
        <v>( 0.0)</v>
      </c>
      <c r="J28" s="72" t="str">
        <f>'[2]Annex-11'!J29</f>
        <v>( 1.1)</v>
      </c>
      <c r="K28" s="72" t="str">
        <f>'[2]Annex-11'!K29</f>
        <v>( 2.3)</v>
      </c>
      <c r="L28" s="72" t="str">
        <f>'[2]Annex-11'!L29</f>
        <v>( 0.0)</v>
      </c>
      <c r="M28" s="72" t="str">
        <f>'[2]Annex-11'!M29</f>
        <v>( 2.3)</v>
      </c>
      <c r="N28" s="72" t="str">
        <f>'[2]Annex-11'!N29</f>
        <v>( 0.0)</v>
      </c>
      <c r="O28" s="72" t="str">
        <f>'[2]Annex-11'!O29</f>
        <v>( 0.0)</v>
      </c>
      <c r="P28" s="72" t="str">
        <f>'[2]Annex-11'!P29</f>
        <v>( 2.3)</v>
      </c>
    </row>
    <row r="29" spans="1:16" x14ac:dyDescent="0.3">
      <c r="A29" s="111" t="str">
        <f>common!$I$5</f>
        <v>RABI II 2023-24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</row>
    <row r="30" spans="1:16" x14ac:dyDescent="0.3">
      <c r="A30" s="112" t="str">
        <f>'[2]Annex-11'!A31</f>
        <v>CENTRAL</v>
      </c>
      <c r="B30" s="72" t="str">
        <f>'[2]Annex-11'!B31&amp;"  "</f>
        <v xml:space="preserve">35  </v>
      </c>
      <c r="C30" s="72" t="str">
        <f>'[2]Annex-11'!C31&amp;" "</f>
        <v xml:space="preserve">30 </v>
      </c>
      <c r="D30" s="72" t="str">
        <f>'[2]Annex-11'!D31&amp;" "</f>
        <v xml:space="preserve">4 </v>
      </c>
      <c r="E30" s="72" t="str">
        <f>'[2]Annex-11'!E31&amp;" "</f>
        <v xml:space="preserve">0 </v>
      </c>
      <c r="F30" s="72" t="str">
        <f>'[2]Annex-11'!F31&amp;" "</f>
        <v xml:space="preserve">34 </v>
      </c>
      <c r="G30" s="72" t="str">
        <f>'[2]Annex-11'!G31&amp;" "</f>
        <v xml:space="preserve">0 </v>
      </c>
      <c r="H30" s="72" t="str">
        <f>'[2]Annex-11'!H31&amp;" "</f>
        <v xml:space="preserve">0 </v>
      </c>
      <c r="I30" s="72" t="str">
        <f>'[2]Annex-11'!I31&amp;" "</f>
        <v xml:space="preserve">0 </v>
      </c>
      <c r="J30" s="72" t="str">
        <f>'[2]Annex-11'!J31&amp;" "</f>
        <v xml:space="preserve">1 </v>
      </c>
      <c r="K30" s="72" t="str">
        <f>'[2]Annex-11'!K31&amp;" "</f>
        <v xml:space="preserve">1 </v>
      </c>
      <c r="L30" s="72" t="str">
        <f>'[2]Annex-11'!L31&amp;" "</f>
        <v xml:space="preserve">1 </v>
      </c>
      <c r="M30" s="72" t="str">
        <f>'[2]Annex-11'!M31&amp;" "</f>
        <v xml:space="preserve">0 </v>
      </c>
      <c r="N30" s="72" t="str">
        <f>'[2]Annex-11'!N31&amp;" "</f>
        <v xml:space="preserve">0 </v>
      </c>
      <c r="O30" s="72" t="str">
        <f>'[2]Annex-11'!O31&amp;" "</f>
        <v xml:space="preserve">0 </v>
      </c>
      <c r="P30" s="72" t="str">
        <f>'[2]Annex-11'!P31&amp;" "</f>
        <v xml:space="preserve">1 </v>
      </c>
    </row>
    <row r="31" spans="1:16" x14ac:dyDescent="0.3">
      <c r="A31" s="112" t="str">
        <f>'[2]Annex-11'!A32</f>
        <v>(%)</v>
      </c>
      <c r="B31" s="72"/>
      <c r="C31" s="72" t="str">
        <f>'[2]Annex-11'!C32</f>
        <v>( 85.7)</v>
      </c>
      <c r="D31" s="72" t="str">
        <f>'[2]Annex-11'!D32</f>
        <v>( 11.4)</v>
      </c>
      <c r="E31" s="72" t="str">
        <f>'[2]Annex-11'!E32</f>
        <v>( 0.0)</v>
      </c>
      <c r="F31" s="72" t="str">
        <f>'[2]Annex-11'!F32</f>
        <v>( 97.1)</v>
      </c>
      <c r="G31" s="72" t="str">
        <f>'[2]Annex-11'!G32</f>
        <v>( 0.0)</v>
      </c>
      <c r="H31" s="72" t="str">
        <f>'[2]Annex-11'!H32</f>
        <v>( 0.0)</v>
      </c>
      <c r="I31" s="72" t="str">
        <f>'[2]Annex-11'!I32</f>
        <v>( 0.0)</v>
      </c>
      <c r="J31" s="72" t="str">
        <f>'[2]Annex-11'!J32</f>
        <v>( 2.9)</v>
      </c>
      <c r="K31" s="72" t="str">
        <f>'[2]Annex-11'!K32</f>
        <v>( 2.9)</v>
      </c>
      <c r="L31" s="72" t="str">
        <f>'[2]Annex-11'!L32</f>
        <v>( 2.9)</v>
      </c>
      <c r="M31" s="72" t="str">
        <f>'[2]Annex-11'!M32</f>
        <v>( 0.0)</v>
      </c>
      <c r="N31" s="72" t="str">
        <f>'[2]Annex-11'!N32</f>
        <v>( 0.0)</v>
      </c>
      <c r="O31" s="72" t="str">
        <f>'[2]Annex-11'!O32</f>
        <v>( 0.0)</v>
      </c>
      <c r="P31" s="72" t="str">
        <f>'[2]Annex-11'!P32</f>
        <v>( 2.9)</v>
      </c>
    </row>
    <row r="32" spans="1:16" x14ac:dyDescent="0.3">
      <c r="A32" s="112" t="str">
        <f>'[2]Annex-11'!A33</f>
        <v>STATE</v>
      </c>
      <c r="B32" s="72" t="str">
        <f>'[2]Annex-11'!B33&amp;"  "</f>
        <v xml:space="preserve">44  </v>
      </c>
      <c r="C32" s="72" t="str">
        <f>'[2]Annex-11'!C33&amp;" "</f>
        <v xml:space="preserve">31 </v>
      </c>
      <c r="D32" s="72" t="str">
        <f>'[2]Annex-11'!D33&amp;" "</f>
        <v xml:space="preserve">13 </v>
      </c>
      <c r="E32" s="72" t="str">
        <f>'[2]Annex-11'!E33&amp;" "</f>
        <v xml:space="preserve">0 </v>
      </c>
      <c r="F32" s="72" t="str">
        <f>'[2]Annex-11'!F33&amp;" "</f>
        <v xml:space="preserve">44 </v>
      </c>
      <c r="G32" s="72" t="str">
        <f>'[2]Annex-11'!G33&amp;" "</f>
        <v xml:space="preserve">0 </v>
      </c>
      <c r="H32" s="72" t="str">
        <f>'[2]Annex-11'!H33&amp;" "</f>
        <v xml:space="preserve">0 </v>
      </c>
      <c r="I32" s="72" t="str">
        <f>'[2]Annex-11'!I33&amp;" "</f>
        <v xml:space="preserve">0 </v>
      </c>
      <c r="J32" s="72" t="str">
        <f>'[2]Annex-11'!J33&amp;" "</f>
        <v xml:space="preserve">0 </v>
      </c>
      <c r="K32" s="72" t="str">
        <f>'[2]Annex-11'!K33&amp;" "</f>
        <v xml:space="preserve">0 </v>
      </c>
      <c r="L32" s="72" t="str">
        <f>'[2]Annex-11'!L33&amp;" "</f>
        <v xml:space="preserve">0 </v>
      </c>
      <c r="M32" s="72" t="str">
        <f>'[2]Annex-11'!M33&amp;" "</f>
        <v xml:space="preserve">0 </v>
      </c>
      <c r="N32" s="72" t="str">
        <f>'[2]Annex-11'!N33&amp;" "</f>
        <v xml:space="preserve">0 </v>
      </c>
      <c r="O32" s="72" t="str">
        <f>'[2]Annex-11'!O33&amp;" "</f>
        <v xml:space="preserve">0 </v>
      </c>
      <c r="P32" s="72" t="str">
        <f>'[2]Annex-11'!P33&amp;" "</f>
        <v xml:space="preserve">0 </v>
      </c>
    </row>
    <row r="33" spans="1:16" x14ac:dyDescent="0.3">
      <c r="A33" s="112" t="str">
        <f>'[2]Annex-11'!A34</f>
        <v>(%)</v>
      </c>
      <c r="B33" s="72"/>
      <c r="C33" s="72" t="str">
        <f>'[2]Annex-11'!C34</f>
        <v>( 70.5)</v>
      </c>
      <c r="D33" s="72" t="str">
        <f>'[2]Annex-11'!D34</f>
        <v>( 29.5)</v>
      </c>
      <c r="E33" s="72" t="str">
        <f>'[2]Annex-11'!E34</f>
        <v>( 0.0)</v>
      </c>
      <c r="F33" s="72" t="str">
        <f>'[2]Annex-11'!F34</f>
        <v>( 100.0)</v>
      </c>
      <c r="G33" s="72" t="str">
        <f>'[2]Annex-11'!G34</f>
        <v>( 0.0)</v>
      </c>
      <c r="H33" s="72" t="str">
        <f>'[2]Annex-11'!H34</f>
        <v>( 0.0)</v>
      </c>
      <c r="I33" s="72" t="str">
        <f>'[2]Annex-11'!I34</f>
        <v>( 0.0)</v>
      </c>
      <c r="J33" s="72" t="str">
        <f>'[2]Annex-11'!J34</f>
        <v>( 0.0)</v>
      </c>
      <c r="K33" s="72" t="str">
        <f>'[2]Annex-11'!K34</f>
        <v>( 0.0)</v>
      </c>
      <c r="L33" s="72" t="str">
        <f>'[2]Annex-11'!L34</f>
        <v>( 0.0)</v>
      </c>
      <c r="M33" s="72" t="str">
        <f>'[2]Annex-11'!M34</f>
        <v>( 0.0)</v>
      </c>
      <c r="N33" s="72" t="str">
        <f>'[2]Annex-11'!N34</f>
        <v>( 0.0)</v>
      </c>
      <c r="O33" s="72" t="str">
        <f>'[2]Annex-11'!O34</f>
        <v>( 0.0)</v>
      </c>
      <c r="P33" s="72" t="str">
        <f>'[2]Annex-11'!P34</f>
        <v>( 0.0)</v>
      </c>
    </row>
    <row r="34" spans="1:16" x14ac:dyDescent="0.3">
      <c r="A34" s="112" t="str">
        <f>'[2]Annex-11'!A35</f>
        <v>POOLED</v>
      </c>
      <c r="B34" s="72" t="str">
        <f>'[2]Annex-11'!B35&amp;"  "</f>
        <v xml:space="preserve">79  </v>
      </c>
      <c r="C34" s="72" t="str">
        <f>'[2]Annex-11'!C35&amp;" "</f>
        <v xml:space="preserve">61 </v>
      </c>
      <c r="D34" s="72" t="str">
        <f>'[2]Annex-11'!D35&amp;" "</f>
        <v xml:space="preserve">17 </v>
      </c>
      <c r="E34" s="72" t="str">
        <f>'[2]Annex-11'!E35&amp;" "</f>
        <v xml:space="preserve">0 </v>
      </c>
      <c r="F34" s="72" t="str">
        <f>'[2]Annex-11'!F35&amp;" "</f>
        <v xml:space="preserve">78 </v>
      </c>
      <c r="G34" s="72" t="str">
        <f>'[2]Annex-11'!G35&amp;" "</f>
        <v xml:space="preserve">0 </v>
      </c>
      <c r="H34" s="72" t="str">
        <f>'[2]Annex-11'!H35&amp;" "</f>
        <v xml:space="preserve">0 </v>
      </c>
      <c r="I34" s="72" t="str">
        <f>'[2]Annex-11'!I35&amp;" "</f>
        <v xml:space="preserve">0 </v>
      </c>
      <c r="J34" s="72" t="str">
        <f>'[2]Annex-11'!J35&amp;" "</f>
        <v xml:space="preserve">1 </v>
      </c>
      <c r="K34" s="72" t="str">
        <f>'[2]Annex-11'!K35&amp;" "</f>
        <v xml:space="preserve">1 </v>
      </c>
      <c r="L34" s="72" t="str">
        <f>'[2]Annex-11'!L35&amp;" "</f>
        <v xml:space="preserve">1 </v>
      </c>
      <c r="M34" s="72" t="str">
        <f>'[2]Annex-11'!M35&amp;" "</f>
        <v xml:space="preserve">0 </v>
      </c>
      <c r="N34" s="72" t="str">
        <f>'[2]Annex-11'!N35&amp;" "</f>
        <v xml:space="preserve">0 </v>
      </c>
      <c r="O34" s="72" t="str">
        <f>'[2]Annex-11'!O35&amp;" "</f>
        <v xml:space="preserve">0 </v>
      </c>
      <c r="P34" s="72" t="str">
        <f>'[2]Annex-11'!P35&amp;" "</f>
        <v xml:space="preserve">1 </v>
      </c>
    </row>
    <row r="35" spans="1:16" ht="15" thickBot="1" x14ac:dyDescent="0.35">
      <c r="A35" s="114" t="str">
        <f>'[2]Annex-11'!A36</f>
        <v>(%)</v>
      </c>
      <c r="B35" s="86"/>
      <c r="C35" s="86" t="str">
        <f>'[2]Annex-11'!C36</f>
        <v>( 77.2)</v>
      </c>
      <c r="D35" s="86" t="str">
        <f>'[2]Annex-11'!D36</f>
        <v>( 21.5)</v>
      </c>
      <c r="E35" s="86" t="str">
        <f>'[2]Annex-11'!E36</f>
        <v>( 0.0)</v>
      </c>
      <c r="F35" s="86" t="str">
        <f>'[2]Annex-11'!F36</f>
        <v>( 98.7)</v>
      </c>
      <c r="G35" s="86" t="str">
        <f>'[2]Annex-11'!G36</f>
        <v>( 0.0)</v>
      </c>
      <c r="H35" s="86" t="str">
        <f>'[2]Annex-11'!H36</f>
        <v>( 0.0)</v>
      </c>
      <c r="I35" s="86" t="str">
        <f>'[2]Annex-11'!I36</f>
        <v>( 0.0)</v>
      </c>
      <c r="J35" s="86" t="str">
        <f>'[2]Annex-11'!J36</f>
        <v>( 1.3)</v>
      </c>
      <c r="K35" s="86" t="str">
        <f>'[2]Annex-11'!K36</f>
        <v>( 1.3)</v>
      </c>
      <c r="L35" s="86" t="str">
        <f>'[2]Annex-11'!L36</f>
        <v>( 1.3)</v>
      </c>
      <c r="M35" s="86" t="str">
        <f>'[2]Annex-11'!M36</f>
        <v>( 0.0)</v>
      </c>
      <c r="N35" s="86" t="str">
        <f>'[2]Annex-11'!N36</f>
        <v>( 0.0)</v>
      </c>
      <c r="O35" s="86" t="str">
        <f>'[2]Annex-11'!O36</f>
        <v>( 0.0)</v>
      </c>
      <c r="P35" s="86" t="str">
        <f>'[2]Annex-11'!P36</f>
        <v>( 1.3)</v>
      </c>
    </row>
    <row r="36" spans="1:16" ht="15" thickTop="1" x14ac:dyDescent="0.3"/>
  </sheetData>
  <mergeCells count="14">
    <mergeCell ref="E5:E6"/>
    <mergeCell ref="F5:F6"/>
    <mergeCell ref="G5:K5"/>
    <mergeCell ref="L5:P5"/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L81"/>
  <sheetViews>
    <sheetView view="pageBreakPreview" zoomScale="55" zoomScaleNormal="70" zoomScaleSheetLayoutView="55" workbookViewId="0">
      <selection activeCell="K5" sqref="K5:K6"/>
    </sheetView>
  </sheetViews>
  <sheetFormatPr defaultRowHeight="14.4" x14ac:dyDescent="0.3"/>
  <cols>
    <col min="1" max="1" width="19" style="210" customWidth="1"/>
    <col min="2" max="2" width="11.77734375" style="210" customWidth="1"/>
    <col min="3" max="3" width="12.6640625" style="210" customWidth="1"/>
    <col min="4" max="4" width="9.109375" style="210" customWidth="1"/>
    <col min="5" max="5" width="11.5546875" style="210" customWidth="1"/>
    <col min="6" max="6" width="12.77734375" style="210" customWidth="1"/>
    <col min="7" max="7" width="9.88671875" style="210" customWidth="1"/>
    <col min="8" max="8" width="11.44140625" style="210" customWidth="1"/>
    <col min="9" max="9" width="12.77734375" style="210" customWidth="1"/>
    <col min="10" max="10" width="10.21875" style="210" customWidth="1"/>
    <col min="11" max="11" width="18.5546875" style="210" customWidth="1"/>
    <col min="12" max="12" width="9.109375" style="210"/>
    <col min="13" max="16384" width="8.88671875" style="211"/>
  </cols>
  <sheetData>
    <row r="1" spans="1:11" x14ac:dyDescent="0.3">
      <c r="A1" s="298" t="s">
        <v>284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</row>
    <row r="2" spans="1:11" x14ac:dyDescent="0.3">
      <c r="A2" s="299" t="str">
        <f>common!$H$2</f>
        <v>UT : PUDUCHERRY</v>
      </c>
      <c r="B2" s="299" t="str">
        <f>common!$H$2</f>
        <v>UT : PUDUCHERRY</v>
      </c>
      <c r="C2" s="299" t="str">
        <f>common!$H$2</f>
        <v>UT : PUDUCHERRY</v>
      </c>
      <c r="D2" s="299" t="str">
        <f>common!$H$2</f>
        <v>UT : PUDUCHERRY</v>
      </c>
      <c r="E2" s="299" t="str">
        <f>common!$H$2</f>
        <v>UT : PUDUCHERRY</v>
      </c>
      <c r="F2" s="299" t="str">
        <f>common!$H$2</f>
        <v>UT : PUDUCHERRY</v>
      </c>
      <c r="G2" s="299" t="str">
        <f>common!$H$2</f>
        <v>UT : PUDUCHERRY</v>
      </c>
      <c r="H2" s="299" t="str">
        <f>common!$H$2</f>
        <v>UT : PUDUCHERRY</v>
      </c>
      <c r="I2" s="299" t="str">
        <f>common!$H$2</f>
        <v>UT : PUDUCHERRY</v>
      </c>
      <c r="J2" s="300" t="str">
        <f>'[3]Annex-12'!J$3</f>
        <v>ANNEX-XII</v>
      </c>
      <c r="K2" s="300"/>
    </row>
    <row r="3" spans="1:11" x14ac:dyDescent="0.3">
      <c r="A3" s="301" t="str">
        <f>'[3]Annex-12'!A$4</f>
        <v>IMPACT OF DISCREPANCIES IN RECORDING AREA UNDER CROPS(HIGH YIELDING VARIETY OF SEEDS) DURING 0 AND 0.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</row>
    <row r="4" spans="1:11" ht="31.2" customHeight="1" x14ac:dyDescent="0.3">
      <c r="A4" s="302" t="s">
        <v>280</v>
      </c>
      <c r="B4" s="303" t="s">
        <v>261</v>
      </c>
      <c r="C4" s="303"/>
      <c r="D4" s="303"/>
      <c r="E4" s="303"/>
      <c r="F4" s="303"/>
      <c r="G4" s="303"/>
      <c r="H4" s="303"/>
      <c r="I4" s="303"/>
      <c r="J4" s="303"/>
      <c r="K4" s="303"/>
    </row>
    <row r="5" spans="1:11" ht="31.2" customHeight="1" x14ac:dyDescent="0.3">
      <c r="A5" s="302"/>
      <c r="B5" s="303" t="s">
        <v>262</v>
      </c>
      <c r="C5" s="303"/>
      <c r="D5" s="303"/>
      <c r="E5" s="303" t="s">
        <v>263</v>
      </c>
      <c r="F5" s="303"/>
      <c r="G5" s="303"/>
      <c r="H5" s="303" t="s">
        <v>264</v>
      </c>
      <c r="I5" s="303"/>
      <c r="J5" s="303"/>
      <c r="K5" s="304" t="s">
        <v>298</v>
      </c>
    </row>
    <row r="6" spans="1:11" ht="72" x14ac:dyDescent="0.3">
      <c r="A6" s="301"/>
      <c r="B6" s="212" t="s">
        <v>266</v>
      </c>
      <c r="C6" s="212" t="s">
        <v>258</v>
      </c>
      <c r="D6" s="212" t="s">
        <v>259</v>
      </c>
      <c r="E6" s="212" t="s">
        <v>266</v>
      </c>
      <c r="F6" s="212" t="s">
        <v>258</v>
      </c>
      <c r="G6" s="212" t="s">
        <v>259</v>
      </c>
      <c r="H6" s="212" t="s">
        <v>266</v>
      </c>
      <c r="I6" s="212" t="s">
        <v>272</v>
      </c>
      <c r="J6" s="212" t="s">
        <v>273</v>
      </c>
      <c r="K6" s="305"/>
    </row>
    <row r="7" spans="1:11" x14ac:dyDescent="0.3">
      <c r="A7" s="213" t="str">
        <f>'[3]Annex-12'!A$8</f>
        <v>(1)</v>
      </c>
      <c r="B7" s="213" t="str">
        <f>'[3]Annex-12'!B$8</f>
        <v>(2)</v>
      </c>
      <c r="C7" s="213" t="str">
        <f>'[3]Annex-12'!C$8</f>
        <v>(3)</v>
      </c>
      <c r="D7" s="213" t="str">
        <f>'[3]Annex-12'!D$8</f>
        <v>(4)</v>
      </c>
      <c r="E7" s="213" t="str">
        <f>'[3]Annex-12'!E$8</f>
        <v>(5)</v>
      </c>
      <c r="F7" s="213" t="str">
        <f>'[3]Annex-12'!F$8</f>
        <v>(6)</v>
      </c>
      <c r="G7" s="213" t="str">
        <f>'[3]Annex-12'!G$8</f>
        <v>(7)</v>
      </c>
      <c r="H7" s="213" t="str">
        <f>'[3]Annex-12'!H$8</f>
        <v>(8)</v>
      </c>
      <c r="I7" s="213" t="str">
        <f>'[3]Annex-12'!I$8</f>
        <v>(9)</v>
      </c>
      <c r="J7" s="213" t="str">
        <f>'[3]Annex-12'!J$8</f>
        <v>(10)</v>
      </c>
      <c r="K7" s="213" t="str">
        <f>'[3]Annex-12'!L$8</f>
        <v>(11)</v>
      </c>
    </row>
    <row r="8" spans="1:11" ht="26.4" customHeight="1" x14ac:dyDescent="0.3">
      <c r="A8" s="214" t="str">
        <f>common!$H$4</f>
        <v>RABI I 2024-25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</row>
    <row r="9" spans="1:11" ht="26.4" customHeight="1" x14ac:dyDescent="0.3">
      <c r="A9" s="216" t="str">
        <f>IF([4]Crops!$A7="","",[4]Crops!$A7)</f>
        <v>PADDY</v>
      </c>
      <c r="B9" s="217" t="str">
        <f>ROUND('[3]Annex-12'!B10,2)&amp;"  "</f>
        <v xml:space="preserve">3  </v>
      </c>
      <c r="C9" s="217" t="str">
        <f>IF(INT('[3]Annex-12'!C10)='[3]Annex-12'!C10,'[3]Annex-12'!C10&amp;".00  ",IF(INT('[3]Annex-12'!C10*10)='[3]Annex-12'!C10*10,'[3]Annex-12'!C10&amp;"0  ",ROUND('[3]Annex-12'!C10,2)&amp;"  "))</f>
        <v xml:space="preserve">4.46  </v>
      </c>
      <c r="D9" s="217" t="str">
        <f>IF(INT('[3]Annex-12'!D10)='[3]Annex-12'!D10,'[3]Annex-12'!D10&amp;".00  ",IF(INT('[3]Annex-12'!D10*10)='[3]Annex-12'!D10*10,'[3]Annex-12'!D10&amp;"0  ",ROUND('[3]Annex-12'!D10,2)&amp;"  "))</f>
        <v xml:space="preserve">4.59  </v>
      </c>
      <c r="E9" s="217" t="str">
        <f>ROUND('[3]Annex-12'!E10,2)&amp;"  "</f>
        <v xml:space="preserve">8  </v>
      </c>
      <c r="F9" s="217" t="str">
        <f>IF(INT('[3]Annex-12'!F10)='[3]Annex-12'!F10,'[3]Annex-12'!F10&amp;".00  ",IF(INT('[3]Annex-12'!F10*10)='[3]Annex-12'!F10*10,'[3]Annex-12'!F10&amp;"0  ",ROUND('[3]Annex-12'!F10,2)&amp;"  "))</f>
        <v xml:space="preserve">15.62  </v>
      </c>
      <c r="G9" s="217" t="str">
        <f>IF(INT('[3]Annex-12'!G10)='[3]Annex-12'!G10,'[3]Annex-12'!G10&amp;".00  ",IF(INT('[3]Annex-12'!G10*10)='[3]Annex-12'!G10*10,'[3]Annex-12'!G10&amp;"0  ",ROUND('[3]Annex-12'!G10,2)&amp;"  "))</f>
        <v xml:space="preserve">15.51  </v>
      </c>
      <c r="H9" s="217" t="str">
        <f>ROUND('[3]Annex-12'!H10,2)&amp;"  "</f>
        <v xml:space="preserve">11  </v>
      </c>
      <c r="I9" s="217" t="str">
        <f>IF(INT('[3]Annex-12'!I10)='[3]Annex-12'!I10,'[3]Annex-12'!I10&amp;".00  ",IF(INT('[3]Annex-12'!I10*10)='[3]Annex-12'!I10*10,'[3]Annex-12'!I10&amp;"0  ",ROUND('[3]Annex-12'!I10,2)&amp;"  "))</f>
        <v xml:space="preserve">20.08  </v>
      </c>
      <c r="J9" s="217" t="str">
        <f>IF(INT('[3]Annex-12'!J10)='[3]Annex-12'!J10,'[3]Annex-12'!J10&amp;".00  ",IF(INT('[3]Annex-12'!J10*10)='[3]Annex-12'!J10*10,'[3]Annex-12'!J10&amp;"0  ",ROUND('[3]Annex-12'!J10,2)&amp;"  "))</f>
        <v xml:space="preserve">20.1  </v>
      </c>
      <c r="K9" s="217" t="str">
        <f>IF('[3]Annex-12'!K10&lt;0,"(-)"&amp;FIXED(ABS('[3]Annex-12'!K10),2)&amp;"    ",FIXED('[3]Annex-12'!K10,2)&amp;"    ")</f>
        <v xml:space="preserve">0.10    </v>
      </c>
    </row>
    <row r="10" spans="1:11" ht="26.4" customHeight="1" x14ac:dyDescent="0.3">
      <c r="A10" s="216" t="str">
        <f>IF([4]Crops!$A8="","",[4]Crops!$A8)</f>
        <v>OTHERS</v>
      </c>
      <c r="B10" s="217" t="str">
        <f>ROUND('[3]Annex-12'!B11,2)&amp;"  "</f>
        <v xml:space="preserve">4  </v>
      </c>
      <c r="C10" s="217" t="str">
        <f>IF(INT('[3]Annex-12'!C11)='[3]Annex-12'!C11,'[3]Annex-12'!C11&amp;".00  ",IF(INT('[3]Annex-12'!C11*10)='[3]Annex-12'!C11*10,'[3]Annex-12'!C11&amp;"0  ",ROUND('[3]Annex-12'!C11,2)&amp;"  "))</f>
        <v xml:space="preserve">1.73  </v>
      </c>
      <c r="D10" s="217" t="str">
        <f>IF(INT('[3]Annex-12'!D11)='[3]Annex-12'!D11,'[3]Annex-12'!D11&amp;".00  ",IF(INT('[3]Annex-12'!D11*10)='[3]Annex-12'!D11*10,'[3]Annex-12'!D11&amp;"0  ",ROUND('[3]Annex-12'!D11,2)&amp;"  "))</f>
        <v xml:space="preserve">2.59  </v>
      </c>
      <c r="E10" s="217" t="str">
        <f>ROUND('[3]Annex-12'!E11,2)&amp;"  "</f>
        <v xml:space="preserve">6  </v>
      </c>
      <c r="F10" s="217" t="str">
        <f>IF(INT('[3]Annex-12'!F11)='[3]Annex-12'!F11,'[3]Annex-12'!F11&amp;".00  ",IF(INT('[3]Annex-12'!F11*10)='[3]Annex-12'!F11*10,'[3]Annex-12'!F11&amp;"0  ",ROUND('[3]Annex-12'!F11,2)&amp;"  "))</f>
        <v xml:space="preserve">5.83  </v>
      </c>
      <c r="G10" s="217" t="str">
        <f>IF(INT('[3]Annex-12'!G11)='[3]Annex-12'!G11,'[3]Annex-12'!G11&amp;".00  ",IF(INT('[3]Annex-12'!G11*10)='[3]Annex-12'!G11*10,'[3]Annex-12'!G11&amp;"0  ",ROUND('[3]Annex-12'!G11,2)&amp;"  "))</f>
        <v xml:space="preserve">5.93  </v>
      </c>
      <c r="H10" s="217" t="str">
        <f>ROUND('[3]Annex-12'!H11,2)&amp;"  "</f>
        <v xml:space="preserve">10  </v>
      </c>
      <c r="I10" s="217" t="str">
        <f>IF(INT('[3]Annex-12'!I11)='[3]Annex-12'!I11,'[3]Annex-12'!I11&amp;".00  ",IF(INT('[3]Annex-12'!I11*10)='[3]Annex-12'!I11*10,'[3]Annex-12'!I11&amp;"0  ",ROUND('[3]Annex-12'!I11,2)&amp;"  "))</f>
        <v xml:space="preserve">7.56  </v>
      </c>
      <c r="J10" s="217" t="str">
        <f>IF(INT('[3]Annex-12'!J11)='[3]Annex-12'!J11,'[3]Annex-12'!J11&amp;".00  ",IF(INT('[3]Annex-12'!J11*10)='[3]Annex-12'!J11*10,'[3]Annex-12'!J11&amp;"0  ",ROUND('[3]Annex-12'!J11,2)&amp;"  "))</f>
        <v xml:space="preserve">8.52  </v>
      </c>
      <c r="K10" s="217" t="str">
        <f>IF('[3]Annex-12'!K11&lt;0,"(-)"&amp;FIXED(ABS('[3]Annex-12'!K11),2)&amp;"    ",FIXED('[3]Annex-12'!K11,2)&amp;"    ")</f>
        <v xml:space="preserve">12.81    </v>
      </c>
    </row>
    <row r="11" spans="1:11" hidden="1" x14ac:dyDescent="0.3">
      <c r="A11" s="216" t="str">
        <f>IF([4]Crops!$A9="","",[4]Crops!$A9)</f>
        <v/>
      </c>
      <c r="B11" s="217" t="e">
        <f>ROUND('[3]Annex-12'!B12,2)&amp;"  "</f>
        <v>#VALUE!</v>
      </c>
      <c r="C11" s="217" t="e">
        <f>IF(INT('[3]Annex-12'!C12)='[3]Annex-12'!C12,'[3]Annex-12'!C12&amp;".00  ",IF(INT('[3]Annex-12'!C12*10)='[3]Annex-12'!C12*10,'[3]Annex-12'!C12&amp;"0  ",ROUND('[3]Annex-12'!C12,2)&amp;"  "))</f>
        <v>#VALUE!</v>
      </c>
      <c r="D11" s="217" t="e">
        <f>IF(INT('[3]Annex-12'!D12)='[3]Annex-12'!D12,'[3]Annex-12'!D12&amp;".00  ",IF(INT('[3]Annex-12'!D12*10)='[3]Annex-12'!D12*10,'[3]Annex-12'!D12&amp;"0  ",ROUND('[3]Annex-12'!D12,2)&amp;"  "))</f>
        <v>#VALUE!</v>
      </c>
      <c r="E11" s="217" t="e">
        <f>ROUND('[3]Annex-12'!E12,2)&amp;"  "</f>
        <v>#VALUE!</v>
      </c>
      <c r="F11" s="217" t="e">
        <f>IF(INT('[3]Annex-12'!F12)='[3]Annex-12'!F12,'[3]Annex-12'!F12&amp;".00  ",IF(INT('[3]Annex-12'!F12*10)='[3]Annex-12'!F12*10,'[3]Annex-12'!F12&amp;"0  ",ROUND('[3]Annex-12'!F12,2)&amp;"  "))</f>
        <v>#VALUE!</v>
      </c>
      <c r="G11" s="217" t="e">
        <f>IF(INT('[3]Annex-12'!G12)='[3]Annex-12'!G12,'[3]Annex-12'!G12&amp;".00  ",IF(INT('[3]Annex-12'!G12*10)='[3]Annex-12'!G12*10,'[3]Annex-12'!G12&amp;"0  ",ROUND('[3]Annex-12'!G12,2)&amp;"  "))</f>
        <v>#VALUE!</v>
      </c>
      <c r="H11" s="217" t="e">
        <f>ROUND('[3]Annex-12'!H12,2)&amp;"  "</f>
        <v>#VALUE!</v>
      </c>
      <c r="I11" s="217" t="e">
        <f>IF(INT('[3]Annex-12'!I12)='[3]Annex-12'!I12,'[3]Annex-12'!I12&amp;".00  ",IF(INT('[3]Annex-12'!I12*10)='[3]Annex-12'!I12*10,'[3]Annex-12'!I12&amp;"0  ",ROUND('[3]Annex-12'!I12,2)&amp;"  "))</f>
        <v>#VALUE!</v>
      </c>
      <c r="J11" s="217" t="e">
        <f>IF(INT('[3]Annex-12'!J12)='[3]Annex-12'!J12,'[3]Annex-12'!J12&amp;".00  ",IF(INT('[3]Annex-12'!J12*10)='[3]Annex-12'!J12*10,'[3]Annex-12'!J12&amp;"0  ",ROUND('[3]Annex-12'!J12,2)&amp;"  "))</f>
        <v>#VALUE!</v>
      </c>
      <c r="K11" s="217" t="e">
        <f>IF('[3]Annex-12'!K12&lt;0,"(-)"&amp;FIXED(ABS('[3]Annex-12'!K12),2)&amp;"    ",FIXED('[3]Annex-12'!K12,2)&amp;"    ")</f>
        <v>#VALUE!</v>
      </c>
    </row>
    <row r="12" spans="1:11" hidden="1" x14ac:dyDescent="0.3">
      <c r="A12" s="216" t="str">
        <f>IF([4]Crops!$A10="","",[4]Crops!$A10)</f>
        <v/>
      </c>
      <c r="B12" s="217" t="e">
        <f>ROUND('[3]Annex-12'!B13,2)&amp;"  "</f>
        <v>#VALUE!</v>
      </c>
      <c r="C12" s="217" t="e">
        <f>IF(INT('[3]Annex-12'!C13)='[3]Annex-12'!C13,'[3]Annex-12'!C13&amp;".00  ",IF(INT('[3]Annex-12'!C13*10)='[3]Annex-12'!C13*10,'[3]Annex-12'!C13&amp;"0  ",ROUND('[3]Annex-12'!C13,2)&amp;"  "))</f>
        <v>#VALUE!</v>
      </c>
      <c r="D12" s="217" t="e">
        <f>IF(INT('[3]Annex-12'!D13)='[3]Annex-12'!D13,'[3]Annex-12'!D13&amp;".00  ",IF(INT('[3]Annex-12'!D13*10)='[3]Annex-12'!D13*10,'[3]Annex-12'!D13&amp;"0  ",ROUND('[3]Annex-12'!D13,2)&amp;"  "))</f>
        <v>#VALUE!</v>
      </c>
      <c r="E12" s="217" t="e">
        <f>ROUND('[3]Annex-12'!E13,2)&amp;"  "</f>
        <v>#VALUE!</v>
      </c>
      <c r="F12" s="217" t="e">
        <f>IF(INT('[3]Annex-12'!F13)='[3]Annex-12'!F13,'[3]Annex-12'!F13&amp;".00  ",IF(INT('[3]Annex-12'!F13*10)='[3]Annex-12'!F13*10,'[3]Annex-12'!F13&amp;"0  ",ROUND('[3]Annex-12'!F13,2)&amp;"  "))</f>
        <v>#VALUE!</v>
      </c>
      <c r="G12" s="217" t="e">
        <f>IF(INT('[3]Annex-12'!G13)='[3]Annex-12'!G13,'[3]Annex-12'!G13&amp;".00  ",IF(INT('[3]Annex-12'!G13*10)='[3]Annex-12'!G13*10,'[3]Annex-12'!G13&amp;"0  ",ROUND('[3]Annex-12'!G13,2)&amp;"  "))</f>
        <v>#VALUE!</v>
      </c>
      <c r="H12" s="217" t="e">
        <f>ROUND('[3]Annex-12'!H13,2)&amp;"  "</f>
        <v>#VALUE!</v>
      </c>
      <c r="I12" s="217" t="e">
        <f>IF(INT('[3]Annex-12'!I13)='[3]Annex-12'!I13,'[3]Annex-12'!I13&amp;".00  ",IF(INT('[3]Annex-12'!I13*10)='[3]Annex-12'!I13*10,'[3]Annex-12'!I13&amp;"0  ",ROUND('[3]Annex-12'!I13,2)&amp;"  "))</f>
        <v>#VALUE!</v>
      </c>
      <c r="J12" s="217" t="e">
        <f>IF(INT('[3]Annex-12'!J13)='[3]Annex-12'!J13,'[3]Annex-12'!J13&amp;".00  ",IF(INT('[3]Annex-12'!J13*10)='[3]Annex-12'!J13*10,'[3]Annex-12'!J13&amp;"0  ",ROUND('[3]Annex-12'!J13,2)&amp;"  "))</f>
        <v>#VALUE!</v>
      </c>
      <c r="K12" s="217" t="e">
        <f>IF('[3]Annex-12'!K13&lt;0,"(-)"&amp;FIXED(ABS('[3]Annex-12'!K13),2)&amp;"    ",FIXED('[3]Annex-12'!K13,2)&amp;"    ")</f>
        <v>#VALUE!</v>
      </c>
    </row>
    <row r="13" spans="1:11" hidden="1" x14ac:dyDescent="0.3">
      <c r="A13" s="216" t="str">
        <f>IF([4]Crops!$A11="","",[4]Crops!$A11)</f>
        <v/>
      </c>
      <c r="B13" s="217" t="e">
        <f>ROUND('[3]Annex-12'!B14,2)&amp;"  "</f>
        <v>#VALUE!</v>
      </c>
      <c r="C13" s="217" t="e">
        <f>IF(INT('[3]Annex-12'!C14)='[3]Annex-12'!C14,'[3]Annex-12'!C14&amp;".00  ",IF(INT('[3]Annex-12'!C14*10)='[3]Annex-12'!C14*10,'[3]Annex-12'!C14&amp;"0  ",ROUND('[3]Annex-12'!C14,2)&amp;"  "))</f>
        <v>#VALUE!</v>
      </c>
      <c r="D13" s="217" t="e">
        <f>IF(INT('[3]Annex-12'!D14)='[3]Annex-12'!D14,'[3]Annex-12'!D14&amp;".00  ",IF(INT('[3]Annex-12'!D14*10)='[3]Annex-12'!D14*10,'[3]Annex-12'!D14&amp;"0  ",ROUND('[3]Annex-12'!D14,2)&amp;"  "))</f>
        <v>#VALUE!</v>
      </c>
      <c r="E13" s="217" t="e">
        <f>ROUND('[3]Annex-12'!E14,2)&amp;"  "</f>
        <v>#VALUE!</v>
      </c>
      <c r="F13" s="217" t="e">
        <f>IF(INT('[3]Annex-12'!F14)='[3]Annex-12'!F14,'[3]Annex-12'!F14&amp;".00  ",IF(INT('[3]Annex-12'!F14*10)='[3]Annex-12'!F14*10,'[3]Annex-12'!F14&amp;"0  ",ROUND('[3]Annex-12'!F14,2)&amp;"  "))</f>
        <v>#VALUE!</v>
      </c>
      <c r="G13" s="217" t="e">
        <f>IF(INT('[3]Annex-12'!G14)='[3]Annex-12'!G14,'[3]Annex-12'!G14&amp;".00  ",IF(INT('[3]Annex-12'!G14*10)='[3]Annex-12'!G14*10,'[3]Annex-12'!G14&amp;"0  ",ROUND('[3]Annex-12'!G14,2)&amp;"  "))</f>
        <v>#VALUE!</v>
      </c>
      <c r="H13" s="217" t="e">
        <f>ROUND('[3]Annex-12'!H14,2)&amp;"  "</f>
        <v>#VALUE!</v>
      </c>
      <c r="I13" s="217" t="e">
        <f>IF(INT('[3]Annex-12'!I14)='[3]Annex-12'!I14,'[3]Annex-12'!I14&amp;".00  ",IF(INT('[3]Annex-12'!I14*10)='[3]Annex-12'!I14*10,'[3]Annex-12'!I14&amp;"0  ",ROUND('[3]Annex-12'!I14,2)&amp;"  "))</f>
        <v>#VALUE!</v>
      </c>
      <c r="J13" s="217" t="e">
        <f>IF(INT('[3]Annex-12'!J14)='[3]Annex-12'!J14,'[3]Annex-12'!J14&amp;".00  ",IF(INT('[3]Annex-12'!J14*10)='[3]Annex-12'!J14*10,'[3]Annex-12'!J14&amp;"0  ",ROUND('[3]Annex-12'!J14,2)&amp;"  "))</f>
        <v>#VALUE!</v>
      </c>
      <c r="K13" s="217" t="e">
        <f>IF('[3]Annex-12'!K14&lt;0,"(-)"&amp;FIXED(ABS('[3]Annex-12'!K14),2)&amp;"    ",FIXED('[3]Annex-12'!K14,2)&amp;"    ")</f>
        <v>#VALUE!</v>
      </c>
    </row>
    <row r="14" spans="1:11" hidden="1" x14ac:dyDescent="0.3">
      <c r="A14" s="216" t="str">
        <f>IF([4]Crops!$A12="","",[4]Crops!$A12)</f>
        <v/>
      </c>
      <c r="B14" s="217" t="e">
        <f>ROUND('[3]Annex-12'!B15,2)&amp;"  "</f>
        <v>#VALUE!</v>
      </c>
      <c r="C14" s="217" t="e">
        <f>IF(INT('[3]Annex-12'!C15)='[3]Annex-12'!C15,'[3]Annex-12'!C15&amp;".00  ",IF(INT('[3]Annex-12'!C15*10)='[3]Annex-12'!C15*10,'[3]Annex-12'!C15&amp;"0  ",ROUND('[3]Annex-12'!C15,2)&amp;"  "))</f>
        <v>#VALUE!</v>
      </c>
      <c r="D14" s="217" t="e">
        <f>IF(INT('[3]Annex-12'!D15)='[3]Annex-12'!D15,'[3]Annex-12'!D15&amp;".00  ",IF(INT('[3]Annex-12'!D15*10)='[3]Annex-12'!D15*10,'[3]Annex-12'!D15&amp;"0  ",ROUND('[3]Annex-12'!D15,2)&amp;"  "))</f>
        <v>#VALUE!</v>
      </c>
      <c r="E14" s="217" t="e">
        <f>ROUND('[3]Annex-12'!E15,2)&amp;"  "</f>
        <v>#VALUE!</v>
      </c>
      <c r="F14" s="217" t="e">
        <f>IF(INT('[3]Annex-12'!F15)='[3]Annex-12'!F15,'[3]Annex-12'!F15&amp;".00  ",IF(INT('[3]Annex-12'!F15*10)='[3]Annex-12'!F15*10,'[3]Annex-12'!F15&amp;"0  ",ROUND('[3]Annex-12'!F15,2)&amp;"  "))</f>
        <v>#VALUE!</v>
      </c>
      <c r="G14" s="217" t="e">
        <f>IF(INT('[3]Annex-12'!G15)='[3]Annex-12'!G15,'[3]Annex-12'!G15&amp;".00  ",IF(INT('[3]Annex-12'!G15*10)='[3]Annex-12'!G15*10,'[3]Annex-12'!G15&amp;"0  ",ROUND('[3]Annex-12'!G15,2)&amp;"  "))</f>
        <v>#VALUE!</v>
      </c>
      <c r="H14" s="217" t="e">
        <f>ROUND('[3]Annex-12'!H15,2)&amp;"  "</f>
        <v>#VALUE!</v>
      </c>
      <c r="I14" s="217" t="e">
        <f>IF(INT('[3]Annex-12'!I15)='[3]Annex-12'!I15,'[3]Annex-12'!I15&amp;".00  ",IF(INT('[3]Annex-12'!I15*10)='[3]Annex-12'!I15*10,'[3]Annex-12'!I15&amp;"0  ",ROUND('[3]Annex-12'!I15,2)&amp;"  "))</f>
        <v>#VALUE!</v>
      </c>
      <c r="J14" s="217" t="e">
        <f>IF(INT('[3]Annex-12'!J15)='[3]Annex-12'!J15,'[3]Annex-12'!J15&amp;".00  ",IF(INT('[3]Annex-12'!J15*10)='[3]Annex-12'!J15*10,'[3]Annex-12'!J15&amp;"0  ",ROUND('[3]Annex-12'!J15,2)&amp;"  "))</f>
        <v>#VALUE!</v>
      </c>
      <c r="K14" s="217" t="e">
        <f>IF('[3]Annex-12'!K15&lt;0,"(-)"&amp;FIXED(ABS('[3]Annex-12'!K15),2)&amp;"    ",FIXED('[3]Annex-12'!K15,2)&amp;"    ")</f>
        <v>#VALUE!</v>
      </c>
    </row>
    <row r="15" spans="1:11" hidden="1" x14ac:dyDescent="0.3">
      <c r="A15" s="216" t="str">
        <f>IF([4]Crops!$A13="","",[4]Crops!$A13)</f>
        <v/>
      </c>
      <c r="B15" s="217" t="e">
        <f>ROUND('[3]Annex-12'!B16,2)&amp;"  "</f>
        <v>#VALUE!</v>
      </c>
      <c r="C15" s="217" t="e">
        <f>IF(INT('[3]Annex-12'!C16)='[3]Annex-12'!C16,'[3]Annex-12'!C16&amp;".00  ",IF(INT('[3]Annex-12'!C16*10)='[3]Annex-12'!C16*10,'[3]Annex-12'!C16&amp;"0  ",ROUND('[3]Annex-12'!C16,2)&amp;"  "))</f>
        <v>#VALUE!</v>
      </c>
      <c r="D15" s="217" t="e">
        <f>IF(INT('[3]Annex-12'!D16)='[3]Annex-12'!D16,'[3]Annex-12'!D16&amp;".00  ",IF(INT('[3]Annex-12'!D16*10)='[3]Annex-12'!D16*10,'[3]Annex-12'!D16&amp;"0  ",ROUND('[3]Annex-12'!D16,2)&amp;"  "))</f>
        <v>#VALUE!</v>
      </c>
      <c r="E15" s="217" t="e">
        <f>ROUND('[3]Annex-12'!E16,2)&amp;"  "</f>
        <v>#VALUE!</v>
      </c>
      <c r="F15" s="217" t="e">
        <f>IF(INT('[3]Annex-12'!F16)='[3]Annex-12'!F16,'[3]Annex-12'!F16&amp;".00  ",IF(INT('[3]Annex-12'!F16*10)='[3]Annex-12'!F16*10,'[3]Annex-12'!F16&amp;"0  ",ROUND('[3]Annex-12'!F16,2)&amp;"  "))</f>
        <v>#VALUE!</v>
      </c>
      <c r="G15" s="217" t="e">
        <f>IF(INT('[3]Annex-12'!G16)='[3]Annex-12'!G16,'[3]Annex-12'!G16&amp;".00  ",IF(INT('[3]Annex-12'!G16*10)='[3]Annex-12'!G16*10,'[3]Annex-12'!G16&amp;"0  ",ROUND('[3]Annex-12'!G16,2)&amp;"  "))</f>
        <v>#VALUE!</v>
      </c>
      <c r="H15" s="217" t="e">
        <f>ROUND('[3]Annex-12'!H16,2)&amp;"  "</f>
        <v>#VALUE!</v>
      </c>
      <c r="I15" s="217" t="e">
        <f>IF(INT('[3]Annex-12'!I16)='[3]Annex-12'!I16,'[3]Annex-12'!I16&amp;".00  ",IF(INT('[3]Annex-12'!I16*10)='[3]Annex-12'!I16*10,'[3]Annex-12'!I16&amp;"0  ",ROUND('[3]Annex-12'!I16,2)&amp;"  "))</f>
        <v>#VALUE!</v>
      </c>
      <c r="J15" s="217" t="e">
        <f>IF(INT('[3]Annex-12'!J16)='[3]Annex-12'!J16,'[3]Annex-12'!J16&amp;".00  ",IF(INT('[3]Annex-12'!J16*10)='[3]Annex-12'!J16*10,'[3]Annex-12'!J16&amp;"0  ",ROUND('[3]Annex-12'!J16,2)&amp;"  "))</f>
        <v>#VALUE!</v>
      </c>
      <c r="K15" s="217" t="e">
        <f>IF('[3]Annex-12'!K16&lt;0,"(-)"&amp;FIXED(ABS('[3]Annex-12'!K16),2)&amp;"    ",FIXED('[3]Annex-12'!K16,2)&amp;"    ")</f>
        <v>#VALUE!</v>
      </c>
    </row>
    <row r="16" spans="1:11" hidden="1" x14ac:dyDescent="0.3">
      <c r="A16" s="216" t="str">
        <f>IF([4]Crops!$A14="","",[4]Crops!$A14)</f>
        <v/>
      </c>
      <c r="B16" s="217" t="e">
        <f>ROUND('[3]Annex-12'!B17,2)&amp;"  "</f>
        <v>#VALUE!</v>
      </c>
      <c r="C16" s="217" t="e">
        <f>IF(INT('[3]Annex-12'!C17)='[3]Annex-12'!C17,'[3]Annex-12'!C17&amp;".00  ",IF(INT('[3]Annex-12'!C17*10)='[3]Annex-12'!C17*10,'[3]Annex-12'!C17&amp;"0  ",ROUND('[3]Annex-12'!C17,2)&amp;"  "))</f>
        <v>#VALUE!</v>
      </c>
      <c r="D16" s="217" t="e">
        <f>IF(INT('[3]Annex-12'!D17)='[3]Annex-12'!D17,'[3]Annex-12'!D17&amp;".00  ",IF(INT('[3]Annex-12'!D17*10)='[3]Annex-12'!D17*10,'[3]Annex-12'!D17&amp;"0  ",ROUND('[3]Annex-12'!D17,2)&amp;"  "))</f>
        <v>#VALUE!</v>
      </c>
      <c r="E16" s="217" t="e">
        <f>ROUND('[3]Annex-12'!E17,2)&amp;"  "</f>
        <v>#VALUE!</v>
      </c>
      <c r="F16" s="217" t="e">
        <f>IF(INT('[3]Annex-12'!F17)='[3]Annex-12'!F17,'[3]Annex-12'!F17&amp;".00  ",IF(INT('[3]Annex-12'!F17*10)='[3]Annex-12'!F17*10,'[3]Annex-12'!F17&amp;"0  ",ROUND('[3]Annex-12'!F17,2)&amp;"  "))</f>
        <v>#VALUE!</v>
      </c>
      <c r="G16" s="217" t="e">
        <f>IF(INT('[3]Annex-12'!G17)='[3]Annex-12'!G17,'[3]Annex-12'!G17&amp;".00  ",IF(INT('[3]Annex-12'!G17*10)='[3]Annex-12'!G17*10,'[3]Annex-12'!G17&amp;"0  ",ROUND('[3]Annex-12'!G17,2)&amp;"  "))</f>
        <v>#VALUE!</v>
      </c>
      <c r="H16" s="217" t="e">
        <f>ROUND('[3]Annex-12'!H17,2)&amp;"  "</f>
        <v>#VALUE!</v>
      </c>
      <c r="I16" s="217" t="e">
        <f>IF(INT('[3]Annex-12'!I17)='[3]Annex-12'!I17,'[3]Annex-12'!I17&amp;".00  ",IF(INT('[3]Annex-12'!I17*10)='[3]Annex-12'!I17*10,'[3]Annex-12'!I17&amp;"0  ",ROUND('[3]Annex-12'!I17,2)&amp;"  "))</f>
        <v>#VALUE!</v>
      </c>
      <c r="J16" s="217" t="e">
        <f>IF(INT('[3]Annex-12'!J17)='[3]Annex-12'!J17,'[3]Annex-12'!J17&amp;".00  ",IF(INT('[3]Annex-12'!J17*10)='[3]Annex-12'!J17*10,'[3]Annex-12'!J17&amp;"0  ",ROUND('[3]Annex-12'!J17,2)&amp;"  "))</f>
        <v>#VALUE!</v>
      </c>
      <c r="K16" s="217" t="e">
        <f>IF('[3]Annex-12'!K17&lt;0,"(-)"&amp;FIXED(ABS('[3]Annex-12'!K17),2)&amp;"    ",FIXED('[3]Annex-12'!K17,2)&amp;"    ")</f>
        <v>#VALUE!</v>
      </c>
    </row>
    <row r="17" spans="1:11" hidden="1" x14ac:dyDescent="0.3">
      <c r="A17" s="216" t="str">
        <f>IF([4]Crops!$A15="","",[4]Crops!$A15)</f>
        <v/>
      </c>
      <c r="B17" s="217" t="e">
        <f>ROUND('[3]Annex-12'!B18,2)&amp;"  "</f>
        <v>#VALUE!</v>
      </c>
      <c r="C17" s="217" t="e">
        <f>IF(INT('[3]Annex-12'!C18)='[3]Annex-12'!C18,'[3]Annex-12'!C18&amp;".00  ",IF(INT('[3]Annex-12'!C18*10)='[3]Annex-12'!C18*10,'[3]Annex-12'!C18&amp;"0  ",ROUND('[3]Annex-12'!C18,2)&amp;"  "))</f>
        <v>#VALUE!</v>
      </c>
      <c r="D17" s="217" t="e">
        <f>IF(INT('[3]Annex-12'!D18)='[3]Annex-12'!D18,'[3]Annex-12'!D18&amp;".00  ",IF(INT('[3]Annex-12'!D18*10)='[3]Annex-12'!D18*10,'[3]Annex-12'!D18&amp;"0  ",ROUND('[3]Annex-12'!D18,2)&amp;"  "))</f>
        <v>#VALUE!</v>
      </c>
      <c r="E17" s="217" t="e">
        <f>ROUND('[3]Annex-12'!E18,2)&amp;"  "</f>
        <v>#VALUE!</v>
      </c>
      <c r="F17" s="217" t="e">
        <f>IF(INT('[3]Annex-12'!F18)='[3]Annex-12'!F18,'[3]Annex-12'!F18&amp;".00  ",IF(INT('[3]Annex-12'!F18*10)='[3]Annex-12'!F18*10,'[3]Annex-12'!F18&amp;"0  ",ROUND('[3]Annex-12'!F18,2)&amp;"  "))</f>
        <v>#VALUE!</v>
      </c>
      <c r="G17" s="217" t="e">
        <f>IF(INT('[3]Annex-12'!G18)='[3]Annex-12'!G18,'[3]Annex-12'!G18&amp;".00  ",IF(INT('[3]Annex-12'!G18*10)='[3]Annex-12'!G18*10,'[3]Annex-12'!G18&amp;"0  ",ROUND('[3]Annex-12'!G18,2)&amp;"  "))</f>
        <v>#VALUE!</v>
      </c>
      <c r="H17" s="217" t="e">
        <f>ROUND('[3]Annex-12'!H18,2)&amp;"  "</f>
        <v>#VALUE!</v>
      </c>
      <c r="I17" s="217" t="e">
        <f>IF(INT('[3]Annex-12'!I18)='[3]Annex-12'!I18,'[3]Annex-12'!I18&amp;".00  ",IF(INT('[3]Annex-12'!I18*10)='[3]Annex-12'!I18*10,'[3]Annex-12'!I18&amp;"0  ",ROUND('[3]Annex-12'!I18,2)&amp;"  "))</f>
        <v>#VALUE!</v>
      </c>
      <c r="J17" s="217" t="e">
        <f>IF(INT('[3]Annex-12'!J18)='[3]Annex-12'!J18,'[3]Annex-12'!J18&amp;".00  ",IF(INT('[3]Annex-12'!J18*10)='[3]Annex-12'!J18*10,'[3]Annex-12'!J18&amp;"0  ",ROUND('[3]Annex-12'!J18,2)&amp;"  "))</f>
        <v>#VALUE!</v>
      </c>
      <c r="K17" s="217" t="e">
        <f>IF('[3]Annex-12'!K18&lt;0,"(-)"&amp;FIXED(ABS('[3]Annex-12'!K18),2)&amp;"    ",FIXED('[3]Annex-12'!K18,2)&amp;"    ")</f>
        <v>#VALUE!</v>
      </c>
    </row>
    <row r="18" spans="1:11" hidden="1" x14ac:dyDescent="0.3">
      <c r="A18" s="218" t="str">
        <f>IF([4]Crops!$A16="","",[4]Crops!$A16)</f>
        <v/>
      </c>
      <c r="B18" s="219" t="e">
        <f>ROUND('[3]Annex-12'!B19,2)&amp;"  "</f>
        <v>#VALUE!</v>
      </c>
      <c r="C18" s="219" t="e">
        <f>IF(INT('[3]Annex-12'!C19)='[3]Annex-12'!C19,'[3]Annex-12'!C19&amp;".00  ",IF(INT('[3]Annex-12'!C19*10)='[3]Annex-12'!C19*10,'[3]Annex-12'!C19&amp;"0  ",ROUND('[3]Annex-12'!C19,2)&amp;"  "))</f>
        <v>#VALUE!</v>
      </c>
      <c r="D18" s="219" t="e">
        <f>IF(INT('[3]Annex-12'!D19)='[3]Annex-12'!D19,'[3]Annex-12'!D19&amp;".00  ",IF(INT('[3]Annex-12'!D19*10)='[3]Annex-12'!D19*10,'[3]Annex-12'!D19&amp;"0  ",ROUND('[3]Annex-12'!D19,2)&amp;"  "))</f>
        <v>#VALUE!</v>
      </c>
      <c r="E18" s="219" t="e">
        <f>ROUND('[3]Annex-12'!E19,2)&amp;"  "</f>
        <v>#VALUE!</v>
      </c>
      <c r="F18" s="219" t="e">
        <f>IF(INT('[3]Annex-12'!F19)='[3]Annex-12'!F19,'[3]Annex-12'!F19&amp;".00  ",IF(INT('[3]Annex-12'!F19*10)='[3]Annex-12'!F19*10,'[3]Annex-12'!F19&amp;"0  ",ROUND('[3]Annex-12'!F19,2)&amp;"  "))</f>
        <v>#VALUE!</v>
      </c>
      <c r="G18" s="219" t="e">
        <f>IF(INT('[3]Annex-12'!G19)='[3]Annex-12'!G19,'[3]Annex-12'!G19&amp;".00  ",IF(INT('[3]Annex-12'!G19*10)='[3]Annex-12'!G19*10,'[3]Annex-12'!G19&amp;"0  ",ROUND('[3]Annex-12'!G19,2)&amp;"  "))</f>
        <v>#VALUE!</v>
      </c>
      <c r="H18" s="219" t="e">
        <f>ROUND('[3]Annex-12'!H19,2)&amp;"  "</f>
        <v>#VALUE!</v>
      </c>
      <c r="I18" s="219" t="e">
        <f>IF(INT('[3]Annex-12'!I19)='[3]Annex-12'!I19,'[3]Annex-12'!I19&amp;".00  ",IF(INT('[3]Annex-12'!I19*10)='[3]Annex-12'!I19*10,'[3]Annex-12'!I19&amp;"0  ",ROUND('[3]Annex-12'!I19,2)&amp;"  "))</f>
        <v>#VALUE!</v>
      </c>
      <c r="J18" s="219" t="e">
        <f>IF(INT('[3]Annex-12'!J19)='[3]Annex-12'!J19,'[3]Annex-12'!J19&amp;".00  ",IF(INT('[3]Annex-12'!J19*10)='[3]Annex-12'!J19*10,'[3]Annex-12'!J19&amp;"0  ",ROUND('[3]Annex-12'!J19,2)&amp;"  "))</f>
        <v>#VALUE!</v>
      </c>
      <c r="K18" s="219" t="e">
        <f>IF('[3]Annex-12'!K19&lt;0,"(-)"&amp;FIXED(ABS('[3]Annex-12'!K19),2)&amp;"    ",FIXED('[3]Annex-12'!K19,2)&amp;"    ")</f>
        <v>#VALUE!</v>
      </c>
    </row>
    <row r="19" spans="1:11" hidden="1" x14ac:dyDescent="0.3">
      <c r="A19" s="216" t="str">
        <f>IF([4]Crops!$A17="","",[4]Crops!$A17)</f>
        <v/>
      </c>
      <c r="B19" s="220" t="e">
        <f>ROUND('[3]Annex-12'!B20,2)&amp;"  "</f>
        <v>#VALUE!</v>
      </c>
      <c r="C19" s="220" t="e">
        <f>IF(INT('[3]Annex-12'!C20)='[3]Annex-12'!C20,'[3]Annex-12'!C20&amp;".00  ",IF(INT('[3]Annex-12'!C20*10)='[3]Annex-12'!C20*10,'[3]Annex-12'!C20&amp;"0  ",ROUND('[3]Annex-12'!C20,2)&amp;"  "))</f>
        <v>#VALUE!</v>
      </c>
      <c r="D19" s="220" t="e">
        <f>IF(INT('[3]Annex-12'!D20)='[3]Annex-12'!D20,'[3]Annex-12'!D20&amp;".00  ",IF(INT('[3]Annex-12'!D20*10)='[3]Annex-12'!D20*10,'[3]Annex-12'!D20&amp;"0  ",ROUND('[3]Annex-12'!D20,2)&amp;"  "))</f>
        <v>#VALUE!</v>
      </c>
      <c r="E19" s="220" t="e">
        <f>ROUND('[3]Annex-12'!E20,2)&amp;"  "</f>
        <v>#VALUE!</v>
      </c>
      <c r="F19" s="220" t="e">
        <f>IF(INT('[3]Annex-12'!F20)='[3]Annex-12'!F20,'[3]Annex-12'!F20&amp;".00  ",IF(INT('[3]Annex-12'!F20*10)='[3]Annex-12'!F20*10,'[3]Annex-12'!F20&amp;"0  ",ROUND('[3]Annex-12'!F20,2)&amp;"  "))</f>
        <v>#VALUE!</v>
      </c>
      <c r="G19" s="220" t="e">
        <f>IF(INT('[3]Annex-12'!G20)='[3]Annex-12'!G20,'[3]Annex-12'!G20&amp;".00  ",IF(INT('[3]Annex-12'!G20*10)='[3]Annex-12'!G20*10,'[3]Annex-12'!G20&amp;"0  ",ROUND('[3]Annex-12'!G20,2)&amp;"  "))</f>
        <v>#VALUE!</v>
      </c>
      <c r="H19" s="220" t="e">
        <f>ROUND('[3]Annex-12'!H20,2)&amp;"  "</f>
        <v>#VALUE!</v>
      </c>
      <c r="I19" s="220" t="e">
        <f>IF(INT('[3]Annex-12'!I20)='[3]Annex-12'!I20,'[3]Annex-12'!I20&amp;".00  ",IF(INT('[3]Annex-12'!I20*10)='[3]Annex-12'!I20*10,'[3]Annex-12'!I20&amp;"0  ",ROUND('[3]Annex-12'!I20,2)&amp;"  "))</f>
        <v>#VALUE!</v>
      </c>
      <c r="J19" s="220" t="e">
        <f>IF(INT('[3]Annex-12'!J20)='[3]Annex-12'!J20,'[3]Annex-12'!J20&amp;".00  ",IF(INT('[3]Annex-12'!J20*10)='[3]Annex-12'!J20*10,'[3]Annex-12'!J20&amp;"0  ",ROUND('[3]Annex-12'!J20,2)&amp;"  "))</f>
        <v>#VALUE!</v>
      </c>
      <c r="K19" s="220" t="e">
        <f>IF('[3]Annex-12'!K20&lt;0,"(-)"&amp;FIXED(ABS('[3]Annex-12'!K20),2)&amp;"    ",FIXED('[3]Annex-12'!K20,2)&amp;"    ")</f>
        <v>#VALUE!</v>
      </c>
    </row>
    <row r="20" spans="1:11" hidden="1" x14ac:dyDescent="0.3">
      <c r="A20" s="216" t="str">
        <f>IF([4]Crops!$A18="","",[4]Crops!$A18)</f>
        <v/>
      </c>
      <c r="B20" s="220" t="e">
        <f>ROUND('[3]Annex-12'!B21,2)&amp;"  "</f>
        <v>#VALUE!</v>
      </c>
      <c r="C20" s="220" t="e">
        <f>IF(INT('[3]Annex-12'!C21)='[3]Annex-12'!C21,'[3]Annex-12'!C21&amp;".00  ",IF(INT('[3]Annex-12'!C21*10)='[3]Annex-12'!C21*10,'[3]Annex-12'!C21&amp;"0  ",ROUND('[3]Annex-12'!C21,2)&amp;"  "))</f>
        <v>#VALUE!</v>
      </c>
      <c r="D20" s="220" t="e">
        <f>IF(INT('[3]Annex-12'!D21)='[3]Annex-12'!D21,'[3]Annex-12'!D21&amp;".00  ",IF(INT('[3]Annex-12'!D21*10)='[3]Annex-12'!D21*10,'[3]Annex-12'!D21&amp;"0  ",ROUND('[3]Annex-12'!D21,2)&amp;"  "))</f>
        <v>#VALUE!</v>
      </c>
      <c r="E20" s="220" t="e">
        <f>ROUND('[3]Annex-12'!E21,2)&amp;"  "</f>
        <v>#VALUE!</v>
      </c>
      <c r="F20" s="220" t="e">
        <f>IF(INT('[3]Annex-12'!F21)='[3]Annex-12'!F21,'[3]Annex-12'!F21&amp;".00  ",IF(INT('[3]Annex-12'!F21*10)='[3]Annex-12'!F21*10,'[3]Annex-12'!F21&amp;"0  ",ROUND('[3]Annex-12'!F21,2)&amp;"  "))</f>
        <v>#VALUE!</v>
      </c>
      <c r="G20" s="220" t="e">
        <f>IF(INT('[3]Annex-12'!G21)='[3]Annex-12'!G21,'[3]Annex-12'!G21&amp;".00  ",IF(INT('[3]Annex-12'!G21*10)='[3]Annex-12'!G21*10,'[3]Annex-12'!G21&amp;"0  ",ROUND('[3]Annex-12'!G21,2)&amp;"  "))</f>
        <v>#VALUE!</v>
      </c>
      <c r="H20" s="220" t="e">
        <f>ROUND('[3]Annex-12'!H21,2)&amp;"  "</f>
        <v>#VALUE!</v>
      </c>
      <c r="I20" s="220" t="e">
        <f>IF(INT('[3]Annex-12'!I21)='[3]Annex-12'!I21,'[3]Annex-12'!I21&amp;".00  ",IF(INT('[3]Annex-12'!I21*10)='[3]Annex-12'!I21*10,'[3]Annex-12'!I21&amp;"0  ",ROUND('[3]Annex-12'!I21,2)&amp;"  "))</f>
        <v>#VALUE!</v>
      </c>
      <c r="J20" s="220" t="e">
        <f>IF(INT('[3]Annex-12'!J21)='[3]Annex-12'!J21,'[3]Annex-12'!J21&amp;".00  ",IF(INT('[3]Annex-12'!J21*10)='[3]Annex-12'!J21*10,'[3]Annex-12'!J21&amp;"0  ",ROUND('[3]Annex-12'!J21,2)&amp;"  "))</f>
        <v>#VALUE!</v>
      </c>
      <c r="K20" s="220" t="e">
        <f>IF('[3]Annex-12'!K21&lt;0,"(-)"&amp;FIXED(ABS('[3]Annex-12'!K21),2)&amp;"    ",FIXED('[3]Annex-12'!K21,2)&amp;"    ")</f>
        <v>#VALUE!</v>
      </c>
    </row>
    <row r="21" spans="1:11" hidden="1" x14ac:dyDescent="0.3">
      <c r="A21" s="216" t="str">
        <f>IF([4]Crops!$A19="","",[4]Crops!$A19)</f>
        <v/>
      </c>
      <c r="B21" s="220" t="e">
        <f>ROUND('[3]Annex-12'!B22,2)&amp;"  "</f>
        <v>#VALUE!</v>
      </c>
      <c r="C21" s="220" t="e">
        <f>IF(INT('[3]Annex-12'!C22)='[3]Annex-12'!C22,'[3]Annex-12'!C22&amp;".00  ",IF(INT('[3]Annex-12'!C22*10)='[3]Annex-12'!C22*10,'[3]Annex-12'!C22&amp;"0  ",ROUND('[3]Annex-12'!C22,2)&amp;"  "))</f>
        <v>#VALUE!</v>
      </c>
      <c r="D21" s="220" t="e">
        <f>IF(INT('[3]Annex-12'!D22)='[3]Annex-12'!D22,'[3]Annex-12'!D22&amp;".00  ",IF(INT('[3]Annex-12'!D22*10)='[3]Annex-12'!D22*10,'[3]Annex-12'!D22&amp;"0  ",ROUND('[3]Annex-12'!D22,2)&amp;"  "))</f>
        <v>#VALUE!</v>
      </c>
      <c r="E21" s="220" t="e">
        <f>ROUND('[3]Annex-12'!E22,2)&amp;"  "</f>
        <v>#VALUE!</v>
      </c>
      <c r="F21" s="220" t="e">
        <f>IF(INT('[3]Annex-12'!F22)='[3]Annex-12'!F22,'[3]Annex-12'!F22&amp;".00  ",IF(INT('[3]Annex-12'!F22*10)='[3]Annex-12'!F22*10,'[3]Annex-12'!F22&amp;"0  ",ROUND('[3]Annex-12'!F22,2)&amp;"  "))</f>
        <v>#VALUE!</v>
      </c>
      <c r="G21" s="220" t="e">
        <f>IF(INT('[3]Annex-12'!G22)='[3]Annex-12'!G22,'[3]Annex-12'!G22&amp;".00  ",IF(INT('[3]Annex-12'!G22*10)='[3]Annex-12'!G22*10,'[3]Annex-12'!G22&amp;"0  ",ROUND('[3]Annex-12'!G22,2)&amp;"  "))</f>
        <v>#VALUE!</v>
      </c>
      <c r="H21" s="220" t="e">
        <f>ROUND('[3]Annex-12'!H22,2)&amp;"  "</f>
        <v>#VALUE!</v>
      </c>
      <c r="I21" s="220" t="e">
        <f>IF(INT('[3]Annex-12'!I22)='[3]Annex-12'!I22,'[3]Annex-12'!I22&amp;".00  ",IF(INT('[3]Annex-12'!I22*10)='[3]Annex-12'!I22*10,'[3]Annex-12'!I22&amp;"0  ",ROUND('[3]Annex-12'!I22,2)&amp;"  "))</f>
        <v>#VALUE!</v>
      </c>
      <c r="J21" s="220" t="e">
        <f>IF(INT('[3]Annex-12'!J22)='[3]Annex-12'!J22,'[3]Annex-12'!J22&amp;".00  ",IF(INT('[3]Annex-12'!J22*10)='[3]Annex-12'!J22*10,'[3]Annex-12'!J22&amp;"0  ",ROUND('[3]Annex-12'!J22,2)&amp;"  "))</f>
        <v>#VALUE!</v>
      </c>
      <c r="K21" s="220" t="e">
        <f>IF('[3]Annex-12'!K22&lt;0,"(-)"&amp;FIXED(ABS('[3]Annex-12'!K22),2)&amp;"    ",FIXED('[3]Annex-12'!K22,2)&amp;"    ")</f>
        <v>#VALUE!</v>
      </c>
    </row>
    <row r="22" spans="1:11" hidden="1" x14ac:dyDescent="0.3">
      <c r="A22" s="216" t="str">
        <f>IF([4]Crops!$A20="","",[4]Crops!$A20)</f>
        <v/>
      </c>
      <c r="B22" s="220" t="e">
        <f>ROUND('[3]Annex-12'!B23,2)&amp;"  "</f>
        <v>#VALUE!</v>
      </c>
      <c r="C22" s="220" t="e">
        <f>IF(INT('[3]Annex-12'!C23)='[3]Annex-12'!C23,'[3]Annex-12'!C23&amp;".00  ",IF(INT('[3]Annex-12'!C23*10)='[3]Annex-12'!C23*10,'[3]Annex-12'!C23&amp;"0  ",ROUND('[3]Annex-12'!C23,2)&amp;"  "))</f>
        <v>#VALUE!</v>
      </c>
      <c r="D22" s="220" t="e">
        <f>IF(INT('[3]Annex-12'!D23)='[3]Annex-12'!D23,'[3]Annex-12'!D23&amp;".00  ",IF(INT('[3]Annex-12'!D23*10)='[3]Annex-12'!D23*10,'[3]Annex-12'!D23&amp;"0  ",ROUND('[3]Annex-12'!D23,2)&amp;"  "))</f>
        <v>#VALUE!</v>
      </c>
      <c r="E22" s="220" t="e">
        <f>ROUND('[3]Annex-12'!E23,2)&amp;"  "</f>
        <v>#VALUE!</v>
      </c>
      <c r="F22" s="220" t="e">
        <f>IF(INT('[3]Annex-12'!F23)='[3]Annex-12'!F23,'[3]Annex-12'!F23&amp;".00  ",IF(INT('[3]Annex-12'!F23*10)='[3]Annex-12'!F23*10,'[3]Annex-12'!F23&amp;"0  ",ROUND('[3]Annex-12'!F23,2)&amp;"  "))</f>
        <v>#VALUE!</v>
      </c>
      <c r="G22" s="220" t="e">
        <f>IF(INT('[3]Annex-12'!G23)='[3]Annex-12'!G23,'[3]Annex-12'!G23&amp;".00  ",IF(INT('[3]Annex-12'!G23*10)='[3]Annex-12'!G23*10,'[3]Annex-12'!G23&amp;"0  ",ROUND('[3]Annex-12'!G23,2)&amp;"  "))</f>
        <v>#VALUE!</v>
      </c>
      <c r="H22" s="220" t="e">
        <f>ROUND('[3]Annex-12'!H23,2)&amp;"  "</f>
        <v>#VALUE!</v>
      </c>
      <c r="I22" s="220" t="e">
        <f>IF(INT('[3]Annex-12'!I23)='[3]Annex-12'!I23,'[3]Annex-12'!I23&amp;".00  ",IF(INT('[3]Annex-12'!I23*10)='[3]Annex-12'!I23*10,'[3]Annex-12'!I23&amp;"0  ",ROUND('[3]Annex-12'!I23,2)&amp;"  "))</f>
        <v>#VALUE!</v>
      </c>
      <c r="J22" s="220" t="e">
        <f>IF(INT('[3]Annex-12'!J23)='[3]Annex-12'!J23,'[3]Annex-12'!J23&amp;".00  ",IF(INT('[3]Annex-12'!J23*10)='[3]Annex-12'!J23*10,'[3]Annex-12'!J23&amp;"0  ",ROUND('[3]Annex-12'!J23,2)&amp;"  "))</f>
        <v>#VALUE!</v>
      </c>
      <c r="K22" s="220" t="e">
        <f>IF('[3]Annex-12'!K23&lt;0,"(-)"&amp;FIXED(ABS('[3]Annex-12'!K23),2)&amp;"    ",FIXED('[3]Annex-12'!K23,2)&amp;"    ")</f>
        <v>#VALUE!</v>
      </c>
    </row>
    <row r="23" spans="1:11" hidden="1" x14ac:dyDescent="0.3">
      <c r="A23" s="216" t="str">
        <f>IF([4]Crops!$A21="","",[4]Crops!$A21)</f>
        <v/>
      </c>
      <c r="B23" s="220" t="e">
        <f>ROUND('[3]Annex-12'!B24,2)&amp;"  "</f>
        <v>#VALUE!</v>
      </c>
      <c r="C23" s="220" t="e">
        <f>IF(INT('[3]Annex-12'!C24)='[3]Annex-12'!C24,'[3]Annex-12'!C24&amp;".00  ",IF(INT('[3]Annex-12'!C24*10)='[3]Annex-12'!C24*10,'[3]Annex-12'!C24&amp;"0  ",ROUND('[3]Annex-12'!C24,2)&amp;"  "))</f>
        <v>#VALUE!</v>
      </c>
      <c r="D23" s="220" t="e">
        <f>IF(INT('[3]Annex-12'!D24)='[3]Annex-12'!D24,'[3]Annex-12'!D24&amp;".00  ",IF(INT('[3]Annex-12'!D24*10)='[3]Annex-12'!D24*10,'[3]Annex-12'!D24&amp;"0  ",ROUND('[3]Annex-12'!D24,2)&amp;"  "))</f>
        <v>#VALUE!</v>
      </c>
      <c r="E23" s="220" t="e">
        <f>ROUND('[3]Annex-12'!E24,2)&amp;"  "</f>
        <v>#VALUE!</v>
      </c>
      <c r="F23" s="220" t="e">
        <f>IF(INT('[3]Annex-12'!F24)='[3]Annex-12'!F24,'[3]Annex-12'!F24&amp;".00  ",IF(INT('[3]Annex-12'!F24*10)='[3]Annex-12'!F24*10,'[3]Annex-12'!F24&amp;"0  ",ROUND('[3]Annex-12'!F24,2)&amp;"  "))</f>
        <v>#VALUE!</v>
      </c>
      <c r="G23" s="220" t="e">
        <f>IF(INT('[3]Annex-12'!G24)='[3]Annex-12'!G24,'[3]Annex-12'!G24&amp;".00  ",IF(INT('[3]Annex-12'!G24*10)='[3]Annex-12'!G24*10,'[3]Annex-12'!G24&amp;"0  ",ROUND('[3]Annex-12'!G24,2)&amp;"  "))</f>
        <v>#VALUE!</v>
      </c>
      <c r="H23" s="220" t="e">
        <f>ROUND('[3]Annex-12'!H24,2)&amp;"  "</f>
        <v>#VALUE!</v>
      </c>
      <c r="I23" s="220" t="e">
        <f>IF(INT('[3]Annex-12'!I24)='[3]Annex-12'!I24,'[3]Annex-12'!I24&amp;".00  ",IF(INT('[3]Annex-12'!I24*10)='[3]Annex-12'!I24*10,'[3]Annex-12'!I24&amp;"0  ",ROUND('[3]Annex-12'!I24,2)&amp;"  "))</f>
        <v>#VALUE!</v>
      </c>
      <c r="J23" s="220" t="e">
        <f>IF(INT('[3]Annex-12'!J24)='[3]Annex-12'!J24,'[3]Annex-12'!J24&amp;".00  ",IF(INT('[3]Annex-12'!J24*10)='[3]Annex-12'!J24*10,'[3]Annex-12'!J24&amp;"0  ",ROUND('[3]Annex-12'!J24,2)&amp;"  "))</f>
        <v>#VALUE!</v>
      </c>
      <c r="K23" s="220" t="e">
        <f>IF('[3]Annex-12'!K24&lt;0,"(-)"&amp;FIXED(ABS('[3]Annex-12'!K24),2)&amp;"    ",FIXED('[3]Annex-12'!K24,2)&amp;"    ")</f>
        <v>#VALUE!</v>
      </c>
    </row>
    <row r="24" spans="1:11" ht="26.4" customHeight="1" x14ac:dyDescent="0.3">
      <c r="A24" s="221" t="str">
        <f>common!$I$4</f>
        <v>RABI II 2024-25</v>
      </c>
      <c r="B24" s="215"/>
      <c r="C24" s="222"/>
      <c r="D24" s="222"/>
      <c r="E24" s="222"/>
      <c r="F24" s="222"/>
      <c r="G24" s="222"/>
      <c r="H24" s="222"/>
      <c r="I24" s="222"/>
      <c r="J24" s="222"/>
      <c r="K24" s="222"/>
    </row>
    <row r="25" spans="1:11" ht="26.4" customHeight="1" x14ac:dyDescent="0.3">
      <c r="A25" s="216" t="str">
        <f>IF([4]Crops!$C7="","",[4]Crops!$C7)</f>
        <v>PADDY</v>
      </c>
      <c r="B25" s="217" t="str">
        <f>ROUND('[3]Annex-12'!B26,2)&amp;"  "</f>
        <v xml:space="preserve">1  </v>
      </c>
      <c r="C25" s="217" t="str">
        <f>IF(INT('[3]Annex-12'!C26)='[3]Annex-12'!C26,'[3]Annex-12'!C26&amp;".00  ",IF(INT('[3]Annex-12'!C26*10)='[3]Annex-12'!C26*10,'[3]Annex-12'!C26&amp;"0  ",ROUND('[3]Annex-12'!C26,2)&amp;"  "))</f>
        <v xml:space="preserve">0.03  </v>
      </c>
      <c r="D25" s="217" t="str">
        <f>IF(INT('[3]Annex-12'!D26)='[3]Annex-12'!D26,'[3]Annex-12'!D26&amp;".00  ",IF(INT('[3]Annex-12'!D26*10)='[3]Annex-12'!D26*10,'[3]Annex-12'!D26&amp;"0  ",ROUND('[3]Annex-12'!D26,2)&amp;"  "))</f>
        <v xml:space="preserve">0.03  </v>
      </c>
      <c r="E25" s="217" t="str">
        <f>ROUND('[3]Annex-12'!E26,2)&amp;"  "</f>
        <v xml:space="preserve">5  </v>
      </c>
      <c r="F25" s="217" t="str">
        <f>IF(INT('[3]Annex-12'!F26)='[3]Annex-12'!F26,'[3]Annex-12'!F26&amp;".00  ",IF(INT('[3]Annex-12'!F26*10)='[3]Annex-12'!F26*10,'[3]Annex-12'!F26&amp;"0  ",ROUND('[3]Annex-12'!F26,2)&amp;"  "))</f>
        <v xml:space="preserve">8.79  </v>
      </c>
      <c r="G25" s="217" t="str">
        <f>IF(INT('[3]Annex-12'!G26)='[3]Annex-12'!G26,'[3]Annex-12'!G26&amp;".00  ",IF(INT('[3]Annex-12'!G26*10)='[3]Annex-12'!G26*10,'[3]Annex-12'!G26&amp;"0  ",ROUND('[3]Annex-12'!G26,2)&amp;"  "))</f>
        <v xml:space="preserve">8.60  </v>
      </c>
      <c r="H25" s="217" t="str">
        <f>ROUND('[3]Annex-12'!H26,2)&amp;"  "</f>
        <v xml:space="preserve">6  </v>
      </c>
      <c r="I25" s="217" t="str">
        <f>IF(INT('[3]Annex-12'!I26)='[3]Annex-12'!I26,'[3]Annex-12'!I26&amp;".00  ",IF(INT('[3]Annex-12'!I26*10)='[3]Annex-12'!I26*10,'[3]Annex-12'!I26&amp;"0  ",ROUND('[3]Annex-12'!I26,2)&amp;"  "))</f>
        <v xml:space="preserve">8.81  </v>
      </c>
      <c r="J25" s="217" t="str">
        <f>IF(INT('[3]Annex-12'!J26)='[3]Annex-12'!J26,'[3]Annex-12'!J26&amp;".00  ",IF(INT('[3]Annex-12'!J26*10)='[3]Annex-12'!J26*10,'[3]Annex-12'!J26&amp;"0  ",ROUND('[3]Annex-12'!J26,2)&amp;"  "))</f>
        <v xml:space="preserve">8.63  </v>
      </c>
      <c r="K25" s="217" t="str">
        <f>IF('[3]Annex-12'!K26&lt;0,"(-)"&amp;FIXED(ABS('[3]Annex-12'!K26),2)&amp;"    ",FIXED('[3]Annex-12'!K26,2)&amp;"    ")</f>
        <v xml:space="preserve">(-)2.10    </v>
      </c>
    </row>
    <row r="26" spans="1:11" ht="26.4" customHeight="1" x14ac:dyDescent="0.3">
      <c r="A26" s="218" t="str">
        <f>IF([4]Crops!$C8="","",[4]Crops!$C8)</f>
        <v>OTHERS</v>
      </c>
      <c r="B26" s="219" t="str">
        <f>ROUND('[3]Annex-12'!B27,2)&amp;"  "</f>
        <v xml:space="preserve">4  </v>
      </c>
      <c r="C26" s="219" t="str">
        <f>IF(INT('[3]Annex-12'!C27)='[3]Annex-12'!C27,'[3]Annex-12'!C27&amp;".00  ",IF(INT('[3]Annex-12'!C27*10)='[3]Annex-12'!C27*10,'[3]Annex-12'!C27&amp;"0  ",ROUND('[3]Annex-12'!C27,2)&amp;"  "))</f>
        <v xml:space="preserve">1.77  </v>
      </c>
      <c r="D26" s="219" t="str">
        <f>IF(INT('[3]Annex-12'!D27)='[3]Annex-12'!D27,'[3]Annex-12'!D27&amp;".00  ",IF(INT('[3]Annex-12'!D27*10)='[3]Annex-12'!D27*10,'[3]Annex-12'!D27&amp;"0  ",ROUND('[3]Annex-12'!D27,2)&amp;"  "))</f>
        <v xml:space="preserve">2.62  </v>
      </c>
      <c r="E26" s="219" t="str">
        <f>ROUND('[3]Annex-12'!E27,2)&amp;"  "</f>
        <v xml:space="preserve">6  </v>
      </c>
      <c r="F26" s="219" t="str">
        <f>IF(INT('[3]Annex-12'!F27)='[3]Annex-12'!F27,'[3]Annex-12'!F27&amp;".00  ",IF(INT('[3]Annex-12'!F27*10)='[3]Annex-12'!F27*10,'[3]Annex-12'!F27&amp;"0  ",ROUND('[3]Annex-12'!F27,2)&amp;"  "))</f>
        <v xml:space="preserve">3.58  </v>
      </c>
      <c r="G26" s="219" t="str">
        <f>IF(INT('[3]Annex-12'!G27)='[3]Annex-12'!G27,'[3]Annex-12'!G27&amp;".00  ",IF(INT('[3]Annex-12'!G27*10)='[3]Annex-12'!G27*10,'[3]Annex-12'!G27&amp;"0  ",ROUND('[3]Annex-12'!G27,2)&amp;"  "))</f>
        <v xml:space="preserve">3.58  </v>
      </c>
      <c r="H26" s="219" t="str">
        <f>ROUND('[3]Annex-12'!H27,2)&amp;"  "</f>
        <v xml:space="preserve">10  </v>
      </c>
      <c r="I26" s="219" t="str">
        <f>IF(INT('[3]Annex-12'!I27)='[3]Annex-12'!I27,'[3]Annex-12'!I27&amp;".00  ",IF(INT('[3]Annex-12'!I27*10)='[3]Annex-12'!I27*10,'[3]Annex-12'!I27&amp;"0  ",ROUND('[3]Annex-12'!I27,2)&amp;"  "))</f>
        <v xml:space="preserve">5.35  </v>
      </c>
      <c r="J26" s="219" t="str">
        <f>IF(INT('[3]Annex-12'!J27)='[3]Annex-12'!J27,'[3]Annex-12'!J27&amp;".00  ",IF(INT('[3]Annex-12'!J27*10)='[3]Annex-12'!J27*10,'[3]Annex-12'!J27&amp;"0  ",ROUND('[3]Annex-12'!J27,2)&amp;"  "))</f>
        <v xml:space="preserve">6.2  </v>
      </c>
      <c r="K26" s="219" t="str">
        <f>IF('[3]Annex-12'!K27&lt;0,"(-)"&amp;FIXED(ABS('[3]Annex-12'!K27),2)&amp;"    ",FIXED('[3]Annex-12'!K27,2)&amp;"    ")</f>
        <v xml:space="preserve">15.83    </v>
      </c>
    </row>
    <row r="27" spans="1:11" hidden="1" x14ac:dyDescent="0.3">
      <c r="A27" s="216" t="str">
        <f>IF([4]Crops!$C9="","",[4]Crops!$C9)</f>
        <v/>
      </c>
      <c r="B27" s="217" t="e">
        <f>ROUND('[3]Annex-12'!B28,2)&amp;"  "</f>
        <v>#VALUE!</v>
      </c>
      <c r="C27" s="217" t="e">
        <f>IF(INT('[3]Annex-12'!C28)='[3]Annex-12'!C28,'[3]Annex-12'!C28&amp;".00  ",IF(INT('[3]Annex-12'!C28*10)='[3]Annex-12'!C28*10,'[3]Annex-12'!C28&amp;"0  ",ROUND('[3]Annex-12'!C28,2)&amp;"  "))</f>
        <v>#VALUE!</v>
      </c>
      <c r="D27" s="217" t="e">
        <f>IF(INT('[3]Annex-12'!D28)='[3]Annex-12'!D28,'[3]Annex-12'!D28&amp;".00  ",IF(INT('[3]Annex-12'!D28*10)='[3]Annex-12'!D28*10,'[3]Annex-12'!D28&amp;"0  ",ROUND('[3]Annex-12'!D28,2)&amp;"  "))</f>
        <v>#VALUE!</v>
      </c>
      <c r="E27" s="217" t="e">
        <f>ROUND('[3]Annex-12'!E28,2)&amp;"  "</f>
        <v>#VALUE!</v>
      </c>
      <c r="F27" s="217" t="e">
        <f>IF(INT('[3]Annex-12'!F28)='[3]Annex-12'!F28,'[3]Annex-12'!F28&amp;".00  ",IF(INT('[3]Annex-12'!F28*10)='[3]Annex-12'!F28*10,'[3]Annex-12'!F28&amp;"0  ",ROUND('[3]Annex-12'!F28,2)&amp;"  "))</f>
        <v>#VALUE!</v>
      </c>
      <c r="G27" s="217" t="e">
        <f>IF(INT('[3]Annex-12'!G28)='[3]Annex-12'!G28,'[3]Annex-12'!G28&amp;".00  ",IF(INT('[3]Annex-12'!G28*10)='[3]Annex-12'!G28*10,'[3]Annex-12'!G28&amp;"0  ",ROUND('[3]Annex-12'!G28,2)&amp;"  "))</f>
        <v>#VALUE!</v>
      </c>
      <c r="H27" s="217" t="e">
        <f>ROUND('[3]Annex-12'!H28,2)&amp;"  "</f>
        <v>#VALUE!</v>
      </c>
      <c r="I27" s="217" t="e">
        <f>IF(INT('[3]Annex-12'!I28)='[3]Annex-12'!I28,'[3]Annex-12'!I28&amp;".00  ",IF(INT('[3]Annex-12'!I28*10)='[3]Annex-12'!I28*10,'[3]Annex-12'!I28&amp;"0  ",ROUND('[3]Annex-12'!I28,2)&amp;"  "))</f>
        <v>#VALUE!</v>
      </c>
      <c r="J27" s="217" t="e">
        <f>IF(INT('[3]Annex-12'!J28)='[3]Annex-12'!J28,'[3]Annex-12'!J28&amp;".00  ",IF(INT('[3]Annex-12'!J28*10)='[3]Annex-12'!J28*10,'[3]Annex-12'!J28&amp;"0  ",ROUND('[3]Annex-12'!J28,2)&amp;"  "))</f>
        <v>#VALUE!</v>
      </c>
      <c r="K27" s="217" t="e">
        <f>IF('[3]Annex-12'!K28&lt;0,"(-)"&amp;FIXED(ABS('[3]Annex-12'!K28),2)&amp;"    ",FIXED('[3]Annex-12'!K28,2)&amp;"    ")</f>
        <v>#VALUE!</v>
      </c>
    </row>
    <row r="28" spans="1:11" hidden="1" x14ac:dyDescent="0.3">
      <c r="A28" s="216" t="str">
        <f>IF([4]Crops!$C10="","",[4]Crops!$C10)</f>
        <v/>
      </c>
      <c r="B28" s="217" t="e">
        <f>ROUND('[3]Annex-12'!B29,2)&amp;"  "</f>
        <v>#VALUE!</v>
      </c>
      <c r="C28" s="217" t="e">
        <f>IF(INT('[3]Annex-12'!C29)='[3]Annex-12'!C29,'[3]Annex-12'!C29&amp;".00  ",IF(INT('[3]Annex-12'!C29*10)='[3]Annex-12'!C29*10,'[3]Annex-12'!C29&amp;"0  ",ROUND('[3]Annex-12'!C29,2)&amp;"  "))</f>
        <v>#VALUE!</v>
      </c>
      <c r="D28" s="217" t="e">
        <f>IF(INT('[3]Annex-12'!D29)='[3]Annex-12'!D29,'[3]Annex-12'!D29&amp;".00  ",IF(INT('[3]Annex-12'!D29*10)='[3]Annex-12'!D29*10,'[3]Annex-12'!D29&amp;"0  ",ROUND('[3]Annex-12'!D29,2)&amp;"  "))</f>
        <v>#VALUE!</v>
      </c>
      <c r="E28" s="217" t="e">
        <f>ROUND('[3]Annex-12'!E29,2)&amp;"  "</f>
        <v>#VALUE!</v>
      </c>
      <c r="F28" s="217" t="e">
        <f>IF(INT('[3]Annex-12'!F29)='[3]Annex-12'!F29,'[3]Annex-12'!F29&amp;".00  ",IF(INT('[3]Annex-12'!F29*10)='[3]Annex-12'!F29*10,'[3]Annex-12'!F29&amp;"0  ",ROUND('[3]Annex-12'!F29,2)&amp;"  "))</f>
        <v>#VALUE!</v>
      </c>
      <c r="G28" s="217" t="e">
        <f>IF(INT('[3]Annex-12'!G29)='[3]Annex-12'!G29,'[3]Annex-12'!G29&amp;".00  ",IF(INT('[3]Annex-12'!G29*10)='[3]Annex-12'!G29*10,'[3]Annex-12'!G29&amp;"0  ",ROUND('[3]Annex-12'!G29,2)&amp;"  "))</f>
        <v>#VALUE!</v>
      </c>
      <c r="H28" s="217" t="e">
        <f>ROUND('[3]Annex-12'!H29,2)&amp;"  "</f>
        <v>#VALUE!</v>
      </c>
      <c r="I28" s="217" t="e">
        <f>IF(INT('[3]Annex-12'!I29)='[3]Annex-12'!I29,'[3]Annex-12'!I29&amp;".00  ",IF(INT('[3]Annex-12'!I29*10)='[3]Annex-12'!I29*10,'[3]Annex-12'!I29&amp;"0  ",ROUND('[3]Annex-12'!I29,2)&amp;"  "))</f>
        <v>#VALUE!</v>
      </c>
      <c r="J28" s="217" t="e">
        <f>IF(INT('[3]Annex-12'!J29)='[3]Annex-12'!J29,'[3]Annex-12'!J29&amp;".00  ",IF(INT('[3]Annex-12'!J29*10)='[3]Annex-12'!J29*10,'[3]Annex-12'!J29&amp;"0  ",ROUND('[3]Annex-12'!J29,2)&amp;"  "))</f>
        <v>#VALUE!</v>
      </c>
      <c r="K28" s="217" t="e">
        <f>IF('[3]Annex-12'!K29&lt;0,"(-)"&amp;FIXED(ABS('[3]Annex-12'!K29),2)&amp;"    ",FIXED('[3]Annex-12'!K29,2)&amp;"    ")</f>
        <v>#VALUE!</v>
      </c>
    </row>
    <row r="29" spans="1:11" hidden="1" x14ac:dyDescent="0.3">
      <c r="A29" s="216" t="str">
        <f>IF([4]Crops!$C11="","",[4]Crops!$C11)</f>
        <v/>
      </c>
      <c r="B29" s="217" t="e">
        <f>ROUND('[3]Annex-12'!B30,2)&amp;"  "</f>
        <v>#VALUE!</v>
      </c>
      <c r="C29" s="217" t="e">
        <f>IF(INT('[3]Annex-12'!C30)='[3]Annex-12'!C30,'[3]Annex-12'!C30&amp;".00  ",IF(INT('[3]Annex-12'!C30*10)='[3]Annex-12'!C30*10,'[3]Annex-12'!C30&amp;"0  ",ROUND('[3]Annex-12'!C30,2)&amp;"  "))</f>
        <v>#VALUE!</v>
      </c>
      <c r="D29" s="217" t="e">
        <f>IF(INT('[3]Annex-12'!D30)='[3]Annex-12'!D30,'[3]Annex-12'!D30&amp;".00  ",IF(INT('[3]Annex-12'!D30*10)='[3]Annex-12'!D30*10,'[3]Annex-12'!D30&amp;"0  ",ROUND('[3]Annex-12'!D30,2)&amp;"  "))</f>
        <v>#VALUE!</v>
      </c>
      <c r="E29" s="217" t="e">
        <f>ROUND('[3]Annex-12'!E30,2)&amp;"  "</f>
        <v>#VALUE!</v>
      </c>
      <c r="F29" s="217" t="e">
        <f>IF(INT('[3]Annex-12'!F30)='[3]Annex-12'!F30,'[3]Annex-12'!F30&amp;".00  ",IF(INT('[3]Annex-12'!F30*10)='[3]Annex-12'!F30*10,'[3]Annex-12'!F30&amp;"0  ",ROUND('[3]Annex-12'!F30,2)&amp;"  "))</f>
        <v>#VALUE!</v>
      </c>
      <c r="G29" s="217" t="e">
        <f>IF(INT('[3]Annex-12'!G30)='[3]Annex-12'!G30,'[3]Annex-12'!G30&amp;".00  ",IF(INT('[3]Annex-12'!G30*10)='[3]Annex-12'!G30*10,'[3]Annex-12'!G30&amp;"0  ",ROUND('[3]Annex-12'!G30,2)&amp;"  "))</f>
        <v>#VALUE!</v>
      </c>
      <c r="H29" s="217" t="e">
        <f>ROUND('[3]Annex-12'!H30,2)&amp;"  "</f>
        <v>#VALUE!</v>
      </c>
      <c r="I29" s="217" t="e">
        <f>IF(INT('[3]Annex-12'!I30)='[3]Annex-12'!I30,'[3]Annex-12'!I30&amp;".00  ",IF(INT('[3]Annex-12'!I30*10)='[3]Annex-12'!I30*10,'[3]Annex-12'!I30&amp;"0  ",ROUND('[3]Annex-12'!I30,2)&amp;"  "))</f>
        <v>#VALUE!</v>
      </c>
      <c r="J29" s="217" t="e">
        <f>IF(INT('[3]Annex-12'!J30)='[3]Annex-12'!J30,'[3]Annex-12'!J30&amp;".00  ",IF(INT('[3]Annex-12'!J30*10)='[3]Annex-12'!J30*10,'[3]Annex-12'!J30&amp;"0  ",ROUND('[3]Annex-12'!J30,2)&amp;"  "))</f>
        <v>#VALUE!</v>
      </c>
      <c r="K29" s="217" t="e">
        <f>IF('[3]Annex-12'!K30&lt;0,"(-)"&amp;FIXED(ABS('[3]Annex-12'!K30),2)&amp;"    ",FIXED('[3]Annex-12'!K30,2)&amp;"    ")</f>
        <v>#VALUE!</v>
      </c>
    </row>
    <row r="30" spans="1:11" hidden="1" x14ac:dyDescent="0.3">
      <c r="A30" s="216" t="str">
        <f>IF([4]Crops!$C12="","",[4]Crops!$C12)</f>
        <v/>
      </c>
      <c r="B30" s="217" t="e">
        <f>ROUND('[3]Annex-12'!B31,2)&amp;"  "</f>
        <v>#VALUE!</v>
      </c>
      <c r="C30" s="217" t="e">
        <f>IF(INT('[3]Annex-12'!C31)='[3]Annex-12'!C31,'[3]Annex-12'!C31&amp;".00  ",IF(INT('[3]Annex-12'!C31*10)='[3]Annex-12'!C31*10,'[3]Annex-12'!C31&amp;"0  ",ROUND('[3]Annex-12'!C31,2)&amp;"  "))</f>
        <v>#VALUE!</v>
      </c>
      <c r="D30" s="217" t="e">
        <f>IF(INT('[3]Annex-12'!D31)='[3]Annex-12'!D31,'[3]Annex-12'!D31&amp;".00  ",IF(INT('[3]Annex-12'!D31*10)='[3]Annex-12'!D31*10,'[3]Annex-12'!D31&amp;"0  ",ROUND('[3]Annex-12'!D31,2)&amp;"  "))</f>
        <v>#VALUE!</v>
      </c>
      <c r="E30" s="217" t="e">
        <f>ROUND('[3]Annex-12'!E31,2)&amp;"  "</f>
        <v>#VALUE!</v>
      </c>
      <c r="F30" s="217" t="e">
        <f>IF(INT('[3]Annex-12'!F31)='[3]Annex-12'!F31,'[3]Annex-12'!F31&amp;".00  ",IF(INT('[3]Annex-12'!F31*10)='[3]Annex-12'!F31*10,'[3]Annex-12'!F31&amp;"0  ",ROUND('[3]Annex-12'!F31,2)&amp;"  "))</f>
        <v>#VALUE!</v>
      </c>
      <c r="G30" s="217" t="e">
        <f>IF(INT('[3]Annex-12'!G31)='[3]Annex-12'!G31,'[3]Annex-12'!G31&amp;".00  ",IF(INT('[3]Annex-12'!G31*10)='[3]Annex-12'!G31*10,'[3]Annex-12'!G31&amp;"0  ",ROUND('[3]Annex-12'!G31,2)&amp;"  "))</f>
        <v>#VALUE!</v>
      </c>
      <c r="H30" s="217" t="e">
        <f>ROUND('[3]Annex-12'!H31,2)&amp;"  "</f>
        <v>#VALUE!</v>
      </c>
      <c r="I30" s="217" t="e">
        <f>IF(INT('[3]Annex-12'!I31)='[3]Annex-12'!I31,'[3]Annex-12'!I31&amp;".00  ",IF(INT('[3]Annex-12'!I31*10)='[3]Annex-12'!I31*10,'[3]Annex-12'!I31&amp;"0  ",ROUND('[3]Annex-12'!I31,2)&amp;"  "))</f>
        <v>#VALUE!</v>
      </c>
      <c r="J30" s="217" t="e">
        <f>IF(INT('[3]Annex-12'!J31)='[3]Annex-12'!J31,'[3]Annex-12'!J31&amp;".00  ",IF(INT('[3]Annex-12'!J31*10)='[3]Annex-12'!J31*10,'[3]Annex-12'!J31&amp;"0  ",ROUND('[3]Annex-12'!J31,2)&amp;"  "))</f>
        <v>#VALUE!</v>
      </c>
      <c r="K30" s="217" t="e">
        <f>IF('[3]Annex-12'!K31&lt;0,"(-)"&amp;FIXED(ABS('[3]Annex-12'!K31),2)&amp;"    ",FIXED('[3]Annex-12'!K31,2)&amp;"    ")</f>
        <v>#VALUE!</v>
      </c>
    </row>
    <row r="31" spans="1:11" hidden="1" x14ac:dyDescent="0.3">
      <c r="A31" s="216" t="str">
        <f>IF([4]Crops!$C13="","",[4]Crops!$C13)</f>
        <v/>
      </c>
      <c r="B31" s="217" t="e">
        <f>ROUND('[3]Annex-12'!B32,2)&amp;"  "</f>
        <v>#VALUE!</v>
      </c>
      <c r="C31" s="217" t="e">
        <f>IF(INT('[3]Annex-12'!C32)='[3]Annex-12'!C32,'[3]Annex-12'!C32&amp;".00  ",IF(INT('[3]Annex-12'!C32*10)='[3]Annex-12'!C32*10,'[3]Annex-12'!C32&amp;"0  ",ROUND('[3]Annex-12'!C32,2)&amp;"  "))</f>
        <v>#VALUE!</v>
      </c>
      <c r="D31" s="217" t="e">
        <f>IF(INT('[3]Annex-12'!D32)='[3]Annex-12'!D32,'[3]Annex-12'!D32&amp;".00  ",IF(INT('[3]Annex-12'!D32*10)='[3]Annex-12'!D32*10,'[3]Annex-12'!D32&amp;"0  ",ROUND('[3]Annex-12'!D32,2)&amp;"  "))</f>
        <v>#VALUE!</v>
      </c>
      <c r="E31" s="217" t="e">
        <f>ROUND('[3]Annex-12'!E32,2)&amp;"  "</f>
        <v>#VALUE!</v>
      </c>
      <c r="F31" s="217" t="e">
        <f>IF(INT('[3]Annex-12'!F32)='[3]Annex-12'!F32,'[3]Annex-12'!F32&amp;".00  ",IF(INT('[3]Annex-12'!F32*10)='[3]Annex-12'!F32*10,'[3]Annex-12'!F32&amp;"0  ",ROUND('[3]Annex-12'!F32,2)&amp;"  "))</f>
        <v>#VALUE!</v>
      </c>
      <c r="G31" s="217" t="e">
        <f>IF(INT('[3]Annex-12'!G32)='[3]Annex-12'!G32,'[3]Annex-12'!G32&amp;".00  ",IF(INT('[3]Annex-12'!G32*10)='[3]Annex-12'!G32*10,'[3]Annex-12'!G32&amp;"0  ",ROUND('[3]Annex-12'!G32,2)&amp;"  "))</f>
        <v>#VALUE!</v>
      </c>
      <c r="H31" s="217" t="e">
        <f>ROUND('[3]Annex-12'!H32,2)&amp;"  "</f>
        <v>#VALUE!</v>
      </c>
      <c r="I31" s="217" t="e">
        <f>IF(INT('[3]Annex-12'!I32)='[3]Annex-12'!I32,'[3]Annex-12'!I32&amp;".00  ",IF(INT('[3]Annex-12'!I32*10)='[3]Annex-12'!I32*10,'[3]Annex-12'!I32&amp;"0  ",ROUND('[3]Annex-12'!I32,2)&amp;"  "))</f>
        <v>#VALUE!</v>
      </c>
      <c r="J31" s="217" t="e">
        <f>IF(INT('[3]Annex-12'!J32)='[3]Annex-12'!J32,'[3]Annex-12'!J32&amp;".00  ",IF(INT('[3]Annex-12'!J32*10)='[3]Annex-12'!J32*10,'[3]Annex-12'!J32&amp;"0  ",ROUND('[3]Annex-12'!J32,2)&amp;"  "))</f>
        <v>#VALUE!</v>
      </c>
      <c r="K31" s="217" t="e">
        <f>IF('[3]Annex-12'!K32&lt;0,"(-)"&amp;FIXED(ABS('[3]Annex-12'!K32),2)&amp;"    ",FIXED('[3]Annex-12'!K32,2)&amp;"    ")</f>
        <v>#VALUE!</v>
      </c>
    </row>
    <row r="32" spans="1:11" hidden="1" x14ac:dyDescent="0.3">
      <c r="A32" s="216" t="str">
        <f>IF([4]Crops!$C14="","",[4]Crops!$C14)</f>
        <v/>
      </c>
      <c r="B32" s="217" t="e">
        <f>ROUND('[3]Annex-12'!B33,2)&amp;"  "</f>
        <v>#VALUE!</v>
      </c>
      <c r="C32" s="217" t="e">
        <f>IF(INT('[3]Annex-12'!C33)='[3]Annex-12'!C33,'[3]Annex-12'!C33&amp;".00  ",IF(INT('[3]Annex-12'!C33*10)='[3]Annex-12'!C33*10,'[3]Annex-12'!C33&amp;"0  ",ROUND('[3]Annex-12'!C33,2)&amp;"  "))</f>
        <v>#VALUE!</v>
      </c>
      <c r="D32" s="217" t="e">
        <f>IF(INT('[3]Annex-12'!D33)='[3]Annex-12'!D33,'[3]Annex-12'!D33&amp;".00  ",IF(INT('[3]Annex-12'!D33*10)='[3]Annex-12'!D33*10,'[3]Annex-12'!D33&amp;"0  ",ROUND('[3]Annex-12'!D33,2)&amp;"  "))</f>
        <v>#VALUE!</v>
      </c>
      <c r="E32" s="217" t="e">
        <f>ROUND('[3]Annex-12'!E33,2)&amp;"  "</f>
        <v>#VALUE!</v>
      </c>
      <c r="F32" s="217" t="e">
        <f>IF(INT('[3]Annex-12'!F33)='[3]Annex-12'!F33,'[3]Annex-12'!F33&amp;".00  ",IF(INT('[3]Annex-12'!F33*10)='[3]Annex-12'!F33*10,'[3]Annex-12'!F33&amp;"0  ",ROUND('[3]Annex-12'!F33,2)&amp;"  "))</f>
        <v>#VALUE!</v>
      </c>
      <c r="G32" s="217" t="e">
        <f>IF(INT('[3]Annex-12'!G33)='[3]Annex-12'!G33,'[3]Annex-12'!G33&amp;".00  ",IF(INT('[3]Annex-12'!G33*10)='[3]Annex-12'!G33*10,'[3]Annex-12'!G33&amp;"0  ",ROUND('[3]Annex-12'!G33,2)&amp;"  "))</f>
        <v>#VALUE!</v>
      </c>
      <c r="H32" s="217" t="e">
        <f>ROUND('[3]Annex-12'!H33,2)&amp;"  "</f>
        <v>#VALUE!</v>
      </c>
      <c r="I32" s="217" t="e">
        <f>IF(INT('[3]Annex-12'!I33)='[3]Annex-12'!I33,'[3]Annex-12'!I33&amp;".00  ",IF(INT('[3]Annex-12'!I33*10)='[3]Annex-12'!I33*10,'[3]Annex-12'!I33&amp;"0  ",ROUND('[3]Annex-12'!I33,2)&amp;"  "))</f>
        <v>#VALUE!</v>
      </c>
      <c r="J32" s="217" t="e">
        <f>IF(INT('[3]Annex-12'!J33)='[3]Annex-12'!J33,'[3]Annex-12'!J33&amp;".00  ",IF(INT('[3]Annex-12'!J33*10)='[3]Annex-12'!J33*10,'[3]Annex-12'!J33&amp;"0  ",ROUND('[3]Annex-12'!J33,2)&amp;"  "))</f>
        <v>#VALUE!</v>
      </c>
      <c r="K32" s="217" t="e">
        <f>IF('[3]Annex-12'!K33&lt;0,"(-)"&amp;FIXED(ABS('[3]Annex-12'!K33),2)&amp;"    ",FIXED('[3]Annex-12'!K33,2)&amp;"    ")</f>
        <v>#VALUE!</v>
      </c>
    </row>
    <row r="33" spans="1:11" hidden="1" x14ac:dyDescent="0.3">
      <c r="A33" s="216" t="str">
        <f>IF([4]Crops!$C15="","",[4]Crops!$C15)</f>
        <v/>
      </c>
      <c r="B33" s="217" t="e">
        <f>ROUND('[3]Annex-12'!B34,2)&amp;"  "</f>
        <v>#VALUE!</v>
      </c>
      <c r="C33" s="217" t="e">
        <f>IF(INT('[3]Annex-12'!C34)='[3]Annex-12'!C34,'[3]Annex-12'!C34&amp;".00  ",IF(INT('[3]Annex-12'!C34*10)='[3]Annex-12'!C34*10,'[3]Annex-12'!C34&amp;"0  ",ROUND('[3]Annex-12'!C34,2)&amp;"  "))</f>
        <v>#VALUE!</v>
      </c>
      <c r="D33" s="217" t="e">
        <f>IF(INT('[3]Annex-12'!D34)='[3]Annex-12'!D34,'[3]Annex-12'!D34&amp;".00  ",IF(INT('[3]Annex-12'!D34*10)='[3]Annex-12'!D34*10,'[3]Annex-12'!D34&amp;"0  ",ROUND('[3]Annex-12'!D34,2)&amp;"  "))</f>
        <v>#VALUE!</v>
      </c>
      <c r="E33" s="217" t="e">
        <f>ROUND('[3]Annex-12'!E34,2)&amp;"  "</f>
        <v>#VALUE!</v>
      </c>
      <c r="F33" s="217" t="e">
        <f>IF(INT('[3]Annex-12'!F34)='[3]Annex-12'!F34,'[3]Annex-12'!F34&amp;".00  ",IF(INT('[3]Annex-12'!F34*10)='[3]Annex-12'!F34*10,'[3]Annex-12'!F34&amp;"0  ",ROUND('[3]Annex-12'!F34,2)&amp;"  "))</f>
        <v>#VALUE!</v>
      </c>
      <c r="G33" s="217" t="e">
        <f>IF(INT('[3]Annex-12'!G34)='[3]Annex-12'!G34,'[3]Annex-12'!G34&amp;".00  ",IF(INT('[3]Annex-12'!G34*10)='[3]Annex-12'!G34*10,'[3]Annex-12'!G34&amp;"0  ",ROUND('[3]Annex-12'!G34,2)&amp;"  "))</f>
        <v>#VALUE!</v>
      </c>
      <c r="H33" s="217" t="e">
        <f>ROUND('[3]Annex-12'!H34,2)&amp;"  "</f>
        <v>#VALUE!</v>
      </c>
      <c r="I33" s="217" t="e">
        <f>IF(INT('[3]Annex-12'!I34)='[3]Annex-12'!I34,'[3]Annex-12'!I34&amp;".00  ",IF(INT('[3]Annex-12'!I34*10)='[3]Annex-12'!I34*10,'[3]Annex-12'!I34&amp;"0  ",ROUND('[3]Annex-12'!I34,2)&amp;"  "))</f>
        <v>#VALUE!</v>
      </c>
      <c r="J33" s="217" t="e">
        <f>IF(INT('[3]Annex-12'!J34)='[3]Annex-12'!J34,'[3]Annex-12'!J34&amp;".00  ",IF(INT('[3]Annex-12'!J34*10)='[3]Annex-12'!J34*10,'[3]Annex-12'!J34&amp;"0  ",ROUND('[3]Annex-12'!J34,2)&amp;"  "))</f>
        <v>#VALUE!</v>
      </c>
      <c r="K33" s="217" t="e">
        <f>IF('[3]Annex-12'!K34&lt;0,"(-)"&amp;FIXED(ABS('[3]Annex-12'!K34),2)&amp;"    ",FIXED('[3]Annex-12'!K34,2)&amp;"    ")</f>
        <v>#VALUE!</v>
      </c>
    </row>
    <row r="34" spans="1:11" ht="15" hidden="1" thickBot="1" x14ac:dyDescent="0.35">
      <c r="A34" s="223" t="str">
        <f>IF([4]Crops!$C16="","",[4]Crops!$C16)</f>
        <v/>
      </c>
      <c r="B34" s="224" t="e">
        <f>ROUND('[3]Annex-12'!B35,2)&amp;"  "</f>
        <v>#VALUE!</v>
      </c>
      <c r="C34" s="224" t="e">
        <f>IF(INT('[3]Annex-12'!C35)='[3]Annex-12'!C35,'[3]Annex-12'!C35&amp;".00  ",IF(INT('[3]Annex-12'!C35*10)='[3]Annex-12'!C35*10,'[3]Annex-12'!C35&amp;"0  ",ROUND('[3]Annex-12'!C35,2)&amp;"  "))</f>
        <v>#VALUE!</v>
      </c>
      <c r="D34" s="224" t="e">
        <f>IF(INT('[3]Annex-12'!D35)='[3]Annex-12'!D35,'[3]Annex-12'!D35&amp;".00  ",IF(INT('[3]Annex-12'!D35*10)='[3]Annex-12'!D35*10,'[3]Annex-12'!D35&amp;"0  ",ROUND('[3]Annex-12'!D35,2)&amp;"  "))</f>
        <v>#VALUE!</v>
      </c>
      <c r="E34" s="224" t="e">
        <f>ROUND('[3]Annex-12'!E35,2)&amp;"  "</f>
        <v>#VALUE!</v>
      </c>
      <c r="F34" s="224" t="e">
        <f>IF(INT('[3]Annex-12'!F35)='[3]Annex-12'!F35,'[3]Annex-12'!F35&amp;".00  ",IF(INT('[3]Annex-12'!F35*10)='[3]Annex-12'!F35*10,'[3]Annex-12'!F35&amp;"0  ",ROUND('[3]Annex-12'!F35,2)&amp;"  "))</f>
        <v>#VALUE!</v>
      </c>
      <c r="G34" s="224" t="e">
        <f>IF(INT('[3]Annex-12'!G35)='[3]Annex-12'!G35,'[3]Annex-12'!G35&amp;".00  ",IF(INT('[3]Annex-12'!G35*10)='[3]Annex-12'!G35*10,'[3]Annex-12'!G35&amp;"0  ",ROUND('[3]Annex-12'!G35,2)&amp;"  "))</f>
        <v>#VALUE!</v>
      </c>
      <c r="H34" s="224" t="e">
        <f>ROUND('[3]Annex-12'!H35,2)&amp;"  "</f>
        <v>#VALUE!</v>
      </c>
      <c r="I34" s="224" t="e">
        <f>IF(INT('[3]Annex-12'!I35)='[3]Annex-12'!I35,'[3]Annex-12'!I35&amp;".00  ",IF(INT('[3]Annex-12'!I35*10)='[3]Annex-12'!I35*10,'[3]Annex-12'!I35&amp;"0  ",ROUND('[3]Annex-12'!I35,2)&amp;"  "))</f>
        <v>#VALUE!</v>
      </c>
      <c r="J34" s="224" t="e">
        <f>IF(INT('[3]Annex-12'!J35)='[3]Annex-12'!J35,'[3]Annex-12'!J35&amp;".00  ",IF(INT('[3]Annex-12'!J35*10)='[3]Annex-12'!J35*10,'[3]Annex-12'!J35&amp;"0  ",ROUND('[3]Annex-12'!J35,2)&amp;"  "))</f>
        <v>#VALUE!</v>
      </c>
      <c r="K34" s="224" t="e">
        <f>IF('[3]Annex-12'!K35&lt;0,"(-)"&amp;FIXED(ABS('[3]Annex-12'!K35),2)&amp;"    ",FIXED('[3]Annex-12'!K35,2)&amp;"    ")</f>
        <v>#VALUE!</v>
      </c>
    </row>
    <row r="35" spans="1:11" hidden="1" x14ac:dyDescent="0.3">
      <c r="A35" s="216" t="str">
        <f>IF([4]Crops!$C17="","",[4]Crops!$C17)</f>
        <v/>
      </c>
      <c r="B35" s="220" t="e">
        <f>ROUND('[3]Annex-12'!B36,2)&amp;"  "</f>
        <v>#VALUE!</v>
      </c>
      <c r="C35" s="220" t="e">
        <f>IF(INT('[3]Annex-12'!C36)='[3]Annex-12'!C36,'[3]Annex-12'!C36&amp;".00  ",IF(INT('[3]Annex-12'!C36*10)='[3]Annex-12'!C36*10,'[3]Annex-12'!C36&amp;"0  ",ROUND('[3]Annex-12'!C36,2)&amp;"  "))</f>
        <v>#VALUE!</v>
      </c>
      <c r="D35" s="220" t="e">
        <f>IF(INT('[3]Annex-12'!D36)='[3]Annex-12'!D36,'[3]Annex-12'!D36&amp;".00  ",IF(INT('[3]Annex-12'!D36*10)='[3]Annex-12'!D36*10,'[3]Annex-12'!D36&amp;"0  ",ROUND('[3]Annex-12'!D36,2)&amp;"  "))</f>
        <v>#VALUE!</v>
      </c>
      <c r="E35" s="220" t="e">
        <f>ROUND('[3]Annex-12'!E36,2)&amp;"  "</f>
        <v>#VALUE!</v>
      </c>
      <c r="F35" s="220" t="e">
        <f>IF(INT('[3]Annex-12'!F36)='[3]Annex-12'!F36,'[3]Annex-12'!F36&amp;".00  ",IF(INT('[3]Annex-12'!F36*10)='[3]Annex-12'!F36*10,'[3]Annex-12'!F36&amp;"0  ",ROUND('[3]Annex-12'!F36,2)&amp;"  "))</f>
        <v>#VALUE!</v>
      </c>
      <c r="G35" s="220" t="e">
        <f>IF(INT('[3]Annex-12'!G36)='[3]Annex-12'!G36,'[3]Annex-12'!G36&amp;".00  ",IF(INT('[3]Annex-12'!G36*10)='[3]Annex-12'!G36*10,'[3]Annex-12'!G36&amp;"0  ",ROUND('[3]Annex-12'!G36,2)&amp;"  "))</f>
        <v>#VALUE!</v>
      </c>
      <c r="H35" s="220" t="e">
        <f>ROUND('[3]Annex-12'!H36,2)&amp;"  "</f>
        <v>#VALUE!</v>
      </c>
      <c r="I35" s="220" t="e">
        <f>IF(INT('[3]Annex-12'!I36)='[3]Annex-12'!I36,'[3]Annex-12'!I36&amp;".00  ",IF(INT('[3]Annex-12'!I36*10)='[3]Annex-12'!I36*10,'[3]Annex-12'!I36&amp;"0  ",ROUND('[3]Annex-12'!I36,2)&amp;"  "))</f>
        <v>#VALUE!</v>
      </c>
      <c r="J35" s="220" t="e">
        <f>IF(INT('[3]Annex-12'!J36)='[3]Annex-12'!J36,'[3]Annex-12'!J36&amp;".00  ",IF(INT('[3]Annex-12'!J36*10)='[3]Annex-12'!J36*10,'[3]Annex-12'!J36&amp;"0  ",ROUND('[3]Annex-12'!J36,2)&amp;"  "))</f>
        <v>#VALUE!</v>
      </c>
      <c r="K35" s="220" t="e">
        <f>IF('[3]Annex-12'!K36&lt;0,"(-)"&amp;FIXED(ABS('[3]Annex-12'!K36),2)&amp;"    ",FIXED('[3]Annex-12'!K36,2)&amp;"    ")</f>
        <v>#VALUE!</v>
      </c>
    </row>
    <row r="36" spans="1:11" hidden="1" x14ac:dyDescent="0.3">
      <c r="A36" s="216" t="str">
        <f>IF([4]Crops!$C18="","",[4]Crops!$C18)</f>
        <v/>
      </c>
      <c r="B36" s="220" t="e">
        <f>ROUND('[3]Annex-12'!B37,2)&amp;"  "</f>
        <v>#VALUE!</v>
      </c>
      <c r="C36" s="220" t="e">
        <f>IF(INT('[3]Annex-12'!C37)='[3]Annex-12'!C37,'[3]Annex-12'!C37&amp;".00  ",IF(INT('[3]Annex-12'!C37*10)='[3]Annex-12'!C37*10,'[3]Annex-12'!C37&amp;"0  ",ROUND('[3]Annex-12'!C37,2)&amp;"  "))</f>
        <v>#VALUE!</v>
      </c>
      <c r="D36" s="220" t="e">
        <f>IF(INT('[3]Annex-12'!D37)='[3]Annex-12'!D37,'[3]Annex-12'!D37&amp;".00  ",IF(INT('[3]Annex-12'!D37*10)='[3]Annex-12'!D37*10,'[3]Annex-12'!D37&amp;"0  ",ROUND('[3]Annex-12'!D37,2)&amp;"  "))</f>
        <v>#VALUE!</v>
      </c>
      <c r="E36" s="220" t="e">
        <f>ROUND('[3]Annex-12'!E37,2)&amp;"  "</f>
        <v>#VALUE!</v>
      </c>
      <c r="F36" s="220" t="e">
        <f>IF(INT('[3]Annex-12'!F37)='[3]Annex-12'!F37,'[3]Annex-12'!F37&amp;".00  ",IF(INT('[3]Annex-12'!F37*10)='[3]Annex-12'!F37*10,'[3]Annex-12'!F37&amp;"0  ",ROUND('[3]Annex-12'!F37,2)&amp;"  "))</f>
        <v>#VALUE!</v>
      </c>
      <c r="G36" s="220" t="e">
        <f>IF(INT('[3]Annex-12'!G37)='[3]Annex-12'!G37,'[3]Annex-12'!G37&amp;".00  ",IF(INT('[3]Annex-12'!G37*10)='[3]Annex-12'!G37*10,'[3]Annex-12'!G37&amp;"0  ",ROUND('[3]Annex-12'!G37,2)&amp;"  "))</f>
        <v>#VALUE!</v>
      </c>
      <c r="H36" s="220" t="e">
        <f>ROUND('[3]Annex-12'!H37,2)&amp;"  "</f>
        <v>#VALUE!</v>
      </c>
      <c r="I36" s="220" t="e">
        <f>IF(INT('[3]Annex-12'!I37)='[3]Annex-12'!I37,'[3]Annex-12'!I37&amp;".00  ",IF(INT('[3]Annex-12'!I37*10)='[3]Annex-12'!I37*10,'[3]Annex-12'!I37&amp;"0  ",ROUND('[3]Annex-12'!I37,2)&amp;"  "))</f>
        <v>#VALUE!</v>
      </c>
      <c r="J36" s="220" t="e">
        <f>IF(INT('[3]Annex-12'!J37)='[3]Annex-12'!J37,'[3]Annex-12'!J37&amp;".00  ",IF(INT('[3]Annex-12'!J37*10)='[3]Annex-12'!J37*10,'[3]Annex-12'!J37&amp;"0  ",ROUND('[3]Annex-12'!J37,2)&amp;"  "))</f>
        <v>#VALUE!</v>
      </c>
      <c r="K36" s="220" t="e">
        <f>IF('[3]Annex-12'!K37&lt;0,"(-)"&amp;FIXED(ABS('[3]Annex-12'!K37),2)&amp;"    ",FIXED('[3]Annex-12'!K37,2)&amp;"    ")</f>
        <v>#VALUE!</v>
      </c>
    </row>
    <row r="37" spans="1:11" hidden="1" x14ac:dyDescent="0.3">
      <c r="A37" s="216" t="str">
        <f>IF([4]Crops!$C19="","",[4]Crops!$C19)</f>
        <v/>
      </c>
      <c r="B37" s="220" t="e">
        <f>ROUND('[3]Annex-12'!B38,2)&amp;"  "</f>
        <v>#VALUE!</v>
      </c>
      <c r="C37" s="220" t="e">
        <f>IF(INT('[3]Annex-12'!C38)='[3]Annex-12'!C38,'[3]Annex-12'!C38&amp;".00  ",IF(INT('[3]Annex-12'!C38*10)='[3]Annex-12'!C38*10,'[3]Annex-12'!C38&amp;"0  ",ROUND('[3]Annex-12'!C38,2)&amp;"  "))</f>
        <v>#VALUE!</v>
      </c>
      <c r="D37" s="220" t="e">
        <f>IF(INT('[3]Annex-12'!D38)='[3]Annex-12'!D38,'[3]Annex-12'!D38&amp;".00  ",IF(INT('[3]Annex-12'!D38*10)='[3]Annex-12'!D38*10,'[3]Annex-12'!D38&amp;"0  ",ROUND('[3]Annex-12'!D38,2)&amp;"  "))</f>
        <v>#VALUE!</v>
      </c>
      <c r="E37" s="220" t="e">
        <f>ROUND('[3]Annex-12'!E38,2)&amp;"  "</f>
        <v>#VALUE!</v>
      </c>
      <c r="F37" s="220" t="e">
        <f>IF(INT('[3]Annex-12'!F38)='[3]Annex-12'!F38,'[3]Annex-12'!F38&amp;".00  ",IF(INT('[3]Annex-12'!F38*10)='[3]Annex-12'!F38*10,'[3]Annex-12'!F38&amp;"0  ",ROUND('[3]Annex-12'!F38,2)&amp;"  "))</f>
        <v>#VALUE!</v>
      </c>
      <c r="G37" s="220" t="e">
        <f>IF(INT('[3]Annex-12'!G38)='[3]Annex-12'!G38,'[3]Annex-12'!G38&amp;".00  ",IF(INT('[3]Annex-12'!G38*10)='[3]Annex-12'!G38*10,'[3]Annex-12'!G38&amp;"0  ",ROUND('[3]Annex-12'!G38,2)&amp;"  "))</f>
        <v>#VALUE!</v>
      </c>
      <c r="H37" s="220" t="e">
        <f>ROUND('[3]Annex-12'!H38,2)&amp;"  "</f>
        <v>#VALUE!</v>
      </c>
      <c r="I37" s="220" t="e">
        <f>IF(INT('[3]Annex-12'!I38)='[3]Annex-12'!I38,'[3]Annex-12'!I38&amp;".00  ",IF(INT('[3]Annex-12'!I38*10)='[3]Annex-12'!I38*10,'[3]Annex-12'!I38&amp;"0  ",ROUND('[3]Annex-12'!I38,2)&amp;"  "))</f>
        <v>#VALUE!</v>
      </c>
      <c r="J37" s="220" t="e">
        <f>IF(INT('[3]Annex-12'!J38)='[3]Annex-12'!J38,'[3]Annex-12'!J38&amp;".00  ",IF(INT('[3]Annex-12'!J38*10)='[3]Annex-12'!J38*10,'[3]Annex-12'!J38&amp;"0  ",ROUND('[3]Annex-12'!J38,2)&amp;"  "))</f>
        <v>#VALUE!</v>
      </c>
      <c r="K37" s="220" t="e">
        <f>IF('[3]Annex-12'!K38&lt;0,"(-)"&amp;FIXED(ABS('[3]Annex-12'!K38),2)&amp;"    ",FIXED('[3]Annex-12'!K38,2)&amp;"    ")</f>
        <v>#VALUE!</v>
      </c>
    </row>
    <row r="38" spans="1:11" hidden="1" x14ac:dyDescent="0.3">
      <c r="A38" s="216" t="str">
        <f>IF([4]Crops!$C20="","",[4]Crops!$C20)</f>
        <v/>
      </c>
      <c r="B38" s="220" t="e">
        <f>ROUND('[3]Annex-12'!B39,2)&amp;"  "</f>
        <v>#VALUE!</v>
      </c>
      <c r="C38" s="220" t="e">
        <f>IF(INT('[3]Annex-12'!C39)='[3]Annex-12'!C39,'[3]Annex-12'!C39&amp;".00  ",IF(INT('[3]Annex-12'!C39*10)='[3]Annex-12'!C39*10,'[3]Annex-12'!C39&amp;"0  ",ROUND('[3]Annex-12'!C39,2)&amp;"  "))</f>
        <v>#VALUE!</v>
      </c>
      <c r="D38" s="220" t="e">
        <f>IF(INT('[3]Annex-12'!D39)='[3]Annex-12'!D39,'[3]Annex-12'!D39&amp;".00  ",IF(INT('[3]Annex-12'!D39*10)='[3]Annex-12'!D39*10,'[3]Annex-12'!D39&amp;"0  ",ROUND('[3]Annex-12'!D39,2)&amp;"  "))</f>
        <v>#VALUE!</v>
      </c>
      <c r="E38" s="220" t="e">
        <f>ROUND('[3]Annex-12'!E39,2)&amp;"  "</f>
        <v>#VALUE!</v>
      </c>
      <c r="F38" s="220" t="e">
        <f>IF(INT('[3]Annex-12'!F39)='[3]Annex-12'!F39,'[3]Annex-12'!F39&amp;".00  ",IF(INT('[3]Annex-12'!F39*10)='[3]Annex-12'!F39*10,'[3]Annex-12'!F39&amp;"0  ",ROUND('[3]Annex-12'!F39,2)&amp;"  "))</f>
        <v>#VALUE!</v>
      </c>
      <c r="G38" s="220" t="e">
        <f>IF(INT('[3]Annex-12'!G39)='[3]Annex-12'!G39,'[3]Annex-12'!G39&amp;".00  ",IF(INT('[3]Annex-12'!G39*10)='[3]Annex-12'!G39*10,'[3]Annex-12'!G39&amp;"0  ",ROUND('[3]Annex-12'!G39,2)&amp;"  "))</f>
        <v>#VALUE!</v>
      </c>
      <c r="H38" s="220" t="e">
        <f>ROUND('[3]Annex-12'!H39,2)&amp;"  "</f>
        <v>#VALUE!</v>
      </c>
      <c r="I38" s="220" t="e">
        <f>IF(INT('[3]Annex-12'!I39)='[3]Annex-12'!I39,'[3]Annex-12'!I39&amp;".00  ",IF(INT('[3]Annex-12'!I39*10)='[3]Annex-12'!I39*10,'[3]Annex-12'!I39&amp;"0  ",ROUND('[3]Annex-12'!I39,2)&amp;"  "))</f>
        <v>#VALUE!</v>
      </c>
      <c r="J38" s="220" t="e">
        <f>IF(INT('[3]Annex-12'!J39)='[3]Annex-12'!J39,'[3]Annex-12'!J39&amp;".00  ",IF(INT('[3]Annex-12'!J39*10)='[3]Annex-12'!J39*10,'[3]Annex-12'!J39&amp;"0  ",ROUND('[3]Annex-12'!J39,2)&amp;"  "))</f>
        <v>#VALUE!</v>
      </c>
      <c r="K38" s="220" t="e">
        <f>IF('[3]Annex-12'!K39&lt;0,"(-)"&amp;FIXED(ABS('[3]Annex-12'!K39),2)&amp;"    ",FIXED('[3]Annex-12'!K39,2)&amp;"    ")</f>
        <v>#VALUE!</v>
      </c>
    </row>
    <row r="39" spans="1:11" hidden="1" x14ac:dyDescent="0.3">
      <c r="A39" s="216" t="str">
        <f>IF([4]Crops!$C21="","",[4]Crops!$C21)</f>
        <v/>
      </c>
      <c r="B39" s="220" t="e">
        <f>ROUND('[3]Annex-12'!B40,2)&amp;"  "</f>
        <v>#VALUE!</v>
      </c>
      <c r="C39" s="220" t="e">
        <f>IF(INT('[3]Annex-12'!C40)='[3]Annex-12'!C40,'[3]Annex-12'!C40&amp;".00  ",IF(INT('[3]Annex-12'!C40*10)='[3]Annex-12'!C40*10,'[3]Annex-12'!C40&amp;"0  ",ROUND('[3]Annex-12'!C40,2)&amp;"  "))</f>
        <v>#VALUE!</v>
      </c>
      <c r="D39" s="220" t="e">
        <f>IF(INT('[3]Annex-12'!D40)='[3]Annex-12'!D40,'[3]Annex-12'!D40&amp;".00  ",IF(INT('[3]Annex-12'!D40*10)='[3]Annex-12'!D40*10,'[3]Annex-12'!D40&amp;"0  ",ROUND('[3]Annex-12'!D40,2)&amp;"  "))</f>
        <v>#VALUE!</v>
      </c>
      <c r="E39" s="220" t="e">
        <f>ROUND('[3]Annex-12'!E40,2)&amp;"  "</f>
        <v>#VALUE!</v>
      </c>
      <c r="F39" s="220" t="e">
        <f>IF(INT('[3]Annex-12'!F40)='[3]Annex-12'!F40,'[3]Annex-12'!F40&amp;".00  ",IF(INT('[3]Annex-12'!F40*10)='[3]Annex-12'!F40*10,'[3]Annex-12'!F40&amp;"0  ",ROUND('[3]Annex-12'!F40,2)&amp;"  "))</f>
        <v>#VALUE!</v>
      </c>
      <c r="G39" s="220" t="e">
        <f>IF(INT('[3]Annex-12'!G40)='[3]Annex-12'!G40,'[3]Annex-12'!G40&amp;".00  ",IF(INT('[3]Annex-12'!G40*10)='[3]Annex-12'!G40*10,'[3]Annex-12'!G40&amp;"0  ",ROUND('[3]Annex-12'!G40,2)&amp;"  "))</f>
        <v>#VALUE!</v>
      </c>
      <c r="H39" s="220" t="e">
        <f>ROUND('[3]Annex-12'!H40,2)&amp;"  "</f>
        <v>#VALUE!</v>
      </c>
      <c r="I39" s="220" t="e">
        <f>IF(INT('[3]Annex-12'!I40)='[3]Annex-12'!I40,'[3]Annex-12'!I40&amp;".00  ",IF(INT('[3]Annex-12'!I40*10)='[3]Annex-12'!I40*10,'[3]Annex-12'!I40&amp;"0  ",ROUND('[3]Annex-12'!I40,2)&amp;"  "))</f>
        <v>#VALUE!</v>
      </c>
      <c r="J39" s="220" t="e">
        <f>IF(INT('[3]Annex-12'!J40)='[3]Annex-12'!J40,'[3]Annex-12'!J40&amp;".00  ",IF(INT('[3]Annex-12'!J40*10)='[3]Annex-12'!J40*10,'[3]Annex-12'!J40&amp;"0  ",ROUND('[3]Annex-12'!J40,2)&amp;"  "))</f>
        <v>#VALUE!</v>
      </c>
      <c r="K39" s="220" t="e">
        <f>IF('[3]Annex-12'!K40&lt;0,"(-)"&amp;FIXED(ABS('[3]Annex-12'!K40),2)&amp;"    ",FIXED('[3]Annex-12'!K40,2)&amp;"    ")</f>
        <v>#VALUE!</v>
      </c>
    </row>
    <row r="40" spans="1:11" hidden="1" x14ac:dyDescent="0.3">
      <c r="A40" s="297" t="s">
        <v>102</v>
      </c>
      <c r="B40" s="297"/>
      <c r="C40" s="297"/>
      <c r="D40" s="297"/>
      <c r="E40" s="297"/>
      <c r="F40" s="297"/>
      <c r="G40" s="297"/>
      <c r="H40" s="297"/>
      <c r="I40" s="297"/>
      <c r="J40" s="297"/>
      <c r="K40" s="297"/>
    </row>
    <row r="41" spans="1:11" hidden="1" x14ac:dyDescent="0.3">
      <c r="A41" s="298" t="s">
        <v>216</v>
      </c>
      <c r="B41" s="298"/>
      <c r="C41" s="298"/>
      <c r="D41" s="298"/>
      <c r="E41" s="298"/>
      <c r="F41" s="298"/>
      <c r="G41" s="298"/>
      <c r="H41" s="298"/>
      <c r="I41" s="298"/>
      <c r="J41" s="298"/>
      <c r="K41" s="298"/>
    </row>
    <row r="42" spans="1:11" hidden="1" x14ac:dyDescent="0.3">
      <c r="A42" s="299" t="str">
        <f>common!$H$2</f>
        <v>UT : PUDUCHERRY</v>
      </c>
      <c r="B42" s="299" t="str">
        <f>common!$H$2</f>
        <v>UT : PUDUCHERRY</v>
      </c>
      <c r="C42" s="299" t="str">
        <f>common!$H$2</f>
        <v>UT : PUDUCHERRY</v>
      </c>
      <c r="D42" s="299" t="str">
        <f>common!$H$2</f>
        <v>UT : PUDUCHERRY</v>
      </c>
      <c r="E42" s="299" t="str">
        <f>common!$H$2</f>
        <v>UT : PUDUCHERRY</v>
      </c>
      <c r="F42" s="299" t="str">
        <f>common!$H$2</f>
        <v>UT : PUDUCHERRY</v>
      </c>
      <c r="G42" s="299" t="str">
        <f>common!$H$2</f>
        <v>UT : PUDUCHERRY</v>
      </c>
      <c r="H42" s="299" t="str">
        <f>common!$H$2</f>
        <v>UT : PUDUCHERRY</v>
      </c>
      <c r="I42" s="299" t="str">
        <f>common!$H$2</f>
        <v>UT : PUDUCHERRY</v>
      </c>
      <c r="J42" s="300" t="str">
        <f>'[3]Annex-12'!J$3</f>
        <v>ANNEX-XII</v>
      </c>
      <c r="K42" s="300"/>
    </row>
    <row r="43" spans="1:11" hidden="1" x14ac:dyDescent="0.3">
      <c r="A43" s="301" t="str">
        <f>'[3]Annex-12'!A$4</f>
        <v>IMPACT OF DISCREPANCIES IN RECORDING AREA UNDER CROPS(HIGH YIELDING VARIETY OF SEEDS) DURING 0 AND 0.</v>
      </c>
      <c r="B43" s="301"/>
      <c r="C43" s="301"/>
      <c r="D43" s="301"/>
      <c r="E43" s="301"/>
      <c r="F43" s="301"/>
      <c r="G43" s="301"/>
      <c r="H43" s="301"/>
      <c r="I43" s="301"/>
      <c r="J43" s="301"/>
      <c r="K43" s="301"/>
    </row>
    <row r="44" spans="1:11" hidden="1" x14ac:dyDescent="0.3">
      <c r="A44" s="304" t="s">
        <v>260</v>
      </c>
      <c r="B44" s="303" t="s">
        <v>261</v>
      </c>
      <c r="C44" s="303"/>
      <c r="D44" s="303"/>
      <c r="E44" s="303"/>
      <c r="F44" s="303"/>
      <c r="G44" s="303"/>
      <c r="H44" s="303"/>
      <c r="I44" s="303"/>
      <c r="J44" s="303"/>
      <c r="K44" s="303"/>
    </row>
    <row r="45" spans="1:11" ht="15" hidden="1" customHeight="1" x14ac:dyDescent="0.3">
      <c r="A45" s="304"/>
      <c r="B45" s="303" t="s">
        <v>262</v>
      </c>
      <c r="C45" s="303"/>
      <c r="D45" s="303"/>
      <c r="E45" s="303" t="s">
        <v>263</v>
      </c>
      <c r="F45" s="303"/>
      <c r="G45" s="303"/>
      <c r="H45" s="303" t="s">
        <v>264</v>
      </c>
      <c r="I45" s="303"/>
      <c r="J45" s="303"/>
      <c r="K45" s="304" t="s">
        <v>265</v>
      </c>
    </row>
    <row r="46" spans="1:11" ht="57.6" hidden="1" x14ac:dyDescent="0.3">
      <c r="A46" s="305"/>
      <c r="B46" s="212" t="s">
        <v>266</v>
      </c>
      <c r="C46" s="212" t="s">
        <v>258</v>
      </c>
      <c r="D46" s="212" t="s">
        <v>259</v>
      </c>
      <c r="E46" s="212" t="s">
        <v>266</v>
      </c>
      <c r="F46" s="212" t="s">
        <v>258</v>
      </c>
      <c r="G46" s="212" t="s">
        <v>259</v>
      </c>
      <c r="H46" s="212" t="s">
        <v>266</v>
      </c>
      <c r="I46" s="212" t="s">
        <v>272</v>
      </c>
      <c r="J46" s="212" t="s">
        <v>273</v>
      </c>
      <c r="K46" s="305"/>
    </row>
    <row r="47" spans="1:11" hidden="1" x14ac:dyDescent="0.3">
      <c r="A47" s="213" t="str">
        <f>'[3]Annex-12'!A$8</f>
        <v>(1)</v>
      </c>
      <c r="B47" s="213" t="str">
        <f>'[3]Annex-12'!B$8</f>
        <v>(2)</v>
      </c>
      <c r="C47" s="213" t="str">
        <f>'[3]Annex-12'!C$8</f>
        <v>(3)</v>
      </c>
      <c r="D47" s="213" t="str">
        <f>'[3]Annex-12'!D$8</f>
        <v>(4)</v>
      </c>
      <c r="E47" s="213" t="str">
        <f>'[3]Annex-12'!E$8</f>
        <v>(5)</v>
      </c>
      <c r="F47" s="213" t="str">
        <f>'[3]Annex-12'!F$8</f>
        <v>(6)</v>
      </c>
      <c r="G47" s="213" t="str">
        <f>'[3]Annex-12'!G$8</f>
        <v>(7)</v>
      </c>
      <c r="H47" s="213" t="str">
        <f>'[3]Annex-12'!H$8</f>
        <v>(8)</v>
      </c>
      <c r="I47" s="213" t="str">
        <f>'[3]Annex-12'!I$8</f>
        <v>(9)</v>
      </c>
      <c r="J47" s="213" t="str">
        <f>'[3]Annex-12'!J$8</f>
        <v>(10)</v>
      </c>
      <c r="K47" s="213" t="str">
        <f>'[3]Annex-12'!L$8</f>
        <v>(11)</v>
      </c>
    </row>
    <row r="48" spans="1:11" ht="26.4" customHeight="1" x14ac:dyDescent="0.3">
      <c r="A48" s="214" t="str">
        <f>common!$H$5</f>
        <v>RABI I 2023-24</v>
      </c>
      <c r="B48" s="215"/>
      <c r="C48" s="215"/>
      <c r="D48" s="215"/>
      <c r="E48" s="215"/>
      <c r="F48" s="215"/>
      <c r="G48" s="215"/>
      <c r="H48" s="215"/>
      <c r="I48" s="215"/>
      <c r="J48" s="215"/>
      <c r="K48" s="215"/>
    </row>
    <row r="49" spans="1:11" ht="26.4" customHeight="1" x14ac:dyDescent="0.3">
      <c r="A49" s="225" t="str">
        <f>A9</f>
        <v>PADDY</v>
      </c>
      <c r="B49" s="217" t="str">
        <f>ROUND('[3]Annex-12'!B42,2)&amp;"  "</f>
        <v xml:space="preserve">7  </v>
      </c>
      <c r="C49" s="217" t="str">
        <f>IF(INT('[3]Annex-12'!C42)='[3]Annex-12'!C42,'[3]Annex-12'!C42&amp;".00  ",IF(INT('[3]Annex-12'!C42*10)='[3]Annex-12'!C42*10,'[3]Annex-12'!C42&amp;"0  ",ROUND('[3]Annex-12'!C42,2)&amp;"  "))</f>
        <v xml:space="preserve">22.65  </v>
      </c>
      <c r="D49" s="217" t="str">
        <f>IF(INT('[3]Annex-12'!D42)='[3]Annex-12'!D42,'[3]Annex-12'!D42&amp;".00  ",IF(INT('[3]Annex-12'!D42*10)='[3]Annex-12'!D42*10,'[3]Annex-12'!D42&amp;"0  ",ROUND('[3]Annex-12'!D42,2)&amp;"  "))</f>
        <v xml:space="preserve">22.73  </v>
      </c>
      <c r="E49" s="217" t="str">
        <f>ROUND('[3]Annex-12'!E42,2)&amp;"  "</f>
        <v xml:space="preserve">7  </v>
      </c>
      <c r="F49" s="217" t="str">
        <f>IF(INT('[3]Annex-12'!F42)='[3]Annex-12'!F42,'[3]Annex-12'!F42&amp;".00  ",IF(INT('[3]Annex-12'!F42*10)='[3]Annex-12'!F42*10,'[3]Annex-12'!F42&amp;"0  ",ROUND('[3]Annex-12'!F42,2)&amp;"  "))</f>
        <v xml:space="preserve">7.65  </v>
      </c>
      <c r="G49" s="217" t="str">
        <f>IF(INT('[3]Annex-12'!G42)='[3]Annex-12'!G42,'[3]Annex-12'!G42&amp;".00  ",IF(INT('[3]Annex-12'!G42*10)='[3]Annex-12'!G42*10,'[3]Annex-12'!G42&amp;"0  ",ROUND('[3]Annex-12'!G42,2)&amp;"  "))</f>
        <v xml:space="preserve">7.54  </v>
      </c>
      <c r="H49" s="217" t="str">
        <f>ROUND('[3]Annex-12'!H42,2)&amp;"  "</f>
        <v xml:space="preserve">14  </v>
      </c>
      <c r="I49" s="217" t="str">
        <f>IF(INT('[3]Annex-12'!I42)='[3]Annex-12'!I42,'[3]Annex-12'!I42&amp;".00  ",IF(INT('[3]Annex-12'!I42*10)='[3]Annex-12'!I42*10,'[3]Annex-12'!I42&amp;"0  ",ROUND('[3]Annex-12'!I42,2)&amp;"  "))</f>
        <v xml:space="preserve">30.29  </v>
      </c>
      <c r="J49" s="217" t="str">
        <f>IF(INT('[3]Annex-12'!J42)='[3]Annex-12'!J42,'[3]Annex-12'!J42&amp;".00  ",IF(INT('[3]Annex-12'!J42*10)='[3]Annex-12'!J42*10,'[3]Annex-12'!J42&amp;"0  ",ROUND('[3]Annex-12'!J42,2)&amp;"  "))</f>
        <v xml:space="preserve">30.27  </v>
      </c>
      <c r="K49" s="217" t="str">
        <f>IF('[3]Annex-12'!K42&lt;0,"(-)"&amp;FIXED(ABS('[3]Annex-12'!K42),2)&amp;"    ",FIXED('[3]Annex-12'!K42,2)&amp;"    ")</f>
        <v xml:space="preserve">(-)0.08    </v>
      </c>
    </row>
    <row r="50" spans="1:11" ht="26.4" customHeight="1" x14ac:dyDescent="0.3">
      <c r="A50" s="225" t="str">
        <f t="shared" ref="A50:A63" si="0">A10</f>
        <v>OTHERS</v>
      </c>
      <c r="B50" s="217" t="str">
        <f>ROUND('[3]Annex-12'!B43,2)&amp;"  "</f>
        <v xml:space="preserve">2  </v>
      </c>
      <c r="C50" s="217" t="str">
        <f>IF(INT('[3]Annex-12'!C43)='[3]Annex-12'!C43,'[3]Annex-12'!C43&amp;".00  ",IF(INT('[3]Annex-12'!C43*10)='[3]Annex-12'!C43*10,'[3]Annex-12'!C43&amp;"0  ",ROUND('[3]Annex-12'!C43,2)&amp;"  "))</f>
        <v xml:space="preserve">0.88  </v>
      </c>
      <c r="D50" s="217" t="str">
        <f>IF(INT('[3]Annex-12'!D43)='[3]Annex-12'!D43,'[3]Annex-12'!D43&amp;".00  ",IF(INT('[3]Annex-12'!D43*10)='[3]Annex-12'!D43*10,'[3]Annex-12'!D43&amp;"0  ",ROUND('[3]Annex-12'!D43,2)&amp;"  "))</f>
        <v xml:space="preserve">0.88  </v>
      </c>
      <c r="E50" s="217" t="str">
        <f>ROUND('[3]Annex-12'!E43,2)&amp;"  "</f>
        <v xml:space="preserve">3  </v>
      </c>
      <c r="F50" s="217" t="str">
        <f>IF(INT('[3]Annex-12'!F43)='[3]Annex-12'!F43,'[3]Annex-12'!F43&amp;".00  ",IF(INT('[3]Annex-12'!F43*10)='[3]Annex-12'!F43*10,'[3]Annex-12'!F43&amp;"0  ",ROUND('[3]Annex-12'!F43,2)&amp;"  "))</f>
        <v xml:space="preserve">3.38  </v>
      </c>
      <c r="G50" s="217" t="str">
        <f>IF(INT('[3]Annex-12'!G43)='[3]Annex-12'!G43,'[3]Annex-12'!G43&amp;".00  ",IF(INT('[3]Annex-12'!G43*10)='[3]Annex-12'!G43*10,'[3]Annex-12'!G43&amp;"0  ",ROUND('[3]Annex-12'!G43,2)&amp;"  "))</f>
        <v xml:space="preserve">3.38  </v>
      </c>
      <c r="H50" s="217" t="str">
        <f>ROUND('[3]Annex-12'!H43,2)&amp;"  "</f>
        <v xml:space="preserve">5  </v>
      </c>
      <c r="I50" s="217" t="str">
        <f>IF(INT('[3]Annex-12'!I43)='[3]Annex-12'!I43,'[3]Annex-12'!I43&amp;".00  ",IF(INT('[3]Annex-12'!I43*10)='[3]Annex-12'!I43*10,'[3]Annex-12'!I43&amp;"0  ",ROUND('[3]Annex-12'!I43,2)&amp;"  "))</f>
        <v xml:space="preserve">4.26  </v>
      </c>
      <c r="J50" s="217" t="str">
        <f>IF(INT('[3]Annex-12'!J43)='[3]Annex-12'!J43,'[3]Annex-12'!J43&amp;".00  ",IF(INT('[3]Annex-12'!J43*10)='[3]Annex-12'!J43*10,'[3]Annex-12'!J43&amp;"0  ",ROUND('[3]Annex-12'!J43,2)&amp;"  "))</f>
        <v xml:space="preserve">4.26  </v>
      </c>
      <c r="K50" s="217" t="str">
        <f>IF('[3]Annex-12'!K43&lt;0,"(-)"&amp;FIXED(ABS('[3]Annex-12'!K43),2)&amp;"    ",FIXED('[3]Annex-12'!K43,2)&amp;"    ")</f>
        <v xml:space="preserve">0.00    </v>
      </c>
    </row>
    <row r="51" spans="1:11" hidden="1" x14ac:dyDescent="0.3">
      <c r="A51" s="225" t="str">
        <f t="shared" si="0"/>
        <v/>
      </c>
      <c r="B51" s="217" t="e">
        <f>ROUND('[3]Annex-12'!B44,2)&amp;"  "</f>
        <v>#VALUE!</v>
      </c>
      <c r="C51" s="217" t="e">
        <f>IF(INT('[3]Annex-12'!C44)='[3]Annex-12'!C44,'[3]Annex-12'!C44&amp;".00  ",IF(INT('[3]Annex-12'!C44*10)='[3]Annex-12'!C44*10,'[3]Annex-12'!C44&amp;"0  ",ROUND('[3]Annex-12'!C44,2)&amp;"  "))</f>
        <v>#VALUE!</v>
      </c>
      <c r="D51" s="217" t="e">
        <f>IF(INT('[3]Annex-12'!D44)='[3]Annex-12'!D44,'[3]Annex-12'!D44&amp;".00  ",IF(INT('[3]Annex-12'!D44*10)='[3]Annex-12'!D44*10,'[3]Annex-12'!D44&amp;"0  ",ROUND('[3]Annex-12'!D44,2)&amp;"  "))</f>
        <v>#VALUE!</v>
      </c>
      <c r="E51" s="217" t="e">
        <f>ROUND('[3]Annex-12'!E44,2)&amp;"  "</f>
        <v>#VALUE!</v>
      </c>
      <c r="F51" s="217" t="e">
        <f>IF(INT('[3]Annex-12'!F44)='[3]Annex-12'!F44,'[3]Annex-12'!F44&amp;".00  ",IF(INT('[3]Annex-12'!F44*10)='[3]Annex-12'!F44*10,'[3]Annex-12'!F44&amp;"0  ",ROUND('[3]Annex-12'!F44,2)&amp;"  "))</f>
        <v>#VALUE!</v>
      </c>
      <c r="G51" s="217" t="e">
        <f>IF(INT('[3]Annex-12'!G44)='[3]Annex-12'!G44,'[3]Annex-12'!G44&amp;".00  ",IF(INT('[3]Annex-12'!G44*10)='[3]Annex-12'!G44*10,'[3]Annex-12'!G44&amp;"0  ",ROUND('[3]Annex-12'!G44,2)&amp;"  "))</f>
        <v>#VALUE!</v>
      </c>
      <c r="H51" s="217" t="e">
        <f>ROUND('[3]Annex-12'!H44,2)&amp;"  "</f>
        <v>#VALUE!</v>
      </c>
      <c r="I51" s="217" t="e">
        <f>IF(INT('[3]Annex-12'!I44)='[3]Annex-12'!I44,'[3]Annex-12'!I44&amp;".00  ",IF(INT('[3]Annex-12'!I44*10)='[3]Annex-12'!I44*10,'[3]Annex-12'!I44&amp;"0  ",ROUND('[3]Annex-12'!I44,2)&amp;"  "))</f>
        <v>#VALUE!</v>
      </c>
      <c r="J51" s="217" t="e">
        <f>IF(INT('[3]Annex-12'!J44)='[3]Annex-12'!J44,'[3]Annex-12'!J44&amp;".00  ",IF(INT('[3]Annex-12'!J44*10)='[3]Annex-12'!J44*10,'[3]Annex-12'!J44&amp;"0  ",ROUND('[3]Annex-12'!J44,2)&amp;"  "))</f>
        <v>#VALUE!</v>
      </c>
      <c r="K51" s="217" t="e">
        <f>IF('[3]Annex-12'!K44&lt;0,"(-)"&amp;FIXED(ABS('[3]Annex-12'!K44),2)&amp;"    ",FIXED('[3]Annex-12'!K44,2)&amp;"    ")</f>
        <v>#VALUE!</v>
      </c>
    </row>
    <row r="52" spans="1:11" hidden="1" x14ac:dyDescent="0.3">
      <c r="A52" s="225" t="str">
        <f t="shared" si="0"/>
        <v/>
      </c>
      <c r="B52" s="217" t="e">
        <f>ROUND('[3]Annex-12'!B45,2)&amp;"  "</f>
        <v>#VALUE!</v>
      </c>
      <c r="C52" s="217" t="e">
        <f>IF(INT('[3]Annex-12'!C45)='[3]Annex-12'!C45,'[3]Annex-12'!C45&amp;".00  ",IF(INT('[3]Annex-12'!C45*10)='[3]Annex-12'!C45*10,'[3]Annex-12'!C45&amp;"0  ",ROUND('[3]Annex-12'!C45,2)&amp;"  "))</f>
        <v>#VALUE!</v>
      </c>
      <c r="D52" s="217" t="e">
        <f>IF(INT('[3]Annex-12'!D45)='[3]Annex-12'!D45,'[3]Annex-12'!D45&amp;".00  ",IF(INT('[3]Annex-12'!D45*10)='[3]Annex-12'!D45*10,'[3]Annex-12'!D45&amp;"0  ",ROUND('[3]Annex-12'!D45,2)&amp;"  "))</f>
        <v>#VALUE!</v>
      </c>
      <c r="E52" s="217" t="e">
        <f>ROUND('[3]Annex-12'!E45,2)&amp;"  "</f>
        <v>#VALUE!</v>
      </c>
      <c r="F52" s="217" t="e">
        <f>IF(INT('[3]Annex-12'!F45)='[3]Annex-12'!F45,'[3]Annex-12'!F45&amp;".00  ",IF(INT('[3]Annex-12'!F45*10)='[3]Annex-12'!F45*10,'[3]Annex-12'!F45&amp;"0  ",ROUND('[3]Annex-12'!F45,2)&amp;"  "))</f>
        <v>#VALUE!</v>
      </c>
      <c r="G52" s="217" t="e">
        <f>IF(INT('[3]Annex-12'!G45)='[3]Annex-12'!G45,'[3]Annex-12'!G45&amp;".00  ",IF(INT('[3]Annex-12'!G45*10)='[3]Annex-12'!G45*10,'[3]Annex-12'!G45&amp;"0  ",ROUND('[3]Annex-12'!G45,2)&amp;"  "))</f>
        <v>#VALUE!</v>
      </c>
      <c r="H52" s="217" t="e">
        <f>ROUND('[3]Annex-12'!H45,2)&amp;"  "</f>
        <v>#VALUE!</v>
      </c>
      <c r="I52" s="217" t="e">
        <f>IF(INT('[3]Annex-12'!I45)='[3]Annex-12'!I45,'[3]Annex-12'!I45&amp;".00  ",IF(INT('[3]Annex-12'!I45*10)='[3]Annex-12'!I45*10,'[3]Annex-12'!I45&amp;"0  ",ROUND('[3]Annex-12'!I45,2)&amp;"  "))</f>
        <v>#VALUE!</v>
      </c>
      <c r="J52" s="217" t="e">
        <f>IF(INT('[3]Annex-12'!J45)='[3]Annex-12'!J45,'[3]Annex-12'!J45&amp;".00  ",IF(INT('[3]Annex-12'!J45*10)='[3]Annex-12'!J45*10,'[3]Annex-12'!J45&amp;"0  ",ROUND('[3]Annex-12'!J45,2)&amp;"  "))</f>
        <v>#VALUE!</v>
      </c>
      <c r="K52" s="217" t="e">
        <f>IF('[3]Annex-12'!K45&lt;0,"(-)"&amp;FIXED(ABS('[3]Annex-12'!K45),2)&amp;"    ",FIXED('[3]Annex-12'!K45,2)&amp;"    ")</f>
        <v>#VALUE!</v>
      </c>
    </row>
    <row r="53" spans="1:11" hidden="1" x14ac:dyDescent="0.3">
      <c r="A53" s="225" t="str">
        <f t="shared" si="0"/>
        <v/>
      </c>
      <c r="B53" s="217" t="e">
        <f>ROUND('[3]Annex-12'!B46,2)&amp;"  "</f>
        <v>#VALUE!</v>
      </c>
      <c r="C53" s="217" t="e">
        <f>IF(INT('[3]Annex-12'!C46)='[3]Annex-12'!C46,'[3]Annex-12'!C46&amp;".00  ",IF(INT('[3]Annex-12'!C46*10)='[3]Annex-12'!C46*10,'[3]Annex-12'!C46&amp;"0  ",ROUND('[3]Annex-12'!C46,2)&amp;"  "))</f>
        <v>#VALUE!</v>
      </c>
      <c r="D53" s="217" t="e">
        <f>IF(INT('[3]Annex-12'!D46)='[3]Annex-12'!D46,'[3]Annex-12'!D46&amp;".00  ",IF(INT('[3]Annex-12'!D46*10)='[3]Annex-12'!D46*10,'[3]Annex-12'!D46&amp;"0  ",ROUND('[3]Annex-12'!D46,2)&amp;"  "))</f>
        <v>#VALUE!</v>
      </c>
      <c r="E53" s="217" t="e">
        <f>ROUND('[3]Annex-12'!E46,2)&amp;"  "</f>
        <v>#VALUE!</v>
      </c>
      <c r="F53" s="217" t="e">
        <f>IF(INT('[3]Annex-12'!F46)='[3]Annex-12'!F46,'[3]Annex-12'!F46&amp;".00  ",IF(INT('[3]Annex-12'!F46*10)='[3]Annex-12'!F46*10,'[3]Annex-12'!F46&amp;"0  ",ROUND('[3]Annex-12'!F46,2)&amp;"  "))</f>
        <v>#VALUE!</v>
      </c>
      <c r="G53" s="217" t="e">
        <f>IF(INT('[3]Annex-12'!G46)='[3]Annex-12'!G46,'[3]Annex-12'!G46&amp;".00  ",IF(INT('[3]Annex-12'!G46*10)='[3]Annex-12'!G46*10,'[3]Annex-12'!G46&amp;"0  ",ROUND('[3]Annex-12'!G46,2)&amp;"  "))</f>
        <v>#VALUE!</v>
      </c>
      <c r="H53" s="217" t="e">
        <f>ROUND('[3]Annex-12'!H46,2)&amp;"  "</f>
        <v>#VALUE!</v>
      </c>
      <c r="I53" s="217" t="e">
        <f>IF(INT('[3]Annex-12'!I46)='[3]Annex-12'!I46,'[3]Annex-12'!I46&amp;".00  ",IF(INT('[3]Annex-12'!I46*10)='[3]Annex-12'!I46*10,'[3]Annex-12'!I46&amp;"0  ",ROUND('[3]Annex-12'!I46,2)&amp;"  "))</f>
        <v>#VALUE!</v>
      </c>
      <c r="J53" s="217" t="e">
        <f>IF(INT('[3]Annex-12'!J46)='[3]Annex-12'!J46,'[3]Annex-12'!J46&amp;".00  ",IF(INT('[3]Annex-12'!J46*10)='[3]Annex-12'!J46*10,'[3]Annex-12'!J46&amp;"0  ",ROUND('[3]Annex-12'!J46,2)&amp;"  "))</f>
        <v>#VALUE!</v>
      </c>
      <c r="K53" s="217" t="e">
        <f>IF('[3]Annex-12'!K46&lt;0,"(-)"&amp;FIXED(ABS('[3]Annex-12'!K46),2)&amp;"    ",FIXED('[3]Annex-12'!K46,2)&amp;"    ")</f>
        <v>#VALUE!</v>
      </c>
    </row>
    <row r="54" spans="1:11" hidden="1" x14ac:dyDescent="0.3">
      <c r="A54" s="225" t="str">
        <f t="shared" si="0"/>
        <v/>
      </c>
      <c r="B54" s="217" t="e">
        <f>ROUND('[3]Annex-12'!B47,2)&amp;"  "</f>
        <v>#VALUE!</v>
      </c>
      <c r="C54" s="217" t="e">
        <f>IF(INT('[3]Annex-12'!C47)='[3]Annex-12'!C47,'[3]Annex-12'!C47&amp;".00  ",IF(INT('[3]Annex-12'!C47*10)='[3]Annex-12'!C47*10,'[3]Annex-12'!C47&amp;"0  ",ROUND('[3]Annex-12'!C47,2)&amp;"  "))</f>
        <v>#VALUE!</v>
      </c>
      <c r="D54" s="217" t="e">
        <f>IF(INT('[3]Annex-12'!D47)='[3]Annex-12'!D47,'[3]Annex-12'!D47&amp;".00  ",IF(INT('[3]Annex-12'!D47*10)='[3]Annex-12'!D47*10,'[3]Annex-12'!D47&amp;"0  ",ROUND('[3]Annex-12'!D47,2)&amp;"  "))</f>
        <v>#VALUE!</v>
      </c>
      <c r="E54" s="217" t="e">
        <f>ROUND('[3]Annex-12'!E47,2)&amp;"  "</f>
        <v>#VALUE!</v>
      </c>
      <c r="F54" s="217" t="e">
        <f>IF(INT('[3]Annex-12'!F47)='[3]Annex-12'!F47,'[3]Annex-12'!F47&amp;".00  ",IF(INT('[3]Annex-12'!F47*10)='[3]Annex-12'!F47*10,'[3]Annex-12'!F47&amp;"0  ",ROUND('[3]Annex-12'!F47,2)&amp;"  "))</f>
        <v>#VALUE!</v>
      </c>
      <c r="G54" s="217" t="e">
        <f>IF(INT('[3]Annex-12'!G47)='[3]Annex-12'!G47,'[3]Annex-12'!G47&amp;".00  ",IF(INT('[3]Annex-12'!G47*10)='[3]Annex-12'!G47*10,'[3]Annex-12'!G47&amp;"0  ",ROUND('[3]Annex-12'!G47,2)&amp;"  "))</f>
        <v>#VALUE!</v>
      </c>
      <c r="H54" s="217" t="e">
        <f>ROUND('[3]Annex-12'!H47,2)&amp;"  "</f>
        <v>#VALUE!</v>
      </c>
      <c r="I54" s="217" t="e">
        <f>IF(INT('[3]Annex-12'!I47)='[3]Annex-12'!I47,'[3]Annex-12'!I47&amp;".00  ",IF(INT('[3]Annex-12'!I47*10)='[3]Annex-12'!I47*10,'[3]Annex-12'!I47&amp;"0  ",ROUND('[3]Annex-12'!I47,2)&amp;"  "))</f>
        <v>#VALUE!</v>
      </c>
      <c r="J54" s="217" t="e">
        <f>IF(INT('[3]Annex-12'!J47)='[3]Annex-12'!J47,'[3]Annex-12'!J47&amp;".00  ",IF(INT('[3]Annex-12'!J47*10)='[3]Annex-12'!J47*10,'[3]Annex-12'!J47&amp;"0  ",ROUND('[3]Annex-12'!J47,2)&amp;"  "))</f>
        <v>#VALUE!</v>
      </c>
      <c r="K54" s="217" t="e">
        <f>IF('[3]Annex-12'!K47&lt;0,"(-)"&amp;FIXED(ABS('[3]Annex-12'!K47),2)&amp;"    ",FIXED('[3]Annex-12'!K47,2)&amp;"    ")</f>
        <v>#VALUE!</v>
      </c>
    </row>
    <row r="55" spans="1:11" hidden="1" x14ac:dyDescent="0.3">
      <c r="A55" s="225" t="str">
        <f t="shared" si="0"/>
        <v/>
      </c>
      <c r="B55" s="217" t="e">
        <f>ROUND('[3]Annex-12'!B48,2)&amp;"  "</f>
        <v>#VALUE!</v>
      </c>
      <c r="C55" s="217" t="e">
        <f>IF(INT('[3]Annex-12'!C48)='[3]Annex-12'!C48,'[3]Annex-12'!C48&amp;".00  ",IF(INT('[3]Annex-12'!C48*10)='[3]Annex-12'!C48*10,'[3]Annex-12'!C48&amp;"0  ",ROUND('[3]Annex-12'!C48,2)&amp;"  "))</f>
        <v>#VALUE!</v>
      </c>
      <c r="D55" s="217" t="e">
        <f>IF(INT('[3]Annex-12'!D48)='[3]Annex-12'!D48,'[3]Annex-12'!D48&amp;".00  ",IF(INT('[3]Annex-12'!D48*10)='[3]Annex-12'!D48*10,'[3]Annex-12'!D48&amp;"0  ",ROUND('[3]Annex-12'!D48,2)&amp;"  "))</f>
        <v>#VALUE!</v>
      </c>
      <c r="E55" s="217" t="e">
        <f>ROUND('[3]Annex-12'!E48,2)&amp;"  "</f>
        <v>#VALUE!</v>
      </c>
      <c r="F55" s="217" t="e">
        <f>IF(INT('[3]Annex-12'!F48)='[3]Annex-12'!F48,'[3]Annex-12'!F48&amp;".00  ",IF(INT('[3]Annex-12'!F48*10)='[3]Annex-12'!F48*10,'[3]Annex-12'!F48&amp;"0  ",ROUND('[3]Annex-12'!F48,2)&amp;"  "))</f>
        <v>#VALUE!</v>
      </c>
      <c r="G55" s="217" t="e">
        <f>IF(INT('[3]Annex-12'!G48)='[3]Annex-12'!G48,'[3]Annex-12'!G48&amp;".00  ",IF(INT('[3]Annex-12'!G48*10)='[3]Annex-12'!G48*10,'[3]Annex-12'!G48&amp;"0  ",ROUND('[3]Annex-12'!G48,2)&amp;"  "))</f>
        <v>#VALUE!</v>
      </c>
      <c r="H55" s="217" t="e">
        <f>ROUND('[3]Annex-12'!H48,2)&amp;"  "</f>
        <v>#VALUE!</v>
      </c>
      <c r="I55" s="217" t="e">
        <f>IF(INT('[3]Annex-12'!I48)='[3]Annex-12'!I48,'[3]Annex-12'!I48&amp;".00  ",IF(INT('[3]Annex-12'!I48*10)='[3]Annex-12'!I48*10,'[3]Annex-12'!I48&amp;"0  ",ROUND('[3]Annex-12'!I48,2)&amp;"  "))</f>
        <v>#VALUE!</v>
      </c>
      <c r="J55" s="217" t="e">
        <f>IF(INT('[3]Annex-12'!J48)='[3]Annex-12'!J48,'[3]Annex-12'!J48&amp;".00  ",IF(INT('[3]Annex-12'!J48*10)='[3]Annex-12'!J48*10,'[3]Annex-12'!J48&amp;"0  ",ROUND('[3]Annex-12'!J48,2)&amp;"  "))</f>
        <v>#VALUE!</v>
      </c>
      <c r="K55" s="217" t="e">
        <f>IF('[3]Annex-12'!K48&lt;0,"(-)"&amp;FIXED(ABS('[3]Annex-12'!K48),2)&amp;"    ",FIXED('[3]Annex-12'!K48,2)&amp;"    ")</f>
        <v>#VALUE!</v>
      </c>
    </row>
    <row r="56" spans="1:11" hidden="1" x14ac:dyDescent="0.3">
      <c r="A56" s="225" t="str">
        <f t="shared" si="0"/>
        <v/>
      </c>
      <c r="B56" s="217" t="e">
        <f>ROUND('[3]Annex-12'!B49,2)&amp;"  "</f>
        <v>#VALUE!</v>
      </c>
      <c r="C56" s="217" t="e">
        <f>IF(INT('[3]Annex-12'!C49)='[3]Annex-12'!C49,'[3]Annex-12'!C49&amp;".00  ",IF(INT('[3]Annex-12'!C49*10)='[3]Annex-12'!C49*10,'[3]Annex-12'!C49&amp;"0  ",ROUND('[3]Annex-12'!C49,2)&amp;"  "))</f>
        <v>#VALUE!</v>
      </c>
      <c r="D56" s="217" t="e">
        <f>IF(INT('[3]Annex-12'!D49)='[3]Annex-12'!D49,'[3]Annex-12'!D49&amp;".00  ",IF(INT('[3]Annex-12'!D49*10)='[3]Annex-12'!D49*10,'[3]Annex-12'!D49&amp;"0  ",ROUND('[3]Annex-12'!D49,2)&amp;"  "))</f>
        <v>#VALUE!</v>
      </c>
      <c r="E56" s="217" t="e">
        <f>ROUND('[3]Annex-12'!E49,2)&amp;"  "</f>
        <v>#VALUE!</v>
      </c>
      <c r="F56" s="217" t="e">
        <f>IF(INT('[3]Annex-12'!F49)='[3]Annex-12'!F49,'[3]Annex-12'!F49&amp;".00  ",IF(INT('[3]Annex-12'!F49*10)='[3]Annex-12'!F49*10,'[3]Annex-12'!F49&amp;"0  ",ROUND('[3]Annex-12'!F49,2)&amp;"  "))</f>
        <v>#VALUE!</v>
      </c>
      <c r="G56" s="217" t="e">
        <f>IF(INT('[3]Annex-12'!G49)='[3]Annex-12'!G49,'[3]Annex-12'!G49&amp;".00  ",IF(INT('[3]Annex-12'!G49*10)='[3]Annex-12'!G49*10,'[3]Annex-12'!G49&amp;"0  ",ROUND('[3]Annex-12'!G49,2)&amp;"  "))</f>
        <v>#VALUE!</v>
      </c>
      <c r="H56" s="217" t="e">
        <f>ROUND('[3]Annex-12'!H49,2)&amp;"  "</f>
        <v>#VALUE!</v>
      </c>
      <c r="I56" s="217" t="e">
        <f>IF(INT('[3]Annex-12'!I49)='[3]Annex-12'!I49,'[3]Annex-12'!I49&amp;".00  ",IF(INT('[3]Annex-12'!I49*10)='[3]Annex-12'!I49*10,'[3]Annex-12'!I49&amp;"0  ",ROUND('[3]Annex-12'!I49,2)&amp;"  "))</f>
        <v>#VALUE!</v>
      </c>
      <c r="J56" s="217" t="e">
        <f>IF(INT('[3]Annex-12'!J49)='[3]Annex-12'!J49,'[3]Annex-12'!J49&amp;".00  ",IF(INT('[3]Annex-12'!J49*10)='[3]Annex-12'!J49*10,'[3]Annex-12'!J49&amp;"0  ",ROUND('[3]Annex-12'!J49,2)&amp;"  "))</f>
        <v>#VALUE!</v>
      </c>
      <c r="K56" s="217" t="e">
        <f>IF('[3]Annex-12'!K49&lt;0,"(-)"&amp;FIXED(ABS('[3]Annex-12'!K49),2)&amp;"    ",FIXED('[3]Annex-12'!K49,2)&amp;"    ")</f>
        <v>#VALUE!</v>
      </c>
    </row>
    <row r="57" spans="1:11" hidden="1" x14ac:dyDescent="0.3">
      <c r="A57" s="225" t="str">
        <f t="shared" si="0"/>
        <v/>
      </c>
      <c r="B57" s="217" t="e">
        <f>ROUND('[3]Annex-12'!B50,2)&amp;"  "</f>
        <v>#VALUE!</v>
      </c>
      <c r="C57" s="217" t="e">
        <f>IF(INT('[3]Annex-12'!C50)='[3]Annex-12'!C50,'[3]Annex-12'!C50&amp;".00  ",IF(INT('[3]Annex-12'!C50*10)='[3]Annex-12'!C50*10,'[3]Annex-12'!C50&amp;"0  ",ROUND('[3]Annex-12'!C50,2)&amp;"  "))</f>
        <v>#VALUE!</v>
      </c>
      <c r="D57" s="217" t="e">
        <f>IF(INT('[3]Annex-12'!D50)='[3]Annex-12'!D50,'[3]Annex-12'!D50&amp;".00  ",IF(INT('[3]Annex-12'!D50*10)='[3]Annex-12'!D50*10,'[3]Annex-12'!D50&amp;"0  ",ROUND('[3]Annex-12'!D50,2)&amp;"  "))</f>
        <v>#VALUE!</v>
      </c>
      <c r="E57" s="217" t="e">
        <f>ROUND('[3]Annex-12'!E50,2)&amp;"  "</f>
        <v>#VALUE!</v>
      </c>
      <c r="F57" s="217" t="e">
        <f>IF(INT('[3]Annex-12'!F50)='[3]Annex-12'!F50,'[3]Annex-12'!F50&amp;".00  ",IF(INT('[3]Annex-12'!F50*10)='[3]Annex-12'!F50*10,'[3]Annex-12'!F50&amp;"0  ",ROUND('[3]Annex-12'!F50,2)&amp;"  "))</f>
        <v>#VALUE!</v>
      </c>
      <c r="G57" s="217" t="e">
        <f>IF(INT('[3]Annex-12'!G50)='[3]Annex-12'!G50,'[3]Annex-12'!G50&amp;".00  ",IF(INT('[3]Annex-12'!G50*10)='[3]Annex-12'!G50*10,'[3]Annex-12'!G50&amp;"0  ",ROUND('[3]Annex-12'!G50,2)&amp;"  "))</f>
        <v>#VALUE!</v>
      </c>
      <c r="H57" s="217" t="e">
        <f>ROUND('[3]Annex-12'!H50,2)&amp;"  "</f>
        <v>#VALUE!</v>
      </c>
      <c r="I57" s="217" t="e">
        <f>IF(INT('[3]Annex-12'!I50)='[3]Annex-12'!I50,'[3]Annex-12'!I50&amp;".00  ",IF(INT('[3]Annex-12'!I50*10)='[3]Annex-12'!I50*10,'[3]Annex-12'!I50&amp;"0  ",ROUND('[3]Annex-12'!I50,2)&amp;"  "))</f>
        <v>#VALUE!</v>
      </c>
      <c r="J57" s="217" t="e">
        <f>IF(INT('[3]Annex-12'!J50)='[3]Annex-12'!J50,'[3]Annex-12'!J50&amp;".00  ",IF(INT('[3]Annex-12'!J50*10)='[3]Annex-12'!J50*10,'[3]Annex-12'!J50&amp;"0  ",ROUND('[3]Annex-12'!J50,2)&amp;"  "))</f>
        <v>#VALUE!</v>
      </c>
      <c r="K57" s="217" t="e">
        <f>IF('[3]Annex-12'!K50&lt;0,"(-)"&amp;FIXED(ABS('[3]Annex-12'!K50),2)&amp;"    ",FIXED('[3]Annex-12'!K50,2)&amp;"    ")</f>
        <v>#VALUE!</v>
      </c>
    </row>
    <row r="58" spans="1:11" hidden="1" x14ac:dyDescent="0.3">
      <c r="A58" s="226" t="str">
        <f t="shared" si="0"/>
        <v/>
      </c>
      <c r="B58" s="219" t="e">
        <f>ROUND('[3]Annex-12'!B51,2)&amp;"  "</f>
        <v>#VALUE!</v>
      </c>
      <c r="C58" s="219" t="e">
        <f>IF(INT('[3]Annex-12'!C51)='[3]Annex-12'!C51,'[3]Annex-12'!C51&amp;".00  ",IF(INT('[3]Annex-12'!C51*10)='[3]Annex-12'!C51*10,'[3]Annex-12'!C51&amp;"0  ",ROUND('[3]Annex-12'!C51,2)&amp;"  "))</f>
        <v>#VALUE!</v>
      </c>
      <c r="D58" s="219" t="e">
        <f>IF(INT('[3]Annex-12'!D51)='[3]Annex-12'!D51,'[3]Annex-12'!D51&amp;".00  ",IF(INT('[3]Annex-12'!D51*10)='[3]Annex-12'!D51*10,'[3]Annex-12'!D51&amp;"0  ",ROUND('[3]Annex-12'!D51,2)&amp;"  "))</f>
        <v>#VALUE!</v>
      </c>
      <c r="E58" s="219" t="e">
        <f>ROUND('[3]Annex-12'!E51,2)&amp;"  "</f>
        <v>#VALUE!</v>
      </c>
      <c r="F58" s="219" t="e">
        <f>IF(INT('[3]Annex-12'!F51)='[3]Annex-12'!F51,'[3]Annex-12'!F51&amp;".00  ",IF(INT('[3]Annex-12'!F51*10)='[3]Annex-12'!F51*10,'[3]Annex-12'!F51&amp;"0  ",ROUND('[3]Annex-12'!F51,2)&amp;"  "))</f>
        <v>#VALUE!</v>
      </c>
      <c r="G58" s="219" t="e">
        <f>IF(INT('[3]Annex-12'!G51)='[3]Annex-12'!G51,'[3]Annex-12'!G51&amp;".00  ",IF(INT('[3]Annex-12'!G51*10)='[3]Annex-12'!G51*10,'[3]Annex-12'!G51&amp;"0  ",ROUND('[3]Annex-12'!G51,2)&amp;"  "))</f>
        <v>#VALUE!</v>
      </c>
      <c r="H58" s="219" t="e">
        <f>ROUND('[3]Annex-12'!H51,2)&amp;"  "</f>
        <v>#VALUE!</v>
      </c>
      <c r="I58" s="219" t="e">
        <f>IF(INT('[3]Annex-12'!I51)='[3]Annex-12'!I51,'[3]Annex-12'!I51&amp;".00  ",IF(INT('[3]Annex-12'!I51*10)='[3]Annex-12'!I51*10,'[3]Annex-12'!I51&amp;"0  ",ROUND('[3]Annex-12'!I51,2)&amp;"  "))</f>
        <v>#VALUE!</v>
      </c>
      <c r="J58" s="219" t="e">
        <f>IF(INT('[3]Annex-12'!J51)='[3]Annex-12'!J51,'[3]Annex-12'!J51&amp;".00  ",IF(INT('[3]Annex-12'!J51*10)='[3]Annex-12'!J51*10,'[3]Annex-12'!J51&amp;"0  ",ROUND('[3]Annex-12'!J51,2)&amp;"  "))</f>
        <v>#VALUE!</v>
      </c>
      <c r="K58" s="219" t="e">
        <f>IF('[3]Annex-12'!K51&lt;0,"(-)"&amp;FIXED(ABS('[3]Annex-12'!K51),2)&amp;"    ",FIXED('[3]Annex-12'!K51,2)&amp;"    ")</f>
        <v>#VALUE!</v>
      </c>
    </row>
    <row r="59" spans="1:11" hidden="1" x14ac:dyDescent="0.3">
      <c r="A59" s="225" t="str">
        <f t="shared" si="0"/>
        <v/>
      </c>
      <c r="B59" s="220" t="e">
        <f>ROUND('[3]Annex-12'!B52,2)&amp;"  "</f>
        <v>#VALUE!</v>
      </c>
      <c r="C59" s="220" t="e">
        <f>IF(INT('[3]Annex-12'!C52)='[3]Annex-12'!C52,'[3]Annex-12'!C52&amp;".00  ",IF(INT('[3]Annex-12'!C52*10)='[3]Annex-12'!C52*10,'[3]Annex-12'!C52&amp;"0  ",ROUND('[3]Annex-12'!C52,2)&amp;"  "))</f>
        <v>#VALUE!</v>
      </c>
      <c r="D59" s="220" t="e">
        <f>IF(INT('[3]Annex-12'!D52)='[3]Annex-12'!D52,'[3]Annex-12'!D52&amp;".00  ",IF(INT('[3]Annex-12'!D52*10)='[3]Annex-12'!D52*10,'[3]Annex-12'!D52&amp;"0  ",ROUND('[3]Annex-12'!D52,2)&amp;"  "))</f>
        <v>#VALUE!</v>
      </c>
      <c r="E59" s="220" t="e">
        <f>ROUND('[3]Annex-12'!E52,2)&amp;"  "</f>
        <v>#VALUE!</v>
      </c>
      <c r="F59" s="220" t="e">
        <f>IF(INT('[3]Annex-12'!F52)='[3]Annex-12'!F52,'[3]Annex-12'!F52&amp;".00  ",IF(INT('[3]Annex-12'!F52*10)='[3]Annex-12'!F52*10,'[3]Annex-12'!F52&amp;"0  ",ROUND('[3]Annex-12'!F52,2)&amp;"  "))</f>
        <v>#VALUE!</v>
      </c>
      <c r="G59" s="220" t="e">
        <f>IF(INT('[3]Annex-12'!G52)='[3]Annex-12'!G52,'[3]Annex-12'!G52&amp;".00  ",IF(INT('[3]Annex-12'!G52*10)='[3]Annex-12'!G52*10,'[3]Annex-12'!G52&amp;"0  ",ROUND('[3]Annex-12'!G52,2)&amp;"  "))</f>
        <v>#VALUE!</v>
      </c>
      <c r="H59" s="220" t="e">
        <f>ROUND('[3]Annex-12'!H52,2)&amp;"  "</f>
        <v>#VALUE!</v>
      </c>
      <c r="I59" s="220" t="e">
        <f>IF(INT('[3]Annex-12'!I52)='[3]Annex-12'!I52,'[3]Annex-12'!I52&amp;".00  ",IF(INT('[3]Annex-12'!I52*10)='[3]Annex-12'!I52*10,'[3]Annex-12'!I52&amp;"0  ",ROUND('[3]Annex-12'!I52,2)&amp;"  "))</f>
        <v>#VALUE!</v>
      </c>
      <c r="J59" s="220" t="e">
        <f>IF(INT('[3]Annex-12'!J52)='[3]Annex-12'!J52,'[3]Annex-12'!J52&amp;".00  ",IF(INT('[3]Annex-12'!J52*10)='[3]Annex-12'!J52*10,'[3]Annex-12'!J52&amp;"0  ",ROUND('[3]Annex-12'!J52,2)&amp;"  "))</f>
        <v>#VALUE!</v>
      </c>
      <c r="K59" s="220" t="e">
        <f>IF('[3]Annex-12'!K52&lt;0,"(-)"&amp;FIXED(ABS('[3]Annex-12'!K52),2)&amp;"    ",FIXED('[3]Annex-12'!K52,2)&amp;"    ")</f>
        <v>#VALUE!</v>
      </c>
    </row>
    <row r="60" spans="1:11" hidden="1" x14ac:dyDescent="0.3">
      <c r="A60" s="225" t="str">
        <f t="shared" si="0"/>
        <v/>
      </c>
      <c r="B60" s="220" t="e">
        <f>ROUND('[3]Annex-12'!B53,2)&amp;"  "</f>
        <v>#VALUE!</v>
      </c>
      <c r="C60" s="220" t="e">
        <f>IF(INT('[3]Annex-12'!C53)='[3]Annex-12'!C53,'[3]Annex-12'!C53&amp;".00  ",IF(INT('[3]Annex-12'!C53*10)='[3]Annex-12'!C53*10,'[3]Annex-12'!C53&amp;"0  ",ROUND('[3]Annex-12'!C53,2)&amp;"  "))</f>
        <v>#VALUE!</v>
      </c>
      <c r="D60" s="220" t="e">
        <f>IF(INT('[3]Annex-12'!D53)='[3]Annex-12'!D53,'[3]Annex-12'!D53&amp;".00  ",IF(INT('[3]Annex-12'!D53*10)='[3]Annex-12'!D53*10,'[3]Annex-12'!D53&amp;"0  ",ROUND('[3]Annex-12'!D53,2)&amp;"  "))</f>
        <v>#VALUE!</v>
      </c>
      <c r="E60" s="220" t="e">
        <f>ROUND('[3]Annex-12'!E53,2)&amp;"  "</f>
        <v>#VALUE!</v>
      </c>
      <c r="F60" s="220" t="e">
        <f>IF(INT('[3]Annex-12'!F53)='[3]Annex-12'!F53,'[3]Annex-12'!F53&amp;".00  ",IF(INT('[3]Annex-12'!F53*10)='[3]Annex-12'!F53*10,'[3]Annex-12'!F53&amp;"0  ",ROUND('[3]Annex-12'!F53,2)&amp;"  "))</f>
        <v>#VALUE!</v>
      </c>
      <c r="G60" s="220" t="e">
        <f>IF(INT('[3]Annex-12'!G53)='[3]Annex-12'!G53,'[3]Annex-12'!G53&amp;".00  ",IF(INT('[3]Annex-12'!G53*10)='[3]Annex-12'!G53*10,'[3]Annex-12'!G53&amp;"0  ",ROUND('[3]Annex-12'!G53,2)&amp;"  "))</f>
        <v>#VALUE!</v>
      </c>
      <c r="H60" s="220" t="e">
        <f>ROUND('[3]Annex-12'!H53,2)&amp;"  "</f>
        <v>#VALUE!</v>
      </c>
      <c r="I60" s="220" t="e">
        <f>IF(INT('[3]Annex-12'!I53)='[3]Annex-12'!I53,'[3]Annex-12'!I53&amp;".00  ",IF(INT('[3]Annex-12'!I53*10)='[3]Annex-12'!I53*10,'[3]Annex-12'!I53&amp;"0  ",ROUND('[3]Annex-12'!I53,2)&amp;"  "))</f>
        <v>#VALUE!</v>
      </c>
      <c r="J60" s="220" t="e">
        <f>IF(INT('[3]Annex-12'!J53)='[3]Annex-12'!J53,'[3]Annex-12'!J53&amp;".00  ",IF(INT('[3]Annex-12'!J53*10)='[3]Annex-12'!J53*10,'[3]Annex-12'!J53&amp;"0  ",ROUND('[3]Annex-12'!J53,2)&amp;"  "))</f>
        <v>#VALUE!</v>
      </c>
      <c r="K60" s="220" t="e">
        <f>IF('[3]Annex-12'!K53&lt;0,"(-)"&amp;FIXED(ABS('[3]Annex-12'!K53),2)&amp;"    ",FIXED('[3]Annex-12'!K53,2)&amp;"    ")</f>
        <v>#VALUE!</v>
      </c>
    </row>
    <row r="61" spans="1:11" hidden="1" x14ac:dyDescent="0.3">
      <c r="A61" s="225" t="str">
        <f t="shared" si="0"/>
        <v/>
      </c>
      <c r="B61" s="220" t="e">
        <f>ROUND('[3]Annex-12'!B54,2)&amp;"  "</f>
        <v>#VALUE!</v>
      </c>
      <c r="C61" s="220" t="e">
        <f>IF(INT('[3]Annex-12'!C54)='[3]Annex-12'!C54,'[3]Annex-12'!C54&amp;".00  ",IF(INT('[3]Annex-12'!C54*10)='[3]Annex-12'!C54*10,'[3]Annex-12'!C54&amp;"0  ",ROUND('[3]Annex-12'!C54,2)&amp;"  "))</f>
        <v>#VALUE!</v>
      </c>
      <c r="D61" s="220" t="e">
        <f>IF(INT('[3]Annex-12'!D54)='[3]Annex-12'!D54,'[3]Annex-12'!D54&amp;".00  ",IF(INT('[3]Annex-12'!D54*10)='[3]Annex-12'!D54*10,'[3]Annex-12'!D54&amp;"0  ",ROUND('[3]Annex-12'!D54,2)&amp;"  "))</f>
        <v>#VALUE!</v>
      </c>
      <c r="E61" s="220" t="e">
        <f>ROUND('[3]Annex-12'!E54,2)&amp;"  "</f>
        <v>#VALUE!</v>
      </c>
      <c r="F61" s="220" t="e">
        <f>IF(INT('[3]Annex-12'!F54)='[3]Annex-12'!F54,'[3]Annex-12'!F54&amp;".00  ",IF(INT('[3]Annex-12'!F54*10)='[3]Annex-12'!F54*10,'[3]Annex-12'!F54&amp;"0  ",ROUND('[3]Annex-12'!F54,2)&amp;"  "))</f>
        <v>#VALUE!</v>
      </c>
      <c r="G61" s="220" t="e">
        <f>IF(INT('[3]Annex-12'!G54)='[3]Annex-12'!G54,'[3]Annex-12'!G54&amp;".00  ",IF(INT('[3]Annex-12'!G54*10)='[3]Annex-12'!G54*10,'[3]Annex-12'!G54&amp;"0  ",ROUND('[3]Annex-12'!G54,2)&amp;"  "))</f>
        <v>#VALUE!</v>
      </c>
      <c r="H61" s="220" t="e">
        <f>ROUND('[3]Annex-12'!H54,2)&amp;"  "</f>
        <v>#VALUE!</v>
      </c>
      <c r="I61" s="220" t="e">
        <f>IF(INT('[3]Annex-12'!I54)='[3]Annex-12'!I54,'[3]Annex-12'!I54&amp;".00  ",IF(INT('[3]Annex-12'!I54*10)='[3]Annex-12'!I54*10,'[3]Annex-12'!I54&amp;"0  ",ROUND('[3]Annex-12'!I54,2)&amp;"  "))</f>
        <v>#VALUE!</v>
      </c>
      <c r="J61" s="220" t="e">
        <f>IF(INT('[3]Annex-12'!J54)='[3]Annex-12'!J54,'[3]Annex-12'!J54&amp;".00  ",IF(INT('[3]Annex-12'!J54*10)='[3]Annex-12'!J54*10,'[3]Annex-12'!J54&amp;"0  ",ROUND('[3]Annex-12'!J54,2)&amp;"  "))</f>
        <v>#VALUE!</v>
      </c>
      <c r="K61" s="220" t="e">
        <f>IF('[3]Annex-12'!K54&lt;0,"(-)"&amp;FIXED(ABS('[3]Annex-12'!K54),2)&amp;"    ",FIXED('[3]Annex-12'!K54,2)&amp;"    ")</f>
        <v>#VALUE!</v>
      </c>
    </row>
    <row r="62" spans="1:11" hidden="1" x14ac:dyDescent="0.3">
      <c r="A62" s="225" t="str">
        <f t="shared" si="0"/>
        <v/>
      </c>
      <c r="B62" s="220" t="e">
        <f>ROUND('[3]Annex-12'!B55,2)&amp;"  "</f>
        <v>#VALUE!</v>
      </c>
      <c r="C62" s="220" t="e">
        <f>IF(INT('[3]Annex-12'!C55)='[3]Annex-12'!C55,'[3]Annex-12'!C55&amp;".00  ",IF(INT('[3]Annex-12'!C55*10)='[3]Annex-12'!C55*10,'[3]Annex-12'!C55&amp;"0  ",ROUND('[3]Annex-12'!C55,2)&amp;"  "))</f>
        <v>#VALUE!</v>
      </c>
      <c r="D62" s="220" t="e">
        <f>IF(INT('[3]Annex-12'!D55)='[3]Annex-12'!D55,'[3]Annex-12'!D55&amp;".00  ",IF(INT('[3]Annex-12'!D55*10)='[3]Annex-12'!D55*10,'[3]Annex-12'!D55&amp;"0  ",ROUND('[3]Annex-12'!D55,2)&amp;"  "))</f>
        <v>#VALUE!</v>
      </c>
      <c r="E62" s="220" t="e">
        <f>ROUND('[3]Annex-12'!E55,2)&amp;"  "</f>
        <v>#VALUE!</v>
      </c>
      <c r="F62" s="220" t="e">
        <f>IF(INT('[3]Annex-12'!F55)='[3]Annex-12'!F55,'[3]Annex-12'!F55&amp;".00  ",IF(INT('[3]Annex-12'!F55*10)='[3]Annex-12'!F55*10,'[3]Annex-12'!F55&amp;"0  ",ROUND('[3]Annex-12'!F55,2)&amp;"  "))</f>
        <v>#VALUE!</v>
      </c>
      <c r="G62" s="220" t="e">
        <f>IF(INT('[3]Annex-12'!G55)='[3]Annex-12'!G55,'[3]Annex-12'!G55&amp;".00  ",IF(INT('[3]Annex-12'!G55*10)='[3]Annex-12'!G55*10,'[3]Annex-12'!G55&amp;"0  ",ROUND('[3]Annex-12'!G55,2)&amp;"  "))</f>
        <v>#VALUE!</v>
      </c>
      <c r="H62" s="220" t="e">
        <f>ROUND('[3]Annex-12'!H55,2)&amp;"  "</f>
        <v>#VALUE!</v>
      </c>
      <c r="I62" s="220" t="e">
        <f>IF(INT('[3]Annex-12'!I55)='[3]Annex-12'!I55,'[3]Annex-12'!I55&amp;".00  ",IF(INT('[3]Annex-12'!I55*10)='[3]Annex-12'!I55*10,'[3]Annex-12'!I55&amp;"0  ",ROUND('[3]Annex-12'!I55,2)&amp;"  "))</f>
        <v>#VALUE!</v>
      </c>
      <c r="J62" s="220" t="e">
        <f>IF(INT('[3]Annex-12'!J55)='[3]Annex-12'!J55,'[3]Annex-12'!J55&amp;".00  ",IF(INT('[3]Annex-12'!J55*10)='[3]Annex-12'!J55*10,'[3]Annex-12'!J55&amp;"0  ",ROUND('[3]Annex-12'!J55,2)&amp;"  "))</f>
        <v>#VALUE!</v>
      </c>
      <c r="K62" s="220" t="e">
        <f>IF('[3]Annex-12'!K55&lt;0,"(-)"&amp;FIXED(ABS('[3]Annex-12'!K55),2)&amp;"    ",FIXED('[3]Annex-12'!K55,2)&amp;"    ")</f>
        <v>#VALUE!</v>
      </c>
    </row>
    <row r="63" spans="1:11" hidden="1" x14ac:dyDescent="0.3">
      <c r="A63" s="225" t="str">
        <f t="shared" si="0"/>
        <v/>
      </c>
      <c r="B63" s="220" t="e">
        <f>ROUND('[3]Annex-12'!B56,2)&amp;"  "</f>
        <v>#VALUE!</v>
      </c>
      <c r="C63" s="220" t="e">
        <f>IF(INT('[3]Annex-12'!C56)='[3]Annex-12'!C56,'[3]Annex-12'!C56&amp;".00  ",IF(INT('[3]Annex-12'!C56*10)='[3]Annex-12'!C56*10,'[3]Annex-12'!C56&amp;"0  ",ROUND('[3]Annex-12'!C56,2)&amp;"  "))</f>
        <v>#VALUE!</v>
      </c>
      <c r="D63" s="220" t="e">
        <f>IF(INT('[3]Annex-12'!D56)='[3]Annex-12'!D56,'[3]Annex-12'!D56&amp;".00  ",IF(INT('[3]Annex-12'!D56*10)='[3]Annex-12'!D56*10,'[3]Annex-12'!D56&amp;"0  ",ROUND('[3]Annex-12'!D56,2)&amp;"  "))</f>
        <v>#VALUE!</v>
      </c>
      <c r="E63" s="220" t="e">
        <f>ROUND('[3]Annex-12'!E56,2)&amp;"  "</f>
        <v>#VALUE!</v>
      </c>
      <c r="F63" s="220" t="e">
        <f>IF(INT('[3]Annex-12'!F56)='[3]Annex-12'!F56,'[3]Annex-12'!F56&amp;".00  ",IF(INT('[3]Annex-12'!F56*10)='[3]Annex-12'!F56*10,'[3]Annex-12'!F56&amp;"0  ",ROUND('[3]Annex-12'!F56,2)&amp;"  "))</f>
        <v>#VALUE!</v>
      </c>
      <c r="G63" s="220" t="e">
        <f>IF(INT('[3]Annex-12'!G56)='[3]Annex-12'!G56,'[3]Annex-12'!G56&amp;".00  ",IF(INT('[3]Annex-12'!G56*10)='[3]Annex-12'!G56*10,'[3]Annex-12'!G56&amp;"0  ",ROUND('[3]Annex-12'!G56,2)&amp;"  "))</f>
        <v>#VALUE!</v>
      </c>
      <c r="H63" s="220" t="e">
        <f>ROUND('[3]Annex-12'!H56,2)&amp;"  "</f>
        <v>#VALUE!</v>
      </c>
      <c r="I63" s="220" t="e">
        <f>IF(INT('[3]Annex-12'!I56)='[3]Annex-12'!I56,'[3]Annex-12'!I56&amp;".00  ",IF(INT('[3]Annex-12'!I56*10)='[3]Annex-12'!I56*10,'[3]Annex-12'!I56&amp;"0  ",ROUND('[3]Annex-12'!I56,2)&amp;"  "))</f>
        <v>#VALUE!</v>
      </c>
      <c r="J63" s="220" t="e">
        <f>IF(INT('[3]Annex-12'!J56)='[3]Annex-12'!J56,'[3]Annex-12'!J56&amp;".00  ",IF(INT('[3]Annex-12'!J56*10)='[3]Annex-12'!J56*10,'[3]Annex-12'!J56&amp;"0  ",ROUND('[3]Annex-12'!J56,2)&amp;"  "))</f>
        <v>#VALUE!</v>
      </c>
      <c r="K63" s="220" t="e">
        <f>IF('[3]Annex-12'!K56&lt;0,"(-)"&amp;FIXED(ABS('[3]Annex-12'!K56),2)&amp;"    ",FIXED('[3]Annex-12'!K56,2)&amp;"    ")</f>
        <v>#VALUE!</v>
      </c>
    </row>
    <row r="64" spans="1:11" ht="26.4" customHeight="1" x14ac:dyDescent="0.3">
      <c r="A64" s="221" t="str">
        <f>common!$I$5</f>
        <v>RABI II 2023-24</v>
      </c>
      <c r="B64" s="215"/>
      <c r="C64" s="222"/>
      <c r="D64" s="222"/>
      <c r="E64" s="222"/>
      <c r="F64" s="222"/>
      <c r="G64" s="222"/>
      <c r="H64" s="222"/>
      <c r="I64" s="222"/>
      <c r="J64" s="222"/>
      <c r="K64" s="222"/>
    </row>
    <row r="65" spans="1:11" ht="26.4" customHeight="1" x14ac:dyDescent="0.3">
      <c r="A65" s="225" t="str">
        <f>A25</f>
        <v>PADDY</v>
      </c>
      <c r="B65" s="217" t="str">
        <f>ROUND('[3]Annex-12'!B58,2)&amp;"  "</f>
        <v xml:space="preserve">5  </v>
      </c>
      <c r="C65" s="217" t="str">
        <f>IF(INT('[3]Annex-12'!C58)='[3]Annex-12'!C58,'[3]Annex-12'!C58&amp;".00  ",IF(INT('[3]Annex-12'!C58*10)='[3]Annex-12'!C58*10,'[3]Annex-12'!C58&amp;"0  ",ROUND('[3]Annex-12'!C58,2)&amp;"  "))</f>
        <v xml:space="preserve">8.65  </v>
      </c>
      <c r="D65" s="217" t="str">
        <f>IF(INT('[3]Annex-12'!D58)='[3]Annex-12'!D58,'[3]Annex-12'!D58&amp;".00  ",IF(INT('[3]Annex-12'!D58*10)='[3]Annex-12'!D58*10,'[3]Annex-12'!D58&amp;"0  ",ROUND('[3]Annex-12'!D58,2)&amp;"  "))</f>
        <v xml:space="preserve">8.8  </v>
      </c>
      <c r="E65" s="217" t="str">
        <f>ROUND('[3]Annex-12'!E58,2)&amp;"  "</f>
        <v xml:space="preserve">2  </v>
      </c>
      <c r="F65" s="217" t="str">
        <f>IF(INT('[3]Annex-12'!F58)='[3]Annex-12'!F58,'[3]Annex-12'!F58&amp;".00  ",IF(INT('[3]Annex-12'!F58*10)='[3]Annex-12'!F58*10,'[3]Annex-12'!F58&amp;"0  ",ROUND('[3]Annex-12'!F58,2)&amp;"  "))</f>
        <v xml:space="preserve">2.46  </v>
      </c>
      <c r="G65" s="217" t="str">
        <f>IF(INT('[3]Annex-12'!G58)='[3]Annex-12'!G58,'[3]Annex-12'!G58&amp;".00  ",IF(INT('[3]Annex-12'!G58*10)='[3]Annex-12'!G58*10,'[3]Annex-12'!G58&amp;"0  ",ROUND('[3]Annex-12'!G58,2)&amp;"  "))</f>
        <v xml:space="preserve">2.46  </v>
      </c>
      <c r="H65" s="217" t="str">
        <f>ROUND('[3]Annex-12'!H58,2)&amp;"  "</f>
        <v xml:space="preserve">7  </v>
      </c>
      <c r="I65" s="217" t="str">
        <f>IF(INT('[3]Annex-12'!I58)='[3]Annex-12'!I58,'[3]Annex-12'!I58&amp;".00  ",IF(INT('[3]Annex-12'!I58*10)='[3]Annex-12'!I58*10,'[3]Annex-12'!I58&amp;"0  ",ROUND('[3]Annex-12'!I58,2)&amp;"  "))</f>
        <v xml:space="preserve">11.11  </v>
      </c>
      <c r="J65" s="217" t="str">
        <f>IF(INT('[3]Annex-12'!J58)='[3]Annex-12'!J58,'[3]Annex-12'!J58&amp;".00  ",IF(INT('[3]Annex-12'!J58*10)='[3]Annex-12'!J58*10,'[3]Annex-12'!J58&amp;"0  ",ROUND('[3]Annex-12'!J58,2)&amp;"  "))</f>
        <v xml:space="preserve">11.26  </v>
      </c>
      <c r="K65" s="217" t="str">
        <f>IF('[3]Annex-12'!K58&lt;0,"(-)"&amp;FIXED(ABS('[3]Annex-12'!K58),2)&amp;"    ",FIXED('[3]Annex-12'!K58,2)&amp;"    ")</f>
        <v xml:space="preserve">1.35    </v>
      </c>
    </row>
    <row r="66" spans="1:11" ht="26.4" customHeight="1" thickBot="1" x14ac:dyDescent="0.35">
      <c r="A66" s="227" t="str">
        <f t="shared" ref="A66:A79" si="1">A26</f>
        <v>OTHERS</v>
      </c>
      <c r="B66" s="224" t="str">
        <f>ROUND('[3]Annex-12'!B59,2)&amp;"  "</f>
        <v xml:space="preserve">3  </v>
      </c>
      <c r="C66" s="224" t="str">
        <f>IF(INT('[3]Annex-12'!C59)='[3]Annex-12'!C59,'[3]Annex-12'!C59&amp;".00  ",IF(INT('[3]Annex-12'!C59*10)='[3]Annex-12'!C59*10,'[3]Annex-12'!C59&amp;"0  ",ROUND('[3]Annex-12'!C59,2)&amp;"  "))</f>
        <v xml:space="preserve">1.68  </v>
      </c>
      <c r="D66" s="224" t="str">
        <f>IF(INT('[3]Annex-12'!D59)='[3]Annex-12'!D59,'[3]Annex-12'!D59&amp;".00  ",IF(INT('[3]Annex-12'!D59*10)='[3]Annex-12'!D59*10,'[3]Annex-12'!D59&amp;"0  ",ROUND('[3]Annex-12'!D59,2)&amp;"  "))</f>
        <v xml:space="preserve">1.68  </v>
      </c>
      <c r="E66" s="224" t="str">
        <f>ROUND('[3]Annex-12'!E59,2)&amp;"  "</f>
        <v xml:space="preserve">4  </v>
      </c>
      <c r="F66" s="224" t="str">
        <f>IF(INT('[3]Annex-12'!F59)='[3]Annex-12'!F59,'[3]Annex-12'!F59&amp;".00  ",IF(INT('[3]Annex-12'!F59*10)='[3]Annex-12'!F59*10,'[3]Annex-12'!F59&amp;"0  ",ROUND('[3]Annex-12'!F59,2)&amp;"  "))</f>
        <v xml:space="preserve">2.39  </v>
      </c>
      <c r="G66" s="224" t="str">
        <f>IF(INT('[3]Annex-12'!G59)='[3]Annex-12'!G59,'[3]Annex-12'!G59&amp;".00  ",IF(INT('[3]Annex-12'!G59*10)='[3]Annex-12'!G59*10,'[3]Annex-12'!G59&amp;"0  ",ROUND('[3]Annex-12'!G59,2)&amp;"  "))</f>
        <v xml:space="preserve">2.31  </v>
      </c>
      <c r="H66" s="224" t="str">
        <f>ROUND('[3]Annex-12'!H59,2)&amp;"  "</f>
        <v xml:space="preserve">7  </v>
      </c>
      <c r="I66" s="224" t="str">
        <f>IF(INT('[3]Annex-12'!I59)='[3]Annex-12'!I59,'[3]Annex-12'!I59&amp;".00  ",IF(INT('[3]Annex-12'!I59*10)='[3]Annex-12'!I59*10,'[3]Annex-12'!I59&amp;"0  ",ROUND('[3]Annex-12'!I59,2)&amp;"  "))</f>
        <v xml:space="preserve">4.07  </v>
      </c>
      <c r="J66" s="224" t="str">
        <f>IF(INT('[3]Annex-12'!J59)='[3]Annex-12'!J59,'[3]Annex-12'!J59&amp;".00  ",IF(INT('[3]Annex-12'!J59*10)='[3]Annex-12'!J59*10,'[3]Annex-12'!J59&amp;"0  ",ROUND('[3]Annex-12'!J59,2)&amp;"  "))</f>
        <v xml:space="preserve">3.99  </v>
      </c>
      <c r="K66" s="224" t="str">
        <f>IF('[3]Annex-12'!K59&lt;0,"(-)"&amp;FIXED(ABS('[3]Annex-12'!K59),2)&amp;"    ",FIXED('[3]Annex-12'!K59,2)&amp;"    ")</f>
        <v xml:space="preserve">(-)1.96    </v>
      </c>
    </row>
    <row r="67" spans="1:11" hidden="1" x14ac:dyDescent="0.3">
      <c r="A67" s="225" t="str">
        <f t="shared" si="1"/>
        <v/>
      </c>
      <c r="B67" s="217" t="e">
        <f>ROUND('[3]Annex-12'!B60,2)&amp;"  "</f>
        <v>#VALUE!</v>
      </c>
      <c r="C67" s="217" t="e">
        <f>IF(INT('[3]Annex-12'!C60)='[3]Annex-12'!C60,'[3]Annex-12'!C60&amp;".00  ",IF(INT('[3]Annex-12'!C60*10)='[3]Annex-12'!C60*10,'[3]Annex-12'!C60&amp;"0  ",ROUND('[3]Annex-12'!C60,2)&amp;"  "))</f>
        <v>#VALUE!</v>
      </c>
      <c r="D67" s="217" t="e">
        <f>IF(INT('[3]Annex-12'!D60)='[3]Annex-12'!D60,'[3]Annex-12'!D60&amp;".00  ",IF(INT('[3]Annex-12'!D60*10)='[3]Annex-12'!D60*10,'[3]Annex-12'!D60&amp;"0  ",ROUND('[3]Annex-12'!D60,2)&amp;"  "))</f>
        <v>#VALUE!</v>
      </c>
      <c r="E67" s="217" t="e">
        <f>ROUND('[3]Annex-12'!E60,2)&amp;"  "</f>
        <v>#VALUE!</v>
      </c>
      <c r="F67" s="217" t="e">
        <f>IF(INT('[3]Annex-12'!F60)='[3]Annex-12'!F60,'[3]Annex-12'!F60&amp;".00  ",IF(INT('[3]Annex-12'!F60*10)='[3]Annex-12'!F60*10,'[3]Annex-12'!F60&amp;"0  ",ROUND('[3]Annex-12'!F60,2)&amp;"  "))</f>
        <v>#VALUE!</v>
      </c>
      <c r="G67" s="217" t="e">
        <f>IF(INT('[3]Annex-12'!G60)='[3]Annex-12'!G60,'[3]Annex-12'!G60&amp;".00  ",IF(INT('[3]Annex-12'!G60*10)='[3]Annex-12'!G60*10,'[3]Annex-12'!G60&amp;"0  ",ROUND('[3]Annex-12'!G60,2)&amp;"  "))</f>
        <v>#VALUE!</v>
      </c>
      <c r="H67" s="217" t="e">
        <f>ROUND('[3]Annex-12'!H60,2)&amp;"  "</f>
        <v>#VALUE!</v>
      </c>
      <c r="I67" s="217" t="e">
        <f>IF(INT('[3]Annex-12'!I60)='[3]Annex-12'!I60,'[3]Annex-12'!I60&amp;".00  ",IF(INT('[3]Annex-12'!I60*10)='[3]Annex-12'!I60*10,'[3]Annex-12'!I60&amp;"0  ",ROUND('[3]Annex-12'!I60,2)&amp;"  "))</f>
        <v>#VALUE!</v>
      </c>
      <c r="J67" s="217" t="e">
        <f>IF(INT('[3]Annex-12'!J60)='[3]Annex-12'!J60,'[3]Annex-12'!J60&amp;".00  ",IF(INT('[3]Annex-12'!J60*10)='[3]Annex-12'!J60*10,'[3]Annex-12'!J60&amp;"0  ",ROUND('[3]Annex-12'!J60,2)&amp;"  "))</f>
        <v>#VALUE!</v>
      </c>
      <c r="K67" s="217" t="e">
        <f>IF('[3]Annex-12'!K60&lt;0,"(-)"&amp;FIXED(ABS('[3]Annex-12'!K60),2)&amp;"    ",FIXED('[3]Annex-12'!K60,2)&amp;"    ")</f>
        <v>#VALUE!</v>
      </c>
    </row>
    <row r="68" spans="1:11" hidden="1" x14ac:dyDescent="0.3">
      <c r="A68" s="225" t="str">
        <f t="shared" si="1"/>
        <v/>
      </c>
      <c r="B68" s="217" t="e">
        <f>ROUND('[3]Annex-12'!B61,2)&amp;"  "</f>
        <v>#VALUE!</v>
      </c>
      <c r="C68" s="217" t="e">
        <f>IF(INT('[3]Annex-12'!C61)='[3]Annex-12'!C61,'[3]Annex-12'!C61&amp;".00  ",IF(INT('[3]Annex-12'!C61*10)='[3]Annex-12'!C61*10,'[3]Annex-12'!C61&amp;"0  ",ROUND('[3]Annex-12'!C61,2)&amp;"  "))</f>
        <v>#VALUE!</v>
      </c>
      <c r="D68" s="217" t="e">
        <f>IF(INT('[3]Annex-12'!D61)='[3]Annex-12'!D61,'[3]Annex-12'!D61&amp;".00  ",IF(INT('[3]Annex-12'!D61*10)='[3]Annex-12'!D61*10,'[3]Annex-12'!D61&amp;"0  ",ROUND('[3]Annex-12'!D61,2)&amp;"  "))</f>
        <v>#VALUE!</v>
      </c>
      <c r="E68" s="217" t="e">
        <f>ROUND('[3]Annex-12'!E61,2)&amp;"  "</f>
        <v>#VALUE!</v>
      </c>
      <c r="F68" s="217" t="e">
        <f>IF(INT('[3]Annex-12'!F61)='[3]Annex-12'!F61,'[3]Annex-12'!F61&amp;".00  ",IF(INT('[3]Annex-12'!F61*10)='[3]Annex-12'!F61*10,'[3]Annex-12'!F61&amp;"0  ",ROUND('[3]Annex-12'!F61,2)&amp;"  "))</f>
        <v>#VALUE!</v>
      </c>
      <c r="G68" s="217" t="e">
        <f>IF(INT('[3]Annex-12'!G61)='[3]Annex-12'!G61,'[3]Annex-12'!G61&amp;".00  ",IF(INT('[3]Annex-12'!G61*10)='[3]Annex-12'!G61*10,'[3]Annex-12'!G61&amp;"0  ",ROUND('[3]Annex-12'!G61,2)&amp;"  "))</f>
        <v>#VALUE!</v>
      </c>
      <c r="H68" s="217" t="e">
        <f>ROUND('[3]Annex-12'!H61,2)&amp;"  "</f>
        <v>#VALUE!</v>
      </c>
      <c r="I68" s="217" t="e">
        <f>IF(INT('[3]Annex-12'!I61)='[3]Annex-12'!I61,'[3]Annex-12'!I61&amp;".00  ",IF(INT('[3]Annex-12'!I61*10)='[3]Annex-12'!I61*10,'[3]Annex-12'!I61&amp;"0  ",ROUND('[3]Annex-12'!I61,2)&amp;"  "))</f>
        <v>#VALUE!</v>
      </c>
      <c r="J68" s="217" t="e">
        <f>IF(INT('[3]Annex-12'!J61)='[3]Annex-12'!J61,'[3]Annex-12'!J61&amp;".00  ",IF(INT('[3]Annex-12'!J61*10)='[3]Annex-12'!J61*10,'[3]Annex-12'!J61&amp;"0  ",ROUND('[3]Annex-12'!J61,2)&amp;"  "))</f>
        <v>#VALUE!</v>
      </c>
      <c r="K68" s="217" t="e">
        <f>IF('[3]Annex-12'!K61&lt;0,"(-)"&amp;FIXED(ABS('[3]Annex-12'!K61),2)&amp;"    ",FIXED('[3]Annex-12'!K61,2)&amp;"    ")</f>
        <v>#VALUE!</v>
      </c>
    </row>
    <row r="69" spans="1:11" hidden="1" x14ac:dyDescent="0.3">
      <c r="A69" s="225" t="str">
        <f t="shared" si="1"/>
        <v/>
      </c>
      <c r="B69" s="217" t="e">
        <f>ROUND('[3]Annex-12'!B62,2)&amp;"  "</f>
        <v>#VALUE!</v>
      </c>
      <c r="C69" s="217" t="e">
        <f>IF(INT('[3]Annex-12'!C62)='[3]Annex-12'!C62,'[3]Annex-12'!C62&amp;".00  ",IF(INT('[3]Annex-12'!C62*10)='[3]Annex-12'!C62*10,'[3]Annex-12'!C62&amp;"0  ",ROUND('[3]Annex-12'!C62,2)&amp;"  "))</f>
        <v>#VALUE!</v>
      </c>
      <c r="D69" s="217" t="e">
        <f>IF(INT('[3]Annex-12'!D62)='[3]Annex-12'!D62,'[3]Annex-12'!D62&amp;".00  ",IF(INT('[3]Annex-12'!D62*10)='[3]Annex-12'!D62*10,'[3]Annex-12'!D62&amp;"0  ",ROUND('[3]Annex-12'!D62,2)&amp;"  "))</f>
        <v>#VALUE!</v>
      </c>
      <c r="E69" s="217" t="e">
        <f>ROUND('[3]Annex-12'!E62,2)&amp;"  "</f>
        <v>#VALUE!</v>
      </c>
      <c r="F69" s="217" t="e">
        <f>IF(INT('[3]Annex-12'!F62)='[3]Annex-12'!F62,'[3]Annex-12'!F62&amp;".00  ",IF(INT('[3]Annex-12'!F62*10)='[3]Annex-12'!F62*10,'[3]Annex-12'!F62&amp;"0  ",ROUND('[3]Annex-12'!F62,2)&amp;"  "))</f>
        <v>#VALUE!</v>
      </c>
      <c r="G69" s="217" t="e">
        <f>IF(INT('[3]Annex-12'!G62)='[3]Annex-12'!G62,'[3]Annex-12'!G62&amp;".00  ",IF(INT('[3]Annex-12'!G62*10)='[3]Annex-12'!G62*10,'[3]Annex-12'!G62&amp;"0  ",ROUND('[3]Annex-12'!G62,2)&amp;"  "))</f>
        <v>#VALUE!</v>
      </c>
      <c r="H69" s="217" t="e">
        <f>ROUND('[3]Annex-12'!H62,2)&amp;"  "</f>
        <v>#VALUE!</v>
      </c>
      <c r="I69" s="217" t="e">
        <f>IF(INT('[3]Annex-12'!I62)='[3]Annex-12'!I62,'[3]Annex-12'!I62&amp;".00  ",IF(INT('[3]Annex-12'!I62*10)='[3]Annex-12'!I62*10,'[3]Annex-12'!I62&amp;"0  ",ROUND('[3]Annex-12'!I62,2)&amp;"  "))</f>
        <v>#VALUE!</v>
      </c>
      <c r="J69" s="217" t="e">
        <f>IF(INT('[3]Annex-12'!J62)='[3]Annex-12'!J62,'[3]Annex-12'!J62&amp;".00  ",IF(INT('[3]Annex-12'!J62*10)='[3]Annex-12'!J62*10,'[3]Annex-12'!J62&amp;"0  ",ROUND('[3]Annex-12'!J62,2)&amp;"  "))</f>
        <v>#VALUE!</v>
      </c>
      <c r="K69" s="217" t="e">
        <f>IF('[3]Annex-12'!K62&lt;0,"(-)"&amp;FIXED(ABS('[3]Annex-12'!K62),2)&amp;"    ",FIXED('[3]Annex-12'!K62,2)&amp;"    ")</f>
        <v>#VALUE!</v>
      </c>
    </row>
    <row r="70" spans="1:11" hidden="1" x14ac:dyDescent="0.3">
      <c r="A70" s="225" t="str">
        <f t="shared" si="1"/>
        <v/>
      </c>
      <c r="B70" s="217" t="e">
        <f>ROUND('[3]Annex-12'!B63,2)&amp;"  "</f>
        <v>#VALUE!</v>
      </c>
      <c r="C70" s="217" t="e">
        <f>IF(INT('[3]Annex-12'!C63)='[3]Annex-12'!C63,'[3]Annex-12'!C63&amp;".00  ",IF(INT('[3]Annex-12'!C63*10)='[3]Annex-12'!C63*10,'[3]Annex-12'!C63&amp;"0  ",ROUND('[3]Annex-12'!C63,2)&amp;"  "))</f>
        <v>#VALUE!</v>
      </c>
      <c r="D70" s="217" t="e">
        <f>IF(INT('[3]Annex-12'!D63)='[3]Annex-12'!D63,'[3]Annex-12'!D63&amp;".00  ",IF(INT('[3]Annex-12'!D63*10)='[3]Annex-12'!D63*10,'[3]Annex-12'!D63&amp;"0  ",ROUND('[3]Annex-12'!D63,2)&amp;"  "))</f>
        <v>#VALUE!</v>
      </c>
      <c r="E70" s="217" t="e">
        <f>ROUND('[3]Annex-12'!E63,2)&amp;"  "</f>
        <v>#VALUE!</v>
      </c>
      <c r="F70" s="217" t="e">
        <f>IF(INT('[3]Annex-12'!F63)='[3]Annex-12'!F63,'[3]Annex-12'!F63&amp;".00  ",IF(INT('[3]Annex-12'!F63*10)='[3]Annex-12'!F63*10,'[3]Annex-12'!F63&amp;"0  ",ROUND('[3]Annex-12'!F63,2)&amp;"  "))</f>
        <v>#VALUE!</v>
      </c>
      <c r="G70" s="217" t="e">
        <f>IF(INT('[3]Annex-12'!G63)='[3]Annex-12'!G63,'[3]Annex-12'!G63&amp;".00  ",IF(INT('[3]Annex-12'!G63*10)='[3]Annex-12'!G63*10,'[3]Annex-12'!G63&amp;"0  ",ROUND('[3]Annex-12'!G63,2)&amp;"  "))</f>
        <v>#VALUE!</v>
      </c>
      <c r="H70" s="217" t="e">
        <f>ROUND('[3]Annex-12'!H63,2)&amp;"  "</f>
        <v>#VALUE!</v>
      </c>
      <c r="I70" s="217" t="e">
        <f>IF(INT('[3]Annex-12'!I63)='[3]Annex-12'!I63,'[3]Annex-12'!I63&amp;".00  ",IF(INT('[3]Annex-12'!I63*10)='[3]Annex-12'!I63*10,'[3]Annex-12'!I63&amp;"0  ",ROUND('[3]Annex-12'!I63,2)&amp;"  "))</f>
        <v>#VALUE!</v>
      </c>
      <c r="J70" s="217" t="e">
        <f>IF(INT('[3]Annex-12'!J63)='[3]Annex-12'!J63,'[3]Annex-12'!J63&amp;".00  ",IF(INT('[3]Annex-12'!J63*10)='[3]Annex-12'!J63*10,'[3]Annex-12'!J63&amp;"0  ",ROUND('[3]Annex-12'!J63,2)&amp;"  "))</f>
        <v>#VALUE!</v>
      </c>
      <c r="K70" s="217" t="e">
        <f>IF('[3]Annex-12'!K63&lt;0,"(-)"&amp;FIXED(ABS('[3]Annex-12'!K63),2)&amp;"    ",FIXED('[3]Annex-12'!K63,2)&amp;"    ")</f>
        <v>#VALUE!</v>
      </c>
    </row>
    <row r="71" spans="1:11" hidden="1" x14ac:dyDescent="0.3">
      <c r="A71" s="225" t="str">
        <f t="shared" si="1"/>
        <v/>
      </c>
      <c r="B71" s="217" t="e">
        <f>ROUND('[3]Annex-12'!B64,2)&amp;"  "</f>
        <v>#VALUE!</v>
      </c>
      <c r="C71" s="217" t="e">
        <f>IF(INT('[3]Annex-12'!C64)='[3]Annex-12'!C64,'[3]Annex-12'!C64&amp;".00  ",IF(INT('[3]Annex-12'!C64*10)='[3]Annex-12'!C64*10,'[3]Annex-12'!C64&amp;"0  ",ROUND('[3]Annex-12'!C64,2)&amp;"  "))</f>
        <v>#VALUE!</v>
      </c>
      <c r="D71" s="217" t="e">
        <f>IF(INT('[3]Annex-12'!D64)='[3]Annex-12'!D64,'[3]Annex-12'!D64&amp;".00  ",IF(INT('[3]Annex-12'!D64*10)='[3]Annex-12'!D64*10,'[3]Annex-12'!D64&amp;"0  ",ROUND('[3]Annex-12'!D64,2)&amp;"  "))</f>
        <v>#VALUE!</v>
      </c>
      <c r="E71" s="217" t="e">
        <f>ROUND('[3]Annex-12'!E64,2)&amp;"  "</f>
        <v>#VALUE!</v>
      </c>
      <c r="F71" s="217" t="e">
        <f>IF(INT('[3]Annex-12'!F64)='[3]Annex-12'!F64,'[3]Annex-12'!F64&amp;".00  ",IF(INT('[3]Annex-12'!F64*10)='[3]Annex-12'!F64*10,'[3]Annex-12'!F64&amp;"0  ",ROUND('[3]Annex-12'!F64,2)&amp;"  "))</f>
        <v>#VALUE!</v>
      </c>
      <c r="G71" s="217" t="e">
        <f>IF(INT('[3]Annex-12'!G64)='[3]Annex-12'!G64,'[3]Annex-12'!G64&amp;".00  ",IF(INT('[3]Annex-12'!G64*10)='[3]Annex-12'!G64*10,'[3]Annex-12'!G64&amp;"0  ",ROUND('[3]Annex-12'!G64,2)&amp;"  "))</f>
        <v>#VALUE!</v>
      </c>
      <c r="H71" s="217" t="e">
        <f>ROUND('[3]Annex-12'!H64,2)&amp;"  "</f>
        <v>#VALUE!</v>
      </c>
      <c r="I71" s="217" t="e">
        <f>IF(INT('[3]Annex-12'!I64)='[3]Annex-12'!I64,'[3]Annex-12'!I64&amp;".00  ",IF(INT('[3]Annex-12'!I64*10)='[3]Annex-12'!I64*10,'[3]Annex-12'!I64&amp;"0  ",ROUND('[3]Annex-12'!I64,2)&amp;"  "))</f>
        <v>#VALUE!</v>
      </c>
      <c r="J71" s="217" t="e">
        <f>IF(INT('[3]Annex-12'!J64)='[3]Annex-12'!J64,'[3]Annex-12'!J64&amp;".00  ",IF(INT('[3]Annex-12'!J64*10)='[3]Annex-12'!J64*10,'[3]Annex-12'!J64&amp;"0  ",ROUND('[3]Annex-12'!J64,2)&amp;"  "))</f>
        <v>#VALUE!</v>
      </c>
      <c r="K71" s="217" t="e">
        <f>IF('[3]Annex-12'!K64&lt;0,"(-)"&amp;FIXED(ABS('[3]Annex-12'!K64),2)&amp;"    ",FIXED('[3]Annex-12'!K64,2)&amp;"    ")</f>
        <v>#VALUE!</v>
      </c>
    </row>
    <row r="72" spans="1:11" hidden="1" x14ac:dyDescent="0.3">
      <c r="A72" s="225" t="str">
        <f t="shared" si="1"/>
        <v/>
      </c>
      <c r="B72" s="217" t="e">
        <f>ROUND('[3]Annex-12'!B65,2)&amp;"  "</f>
        <v>#VALUE!</v>
      </c>
      <c r="C72" s="217" t="e">
        <f>IF(INT('[3]Annex-12'!C65)='[3]Annex-12'!C65,'[3]Annex-12'!C65&amp;".00  ",IF(INT('[3]Annex-12'!C65*10)='[3]Annex-12'!C65*10,'[3]Annex-12'!C65&amp;"0  ",ROUND('[3]Annex-12'!C65,2)&amp;"  "))</f>
        <v>#VALUE!</v>
      </c>
      <c r="D72" s="217" t="e">
        <f>IF(INT('[3]Annex-12'!D65)='[3]Annex-12'!D65,'[3]Annex-12'!D65&amp;".00  ",IF(INT('[3]Annex-12'!D65*10)='[3]Annex-12'!D65*10,'[3]Annex-12'!D65&amp;"0  ",ROUND('[3]Annex-12'!D65,2)&amp;"  "))</f>
        <v>#VALUE!</v>
      </c>
      <c r="E72" s="217" t="e">
        <f>ROUND('[3]Annex-12'!E65,2)&amp;"  "</f>
        <v>#VALUE!</v>
      </c>
      <c r="F72" s="217" t="e">
        <f>IF(INT('[3]Annex-12'!F65)='[3]Annex-12'!F65,'[3]Annex-12'!F65&amp;".00  ",IF(INT('[3]Annex-12'!F65*10)='[3]Annex-12'!F65*10,'[3]Annex-12'!F65&amp;"0  ",ROUND('[3]Annex-12'!F65,2)&amp;"  "))</f>
        <v>#VALUE!</v>
      </c>
      <c r="G72" s="217" t="e">
        <f>IF(INT('[3]Annex-12'!G65)='[3]Annex-12'!G65,'[3]Annex-12'!G65&amp;".00  ",IF(INT('[3]Annex-12'!G65*10)='[3]Annex-12'!G65*10,'[3]Annex-12'!G65&amp;"0  ",ROUND('[3]Annex-12'!G65,2)&amp;"  "))</f>
        <v>#VALUE!</v>
      </c>
      <c r="H72" s="217" t="e">
        <f>ROUND('[3]Annex-12'!H65,2)&amp;"  "</f>
        <v>#VALUE!</v>
      </c>
      <c r="I72" s="217" t="e">
        <f>IF(INT('[3]Annex-12'!I65)='[3]Annex-12'!I65,'[3]Annex-12'!I65&amp;".00  ",IF(INT('[3]Annex-12'!I65*10)='[3]Annex-12'!I65*10,'[3]Annex-12'!I65&amp;"0  ",ROUND('[3]Annex-12'!I65,2)&amp;"  "))</f>
        <v>#VALUE!</v>
      </c>
      <c r="J72" s="217" t="e">
        <f>IF(INT('[3]Annex-12'!J65)='[3]Annex-12'!J65,'[3]Annex-12'!J65&amp;".00  ",IF(INT('[3]Annex-12'!J65*10)='[3]Annex-12'!J65*10,'[3]Annex-12'!J65&amp;"0  ",ROUND('[3]Annex-12'!J65,2)&amp;"  "))</f>
        <v>#VALUE!</v>
      </c>
      <c r="K72" s="217" t="e">
        <f>IF('[3]Annex-12'!K65&lt;0,"(-)"&amp;FIXED(ABS('[3]Annex-12'!K65),2)&amp;"    ",FIXED('[3]Annex-12'!K65,2)&amp;"    ")</f>
        <v>#VALUE!</v>
      </c>
    </row>
    <row r="73" spans="1:11" hidden="1" x14ac:dyDescent="0.3">
      <c r="A73" s="225" t="str">
        <f t="shared" si="1"/>
        <v/>
      </c>
      <c r="B73" s="217" t="e">
        <f>ROUND('[3]Annex-12'!B66,2)&amp;"  "</f>
        <v>#VALUE!</v>
      </c>
      <c r="C73" s="217" t="e">
        <f>IF(INT('[3]Annex-12'!C66)='[3]Annex-12'!C66,'[3]Annex-12'!C66&amp;".00  ",IF(INT('[3]Annex-12'!C66*10)='[3]Annex-12'!C66*10,'[3]Annex-12'!C66&amp;"0  ",ROUND('[3]Annex-12'!C66,2)&amp;"  "))</f>
        <v>#VALUE!</v>
      </c>
      <c r="D73" s="217" t="e">
        <f>IF(INT('[3]Annex-12'!D66)='[3]Annex-12'!D66,'[3]Annex-12'!D66&amp;".00  ",IF(INT('[3]Annex-12'!D66*10)='[3]Annex-12'!D66*10,'[3]Annex-12'!D66&amp;"0  ",ROUND('[3]Annex-12'!D66,2)&amp;"  "))</f>
        <v>#VALUE!</v>
      </c>
      <c r="E73" s="217" t="e">
        <f>ROUND('[3]Annex-12'!E66,2)&amp;"  "</f>
        <v>#VALUE!</v>
      </c>
      <c r="F73" s="217" t="e">
        <f>IF(INT('[3]Annex-12'!F66)='[3]Annex-12'!F66,'[3]Annex-12'!F66&amp;".00  ",IF(INT('[3]Annex-12'!F66*10)='[3]Annex-12'!F66*10,'[3]Annex-12'!F66&amp;"0  ",ROUND('[3]Annex-12'!F66,2)&amp;"  "))</f>
        <v>#VALUE!</v>
      </c>
      <c r="G73" s="217" t="e">
        <f>IF(INT('[3]Annex-12'!G66)='[3]Annex-12'!G66,'[3]Annex-12'!G66&amp;".00  ",IF(INT('[3]Annex-12'!G66*10)='[3]Annex-12'!G66*10,'[3]Annex-12'!G66&amp;"0  ",ROUND('[3]Annex-12'!G66,2)&amp;"  "))</f>
        <v>#VALUE!</v>
      </c>
      <c r="H73" s="217" t="e">
        <f>ROUND('[3]Annex-12'!H66,2)&amp;"  "</f>
        <v>#VALUE!</v>
      </c>
      <c r="I73" s="217" t="e">
        <f>IF(INT('[3]Annex-12'!I66)='[3]Annex-12'!I66,'[3]Annex-12'!I66&amp;".00  ",IF(INT('[3]Annex-12'!I66*10)='[3]Annex-12'!I66*10,'[3]Annex-12'!I66&amp;"0  ",ROUND('[3]Annex-12'!I66,2)&amp;"  "))</f>
        <v>#VALUE!</v>
      </c>
      <c r="J73" s="217" t="e">
        <f>IF(INT('[3]Annex-12'!J66)='[3]Annex-12'!J66,'[3]Annex-12'!J66&amp;".00  ",IF(INT('[3]Annex-12'!J66*10)='[3]Annex-12'!J66*10,'[3]Annex-12'!J66&amp;"0  ",ROUND('[3]Annex-12'!J66,2)&amp;"  "))</f>
        <v>#VALUE!</v>
      </c>
      <c r="K73" s="217" t="e">
        <f>IF('[3]Annex-12'!K66&lt;0,"(-)"&amp;FIXED(ABS('[3]Annex-12'!K66),2)&amp;"    ",FIXED('[3]Annex-12'!K66,2)&amp;"    ")</f>
        <v>#VALUE!</v>
      </c>
    </row>
    <row r="74" spans="1:11" ht="15" hidden="1" thickBot="1" x14ac:dyDescent="0.35">
      <c r="A74" s="227" t="str">
        <f t="shared" si="1"/>
        <v/>
      </c>
      <c r="B74" s="224" t="e">
        <f>ROUND('[3]Annex-12'!B67,2)&amp;"  "</f>
        <v>#VALUE!</v>
      </c>
      <c r="C74" s="224" t="e">
        <f>IF(INT('[3]Annex-12'!C67)='[3]Annex-12'!C67,'[3]Annex-12'!C67&amp;".00  ",IF(INT('[3]Annex-12'!C67*10)='[3]Annex-12'!C67*10,'[3]Annex-12'!C67&amp;"0  ",ROUND('[3]Annex-12'!C67,2)&amp;"  "))</f>
        <v>#VALUE!</v>
      </c>
      <c r="D74" s="224" t="e">
        <f>IF(INT('[3]Annex-12'!D67)='[3]Annex-12'!D67,'[3]Annex-12'!D67&amp;".00  ",IF(INT('[3]Annex-12'!D67*10)='[3]Annex-12'!D67*10,'[3]Annex-12'!D67&amp;"0  ",ROUND('[3]Annex-12'!D67,2)&amp;"  "))</f>
        <v>#VALUE!</v>
      </c>
      <c r="E74" s="224" t="e">
        <f>ROUND('[3]Annex-12'!E67,2)&amp;"  "</f>
        <v>#VALUE!</v>
      </c>
      <c r="F74" s="224" t="e">
        <f>IF(INT('[3]Annex-12'!F67)='[3]Annex-12'!F67,'[3]Annex-12'!F67&amp;".00  ",IF(INT('[3]Annex-12'!F67*10)='[3]Annex-12'!F67*10,'[3]Annex-12'!F67&amp;"0  ",ROUND('[3]Annex-12'!F67,2)&amp;"  "))</f>
        <v>#VALUE!</v>
      </c>
      <c r="G74" s="224" t="e">
        <f>IF(INT('[3]Annex-12'!G67)='[3]Annex-12'!G67,'[3]Annex-12'!G67&amp;".00  ",IF(INT('[3]Annex-12'!G67*10)='[3]Annex-12'!G67*10,'[3]Annex-12'!G67&amp;"0  ",ROUND('[3]Annex-12'!G67,2)&amp;"  "))</f>
        <v>#VALUE!</v>
      </c>
      <c r="H74" s="224" t="e">
        <f>ROUND('[3]Annex-12'!H67,2)&amp;"  "</f>
        <v>#VALUE!</v>
      </c>
      <c r="I74" s="224" t="e">
        <f>IF(INT('[3]Annex-12'!I67)='[3]Annex-12'!I67,'[3]Annex-12'!I67&amp;".00  ",IF(INT('[3]Annex-12'!I67*10)='[3]Annex-12'!I67*10,'[3]Annex-12'!I67&amp;"0  ",ROUND('[3]Annex-12'!I67,2)&amp;"  "))</f>
        <v>#VALUE!</v>
      </c>
      <c r="J74" s="224" t="e">
        <f>IF(INT('[3]Annex-12'!J67)='[3]Annex-12'!J67,'[3]Annex-12'!J67&amp;".00  ",IF(INT('[3]Annex-12'!J67*10)='[3]Annex-12'!J67*10,'[3]Annex-12'!J67&amp;"0  ",ROUND('[3]Annex-12'!J67,2)&amp;"  "))</f>
        <v>#VALUE!</v>
      </c>
      <c r="K74" s="224" t="e">
        <f>IF('[3]Annex-12'!K67&lt;0,"(-)"&amp;FIXED(ABS('[3]Annex-12'!K67),2)&amp;"    ",FIXED('[3]Annex-12'!K67,2)&amp;"    ")</f>
        <v>#VALUE!</v>
      </c>
    </row>
    <row r="75" spans="1:11" hidden="1" x14ac:dyDescent="0.3">
      <c r="A75" s="225" t="str">
        <f t="shared" si="1"/>
        <v/>
      </c>
      <c r="B75" s="220" t="e">
        <f>ROUND('[3]Annex-12'!B68,2)&amp;"  "</f>
        <v>#VALUE!</v>
      </c>
      <c r="C75" s="220" t="e">
        <f>IF(INT('[3]Annex-12'!C68)='[3]Annex-12'!C68,'[3]Annex-12'!C68&amp;".00  ",IF(INT('[3]Annex-12'!C68*10)='[3]Annex-12'!C68*10,'[3]Annex-12'!C68&amp;"0  ",ROUND('[3]Annex-12'!C68,2)&amp;"  "))</f>
        <v>#VALUE!</v>
      </c>
      <c r="D75" s="220" t="e">
        <f>IF(INT('[3]Annex-12'!D68)='[3]Annex-12'!D68,'[3]Annex-12'!D68&amp;".00  ",IF(INT('[3]Annex-12'!D68*10)='[3]Annex-12'!D68*10,'[3]Annex-12'!D68&amp;"0  ",ROUND('[3]Annex-12'!D68,2)&amp;"  "))</f>
        <v>#VALUE!</v>
      </c>
      <c r="E75" s="220" t="e">
        <f>ROUND('[3]Annex-12'!E68,2)&amp;"  "</f>
        <v>#VALUE!</v>
      </c>
      <c r="F75" s="220" t="e">
        <f>IF(INT('[3]Annex-12'!F68)='[3]Annex-12'!F68,'[3]Annex-12'!F68&amp;".00  ",IF(INT('[3]Annex-12'!F68*10)='[3]Annex-12'!F68*10,'[3]Annex-12'!F68&amp;"0  ",ROUND('[3]Annex-12'!F68,2)&amp;"  "))</f>
        <v>#VALUE!</v>
      </c>
      <c r="G75" s="220" t="e">
        <f>IF(INT('[3]Annex-12'!G68)='[3]Annex-12'!G68,'[3]Annex-12'!G68&amp;".00  ",IF(INT('[3]Annex-12'!G68*10)='[3]Annex-12'!G68*10,'[3]Annex-12'!G68&amp;"0  ",ROUND('[3]Annex-12'!G68,2)&amp;"  "))</f>
        <v>#VALUE!</v>
      </c>
      <c r="H75" s="220" t="e">
        <f>ROUND('[3]Annex-12'!H68,2)&amp;"  "</f>
        <v>#VALUE!</v>
      </c>
      <c r="I75" s="220" t="e">
        <f>IF(INT('[3]Annex-12'!I68)='[3]Annex-12'!I68,'[3]Annex-12'!I68&amp;".00  ",IF(INT('[3]Annex-12'!I68*10)='[3]Annex-12'!I68*10,'[3]Annex-12'!I68&amp;"0  ",ROUND('[3]Annex-12'!I68,2)&amp;"  "))</f>
        <v>#VALUE!</v>
      </c>
      <c r="J75" s="220" t="e">
        <f>IF(INT('[3]Annex-12'!J68)='[3]Annex-12'!J68,'[3]Annex-12'!J68&amp;".00  ",IF(INT('[3]Annex-12'!J68*10)='[3]Annex-12'!J68*10,'[3]Annex-12'!J68&amp;"0  ",ROUND('[3]Annex-12'!J68,2)&amp;"  "))</f>
        <v>#VALUE!</v>
      </c>
      <c r="K75" s="220" t="e">
        <f>IF('[3]Annex-12'!K68&lt;0,"(-)"&amp;FIXED(ABS('[3]Annex-12'!K68),2)&amp;"    ",FIXED('[3]Annex-12'!K68,2)&amp;"    ")</f>
        <v>#VALUE!</v>
      </c>
    </row>
    <row r="76" spans="1:11" hidden="1" x14ac:dyDescent="0.3">
      <c r="A76" s="225" t="str">
        <f t="shared" si="1"/>
        <v/>
      </c>
      <c r="B76" s="220" t="e">
        <f>ROUND('[3]Annex-12'!B69,2)&amp;"  "</f>
        <v>#VALUE!</v>
      </c>
      <c r="C76" s="220" t="e">
        <f>IF(INT('[3]Annex-12'!C69)='[3]Annex-12'!C69,'[3]Annex-12'!C69&amp;".00  ",IF(INT('[3]Annex-12'!C69*10)='[3]Annex-12'!C69*10,'[3]Annex-12'!C69&amp;"0  ",ROUND('[3]Annex-12'!C69,2)&amp;"  "))</f>
        <v>#VALUE!</v>
      </c>
      <c r="D76" s="220" t="e">
        <f>IF(INT('[3]Annex-12'!D69)='[3]Annex-12'!D69,'[3]Annex-12'!D69&amp;".00  ",IF(INT('[3]Annex-12'!D69*10)='[3]Annex-12'!D69*10,'[3]Annex-12'!D69&amp;"0  ",ROUND('[3]Annex-12'!D69,2)&amp;"  "))</f>
        <v>#VALUE!</v>
      </c>
      <c r="E76" s="220" t="e">
        <f>ROUND('[3]Annex-12'!E69,2)&amp;"  "</f>
        <v>#VALUE!</v>
      </c>
      <c r="F76" s="220" t="e">
        <f>IF(INT('[3]Annex-12'!F69)='[3]Annex-12'!F69,'[3]Annex-12'!F69&amp;".00  ",IF(INT('[3]Annex-12'!F69*10)='[3]Annex-12'!F69*10,'[3]Annex-12'!F69&amp;"0  ",ROUND('[3]Annex-12'!F69,2)&amp;"  "))</f>
        <v>#VALUE!</v>
      </c>
      <c r="G76" s="220" t="e">
        <f>IF(INT('[3]Annex-12'!G69)='[3]Annex-12'!G69,'[3]Annex-12'!G69&amp;".00  ",IF(INT('[3]Annex-12'!G69*10)='[3]Annex-12'!G69*10,'[3]Annex-12'!G69&amp;"0  ",ROUND('[3]Annex-12'!G69,2)&amp;"  "))</f>
        <v>#VALUE!</v>
      </c>
      <c r="H76" s="220" t="e">
        <f>ROUND('[3]Annex-12'!H69,2)&amp;"  "</f>
        <v>#VALUE!</v>
      </c>
      <c r="I76" s="220" t="e">
        <f>IF(INT('[3]Annex-12'!I69)='[3]Annex-12'!I69,'[3]Annex-12'!I69&amp;".00  ",IF(INT('[3]Annex-12'!I69*10)='[3]Annex-12'!I69*10,'[3]Annex-12'!I69&amp;"0  ",ROUND('[3]Annex-12'!I69,2)&amp;"  "))</f>
        <v>#VALUE!</v>
      </c>
      <c r="J76" s="220" t="e">
        <f>IF(INT('[3]Annex-12'!J69)='[3]Annex-12'!J69,'[3]Annex-12'!J69&amp;".00  ",IF(INT('[3]Annex-12'!J69*10)='[3]Annex-12'!J69*10,'[3]Annex-12'!J69&amp;"0  ",ROUND('[3]Annex-12'!J69,2)&amp;"  "))</f>
        <v>#VALUE!</v>
      </c>
      <c r="K76" s="220" t="e">
        <f>IF('[3]Annex-12'!K69&lt;0,"(-)"&amp;FIXED(ABS('[3]Annex-12'!K69),2)&amp;"    ",FIXED('[3]Annex-12'!K69,2)&amp;"    ")</f>
        <v>#VALUE!</v>
      </c>
    </row>
    <row r="77" spans="1:11" hidden="1" x14ac:dyDescent="0.3">
      <c r="A77" s="225" t="str">
        <f t="shared" si="1"/>
        <v/>
      </c>
      <c r="B77" s="220" t="e">
        <f>ROUND('[3]Annex-12'!B70,2)&amp;"  "</f>
        <v>#VALUE!</v>
      </c>
      <c r="C77" s="220" t="e">
        <f>IF(INT('[3]Annex-12'!C70)='[3]Annex-12'!C70,'[3]Annex-12'!C70&amp;".00  ",IF(INT('[3]Annex-12'!C70*10)='[3]Annex-12'!C70*10,'[3]Annex-12'!C70&amp;"0  ",ROUND('[3]Annex-12'!C70,2)&amp;"  "))</f>
        <v>#VALUE!</v>
      </c>
      <c r="D77" s="220" t="e">
        <f>IF(INT('[3]Annex-12'!D70)='[3]Annex-12'!D70,'[3]Annex-12'!D70&amp;".00  ",IF(INT('[3]Annex-12'!D70*10)='[3]Annex-12'!D70*10,'[3]Annex-12'!D70&amp;"0  ",ROUND('[3]Annex-12'!D70,2)&amp;"  "))</f>
        <v>#VALUE!</v>
      </c>
      <c r="E77" s="220" t="e">
        <f>ROUND('[3]Annex-12'!E70,2)&amp;"  "</f>
        <v>#VALUE!</v>
      </c>
      <c r="F77" s="220" t="e">
        <f>IF(INT('[3]Annex-12'!F70)='[3]Annex-12'!F70,'[3]Annex-12'!F70&amp;".00  ",IF(INT('[3]Annex-12'!F70*10)='[3]Annex-12'!F70*10,'[3]Annex-12'!F70&amp;"0  ",ROUND('[3]Annex-12'!F70,2)&amp;"  "))</f>
        <v>#VALUE!</v>
      </c>
      <c r="G77" s="220" t="e">
        <f>IF(INT('[3]Annex-12'!G70)='[3]Annex-12'!G70,'[3]Annex-12'!G70&amp;".00  ",IF(INT('[3]Annex-12'!G70*10)='[3]Annex-12'!G70*10,'[3]Annex-12'!G70&amp;"0  ",ROUND('[3]Annex-12'!G70,2)&amp;"  "))</f>
        <v>#VALUE!</v>
      </c>
      <c r="H77" s="220" t="e">
        <f>ROUND('[3]Annex-12'!H70,2)&amp;"  "</f>
        <v>#VALUE!</v>
      </c>
      <c r="I77" s="220" t="e">
        <f>IF(INT('[3]Annex-12'!I70)='[3]Annex-12'!I70,'[3]Annex-12'!I70&amp;".00  ",IF(INT('[3]Annex-12'!I70*10)='[3]Annex-12'!I70*10,'[3]Annex-12'!I70&amp;"0  ",ROUND('[3]Annex-12'!I70,2)&amp;"  "))</f>
        <v>#VALUE!</v>
      </c>
      <c r="J77" s="220" t="e">
        <f>IF(INT('[3]Annex-12'!J70)='[3]Annex-12'!J70,'[3]Annex-12'!J70&amp;".00  ",IF(INT('[3]Annex-12'!J70*10)='[3]Annex-12'!J70*10,'[3]Annex-12'!J70&amp;"0  ",ROUND('[3]Annex-12'!J70,2)&amp;"  "))</f>
        <v>#VALUE!</v>
      </c>
      <c r="K77" s="220" t="e">
        <f>IF('[3]Annex-12'!K70&lt;0,"(-)"&amp;FIXED(ABS('[3]Annex-12'!K70),2)&amp;"    ",FIXED('[3]Annex-12'!K70,2)&amp;"    ")</f>
        <v>#VALUE!</v>
      </c>
    </row>
    <row r="78" spans="1:11" hidden="1" x14ac:dyDescent="0.3">
      <c r="A78" s="225" t="str">
        <f t="shared" si="1"/>
        <v/>
      </c>
      <c r="B78" s="220" t="e">
        <f>ROUND('[3]Annex-12'!B71,2)&amp;"  "</f>
        <v>#VALUE!</v>
      </c>
      <c r="C78" s="220" t="e">
        <f>IF(INT('[3]Annex-12'!C71)='[3]Annex-12'!C71,'[3]Annex-12'!C71&amp;".00  ",IF(INT('[3]Annex-12'!C71*10)='[3]Annex-12'!C71*10,'[3]Annex-12'!C71&amp;"0  ",ROUND('[3]Annex-12'!C71,2)&amp;"  "))</f>
        <v>#VALUE!</v>
      </c>
      <c r="D78" s="220" t="e">
        <f>IF(INT('[3]Annex-12'!D71)='[3]Annex-12'!D71,'[3]Annex-12'!D71&amp;".00  ",IF(INT('[3]Annex-12'!D71*10)='[3]Annex-12'!D71*10,'[3]Annex-12'!D71&amp;"0  ",ROUND('[3]Annex-12'!D71,2)&amp;"  "))</f>
        <v>#VALUE!</v>
      </c>
      <c r="E78" s="220" t="e">
        <f>ROUND('[3]Annex-12'!E71,2)&amp;"  "</f>
        <v>#VALUE!</v>
      </c>
      <c r="F78" s="220" t="e">
        <f>IF(INT('[3]Annex-12'!F71)='[3]Annex-12'!F71,'[3]Annex-12'!F71&amp;".00  ",IF(INT('[3]Annex-12'!F71*10)='[3]Annex-12'!F71*10,'[3]Annex-12'!F71&amp;"0  ",ROUND('[3]Annex-12'!F71,2)&amp;"  "))</f>
        <v>#VALUE!</v>
      </c>
      <c r="G78" s="220" t="e">
        <f>IF(INT('[3]Annex-12'!G71)='[3]Annex-12'!G71,'[3]Annex-12'!G71&amp;".00  ",IF(INT('[3]Annex-12'!G71*10)='[3]Annex-12'!G71*10,'[3]Annex-12'!G71&amp;"0  ",ROUND('[3]Annex-12'!G71,2)&amp;"  "))</f>
        <v>#VALUE!</v>
      </c>
      <c r="H78" s="220" t="e">
        <f>ROUND('[3]Annex-12'!H71,2)&amp;"  "</f>
        <v>#VALUE!</v>
      </c>
      <c r="I78" s="220" t="e">
        <f>IF(INT('[3]Annex-12'!I71)='[3]Annex-12'!I71,'[3]Annex-12'!I71&amp;".00  ",IF(INT('[3]Annex-12'!I71*10)='[3]Annex-12'!I71*10,'[3]Annex-12'!I71&amp;"0  ",ROUND('[3]Annex-12'!I71,2)&amp;"  "))</f>
        <v>#VALUE!</v>
      </c>
      <c r="J78" s="220" t="e">
        <f>IF(INT('[3]Annex-12'!J71)='[3]Annex-12'!J71,'[3]Annex-12'!J71&amp;".00  ",IF(INT('[3]Annex-12'!J71*10)='[3]Annex-12'!J71*10,'[3]Annex-12'!J71&amp;"0  ",ROUND('[3]Annex-12'!J71,2)&amp;"  "))</f>
        <v>#VALUE!</v>
      </c>
      <c r="K78" s="220" t="e">
        <f>IF('[3]Annex-12'!K71&lt;0,"(-)"&amp;FIXED(ABS('[3]Annex-12'!K71),2)&amp;"    ",FIXED('[3]Annex-12'!K71,2)&amp;"    ")</f>
        <v>#VALUE!</v>
      </c>
    </row>
    <row r="79" spans="1:11" hidden="1" x14ac:dyDescent="0.3">
      <c r="A79" s="225" t="str">
        <f t="shared" si="1"/>
        <v/>
      </c>
      <c r="B79" s="220" t="e">
        <f>ROUND('[3]Annex-12'!B72,2)&amp;"  "</f>
        <v>#VALUE!</v>
      </c>
      <c r="C79" s="220" t="e">
        <f>IF(INT('[3]Annex-12'!C72)='[3]Annex-12'!C72,'[3]Annex-12'!C72&amp;".00  ",IF(INT('[3]Annex-12'!C72*10)='[3]Annex-12'!C72*10,'[3]Annex-12'!C72&amp;"0  ",ROUND('[3]Annex-12'!C72,2)&amp;"  "))</f>
        <v>#VALUE!</v>
      </c>
      <c r="D79" s="220" t="e">
        <f>IF(INT('[3]Annex-12'!D72)='[3]Annex-12'!D72,'[3]Annex-12'!D72&amp;".00  ",IF(INT('[3]Annex-12'!D72*10)='[3]Annex-12'!D72*10,'[3]Annex-12'!D72&amp;"0  ",ROUND('[3]Annex-12'!D72,2)&amp;"  "))</f>
        <v>#VALUE!</v>
      </c>
      <c r="E79" s="220" t="e">
        <f>ROUND('[3]Annex-12'!E72,2)&amp;"  "</f>
        <v>#VALUE!</v>
      </c>
      <c r="F79" s="220" t="e">
        <f>IF(INT('[3]Annex-12'!F72)='[3]Annex-12'!F72,'[3]Annex-12'!F72&amp;".00  ",IF(INT('[3]Annex-12'!F72*10)='[3]Annex-12'!F72*10,'[3]Annex-12'!F72&amp;"0  ",ROUND('[3]Annex-12'!F72,2)&amp;"  "))</f>
        <v>#VALUE!</v>
      </c>
      <c r="G79" s="220" t="e">
        <f>IF(INT('[3]Annex-12'!G72)='[3]Annex-12'!G72,'[3]Annex-12'!G72&amp;".00  ",IF(INT('[3]Annex-12'!G72*10)='[3]Annex-12'!G72*10,'[3]Annex-12'!G72&amp;"0  ",ROUND('[3]Annex-12'!G72,2)&amp;"  "))</f>
        <v>#VALUE!</v>
      </c>
      <c r="H79" s="220" t="e">
        <f>ROUND('[3]Annex-12'!H72,2)&amp;"  "</f>
        <v>#VALUE!</v>
      </c>
      <c r="I79" s="220" t="e">
        <f>IF(INT('[3]Annex-12'!I72)='[3]Annex-12'!I72,'[3]Annex-12'!I72&amp;".00  ",IF(INT('[3]Annex-12'!I72*10)='[3]Annex-12'!I72*10,'[3]Annex-12'!I72&amp;"0  ",ROUND('[3]Annex-12'!I72,2)&amp;"  "))</f>
        <v>#VALUE!</v>
      </c>
      <c r="J79" s="220" t="e">
        <f>IF(INT('[3]Annex-12'!J72)='[3]Annex-12'!J72,'[3]Annex-12'!J72&amp;".00  ",IF(INT('[3]Annex-12'!J72*10)='[3]Annex-12'!J72*10,'[3]Annex-12'!J72&amp;"0  ",ROUND('[3]Annex-12'!J72,2)&amp;"  "))</f>
        <v>#VALUE!</v>
      </c>
      <c r="K79" s="220" t="e">
        <f>IF('[3]Annex-12'!K72&lt;0,"(-)"&amp;FIXED(ABS('[3]Annex-12'!K72),2)&amp;"    ",FIXED('[3]Annex-12'!K72,2)&amp;"    ")</f>
        <v>#VALUE!</v>
      </c>
    </row>
    <row r="80" spans="1:11" ht="15" thickTop="1" x14ac:dyDescent="0.3">
      <c r="A80" s="306"/>
      <c r="B80" s="306"/>
      <c r="C80" s="306"/>
      <c r="D80" s="306"/>
      <c r="E80" s="306"/>
      <c r="F80" s="306"/>
      <c r="G80" s="306"/>
      <c r="H80" s="306"/>
      <c r="I80" s="306"/>
      <c r="J80" s="306"/>
      <c r="K80" s="306"/>
    </row>
    <row r="81" spans="1:11" x14ac:dyDescent="0.3">
      <c r="A81" s="306"/>
      <c r="B81" s="306"/>
      <c r="C81" s="306"/>
      <c r="D81" s="306"/>
      <c r="E81" s="306"/>
      <c r="F81" s="306"/>
      <c r="G81" s="306"/>
      <c r="H81" s="306"/>
      <c r="I81" s="306"/>
      <c r="J81" s="306"/>
      <c r="K81" s="306"/>
    </row>
  </sheetData>
  <mergeCells count="23"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I15"/>
  <sheetViews>
    <sheetView view="pageBreakPreview" zoomScale="55" zoomScaleNormal="100" zoomScaleSheetLayoutView="55" workbookViewId="0">
      <selection activeCell="A3" sqref="A3:H3"/>
    </sheetView>
  </sheetViews>
  <sheetFormatPr defaultRowHeight="14.4" x14ac:dyDescent="0.3"/>
  <cols>
    <col min="1" max="1" width="19.77734375" customWidth="1"/>
    <col min="2" max="2" width="24.44140625" customWidth="1"/>
    <col min="3" max="8" width="18.33203125" customWidth="1"/>
    <col min="9" max="255" width="9.109375"/>
    <col min="256" max="264" width="15.6640625" customWidth="1"/>
    <col min="265" max="511" width="9.109375"/>
    <col min="512" max="520" width="15.6640625" customWidth="1"/>
    <col min="521" max="767" width="9.109375"/>
    <col min="768" max="776" width="15.6640625" customWidth="1"/>
    <col min="777" max="1023" width="9.109375"/>
    <col min="1024" max="1032" width="15.6640625" customWidth="1"/>
    <col min="1033" max="1279" width="9.109375"/>
    <col min="1280" max="1288" width="15.6640625" customWidth="1"/>
    <col min="1289" max="1535" width="9.109375"/>
    <col min="1536" max="1544" width="15.6640625" customWidth="1"/>
    <col min="1545" max="1791" width="9.109375"/>
    <col min="1792" max="1800" width="15.6640625" customWidth="1"/>
    <col min="1801" max="2047" width="9.109375"/>
    <col min="2048" max="2056" width="15.6640625" customWidth="1"/>
    <col min="2057" max="2303" width="9.109375"/>
    <col min="2304" max="2312" width="15.6640625" customWidth="1"/>
    <col min="2313" max="2559" width="9.109375"/>
    <col min="2560" max="2568" width="15.6640625" customWidth="1"/>
    <col min="2569" max="2815" width="9.109375"/>
    <col min="2816" max="2824" width="15.6640625" customWidth="1"/>
    <col min="2825" max="3071" width="9.109375"/>
    <col min="3072" max="3080" width="15.6640625" customWidth="1"/>
    <col min="3081" max="3327" width="9.109375"/>
    <col min="3328" max="3336" width="15.6640625" customWidth="1"/>
    <col min="3337" max="3583" width="9.109375"/>
    <col min="3584" max="3592" width="15.6640625" customWidth="1"/>
    <col min="3593" max="3839" width="9.109375"/>
    <col min="3840" max="3848" width="15.6640625" customWidth="1"/>
    <col min="3849" max="4095" width="9.109375"/>
    <col min="4096" max="4104" width="15.6640625" customWidth="1"/>
    <col min="4105" max="4351" width="9.109375"/>
    <col min="4352" max="4360" width="15.6640625" customWidth="1"/>
    <col min="4361" max="4607" width="9.109375"/>
    <col min="4608" max="4616" width="15.6640625" customWidth="1"/>
    <col min="4617" max="4863" width="9.109375"/>
    <col min="4864" max="4872" width="15.6640625" customWidth="1"/>
    <col min="4873" max="5119" width="9.109375"/>
    <col min="5120" max="5128" width="15.6640625" customWidth="1"/>
    <col min="5129" max="5375" width="9.109375"/>
    <col min="5376" max="5384" width="15.6640625" customWidth="1"/>
    <col min="5385" max="5631" width="9.109375"/>
    <col min="5632" max="5640" width="15.6640625" customWidth="1"/>
    <col min="5641" max="5887" width="9.109375"/>
    <col min="5888" max="5896" width="15.6640625" customWidth="1"/>
    <col min="5897" max="6143" width="9.109375"/>
    <col min="6144" max="6152" width="15.6640625" customWidth="1"/>
    <col min="6153" max="6399" width="9.109375"/>
    <col min="6400" max="6408" width="15.6640625" customWidth="1"/>
    <col min="6409" max="6655" width="9.109375"/>
    <col min="6656" max="6664" width="15.6640625" customWidth="1"/>
    <col min="6665" max="6911" width="9.109375"/>
    <col min="6912" max="6920" width="15.6640625" customWidth="1"/>
    <col min="6921" max="7167" width="9.109375"/>
    <col min="7168" max="7176" width="15.6640625" customWidth="1"/>
    <col min="7177" max="7423" width="9.109375"/>
    <col min="7424" max="7432" width="15.6640625" customWidth="1"/>
    <col min="7433" max="7679" width="9.109375"/>
    <col min="7680" max="7688" width="15.6640625" customWidth="1"/>
    <col min="7689" max="7935" width="9.109375"/>
    <col min="7936" max="7944" width="15.6640625" customWidth="1"/>
    <col min="7945" max="8191" width="9.109375"/>
    <col min="8192" max="8200" width="15.6640625" customWidth="1"/>
    <col min="8201" max="8447" width="9.109375"/>
    <col min="8448" max="8456" width="15.6640625" customWidth="1"/>
    <col min="8457" max="8703" width="9.109375"/>
    <col min="8704" max="8712" width="15.6640625" customWidth="1"/>
    <col min="8713" max="8959" width="9.109375"/>
    <col min="8960" max="8968" width="15.6640625" customWidth="1"/>
    <col min="8969" max="9215" width="9.109375"/>
    <col min="9216" max="9224" width="15.6640625" customWidth="1"/>
    <col min="9225" max="9471" width="9.109375"/>
    <col min="9472" max="9480" width="15.6640625" customWidth="1"/>
    <col min="9481" max="9727" width="9.109375"/>
    <col min="9728" max="9736" width="15.6640625" customWidth="1"/>
    <col min="9737" max="9983" width="9.109375"/>
    <col min="9984" max="9992" width="15.6640625" customWidth="1"/>
    <col min="9993" max="10239" width="9.109375"/>
    <col min="10240" max="10248" width="15.6640625" customWidth="1"/>
    <col min="10249" max="10495" width="9.109375"/>
    <col min="10496" max="10504" width="15.6640625" customWidth="1"/>
    <col min="10505" max="10751" width="9.109375"/>
    <col min="10752" max="10760" width="15.6640625" customWidth="1"/>
    <col min="10761" max="11007" width="9.109375"/>
    <col min="11008" max="11016" width="15.6640625" customWidth="1"/>
    <col min="11017" max="11263" width="9.109375"/>
    <col min="11264" max="11272" width="15.6640625" customWidth="1"/>
    <col min="11273" max="11519" width="9.109375"/>
    <col min="11520" max="11528" width="15.6640625" customWidth="1"/>
    <col min="11529" max="11775" width="9.109375"/>
    <col min="11776" max="11784" width="15.6640625" customWidth="1"/>
    <col min="11785" max="12031" width="9.109375"/>
    <col min="12032" max="12040" width="15.6640625" customWidth="1"/>
    <col min="12041" max="12287" width="9.109375"/>
    <col min="12288" max="12296" width="15.6640625" customWidth="1"/>
    <col min="12297" max="12543" width="9.109375"/>
    <col min="12544" max="12552" width="15.6640625" customWidth="1"/>
    <col min="12553" max="12799" width="9.109375"/>
    <col min="12800" max="12808" width="15.6640625" customWidth="1"/>
    <col min="12809" max="13055" width="9.109375"/>
    <col min="13056" max="13064" width="15.6640625" customWidth="1"/>
    <col min="13065" max="13311" width="9.109375"/>
    <col min="13312" max="13320" width="15.6640625" customWidth="1"/>
    <col min="13321" max="13567" width="9.109375"/>
    <col min="13568" max="13576" width="15.6640625" customWidth="1"/>
    <col min="13577" max="13823" width="9.109375"/>
    <col min="13824" max="13832" width="15.6640625" customWidth="1"/>
    <col min="13833" max="14079" width="9.109375"/>
    <col min="14080" max="14088" width="15.6640625" customWidth="1"/>
    <col min="14089" max="14335" width="9.109375"/>
    <col min="14336" max="14344" width="15.6640625" customWidth="1"/>
    <col min="14345" max="14591" width="9.109375"/>
    <col min="14592" max="14600" width="15.6640625" customWidth="1"/>
    <col min="14601" max="14847" width="9.109375"/>
    <col min="14848" max="14856" width="15.6640625" customWidth="1"/>
    <col min="14857" max="15103" width="9.109375"/>
    <col min="15104" max="15112" width="15.6640625" customWidth="1"/>
    <col min="15113" max="15359" width="9.109375"/>
    <col min="15360" max="15368" width="15.6640625" customWidth="1"/>
    <col min="15369" max="15615" width="9.109375"/>
    <col min="15616" max="15624" width="15.6640625" customWidth="1"/>
    <col min="15625" max="15871" width="9.109375"/>
    <col min="15872" max="15880" width="15.6640625" customWidth="1"/>
    <col min="15881" max="16127" width="9.109375"/>
    <col min="16128" max="16136" width="15.6640625" customWidth="1"/>
    <col min="16137" max="16383" width="9.109375"/>
    <col min="16384" max="16384" width="9.109375" customWidth="1"/>
  </cols>
  <sheetData>
    <row r="1" spans="1:9" x14ac:dyDescent="0.3">
      <c r="A1" s="235" t="s">
        <v>252</v>
      </c>
      <c r="B1" s="235"/>
      <c r="C1" s="235"/>
      <c r="D1" s="235"/>
      <c r="E1" s="235"/>
      <c r="F1" s="235"/>
      <c r="G1" s="235"/>
      <c r="H1" s="235"/>
    </row>
    <row r="2" spans="1:9" x14ac:dyDescent="0.3">
      <c r="A2" s="62" t="str">
        <f>common!$H$2</f>
        <v>UT : PUDUCHERRY</v>
      </c>
      <c r="B2" s="62"/>
      <c r="C2" s="62"/>
      <c r="D2" s="62"/>
      <c r="E2" s="62"/>
      <c r="F2" s="62"/>
      <c r="G2" s="236" t="s">
        <v>244</v>
      </c>
      <c r="H2" s="236"/>
      <c r="I2" s="62"/>
    </row>
    <row r="3" spans="1:9" ht="33" customHeight="1" x14ac:dyDescent="0.3">
      <c r="A3" s="237" t="str">
        <f>"TRAINING OF  PRIMARY WORKERS UNDER CES DURING THE YEAR  "&amp; A12 &amp;" AND "&amp; A13&amp;"."</f>
        <v>TRAINING OF  PRIMARY WORKERS UNDER CES DURING THE YEAR  2024-25 AND 2023-24.</v>
      </c>
      <c r="B3" s="237"/>
      <c r="C3" s="237"/>
      <c r="D3" s="237"/>
      <c r="E3" s="237"/>
      <c r="F3" s="237"/>
      <c r="G3" s="237"/>
      <c r="H3" s="237"/>
    </row>
    <row r="4" spans="1:9" ht="33" customHeight="1" x14ac:dyDescent="0.3">
      <c r="A4" s="246" t="s">
        <v>35</v>
      </c>
      <c r="B4" s="246" t="s">
        <v>245</v>
      </c>
      <c r="C4" s="240" t="s">
        <v>246</v>
      </c>
      <c r="D4" s="240"/>
      <c r="E4" s="240"/>
      <c r="F4" s="240" t="s">
        <v>299</v>
      </c>
      <c r="G4" s="240"/>
      <c r="H4" s="240"/>
    </row>
    <row r="5" spans="1:9" ht="33" customHeight="1" x14ac:dyDescent="0.3">
      <c r="A5" s="246"/>
      <c r="B5" s="246"/>
      <c r="C5" s="243" t="s">
        <v>247</v>
      </c>
      <c r="D5" s="240" t="s">
        <v>300</v>
      </c>
      <c r="E5" s="240"/>
      <c r="F5" s="243" t="s">
        <v>248</v>
      </c>
      <c r="G5" s="243" t="s">
        <v>249</v>
      </c>
      <c r="H5" s="243" t="s">
        <v>301</v>
      </c>
    </row>
    <row r="6" spans="1:9" ht="45" customHeight="1" x14ac:dyDescent="0.3">
      <c r="A6" s="246"/>
      <c r="B6" s="246"/>
      <c r="C6" s="243"/>
      <c r="D6" s="126" t="s">
        <v>250</v>
      </c>
      <c r="E6" s="126" t="s">
        <v>251</v>
      </c>
      <c r="F6" s="243"/>
      <c r="G6" s="243"/>
      <c r="H6" s="243"/>
    </row>
    <row r="7" spans="1:9" ht="31.8" customHeight="1" x14ac:dyDescent="0.3">
      <c r="A7" s="65">
        <f>-(1)</f>
        <v>-1</v>
      </c>
      <c r="B7" s="65">
        <v>-2</v>
      </c>
      <c r="C7" s="65">
        <v>-3</v>
      </c>
      <c r="D7" s="65">
        <v>-4</v>
      </c>
      <c r="E7" s="65">
        <v>-6</v>
      </c>
      <c r="F7" s="65">
        <v>-7</v>
      </c>
      <c r="G7" s="65">
        <v>-8</v>
      </c>
      <c r="H7" s="65">
        <v>-9</v>
      </c>
    </row>
    <row r="8" spans="1:9" ht="55.8" customHeight="1" x14ac:dyDescent="0.3">
      <c r="A8" s="127" t="str">
        <f>common!$H$3</f>
        <v>SEASON : RABI I</v>
      </c>
      <c r="B8" s="69"/>
      <c r="C8" s="69"/>
      <c r="D8" s="69"/>
      <c r="E8" s="69"/>
      <c r="F8" s="69"/>
      <c r="G8" s="69"/>
      <c r="H8" s="69"/>
    </row>
    <row r="9" spans="1:9" ht="55.8" customHeight="1" x14ac:dyDescent="0.3">
      <c r="A9" s="128" t="s">
        <v>290</v>
      </c>
      <c r="B9" s="232" t="s">
        <v>279</v>
      </c>
      <c r="C9" s="69"/>
      <c r="D9" s="69"/>
      <c r="E9" s="69"/>
      <c r="F9" s="69"/>
      <c r="G9" s="69"/>
      <c r="H9" s="69"/>
    </row>
    <row r="10" spans="1:9" ht="55.8" customHeight="1" x14ac:dyDescent="0.3">
      <c r="A10" s="129" t="s">
        <v>291</v>
      </c>
      <c r="B10" s="233" t="s">
        <v>279</v>
      </c>
      <c r="C10" s="65"/>
      <c r="D10" s="65"/>
      <c r="E10" s="65"/>
      <c r="F10" s="65"/>
      <c r="G10" s="65"/>
      <c r="H10" s="65"/>
    </row>
    <row r="11" spans="1:9" ht="55.8" customHeight="1" x14ac:dyDescent="0.3">
      <c r="A11" s="129" t="str">
        <f>common!$I$3</f>
        <v>SEASON : RABI II</v>
      </c>
      <c r="B11" s="128"/>
      <c r="C11" s="69"/>
      <c r="D11" s="69"/>
      <c r="E11" s="69"/>
      <c r="F11" s="69"/>
      <c r="G11" s="69"/>
      <c r="H11" s="69"/>
    </row>
    <row r="12" spans="1:9" ht="55.8" customHeight="1" x14ac:dyDescent="0.3">
      <c r="A12" s="68" t="str">
        <f>common!$C$4</f>
        <v>2024-25</v>
      </c>
      <c r="B12" s="231" t="s">
        <v>279</v>
      </c>
      <c r="C12" s="69"/>
      <c r="D12" s="69"/>
      <c r="E12" s="69"/>
      <c r="F12" s="69"/>
      <c r="G12" s="71"/>
      <c r="H12" s="71"/>
    </row>
    <row r="13" spans="1:9" ht="55.8" customHeight="1" thickBot="1" x14ac:dyDescent="0.35">
      <c r="A13" s="84" t="str">
        <f>common!$C$5</f>
        <v>2023-24</v>
      </c>
      <c r="B13" s="234" t="s">
        <v>279</v>
      </c>
      <c r="C13" s="130"/>
      <c r="D13" s="130"/>
      <c r="E13" s="130"/>
      <c r="F13" s="130"/>
      <c r="G13" s="130"/>
      <c r="H13" s="130"/>
    </row>
    <row r="14" spans="1:9" ht="15" thickTop="1" x14ac:dyDescent="0.3">
      <c r="A14" s="307"/>
      <c r="B14" s="307"/>
      <c r="C14" s="307"/>
      <c r="D14" s="126"/>
      <c r="E14" s="131"/>
      <c r="F14" s="131"/>
      <c r="G14" s="91"/>
      <c r="H14" s="91"/>
    </row>
    <row r="15" spans="1:9" x14ac:dyDescent="0.3">
      <c r="A15" s="90"/>
      <c r="B15" s="90"/>
      <c r="C15" s="90"/>
      <c r="D15" s="90"/>
      <c r="E15" s="90"/>
      <c r="F15" s="90"/>
      <c r="G15" s="91"/>
      <c r="H15" s="91"/>
    </row>
  </sheetData>
  <mergeCells count="13">
    <mergeCell ref="A14:C14"/>
    <mergeCell ref="A1:H1"/>
    <mergeCell ref="G2:H2"/>
    <mergeCell ref="A3:H3"/>
    <mergeCell ref="A4:A6"/>
    <mergeCell ref="B4:B6"/>
    <mergeCell ref="C4:E4"/>
    <mergeCell ref="F4:H4"/>
    <mergeCell ref="C5:C6"/>
    <mergeCell ref="D5:E5"/>
    <mergeCell ref="F5:F6"/>
    <mergeCell ref="G5:G6"/>
    <mergeCell ref="H5:H6"/>
  </mergeCells>
  <printOptions horizontalCentered="1"/>
  <pageMargins left="0.7" right="0.7" top="0.75" bottom="0.75" header="0.3" footer="0.3"/>
  <pageSetup paperSize="9" scale="8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pageSetUpPr fitToPage="1"/>
  </sheetPr>
  <dimension ref="A1:J42"/>
  <sheetViews>
    <sheetView view="pageBreakPreview" zoomScale="70" zoomScaleNormal="85" zoomScaleSheetLayoutView="70" workbookViewId="0">
      <selection activeCell="N25" sqref="N25"/>
    </sheetView>
  </sheetViews>
  <sheetFormatPr defaultRowHeight="14.4" x14ac:dyDescent="0.3"/>
  <cols>
    <col min="1" max="1" width="24.33203125" customWidth="1"/>
    <col min="2" max="9" width="20.88671875" customWidth="1"/>
    <col min="10" max="256" width="9.109375"/>
    <col min="257" max="260" width="11.6640625" customWidth="1"/>
    <col min="261" max="261" width="18.33203125" bestFit="1" customWidth="1"/>
    <col min="262" max="264" width="11.6640625" customWidth="1"/>
    <col min="265" max="265" width="18.33203125" bestFit="1" customWidth="1"/>
    <col min="266" max="512" width="9.109375"/>
    <col min="513" max="516" width="11.6640625" customWidth="1"/>
    <col min="517" max="517" width="18.33203125" bestFit="1" customWidth="1"/>
    <col min="518" max="520" width="11.6640625" customWidth="1"/>
    <col min="521" max="521" width="18.33203125" bestFit="1" customWidth="1"/>
    <col min="522" max="768" width="9.109375"/>
    <col min="769" max="772" width="11.6640625" customWidth="1"/>
    <col min="773" max="773" width="18.33203125" bestFit="1" customWidth="1"/>
    <col min="774" max="776" width="11.6640625" customWidth="1"/>
    <col min="777" max="777" width="18.33203125" bestFit="1" customWidth="1"/>
    <col min="778" max="1024" width="9.109375"/>
    <col min="1025" max="1028" width="11.6640625" customWidth="1"/>
    <col min="1029" max="1029" width="18.33203125" bestFit="1" customWidth="1"/>
    <col min="1030" max="1032" width="11.6640625" customWidth="1"/>
    <col min="1033" max="1033" width="18.33203125" bestFit="1" customWidth="1"/>
    <col min="1034" max="1280" width="9.109375"/>
    <col min="1281" max="1284" width="11.6640625" customWidth="1"/>
    <col min="1285" max="1285" width="18.33203125" bestFit="1" customWidth="1"/>
    <col min="1286" max="1288" width="11.6640625" customWidth="1"/>
    <col min="1289" max="1289" width="18.33203125" bestFit="1" customWidth="1"/>
    <col min="1290" max="1536" width="9.109375"/>
    <col min="1537" max="1540" width="11.6640625" customWidth="1"/>
    <col min="1541" max="1541" width="18.33203125" bestFit="1" customWidth="1"/>
    <col min="1542" max="1544" width="11.6640625" customWidth="1"/>
    <col min="1545" max="1545" width="18.33203125" bestFit="1" customWidth="1"/>
    <col min="1546" max="1792" width="9.109375"/>
    <col min="1793" max="1796" width="11.6640625" customWidth="1"/>
    <col min="1797" max="1797" width="18.33203125" bestFit="1" customWidth="1"/>
    <col min="1798" max="1800" width="11.6640625" customWidth="1"/>
    <col min="1801" max="1801" width="18.33203125" bestFit="1" customWidth="1"/>
    <col min="1802" max="2048" width="9.109375"/>
    <col min="2049" max="2052" width="11.6640625" customWidth="1"/>
    <col min="2053" max="2053" width="18.33203125" bestFit="1" customWidth="1"/>
    <col min="2054" max="2056" width="11.6640625" customWidth="1"/>
    <col min="2057" max="2057" width="18.33203125" bestFit="1" customWidth="1"/>
    <col min="2058" max="2304" width="9.109375"/>
    <col min="2305" max="2308" width="11.6640625" customWidth="1"/>
    <col min="2309" max="2309" width="18.33203125" bestFit="1" customWidth="1"/>
    <col min="2310" max="2312" width="11.6640625" customWidth="1"/>
    <col min="2313" max="2313" width="18.33203125" bestFit="1" customWidth="1"/>
    <col min="2314" max="2560" width="9.109375"/>
    <col min="2561" max="2564" width="11.6640625" customWidth="1"/>
    <col min="2565" max="2565" width="18.33203125" bestFit="1" customWidth="1"/>
    <col min="2566" max="2568" width="11.6640625" customWidth="1"/>
    <col min="2569" max="2569" width="18.33203125" bestFit="1" customWidth="1"/>
    <col min="2570" max="2816" width="9.109375"/>
    <col min="2817" max="2820" width="11.6640625" customWidth="1"/>
    <col min="2821" max="2821" width="18.33203125" bestFit="1" customWidth="1"/>
    <col min="2822" max="2824" width="11.6640625" customWidth="1"/>
    <col min="2825" max="2825" width="18.33203125" bestFit="1" customWidth="1"/>
    <col min="2826" max="3072" width="9.109375"/>
    <col min="3073" max="3076" width="11.6640625" customWidth="1"/>
    <col min="3077" max="3077" width="18.33203125" bestFit="1" customWidth="1"/>
    <col min="3078" max="3080" width="11.6640625" customWidth="1"/>
    <col min="3081" max="3081" width="18.33203125" bestFit="1" customWidth="1"/>
    <col min="3082" max="3328" width="9.109375"/>
    <col min="3329" max="3332" width="11.6640625" customWidth="1"/>
    <col min="3333" max="3333" width="18.33203125" bestFit="1" customWidth="1"/>
    <col min="3334" max="3336" width="11.6640625" customWidth="1"/>
    <col min="3337" max="3337" width="18.33203125" bestFit="1" customWidth="1"/>
    <col min="3338" max="3584" width="9.109375"/>
    <col min="3585" max="3588" width="11.6640625" customWidth="1"/>
    <col min="3589" max="3589" width="18.33203125" bestFit="1" customWidth="1"/>
    <col min="3590" max="3592" width="11.6640625" customWidth="1"/>
    <col min="3593" max="3593" width="18.33203125" bestFit="1" customWidth="1"/>
    <col min="3594" max="3840" width="9.109375"/>
    <col min="3841" max="3844" width="11.6640625" customWidth="1"/>
    <col min="3845" max="3845" width="18.33203125" bestFit="1" customWidth="1"/>
    <col min="3846" max="3848" width="11.6640625" customWidth="1"/>
    <col min="3849" max="3849" width="18.33203125" bestFit="1" customWidth="1"/>
    <col min="3850" max="4096" width="9.109375"/>
    <col min="4097" max="4100" width="11.6640625" customWidth="1"/>
    <col min="4101" max="4101" width="18.33203125" bestFit="1" customWidth="1"/>
    <col min="4102" max="4104" width="11.6640625" customWidth="1"/>
    <col min="4105" max="4105" width="18.33203125" bestFit="1" customWidth="1"/>
    <col min="4106" max="4352" width="9.109375"/>
    <col min="4353" max="4356" width="11.6640625" customWidth="1"/>
    <col min="4357" max="4357" width="18.33203125" bestFit="1" customWidth="1"/>
    <col min="4358" max="4360" width="11.6640625" customWidth="1"/>
    <col min="4361" max="4361" width="18.33203125" bestFit="1" customWidth="1"/>
    <col min="4362" max="4608" width="9.109375"/>
    <col min="4609" max="4612" width="11.6640625" customWidth="1"/>
    <col min="4613" max="4613" width="18.33203125" bestFit="1" customWidth="1"/>
    <col min="4614" max="4616" width="11.6640625" customWidth="1"/>
    <col min="4617" max="4617" width="18.33203125" bestFit="1" customWidth="1"/>
    <col min="4618" max="4864" width="9.109375"/>
    <col min="4865" max="4868" width="11.6640625" customWidth="1"/>
    <col min="4869" max="4869" width="18.33203125" bestFit="1" customWidth="1"/>
    <col min="4870" max="4872" width="11.6640625" customWidth="1"/>
    <col min="4873" max="4873" width="18.33203125" bestFit="1" customWidth="1"/>
    <col min="4874" max="5120" width="9.109375"/>
    <col min="5121" max="5124" width="11.6640625" customWidth="1"/>
    <col min="5125" max="5125" width="18.33203125" bestFit="1" customWidth="1"/>
    <col min="5126" max="5128" width="11.6640625" customWidth="1"/>
    <col min="5129" max="5129" width="18.33203125" bestFit="1" customWidth="1"/>
    <col min="5130" max="5376" width="9.109375"/>
    <col min="5377" max="5380" width="11.6640625" customWidth="1"/>
    <col min="5381" max="5381" width="18.33203125" bestFit="1" customWidth="1"/>
    <col min="5382" max="5384" width="11.6640625" customWidth="1"/>
    <col min="5385" max="5385" width="18.33203125" bestFit="1" customWidth="1"/>
    <col min="5386" max="5632" width="9.109375"/>
    <col min="5633" max="5636" width="11.6640625" customWidth="1"/>
    <col min="5637" max="5637" width="18.33203125" bestFit="1" customWidth="1"/>
    <col min="5638" max="5640" width="11.6640625" customWidth="1"/>
    <col min="5641" max="5641" width="18.33203125" bestFit="1" customWidth="1"/>
    <col min="5642" max="5888" width="9.109375"/>
    <col min="5889" max="5892" width="11.6640625" customWidth="1"/>
    <col min="5893" max="5893" width="18.33203125" bestFit="1" customWidth="1"/>
    <col min="5894" max="5896" width="11.6640625" customWidth="1"/>
    <col min="5897" max="5897" width="18.33203125" bestFit="1" customWidth="1"/>
    <col min="5898" max="6144" width="9.109375"/>
    <col min="6145" max="6148" width="11.6640625" customWidth="1"/>
    <col min="6149" max="6149" width="18.33203125" bestFit="1" customWidth="1"/>
    <col min="6150" max="6152" width="11.6640625" customWidth="1"/>
    <col min="6153" max="6153" width="18.33203125" bestFit="1" customWidth="1"/>
    <col min="6154" max="6400" width="9.109375"/>
    <col min="6401" max="6404" width="11.6640625" customWidth="1"/>
    <col min="6405" max="6405" width="18.33203125" bestFit="1" customWidth="1"/>
    <col min="6406" max="6408" width="11.6640625" customWidth="1"/>
    <col min="6409" max="6409" width="18.33203125" bestFit="1" customWidth="1"/>
    <col min="6410" max="6656" width="9.109375"/>
    <col min="6657" max="6660" width="11.6640625" customWidth="1"/>
    <col min="6661" max="6661" width="18.33203125" bestFit="1" customWidth="1"/>
    <col min="6662" max="6664" width="11.6640625" customWidth="1"/>
    <col min="6665" max="6665" width="18.33203125" bestFit="1" customWidth="1"/>
    <col min="6666" max="6912" width="9.109375"/>
    <col min="6913" max="6916" width="11.6640625" customWidth="1"/>
    <col min="6917" max="6917" width="18.33203125" bestFit="1" customWidth="1"/>
    <col min="6918" max="6920" width="11.6640625" customWidth="1"/>
    <col min="6921" max="6921" width="18.33203125" bestFit="1" customWidth="1"/>
    <col min="6922" max="7168" width="9.109375"/>
    <col min="7169" max="7172" width="11.6640625" customWidth="1"/>
    <col min="7173" max="7173" width="18.33203125" bestFit="1" customWidth="1"/>
    <col min="7174" max="7176" width="11.6640625" customWidth="1"/>
    <col min="7177" max="7177" width="18.33203125" bestFit="1" customWidth="1"/>
    <col min="7178" max="7424" width="9.109375"/>
    <col min="7425" max="7428" width="11.6640625" customWidth="1"/>
    <col min="7429" max="7429" width="18.33203125" bestFit="1" customWidth="1"/>
    <col min="7430" max="7432" width="11.6640625" customWidth="1"/>
    <col min="7433" max="7433" width="18.33203125" bestFit="1" customWidth="1"/>
    <col min="7434" max="7680" width="9.109375"/>
    <col min="7681" max="7684" width="11.6640625" customWidth="1"/>
    <col min="7685" max="7685" width="18.33203125" bestFit="1" customWidth="1"/>
    <col min="7686" max="7688" width="11.6640625" customWidth="1"/>
    <col min="7689" max="7689" width="18.33203125" bestFit="1" customWidth="1"/>
    <col min="7690" max="7936" width="9.109375"/>
    <col min="7937" max="7940" width="11.6640625" customWidth="1"/>
    <col min="7941" max="7941" width="18.33203125" bestFit="1" customWidth="1"/>
    <col min="7942" max="7944" width="11.6640625" customWidth="1"/>
    <col min="7945" max="7945" width="18.33203125" bestFit="1" customWidth="1"/>
    <col min="7946" max="8192" width="9.109375"/>
    <col min="8193" max="8196" width="11.6640625" customWidth="1"/>
    <col min="8197" max="8197" width="18.33203125" bestFit="1" customWidth="1"/>
    <col min="8198" max="8200" width="11.6640625" customWidth="1"/>
    <col min="8201" max="8201" width="18.33203125" bestFit="1" customWidth="1"/>
    <col min="8202" max="8448" width="9.109375"/>
    <col min="8449" max="8452" width="11.6640625" customWidth="1"/>
    <col min="8453" max="8453" width="18.33203125" bestFit="1" customWidth="1"/>
    <col min="8454" max="8456" width="11.6640625" customWidth="1"/>
    <col min="8457" max="8457" width="18.33203125" bestFit="1" customWidth="1"/>
    <col min="8458" max="8704" width="9.109375"/>
    <col min="8705" max="8708" width="11.6640625" customWidth="1"/>
    <col min="8709" max="8709" width="18.33203125" bestFit="1" customWidth="1"/>
    <col min="8710" max="8712" width="11.6640625" customWidth="1"/>
    <col min="8713" max="8713" width="18.33203125" bestFit="1" customWidth="1"/>
    <col min="8714" max="8960" width="9.109375"/>
    <col min="8961" max="8964" width="11.6640625" customWidth="1"/>
    <col min="8965" max="8965" width="18.33203125" bestFit="1" customWidth="1"/>
    <col min="8966" max="8968" width="11.6640625" customWidth="1"/>
    <col min="8969" max="8969" width="18.33203125" bestFit="1" customWidth="1"/>
    <col min="8970" max="9216" width="9.109375"/>
    <col min="9217" max="9220" width="11.6640625" customWidth="1"/>
    <col min="9221" max="9221" width="18.33203125" bestFit="1" customWidth="1"/>
    <col min="9222" max="9224" width="11.6640625" customWidth="1"/>
    <col min="9225" max="9225" width="18.33203125" bestFit="1" customWidth="1"/>
    <col min="9226" max="9472" width="9.109375"/>
    <col min="9473" max="9476" width="11.6640625" customWidth="1"/>
    <col min="9477" max="9477" width="18.33203125" bestFit="1" customWidth="1"/>
    <col min="9478" max="9480" width="11.6640625" customWidth="1"/>
    <col min="9481" max="9481" width="18.33203125" bestFit="1" customWidth="1"/>
    <col min="9482" max="9728" width="9.109375"/>
    <col min="9729" max="9732" width="11.6640625" customWidth="1"/>
    <col min="9733" max="9733" width="18.33203125" bestFit="1" customWidth="1"/>
    <col min="9734" max="9736" width="11.6640625" customWidth="1"/>
    <col min="9737" max="9737" width="18.33203125" bestFit="1" customWidth="1"/>
    <col min="9738" max="9984" width="9.109375"/>
    <col min="9985" max="9988" width="11.6640625" customWidth="1"/>
    <col min="9989" max="9989" width="18.33203125" bestFit="1" customWidth="1"/>
    <col min="9990" max="9992" width="11.6640625" customWidth="1"/>
    <col min="9993" max="9993" width="18.33203125" bestFit="1" customWidth="1"/>
    <col min="9994" max="10240" width="9.109375"/>
    <col min="10241" max="10244" width="11.6640625" customWidth="1"/>
    <col min="10245" max="10245" width="18.33203125" bestFit="1" customWidth="1"/>
    <col min="10246" max="10248" width="11.6640625" customWidth="1"/>
    <col min="10249" max="10249" width="18.33203125" bestFit="1" customWidth="1"/>
    <col min="10250" max="10496" width="9.109375"/>
    <col min="10497" max="10500" width="11.6640625" customWidth="1"/>
    <col min="10501" max="10501" width="18.33203125" bestFit="1" customWidth="1"/>
    <col min="10502" max="10504" width="11.6640625" customWidth="1"/>
    <col min="10505" max="10505" width="18.33203125" bestFit="1" customWidth="1"/>
    <col min="10506" max="10752" width="9.109375"/>
    <col min="10753" max="10756" width="11.6640625" customWidth="1"/>
    <col min="10757" max="10757" width="18.33203125" bestFit="1" customWidth="1"/>
    <col min="10758" max="10760" width="11.6640625" customWidth="1"/>
    <col min="10761" max="10761" width="18.33203125" bestFit="1" customWidth="1"/>
    <col min="10762" max="11008" width="9.109375"/>
    <col min="11009" max="11012" width="11.6640625" customWidth="1"/>
    <col min="11013" max="11013" width="18.33203125" bestFit="1" customWidth="1"/>
    <col min="11014" max="11016" width="11.6640625" customWidth="1"/>
    <col min="11017" max="11017" width="18.33203125" bestFit="1" customWidth="1"/>
    <col min="11018" max="11264" width="9.109375"/>
    <col min="11265" max="11268" width="11.6640625" customWidth="1"/>
    <col min="11269" max="11269" width="18.33203125" bestFit="1" customWidth="1"/>
    <col min="11270" max="11272" width="11.6640625" customWidth="1"/>
    <col min="11273" max="11273" width="18.33203125" bestFit="1" customWidth="1"/>
    <col min="11274" max="11520" width="9.109375"/>
    <col min="11521" max="11524" width="11.6640625" customWidth="1"/>
    <col min="11525" max="11525" width="18.33203125" bestFit="1" customWidth="1"/>
    <col min="11526" max="11528" width="11.6640625" customWidth="1"/>
    <col min="11529" max="11529" width="18.33203125" bestFit="1" customWidth="1"/>
    <col min="11530" max="11776" width="9.109375"/>
    <col min="11777" max="11780" width="11.6640625" customWidth="1"/>
    <col min="11781" max="11781" width="18.33203125" bestFit="1" customWidth="1"/>
    <col min="11782" max="11784" width="11.6640625" customWidth="1"/>
    <col min="11785" max="11785" width="18.33203125" bestFit="1" customWidth="1"/>
    <col min="11786" max="12032" width="9.109375"/>
    <col min="12033" max="12036" width="11.6640625" customWidth="1"/>
    <col min="12037" max="12037" width="18.33203125" bestFit="1" customWidth="1"/>
    <col min="12038" max="12040" width="11.6640625" customWidth="1"/>
    <col min="12041" max="12041" width="18.33203125" bestFit="1" customWidth="1"/>
    <col min="12042" max="12288" width="9.109375"/>
    <col min="12289" max="12292" width="11.6640625" customWidth="1"/>
    <col min="12293" max="12293" width="18.33203125" bestFit="1" customWidth="1"/>
    <col min="12294" max="12296" width="11.6640625" customWidth="1"/>
    <col min="12297" max="12297" width="18.33203125" bestFit="1" customWidth="1"/>
    <col min="12298" max="12544" width="9.109375"/>
    <col min="12545" max="12548" width="11.6640625" customWidth="1"/>
    <col min="12549" max="12549" width="18.33203125" bestFit="1" customWidth="1"/>
    <col min="12550" max="12552" width="11.6640625" customWidth="1"/>
    <col min="12553" max="12553" width="18.33203125" bestFit="1" customWidth="1"/>
    <col min="12554" max="12800" width="9.109375"/>
    <col min="12801" max="12804" width="11.6640625" customWidth="1"/>
    <col min="12805" max="12805" width="18.33203125" bestFit="1" customWidth="1"/>
    <col min="12806" max="12808" width="11.6640625" customWidth="1"/>
    <col min="12809" max="12809" width="18.33203125" bestFit="1" customWidth="1"/>
    <col min="12810" max="13056" width="9.109375"/>
    <col min="13057" max="13060" width="11.6640625" customWidth="1"/>
    <col min="13061" max="13061" width="18.33203125" bestFit="1" customWidth="1"/>
    <col min="13062" max="13064" width="11.6640625" customWidth="1"/>
    <col min="13065" max="13065" width="18.33203125" bestFit="1" customWidth="1"/>
    <col min="13066" max="13312" width="9.109375"/>
    <col min="13313" max="13316" width="11.6640625" customWidth="1"/>
    <col min="13317" max="13317" width="18.33203125" bestFit="1" customWidth="1"/>
    <col min="13318" max="13320" width="11.6640625" customWidth="1"/>
    <col min="13321" max="13321" width="18.33203125" bestFit="1" customWidth="1"/>
    <col min="13322" max="13568" width="9.109375"/>
    <col min="13569" max="13572" width="11.6640625" customWidth="1"/>
    <col min="13573" max="13573" width="18.33203125" bestFit="1" customWidth="1"/>
    <col min="13574" max="13576" width="11.6640625" customWidth="1"/>
    <col min="13577" max="13577" width="18.33203125" bestFit="1" customWidth="1"/>
    <col min="13578" max="13824" width="9.109375"/>
    <col min="13825" max="13828" width="11.6640625" customWidth="1"/>
    <col min="13829" max="13829" width="18.33203125" bestFit="1" customWidth="1"/>
    <col min="13830" max="13832" width="11.6640625" customWidth="1"/>
    <col min="13833" max="13833" width="18.33203125" bestFit="1" customWidth="1"/>
    <col min="13834" max="14080" width="9.109375"/>
    <col min="14081" max="14084" width="11.6640625" customWidth="1"/>
    <col min="14085" max="14085" width="18.33203125" bestFit="1" customWidth="1"/>
    <col min="14086" max="14088" width="11.6640625" customWidth="1"/>
    <col min="14089" max="14089" width="18.33203125" bestFit="1" customWidth="1"/>
    <col min="14090" max="14336" width="9.109375"/>
    <col min="14337" max="14340" width="11.6640625" customWidth="1"/>
    <col min="14341" max="14341" width="18.33203125" bestFit="1" customWidth="1"/>
    <col min="14342" max="14344" width="11.6640625" customWidth="1"/>
    <col min="14345" max="14345" width="18.33203125" bestFit="1" customWidth="1"/>
    <col min="14346" max="14592" width="9.109375"/>
    <col min="14593" max="14596" width="11.6640625" customWidth="1"/>
    <col min="14597" max="14597" width="18.33203125" bestFit="1" customWidth="1"/>
    <col min="14598" max="14600" width="11.6640625" customWidth="1"/>
    <col min="14601" max="14601" width="18.33203125" bestFit="1" customWidth="1"/>
    <col min="14602" max="14848" width="9.109375"/>
    <col min="14849" max="14852" width="11.6640625" customWidth="1"/>
    <col min="14853" max="14853" width="18.33203125" bestFit="1" customWidth="1"/>
    <col min="14854" max="14856" width="11.6640625" customWidth="1"/>
    <col min="14857" max="14857" width="18.33203125" bestFit="1" customWidth="1"/>
    <col min="14858" max="15104" width="9.109375"/>
    <col min="15105" max="15108" width="11.6640625" customWidth="1"/>
    <col min="15109" max="15109" width="18.33203125" bestFit="1" customWidth="1"/>
    <col min="15110" max="15112" width="11.6640625" customWidth="1"/>
    <col min="15113" max="15113" width="18.33203125" bestFit="1" customWidth="1"/>
    <col min="15114" max="15360" width="9.109375"/>
    <col min="15361" max="15364" width="11.6640625" customWidth="1"/>
    <col min="15365" max="15365" width="18.33203125" bestFit="1" customWidth="1"/>
    <col min="15366" max="15368" width="11.6640625" customWidth="1"/>
    <col min="15369" max="15369" width="18.33203125" bestFit="1" customWidth="1"/>
    <col min="15370" max="15616" width="9.109375"/>
    <col min="15617" max="15620" width="11.6640625" customWidth="1"/>
    <col min="15621" max="15621" width="18.33203125" bestFit="1" customWidth="1"/>
    <col min="15622" max="15624" width="11.6640625" customWidth="1"/>
    <col min="15625" max="15625" width="18.33203125" bestFit="1" customWidth="1"/>
    <col min="15626" max="15872" width="9.109375"/>
    <col min="15873" max="15876" width="11.6640625" customWidth="1"/>
    <col min="15877" max="15877" width="18.33203125" bestFit="1" customWidth="1"/>
    <col min="15878" max="15880" width="11.6640625" customWidth="1"/>
    <col min="15881" max="15881" width="18.33203125" bestFit="1" customWidth="1"/>
    <col min="15882" max="16128" width="9.109375"/>
    <col min="16129" max="16132" width="11.6640625" customWidth="1"/>
    <col min="16133" max="16133" width="18.33203125" bestFit="1" customWidth="1"/>
    <col min="16134" max="16136" width="11.6640625" customWidth="1"/>
    <col min="16137" max="16137" width="18.33203125" bestFit="1" customWidth="1"/>
    <col min="16138" max="16384" width="9.109375"/>
  </cols>
  <sheetData>
    <row r="1" spans="1:10" x14ac:dyDescent="0.3">
      <c r="A1" s="235" t="s">
        <v>285</v>
      </c>
      <c r="B1" s="235"/>
      <c r="C1" s="235"/>
      <c r="D1" s="235"/>
      <c r="E1" s="235"/>
      <c r="F1" s="235"/>
      <c r="G1" s="235"/>
      <c r="H1" s="235"/>
      <c r="I1" s="235"/>
    </row>
    <row r="2" spans="1:10" x14ac:dyDescent="0.3">
      <c r="A2" s="62" t="str">
        <f>common!$H$2</f>
        <v>UT : PUDUCHERRY</v>
      </c>
      <c r="B2" s="62"/>
      <c r="C2" s="62"/>
      <c r="D2" s="62"/>
      <c r="E2" s="62"/>
      <c r="F2" s="62"/>
      <c r="G2" s="62"/>
      <c r="H2" s="236" t="s">
        <v>237</v>
      </c>
      <c r="I2" s="236"/>
      <c r="J2" s="62"/>
    </row>
    <row r="3" spans="1:10" ht="39" customHeight="1" x14ac:dyDescent="0.3">
      <c r="A3" s="237" t="str">
        <f>"CROPWISE RESPONSE AND LEVEL OF PRECISION OF ESTIMATES UNDER CES DURING  "&amp; B4 &amp;" AND "&amp; F4&amp;"."</f>
        <v>CROPWISE RESPONSE AND LEVEL OF PRECISION OF ESTIMATES UNDER CES DURING  2024-25 AND 2023-24.</v>
      </c>
      <c r="B3" s="237"/>
      <c r="C3" s="237"/>
      <c r="D3" s="237"/>
      <c r="E3" s="237"/>
      <c r="F3" s="237"/>
      <c r="G3" s="237"/>
      <c r="H3" s="237"/>
      <c r="I3" s="237"/>
    </row>
    <row r="4" spans="1:10" ht="39" customHeight="1" x14ac:dyDescent="0.3">
      <c r="A4" s="238" t="s">
        <v>226</v>
      </c>
      <c r="B4" s="240" t="str">
        <f>common!$C$4</f>
        <v>2024-25</v>
      </c>
      <c r="C4" s="240" t="str">
        <f>common!$C$4</f>
        <v>2024-25</v>
      </c>
      <c r="D4" s="240" t="str">
        <f>common!$C$4</f>
        <v>2024-25</v>
      </c>
      <c r="E4" s="240" t="str">
        <f>common!$C$4</f>
        <v>2024-25</v>
      </c>
      <c r="F4" s="241" t="str">
        <f>common!$C$5</f>
        <v>2023-24</v>
      </c>
      <c r="G4" s="242" t="str">
        <f>common!$C$5</f>
        <v>2023-24</v>
      </c>
      <c r="H4" s="242" t="str">
        <f>common!$C$5</f>
        <v>2023-24</v>
      </c>
      <c r="I4" s="242" t="str">
        <f>common!$C$5</f>
        <v>2023-24</v>
      </c>
    </row>
    <row r="5" spans="1:10" ht="39" customHeight="1" x14ac:dyDescent="0.3">
      <c r="A5" s="238"/>
      <c r="B5" s="240" t="s">
        <v>238</v>
      </c>
      <c r="C5" s="240"/>
      <c r="D5" s="240"/>
      <c r="E5" s="243" t="s">
        <v>239</v>
      </c>
      <c r="F5" s="245" t="s">
        <v>238</v>
      </c>
      <c r="G5" s="240"/>
      <c r="H5" s="240"/>
      <c r="I5" s="243" t="s">
        <v>239</v>
      </c>
    </row>
    <row r="6" spans="1:10" ht="39" customHeight="1" x14ac:dyDescent="0.3">
      <c r="A6" s="238"/>
      <c r="B6" s="240" t="s">
        <v>240</v>
      </c>
      <c r="C6" s="240"/>
      <c r="D6" s="247" t="s">
        <v>241</v>
      </c>
      <c r="E6" s="243"/>
      <c r="F6" s="245" t="s">
        <v>240</v>
      </c>
      <c r="G6" s="240"/>
      <c r="H6" s="247" t="s">
        <v>241</v>
      </c>
      <c r="I6" s="243"/>
    </row>
    <row r="7" spans="1:10" ht="39" customHeight="1" x14ac:dyDescent="0.3">
      <c r="A7" s="239"/>
      <c r="B7" s="63" t="s">
        <v>242</v>
      </c>
      <c r="C7" s="63" t="s">
        <v>243</v>
      </c>
      <c r="D7" s="248"/>
      <c r="E7" s="244"/>
      <c r="F7" s="64" t="s">
        <v>242</v>
      </c>
      <c r="G7" s="63" t="s">
        <v>243</v>
      </c>
      <c r="H7" s="248"/>
      <c r="I7" s="244"/>
    </row>
    <row r="8" spans="1:10" ht="39" customHeight="1" x14ac:dyDescent="0.3">
      <c r="A8" s="65">
        <f>-(1)</f>
        <v>-1</v>
      </c>
      <c r="B8" s="65">
        <v>-2</v>
      </c>
      <c r="C8" s="65">
        <v>-3</v>
      </c>
      <c r="D8" s="65">
        <v>-4</v>
      </c>
      <c r="E8" s="65">
        <v>-5</v>
      </c>
      <c r="F8" s="66">
        <v>-6</v>
      </c>
      <c r="G8" s="65">
        <v>-7</v>
      </c>
      <c r="H8" s="65">
        <v>-8</v>
      </c>
      <c r="I8" s="65">
        <v>-9</v>
      </c>
    </row>
    <row r="9" spans="1:10" ht="80.400000000000006" customHeight="1" x14ac:dyDescent="0.3">
      <c r="A9" s="67" t="str">
        <f>common!$H$3</f>
        <v>SEASON : RABI I</v>
      </c>
      <c r="B9" s="68"/>
      <c r="C9" s="69"/>
      <c r="D9" s="69"/>
      <c r="E9" s="69"/>
      <c r="F9" s="70"/>
      <c r="G9" s="69"/>
      <c r="H9" s="68"/>
      <c r="I9" s="68"/>
    </row>
    <row r="10" spans="1:10" ht="80.400000000000006" customHeight="1" x14ac:dyDescent="0.3">
      <c r="A10" s="68" t="str">
        <f>common!$C$9</f>
        <v>PADDY</v>
      </c>
      <c r="B10" s="71"/>
      <c r="C10" s="72"/>
      <c r="D10" s="72"/>
      <c r="E10" s="72"/>
      <c r="F10" s="73"/>
      <c r="G10" s="72"/>
      <c r="H10" s="72"/>
      <c r="I10" s="72"/>
    </row>
    <row r="11" spans="1:10" hidden="1" x14ac:dyDescent="0.3">
      <c r="A11" s="68"/>
      <c r="B11" s="72"/>
      <c r="C11" s="72"/>
      <c r="D11" s="72"/>
      <c r="E11" s="72"/>
      <c r="F11" s="73"/>
      <c r="G11" s="72"/>
      <c r="H11" s="72"/>
      <c r="I11" s="72"/>
    </row>
    <row r="12" spans="1:10" hidden="1" x14ac:dyDescent="0.3">
      <c r="A12" s="68"/>
      <c r="B12" s="71"/>
      <c r="C12" s="72"/>
      <c r="D12" s="72"/>
      <c r="E12" s="72"/>
      <c r="F12" s="73"/>
      <c r="G12" s="72"/>
      <c r="H12" s="72"/>
      <c r="I12" s="72"/>
    </row>
    <row r="13" spans="1:10" hidden="1" x14ac:dyDescent="0.3">
      <c r="A13" s="68"/>
      <c r="B13" s="71"/>
      <c r="C13" s="72"/>
      <c r="D13" s="72"/>
      <c r="E13" s="72"/>
      <c r="F13" s="73"/>
      <c r="G13" s="72"/>
      <c r="H13" s="72"/>
      <c r="I13" s="72"/>
    </row>
    <row r="14" spans="1:10" hidden="1" x14ac:dyDescent="0.3">
      <c r="A14" s="68"/>
      <c r="B14" s="71"/>
      <c r="C14" s="72"/>
      <c r="D14" s="72"/>
      <c r="E14" s="72"/>
      <c r="F14" s="73"/>
      <c r="G14" s="72"/>
      <c r="H14" s="72"/>
      <c r="I14" s="72"/>
    </row>
    <row r="15" spans="1:10" hidden="1" x14ac:dyDescent="0.3">
      <c r="A15" s="68"/>
      <c r="B15" s="72"/>
      <c r="C15" s="72"/>
      <c r="D15" s="72"/>
      <c r="E15" s="72"/>
      <c r="F15" s="73"/>
      <c r="G15" s="72"/>
      <c r="H15" s="72"/>
      <c r="I15" s="72"/>
    </row>
    <row r="16" spans="1:10" hidden="1" x14ac:dyDescent="0.3">
      <c r="A16" s="68"/>
      <c r="B16" s="71"/>
      <c r="C16" s="72"/>
      <c r="D16" s="72"/>
      <c r="E16" s="72"/>
      <c r="F16" s="73"/>
      <c r="G16" s="72"/>
      <c r="H16" s="72"/>
      <c r="I16" s="72"/>
    </row>
    <row r="17" spans="1:9" hidden="1" x14ac:dyDescent="0.3">
      <c r="A17" s="68"/>
      <c r="B17" s="71"/>
      <c r="C17" s="72"/>
      <c r="D17" s="72"/>
      <c r="E17" s="72"/>
      <c r="F17" s="73"/>
      <c r="G17" s="72"/>
      <c r="H17" s="72"/>
      <c r="I17" s="72"/>
    </row>
    <row r="18" spans="1:9" hidden="1" x14ac:dyDescent="0.3">
      <c r="A18" s="68"/>
      <c r="B18" s="71"/>
      <c r="C18" s="72"/>
      <c r="D18" s="72"/>
      <c r="E18" s="72"/>
      <c r="F18" s="73"/>
      <c r="G18" s="72"/>
      <c r="H18" s="72"/>
      <c r="I18" s="72"/>
    </row>
    <row r="19" spans="1:9" hidden="1" x14ac:dyDescent="0.3">
      <c r="A19" s="67"/>
      <c r="B19" s="74"/>
      <c r="C19" s="74"/>
      <c r="D19" s="74"/>
      <c r="E19" s="74"/>
      <c r="F19" s="75"/>
      <c r="G19" s="74"/>
      <c r="H19" s="74"/>
      <c r="I19" s="74"/>
    </row>
    <row r="20" spans="1:9" hidden="1" x14ac:dyDescent="0.3">
      <c r="A20" s="68"/>
      <c r="B20" s="68"/>
      <c r="C20" s="76"/>
      <c r="D20" s="76"/>
      <c r="E20" s="76"/>
      <c r="F20" s="77"/>
      <c r="G20" s="76"/>
      <c r="H20" s="76"/>
      <c r="I20" s="76"/>
    </row>
    <row r="21" spans="1:9" hidden="1" x14ac:dyDescent="0.3">
      <c r="A21" s="68"/>
      <c r="B21" s="68"/>
      <c r="C21" s="78"/>
      <c r="D21" s="78"/>
      <c r="E21" s="78"/>
      <c r="F21" s="79"/>
      <c r="G21" s="78"/>
      <c r="H21" s="78"/>
      <c r="I21" s="78"/>
    </row>
    <row r="22" spans="1:9" hidden="1" x14ac:dyDescent="0.3">
      <c r="A22" s="68"/>
      <c r="B22" s="68"/>
      <c r="C22" s="76"/>
      <c r="D22" s="76"/>
      <c r="E22" s="76"/>
      <c r="F22" s="77"/>
      <c r="G22" s="76"/>
      <c r="H22" s="76"/>
      <c r="I22" s="76"/>
    </row>
    <row r="23" spans="1:9" hidden="1" x14ac:dyDescent="0.3">
      <c r="A23" s="68"/>
      <c r="B23" s="78"/>
      <c r="C23" s="76"/>
      <c r="D23" s="76"/>
      <c r="E23" s="76"/>
      <c r="F23" s="77"/>
      <c r="G23" s="76"/>
      <c r="H23" s="76"/>
      <c r="I23" s="76"/>
    </row>
    <row r="24" spans="1:9" hidden="1" x14ac:dyDescent="0.3">
      <c r="A24" s="67"/>
      <c r="B24" s="67"/>
      <c r="C24" s="80"/>
      <c r="D24" s="80"/>
      <c r="E24" s="80"/>
      <c r="F24" s="81"/>
      <c r="G24" s="80"/>
      <c r="H24" s="80"/>
      <c r="I24" s="80"/>
    </row>
    <row r="25" spans="1:9" ht="80.400000000000006" customHeight="1" x14ac:dyDescent="0.3">
      <c r="A25" s="67" t="str">
        <f>common!$I$3</f>
        <v>SEASON : RABI II</v>
      </c>
      <c r="B25" s="68"/>
      <c r="C25" s="82"/>
      <c r="D25" s="82"/>
      <c r="E25" s="82"/>
      <c r="F25" s="83"/>
      <c r="G25" s="82"/>
      <c r="H25" s="82"/>
      <c r="I25" s="82"/>
    </row>
    <row r="26" spans="1:9" ht="80.400000000000006" customHeight="1" thickBot="1" x14ac:dyDescent="0.35">
      <c r="A26" s="84" t="str">
        <f>common!E9</f>
        <v>PADDY</v>
      </c>
      <c r="B26" s="85"/>
      <c r="C26" s="86"/>
      <c r="D26" s="86"/>
      <c r="E26" s="86"/>
      <c r="F26" s="87"/>
      <c r="G26" s="86"/>
      <c r="H26" s="86"/>
      <c r="I26" s="86"/>
    </row>
    <row r="27" spans="1:9" hidden="1" x14ac:dyDescent="0.3">
      <c r="A27" s="68"/>
      <c r="B27" s="72"/>
      <c r="C27" s="72"/>
      <c r="D27" s="72"/>
      <c r="E27" s="72"/>
      <c r="F27" s="73"/>
      <c r="G27" s="72"/>
      <c r="H27" s="72"/>
      <c r="I27" s="72"/>
    </row>
    <row r="28" spans="1:9" hidden="1" x14ac:dyDescent="0.3">
      <c r="A28" s="68"/>
      <c r="B28" s="71"/>
      <c r="C28" s="72"/>
      <c r="D28" s="72"/>
      <c r="E28" s="72"/>
      <c r="F28" s="73"/>
      <c r="G28" s="72"/>
      <c r="H28" s="72"/>
      <c r="I28" s="72"/>
    </row>
    <row r="29" spans="1:9" hidden="1" x14ac:dyDescent="0.3">
      <c r="A29" s="68"/>
      <c r="B29" s="71"/>
      <c r="C29" s="72"/>
      <c r="D29" s="72"/>
      <c r="E29" s="72"/>
      <c r="F29" s="73"/>
      <c r="G29" s="72"/>
      <c r="H29" s="72"/>
      <c r="I29" s="72"/>
    </row>
    <row r="30" spans="1:9" hidden="1" x14ac:dyDescent="0.3">
      <c r="A30" s="68"/>
      <c r="B30" s="71"/>
      <c r="C30" s="72"/>
      <c r="D30" s="72"/>
      <c r="E30" s="72"/>
      <c r="F30" s="73"/>
      <c r="G30" s="72"/>
      <c r="H30" s="72"/>
      <c r="I30" s="72"/>
    </row>
    <row r="31" spans="1:9" hidden="1" x14ac:dyDescent="0.3">
      <c r="A31" s="68"/>
      <c r="B31" s="72"/>
      <c r="C31" s="72"/>
      <c r="D31" s="72"/>
      <c r="E31" s="72"/>
      <c r="F31" s="73"/>
      <c r="G31" s="72"/>
      <c r="H31" s="72"/>
      <c r="I31" s="72"/>
    </row>
    <row r="32" spans="1:9" hidden="1" x14ac:dyDescent="0.3">
      <c r="A32" s="68"/>
      <c r="B32" s="71"/>
      <c r="C32" s="72"/>
      <c r="D32" s="72"/>
      <c r="E32" s="72"/>
      <c r="F32" s="73"/>
      <c r="G32" s="72"/>
      <c r="H32" s="72"/>
      <c r="I32" s="72"/>
    </row>
    <row r="33" spans="1:9" hidden="1" x14ac:dyDescent="0.3">
      <c r="A33" s="68"/>
      <c r="B33" s="71"/>
      <c r="C33" s="72"/>
      <c r="D33" s="72"/>
      <c r="E33" s="72"/>
      <c r="F33" s="73"/>
      <c r="G33" s="72"/>
      <c r="H33" s="72"/>
      <c r="I33" s="72"/>
    </row>
    <row r="34" spans="1:9" hidden="1" x14ac:dyDescent="0.3">
      <c r="A34" s="68"/>
      <c r="B34" s="71"/>
      <c r="C34" s="72"/>
      <c r="D34" s="72"/>
      <c r="E34" s="72"/>
      <c r="F34" s="73"/>
      <c r="G34" s="72"/>
      <c r="H34" s="72"/>
      <c r="I34" s="72"/>
    </row>
    <row r="35" spans="1:9" ht="15" hidden="1" thickBot="1" x14ac:dyDescent="0.35">
      <c r="A35" s="84"/>
      <c r="B35" s="85"/>
      <c r="C35" s="86"/>
      <c r="D35" s="86"/>
      <c r="E35" s="86"/>
      <c r="F35" s="87"/>
      <c r="G35" s="86"/>
      <c r="H35" s="86"/>
      <c r="I35" s="86"/>
    </row>
    <row r="36" spans="1:9" hidden="1" x14ac:dyDescent="0.3">
      <c r="A36" s="68"/>
      <c r="B36" s="68"/>
      <c r="C36" s="76"/>
      <c r="D36" s="76"/>
      <c r="E36" s="76"/>
      <c r="F36" s="77"/>
      <c r="G36" s="76"/>
      <c r="H36" s="76"/>
      <c r="I36" s="76"/>
    </row>
    <row r="37" spans="1:9" hidden="1" x14ac:dyDescent="0.3">
      <c r="A37" s="68"/>
      <c r="B37" s="68"/>
      <c r="C37" s="78"/>
      <c r="D37" s="78"/>
      <c r="E37" s="78"/>
      <c r="F37" s="79"/>
      <c r="G37" s="78"/>
      <c r="H37" s="78"/>
      <c r="I37" s="78"/>
    </row>
    <row r="38" spans="1:9" hidden="1" x14ac:dyDescent="0.3">
      <c r="A38" s="68"/>
      <c r="B38" s="68"/>
      <c r="C38" s="76"/>
      <c r="D38" s="76"/>
      <c r="E38" s="76"/>
      <c r="F38" s="77"/>
      <c r="G38" s="76"/>
      <c r="H38" s="76"/>
      <c r="I38" s="76"/>
    </row>
    <row r="39" spans="1:9" hidden="1" x14ac:dyDescent="0.3">
      <c r="A39" s="68"/>
      <c r="B39" s="78"/>
      <c r="C39" s="76"/>
      <c r="D39" s="76"/>
      <c r="E39" s="76"/>
      <c r="F39" s="77"/>
      <c r="G39" s="76"/>
      <c r="H39" s="76"/>
      <c r="I39" s="76"/>
    </row>
    <row r="40" spans="1:9" ht="15" hidden="1" thickBot="1" x14ac:dyDescent="0.35">
      <c r="A40" s="84"/>
      <c r="B40" s="84"/>
      <c r="C40" s="88"/>
      <c r="D40" s="88"/>
      <c r="E40" s="88"/>
      <c r="F40" s="89"/>
      <c r="G40" s="88"/>
      <c r="H40" s="88"/>
      <c r="I40" s="88"/>
    </row>
    <row r="41" spans="1:9" ht="15" thickTop="1" x14ac:dyDescent="0.3">
      <c r="A41" s="246"/>
      <c r="B41" s="246"/>
      <c r="C41" s="246"/>
      <c r="D41" s="246"/>
      <c r="E41" s="246"/>
      <c r="F41" s="246"/>
      <c r="G41" s="246"/>
      <c r="H41" s="246"/>
      <c r="I41" s="246"/>
    </row>
    <row r="42" spans="1:9" x14ac:dyDescent="0.3">
      <c r="A42" s="90"/>
      <c r="B42" s="90"/>
      <c r="C42" s="90"/>
      <c r="D42" s="90"/>
      <c r="E42" s="90"/>
      <c r="F42" s="90"/>
      <c r="G42" s="90"/>
      <c r="H42" s="91"/>
      <c r="I42" s="91"/>
    </row>
  </sheetData>
  <mergeCells count="15">
    <mergeCell ref="A41:I41"/>
    <mergeCell ref="B6:C6"/>
    <mergeCell ref="D6:D7"/>
    <mergeCell ref="F6:G6"/>
    <mergeCell ref="H6:H7"/>
    <mergeCell ref="A1:I1"/>
    <mergeCell ref="H2:I2"/>
    <mergeCell ref="A3:I3"/>
    <mergeCell ref="A4:A7"/>
    <mergeCell ref="B4:E4"/>
    <mergeCell ref="F4:I4"/>
    <mergeCell ref="B5:D5"/>
    <mergeCell ref="E5:E7"/>
    <mergeCell ref="F5:H5"/>
    <mergeCell ref="I5:I7"/>
  </mergeCells>
  <printOptions horizontalCentered="1"/>
  <pageMargins left="0.7" right="0.7" top="0.75" bottom="0.75" header="0.3" footer="0.3"/>
  <pageSetup paperSize="9" scale="68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J15"/>
  <sheetViews>
    <sheetView view="pageBreakPreview" zoomScaleNormal="100" zoomScaleSheetLayoutView="100" workbookViewId="0">
      <selection activeCell="H10" sqref="H10"/>
    </sheetView>
  </sheetViews>
  <sheetFormatPr defaultRowHeight="14.4" x14ac:dyDescent="0.3"/>
  <cols>
    <col min="1" max="1" width="15.6640625" customWidth="1"/>
    <col min="2" max="7" width="17.33203125" customWidth="1"/>
    <col min="8" max="256" width="9.109375"/>
    <col min="257" max="263" width="15.6640625" customWidth="1"/>
    <col min="264" max="512" width="9.109375"/>
    <col min="513" max="519" width="15.6640625" customWidth="1"/>
    <col min="520" max="768" width="9.109375"/>
    <col min="769" max="775" width="15.6640625" customWidth="1"/>
    <col min="776" max="1024" width="9.109375"/>
    <col min="1025" max="1031" width="15.6640625" customWidth="1"/>
    <col min="1032" max="1280" width="9.109375"/>
    <col min="1281" max="1287" width="15.6640625" customWidth="1"/>
    <col min="1288" max="1536" width="9.109375"/>
    <col min="1537" max="1543" width="15.6640625" customWidth="1"/>
    <col min="1544" max="1792" width="9.109375"/>
    <col min="1793" max="1799" width="15.6640625" customWidth="1"/>
    <col min="1800" max="2048" width="9.109375"/>
    <col min="2049" max="2055" width="15.6640625" customWidth="1"/>
    <col min="2056" max="2304" width="9.109375"/>
    <col min="2305" max="2311" width="15.6640625" customWidth="1"/>
    <col min="2312" max="2560" width="9.109375"/>
    <col min="2561" max="2567" width="15.6640625" customWidth="1"/>
    <col min="2568" max="2816" width="9.109375"/>
    <col min="2817" max="2823" width="15.6640625" customWidth="1"/>
    <col min="2824" max="3072" width="9.109375"/>
    <col min="3073" max="3079" width="15.6640625" customWidth="1"/>
    <col min="3080" max="3328" width="9.109375"/>
    <col min="3329" max="3335" width="15.6640625" customWidth="1"/>
    <col min="3336" max="3584" width="9.109375"/>
    <col min="3585" max="3591" width="15.6640625" customWidth="1"/>
    <col min="3592" max="3840" width="9.109375"/>
    <col min="3841" max="3847" width="15.6640625" customWidth="1"/>
    <col min="3848" max="4096" width="9.109375"/>
    <col min="4097" max="4103" width="15.6640625" customWidth="1"/>
    <col min="4104" max="4352" width="9.109375"/>
    <col min="4353" max="4359" width="15.6640625" customWidth="1"/>
    <col min="4360" max="4608" width="9.109375"/>
    <col min="4609" max="4615" width="15.6640625" customWidth="1"/>
    <col min="4616" max="4864" width="9.109375"/>
    <col min="4865" max="4871" width="15.6640625" customWidth="1"/>
    <col min="4872" max="5120" width="9.109375"/>
    <col min="5121" max="5127" width="15.6640625" customWidth="1"/>
    <col min="5128" max="5376" width="9.109375"/>
    <col min="5377" max="5383" width="15.6640625" customWidth="1"/>
    <col min="5384" max="5632" width="9.109375"/>
    <col min="5633" max="5639" width="15.6640625" customWidth="1"/>
    <col min="5640" max="5888" width="9.109375"/>
    <col min="5889" max="5895" width="15.6640625" customWidth="1"/>
    <col min="5896" max="6144" width="9.109375"/>
    <col min="6145" max="6151" width="15.6640625" customWidth="1"/>
    <col min="6152" max="6400" width="9.109375"/>
    <col min="6401" max="6407" width="15.6640625" customWidth="1"/>
    <col min="6408" max="6656" width="9.109375"/>
    <col min="6657" max="6663" width="15.6640625" customWidth="1"/>
    <col min="6664" max="6912" width="9.109375"/>
    <col min="6913" max="6919" width="15.6640625" customWidth="1"/>
    <col min="6920" max="7168" width="9.109375"/>
    <col min="7169" max="7175" width="15.6640625" customWidth="1"/>
    <col min="7176" max="7424" width="9.109375"/>
    <col min="7425" max="7431" width="15.6640625" customWidth="1"/>
    <col min="7432" max="7680" width="9.109375"/>
    <col min="7681" max="7687" width="15.6640625" customWidth="1"/>
    <col min="7688" max="7936" width="9.109375"/>
    <col min="7937" max="7943" width="15.6640625" customWidth="1"/>
    <col min="7944" max="8192" width="9.109375"/>
    <col min="8193" max="8199" width="15.6640625" customWidth="1"/>
    <col min="8200" max="8448" width="9.109375"/>
    <col min="8449" max="8455" width="15.6640625" customWidth="1"/>
    <col min="8456" max="8704" width="9.109375"/>
    <col min="8705" max="8711" width="15.6640625" customWidth="1"/>
    <col min="8712" max="8960" width="9.109375"/>
    <col min="8961" max="8967" width="15.6640625" customWidth="1"/>
    <col min="8968" max="9216" width="9.109375"/>
    <col min="9217" max="9223" width="15.6640625" customWidth="1"/>
    <col min="9224" max="9472" width="9.109375"/>
    <col min="9473" max="9479" width="15.6640625" customWidth="1"/>
    <col min="9480" max="9728" width="9.109375"/>
    <col min="9729" max="9735" width="15.6640625" customWidth="1"/>
    <col min="9736" max="9984" width="9.109375"/>
    <col min="9985" max="9991" width="15.6640625" customWidth="1"/>
    <col min="9992" max="10240" width="9.109375"/>
    <col min="10241" max="10247" width="15.6640625" customWidth="1"/>
    <col min="10248" max="10496" width="9.109375"/>
    <col min="10497" max="10503" width="15.6640625" customWidth="1"/>
    <col min="10504" max="10752" width="9.109375"/>
    <col min="10753" max="10759" width="15.6640625" customWidth="1"/>
    <col min="10760" max="11008" width="9.109375"/>
    <col min="11009" max="11015" width="15.6640625" customWidth="1"/>
    <col min="11016" max="11264" width="9.109375"/>
    <col min="11265" max="11271" width="15.6640625" customWidth="1"/>
    <col min="11272" max="11520" width="9.109375"/>
    <col min="11521" max="11527" width="15.6640625" customWidth="1"/>
    <col min="11528" max="11776" width="9.109375"/>
    <col min="11777" max="11783" width="15.6640625" customWidth="1"/>
    <col min="11784" max="12032" width="9.109375"/>
    <col min="12033" max="12039" width="15.6640625" customWidth="1"/>
    <col min="12040" max="12288" width="9.109375"/>
    <col min="12289" max="12295" width="15.6640625" customWidth="1"/>
    <col min="12296" max="12544" width="9.109375"/>
    <col min="12545" max="12551" width="15.6640625" customWidth="1"/>
    <col min="12552" max="12800" width="9.109375"/>
    <col min="12801" max="12807" width="15.6640625" customWidth="1"/>
    <col min="12808" max="13056" width="9.109375"/>
    <col min="13057" max="13063" width="15.6640625" customWidth="1"/>
    <col min="13064" max="13312" width="9.109375"/>
    <col min="13313" max="13319" width="15.6640625" customWidth="1"/>
    <col min="13320" max="13568" width="9.109375"/>
    <col min="13569" max="13575" width="15.6640625" customWidth="1"/>
    <col min="13576" max="13824" width="9.109375"/>
    <col min="13825" max="13831" width="15.6640625" customWidth="1"/>
    <col min="13832" max="14080" width="9.109375"/>
    <col min="14081" max="14087" width="15.6640625" customWidth="1"/>
    <col min="14088" max="14336" width="9.109375"/>
    <col min="14337" max="14343" width="15.6640625" customWidth="1"/>
    <col min="14344" max="14592" width="9.109375"/>
    <col min="14593" max="14599" width="15.6640625" customWidth="1"/>
    <col min="14600" max="14848" width="9.109375"/>
    <col min="14849" max="14855" width="15.6640625" customWidth="1"/>
    <col min="14856" max="15104" width="9.109375"/>
    <col min="15105" max="15111" width="15.6640625" customWidth="1"/>
    <col min="15112" max="15360" width="9.109375"/>
    <col min="15361" max="15367" width="15.6640625" customWidth="1"/>
    <col min="15368" max="15616" width="9.109375"/>
    <col min="15617" max="15623" width="15.6640625" customWidth="1"/>
    <col min="15624" max="15872" width="9.109375"/>
    <col min="15873" max="15879" width="15.6640625" customWidth="1"/>
    <col min="15880" max="16128" width="9.109375"/>
    <col min="16129" max="16135" width="15.6640625" customWidth="1"/>
    <col min="16136" max="16384" width="9.109375"/>
  </cols>
  <sheetData>
    <row r="1" spans="1:10" x14ac:dyDescent="0.3">
      <c r="A1" s="235" t="s">
        <v>286</v>
      </c>
      <c r="B1" s="235"/>
      <c r="C1" s="235"/>
      <c r="D1" s="235"/>
      <c r="E1" s="235"/>
      <c r="F1" s="235"/>
      <c r="G1" s="235"/>
    </row>
    <row r="2" spans="1:10" x14ac:dyDescent="0.3">
      <c r="A2" s="62" t="str">
        <f>common!$H$2</f>
        <v>UT : PUDUCHERRY</v>
      </c>
      <c r="B2" s="62"/>
      <c r="C2" s="62"/>
      <c r="D2" s="62"/>
      <c r="E2" s="236" t="s">
        <v>232</v>
      </c>
      <c r="F2" s="236"/>
      <c r="G2" s="236"/>
    </row>
    <row r="3" spans="1:10" ht="26.4" customHeight="1" x14ac:dyDescent="0.3">
      <c r="A3" s="237" t="str">
        <f>"SUPERVISION OF EXPERIMENTS UNDER C.E.S. DURING "&amp; B5&amp;" AND "&amp; E5&amp;"."</f>
        <v>SUPERVISION OF EXPERIMENTS UNDER C.E.S. DURING 2024-25 AND 2023-24.</v>
      </c>
      <c r="B3" s="237"/>
      <c r="C3" s="237"/>
      <c r="D3" s="237"/>
      <c r="E3" s="237"/>
      <c r="F3" s="237"/>
      <c r="G3" s="237"/>
    </row>
    <row r="4" spans="1:10" ht="33" customHeight="1" x14ac:dyDescent="0.3">
      <c r="A4" s="243" t="s">
        <v>280</v>
      </c>
      <c r="B4" s="240" t="s">
        <v>234</v>
      </c>
      <c r="C4" s="240"/>
      <c r="D4" s="240"/>
      <c r="E4" s="240"/>
      <c r="F4" s="240"/>
      <c r="G4" s="240"/>
    </row>
    <row r="5" spans="1:10" ht="33" customHeight="1" x14ac:dyDescent="0.3">
      <c r="A5" s="308"/>
      <c r="B5" s="240" t="str">
        <f>common!$C$4</f>
        <v>2024-25</v>
      </c>
      <c r="C5" s="240" t="str">
        <f>common!$C$4</f>
        <v>2024-25</v>
      </c>
      <c r="D5" s="240" t="str">
        <f>common!$C$4</f>
        <v>2024-25</v>
      </c>
      <c r="E5" s="241" t="str">
        <f>common!$C$5</f>
        <v>2023-24</v>
      </c>
      <c r="F5" s="242" t="str">
        <f>common!$C$5</f>
        <v>2023-24</v>
      </c>
      <c r="G5" s="242" t="str">
        <f>common!$C$5</f>
        <v>2023-24</v>
      </c>
    </row>
    <row r="6" spans="1:10" ht="26.4" customHeight="1" x14ac:dyDescent="0.3">
      <c r="A6" s="308"/>
      <c r="B6" s="308" t="s">
        <v>121</v>
      </c>
      <c r="C6" s="308" t="s">
        <v>235</v>
      </c>
      <c r="D6" s="308" t="s">
        <v>236</v>
      </c>
      <c r="E6" s="309" t="s">
        <v>121</v>
      </c>
      <c r="F6" s="308" t="s">
        <v>235</v>
      </c>
      <c r="G6" s="308" t="s">
        <v>236</v>
      </c>
    </row>
    <row r="7" spans="1:10" ht="26.4" customHeight="1" x14ac:dyDescent="0.3">
      <c r="A7" s="240"/>
      <c r="B7" s="240"/>
      <c r="C7" s="240"/>
      <c r="D7" s="240"/>
      <c r="E7" s="245"/>
      <c r="F7" s="240"/>
      <c r="G7" s="240"/>
    </row>
    <row r="8" spans="1:10" ht="26.4" customHeight="1" x14ac:dyDescent="0.3">
      <c r="A8" s="65">
        <f>-(1)</f>
        <v>-1</v>
      </c>
      <c r="B8" s="65">
        <v>-2</v>
      </c>
      <c r="C8" s="65">
        <v>-3</v>
      </c>
      <c r="D8" s="65">
        <v>-4</v>
      </c>
      <c r="E8" s="66">
        <v>-5</v>
      </c>
      <c r="F8" s="65">
        <v>-6</v>
      </c>
      <c r="G8" s="65">
        <v>-7</v>
      </c>
    </row>
    <row r="9" spans="1:10" ht="37.200000000000003" customHeight="1" x14ac:dyDescent="0.3">
      <c r="A9" s="132" t="str">
        <f>common!$C$3</f>
        <v>RABI I</v>
      </c>
      <c r="B9" s="71"/>
      <c r="C9" s="69"/>
      <c r="D9" s="69"/>
      <c r="E9" s="70"/>
      <c r="F9" s="69"/>
      <c r="G9" s="69"/>
    </row>
    <row r="10" spans="1:10" ht="37.200000000000003" customHeight="1" x14ac:dyDescent="0.3">
      <c r="A10" s="99" t="str">
        <f>common!$C$9</f>
        <v>PADDY</v>
      </c>
      <c r="B10" s="99"/>
      <c r="C10" s="65"/>
      <c r="D10" s="65"/>
      <c r="E10" s="66"/>
      <c r="F10" s="65"/>
      <c r="G10" s="65"/>
    </row>
    <row r="11" spans="1:10" ht="37.200000000000003" customHeight="1" x14ac:dyDescent="0.3">
      <c r="A11" s="132" t="str">
        <f>common!$E$3</f>
        <v>RABI II</v>
      </c>
      <c r="B11" s="71"/>
      <c r="C11" s="72"/>
      <c r="D11" s="72"/>
      <c r="E11" s="73"/>
      <c r="F11" s="72"/>
      <c r="G11" s="72"/>
    </row>
    <row r="12" spans="1:10" ht="37.200000000000003" customHeight="1" x14ac:dyDescent="0.3">
      <c r="A12" s="99" t="str">
        <f>common!$E$9</f>
        <v>PADDY</v>
      </c>
      <c r="B12" s="99"/>
      <c r="C12" s="74"/>
      <c r="D12" s="74"/>
      <c r="E12" s="75"/>
      <c r="F12" s="74"/>
      <c r="G12" s="74"/>
    </row>
    <row r="13" spans="1:10" ht="37.200000000000003" customHeight="1" thickBot="1" x14ac:dyDescent="0.35">
      <c r="A13" s="85" t="s">
        <v>39</v>
      </c>
      <c r="B13" s="85"/>
      <c r="C13" s="86"/>
      <c r="D13" s="86"/>
      <c r="E13" s="87"/>
      <c r="F13" s="86"/>
      <c r="G13" s="86"/>
    </row>
    <row r="14" spans="1:10" ht="15" thickTop="1" x14ac:dyDescent="0.3">
      <c r="A14" s="90"/>
      <c r="B14" s="90"/>
      <c r="C14" s="90"/>
      <c r="D14" s="90"/>
      <c r="E14" s="90"/>
      <c r="F14" s="90"/>
      <c r="G14" s="90"/>
      <c r="H14" s="90"/>
      <c r="I14" s="90"/>
      <c r="J14" s="90"/>
    </row>
    <row r="15" spans="1:10" x14ac:dyDescent="0.3">
      <c r="A15" s="90"/>
      <c r="B15" s="90"/>
      <c r="C15" s="90"/>
      <c r="D15" s="90"/>
      <c r="E15" s="90"/>
      <c r="F15" s="90"/>
      <c r="G15" s="90"/>
    </row>
  </sheetData>
  <mergeCells count="13">
    <mergeCell ref="A1:G1"/>
    <mergeCell ref="E2:G2"/>
    <mergeCell ref="A3:G3"/>
    <mergeCell ref="A4:A7"/>
    <mergeCell ref="B4:G4"/>
    <mergeCell ref="B5:D5"/>
    <mergeCell ref="E5:G5"/>
    <mergeCell ref="B6:B7"/>
    <mergeCell ref="C6:C7"/>
    <mergeCell ref="D6:D7"/>
    <mergeCell ref="E6:E7"/>
    <mergeCell ref="F6:F7"/>
    <mergeCell ref="G6:G7"/>
  </mergeCells>
  <printOptions horizontalCentered="1"/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I87"/>
  <sheetViews>
    <sheetView view="pageBreakPreview" zoomScale="70" zoomScaleNormal="100" zoomScaleSheetLayoutView="70" workbookViewId="0">
      <selection activeCell="B25" activeCellId="1" sqref="B13 B25"/>
    </sheetView>
  </sheetViews>
  <sheetFormatPr defaultRowHeight="14.4" x14ac:dyDescent="0.3"/>
  <cols>
    <col min="1" max="1" width="12.6640625" customWidth="1"/>
    <col min="2" max="2" width="42.88671875" customWidth="1"/>
    <col min="3" max="8" width="13.21875" customWidth="1"/>
  </cols>
  <sheetData>
    <row r="1" spans="1:9" x14ac:dyDescent="0.3">
      <c r="A1" s="235" t="s">
        <v>215</v>
      </c>
      <c r="B1" s="235"/>
      <c r="C1" s="235"/>
      <c r="D1" s="235"/>
      <c r="E1" s="235"/>
      <c r="F1" s="235"/>
      <c r="G1" s="235"/>
      <c r="H1" s="235"/>
      <c r="I1" s="115"/>
    </row>
    <row r="2" spans="1:9" x14ac:dyDescent="0.3">
      <c r="A2" s="62" t="str">
        <f>common!$H$2</f>
        <v>UT : PUDUCHERRY</v>
      </c>
      <c r="B2" s="62"/>
      <c r="C2" s="62"/>
      <c r="D2" s="62"/>
      <c r="E2" s="62"/>
      <c r="F2" s="62"/>
      <c r="G2" s="236" t="s">
        <v>117</v>
      </c>
      <c r="H2" s="236"/>
      <c r="I2" s="101"/>
    </row>
    <row r="3" spans="1:9" x14ac:dyDescent="0.3">
      <c r="A3" s="251" t="str">
        <f>"SAMPLE CHECK ON CROP CUTTING EXPERIMENTS DURING "&amp; common!$C$4 &amp;" AND "&amp; common!$C$5 &amp; "."</f>
        <v>SAMPLE CHECK ON CROP CUTTING EXPERIMENTS DURING 2024-25 AND 2023-24.</v>
      </c>
      <c r="B3" s="251"/>
      <c r="C3" s="251"/>
      <c r="D3" s="251"/>
      <c r="E3" s="251"/>
      <c r="F3" s="251"/>
      <c r="G3" s="251"/>
      <c r="H3" s="251"/>
      <c r="I3" s="101"/>
    </row>
    <row r="4" spans="1:9" x14ac:dyDescent="0.3">
      <c r="A4" s="252" t="s">
        <v>267</v>
      </c>
      <c r="B4" s="254" t="s">
        <v>118</v>
      </c>
      <c r="C4" s="255" t="s">
        <v>119</v>
      </c>
      <c r="D4" s="255"/>
      <c r="E4" s="255"/>
      <c r="F4" s="255"/>
      <c r="G4" s="255"/>
      <c r="H4" s="255"/>
      <c r="I4" s="101"/>
    </row>
    <row r="5" spans="1:9" x14ac:dyDescent="0.3">
      <c r="A5" s="252"/>
      <c r="B5" s="254"/>
      <c r="C5" s="252" t="str">
        <f>IF('[5]Crops CY'!$C$5=0,"SEASON","SEASONS")</f>
        <v>SEASONS</v>
      </c>
      <c r="D5" s="252"/>
      <c r="E5" s="252"/>
      <c r="F5" s="252"/>
      <c r="G5" s="252"/>
      <c r="H5" s="252"/>
      <c r="I5" s="101"/>
    </row>
    <row r="6" spans="1:9" x14ac:dyDescent="0.3">
      <c r="A6" s="252"/>
      <c r="B6" s="254"/>
      <c r="C6" s="254" t="str">
        <f>common!$C$3</f>
        <v>RABI I</v>
      </c>
      <c r="D6" s="254"/>
      <c r="E6" s="254"/>
      <c r="F6" s="311" t="str">
        <f>common!$E$3</f>
        <v>RABI II</v>
      </c>
      <c r="G6" s="254"/>
      <c r="H6" s="254"/>
      <c r="I6" s="101"/>
    </row>
    <row r="7" spans="1:9" x14ac:dyDescent="0.3">
      <c r="A7" s="253"/>
      <c r="B7" s="255"/>
      <c r="C7" s="74" t="s">
        <v>120</v>
      </c>
      <c r="D7" s="74" t="s">
        <v>17</v>
      </c>
      <c r="E7" s="74" t="s">
        <v>18</v>
      </c>
      <c r="F7" s="75" t="str">
        <f>IF(F6="","","CENTRAL")</f>
        <v>CENTRAL</v>
      </c>
      <c r="G7" s="74" t="str">
        <f>IF(F7="","","STATE")</f>
        <v>STATE</v>
      </c>
      <c r="H7" s="74" t="str">
        <f>IF(F8="","","POOLED")</f>
        <v>POOLED</v>
      </c>
      <c r="I7" s="101"/>
    </row>
    <row r="8" spans="1:9" x14ac:dyDescent="0.3">
      <c r="A8" s="100" t="s">
        <v>8</v>
      </c>
      <c r="B8" s="100" t="s">
        <v>9</v>
      </c>
      <c r="C8" s="100" t="s">
        <v>10</v>
      </c>
      <c r="D8" s="100" t="s">
        <v>11</v>
      </c>
      <c r="E8" s="100" t="s">
        <v>12</v>
      </c>
      <c r="F8" s="75" t="str">
        <f>IF(F7="","","(6)")</f>
        <v>(6)</v>
      </c>
      <c r="G8" s="74" t="str">
        <f>IF(G7="","","(7)")</f>
        <v>(7)</v>
      </c>
      <c r="H8" s="74" t="str">
        <f>IF(H7="","","(8)")</f>
        <v>(8)</v>
      </c>
      <c r="I8" s="101"/>
    </row>
    <row r="9" spans="1:9" x14ac:dyDescent="0.3">
      <c r="A9" s="98" t="str">
        <f>common!$J$4</f>
        <v>YEAR 2024-25</v>
      </c>
      <c r="B9" s="78"/>
      <c r="C9" s="101"/>
      <c r="D9" s="101"/>
      <c r="E9" s="101"/>
      <c r="F9" s="133"/>
      <c r="G9" s="101"/>
      <c r="H9" s="101"/>
      <c r="I9" s="101"/>
    </row>
    <row r="10" spans="1:9" x14ac:dyDescent="0.3">
      <c r="A10" s="94">
        <v>1</v>
      </c>
      <c r="B10" s="134" t="s">
        <v>121</v>
      </c>
      <c r="C10" s="72" t="str">
        <f>'[5]Annex-19'!C10</f>
        <v xml:space="preserve">10 </v>
      </c>
      <c r="D10" s="72" t="str">
        <f>'[5]Annex-19'!D10</f>
        <v xml:space="preserve">10 </v>
      </c>
      <c r="E10" s="72" t="str">
        <f>'[5]Annex-19'!E10</f>
        <v xml:space="preserve">20 </v>
      </c>
      <c r="F10" s="73" t="str">
        <f>'[5]Annex-19'!F10</f>
        <v xml:space="preserve">10 </v>
      </c>
      <c r="G10" s="72" t="str">
        <f>'[5]Annex-19'!G10</f>
        <v xml:space="preserve">10 </v>
      </c>
      <c r="H10" s="72" t="str">
        <f>'[5]Annex-19'!H10</f>
        <v xml:space="preserve">20 </v>
      </c>
      <c r="I10" s="135"/>
    </row>
    <row r="11" spans="1:9" x14ac:dyDescent="0.3">
      <c r="A11" s="235">
        <v>2</v>
      </c>
      <c r="B11" s="134" t="s">
        <v>302</v>
      </c>
      <c r="C11" s="72" t="str">
        <f>'[5]Annex-19'!C11</f>
        <v xml:space="preserve">10 </v>
      </c>
      <c r="D11" s="72" t="str">
        <f>'[5]Annex-19'!D11</f>
        <v xml:space="preserve">10 </v>
      </c>
      <c r="E11" s="72" t="str">
        <f>'[5]Annex-19'!E11</f>
        <v xml:space="preserve">20 </v>
      </c>
      <c r="F11" s="73" t="str">
        <f>'[5]Annex-19'!F11</f>
        <v xml:space="preserve">10 </v>
      </c>
      <c r="G11" s="72" t="str">
        <f>'[5]Annex-19'!G11</f>
        <v xml:space="preserve">10 </v>
      </c>
      <c r="H11" s="72" t="str">
        <f>'[5]Annex-19'!H11</f>
        <v xml:space="preserve">20 </v>
      </c>
      <c r="I11" s="135"/>
    </row>
    <row r="12" spans="1:9" x14ac:dyDescent="0.3">
      <c r="A12" s="235"/>
      <c r="B12" s="134" t="s">
        <v>122</v>
      </c>
      <c r="C12" s="72" t="str">
        <f>'[5]Annex-19'!C12</f>
        <v>(100.0)</v>
      </c>
      <c r="D12" s="72" t="str">
        <f>'[5]Annex-19'!D12</f>
        <v>(100.0)</v>
      </c>
      <c r="E12" s="72" t="str">
        <f>'[5]Annex-19'!E12</f>
        <v>(100.0)</v>
      </c>
      <c r="F12" s="73" t="str">
        <f>'[5]Annex-19'!F12</f>
        <v>(100.0)</v>
      </c>
      <c r="G12" s="72" t="str">
        <f>'[5]Annex-19'!G12</f>
        <v>(100.0)</v>
      </c>
      <c r="H12" s="72" t="str">
        <f>'[5]Annex-19'!H12</f>
        <v>(100.0)</v>
      </c>
      <c r="I12" s="135"/>
    </row>
    <row r="13" spans="1:9" x14ac:dyDescent="0.3">
      <c r="A13" s="235">
        <v>3</v>
      </c>
      <c r="B13" s="134" t="s">
        <v>303</v>
      </c>
      <c r="C13" s="72" t="str">
        <f>'[5]Annex-19'!C13</f>
        <v xml:space="preserve"> </v>
      </c>
      <c r="D13" s="72" t="str">
        <f>'[5]Annex-19'!D13</f>
        <v xml:space="preserve"> </v>
      </c>
      <c r="E13" s="72" t="str">
        <f>'[5]Annex-19'!E13</f>
        <v xml:space="preserve"> </v>
      </c>
      <c r="F13" s="73" t="str">
        <f>'[5]Annex-19'!F13</f>
        <v xml:space="preserve"> </v>
      </c>
      <c r="G13" s="72" t="str">
        <f>'[5]Annex-19'!G13</f>
        <v xml:space="preserve"> </v>
      </c>
      <c r="H13" s="72" t="str">
        <f>'[5]Annex-19'!H13</f>
        <v xml:space="preserve"> </v>
      </c>
      <c r="I13" s="135"/>
    </row>
    <row r="14" spans="1:9" x14ac:dyDescent="0.3">
      <c r="A14" s="235"/>
      <c r="B14" s="134" t="s">
        <v>122</v>
      </c>
      <c r="C14" s="72" t="str">
        <f>'[5]Annex-19'!C14</f>
        <v/>
      </c>
      <c r="D14" s="72" t="str">
        <f>'[5]Annex-19'!D14</f>
        <v/>
      </c>
      <c r="E14" s="72" t="str">
        <f>'[5]Annex-19'!E14</f>
        <v/>
      </c>
      <c r="F14" s="73" t="str">
        <f>'[5]Annex-19'!F14</f>
        <v/>
      </c>
      <c r="G14" s="72" t="str">
        <f>'[5]Annex-19'!G14</f>
        <v/>
      </c>
      <c r="H14" s="72" t="str">
        <f>'[5]Annex-19'!H14</f>
        <v/>
      </c>
      <c r="I14" s="135"/>
    </row>
    <row r="15" spans="1:9" x14ac:dyDescent="0.3">
      <c r="A15" s="235">
        <v>4</v>
      </c>
      <c r="B15" s="134" t="s">
        <v>123</v>
      </c>
      <c r="C15" s="72" t="str">
        <f>'[5]Annex-19'!C15</f>
        <v xml:space="preserve"> </v>
      </c>
      <c r="D15" s="72" t="str">
        <f>'[5]Annex-19'!D15</f>
        <v xml:space="preserve"> </v>
      </c>
      <c r="E15" s="72" t="str">
        <f>'[5]Annex-19'!E15</f>
        <v xml:space="preserve"> </v>
      </c>
      <c r="F15" s="73" t="str">
        <f>'[5]Annex-19'!F15</f>
        <v xml:space="preserve"> </v>
      </c>
      <c r="G15" s="72" t="str">
        <f>'[5]Annex-19'!G15</f>
        <v xml:space="preserve"> </v>
      </c>
      <c r="H15" s="72" t="str">
        <f>'[5]Annex-19'!H15</f>
        <v xml:space="preserve"> </v>
      </c>
      <c r="I15" s="135"/>
    </row>
    <row r="16" spans="1:9" x14ac:dyDescent="0.3">
      <c r="A16" s="235"/>
      <c r="B16" s="134" t="s">
        <v>122</v>
      </c>
      <c r="C16" s="72" t="str">
        <f>'[5]Annex-19'!C16</f>
        <v/>
      </c>
      <c r="D16" s="72" t="str">
        <f>'[5]Annex-19'!D16</f>
        <v/>
      </c>
      <c r="E16" s="72" t="str">
        <f>'[5]Annex-19'!E16</f>
        <v/>
      </c>
      <c r="F16" s="73" t="str">
        <f>'[5]Annex-19'!F16</f>
        <v/>
      </c>
      <c r="G16" s="72" t="str">
        <f>'[5]Annex-19'!G16</f>
        <v/>
      </c>
      <c r="H16" s="72" t="str">
        <f>'[5]Annex-19'!H16</f>
        <v/>
      </c>
      <c r="I16" s="135"/>
    </row>
    <row r="17" spans="1:9" x14ac:dyDescent="0.3">
      <c r="A17" s="235">
        <v>5</v>
      </c>
      <c r="B17" s="134" t="s">
        <v>124</v>
      </c>
      <c r="C17" s="72" t="str">
        <f>'[5]Annex-19'!C17</f>
        <v xml:space="preserve"> </v>
      </c>
      <c r="D17" s="72" t="str">
        <f>'[5]Annex-19'!D17</f>
        <v xml:space="preserve"> </v>
      </c>
      <c r="E17" s="72" t="str">
        <f>'[5]Annex-19'!E17</f>
        <v xml:space="preserve"> </v>
      </c>
      <c r="F17" s="73" t="str">
        <f>'[5]Annex-19'!F17</f>
        <v xml:space="preserve"> </v>
      </c>
      <c r="G17" s="72" t="str">
        <f>'[5]Annex-19'!G17</f>
        <v xml:space="preserve"> </v>
      </c>
      <c r="H17" s="72" t="str">
        <f>'[5]Annex-19'!H17</f>
        <v xml:space="preserve"> </v>
      </c>
      <c r="I17" s="135"/>
    </row>
    <row r="18" spans="1:9" x14ac:dyDescent="0.3">
      <c r="A18" s="235"/>
      <c r="B18" s="134" t="s">
        <v>122</v>
      </c>
      <c r="C18" s="72" t="str">
        <f>'[5]Annex-19'!C18</f>
        <v/>
      </c>
      <c r="D18" s="72" t="str">
        <f>'[5]Annex-19'!D18</f>
        <v/>
      </c>
      <c r="E18" s="72" t="str">
        <f>'[5]Annex-19'!E18</f>
        <v/>
      </c>
      <c r="F18" s="73" t="str">
        <f>'[5]Annex-19'!F18</f>
        <v/>
      </c>
      <c r="G18" s="72" t="str">
        <f>'[5]Annex-19'!G18</f>
        <v/>
      </c>
      <c r="H18" s="72" t="str">
        <f>'[5]Annex-19'!H18</f>
        <v/>
      </c>
      <c r="I18" s="135"/>
    </row>
    <row r="19" spans="1:9" x14ac:dyDescent="0.3">
      <c r="A19" s="235">
        <v>6</v>
      </c>
      <c r="B19" s="134" t="s">
        <v>125</v>
      </c>
      <c r="C19" s="72" t="str">
        <f>'[5]Annex-19'!C19</f>
        <v xml:space="preserve"> </v>
      </c>
      <c r="D19" s="72" t="str">
        <f>'[5]Annex-19'!D19</f>
        <v xml:space="preserve"> </v>
      </c>
      <c r="E19" s="72" t="str">
        <f>'[5]Annex-19'!E19</f>
        <v xml:space="preserve"> </v>
      </c>
      <c r="F19" s="73" t="str">
        <f>'[5]Annex-19'!F19</f>
        <v xml:space="preserve"> </v>
      </c>
      <c r="G19" s="72" t="str">
        <f>'[5]Annex-19'!G19</f>
        <v xml:space="preserve"> </v>
      </c>
      <c r="H19" s="72" t="str">
        <f>'[5]Annex-19'!H19</f>
        <v xml:space="preserve"> </v>
      </c>
      <c r="I19" s="135"/>
    </row>
    <row r="20" spans="1:9" x14ac:dyDescent="0.3">
      <c r="A20" s="310"/>
      <c r="B20" s="136" t="s">
        <v>122</v>
      </c>
      <c r="C20" s="74" t="str">
        <f>'[5]Annex-19'!C20</f>
        <v/>
      </c>
      <c r="D20" s="74" t="str">
        <f>'[5]Annex-19'!D20</f>
        <v/>
      </c>
      <c r="E20" s="74" t="str">
        <f>'[5]Annex-19'!E20</f>
        <v/>
      </c>
      <c r="F20" s="75" t="str">
        <f>'[5]Annex-19'!F20</f>
        <v/>
      </c>
      <c r="G20" s="74" t="str">
        <f>'[5]Annex-19'!G20</f>
        <v/>
      </c>
      <c r="H20" s="74" t="str">
        <f>'[5]Annex-19'!H20</f>
        <v/>
      </c>
      <c r="I20" s="135"/>
    </row>
    <row r="21" spans="1:9" x14ac:dyDescent="0.3">
      <c r="A21" s="111" t="str">
        <f>common!$J$5</f>
        <v>YEAR 2023-24</v>
      </c>
      <c r="B21" s="112"/>
      <c r="C21" s="113"/>
      <c r="D21" s="113"/>
      <c r="E21" s="113"/>
      <c r="F21" s="137"/>
      <c r="G21" s="113"/>
      <c r="H21" s="113"/>
      <c r="I21" s="135"/>
    </row>
    <row r="22" spans="1:9" x14ac:dyDescent="0.3">
      <c r="A22" s="94">
        <v>1</v>
      </c>
      <c r="B22" s="134" t="s">
        <v>121</v>
      </c>
      <c r="C22" s="72" t="str">
        <f>'[5]Annex-19'!C22</f>
        <v xml:space="preserve">10 </v>
      </c>
      <c r="D22" s="72" t="str">
        <f>'[5]Annex-19'!D22</f>
        <v xml:space="preserve">10 </v>
      </c>
      <c r="E22" s="72" t="str">
        <f>'[5]Annex-19'!E22</f>
        <v xml:space="preserve">20 </v>
      </c>
      <c r="F22" s="73" t="str">
        <f>'[5]Annex-19'!F22</f>
        <v xml:space="preserve">10 </v>
      </c>
      <c r="G22" s="72" t="str">
        <f>'[5]Annex-19'!G22</f>
        <v xml:space="preserve">10 </v>
      </c>
      <c r="H22" s="72" t="str">
        <f>'[5]Annex-19'!H22</f>
        <v xml:space="preserve">20 </v>
      </c>
      <c r="I22" s="135"/>
    </row>
    <row r="23" spans="1:9" x14ac:dyDescent="0.3">
      <c r="A23" s="94">
        <v>2</v>
      </c>
      <c r="B23" s="134" t="s">
        <v>302</v>
      </c>
      <c r="C23" s="72" t="str">
        <f>'[5]Annex-19'!C23</f>
        <v xml:space="preserve">10 </v>
      </c>
      <c r="D23" s="72" t="str">
        <f>'[5]Annex-19'!D23</f>
        <v xml:space="preserve">10 </v>
      </c>
      <c r="E23" s="72" t="str">
        <f>'[5]Annex-19'!E23</f>
        <v xml:space="preserve">20 </v>
      </c>
      <c r="F23" s="73" t="str">
        <f>'[5]Annex-19'!F23</f>
        <v xml:space="preserve">10 </v>
      </c>
      <c r="G23" s="72" t="str">
        <f>'[5]Annex-19'!G23</f>
        <v xml:space="preserve">10 </v>
      </c>
      <c r="H23" s="72" t="str">
        <f>'[5]Annex-19'!H23</f>
        <v xml:space="preserve">20 </v>
      </c>
      <c r="I23" s="135"/>
    </row>
    <row r="24" spans="1:9" x14ac:dyDescent="0.3">
      <c r="A24" s="94"/>
      <c r="B24" s="134" t="s">
        <v>122</v>
      </c>
      <c r="C24" s="72" t="str">
        <f>'[5]Annex-19'!C24</f>
        <v>(100.0)</v>
      </c>
      <c r="D24" s="72" t="str">
        <f>'[5]Annex-19'!D24</f>
        <v>(100.0)</v>
      </c>
      <c r="E24" s="72" t="str">
        <f>'[5]Annex-19'!E24</f>
        <v>(100.0)</v>
      </c>
      <c r="F24" s="73" t="str">
        <f>'[5]Annex-19'!F24</f>
        <v>(100.0)</v>
      </c>
      <c r="G24" s="72" t="str">
        <f>'[5]Annex-19'!G24</f>
        <v>(100.0)</v>
      </c>
      <c r="H24" s="72" t="str">
        <f>'[5]Annex-19'!H24</f>
        <v>(100.0)</v>
      </c>
      <c r="I24" s="135"/>
    </row>
    <row r="25" spans="1:9" x14ac:dyDescent="0.3">
      <c r="A25" s="94">
        <v>3</v>
      </c>
      <c r="B25" s="134" t="s">
        <v>303</v>
      </c>
      <c r="C25" s="72" t="str">
        <f>'[5]Annex-19'!C25</f>
        <v xml:space="preserve"> </v>
      </c>
      <c r="D25" s="72" t="str">
        <f>'[5]Annex-19'!D25</f>
        <v xml:space="preserve"> </v>
      </c>
      <c r="E25" s="72" t="str">
        <f>'[5]Annex-19'!E25</f>
        <v xml:space="preserve"> </v>
      </c>
      <c r="F25" s="73" t="str">
        <f>'[5]Annex-19'!F25</f>
        <v xml:space="preserve"> </v>
      </c>
      <c r="G25" s="72" t="str">
        <f>'[5]Annex-19'!G25</f>
        <v xml:space="preserve"> </v>
      </c>
      <c r="H25" s="72" t="str">
        <f>'[5]Annex-19'!H25</f>
        <v xml:space="preserve"> </v>
      </c>
      <c r="I25" s="135"/>
    </row>
    <row r="26" spans="1:9" x14ac:dyDescent="0.3">
      <c r="A26" s="94"/>
      <c r="B26" s="134" t="s">
        <v>122</v>
      </c>
      <c r="C26" s="72" t="str">
        <f>'[5]Annex-19'!C26</f>
        <v/>
      </c>
      <c r="D26" s="72" t="str">
        <f>'[5]Annex-19'!D26</f>
        <v/>
      </c>
      <c r="E26" s="72" t="str">
        <f>'[5]Annex-19'!E26</f>
        <v/>
      </c>
      <c r="F26" s="73" t="str">
        <f>'[5]Annex-19'!F26</f>
        <v/>
      </c>
      <c r="G26" s="72" t="str">
        <f>'[5]Annex-19'!G26</f>
        <v/>
      </c>
      <c r="H26" s="72" t="str">
        <f>'[5]Annex-19'!H26</f>
        <v/>
      </c>
      <c r="I26" s="135"/>
    </row>
    <row r="27" spans="1:9" x14ac:dyDescent="0.3">
      <c r="A27" s="94">
        <v>4</v>
      </c>
      <c r="B27" s="134" t="s">
        <v>123</v>
      </c>
      <c r="C27" s="72" t="str">
        <f>'[5]Annex-19'!C27</f>
        <v xml:space="preserve"> </v>
      </c>
      <c r="D27" s="72" t="str">
        <f>'[5]Annex-19'!D27</f>
        <v xml:space="preserve"> </v>
      </c>
      <c r="E27" s="72" t="str">
        <f>'[5]Annex-19'!E27</f>
        <v xml:space="preserve"> </v>
      </c>
      <c r="F27" s="73" t="str">
        <f>'[5]Annex-19'!F27</f>
        <v xml:space="preserve"> </v>
      </c>
      <c r="G27" s="72" t="str">
        <f>'[5]Annex-19'!G27</f>
        <v xml:space="preserve"> </v>
      </c>
      <c r="H27" s="72" t="str">
        <f>'[5]Annex-19'!H27</f>
        <v xml:space="preserve"> </v>
      </c>
      <c r="I27" s="135"/>
    </row>
    <row r="28" spans="1:9" x14ac:dyDescent="0.3">
      <c r="A28" s="94"/>
      <c r="B28" s="134" t="s">
        <v>122</v>
      </c>
      <c r="C28" s="72" t="str">
        <f>'[5]Annex-19'!C28</f>
        <v/>
      </c>
      <c r="D28" s="72" t="str">
        <f>'[5]Annex-19'!D28</f>
        <v/>
      </c>
      <c r="E28" s="72" t="str">
        <f>'[5]Annex-19'!E28</f>
        <v/>
      </c>
      <c r="F28" s="73" t="str">
        <f>'[5]Annex-19'!F28</f>
        <v/>
      </c>
      <c r="G28" s="72" t="str">
        <f>'[5]Annex-19'!G28</f>
        <v/>
      </c>
      <c r="H28" s="72" t="str">
        <f>'[5]Annex-19'!H28</f>
        <v/>
      </c>
      <c r="I28" s="135"/>
    </row>
    <row r="29" spans="1:9" x14ac:dyDescent="0.3">
      <c r="A29" s="94">
        <v>5</v>
      </c>
      <c r="B29" s="134" t="s">
        <v>124</v>
      </c>
      <c r="C29" s="72" t="str">
        <f>'[5]Annex-19'!C29</f>
        <v xml:space="preserve"> </v>
      </c>
      <c r="D29" s="72" t="str">
        <f>'[5]Annex-19'!D29</f>
        <v xml:space="preserve"> </v>
      </c>
      <c r="E29" s="72" t="str">
        <f>'[5]Annex-19'!E29</f>
        <v xml:space="preserve"> </v>
      </c>
      <c r="F29" s="73" t="str">
        <f>'[5]Annex-19'!F29</f>
        <v xml:space="preserve"> </v>
      </c>
      <c r="G29" s="72" t="str">
        <f>'[5]Annex-19'!G29</f>
        <v xml:space="preserve"> </v>
      </c>
      <c r="H29" s="72" t="str">
        <f>'[5]Annex-19'!H29</f>
        <v xml:space="preserve"> </v>
      </c>
      <c r="I29" s="135"/>
    </row>
    <row r="30" spans="1:9" x14ac:dyDescent="0.3">
      <c r="A30" s="94"/>
      <c r="B30" s="134" t="s">
        <v>122</v>
      </c>
      <c r="C30" s="72" t="str">
        <f>'[5]Annex-19'!C30</f>
        <v/>
      </c>
      <c r="D30" s="72" t="str">
        <f>'[5]Annex-19'!D30</f>
        <v/>
      </c>
      <c r="E30" s="72" t="str">
        <f>'[5]Annex-19'!E30</f>
        <v/>
      </c>
      <c r="F30" s="73" t="str">
        <f>'[5]Annex-19'!F30</f>
        <v/>
      </c>
      <c r="G30" s="72" t="str">
        <f>'[5]Annex-19'!G30</f>
        <v/>
      </c>
      <c r="H30" s="72" t="str">
        <f>'[5]Annex-19'!H30</f>
        <v/>
      </c>
      <c r="I30" s="135"/>
    </row>
    <row r="31" spans="1:9" x14ac:dyDescent="0.3">
      <c r="A31" s="94">
        <v>6</v>
      </c>
      <c r="B31" s="134" t="s">
        <v>125</v>
      </c>
      <c r="C31" s="72" t="str">
        <f>'[5]Annex-19'!C31</f>
        <v xml:space="preserve"> </v>
      </c>
      <c r="D31" s="72" t="str">
        <f>'[5]Annex-19'!D31</f>
        <v xml:space="preserve"> </v>
      </c>
      <c r="E31" s="72" t="str">
        <f>'[5]Annex-19'!E31</f>
        <v xml:space="preserve"> </v>
      </c>
      <c r="F31" s="73" t="str">
        <f>'[5]Annex-19'!F31</f>
        <v xml:space="preserve"> </v>
      </c>
      <c r="G31" s="72" t="str">
        <f>'[5]Annex-19'!G31</f>
        <v xml:space="preserve"> </v>
      </c>
      <c r="H31" s="72" t="str">
        <f>'[5]Annex-19'!H31</f>
        <v xml:space="preserve"> </v>
      </c>
      <c r="I31" s="135"/>
    </row>
    <row r="32" spans="1:9" ht="15" thickBot="1" x14ac:dyDescent="0.35">
      <c r="A32" s="86"/>
      <c r="B32" s="138" t="s">
        <v>122</v>
      </c>
      <c r="C32" s="86" t="str">
        <f>'[5]Annex-19'!C32</f>
        <v/>
      </c>
      <c r="D32" s="86" t="str">
        <f>'[5]Annex-19'!D32</f>
        <v/>
      </c>
      <c r="E32" s="86" t="str">
        <f>'[5]Annex-19'!E32</f>
        <v/>
      </c>
      <c r="F32" s="87" t="str">
        <f>'[5]Annex-19'!F32</f>
        <v/>
      </c>
      <c r="G32" s="86" t="str">
        <f>'[5]Annex-19'!G32</f>
        <v/>
      </c>
      <c r="H32" s="86" t="str">
        <f>'[5]Annex-19'!H32</f>
        <v/>
      </c>
      <c r="I32" s="135"/>
    </row>
    <row r="33" spans="1:9" ht="15" thickTop="1" x14ac:dyDescent="0.3">
      <c r="A33" s="139"/>
      <c r="B33" s="101"/>
      <c r="C33" s="101"/>
      <c r="D33" s="101"/>
      <c r="E33" s="101"/>
      <c r="F33" s="101"/>
      <c r="G33" s="101"/>
      <c r="H33" s="101"/>
      <c r="I33" s="101"/>
    </row>
    <row r="35" spans="1:9" x14ac:dyDescent="0.3">
      <c r="A35" s="115"/>
      <c r="B35" s="115"/>
      <c r="C35" s="115"/>
      <c r="D35" s="115"/>
      <c r="E35" s="115"/>
      <c r="F35" s="115"/>
      <c r="G35" s="115"/>
      <c r="H35" s="115"/>
      <c r="I35" s="115"/>
    </row>
    <row r="36" spans="1:9" x14ac:dyDescent="0.3">
      <c r="A36" s="115"/>
      <c r="B36" s="115"/>
      <c r="C36" s="115"/>
      <c r="D36" s="115"/>
      <c r="E36" s="115"/>
      <c r="F36" s="115"/>
      <c r="G36" s="115"/>
      <c r="H36" s="115"/>
      <c r="I36" s="115"/>
    </row>
    <row r="37" spans="1:9" x14ac:dyDescent="0.3">
      <c r="A37" s="115"/>
      <c r="B37" s="115"/>
      <c r="C37" s="115"/>
      <c r="D37" s="115"/>
      <c r="E37" s="115"/>
      <c r="F37" s="115"/>
      <c r="G37" s="115"/>
      <c r="H37" s="115"/>
      <c r="I37" s="115"/>
    </row>
    <row r="38" spans="1:9" x14ac:dyDescent="0.3">
      <c r="A38" s="115"/>
      <c r="B38" s="115"/>
      <c r="C38" s="115"/>
      <c r="D38" s="115"/>
      <c r="E38" s="115"/>
      <c r="F38" s="115"/>
      <c r="G38" s="115"/>
      <c r="H38" s="115"/>
      <c r="I38" s="115"/>
    </row>
    <row r="39" spans="1:9" x14ac:dyDescent="0.3">
      <c r="A39" s="115"/>
      <c r="B39" s="115"/>
      <c r="C39" s="115"/>
      <c r="D39" s="115"/>
      <c r="E39" s="115"/>
      <c r="F39" s="115"/>
      <c r="G39" s="115"/>
      <c r="H39" s="115"/>
      <c r="I39" s="115"/>
    </row>
    <row r="40" spans="1:9" x14ac:dyDescent="0.3">
      <c r="A40" s="115"/>
      <c r="B40" s="115"/>
      <c r="C40" s="115"/>
      <c r="D40" s="115"/>
      <c r="E40" s="115"/>
      <c r="F40" s="115"/>
      <c r="G40" s="115"/>
      <c r="H40" s="115"/>
      <c r="I40" s="115"/>
    </row>
    <row r="41" spans="1:9" x14ac:dyDescent="0.3">
      <c r="A41" s="115"/>
      <c r="B41" s="115"/>
      <c r="C41" s="115"/>
      <c r="D41" s="115"/>
      <c r="E41" s="115"/>
      <c r="F41" s="115"/>
      <c r="G41" s="115"/>
      <c r="H41" s="115"/>
      <c r="I41" s="115"/>
    </row>
    <row r="42" spans="1:9" x14ac:dyDescent="0.3">
      <c r="A42" s="115"/>
      <c r="B42" s="115"/>
      <c r="C42" s="115"/>
      <c r="D42" s="115"/>
      <c r="E42" s="115"/>
      <c r="F42" s="115"/>
      <c r="G42" s="115"/>
      <c r="H42" s="115"/>
      <c r="I42" s="115"/>
    </row>
    <row r="43" spans="1:9" x14ac:dyDescent="0.3">
      <c r="A43" s="115"/>
      <c r="B43" s="115"/>
      <c r="C43" s="115"/>
      <c r="D43" s="115"/>
      <c r="E43" s="115"/>
      <c r="F43" s="115"/>
      <c r="G43" s="115"/>
      <c r="H43" s="115"/>
      <c r="I43" s="115"/>
    </row>
    <row r="44" spans="1:9" x14ac:dyDescent="0.3">
      <c r="A44" s="115"/>
      <c r="B44" s="115"/>
      <c r="C44" s="115"/>
      <c r="D44" s="115"/>
      <c r="E44" s="115"/>
      <c r="F44" s="115"/>
      <c r="G44" s="115"/>
      <c r="H44" s="115"/>
      <c r="I44" s="115"/>
    </row>
    <row r="45" spans="1:9" x14ac:dyDescent="0.3">
      <c r="A45" s="115"/>
      <c r="B45" s="115"/>
      <c r="C45" s="115"/>
      <c r="D45" s="115"/>
      <c r="E45" s="115"/>
      <c r="F45" s="115"/>
      <c r="G45" s="115"/>
      <c r="H45" s="115"/>
      <c r="I45" s="115"/>
    </row>
    <row r="46" spans="1:9" x14ac:dyDescent="0.3">
      <c r="A46" s="115"/>
      <c r="B46" s="115"/>
      <c r="C46" s="115"/>
      <c r="D46" s="115"/>
      <c r="E46" s="115"/>
      <c r="F46" s="115"/>
      <c r="G46" s="115"/>
      <c r="H46" s="115"/>
      <c r="I46" s="115"/>
    </row>
    <row r="47" spans="1:9" x14ac:dyDescent="0.3">
      <c r="A47" s="115"/>
      <c r="B47" s="115"/>
      <c r="C47" s="115"/>
      <c r="D47" s="115"/>
      <c r="E47" s="115"/>
      <c r="F47" s="115"/>
      <c r="G47" s="115"/>
      <c r="H47" s="115"/>
      <c r="I47" s="115"/>
    </row>
    <row r="48" spans="1:9" x14ac:dyDescent="0.3">
      <c r="A48" s="115"/>
      <c r="B48" s="115"/>
      <c r="C48" s="115"/>
      <c r="D48" s="115"/>
      <c r="E48" s="115"/>
      <c r="F48" s="115"/>
      <c r="G48" s="115"/>
      <c r="H48" s="115"/>
      <c r="I48" s="115"/>
    </row>
    <row r="49" spans="1:9" x14ac:dyDescent="0.3">
      <c r="A49" s="115"/>
      <c r="B49" s="115"/>
      <c r="C49" s="115"/>
      <c r="D49" s="115"/>
      <c r="E49" s="115"/>
      <c r="F49" s="115"/>
      <c r="G49" s="115"/>
      <c r="H49" s="115"/>
      <c r="I49" s="115"/>
    </row>
    <row r="50" spans="1:9" x14ac:dyDescent="0.3">
      <c r="A50" s="115"/>
      <c r="B50" s="115"/>
      <c r="C50" s="115"/>
      <c r="D50" s="115"/>
      <c r="E50" s="115"/>
      <c r="F50" s="115"/>
      <c r="G50" s="115"/>
      <c r="H50" s="115"/>
      <c r="I50" s="115"/>
    </row>
    <row r="51" spans="1:9" x14ac:dyDescent="0.3">
      <c r="A51" s="115"/>
      <c r="B51" s="115"/>
      <c r="C51" s="115"/>
      <c r="D51" s="115"/>
      <c r="E51" s="115"/>
      <c r="F51" s="115"/>
      <c r="G51" s="115"/>
      <c r="H51" s="115"/>
      <c r="I51" s="115"/>
    </row>
    <row r="52" spans="1:9" x14ac:dyDescent="0.3">
      <c r="A52" s="115"/>
      <c r="B52" s="115"/>
      <c r="C52" s="115"/>
      <c r="D52" s="115"/>
      <c r="E52" s="115"/>
      <c r="F52" s="115"/>
      <c r="G52" s="115"/>
      <c r="H52" s="115"/>
      <c r="I52" s="115"/>
    </row>
    <row r="53" spans="1:9" x14ac:dyDescent="0.3">
      <c r="A53" s="115"/>
      <c r="B53" s="115"/>
      <c r="C53" s="115"/>
      <c r="D53" s="115"/>
      <c r="E53" s="115"/>
      <c r="F53" s="115"/>
      <c r="G53" s="115"/>
      <c r="H53" s="115"/>
      <c r="I53" s="115"/>
    </row>
    <row r="54" spans="1:9" x14ac:dyDescent="0.3">
      <c r="A54" s="115"/>
      <c r="B54" s="115"/>
      <c r="C54" s="115"/>
      <c r="D54" s="115"/>
      <c r="E54" s="115"/>
      <c r="F54" s="115"/>
      <c r="G54" s="115"/>
      <c r="H54" s="115"/>
      <c r="I54" s="115"/>
    </row>
    <row r="55" spans="1:9" x14ac:dyDescent="0.3">
      <c r="A55" s="115"/>
      <c r="B55" s="115"/>
      <c r="C55" s="115"/>
      <c r="D55" s="115"/>
      <c r="E55" s="115"/>
      <c r="F55" s="115"/>
      <c r="G55" s="115"/>
      <c r="H55" s="115"/>
      <c r="I55" s="115"/>
    </row>
    <row r="56" spans="1:9" x14ac:dyDescent="0.3">
      <c r="A56" s="115"/>
      <c r="B56" s="115"/>
      <c r="C56" s="115"/>
      <c r="D56" s="115"/>
      <c r="E56" s="115"/>
      <c r="F56" s="115"/>
      <c r="G56" s="115"/>
      <c r="H56" s="115"/>
      <c r="I56" s="115"/>
    </row>
    <row r="57" spans="1:9" x14ac:dyDescent="0.3">
      <c r="A57" s="115"/>
      <c r="B57" s="115"/>
      <c r="C57" s="115"/>
      <c r="D57" s="115"/>
      <c r="E57" s="115"/>
      <c r="F57" s="115"/>
      <c r="G57" s="115"/>
      <c r="H57" s="115"/>
      <c r="I57" s="115"/>
    </row>
    <row r="58" spans="1:9" x14ac:dyDescent="0.3">
      <c r="A58" s="115"/>
      <c r="B58" s="115"/>
      <c r="C58" s="115"/>
      <c r="D58" s="115"/>
      <c r="E58" s="115"/>
      <c r="F58" s="115"/>
      <c r="G58" s="115"/>
      <c r="H58" s="115"/>
      <c r="I58" s="115"/>
    </row>
    <row r="59" spans="1:9" x14ac:dyDescent="0.3">
      <c r="A59" s="115"/>
      <c r="B59" s="115"/>
      <c r="C59" s="115"/>
      <c r="D59" s="115"/>
      <c r="E59" s="115"/>
      <c r="F59" s="115"/>
      <c r="G59" s="115"/>
      <c r="H59" s="115"/>
      <c r="I59" s="115"/>
    </row>
    <row r="60" spans="1:9" x14ac:dyDescent="0.3">
      <c r="A60" s="115"/>
      <c r="B60" s="115"/>
      <c r="C60" s="115"/>
      <c r="D60" s="115"/>
      <c r="E60" s="115"/>
      <c r="F60" s="115"/>
      <c r="G60" s="115"/>
      <c r="H60" s="115"/>
      <c r="I60" s="115"/>
    </row>
    <row r="61" spans="1:9" x14ac:dyDescent="0.3">
      <c r="A61" s="115"/>
      <c r="B61" s="115"/>
      <c r="C61" s="115"/>
      <c r="D61" s="115"/>
      <c r="E61" s="115"/>
      <c r="F61" s="115"/>
      <c r="G61" s="115"/>
      <c r="H61" s="115"/>
      <c r="I61" s="115"/>
    </row>
    <row r="62" spans="1:9" x14ac:dyDescent="0.3">
      <c r="A62" s="115"/>
      <c r="B62" s="115"/>
      <c r="C62" s="115"/>
      <c r="D62" s="115"/>
      <c r="E62" s="115"/>
      <c r="F62" s="115"/>
      <c r="G62" s="115"/>
      <c r="H62" s="115"/>
      <c r="I62" s="115"/>
    </row>
    <row r="63" spans="1:9" x14ac:dyDescent="0.3">
      <c r="A63" s="115"/>
      <c r="B63" s="115"/>
      <c r="C63" s="115"/>
      <c r="D63" s="115"/>
      <c r="E63" s="115"/>
      <c r="F63" s="115"/>
      <c r="G63" s="115"/>
      <c r="H63" s="115"/>
      <c r="I63" s="115"/>
    </row>
    <row r="64" spans="1:9" x14ac:dyDescent="0.3">
      <c r="A64" s="115"/>
      <c r="B64" s="115"/>
      <c r="C64" s="115"/>
      <c r="D64" s="115"/>
      <c r="E64" s="115"/>
      <c r="F64" s="115"/>
      <c r="G64" s="115"/>
      <c r="H64" s="115"/>
      <c r="I64" s="115"/>
    </row>
    <row r="65" spans="1:9" x14ac:dyDescent="0.3">
      <c r="A65" s="115"/>
      <c r="B65" s="115"/>
      <c r="C65" s="115"/>
      <c r="D65" s="115"/>
      <c r="E65" s="115"/>
      <c r="F65" s="115"/>
      <c r="G65" s="115"/>
      <c r="H65" s="115"/>
      <c r="I65" s="115"/>
    </row>
    <row r="66" spans="1:9" x14ac:dyDescent="0.3">
      <c r="A66" s="115"/>
      <c r="B66" s="115"/>
      <c r="C66" s="115"/>
      <c r="D66" s="115"/>
      <c r="E66" s="115"/>
      <c r="F66" s="115"/>
      <c r="G66" s="115"/>
      <c r="H66" s="115"/>
      <c r="I66" s="115"/>
    </row>
    <row r="67" spans="1:9" x14ac:dyDescent="0.3">
      <c r="A67" s="115"/>
      <c r="B67" s="115"/>
      <c r="C67" s="115"/>
      <c r="D67" s="115"/>
      <c r="E67" s="115"/>
      <c r="F67" s="115"/>
      <c r="G67" s="115"/>
      <c r="H67" s="115"/>
      <c r="I67" s="115"/>
    </row>
    <row r="68" spans="1:9" x14ac:dyDescent="0.3">
      <c r="A68" s="115"/>
      <c r="B68" s="115"/>
      <c r="C68" s="115"/>
      <c r="D68" s="115"/>
      <c r="E68" s="115"/>
      <c r="F68" s="115"/>
      <c r="G68" s="115"/>
      <c r="H68" s="115"/>
      <c r="I68" s="115"/>
    </row>
    <row r="69" spans="1:9" x14ac:dyDescent="0.3">
      <c r="A69" s="115"/>
      <c r="B69" s="115"/>
      <c r="C69" s="115"/>
      <c r="D69" s="115"/>
      <c r="E69" s="115"/>
      <c r="F69" s="115"/>
      <c r="G69" s="115"/>
      <c r="H69" s="115"/>
      <c r="I69" s="115"/>
    </row>
    <row r="70" spans="1:9" x14ac:dyDescent="0.3">
      <c r="A70" s="115"/>
      <c r="B70" s="115"/>
      <c r="C70" s="115"/>
      <c r="D70" s="115"/>
      <c r="E70" s="115"/>
      <c r="F70" s="115"/>
      <c r="G70" s="115"/>
      <c r="H70" s="115"/>
      <c r="I70" s="115"/>
    </row>
    <row r="71" spans="1:9" x14ac:dyDescent="0.3">
      <c r="A71" s="115"/>
      <c r="B71" s="115"/>
      <c r="C71" s="115"/>
      <c r="D71" s="115"/>
      <c r="E71" s="115"/>
      <c r="F71" s="115"/>
      <c r="G71" s="115"/>
      <c r="H71" s="115"/>
      <c r="I71" s="115"/>
    </row>
    <row r="72" spans="1:9" x14ac:dyDescent="0.3">
      <c r="A72" s="115"/>
      <c r="B72" s="115"/>
      <c r="C72" s="115"/>
      <c r="D72" s="115"/>
      <c r="E72" s="115"/>
      <c r="F72" s="115"/>
      <c r="G72" s="115"/>
      <c r="H72" s="115"/>
      <c r="I72" s="115"/>
    </row>
    <row r="73" spans="1:9" x14ac:dyDescent="0.3">
      <c r="A73" s="115"/>
      <c r="B73" s="115"/>
      <c r="C73" s="115"/>
      <c r="D73" s="115"/>
      <c r="E73" s="115"/>
      <c r="F73" s="115"/>
      <c r="G73" s="115"/>
      <c r="H73" s="115"/>
      <c r="I73" s="115"/>
    </row>
    <row r="74" spans="1:9" x14ac:dyDescent="0.3">
      <c r="A74" s="115"/>
      <c r="B74" s="115"/>
      <c r="C74" s="115"/>
      <c r="D74" s="115"/>
      <c r="E74" s="115"/>
      <c r="F74" s="115"/>
      <c r="G74" s="115"/>
      <c r="H74" s="115"/>
      <c r="I74" s="115"/>
    </row>
    <row r="75" spans="1:9" x14ac:dyDescent="0.3">
      <c r="A75" s="115"/>
      <c r="B75" s="115"/>
      <c r="C75" s="115"/>
      <c r="D75" s="115"/>
      <c r="E75" s="115"/>
      <c r="F75" s="115"/>
      <c r="G75" s="115"/>
      <c r="H75" s="115"/>
      <c r="I75" s="115"/>
    </row>
    <row r="76" spans="1:9" x14ac:dyDescent="0.3">
      <c r="A76" s="115"/>
      <c r="B76" s="115"/>
      <c r="C76" s="115"/>
      <c r="D76" s="115"/>
      <c r="E76" s="115"/>
      <c r="F76" s="115"/>
      <c r="G76" s="115"/>
      <c r="H76" s="115"/>
      <c r="I76" s="115"/>
    </row>
    <row r="77" spans="1:9" x14ac:dyDescent="0.3">
      <c r="A77" s="115"/>
      <c r="B77" s="115"/>
      <c r="C77" s="115"/>
      <c r="D77" s="115"/>
      <c r="E77" s="115"/>
      <c r="F77" s="115"/>
      <c r="G77" s="115"/>
      <c r="H77" s="115"/>
      <c r="I77" s="115"/>
    </row>
    <row r="78" spans="1:9" x14ac:dyDescent="0.3">
      <c r="A78" s="115"/>
      <c r="B78" s="115"/>
      <c r="C78" s="115"/>
      <c r="D78" s="115"/>
      <c r="E78" s="115"/>
      <c r="F78" s="115"/>
      <c r="G78" s="115"/>
      <c r="H78" s="115"/>
      <c r="I78" s="115"/>
    </row>
    <row r="79" spans="1:9" x14ac:dyDescent="0.3">
      <c r="A79" s="115"/>
      <c r="B79" s="115"/>
      <c r="C79" s="115"/>
      <c r="D79" s="115"/>
      <c r="E79" s="115"/>
      <c r="F79" s="115"/>
      <c r="G79" s="115"/>
      <c r="H79" s="115"/>
      <c r="I79" s="115"/>
    </row>
    <row r="80" spans="1:9" x14ac:dyDescent="0.3">
      <c r="A80" s="115"/>
      <c r="B80" s="115"/>
      <c r="C80" s="115"/>
      <c r="D80" s="115"/>
      <c r="E80" s="115"/>
      <c r="F80" s="115"/>
      <c r="G80" s="115"/>
      <c r="H80" s="115"/>
      <c r="I80" s="115"/>
    </row>
    <row r="81" spans="1:9" x14ac:dyDescent="0.3">
      <c r="A81" s="115"/>
      <c r="B81" s="115"/>
      <c r="C81" s="115"/>
      <c r="D81" s="115"/>
      <c r="E81" s="115"/>
      <c r="F81" s="115"/>
      <c r="G81" s="115"/>
      <c r="H81" s="115"/>
      <c r="I81" s="115"/>
    </row>
    <row r="82" spans="1:9" x14ac:dyDescent="0.3">
      <c r="A82" s="115"/>
      <c r="B82" s="115"/>
      <c r="C82" s="115"/>
      <c r="D82" s="115"/>
      <c r="E82" s="115"/>
      <c r="F82" s="115"/>
      <c r="G82" s="115"/>
      <c r="H82" s="115"/>
      <c r="I82" s="115"/>
    </row>
    <row r="83" spans="1:9" x14ac:dyDescent="0.3">
      <c r="A83" s="115"/>
      <c r="B83" s="115"/>
      <c r="C83" s="115"/>
      <c r="D83" s="115"/>
      <c r="E83" s="115"/>
      <c r="F83" s="115"/>
      <c r="G83" s="115"/>
      <c r="H83" s="115"/>
      <c r="I83" s="115"/>
    </row>
    <row r="84" spans="1:9" x14ac:dyDescent="0.3">
      <c r="A84" s="115"/>
      <c r="B84" s="115"/>
      <c r="C84" s="115"/>
      <c r="D84" s="115"/>
      <c r="E84" s="115"/>
      <c r="F84" s="115"/>
      <c r="G84" s="115"/>
      <c r="H84" s="115"/>
      <c r="I84" s="115"/>
    </row>
    <row r="85" spans="1:9" x14ac:dyDescent="0.3">
      <c r="A85" s="115"/>
      <c r="B85" s="115"/>
      <c r="C85" s="115"/>
      <c r="D85" s="115"/>
      <c r="E85" s="115"/>
      <c r="F85" s="115"/>
      <c r="G85" s="115"/>
      <c r="H85" s="115"/>
      <c r="I85" s="115"/>
    </row>
    <row r="86" spans="1:9" x14ac:dyDescent="0.3">
      <c r="A86" s="115"/>
      <c r="B86" s="115"/>
      <c r="C86" s="115"/>
      <c r="D86" s="115"/>
      <c r="E86" s="115"/>
      <c r="F86" s="115"/>
      <c r="G86" s="115"/>
      <c r="H86" s="115"/>
      <c r="I86" s="115"/>
    </row>
    <row r="87" spans="1:9" x14ac:dyDescent="0.3">
      <c r="A87" s="115"/>
      <c r="B87" s="115"/>
      <c r="C87" s="115"/>
      <c r="D87" s="115"/>
      <c r="E87" s="115"/>
      <c r="F87" s="115"/>
      <c r="G87" s="115"/>
      <c r="H87" s="115"/>
      <c r="I87" s="115"/>
    </row>
  </sheetData>
  <mergeCells count="14">
    <mergeCell ref="A19:A20"/>
    <mergeCell ref="A1:H1"/>
    <mergeCell ref="G2:H2"/>
    <mergeCell ref="A3:H3"/>
    <mergeCell ref="A4:A7"/>
    <mergeCell ref="B4:B7"/>
    <mergeCell ref="C4:H4"/>
    <mergeCell ref="C5:H5"/>
    <mergeCell ref="C6:E6"/>
    <mergeCell ref="F6:H6"/>
    <mergeCell ref="A11:A12"/>
    <mergeCell ref="A13:A14"/>
    <mergeCell ref="A15:A16"/>
    <mergeCell ref="A17:A18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N222"/>
  <sheetViews>
    <sheetView view="pageBreakPreview" zoomScale="70" zoomScaleNormal="100" zoomScaleSheetLayoutView="70" workbookViewId="0">
      <selection activeCell="B4" sqref="B4:M4"/>
    </sheetView>
  </sheetViews>
  <sheetFormatPr defaultRowHeight="14.4" x14ac:dyDescent="0.3"/>
  <cols>
    <col min="1" max="1" width="14.6640625" customWidth="1"/>
    <col min="2" max="13" width="9.21875" customWidth="1"/>
  </cols>
  <sheetData>
    <row r="1" spans="1:14" x14ac:dyDescent="0.3">
      <c r="A1" s="235" t="s">
        <v>213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115"/>
    </row>
    <row r="2" spans="1:14" x14ac:dyDescent="0.3">
      <c r="A2" s="312" t="str">
        <f>common!$H$2</f>
        <v>UT : PUDUCHERRY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236" t="s">
        <v>127</v>
      </c>
      <c r="M2" s="236"/>
      <c r="N2" s="115"/>
    </row>
    <row r="3" spans="1:14" x14ac:dyDescent="0.3">
      <c r="A3" s="251" t="str">
        <f>"CROPWISE RESPONSE IN SAMPLE CHECK ON CROP CUTTING EXPERIMENT DURING "&amp;common!$C$4&amp;" AND "&amp;common!$C$5 &amp; "."</f>
        <v>CROPWISE RESPONSE IN SAMPLE CHECK ON CROP CUTTING EXPERIMENT DURING 2024-25 AND 2023-24.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115"/>
    </row>
    <row r="4" spans="1:14" x14ac:dyDescent="0.3">
      <c r="A4" s="252" t="s">
        <v>128</v>
      </c>
      <c r="B4" s="253" t="s">
        <v>304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115"/>
    </row>
    <row r="5" spans="1:14" x14ac:dyDescent="0.3">
      <c r="A5" s="252"/>
      <c r="B5" s="255" t="str">
        <f>common!$J$4</f>
        <v>YEAR 2024-25</v>
      </c>
      <c r="C5" s="255"/>
      <c r="D5" s="255"/>
      <c r="E5" s="255"/>
      <c r="F5" s="255"/>
      <c r="G5" s="255"/>
      <c r="H5" s="313" t="str">
        <f>common!$J$5</f>
        <v>YEAR 2023-24</v>
      </c>
      <c r="I5" s="314"/>
      <c r="J5" s="314"/>
      <c r="K5" s="314"/>
      <c r="L5" s="314"/>
      <c r="M5" s="314"/>
      <c r="N5" s="115"/>
    </row>
    <row r="6" spans="1:14" ht="100.8" x14ac:dyDescent="0.3">
      <c r="A6" s="253"/>
      <c r="B6" s="99" t="s">
        <v>121</v>
      </c>
      <c r="C6" s="99" t="s">
        <v>129</v>
      </c>
      <c r="D6" s="99" t="s">
        <v>130</v>
      </c>
      <c r="E6" s="99" t="s">
        <v>131</v>
      </c>
      <c r="F6" s="99" t="s">
        <v>132</v>
      </c>
      <c r="G6" s="99" t="s">
        <v>133</v>
      </c>
      <c r="H6" s="164" t="s">
        <v>121</v>
      </c>
      <c r="I6" s="99" t="s">
        <v>129</v>
      </c>
      <c r="J6" s="99" t="s">
        <v>130</v>
      </c>
      <c r="K6" s="99" t="s">
        <v>131</v>
      </c>
      <c r="L6" s="99" t="s">
        <v>132</v>
      </c>
      <c r="M6" s="99" t="s">
        <v>133</v>
      </c>
      <c r="N6" s="115"/>
    </row>
    <row r="7" spans="1:14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65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15"/>
    </row>
    <row r="8" spans="1:14" x14ac:dyDescent="0.3">
      <c r="A8" s="98" t="str">
        <f>common!$C$3</f>
        <v>RABI I</v>
      </c>
      <c r="B8" s="101"/>
      <c r="C8" s="101"/>
      <c r="D8" s="101"/>
      <c r="E8" s="101"/>
      <c r="F8" s="101"/>
      <c r="G8" s="101"/>
      <c r="H8" s="133"/>
      <c r="I8" s="101"/>
      <c r="J8" s="101"/>
      <c r="K8" s="101"/>
      <c r="L8" s="101"/>
      <c r="M8" s="101"/>
      <c r="N8" s="115"/>
    </row>
    <row r="9" spans="1:14" x14ac:dyDescent="0.3">
      <c r="A9" s="111" t="str">
        <f>common!$C$9</f>
        <v>PADDY</v>
      </c>
      <c r="B9" s="101"/>
      <c r="C9" s="101"/>
      <c r="D9" s="101"/>
      <c r="E9" s="101"/>
      <c r="F9" s="101"/>
      <c r="G9" s="101"/>
      <c r="H9" s="133"/>
      <c r="I9" s="101"/>
      <c r="J9" s="101"/>
      <c r="K9" s="101"/>
      <c r="L9" s="101"/>
      <c r="M9" s="101"/>
      <c r="N9" s="115"/>
    </row>
    <row r="10" spans="1:14" x14ac:dyDescent="0.3">
      <c r="A10" s="112" t="str">
        <f>IF(A9="","","CENTRAL" )</f>
        <v>CENTRAL</v>
      </c>
      <c r="B10" s="113">
        <f>'[5]Annex-20'!B10</f>
        <v>10</v>
      </c>
      <c r="C10" s="113" t="str">
        <f>'[5]Annex-20'!C10</f>
        <v xml:space="preserve">10 </v>
      </c>
      <c r="D10" s="113" t="str">
        <f>'[5]Annex-20'!D10</f>
        <v xml:space="preserve">0 </v>
      </c>
      <c r="E10" s="113" t="str">
        <f>'[5]Annex-20'!E10</f>
        <v xml:space="preserve">0 </v>
      </c>
      <c r="F10" s="113" t="str">
        <f>'[5]Annex-20'!F10</f>
        <v xml:space="preserve">0 </v>
      </c>
      <c r="G10" s="113" t="str">
        <f>'[5]Annex-20'!G10</f>
        <v xml:space="preserve">0 </v>
      </c>
      <c r="H10" s="137">
        <f>'[5]Annex-20'!H10</f>
        <v>10</v>
      </c>
      <c r="I10" s="113" t="str">
        <f>'[5]Annex-20'!I10</f>
        <v xml:space="preserve">10 </v>
      </c>
      <c r="J10" s="113" t="str">
        <f>'[5]Annex-20'!J10</f>
        <v xml:space="preserve">0 </v>
      </c>
      <c r="K10" s="113" t="str">
        <f>'[5]Annex-20'!K10</f>
        <v xml:space="preserve">0 </v>
      </c>
      <c r="L10" s="113" t="str">
        <f>'[5]Annex-20'!L10</f>
        <v xml:space="preserve">0 </v>
      </c>
      <c r="M10" s="113" t="str">
        <f>'[5]Annex-20'!M10</f>
        <v xml:space="preserve">0 </v>
      </c>
      <c r="N10" s="115"/>
    </row>
    <row r="11" spans="1:14" x14ac:dyDescent="0.3">
      <c r="A11" s="72" t="str">
        <f>IF(A9="","","(%)")</f>
        <v>(%)</v>
      </c>
      <c r="B11" s="113"/>
      <c r="C11" s="113" t="str">
        <f>'[5]Annex-20'!C11</f>
        <v>(100.0)</v>
      </c>
      <c r="D11" s="113" t="str">
        <f>'[5]Annex-20'!D11</f>
        <v>(  0.0)</v>
      </c>
      <c r="E11" s="113" t="str">
        <f>'[5]Annex-20'!E11</f>
        <v>(  0.0)</v>
      </c>
      <c r="F11" s="113" t="str">
        <f>'[5]Annex-20'!F11</f>
        <v>(  0.0)</v>
      </c>
      <c r="G11" s="113" t="str">
        <f>'[5]Annex-20'!G11</f>
        <v>(  0.0)</v>
      </c>
      <c r="H11" s="137"/>
      <c r="I11" s="113" t="str">
        <f>'[5]Annex-20'!I11</f>
        <v>(100.0)</v>
      </c>
      <c r="J11" s="113" t="str">
        <f>'[5]Annex-20'!J11</f>
        <v>(  0.0)</v>
      </c>
      <c r="K11" s="113" t="str">
        <f>'[5]Annex-20'!K11</f>
        <v>(  0.0)</v>
      </c>
      <c r="L11" s="113" t="str">
        <f>'[5]Annex-20'!L11</f>
        <v>(  0.0)</v>
      </c>
      <c r="M11" s="113" t="str">
        <f>'[5]Annex-20'!M11</f>
        <v>(  0.0)</v>
      </c>
      <c r="N11" s="115"/>
    </row>
    <row r="12" spans="1:14" x14ac:dyDescent="0.3">
      <c r="A12" s="112" t="str">
        <f>IF(A9="","","STATE")</f>
        <v>STATE</v>
      </c>
      <c r="B12" s="113">
        <f>'[5]Annex-20'!B12</f>
        <v>10</v>
      </c>
      <c r="C12" s="113" t="str">
        <f>'[5]Annex-20'!C12</f>
        <v xml:space="preserve">10 </v>
      </c>
      <c r="D12" s="113" t="str">
        <f>'[5]Annex-20'!D12</f>
        <v xml:space="preserve">0 </v>
      </c>
      <c r="E12" s="113" t="str">
        <f>'[5]Annex-20'!E12</f>
        <v xml:space="preserve">0 </v>
      </c>
      <c r="F12" s="113" t="str">
        <f>'[5]Annex-20'!F12</f>
        <v xml:space="preserve">0 </v>
      </c>
      <c r="G12" s="113" t="str">
        <f>'[5]Annex-20'!G12</f>
        <v xml:space="preserve">0 </v>
      </c>
      <c r="H12" s="137">
        <f>'[5]Annex-20'!H12</f>
        <v>10</v>
      </c>
      <c r="I12" s="113" t="str">
        <f>'[5]Annex-20'!I12</f>
        <v xml:space="preserve">10 </v>
      </c>
      <c r="J12" s="113" t="str">
        <f>'[5]Annex-20'!J12</f>
        <v xml:space="preserve">0 </v>
      </c>
      <c r="K12" s="113" t="str">
        <f>'[5]Annex-20'!K12</f>
        <v xml:space="preserve">0 </v>
      </c>
      <c r="L12" s="113" t="str">
        <f>'[5]Annex-20'!L12</f>
        <v xml:space="preserve">0 </v>
      </c>
      <c r="M12" s="113" t="str">
        <f>'[5]Annex-20'!M12</f>
        <v xml:space="preserve">0 </v>
      </c>
      <c r="N12" s="115"/>
    </row>
    <row r="13" spans="1:14" x14ac:dyDescent="0.3">
      <c r="A13" s="72" t="str">
        <f>IF(A9="","","(%)")</f>
        <v>(%)</v>
      </c>
      <c r="B13" s="113"/>
      <c r="C13" s="113" t="str">
        <f>'[5]Annex-20'!C13</f>
        <v>(100.0)</v>
      </c>
      <c r="D13" s="113" t="str">
        <f>'[5]Annex-20'!D13</f>
        <v>(  0.0)</v>
      </c>
      <c r="E13" s="113" t="str">
        <f>'[5]Annex-20'!E13</f>
        <v>(  0.0)</v>
      </c>
      <c r="F13" s="113" t="str">
        <f>'[5]Annex-20'!F13</f>
        <v>(  0.0)</v>
      </c>
      <c r="G13" s="113" t="str">
        <f>'[5]Annex-20'!G13</f>
        <v>(  0.0)</v>
      </c>
      <c r="H13" s="137"/>
      <c r="I13" s="113" t="str">
        <f>'[5]Annex-20'!I13</f>
        <v>(100.0)</v>
      </c>
      <c r="J13" s="113" t="str">
        <f>'[5]Annex-20'!J13</f>
        <v>(  0.0)</v>
      </c>
      <c r="K13" s="113" t="str">
        <f>'[5]Annex-20'!K13</f>
        <v>(  0.0)</v>
      </c>
      <c r="L13" s="113" t="str">
        <f>'[5]Annex-20'!L13</f>
        <v>(  0.0)</v>
      </c>
      <c r="M13" s="113" t="str">
        <f>'[5]Annex-20'!M13</f>
        <v>(  0.0)</v>
      </c>
      <c r="N13" s="115"/>
    </row>
    <row r="14" spans="1:14" x14ac:dyDescent="0.3">
      <c r="A14" s="112" t="str">
        <f>IF(A9="","","POOLED")</f>
        <v>POOLED</v>
      </c>
      <c r="B14" s="113">
        <f>'[5]Annex-20'!B14</f>
        <v>20</v>
      </c>
      <c r="C14" s="113" t="str">
        <f>'[5]Annex-20'!C14</f>
        <v xml:space="preserve">20 </v>
      </c>
      <c r="D14" s="113" t="str">
        <f>'[5]Annex-20'!D14</f>
        <v xml:space="preserve">0 </v>
      </c>
      <c r="E14" s="113" t="str">
        <f>'[5]Annex-20'!E14</f>
        <v xml:space="preserve">0 </v>
      </c>
      <c r="F14" s="113" t="str">
        <f>'[5]Annex-20'!F14</f>
        <v xml:space="preserve">0 </v>
      </c>
      <c r="G14" s="113" t="str">
        <f>'[5]Annex-20'!G14</f>
        <v xml:space="preserve">0 </v>
      </c>
      <c r="H14" s="137">
        <f>'[5]Annex-20'!H14</f>
        <v>20</v>
      </c>
      <c r="I14" s="113" t="str">
        <f>'[5]Annex-20'!I14</f>
        <v xml:space="preserve">20 </v>
      </c>
      <c r="J14" s="113" t="str">
        <f>'[5]Annex-20'!J14</f>
        <v xml:space="preserve">0 </v>
      </c>
      <c r="K14" s="113" t="str">
        <f>'[5]Annex-20'!K14</f>
        <v xml:space="preserve">0 </v>
      </c>
      <c r="L14" s="113" t="str">
        <f>'[5]Annex-20'!L14</f>
        <v xml:space="preserve">0 </v>
      </c>
      <c r="M14" s="113" t="str">
        <f>'[5]Annex-20'!M14</f>
        <v xml:space="preserve">0 </v>
      </c>
      <c r="N14" s="115"/>
    </row>
    <row r="15" spans="1:14" x14ac:dyDescent="0.3">
      <c r="A15" s="74" t="str">
        <f>IF(A9="","","(%)")</f>
        <v>(%)</v>
      </c>
      <c r="B15" s="154"/>
      <c r="C15" s="154" t="str">
        <f>'[5]Annex-20'!C15</f>
        <v>(100.0)</v>
      </c>
      <c r="D15" s="154" t="str">
        <f>'[5]Annex-20'!D15</f>
        <v>(  0.0)</v>
      </c>
      <c r="E15" s="154" t="str">
        <f>'[5]Annex-20'!E15</f>
        <v>(  0.0)</v>
      </c>
      <c r="F15" s="154" t="str">
        <f>'[5]Annex-20'!F15</f>
        <v>(  0.0)</v>
      </c>
      <c r="G15" s="154" t="str">
        <f>'[5]Annex-20'!G15</f>
        <v>(  0.0)</v>
      </c>
      <c r="H15" s="166"/>
      <c r="I15" s="154" t="str">
        <f>'[5]Annex-20'!I15</f>
        <v>(100.0)</v>
      </c>
      <c r="J15" s="154" t="str">
        <f>'[5]Annex-20'!J15</f>
        <v>(  0.0)</v>
      </c>
      <c r="K15" s="154" t="str">
        <f>'[5]Annex-20'!K15</f>
        <v>(  0.0)</v>
      </c>
      <c r="L15" s="154" t="str">
        <f>'[5]Annex-20'!L15</f>
        <v>(  0.0)</v>
      </c>
      <c r="M15" s="154" t="str">
        <f>'[5]Annex-20'!M15</f>
        <v>(  0.0)</v>
      </c>
      <c r="N15" s="115"/>
    </row>
    <row r="16" spans="1:14" hidden="1" x14ac:dyDescent="0.3">
      <c r="A16" s="119" t="str">
        <f>IF('[5]Crops CY'!$A$8=0,"",'[5]Crops CY'!$A$8)</f>
        <v/>
      </c>
      <c r="B16" s="113"/>
      <c r="C16" s="113"/>
      <c r="D16" s="113"/>
      <c r="E16" s="113"/>
      <c r="F16" s="113"/>
      <c r="G16" s="113"/>
      <c r="H16" s="137"/>
      <c r="I16" s="113"/>
      <c r="J16" s="113"/>
      <c r="K16" s="113"/>
      <c r="L16" s="113"/>
      <c r="M16" s="113"/>
      <c r="N16" s="115"/>
    </row>
    <row r="17" spans="1:14" hidden="1" x14ac:dyDescent="0.3">
      <c r="A17" s="112" t="str">
        <f t="shared" ref="A17" si="0">IF(A16="","","CENTRAL" )</f>
        <v/>
      </c>
      <c r="B17" s="113" t="str">
        <f>'[5]Annex-20'!B17</f>
        <v/>
      </c>
      <c r="C17" s="113" t="str">
        <f>'[5]Annex-20'!C17</f>
        <v xml:space="preserve"> </v>
      </c>
      <c r="D17" s="113" t="str">
        <f>'[5]Annex-20'!D17</f>
        <v xml:space="preserve"> </v>
      </c>
      <c r="E17" s="113" t="str">
        <f>'[5]Annex-20'!E17</f>
        <v xml:space="preserve"> </v>
      </c>
      <c r="F17" s="113" t="str">
        <f>'[5]Annex-20'!F17</f>
        <v xml:space="preserve"> </v>
      </c>
      <c r="G17" s="113" t="str">
        <f>'[5]Annex-20'!G17</f>
        <v xml:space="preserve"> </v>
      </c>
      <c r="H17" s="137" t="str">
        <f>'[5]Annex-20'!H17</f>
        <v/>
      </c>
      <c r="I17" s="113" t="str">
        <f>'[5]Annex-20'!I17</f>
        <v xml:space="preserve"> </v>
      </c>
      <c r="J17" s="113" t="str">
        <f>'[5]Annex-20'!J17</f>
        <v xml:space="preserve"> </v>
      </c>
      <c r="K17" s="113" t="str">
        <f>'[5]Annex-20'!K17</f>
        <v xml:space="preserve"> </v>
      </c>
      <c r="L17" s="113" t="str">
        <f>'[5]Annex-20'!L17</f>
        <v xml:space="preserve"> </v>
      </c>
      <c r="M17" s="113" t="str">
        <f>'[5]Annex-20'!M17</f>
        <v xml:space="preserve"> </v>
      </c>
      <c r="N17" s="115"/>
    </row>
    <row r="18" spans="1:14" hidden="1" x14ac:dyDescent="0.3">
      <c r="A18" s="72" t="str">
        <f t="shared" ref="A18" si="1">IF(A16="","","(%)")</f>
        <v/>
      </c>
      <c r="B18" s="113"/>
      <c r="C18" s="113" t="str">
        <f>'[5]Annex-20'!C18</f>
        <v/>
      </c>
      <c r="D18" s="113" t="str">
        <f>'[5]Annex-20'!D18</f>
        <v/>
      </c>
      <c r="E18" s="113" t="str">
        <f>'[5]Annex-20'!E18</f>
        <v/>
      </c>
      <c r="F18" s="113" t="str">
        <f>'[5]Annex-20'!F18</f>
        <v/>
      </c>
      <c r="G18" s="113" t="str">
        <f>'[5]Annex-20'!G18</f>
        <v/>
      </c>
      <c r="H18" s="137"/>
      <c r="I18" s="113" t="str">
        <f>'[5]Annex-20'!I18</f>
        <v/>
      </c>
      <c r="J18" s="113" t="str">
        <f>'[5]Annex-20'!J18</f>
        <v/>
      </c>
      <c r="K18" s="113" t="str">
        <f>'[5]Annex-20'!K18</f>
        <v/>
      </c>
      <c r="L18" s="113" t="str">
        <f>'[5]Annex-20'!L18</f>
        <v/>
      </c>
      <c r="M18" s="113" t="str">
        <f>'[5]Annex-20'!M18</f>
        <v/>
      </c>
      <c r="N18" s="115"/>
    </row>
    <row r="19" spans="1:14" hidden="1" x14ac:dyDescent="0.3">
      <c r="A19" s="112" t="str">
        <f t="shared" ref="A19" si="2">IF(A16="","","STATE")</f>
        <v/>
      </c>
      <c r="B19" s="113" t="str">
        <f>'[5]Annex-20'!B19</f>
        <v/>
      </c>
      <c r="C19" s="113" t="str">
        <f>'[5]Annex-20'!C19</f>
        <v xml:space="preserve"> </v>
      </c>
      <c r="D19" s="113" t="str">
        <f>'[5]Annex-20'!D19</f>
        <v xml:space="preserve"> </v>
      </c>
      <c r="E19" s="113" t="str">
        <f>'[5]Annex-20'!E19</f>
        <v xml:space="preserve"> </v>
      </c>
      <c r="F19" s="113" t="str">
        <f>'[5]Annex-20'!F19</f>
        <v xml:space="preserve"> </v>
      </c>
      <c r="G19" s="113" t="str">
        <f>'[5]Annex-20'!G19</f>
        <v xml:space="preserve"> </v>
      </c>
      <c r="H19" s="137" t="str">
        <f>'[5]Annex-20'!H19</f>
        <v/>
      </c>
      <c r="I19" s="113" t="str">
        <f>'[5]Annex-20'!I19</f>
        <v xml:space="preserve"> </v>
      </c>
      <c r="J19" s="113" t="str">
        <f>'[5]Annex-20'!J19</f>
        <v xml:space="preserve"> </v>
      </c>
      <c r="K19" s="113" t="str">
        <f>'[5]Annex-20'!K19</f>
        <v xml:space="preserve"> </v>
      </c>
      <c r="L19" s="113" t="str">
        <f>'[5]Annex-20'!L19</f>
        <v xml:space="preserve"> </v>
      </c>
      <c r="M19" s="113" t="str">
        <f>'[5]Annex-20'!M19</f>
        <v xml:space="preserve"> </v>
      </c>
      <c r="N19" s="115"/>
    </row>
    <row r="20" spans="1:14" hidden="1" x14ac:dyDescent="0.3">
      <c r="A20" s="72" t="str">
        <f t="shared" ref="A20" si="3">IF(A16="","","(%)")</f>
        <v/>
      </c>
      <c r="B20" s="113"/>
      <c r="C20" s="113" t="str">
        <f>'[5]Annex-20'!C20</f>
        <v/>
      </c>
      <c r="D20" s="113" t="str">
        <f>'[5]Annex-20'!D20</f>
        <v/>
      </c>
      <c r="E20" s="113" t="str">
        <f>'[5]Annex-20'!E20</f>
        <v/>
      </c>
      <c r="F20" s="113" t="str">
        <f>'[5]Annex-20'!F20</f>
        <v/>
      </c>
      <c r="G20" s="113" t="str">
        <f>'[5]Annex-20'!G20</f>
        <v/>
      </c>
      <c r="H20" s="137"/>
      <c r="I20" s="113" t="str">
        <f>'[5]Annex-20'!I20</f>
        <v/>
      </c>
      <c r="J20" s="113" t="str">
        <f>'[5]Annex-20'!J20</f>
        <v/>
      </c>
      <c r="K20" s="113" t="str">
        <f>'[5]Annex-20'!K20</f>
        <v/>
      </c>
      <c r="L20" s="113" t="str">
        <f>'[5]Annex-20'!L20</f>
        <v/>
      </c>
      <c r="M20" s="113" t="str">
        <f>'[5]Annex-20'!M20</f>
        <v/>
      </c>
      <c r="N20" s="115"/>
    </row>
    <row r="21" spans="1:14" hidden="1" x14ac:dyDescent="0.3">
      <c r="A21" s="112" t="str">
        <f t="shared" ref="A21" si="4">IF(A16="","","POOLED")</f>
        <v/>
      </c>
      <c r="B21" s="113" t="str">
        <f>'[5]Annex-20'!B21</f>
        <v/>
      </c>
      <c r="C21" s="113" t="str">
        <f>'[5]Annex-20'!C21</f>
        <v xml:space="preserve"> </v>
      </c>
      <c r="D21" s="113" t="str">
        <f>'[5]Annex-20'!D21</f>
        <v xml:space="preserve"> </v>
      </c>
      <c r="E21" s="113" t="str">
        <f>'[5]Annex-20'!E21</f>
        <v xml:space="preserve"> </v>
      </c>
      <c r="F21" s="113" t="str">
        <f>'[5]Annex-20'!F21</f>
        <v xml:space="preserve"> </v>
      </c>
      <c r="G21" s="113" t="str">
        <f>'[5]Annex-20'!G21</f>
        <v xml:space="preserve"> </v>
      </c>
      <c r="H21" s="137" t="str">
        <f>'[5]Annex-20'!H21</f>
        <v/>
      </c>
      <c r="I21" s="113" t="str">
        <f>'[5]Annex-20'!I21</f>
        <v xml:space="preserve"> </v>
      </c>
      <c r="J21" s="113" t="str">
        <f>'[5]Annex-20'!J21</f>
        <v xml:space="preserve"> </v>
      </c>
      <c r="K21" s="113" t="str">
        <f>'[5]Annex-20'!K21</f>
        <v xml:space="preserve"> </v>
      </c>
      <c r="L21" s="113" t="str">
        <f>'[5]Annex-20'!L21</f>
        <v xml:space="preserve"> </v>
      </c>
      <c r="M21" s="113" t="str">
        <f>'[5]Annex-20'!M21</f>
        <v xml:space="preserve"> </v>
      </c>
      <c r="N21" s="115"/>
    </row>
    <row r="22" spans="1:14" hidden="1" x14ac:dyDescent="0.3">
      <c r="A22" s="72" t="str">
        <f t="shared" ref="A22" si="5">IF(A16="","","(%)")</f>
        <v/>
      </c>
      <c r="B22" s="113"/>
      <c r="C22" s="113" t="str">
        <f>'[5]Annex-20'!C22</f>
        <v/>
      </c>
      <c r="D22" s="113" t="str">
        <f>'[5]Annex-20'!D22</f>
        <v/>
      </c>
      <c r="E22" s="113" t="str">
        <f>'[5]Annex-20'!E22</f>
        <v/>
      </c>
      <c r="F22" s="113" t="str">
        <f>'[5]Annex-20'!F22</f>
        <v/>
      </c>
      <c r="G22" s="113" t="str">
        <f>'[5]Annex-20'!G22</f>
        <v/>
      </c>
      <c r="H22" s="137"/>
      <c r="I22" s="113" t="str">
        <f>'[5]Annex-20'!I22</f>
        <v/>
      </c>
      <c r="J22" s="113" t="str">
        <f>'[5]Annex-20'!J22</f>
        <v/>
      </c>
      <c r="K22" s="113" t="str">
        <f>'[5]Annex-20'!K22</f>
        <v/>
      </c>
      <c r="L22" s="113" t="str">
        <f>'[5]Annex-20'!L22</f>
        <v/>
      </c>
      <c r="M22" s="113" t="str">
        <f>'[5]Annex-20'!M22</f>
        <v/>
      </c>
      <c r="N22" s="115"/>
    </row>
    <row r="23" spans="1:14" hidden="1" x14ac:dyDescent="0.3">
      <c r="A23" s="119" t="str">
        <f>IF('[5]Crops CY'!$A$9=0,"",'[5]Crops CY'!$A$9)</f>
        <v/>
      </c>
      <c r="B23" s="113"/>
      <c r="C23" s="113"/>
      <c r="D23" s="113"/>
      <c r="E23" s="113"/>
      <c r="F23" s="113"/>
      <c r="G23" s="113"/>
      <c r="H23" s="137"/>
      <c r="I23" s="113"/>
      <c r="J23" s="113"/>
      <c r="K23" s="113"/>
      <c r="L23" s="113"/>
      <c r="M23" s="113"/>
      <c r="N23" s="115"/>
    </row>
    <row r="24" spans="1:14" hidden="1" x14ac:dyDescent="0.3">
      <c r="A24" s="112" t="str">
        <f t="shared" ref="A24" si="6">IF(A23="","","CENTRAL" )</f>
        <v/>
      </c>
      <c r="B24" s="113" t="str">
        <f>'[5]Annex-20'!B24</f>
        <v/>
      </c>
      <c r="C24" s="113" t="str">
        <f>'[5]Annex-20'!C24</f>
        <v xml:space="preserve"> </v>
      </c>
      <c r="D24" s="113" t="str">
        <f>'[5]Annex-20'!D24</f>
        <v xml:space="preserve"> </v>
      </c>
      <c r="E24" s="113" t="str">
        <f>'[5]Annex-20'!E24</f>
        <v xml:space="preserve"> </v>
      </c>
      <c r="F24" s="113" t="str">
        <f>'[5]Annex-20'!F24</f>
        <v xml:space="preserve"> </v>
      </c>
      <c r="G24" s="113" t="str">
        <f>'[5]Annex-20'!G24</f>
        <v xml:space="preserve"> </v>
      </c>
      <c r="H24" s="137" t="str">
        <f>'[5]Annex-20'!H24</f>
        <v/>
      </c>
      <c r="I24" s="113" t="str">
        <f>'[5]Annex-20'!I24</f>
        <v xml:space="preserve"> </v>
      </c>
      <c r="J24" s="113" t="str">
        <f>'[5]Annex-20'!J24</f>
        <v xml:space="preserve"> </v>
      </c>
      <c r="K24" s="113" t="str">
        <f>'[5]Annex-20'!K24</f>
        <v xml:space="preserve"> </v>
      </c>
      <c r="L24" s="113" t="str">
        <f>'[5]Annex-20'!L24</f>
        <v xml:space="preserve"> </v>
      </c>
      <c r="M24" s="113" t="str">
        <f>'[5]Annex-20'!M24</f>
        <v xml:space="preserve"> </v>
      </c>
      <c r="N24" s="115"/>
    </row>
    <row r="25" spans="1:14" hidden="1" x14ac:dyDescent="0.3">
      <c r="A25" s="72" t="str">
        <f t="shared" ref="A25" si="7">IF(A23="","","(%)")</f>
        <v/>
      </c>
      <c r="B25" s="113"/>
      <c r="C25" s="113" t="str">
        <f>'[5]Annex-20'!C25</f>
        <v/>
      </c>
      <c r="D25" s="113" t="str">
        <f>'[5]Annex-20'!D25</f>
        <v/>
      </c>
      <c r="E25" s="113" t="str">
        <f>'[5]Annex-20'!E25</f>
        <v/>
      </c>
      <c r="F25" s="113" t="str">
        <f>'[5]Annex-20'!F25</f>
        <v/>
      </c>
      <c r="G25" s="113" t="str">
        <f>'[5]Annex-20'!G25</f>
        <v/>
      </c>
      <c r="H25" s="137"/>
      <c r="I25" s="113" t="str">
        <f>'[5]Annex-20'!I25</f>
        <v/>
      </c>
      <c r="J25" s="113" t="str">
        <f>'[5]Annex-20'!J25</f>
        <v/>
      </c>
      <c r="K25" s="113" t="str">
        <f>'[5]Annex-20'!K25</f>
        <v/>
      </c>
      <c r="L25" s="113" t="str">
        <f>'[5]Annex-20'!L25</f>
        <v/>
      </c>
      <c r="M25" s="113" t="str">
        <f>'[5]Annex-20'!M25</f>
        <v/>
      </c>
      <c r="N25" s="115"/>
    </row>
    <row r="26" spans="1:14" hidden="1" x14ac:dyDescent="0.3">
      <c r="A26" s="112" t="str">
        <f t="shared" ref="A26" si="8">IF(A23="","","STATE")</f>
        <v/>
      </c>
      <c r="B26" s="113" t="str">
        <f>'[5]Annex-20'!B26</f>
        <v/>
      </c>
      <c r="C26" s="113" t="str">
        <f>'[5]Annex-20'!C26</f>
        <v xml:space="preserve"> </v>
      </c>
      <c r="D26" s="113" t="str">
        <f>'[5]Annex-20'!D26</f>
        <v xml:space="preserve"> </v>
      </c>
      <c r="E26" s="113" t="str">
        <f>'[5]Annex-20'!E26</f>
        <v xml:space="preserve"> </v>
      </c>
      <c r="F26" s="113" t="str">
        <f>'[5]Annex-20'!F26</f>
        <v xml:space="preserve"> </v>
      </c>
      <c r="G26" s="113" t="str">
        <f>'[5]Annex-20'!G26</f>
        <v xml:space="preserve"> </v>
      </c>
      <c r="H26" s="137" t="str">
        <f>'[5]Annex-20'!H26</f>
        <v/>
      </c>
      <c r="I26" s="113" t="str">
        <f>'[5]Annex-20'!I26</f>
        <v xml:space="preserve"> </v>
      </c>
      <c r="J26" s="113" t="str">
        <f>'[5]Annex-20'!J26</f>
        <v xml:space="preserve"> </v>
      </c>
      <c r="K26" s="113" t="str">
        <f>'[5]Annex-20'!K26</f>
        <v xml:space="preserve"> </v>
      </c>
      <c r="L26" s="113" t="str">
        <f>'[5]Annex-20'!L26</f>
        <v xml:space="preserve"> </v>
      </c>
      <c r="M26" s="113" t="str">
        <f>'[5]Annex-20'!M26</f>
        <v xml:space="preserve"> </v>
      </c>
      <c r="N26" s="115"/>
    </row>
    <row r="27" spans="1:14" hidden="1" x14ac:dyDescent="0.3">
      <c r="A27" s="72" t="str">
        <f t="shared" ref="A27" si="9">IF(A23="","","(%)")</f>
        <v/>
      </c>
      <c r="B27" s="113"/>
      <c r="C27" s="113" t="str">
        <f>'[5]Annex-20'!C27</f>
        <v/>
      </c>
      <c r="D27" s="113" t="str">
        <f>'[5]Annex-20'!D27</f>
        <v/>
      </c>
      <c r="E27" s="113" t="str">
        <f>'[5]Annex-20'!E27</f>
        <v/>
      </c>
      <c r="F27" s="113" t="str">
        <f>'[5]Annex-20'!F27</f>
        <v/>
      </c>
      <c r="G27" s="113" t="str">
        <f>'[5]Annex-20'!G27</f>
        <v/>
      </c>
      <c r="H27" s="137"/>
      <c r="I27" s="113" t="str">
        <f>'[5]Annex-20'!I27</f>
        <v/>
      </c>
      <c r="J27" s="113" t="str">
        <f>'[5]Annex-20'!J27</f>
        <v/>
      </c>
      <c r="K27" s="113" t="str">
        <f>'[5]Annex-20'!K27</f>
        <v/>
      </c>
      <c r="L27" s="113" t="str">
        <f>'[5]Annex-20'!L27</f>
        <v/>
      </c>
      <c r="M27" s="113" t="str">
        <f>'[5]Annex-20'!M27</f>
        <v/>
      </c>
      <c r="N27" s="115"/>
    </row>
    <row r="28" spans="1:14" hidden="1" x14ac:dyDescent="0.3">
      <c r="A28" s="112" t="str">
        <f t="shared" ref="A28" si="10">IF(A23="","","POOLED")</f>
        <v/>
      </c>
      <c r="B28" s="113" t="str">
        <f>'[5]Annex-20'!B28</f>
        <v/>
      </c>
      <c r="C28" s="113" t="str">
        <f>'[5]Annex-20'!C28</f>
        <v xml:space="preserve"> </v>
      </c>
      <c r="D28" s="113" t="str">
        <f>'[5]Annex-20'!D28</f>
        <v xml:space="preserve"> </v>
      </c>
      <c r="E28" s="113" t="str">
        <f>'[5]Annex-20'!E28</f>
        <v xml:space="preserve"> </v>
      </c>
      <c r="F28" s="113" t="str">
        <f>'[5]Annex-20'!F28</f>
        <v xml:space="preserve"> </v>
      </c>
      <c r="G28" s="113" t="str">
        <f>'[5]Annex-20'!G28</f>
        <v xml:space="preserve"> </v>
      </c>
      <c r="H28" s="137" t="str">
        <f>'[5]Annex-20'!H28</f>
        <v/>
      </c>
      <c r="I28" s="113" t="str">
        <f>'[5]Annex-20'!I28</f>
        <v xml:space="preserve"> </v>
      </c>
      <c r="J28" s="113" t="str">
        <f>'[5]Annex-20'!J28</f>
        <v xml:space="preserve"> </v>
      </c>
      <c r="K28" s="113" t="str">
        <f>'[5]Annex-20'!K28</f>
        <v xml:space="preserve"> </v>
      </c>
      <c r="L28" s="113" t="str">
        <f>'[5]Annex-20'!L28</f>
        <v xml:space="preserve"> </v>
      </c>
      <c r="M28" s="113" t="str">
        <f>'[5]Annex-20'!M28</f>
        <v xml:space="preserve"> </v>
      </c>
      <c r="N28" s="115"/>
    </row>
    <row r="29" spans="1:14" hidden="1" x14ac:dyDescent="0.3">
      <c r="A29" s="72" t="str">
        <f t="shared" ref="A29" si="11">IF(A23="","","(%)")</f>
        <v/>
      </c>
      <c r="B29" s="113"/>
      <c r="C29" s="113" t="str">
        <f>'[5]Annex-20'!C29</f>
        <v/>
      </c>
      <c r="D29" s="113" t="str">
        <f>'[5]Annex-20'!D29</f>
        <v/>
      </c>
      <c r="E29" s="113" t="str">
        <f>'[5]Annex-20'!E29</f>
        <v/>
      </c>
      <c r="F29" s="113" t="str">
        <f>'[5]Annex-20'!F29</f>
        <v/>
      </c>
      <c r="G29" s="113" t="str">
        <f>'[5]Annex-20'!G29</f>
        <v/>
      </c>
      <c r="H29" s="137"/>
      <c r="I29" s="113" t="str">
        <f>'[5]Annex-20'!I29</f>
        <v/>
      </c>
      <c r="J29" s="113" t="str">
        <f>'[5]Annex-20'!J29</f>
        <v/>
      </c>
      <c r="K29" s="113" t="str">
        <f>'[5]Annex-20'!K29</f>
        <v/>
      </c>
      <c r="L29" s="113" t="str">
        <f>'[5]Annex-20'!L29</f>
        <v/>
      </c>
      <c r="M29" s="113" t="str">
        <f>'[5]Annex-20'!M29</f>
        <v/>
      </c>
      <c r="N29" s="115"/>
    </row>
    <row r="30" spans="1:14" hidden="1" x14ac:dyDescent="0.3">
      <c r="A30" s="119" t="str">
        <f>IF('[5]Crops CY'!$A$10=0,"",'[5]Crops CY'!$A$10)</f>
        <v/>
      </c>
      <c r="B30" s="113"/>
      <c r="C30" s="113"/>
      <c r="D30" s="113"/>
      <c r="E30" s="113"/>
      <c r="F30" s="113"/>
      <c r="G30" s="113"/>
      <c r="H30" s="137"/>
      <c r="I30" s="113"/>
      <c r="J30" s="113"/>
      <c r="K30" s="113"/>
      <c r="L30" s="113"/>
      <c r="M30" s="113"/>
      <c r="N30" s="115"/>
    </row>
    <row r="31" spans="1:14" hidden="1" x14ac:dyDescent="0.3">
      <c r="A31" s="112" t="str">
        <f t="shared" ref="A31" si="12">IF(A30="","","CENTRAL" )</f>
        <v/>
      </c>
      <c r="B31" s="113" t="str">
        <f>'[5]Annex-20'!B31</f>
        <v/>
      </c>
      <c r="C31" s="113" t="str">
        <f>'[5]Annex-20'!C31</f>
        <v xml:space="preserve"> </v>
      </c>
      <c r="D31" s="113" t="str">
        <f>'[5]Annex-20'!D31</f>
        <v xml:space="preserve"> </v>
      </c>
      <c r="E31" s="113" t="str">
        <f>'[5]Annex-20'!E31</f>
        <v xml:space="preserve"> </v>
      </c>
      <c r="F31" s="113" t="str">
        <f>'[5]Annex-20'!F31</f>
        <v xml:space="preserve"> </v>
      </c>
      <c r="G31" s="113" t="str">
        <f>'[5]Annex-20'!G31</f>
        <v xml:space="preserve"> </v>
      </c>
      <c r="H31" s="137" t="str">
        <f>'[5]Annex-20'!H31</f>
        <v/>
      </c>
      <c r="I31" s="113" t="str">
        <f>'[5]Annex-20'!I31</f>
        <v xml:space="preserve"> </v>
      </c>
      <c r="J31" s="113" t="str">
        <f>'[5]Annex-20'!J31</f>
        <v xml:space="preserve"> </v>
      </c>
      <c r="K31" s="113" t="str">
        <f>'[5]Annex-20'!K31</f>
        <v xml:space="preserve"> </v>
      </c>
      <c r="L31" s="113" t="str">
        <f>'[5]Annex-20'!L31</f>
        <v xml:space="preserve"> </v>
      </c>
      <c r="M31" s="113" t="str">
        <f>'[5]Annex-20'!M31</f>
        <v xml:space="preserve"> </v>
      </c>
      <c r="N31" s="115"/>
    </row>
    <row r="32" spans="1:14" hidden="1" x14ac:dyDescent="0.3">
      <c r="A32" s="72" t="str">
        <f t="shared" ref="A32" si="13">IF(A30="","","(%)")</f>
        <v/>
      </c>
      <c r="B32" s="113"/>
      <c r="C32" s="113" t="str">
        <f>'[5]Annex-20'!C32</f>
        <v/>
      </c>
      <c r="D32" s="113" t="str">
        <f>'[5]Annex-20'!D32</f>
        <v/>
      </c>
      <c r="E32" s="113" t="str">
        <f>'[5]Annex-20'!E32</f>
        <v/>
      </c>
      <c r="F32" s="113" t="str">
        <f>'[5]Annex-20'!F32</f>
        <v/>
      </c>
      <c r="G32" s="113" t="str">
        <f>'[5]Annex-20'!G32</f>
        <v/>
      </c>
      <c r="H32" s="137"/>
      <c r="I32" s="113" t="str">
        <f>'[5]Annex-20'!I32</f>
        <v/>
      </c>
      <c r="J32" s="113" t="str">
        <f>'[5]Annex-20'!J32</f>
        <v/>
      </c>
      <c r="K32" s="113" t="str">
        <f>'[5]Annex-20'!K32</f>
        <v/>
      </c>
      <c r="L32" s="113" t="str">
        <f>'[5]Annex-20'!L32</f>
        <v/>
      </c>
      <c r="M32" s="113" t="str">
        <f>'[5]Annex-20'!M32</f>
        <v/>
      </c>
      <c r="N32" s="115"/>
    </row>
    <row r="33" spans="1:14" hidden="1" x14ac:dyDescent="0.3">
      <c r="A33" s="112" t="str">
        <f t="shared" ref="A33" si="14">IF(A30="","","STATE")</f>
        <v/>
      </c>
      <c r="B33" s="113" t="str">
        <f>'[5]Annex-20'!B33</f>
        <v/>
      </c>
      <c r="C33" s="113" t="str">
        <f>'[5]Annex-20'!C33</f>
        <v xml:space="preserve"> </v>
      </c>
      <c r="D33" s="113" t="str">
        <f>'[5]Annex-20'!D33</f>
        <v xml:space="preserve"> </v>
      </c>
      <c r="E33" s="113" t="str">
        <f>'[5]Annex-20'!E33</f>
        <v xml:space="preserve"> </v>
      </c>
      <c r="F33" s="113" t="str">
        <f>'[5]Annex-20'!F33</f>
        <v xml:space="preserve"> </v>
      </c>
      <c r="G33" s="113" t="str">
        <f>'[5]Annex-20'!G33</f>
        <v xml:space="preserve"> </v>
      </c>
      <c r="H33" s="137" t="str">
        <f>'[5]Annex-20'!H33</f>
        <v/>
      </c>
      <c r="I33" s="113" t="str">
        <f>'[5]Annex-20'!I33</f>
        <v xml:space="preserve"> </v>
      </c>
      <c r="J33" s="113" t="str">
        <f>'[5]Annex-20'!J33</f>
        <v xml:space="preserve"> </v>
      </c>
      <c r="K33" s="113" t="str">
        <f>'[5]Annex-20'!K33</f>
        <v xml:space="preserve"> </v>
      </c>
      <c r="L33" s="113" t="str">
        <f>'[5]Annex-20'!L33</f>
        <v xml:space="preserve"> </v>
      </c>
      <c r="M33" s="113" t="str">
        <f>'[5]Annex-20'!M33</f>
        <v xml:space="preserve"> </v>
      </c>
      <c r="N33" s="115"/>
    </row>
    <row r="34" spans="1:14" hidden="1" x14ac:dyDescent="0.3">
      <c r="A34" s="72" t="str">
        <f t="shared" ref="A34" si="15">IF(A30="","","(%)")</f>
        <v/>
      </c>
      <c r="B34" s="113"/>
      <c r="C34" s="113" t="str">
        <f>'[5]Annex-20'!C34</f>
        <v/>
      </c>
      <c r="D34" s="113" t="str">
        <f>'[5]Annex-20'!D34</f>
        <v/>
      </c>
      <c r="E34" s="113" t="str">
        <f>'[5]Annex-20'!E34</f>
        <v/>
      </c>
      <c r="F34" s="113" t="str">
        <f>'[5]Annex-20'!F34</f>
        <v/>
      </c>
      <c r="G34" s="113" t="str">
        <f>'[5]Annex-20'!G34</f>
        <v/>
      </c>
      <c r="H34" s="137"/>
      <c r="I34" s="113" t="str">
        <f>'[5]Annex-20'!I34</f>
        <v/>
      </c>
      <c r="J34" s="113" t="str">
        <f>'[5]Annex-20'!J34</f>
        <v/>
      </c>
      <c r="K34" s="113" t="str">
        <f>'[5]Annex-20'!K34</f>
        <v/>
      </c>
      <c r="L34" s="113" t="str">
        <f>'[5]Annex-20'!L34</f>
        <v/>
      </c>
      <c r="M34" s="113" t="str">
        <f>'[5]Annex-20'!M34</f>
        <v/>
      </c>
      <c r="N34" s="115"/>
    </row>
    <row r="35" spans="1:14" hidden="1" x14ac:dyDescent="0.3">
      <c r="A35" s="112" t="str">
        <f t="shared" ref="A35" si="16">IF(A30="","","POOLED")</f>
        <v/>
      </c>
      <c r="B35" s="113" t="str">
        <f>'[5]Annex-20'!B35</f>
        <v/>
      </c>
      <c r="C35" s="113" t="str">
        <f>'[5]Annex-20'!C35</f>
        <v xml:space="preserve"> </v>
      </c>
      <c r="D35" s="113" t="str">
        <f>'[5]Annex-20'!D35</f>
        <v xml:space="preserve"> </v>
      </c>
      <c r="E35" s="113" t="str">
        <f>'[5]Annex-20'!E35</f>
        <v xml:space="preserve"> </v>
      </c>
      <c r="F35" s="113" t="str">
        <f>'[5]Annex-20'!F35</f>
        <v xml:space="preserve"> </v>
      </c>
      <c r="G35" s="113" t="str">
        <f>'[5]Annex-20'!G35</f>
        <v xml:space="preserve"> </v>
      </c>
      <c r="H35" s="137" t="str">
        <f>'[5]Annex-20'!H35</f>
        <v/>
      </c>
      <c r="I35" s="113" t="str">
        <f>'[5]Annex-20'!I35</f>
        <v xml:space="preserve"> </v>
      </c>
      <c r="J35" s="113" t="str">
        <f>'[5]Annex-20'!J35</f>
        <v xml:space="preserve"> </v>
      </c>
      <c r="K35" s="113" t="str">
        <f>'[5]Annex-20'!K35</f>
        <v xml:space="preserve"> </v>
      </c>
      <c r="L35" s="113" t="str">
        <f>'[5]Annex-20'!L35</f>
        <v xml:space="preserve"> </v>
      </c>
      <c r="M35" s="113" t="str">
        <f>'[5]Annex-20'!M35</f>
        <v xml:space="preserve"> </v>
      </c>
      <c r="N35" s="115"/>
    </row>
    <row r="36" spans="1:14" hidden="1" x14ac:dyDescent="0.3">
      <c r="A36" s="178" t="str">
        <f t="shared" ref="A36" si="17">IF(A30="","","(%)")</f>
        <v/>
      </c>
      <c r="B36" s="155"/>
      <c r="C36" s="155" t="str">
        <f>'[5]Annex-20'!C36</f>
        <v/>
      </c>
      <c r="D36" s="155" t="str">
        <f>'[5]Annex-20'!D36</f>
        <v/>
      </c>
      <c r="E36" s="155" t="str">
        <f>'[5]Annex-20'!E36</f>
        <v/>
      </c>
      <c r="F36" s="155" t="str">
        <f>'[5]Annex-20'!F36</f>
        <v/>
      </c>
      <c r="G36" s="155" t="str">
        <f>'[5]Annex-20'!G36</f>
        <v/>
      </c>
      <c r="H36" s="191"/>
      <c r="I36" s="155" t="str">
        <f>'[5]Annex-20'!I36</f>
        <v/>
      </c>
      <c r="J36" s="155" t="str">
        <f>'[5]Annex-20'!J36</f>
        <v/>
      </c>
      <c r="K36" s="155" t="str">
        <f>'[5]Annex-20'!K36</f>
        <v/>
      </c>
      <c r="L36" s="155" t="str">
        <f>'[5]Annex-20'!L36</f>
        <v/>
      </c>
      <c r="M36" s="155" t="str">
        <f>'[5]Annex-20'!M36</f>
        <v/>
      </c>
      <c r="N36" s="115"/>
    </row>
    <row r="37" spans="1:14" hidden="1" x14ac:dyDescent="0.3">
      <c r="A37" s="192" t="str">
        <f>IF('[5]Crops CY'!$A$11=0,"",'[5]Crops CY'!$A$11)</f>
        <v/>
      </c>
      <c r="B37" s="113"/>
      <c r="C37" s="113"/>
      <c r="D37" s="113"/>
      <c r="E37" s="113"/>
      <c r="F37" s="113"/>
      <c r="G37" s="113"/>
      <c r="H37" s="137"/>
      <c r="I37" s="113"/>
      <c r="J37" s="113"/>
      <c r="K37" s="113"/>
      <c r="L37" s="113"/>
      <c r="M37" s="113"/>
      <c r="N37" s="115"/>
    </row>
    <row r="38" spans="1:14" hidden="1" x14ac:dyDescent="0.3">
      <c r="A38" s="112" t="str">
        <f t="shared" ref="A38" si="18">IF(A37="","","CENTRAL" )</f>
        <v/>
      </c>
      <c r="B38" s="113" t="str">
        <f>'[5]Annex-20'!B38</f>
        <v/>
      </c>
      <c r="C38" s="113" t="str">
        <f>'[5]Annex-20'!C38</f>
        <v xml:space="preserve"> </v>
      </c>
      <c r="D38" s="113" t="str">
        <f>'[5]Annex-20'!D38</f>
        <v xml:space="preserve"> </v>
      </c>
      <c r="E38" s="113" t="str">
        <f>'[5]Annex-20'!E38</f>
        <v xml:space="preserve"> </v>
      </c>
      <c r="F38" s="113" t="str">
        <f>'[5]Annex-20'!F38</f>
        <v xml:space="preserve"> </v>
      </c>
      <c r="G38" s="113" t="str">
        <f>'[5]Annex-20'!G38</f>
        <v xml:space="preserve"> </v>
      </c>
      <c r="H38" s="137" t="str">
        <f>'[5]Annex-20'!H38</f>
        <v/>
      </c>
      <c r="I38" s="113" t="str">
        <f>'[5]Annex-20'!I38</f>
        <v xml:space="preserve"> </v>
      </c>
      <c r="J38" s="113" t="str">
        <f>'[5]Annex-20'!J38</f>
        <v xml:space="preserve"> </v>
      </c>
      <c r="K38" s="113" t="str">
        <f>'[5]Annex-20'!K38</f>
        <v xml:space="preserve"> </v>
      </c>
      <c r="L38" s="113" t="str">
        <f>'[5]Annex-20'!L38</f>
        <v xml:space="preserve"> </v>
      </c>
      <c r="M38" s="113" t="str">
        <f>'[5]Annex-20'!M38</f>
        <v xml:space="preserve"> </v>
      </c>
      <c r="N38" s="115"/>
    </row>
    <row r="39" spans="1:14" hidden="1" x14ac:dyDescent="0.3">
      <c r="A39" s="72" t="str">
        <f t="shared" ref="A39" si="19">IF(A37="","","(%)")</f>
        <v/>
      </c>
      <c r="B39" s="113"/>
      <c r="C39" s="113" t="str">
        <f>'[5]Annex-20'!C39</f>
        <v/>
      </c>
      <c r="D39" s="113" t="str">
        <f>'[5]Annex-20'!D39</f>
        <v/>
      </c>
      <c r="E39" s="113" t="str">
        <f>'[5]Annex-20'!E39</f>
        <v/>
      </c>
      <c r="F39" s="113" t="str">
        <f>'[5]Annex-20'!F39</f>
        <v/>
      </c>
      <c r="G39" s="113" t="str">
        <f>'[5]Annex-20'!G39</f>
        <v/>
      </c>
      <c r="H39" s="137"/>
      <c r="I39" s="113" t="str">
        <f>'[5]Annex-20'!I39</f>
        <v/>
      </c>
      <c r="J39" s="113" t="str">
        <f>'[5]Annex-20'!J39</f>
        <v/>
      </c>
      <c r="K39" s="113" t="str">
        <f>'[5]Annex-20'!K39</f>
        <v/>
      </c>
      <c r="L39" s="113" t="str">
        <f>'[5]Annex-20'!L39</f>
        <v/>
      </c>
      <c r="M39" s="113" t="str">
        <f>'[5]Annex-20'!M39</f>
        <v/>
      </c>
      <c r="N39" s="115"/>
    </row>
    <row r="40" spans="1:14" hidden="1" x14ac:dyDescent="0.3">
      <c r="A40" s="112" t="str">
        <f t="shared" ref="A40" si="20">IF(A37="","","STATE")</f>
        <v/>
      </c>
      <c r="B40" s="113" t="str">
        <f>'[5]Annex-20'!B40</f>
        <v/>
      </c>
      <c r="C40" s="113" t="str">
        <f>'[5]Annex-20'!C40</f>
        <v xml:space="preserve"> </v>
      </c>
      <c r="D40" s="113" t="str">
        <f>'[5]Annex-20'!D40</f>
        <v xml:space="preserve"> </v>
      </c>
      <c r="E40" s="113" t="str">
        <f>'[5]Annex-20'!E40</f>
        <v xml:space="preserve"> </v>
      </c>
      <c r="F40" s="113" t="str">
        <f>'[5]Annex-20'!F40</f>
        <v xml:space="preserve"> </v>
      </c>
      <c r="G40" s="113" t="str">
        <f>'[5]Annex-20'!G40</f>
        <v xml:space="preserve"> </v>
      </c>
      <c r="H40" s="137" t="str">
        <f>'[5]Annex-20'!H40</f>
        <v/>
      </c>
      <c r="I40" s="113" t="str">
        <f>'[5]Annex-20'!I40</f>
        <v xml:space="preserve"> </v>
      </c>
      <c r="J40" s="113" t="str">
        <f>'[5]Annex-20'!J40</f>
        <v xml:space="preserve"> </v>
      </c>
      <c r="K40" s="113" t="str">
        <f>'[5]Annex-20'!K40</f>
        <v xml:space="preserve"> </v>
      </c>
      <c r="L40" s="113" t="str">
        <f>'[5]Annex-20'!L40</f>
        <v xml:space="preserve"> </v>
      </c>
      <c r="M40" s="113" t="str">
        <f>'[5]Annex-20'!M40</f>
        <v xml:space="preserve"> </v>
      </c>
      <c r="N40" s="115"/>
    </row>
    <row r="41" spans="1:14" hidden="1" x14ac:dyDescent="0.3">
      <c r="A41" s="72" t="str">
        <f t="shared" ref="A41" si="21">IF(A37="","","(%)")</f>
        <v/>
      </c>
      <c r="B41" s="113"/>
      <c r="C41" s="113" t="str">
        <f>'[5]Annex-20'!C41</f>
        <v/>
      </c>
      <c r="D41" s="113" t="str">
        <f>'[5]Annex-20'!D41</f>
        <v/>
      </c>
      <c r="E41" s="113" t="str">
        <f>'[5]Annex-20'!E41</f>
        <v/>
      </c>
      <c r="F41" s="113" t="str">
        <f>'[5]Annex-20'!F41</f>
        <v/>
      </c>
      <c r="G41" s="113" t="str">
        <f>'[5]Annex-20'!G41</f>
        <v/>
      </c>
      <c r="H41" s="137"/>
      <c r="I41" s="113" t="str">
        <f>'[5]Annex-20'!I41</f>
        <v/>
      </c>
      <c r="J41" s="113" t="str">
        <f>'[5]Annex-20'!J41</f>
        <v/>
      </c>
      <c r="K41" s="113" t="str">
        <f>'[5]Annex-20'!K41</f>
        <v/>
      </c>
      <c r="L41" s="113" t="str">
        <f>'[5]Annex-20'!L41</f>
        <v/>
      </c>
      <c r="M41" s="113" t="str">
        <f>'[5]Annex-20'!M41</f>
        <v/>
      </c>
      <c r="N41" s="115"/>
    </row>
    <row r="42" spans="1:14" hidden="1" x14ac:dyDescent="0.3">
      <c r="A42" s="112" t="str">
        <f t="shared" ref="A42" si="22">IF(A37="","","POOLED")</f>
        <v/>
      </c>
      <c r="B42" s="113" t="str">
        <f>'[5]Annex-20'!B42</f>
        <v/>
      </c>
      <c r="C42" s="113" t="str">
        <f>'[5]Annex-20'!C42</f>
        <v xml:space="preserve"> </v>
      </c>
      <c r="D42" s="113" t="str">
        <f>'[5]Annex-20'!D42</f>
        <v xml:space="preserve"> </v>
      </c>
      <c r="E42" s="113" t="str">
        <f>'[5]Annex-20'!E42</f>
        <v xml:space="preserve"> </v>
      </c>
      <c r="F42" s="113" t="str">
        <f>'[5]Annex-20'!F42</f>
        <v xml:space="preserve"> </v>
      </c>
      <c r="G42" s="113" t="str">
        <f>'[5]Annex-20'!G42</f>
        <v xml:space="preserve"> </v>
      </c>
      <c r="H42" s="137" t="str">
        <f>'[5]Annex-20'!H42</f>
        <v/>
      </c>
      <c r="I42" s="113" t="str">
        <f>'[5]Annex-20'!I42</f>
        <v xml:space="preserve"> </v>
      </c>
      <c r="J42" s="113" t="str">
        <f>'[5]Annex-20'!J42</f>
        <v xml:space="preserve"> </v>
      </c>
      <c r="K42" s="113" t="str">
        <f>'[5]Annex-20'!K42</f>
        <v xml:space="preserve"> </v>
      </c>
      <c r="L42" s="113" t="str">
        <f>'[5]Annex-20'!L42</f>
        <v xml:space="preserve"> </v>
      </c>
      <c r="M42" s="113" t="str">
        <f>'[5]Annex-20'!M42</f>
        <v xml:space="preserve"> </v>
      </c>
      <c r="N42" s="115"/>
    </row>
    <row r="43" spans="1:14" hidden="1" x14ac:dyDescent="0.3">
      <c r="A43" s="178" t="str">
        <f t="shared" ref="A43" si="23">IF(A37="","","(%)")</f>
        <v/>
      </c>
      <c r="B43" s="155"/>
      <c r="C43" s="155" t="str">
        <f>'[5]Annex-20'!C43</f>
        <v/>
      </c>
      <c r="D43" s="155" t="str">
        <f>'[5]Annex-20'!D43</f>
        <v/>
      </c>
      <c r="E43" s="155" t="str">
        <f>'[5]Annex-20'!E43</f>
        <v/>
      </c>
      <c r="F43" s="155" t="str">
        <f>'[5]Annex-20'!F43</f>
        <v/>
      </c>
      <c r="G43" s="155" t="str">
        <f>'[5]Annex-20'!G43</f>
        <v/>
      </c>
      <c r="H43" s="191"/>
      <c r="I43" s="155" t="str">
        <f>'[5]Annex-20'!I43</f>
        <v/>
      </c>
      <c r="J43" s="155" t="str">
        <f>'[5]Annex-20'!J43</f>
        <v/>
      </c>
      <c r="K43" s="155" t="str">
        <f>'[5]Annex-20'!K43</f>
        <v/>
      </c>
      <c r="L43" s="155" t="str">
        <f>'[5]Annex-20'!L43</f>
        <v/>
      </c>
      <c r="M43" s="155" t="str">
        <f>'[5]Annex-20'!M43</f>
        <v/>
      </c>
      <c r="N43" s="115"/>
    </row>
    <row r="44" spans="1:14" hidden="1" x14ac:dyDescent="0.3">
      <c r="A44" s="192" t="str">
        <f>IF('[5]Crops CY'!$A$12=0,"",'[5]Crops CY'!$A$12)</f>
        <v/>
      </c>
      <c r="B44" s="113"/>
      <c r="C44" s="113"/>
      <c r="D44" s="113"/>
      <c r="E44" s="113"/>
      <c r="F44" s="113"/>
      <c r="G44" s="113"/>
      <c r="H44" s="137"/>
      <c r="I44" s="113"/>
      <c r="J44" s="113"/>
      <c r="K44" s="113"/>
      <c r="L44" s="113"/>
      <c r="M44" s="113"/>
      <c r="N44" s="115"/>
    </row>
    <row r="45" spans="1:14" hidden="1" x14ac:dyDescent="0.3">
      <c r="A45" s="112" t="str">
        <f t="shared" ref="A45" si="24">IF(A44="","","CENTRAL" )</f>
        <v/>
      </c>
      <c r="B45" s="113" t="str">
        <f>'[5]Annex-20'!B45</f>
        <v/>
      </c>
      <c r="C45" s="113" t="str">
        <f>'[5]Annex-20'!C45</f>
        <v xml:space="preserve"> </v>
      </c>
      <c r="D45" s="113" t="str">
        <f>'[5]Annex-20'!D45</f>
        <v xml:space="preserve"> </v>
      </c>
      <c r="E45" s="113" t="str">
        <f>'[5]Annex-20'!E45</f>
        <v xml:space="preserve"> </v>
      </c>
      <c r="F45" s="113" t="str">
        <f>'[5]Annex-20'!F45</f>
        <v xml:space="preserve"> </v>
      </c>
      <c r="G45" s="113" t="str">
        <f>'[5]Annex-20'!G45</f>
        <v xml:space="preserve"> </v>
      </c>
      <c r="H45" s="137" t="str">
        <f>'[5]Annex-20'!H45</f>
        <v/>
      </c>
      <c r="I45" s="113" t="str">
        <f>'[5]Annex-20'!I45</f>
        <v xml:space="preserve"> </v>
      </c>
      <c r="J45" s="113" t="str">
        <f>'[5]Annex-20'!J45</f>
        <v xml:space="preserve"> </v>
      </c>
      <c r="K45" s="113" t="str">
        <f>'[5]Annex-20'!K45</f>
        <v xml:space="preserve"> </v>
      </c>
      <c r="L45" s="113" t="str">
        <f>'[5]Annex-20'!L45</f>
        <v xml:space="preserve"> </v>
      </c>
      <c r="M45" s="113" t="str">
        <f>'[5]Annex-20'!M45</f>
        <v xml:space="preserve"> </v>
      </c>
      <c r="N45" s="115"/>
    </row>
    <row r="46" spans="1:14" hidden="1" x14ac:dyDescent="0.3">
      <c r="A46" s="72" t="str">
        <f t="shared" ref="A46" si="25">IF(A44="","","(%)")</f>
        <v/>
      </c>
      <c r="B46" s="113"/>
      <c r="C46" s="113" t="str">
        <f>'[5]Annex-20'!C46</f>
        <v/>
      </c>
      <c r="D46" s="113" t="str">
        <f>'[5]Annex-20'!D46</f>
        <v/>
      </c>
      <c r="E46" s="113" t="str">
        <f>'[5]Annex-20'!E46</f>
        <v/>
      </c>
      <c r="F46" s="113" t="str">
        <f>'[5]Annex-20'!F46</f>
        <v/>
      </c>
      <c r="G46" s="113" t="str">
        <f>'[5]Annex-20'!G46</f>
        <v/>
      </c>
      <c r="H46" s="137"/>
      <c r="I46" s="113" t="str">
        <f>'[5]Annex-20'!I46</f>
        <v/>
      </c>
      <c r="J46" s="113" t="str">
        <f>'[5]Annex-20'!J46</f>
        <v/>
      </c>
      <c r="K46" s="113" t="str">
        <f>'[5]Annex-20'!K46</f>
        <v/>
      </c>
      <c r="L46" s="113" t="str">
        <f>'[5]Annex-20'!L46</f>
        <v/>
      </c>
      <c r="M46" s="113" t="str">
        <f>'[5]Annex-20'!M46</f>
        <v/>
      </c>
      <c r="N46" s="115"/>
    </row>
    <row r="47" spans="1:14" hidden="1" x14ac:dyDescent="0.3">
      <c r="A47" s="112" t="str">
        <f t="shared" ref="A47" si="26">IF(A44="","","STATE")</f>
        <v/>
      </c>
      <c r="B47" s="113" t="str">
        <f>'[5]Annex-20'!B47</f>
        <v/>
      </c>
      <c r="C47" s="113" t="str">
        <f>'[5]Annex-20'!C47</f>
        <v xml:space="preserve"> </v>
      </c>
      <c r="D47" s="113" t="str">
        <f>'[5]Annex-20'!D47</f>
        <v xml:space="preserve"> </v>
      </c>
      <c r="E47" s="113" t="str">
        <f>'[5]Annex-20'!E47</f>
        <v xml:space="preserve"> </v>
      </c>
      <c r="F47" s="113" t="str">
        <f>'[5]Annex-20'!F47</f>
        <v xml:space="preserve"> </v>
      </c>
      <c r="G47" s="113" t="str">
        <f>'[5]Annex-20'!G47</f>
        <v xml:space="preserve"> </v>
      </c>
      <c r="H47" s="137" t="str">
        <f>'[5]Annex-20'!H47</f>
        <v/>
      </c>
      <c r="I47" s="113" t="str">
        <f>'[5]Annex-20'!I47</f>
        <v xml:space="preserve"> </v>
      </c>
      <c r="J47" s="113" t="str">
        <f>'[5]Annex-20'!J47</f>
        <v xml:space="preserve"> </v>
      </c>
      <c r="K47" s="113" t="str">
        <f>'[5]Annex-20'!K47</f>
        <v xml:space="preserve"> </v>
      </c>
      <c r="L47" s="113" t="str">
        <f>'[5]Annex-20'!L47</f>
        <v xml:space="preserve"> </v>
      </c>
      <c r="M47" s="113" t="str">
        <f>'[5]Annex-20'!M47</f>
        <v xml:space="preserve"> </v>
      </c>
      <c r="N47" s="115"/>
    </row>
    <row r="48" spans="1:14" hidden="1" x14ac:dyDescent="0.3">
      <c r="A48" s="72" t="str">
        <f t="shared" ref="A48" si="27">IF(A44="","","(%)")</f>
        <v/>
      </c>
      <c r="B48" s="113"/>
      <c r="C48" s="113" t="str">
        <f>'[5]Annex-20'!C48</f>
        <v/>
      </c>
      <c r="D48" s="113" t="str">
        <f>'[5]Annex-20'!D48</f>
        <v/>
      </c>
      <c r="E48" s="113" t="str">
        <f>'[5]Annex-20'!E48</f>
        <v/>
      </c>
      <c r="F48" s="113" t="str">
        <f>'[5]Annex-20'!F48</f>
        <v/>
      </c>
      <c r="G48" s="113" t="str">
        <f>'[5]Annex-20'!G48</f>
        <v/>
      </c>
      <c r="H48" s="137"/>
      <c r="I48" s="113" t="str">
        <f>'[5]Annex-20'!I48</f>
        <v/>
      </c>
      <c r="J48" s="113" t="str">
        <f>'[5]Annex-20'!J48</f>
        <v/>
      </c>
      <c r="K48" s="113" t="str">
        <f>'[5]Annex-20'!K48</f>
        <v/>
      </c>
      <c r="L48" s="113" t="str">
        <f>'[5]Annex-20'!L48</f>
        <v/>
      </c>
      <c r="M48" s="113" t="str">
        <f>'[5]Annex-20'!M48</f>
        <v/>
      </c>
      <c r="N48" s="115"/>
    </row>
    <row r="49" spans="1:14" hidden="1" x14ac:dyDescent="0.3">
      <c r="A49" s="112" t="str">
        <f t="shared" ref="A49" si="28">IF(A44="","","POOLED")</f>
        <v/>
      </c>
      <c r="B49" s="113" t="str">
        <f>'[5]Annex-20'!B49</f>
        <v/>
      </c>
      <c r="C49" s="113" t="str">
        <f>'[5]Annex-20'!C49</f>
        <v xml:space="preserve"> </v>
      </c>
      <c r="D49" s="113" t="str">
        <f>'[5]Annex-20'!D49</f>
        <v xml:space="preserve"> </v>
      </c>
      <c r="E49" s="113" t="str">
        <f>'[5]Annex-20'!E49</f>
        <v xml:space="preserve"> </v>
      </c>
      <c r="F49" s="113" t="str">
        <f>'[5]Annex-20'!F49</f>
        <v xml:space="preserve"> </v>
      </c>
      <c r="G49" s="113" t="str">
        <f>'[5]Annex-20'!G49</f>
        <v xml:space="preserve"> </v>
      </c>
      <c r="H49" s="137" t="str">
        <f>'[5]Annex-20'!H49</f>
        <v/>
      </c>
      <c r="I49" s="113" t="str">
        <f>'[5]Annex-20'!I49</f>
        <v xml:space="preserve"> </v>
      </c>
      <c r="J49" s="113" t="str">
        <f>'[5]Annex-20'!J49</f>
        <v xml:space="preserve"> </v>
      </c>
      <c r="K49" s="113" t="str">
        <f>'[5]Annex-20'!K49</f>
        <v xml:space="preserve"> </v>
      </c>
      <c r="L49" s="113" t="str">
        <f>'[5]Annex-20'!L49</f>
        <v xml:space="preserve"> </v>
      </c>
      <c r="M49" s="113" t="str">
        <f>'[5]Annex-20'!M49</f>
        <v xml:space="preserve"> </v>
      </c>
      <c r="N49" s="115"/>
    </row>
    <row r="50" spans="1:14" hidden="1" x14ac:dyDescent="0.3">
      <c r="A50" s="178" t="str">
        <f t="shared" ref="A50" si="29">IF(A44="","","(%)")</f>
        <v/>
      </c>
      <c r="B50" s="155"/>
      <c r="C50" s="155" t="str">
        <f>'[5]Annex-20'!C50</f>
        <v/>
      </c>
      <c r="D50" s="155" t="str">
        <f>'[5]Annex-20'!D50</f>
        <v/>
      </c>
      <c r="E50" s="155" t="str">
        <f>'[5]Annex-20'!E50</f>
        <v/>
      </c>
      <c r="F50" s="155" t="str">
        <f>'[5]Annex-20'!F50</f>
        <v/>
      </c>
      <c r="G50" s="155" t="str">
        <f>'[5]Annex-20'!G50</f>
        <v/>
      </c>
      <c r="H50" s="191"/>
      <c r="I50" s="155" t="str">
        <f>'[5]Annex-20'!I50</f>
        <v/>
      </c>
      <c r="J50" s="155" t="str">
        <f>'[5]Annex-20'!J50</f>
        <v/>
      </c>
      <c r="K50" s="155" t="str">
        <f>'[5]Annex-20'!K50</f>
        <v/>
      </c>
      <c r="L50" s="155" t="str">
        <f>'[5]Annex-20'!L50</f>
        <v/>
      </c>
      <c r="M50" s="155" t="str">
        <f>'[5]Annex-20'!M50</f>
        <v/>
      </c>
      <c r="N50" s="115"/>
    </row>
    <row r="51" spans="1:14" hidden="1" x14ac:dyDescent="0.3">
      <c r="A51" s="192" t="str">
        <f>IF('[5]Crops CY'!$A$13=0,"",'[5]Crops CY'!$A$13)</f>
        <v/>
      </c>
      <c r="B51" s="113"/>
      <c r="C51" s="113"/>
      <c r="D51" s="113"/>
      <c r="E51" s="113"/>
      <c r="F51" s="113"/>
      <c r="G51" s="113"/>
      <c r="H51" s="137"/>
      <c r="I51" s="113"/>
      <c r="J51" s="113"/>
      <c r="K51" s="113"/>
      <c r="L51" s="113"/>
      <c r="M51" s="113"/>
      <c r="N51" s="115"/>
    </row>
    <row r="52" spans="1:14" hidden="1" x14ac:dyDescent="0.3">
      <c r="A52" s="112" t="str">
        <f t="shared" ref="A52" si="30">IF(A51="","","CENTRAL" )</f>
        <v/>
      </c>
      <c r="B52" s="113" t="str">
        <f>'[5]Annex-20'!B52</f>
        <v/>
      </c>
      <c r="C52" s="113" t="str">
        <f>'[5]Annex-20'!C52</f>
        <v xml:space="preserve"> </v>
      </c>
      <c r="D52" s="113" t="str">
        <f>'[5]Annex-20'!D52</f>
        <v xml:space="preserve"> </v>
      </c>
      <c r="E52" s="113" t="str">
        <f>'[5]Annex-20'!E52</f>
        <v xml:space="preserve"> </v>
      </c>
      <c r="F52" s="113" t="str">
        <f>'[5]Annex-20'!F52</f>
        <v xml:space="preserve"> </v>
      </c>
      <c r="G52" s="113" t="str">
        <f>'[5]Annex-20'!G52</f>
        <v xml:space="preserve"> </v>
      </c>
      <c r="H52" s="137" t="str">
        <f>'[5]Annex-20'!H52</f>
        <v/>
      </c>
      <c r="I52" s="113" t="str">
        <f>'[5]Annex-20'!I52</f>
        <v xml:space="preserve"> </v>
      </c>
      <c r="J52" s="113" t="str">
        <f>'[5]Annex-20'!J52</f>
        <v xml:space="preserve"> </v>
      </c>
      <c r="K52" s="113" t="str">
        <f>'[5]Annex-20'!K52</f>
        <v xml:space="preserve"> </v>
      </c>
      <c r="L52" s="113" t="str">
        <f>'[5]Annex-20'!L52</f>
        <v xml:space="preserve"> </v>
      </c>
      <c r="M52" s="113" t="str">
        <f>'[5]Annex-20'!M52</f>
        <v xml:space="preserve"> </v>
      </c>
      <c r="N52" s="115"/>
    </row>
    <row r="53" spans="1:14" hidden="1" x14ac:dyDescent="0.3">
      <c r="A53" s="72" t="str">
        <f t="shared" ref="A53" si="31">IF(A51="","","(%)")</f>
        <v/>
      </c>
      <c r="B53" s="113"/>
      <c r="C53" s="113" t="str">
        <f>'[5]Annex-20'!C53</f>
        <v/>
      </c>
      <c r="D53" s="113" t="str">
        <f>'[5]Annex-20'!D53</f>
        <v/>
      </c>
      <c r="E53" s="113" t="str">
        <f>'[5]Annex-20'!E53</f>
        <v/>
      </c>
      <c r="F53" s="113" t="str">
        <f>'[5]Annex-20'!F53</f>
        <v/>
      </c>
      <c r="G53" s="113" t="str">
        <f>'[5]Annex-20'!G53</f>
        <v/>
      </c>
      <c r="H53" s="137"/>
      <c r="I53" s="113" t="str">
        <f>'[5]Annex-20'!I53</f>
        <v/>
      </c>
      <c r="J53" s="113" t="str">
        <f>'[5]Annex-20'!J53</f>
        <v/>
      </c>
      <c r="K53" s="113" t="str">
        <f>'[5]Annex-20'!K53</f>
        <v/>
      </c>
      <c r="L53" s="113" t="str">
        <f>'[5]Annex-20'!L53</f>
        <v/>
      </c>
      <c r="M53" s="113" t="str">
        <f>'[5]Annex-20'!M53</f>
        <v/>
      </c>
      <c r="N53" s="115"/>
    </row>
    <row r="54" spans="1:14" hidden="1" x14ac:dyDescent="0.3">
      <c r="A54" s="112" t="str">
        <f t="shared" ref="A54" si="32">IF(A51="","","STATE")</f>
        <v/>
      </c>
      <c r="B54" s="113" t="str">
        <f>'[5]Annex-20'!B54</f>
        <v/>
      </c>
      <c r="C54" s="113" t="str">
        <f>'[5]Annex-20'!C54</f>
        <v xml:space="preserve"> </v>
      </c>
      <c r="D54" s="113" t="str">
        <f>'[5]Annex-20'!D54</f>
        <v xml:space="preserve"> </v>
      </c>
      <c r="E54" s="113" t="str">
        <f>'[5]Annex-20'!E54</f>
        <v xml:space="preserve"> </v>
      </c>
      <c r="F54" s="113" t="str">
        <f>'[5]Annex-20'!F54</f>
        <v xml:space="preserve"> </v>
      </c>
      <c r="G54" s="113" t="str">
        <f>'[5]Annex-20'!G54</f>
        <v xml:space="preserve"> </v>
      </c>
      <c r="H54" s="137" t="str">
        <f>'[5]Annex-20'!H54</f>
        <v/>
      </c>
      <c r="I54" s="113" t="str">
        <f>'[5]Annex-20'!I54</f>
        <v xml:space="preserve"> </v>
      </c>
      <c r="J54" s="113" t="str">
        <f>'[5]Annex-20'!J54</f>
        <v xml:space="preserve"> </v>
      </c>
      <c r="K54" s="113" t="str">
        <f>'[5]Annex-20'!K54</f>
        <v xml:space="preserve"> </v>
      </c>
      <c r="L54" s="113" t="str">
        <f>'[5]Annex-20'!L54</f>
        <v xml:space="preserve"> </v>
      </c>
      <c r="M54" s="113" t="str">
        <f>'[5]Annex-20'!M54</f>
        <v xml:space="preserve"> </v>
      </c>
      <c r="N54" s="115"/>
    </row>
    <row r="55" spans="1:14" hidden="1" x14ac:dyDescent="0.3">
      <c r="A55" s="72" t="str">
        <f t="shared" ref="A55" si="33">IF(A51="","","(%)")</f>
        <v/>
      </c>
      <c r="B55" s="113"/>
      <c r="C55" s="113" t="str">
        <f>'[5]Annex-20'!C55</f>
        <v/>
      </c>
      <c r="D55" s="113" t="str">
        <f>'[5]Annex-20'!D55</f>
        <v/>
      </c>
      <c r="E55" s="113" t="str">
        <f>'[5]Annex-20'!E55</f>
        <v/>
      </c>
      <c r="F55" s="113" t="str">
        <f>'[5]Annex-20'!F55</f>
        <v/>
      </c>
      <c r="G55" s="113" t="str">
        <f>'[5]Annex-20'!G55</f>
        <v/>
      </c>
      <c r="H55" s="137"/>
      <c r="I55" s="113" t="str">
        <f>'[5]Annex-20'!I55</f>
        <v/>
      </c>
      <c r="J55" s="113" t="str">
        <f>'[5]Annex-20'!J55</f>
        <v/>
      </c>
      <c r="K55" s="113" t="str">
        <f>'[5]Annex-20'!K55</f>
        <v/>
      </c>
      <c r="L55" s="113" t="str">
        <f>'[5]Annex-20'!L55</f>
        <v/>
      </c>
      <c r="M55" s="113" t="str">
        <f>'[5]Annex-20'!M55</f>
        <v/>
      </c>
      <c r="N55" s="115"/>
    </row>
    <row r="56" spans="1:14" hidden="1" x14ac:dyDescent="0.3">
      <c r="A56" s="112" t="str">
        <f t="shared" ref="A56" si="34">IF(A51="","","POOLED")</f>
        <v/>
      </c>
      <c r="B56" s="113" t="str">
        <f>'[5]Annex-20'!B56</f>
        <v/>
      </c>
      <c r="C56" s="113" t="str">
        <f>'[5]Annex-20'!C56</f>
        <v xml:space="preserve"> </v>
      </c>
      <c r="D56" s="113" t="str">
        <f>'[5]Annex-20'!D56</f>
        <v xml:space="preserve"> </v>
      </c>
      <c r="E56" s="113" t="str">
        <f>'[5]Annex-20'!E56</f>
        <v xml:space="preserve"> </v>
      </c>
      <c r="F56" s="113" t="str">
        <f>'[5]Annex-20'!F56</f>
        <v xml:space="preserve"> </v>
      </c>
      <c r="G56" s="113" t="str">
        <f>'[5]Annex-20'!G56</f>
        <v xml:space="preserve"> </v>
      </c>
      <c r="H56" s="137" t="str">
        <f>'[5]Annex-20'!H56</f>
        <v/>
      </c>
      <c r="I56" s="113" t="str">
        <f>'[5]Annex-20'!I56</f>
        <v xml:space="preserve"> </v>
      </c>
      <c r="J56" s="113" t="str">
        <f>'[5]Annex-20'!J56</f>
        <v xml:space="preserve"> </v>
      </c>
      <c r="K56" s="113" t="str">
        <f>'[5]Annex-20'!K56</f>
        <v xml:space="preserve"> </v>
      </c>
      <c r="L56" s="113" t="str">
        <f>'[5]Annex-20'!L56</f>
        <v xml:space="preserve"> </v>
      </c>
      <c r="M56" s="113" t="str">
        <f>'[5]Annex-20'!M56</f>
        <v xml:space="preserve"> </v>
      </c>
      <c r="N56" s="115"/>
    </row>
    <row r="57" spans="1:14" hidden="1" x14ac:dyDescent="0.3">
      <c r="A57" s="178" t="str">
        <f t="shared" ref="A57" si="35">IF(A51="","","(%)")</f>
        <v/>
      </c>
      <c r="B57" s="155"/>
      <c r="C57" s="155" t="str">
        <f>'[5]Annex-20'!C57</f>
        <v/>
      </c>
      <c r="D57" s="155" t="str">
        <f>'[5]Annex-20'!D57</f>
        <v/>
      </c>
      <c r="E57" s="155" t="str">
        <f>'[5]Annex-20'!E57</f>
        <v/>
      </c>
      <c r="F57" s="155" t="str">
        <f>'[5]Annex-20'!F57</f>
        <v/>
      </c>
      <c r="G57" s="155" t="str">
        <f>'[5]Annex-20'!G57</f>
        <v/>
      </c>
      <c r="H57" s="191"/>
      <c r="I57" s="155" t="str">
        <f>'[5]Annex-20'!I57</f>
        <v/>
      </c>
      <c r="J57" s="155" t="str">
        <f>'[5]Annex-20'!J57</f>
        <v/>
      </c>
      <c r="K57" s="155" t="str">
        <f>'[5]Annex-20'!K57</f>
        <v/>
      </c>
      <c r="L57" s="155" t="str">
        <f>'[5]Annex-20'!L57</f>
        <v/>
      </c>
      <c r="M57" s="155" t="str">
        <f>'[5]Annex-20'!M57</f>
        <v/>
      </c>
      <c r="N57" s="115"/>
    </row>
    <row r="58" spans="1:14" hidden="1" x14ac:dyDescent="0.3">
      <c r="A58" s="192" t="str">
        <f>IF('[5]Crops CY'!$A$14=0,"",'[5]Crops CY'!$A$14)</f>
        <v/>
      </c>
      <c r="B58" s="113"/>
      <c r="C58" s="113"/>
      <c r="D58" s="113"/>
      <c r="E58" s="113"/>
      <c r="F58" s="113"/>
      <c r="G58" s="113"/>
      <c r="H58" s="137"/>
      <c r="I58" s="113"/>
      <c r="J58" s="113"/>
      <c r="K58" s="113"/>
      <c r="L58" s="113"/>
      <c r="M58" s="113"/>
      <c r="N58" s="115"/>
    </row>
    <row r="59" spans="1:14" hidden="1" x14ac:dyDescent="0.3">
      <c r="A59" s="112" t="str">
        <f t="shared" ref="A59" si="36">IF(A58="","","CENTRAL" )</f>
        <v/>
      </c>
      <c r="B59" s="113" t="str">
        <f>'[5]Annex-20'!B59</f>
        <v/>
      </c>
      <c r="C59" s="113" t="str">
        <f>'[5]Annex-20'!C59</f>
        <v xml:space="preserve"> </v>
      </c>
      <c r="D59" s="113" t="str">
        <f>'[5]Annex-20'!D59</f>
        <v xml:space="preserve"> </v>
      </c>
      <c r="E59" s="113" t="str">
        <f>'[5]Annex-20'!E59</f>
        <v xml:space="preserve"> </v>
      </c>
      <c r="F59" s="113" t="str">
        <f>'[5]Annex-20'!F59</f>
        <v xml:space="preserve"> </v>
      </c>
      <c r="G59" s="113" t="str">
        <f>'[5]Annex-20'!G59</f>
        <v xml:space="preserve"> </v>
      </c>
      <c r="H59" s="137" t="str">
        <f>'[5]Annex-20'!H59</f>
        <v/>
      </c>
      <c r="I59" s="113" t="str">
        <f>'[5]Annex-20'!I59</f>
        <v xml:space="preserve"> </v>
      </c>
      <c r="J59" s="113" t="str">
        <f>'[5]Annex-20'!J59</f>
        <v xml:space="preserve"> </v>
      </c>
      <c r="K59" s="113" t="str">
        <f>'[5]Annex-20'!K59</f>
        <v xml:space="preserve"> </v>
      </c>
      <c r="L59" s="113" t="str">
        <f>'[5]Annex-20'!L59</f>
        <v xml:space="preserve"> </v>
      </c>
      <c r="M59" s="113" t="str">
        <f>'[5]Annex-20'!M59</f>
        <v xml:space="preserve"> </v>
      </c>
      <c r="N59" s="115"/>
    </row>
    <row r="60" spans="1:14" hidden="1" x14ac:dyDescent="0.3">
      <c r="A60" s="72" t="str">
        <f t="shared" ref="A60" si="37">IF(A58="","","(%)")</f>
        <v/>
      </c>
      <c r="B60" s="113"/>
      <c r="C60" s="113" t="str">
        <f>'[5]Annex-20'!C60</f>
        <v/>
      </c>
      <c r="D60" s="113" t="str">
        <f>'[5]Annex-20'!D60</f>
        <v/>
      </c>
      <c r="E60" s="113" t="str">
        <f>'[5]Annex-20'!E60</f>
        <v/>
      </c>
      <c r="F60" s="113" t="str">
        <f>'[5]Annex-20'!F60</f>
        <v/>
      </c>
      <c r="G60" s="113" t="str">
        <f>'[5]Annex-20'!G60</f>
        <v/>
      </c>
      <c r="H60" s="137"/>
      <c r="I60" s="113" t="str">
        <f>'[5]Annex-20'!I60</f>
        <v/>
      </c>
      <c r="J60" s="113" t="str">
        <f>'[5]Annex-20'!J60</f>
        <v/>
      </c>
      <c r="K60" s="113" t="str">
        <f>'[5]Annex-20'!K60</f>
        <v/>
      </c>
      <c r="L60" s="113" t="str">
        <f>'[5]Annex-20'!L60</f>
        <v/>
      </c>
      <c r="M60" s="113" t="str">
        <f>'[5]Annex-20'!M60</f>
        <v/>
      </c>
      <c r="N60" s="115"/>
    </row>
    <row r="61" spans="1:14" hidden="1" x14ac:dyDescent="0.3">
      <c r="A61" s="112" t="str">
        <f t="shared" ref="A61" si="38">IF(A58="","","STATE")</f>
        <v/>
      </c>
      <c r="B61" s="113" t="str">
        <f>'[5]Annex-20'!B61</f>
        <v/>
      </c>
      <c r="C61" s="113" t="str">
        <f>'[5]Annex-20'!C61</f>
        <v xml:space="preserve"> </v>
      </c>
      <c r="D61" s="113" t="str">
        <f>'[5]Annex-20'!D61</f>
        <v xml:space="preserve"> </v>
      </c>
      <c r="E61" s="113" t="str">
        <f>'[5]Annex-20'!E61</f>
        <v xml:space="preserve"> </v>
      </c>
      <c r="F61" s="113" t="str">
        <f>'[5]Annex-20'!F61</f>
        <v xml:space="preserve"> </v>
      </c>
      <c r="G61" s="113" t="str">
        <f>'[5]Annex-20'!G61</f>
        <v xml:space="preserve"> </v>
      </c>
      <c r="H61" s="137" t="str">
        <f>'[5]Annex-20'!H61</f>
        <v/>
      </c>
      <c r="I61" s="113" t="str">
        <f>'[5]Annex-20'!I61</f>
        <v xml:space="preserve"> </v>
      </c>
      <c r="J61" s="113" t="str">
        <f>'[5]Annex-20'!J61</f>
        <v xml:space="preserve"> </v>
      </c>
      <c r="K61" s="113" t="str">
        <f>'[5]Annex-20'!K61</f>
        <v xml:space="preserve"> </v>
      </c>
      <c r="L61" s="113" t="str">
        <f>'[5]Annex-20'!L61</f>
        <v xml:space="preserve"> </v>
      </c>
      <c r="M61" s="113" t="str">
        <f>'[5]Annex-20'!M61</f>
        <v xml:space="preserve"> </v>
      </c>
      <c r="N61" s="115"/>
    </row>
    <row r="62" spans="1:14" hidden="1" x14ac:dyDescent="0.3">
      <c r="A62" s="72" t="str">
        <f t="shared" ref="A62" si="39">IF(A58="","","(%)")</f>
        <v/>
      </c>
      <c r="B62" s="113"/>
      <c r="C62" s="113" t="str">
        <f>'[5]Annex-20'!C62</f>
        <v/>
      </c>
      <c r="D62" s="113" t="str">
        <f>'[5]Annex-20'!D62</f>
        <v/>
      </c>
      <c r="E62" s="113" t="str">
        <f>'[5]Annex-20'!E62</f>
        <v/>
      </c>
      <c r="F62" s="113" t="str">
        <f>'[5]Annex-20'!F62</f>
        <v/>
      </c>
      <c r="G62" s="113" t="str">
        <f>'[5]Annex-20'!G62</f>
        <v/>
      </c>
      <c r="H62" s="137"/>
      <c r="I62" s="113" t="str">
        <f>'[5]Annex-20'!I62</f>
        <v/>
      </c>
      <c r="J62" s="113" t="str">
        <f>'[5]Annex-20'!J62</f>
        <v/>
      </c>
      <c r="K62" s="113" t="str">
        <f>'[5]Annex-20'!K62</f>
        <v/>
      </c>
      <c r="L62" s="113" t="str">
        <f>'[5]Annex-20'!L62</f>
        <v/>
      </c>
      <c r="M62" s="113" t="str">
        <f>'[5]Annex-20'!M62</f>
        <v/>
      </c>
      <c r="N62" s="115"/>
    </row>
    <row r="63" spans="1:14" hidden="1" x14ac:dyDescent="0.3">
      <c r="A63" s="112" t="str">
        <f t="shared" ref="A63" si="40">IF(A58="","","POOLED")</f>
        <v/>
      </c>
      <c r="B63" s="113" t="str">
        <f>'[5]Annex-20'!B63</f>
        <v/>
      </c>
      <c r="C63" s="113" t="str">
        <f>'[5]Annex-20'!C63</f>
        <v xml:space="preserve"> </v>
      </c>
      <c r="D63" s="113" t="str">
        <f>'[5]Annex-20'!D63</f>
        <v xml:space="preserve"> </v>
      </c>
      <c r="E63" s="113" t="str">
        <f>'[5]Annex-20'!E63</f>
        <v xml:space="preserve"> </v>
      </c>
      <c r="F63" s="113" t="str">
        <f>'[5]Annex-20'!F63</f>
        <v xml:space="preserve"> </v>
      </c>
      <c r="G63" s="113" t="str">
        <f>'[5]Annex-20'!G63</f>
        <v xml:space="preserve"> </v>
      </c>
      <c r="H63" s="137" t="str">
        <f>'[5]Annex-20'!H63</f>
        <v/>
      </c>
      <c r="I63" s="113" t="str">
        <f>'[5]Annex-20'!I63</f>
        <v xml:space="preserve"> </v>
      </c>
      <c r="J63" s="113" t="str">
        <f>'[5]Annex-20'!J63</f>
        <v xml:space="preserve"> </v>
      </c>
      <c r="K63" s="113" t="str">
        <f>'[5]Annex-20'!K63</f>
        <v xml:space="preserve"> </v>
      </c>
      <c r="L63" s="113" t="str">
        <f>'[5]Annex-20'!L63</f>
        <v xml:space="preserve"> </v>
      </c>
      <c r="M63" s="113" t="str">
        <f>'[5]Annex-20'!M63</f>
        <v xml:space="preserve"> </v>
      </c>
      <c r="N63" s="115"/>
    </row>
    <row r="64" spans="1:14" hidden="1" x14ac:dyDescent="0.3">
      <c r="A64" s="178" t="str">
        <f t="shared" ref="A64" si="41">IF(A58="","","(%)")</f>
        <v/>
      </c>
      <c r="B64" s="155"/>
      <c r="C64" s="155" t="str">
        <f>'[5]Annex-20'!C64</f>
        <v/>
      </c>
      <c r="D64" s="155" t="str">
        <f>'[5]Annex-20'!D64</f>
        <v/>
      </c>
      <c r="E64" s="155" t="str">
        <f>'[5]Annex-20'!E64</f>
        <v/>
      </c>
      <c r="F64" s="155" t="str">
        <f>'[5]Annex-20'!F64</f>
        <v/>
      </c>
      <c r="G64" s="155" t="str">
        <f>'[5]Annex-20'!G64</f>
        <v/>
      </c>
      <c r="H64" s="191"/>
      <c r="I64" s="155" t="str">
        <f>'[5]Annex-20'!I64</f>
        <v/>
      </c>
      <c r="J64" s="155" t="str">
        <f>'[5]Annex-20'!J64</f>
        <v/>
      </c>
      <c r="K64" s="155" t="str">
        <f>'[5]Annex-20'!K64</f>
        <v/>
      </c>
      <c r="L64" s="155" t="str">
        <f>'[5]Annex-20'!L64</f>
        <v/>
      </c>
      <c r="M64" s="155" t="str">
        <f>'[5]Annex-20'!M64</f>
        <v/>
      </c>
      <c r="N64" s="115"/>
    </row>
    <row r="65" spans="1:14" hidden="1" x14ac:dyDescent="0.3">
      <c r="A65" s="192" t="str">
        <f>IF('[5]Crops CY'!$A$15=0,"",'[5]Crops CY'!$A$15)</f>
        <v/>
      </c>
      <c r="B65" s="113"/>
      <c r="C65" s="113"/>
      <c r="D65" s="113"/>
      <c r="E65" s="113"/>
      <c r="F65" s="113"/>
      <c r="G65" s="113"/>
      <c r="H65" s="137"/>
      <c r="I65" s="113"/>
      <c r="J65" s="113"/>
      <c r="K65" s="113"/>
      <c r="L65" s="113"/>
      <c r="M65" s="113"/>
      <c r="N65" s="115"/>
    </row>
    <row r="66" spans="1:14" hidden="1" x14ac:dyDescent="0.3">
      <c r="A66" s="112" t="str">
        <f t="shared" ref="A66" si="42">IF(A65="","","CENTRAL" )</f>
        <v/>
      </c>
      <c r="B66" s="113" t="str">
        <f>'[5]Annex-20'!B66</f>
        <v/>
      </c>
      <c r="C66" s="113" t="str">
        <f>'[5]Annex-20'!C66</f>
        <v xml:space="preserve"> </v>
      </c>
      <c r="D66" s="113" t="str">
        <f>'[5]Annex-20'!D66</f>
        <v xml:space="preserve"> </v>
      </c>
      <c r="E66" s="113" t="str">
        <f>'[5]Annex-20'!E66</f>
        <v xml:space="preserve"> </v>
      </c>
      <c r="F66" s="113" t="str">
        <f>'[5]Annex-20'!F66</f>
        <v xml:space="preserve"> </v>
      </c>
      <c r="G66" s="113" t="str">
        <f>'[5]Annex-20'!G66</f>
        <v xml:space="preserve"> </v>
      </c>
      <c r="H66" s="137" t="str">
        <f>'[5]Annex-20'!H66</f>
        <v/>
      </c>
      <c r="I66" s="113" t="str">
        <f>'[5]Annex-20'!I66</f>
        <v xml:space="preserve"> </v>
      </c>
      <c r="J66" s="113" t="str">
        <f>'[5]Annex-20'!J66</f>
        <v xml:space="preserve"> </v>
      </c>
      <c r="K66" s="113" t="str">
        <f>'[5]Annex-20'!K66</f>
        <v xml:space="preserve"> </v>
      </c>
      <c r="L66" s="113" t="str">
        <f>'[5]Annex-20'!L66</f>
        <v xml:space="preserve"> </v>
      </c>
      <c r="M66" s="113" t="str">
        <f>'[5]Annex-20'!M66</f>
        <v xml:space="preserve"> </v>
      </c>
      <c r="N66" s="115"/>
    </row>
    <row r="67" spans="1:14" hidden="1" x14ac:dyDescent="0.3">
      <c r="A67" s="72" t="str">
        <f t="shared" ref="A67" si="43">IF(A65="","","(%)")</f>
        <v/>
      </c>
      <c r="B67" s="113"/>
      <c r="C67" s="113" t="str">
        <f>'[5]Annex-20'!C67</f>
        <v/>
      </c>
      <c r="D67" s="113" t="str">
        <f>'[5]Annex-20'!D67</f>
        <v/>
      </c>
      <c r="E67" s="113" t="str">
        <f>'[5]Annex-20'!E67</f>
        <v/>
      </c>
      <c r="F67" s="113" t="str">
        <f>'[5]Annex-20'!F67</f>
        <v/>
      </c>
      <c r="G67" s="113" t="str">
        <f>'[5]Annex-20'!G67</f>
        <v/>
      </c>
      <c r="H67" s="137"/>
      <c r="I67" s="113" t="str">
        <f>'[5]Annex-20'!I67</f>
        <v/>
      </c>
      <c r="J67" s="113" t="str">
        <f>'[5]Annex-20'!J67</f>
        <v/>
      </c>
      <c r="K67" s="113" t="str">
        <f>'[5]Annex-20'!K67</f>
        <v/>
      </c>
      <c r="L67" s="113" t="str">
        <f>'[5]Annex-20'!L67</f>
        <v/>
      </c>
      <c r="M67" s="113" t="str">
        <f>'[5]Annex-20'!M67</f>
        <v/>
      </c>
      <c r="N67" s="115"/>
    </row>
    <row r="68" spans="1:14" hidden="1" x14ac:dyDescent="0.3">
      <c r="A68" s="112" t="str">
        <f t="shared" ref="A68" si="44">IF(A65="","","STATE")</f>
        <v/>
      </c>
      <c r="B68" s="113" t="str">
        <f>'[5]Annex-20'!B68</f>
        <v/>
      </c>
      <c r="C68" s="113" t="str">
        <f>'[5]Annex-20'!C68</f>
        <v xml:space="preserve"> </v>
      </c>
      <c r="D68" s="113" t="str">
        <f>'[5]Annex-20'!D68</f>
        <v xml:space="preserve"> </v>
      </c>
      <c r="E68" s="113" t="str">
        <f>'[5]Annex-20'!E68</f>
        <v xml:space="preserve"> </v>
      </c>
      <c r="F68" s="113" t="str">
        <f>'[5]Annex-20'!F68</f>
        <v xml:space="preserve"> </v>
      </c>
      <c r="G68" s="113" t="str">
        <f>'[5]Annex-20'!G68</f>
        <v xml:space="preserve"> </v>
      </c>
      <c r="H68" s="137" t="str">
        <f>'[5]Annex-20'!H68</f>
        <v/>
      </c>
      <c r="I68" s="113" t="str">
        <f>'[5]Annex-20'!I68</f>
        <v xml:space="preserve"> </v>
      </c>
      <c r="J68" s="113" t="str">
        <f>'[5]Annex-20'!J68</f>
        <v xml:space="preserve"> </v>
      </c>
      <c r="K68" s="113" t="str">
        <f>'[5]Annex-20'!K68</f>
        <v xml:space="preserve"> </v>
      </c>
      <c r="L68" s="113" t="str">
        <f>'[5]Annex-20'!L68</f>
        <v xml:space="preserve"> </v>
      </c>
      <c r="M68" s="113" t="str">
        <f>'[5]Annex-20'!M68</f>
        <v xml:space="preserve"> </v>
      </c>
      <c r="N68" s="115"/>
    </row>
    <row r="69" spans="1:14" hidden="1" x14ac:dyDescent="0.3">
      <c r="A69" s="72" t="str">
        <f t="shared" ref="A69" si="45">IF(A65="","","(%)")</f>
        <v/>
      </c>
      <c r="B69" s="113"/>
      <c r="C69" s="113" t="str">
        <f>'[5]Annex-20'!C69</f>
        <v/>
      </c>
      <c r="D69" s="113" t="str">
        <f>'[5]Annex-20'!D69</f>
        <v/>
      </c>
      <c r="E69" s="113" t="str">
        <f>'[5]Annex-20'!E69</f>
        <v/>
      </c>
      <c r="F69" s="113" t="str">
        <f>'[5]Annex-20'!F69</f>
        <v/>
      </c>
      <c r="G69" s="113" t="str">
        <f>'[5]Annex-20'!G69</f>
        <v/>
      </c>
      <c r="H69" s="137"/>
      <c r="I69" s="113" t="str">
        <f>'[5]Annex-20'!I69</f>
        <v/>
      </c>
      <c r="J69" s="113" t="str">
        <f>'[5]Annex-20'!J69</f>
        <v/>
      </c>
      <c r="K69" s="113" t="str">
        <f>'[5]Annex-20'!K69</f>
        <v/>
      </c>
      <c r="L69" s="113" t="str">
        <f>'[5]Annex-20'!L69</f>
        <v/>
      </c>
      <c r="M69" s="113" t="str">
        <f>'[5]Annex-20'!M69</f>
        <v/>
      </c>
      <c r="N69" s="115"/>
    </row>
    <row r="70" spans="1:14" hidden="1" x14ac:dyDescent="0.3">
      <c r="A70" s="112" t="str">
        <f t="shared" ref="A70" si="46">IF(A65="","","POOLED")</f>
        <v/>
      </c>
      <c r="B70" s="113" t="str">
        <f>'[5]Annex-20'!B70</f>
        <v/>
      </c>
      <c r="C70" s="113" t="str">
        <f>'[5]Annex-20'!C70</f>
        <v xml:space="preserve"> </v>
      </c>
      <c r="D70" s="113" t="str">
        <f>'[5]Annex-20'!D70</f>
        <v xml:space="preserve"> </v>
      </c>
      <c r="E70" s="113" t="str">
        <f>'[5]Annex-20'!E70</f>
        <v xml:space="preserve"> </v>
      </c>
      <c r="F70" s="113" t="str">
        <f>'[5]Annex-20'!F70</f>
        <v xml:space="preserve"> </v>
      </c>
      <c r="G70" s="113" t="str">
        <f>'[5]Annex-20'!G70</f>
        <v xml:space="preserve"> </v>
      </c>
      <c r="H70" s="137" t="str">
        <f>'[5]Annex-20'!H70</f>
        <v/>
      </c>
      <c r="I70" s="113" t="str">
        <f>'[5]Annex-20'!I70</f>
        <v xml:space="preserve"> </v>
      </c>
      <c r="J70" s="113" t="str">
        <f>'[5]Annex-20'!J70</f>
        <v xml:space="preserve"> </v>
      </c>
      <c r="K70" s="113" t="str">
        <f>'[5]Annex-20'!K70</f>
        <v xml:space="preserve"> </v>
      </c>
      <c r="L70" s="113" t="str">
        <f>'[5]Annex-20'!L70</f>
        <v xml:space="preserve"> </v>
      </c>
      <c r="M70" s="113" t="str">
        <f>'[5]Annex-20'!M70</f>
        <v xml:space="preserve"> </v>
      </c>
      <c r="N70" s="115"/>
    </row>
    <row r="71" spans="1:14" hidden="1" x14ac:dyDescent="0.3">
      <c r="A71" s="178" t="str">
        <f t="shared" ref="A71" si="47">IF(A65="","","(%)")</f>
        <v/>
      </c>
      <c r="B71" s="155"/>
      <c r="C71" s="155" t="str">
        <f>'[5]Annex-20'!C71</f>
        <v/>
      </c>
      <c r="D71" s="155" t="str">
        <f>'[5]Annex-20'!D71</f>
        <v/>
      </c>
      <c r="E71" s="155" t="str">
        <f>'[5]Annex-20'!E71</f>
        <v/>
      </c>
      <c r="F71" s="155" t="str">
        <f>'[5]Annex-20'!F71</f>
        <v/>
      </c>
      <c r="G71" s="155" t="str">
        <f>'[5]Annex-20'!G71</f>
        <v/>
      </c>
      <c r="H71" s="191"/>
      <c r="I71" s="155" t="str">
        <f>'[5]Annex-20'!I71</f>
        <v/>
      </c>
      <c r="J71" s="155" t="str">
        <f>'[5]Annex-20'!J71</f>
        <v/>
      </c>
      <c r="K71" s="155" t="str">
        <f>'[5]Annex-20'!K71</f>
        <v/>
      </c>
      <c r="L71" s="155" t="str">
        <f>'[5]Annex-20'!L71</f>
        <v/>
      </c>
      <c r="M71" s="155" t="str">
        <f>'[5]Annex-20'!M71</f>
        <v/>
      </c>
      <c r="N71" s="115"/>
    </row>
    <row r="72" spans="1:14" hidden="1" x14ac:dyDescent="0.3">
      <c r="A72" s="192" t="str">
        <f>IF('[5]Crops CY'!$A$16=0,"",'[5]Crops CY'!$A$16)</f>
        <v/>
      </c>
      <c r="B72" s="113"/>
      <c r="C72" s="113"/>
      <c r="D72" s="113"/>
      <c r="E72" s="113"/>
      <c r="F72" s="113"/>
      <c r="G72" s="113"/>
      <c r="H72" s="137"/>
      <c r="I72" s="113"/>
      <c r="J72" s="113"/>
      <c r="K72" s="113"/>
      <c r="L72" s="113"/>
      <c r="M72" s="113"/>
      <c r="N72" s="115"/>
    </row>
    <row r="73" spans="1:14" hidden="1" x14ac:dyDescent="0.3">
      <c r="A73" s="112" t="str">
        <f t="shared" ref="A73" si="48">IF(A72="","","CENTRAL" )</f>
        <v/>
      </c>
      <c r="B73" s="113" t="str">
        <f>'[5]Annex-20'!B73</f>
        <v/>
      </c>
      <c r="C73" s="113" t="str">
        <f>'[5]Annex-20'!C73</f>
        <v xml:space="preserve"> </v>
      </c>
      <c r="D73" s="113" t="str">
        <f>'[5]Annex-20'!D73</f>
        <v xml:space="preserve"> </v>
      </c>
      <c r="E73" s="113" t="str">
        <f>'[5]Annex-20'!E73</f>
        <v xml:space="preserve"> </v>
      </c>
      <c r="F73" s="113" t="str">
        <f>'[5]Annex-20'!F73</f>
        <v xml:space="preserve"> </v>
      </c>
      <c r="G73" s="113" t="str">
        <f>'[5]Annex-20'!G73</f>
        <v xml:space="preserve"> </v>
      </c>
      <c r="H73" s="137" t="str">
        <f>'[5]Annex-20'!H73</f>
        <v/>
      </c>
      <c r="I73" s="113" t="str">
        <f>'[5]Annex-20'!I73</f>
        <v xml:space="preserve"> </v>
      </c>
      <c r="J73" s="113" t="str">
        <f>'[5]Annex-20'!J73</f>
        <v xml:space="preserve"> </v>
      </c>
      <c r="K73" s="113" t="str">
        <f>'[5]Annex-20'!K73</f>
        <v xml:space="preserve"> </v>
      </c>
      <c r="L73" s="113" t="str">
        <f>'[5]Annex-20'!L73</f>
        <v xml:space="preserve"> </v>
      </c>
      <c r="M73" s="113" t="str">
        <f>'[5]Annex-20'!M73</f>
        <v xml:space="preserve"> </v>
      </c>
      <c r="N73" s="115"/>
    </row>
    <row r="74" spans="1:14" hidden="1" x14ac:dyDescent="0.3">
      <c r="A74" s="72" t="str">
        <f t="shared" ref="A74" si="49">IF(A72="","","(%)")</f>
        <v/>
      </c>
      <c r="B74" s="113"/>
      <c r="C74" s="113" t="str">
        <f>'[5]Annex-20'!C74</f>
        <v/>
      </c>
      <c r="D74" s="113" t="str">
        <f>'[5]Annex-20'!D74</f>
        <v/>
      </c>
      <c r="E74" s="113" t="str">
        <f>'[5]Annex-20'!E74</f>
        <v/>
      </c>
      <c r="F74" s="113" t="str">
        <f>'[5]Annex-20'!F74</f>
        <v/>
      </c>
      <c r="G74" s="113" t="str">
        <f>'[5]Annex-20'!G74</f>
        <v/>
      </c>
      <c r="H74" s="137"/>
      <c r="I74" s="113" t="str">
        <f>'[5]Annex-20'!I74</f>
        <v/>
      </c>
      <c r="J74" s="113" t="str">
        <f>'[5]Annex-20'!J74</f>
        <v/>
      </c>
      <c r="K74" s="113" t="str">
        <f>'[5]Annex-20'!K74</f>
        <v/>
      </c>
      <c r="L74" s="113" t="str">
        <f>'[5]Annex-20'!L74</f>
        <v/>
      </c>
      <c r="M74" s="113" t="str">
        <f>'[5]Annex-20'!M74</f>
        <v/>
      </c>
      <c r="N74" s="115"/>
    </row>
    <row r="75" spans="1:14" hidden="1" x14ac:dyDescent="0.3">
      <c r="A75" s="112" t="str">
        <f t="shared" ref="A75" si="50">IF(A72="","","STATE")</f>
        <v/>
      </c>
      <c r="B75" s="113" t="str">
        <f>'[5]Annex-20'!B75</f>
        <v/>
      </c>
      <c r="C75" s="113" t="str">
        <f>'[5]Annex-20'!C75</f>
        <v xml:space="preserve"> </v>
      </c>
      <c r="D75" s="113" t="str">
        <f>'[5]Annex-20'!D75</f>
        <v xml:space="preserve"> </v>
      </c>
      <c r="E75" s="113" t="str">
        <f>'[5]Annex-20'!E75</f>
        <v xml:space="preserve"> </v>
      </c>
      <c r="F75" s="113" t="str">
        <f>'[5]Annex-20'!F75</f>
        <v xml:space="preserve"> </v>
      </c>
      <c r="G75" s="113" t="str">
        <f>'[5]Annex-20'!G75</f>
        <v xml:space="preserve"> </v>
      </c>
      <c r="H75" s="137" t="str">
        <f>'[5]Annex-20'!H75</f>
        <v/>
      </c>
      <c r="I75" s="113" t="str">
        <f>'[5]Annex-20'!I75</f>
        <v xml:space="preserve"> </v>
      </c>
      <c r="J75" s="113" t="str">
        <f>'[5]Annex-20'!J75</f>
        <v xml:space="preserve"> </v>
      </c>
      <c r="K75" s="113" t="str">
        <f>'[5]Annex-20'!K75</f>
        <v xml:space="preserve"> </v>
      </c>
      <c r="L75" s="113" t="str">
        <f>'[5]Annex-20'!L75</f>
        <v xml:space="preserve"> </v>
      </c>
      <c r="M75" s="113" t="str">
        <f>'[5]Annex-20'!M75</f>
        <v xml:space="preserve"> </v>
      </c>
      <c r="N75" s="115"/>
    </row>
    <row r="76" spans="1:14" hidden="1" x14ac:dyDescent="0.3">
      <c r="A76" s="72" t="str">
        <f t="shared" ref="A76" si="51">IF(A72="","","(%)")</f>
        <v/>
      </c>
      <c r="B76" s="113"/>
      <c r="C76" s="113" t="str">
        <f>'[5]Annex-20'!C76</f>
        <v/>
      </c>
      <c r="D76" s="113" t="str">
        <f>'[5]Annex-20'!D76</f>
        <v/>
      </c>
      <c r="E76" s="113" t="str">
        <f>'[5]Annex-20'!E76</f>
        <v/>
      </c>
      <c r="F76" s="113" t="str">
        <f>'[5]Annex-20'!F76</f>
        <v/>
      </c>
      <c r="G76" s="113" t="str">
        <f>'[5]Annex-20'!G76</f>
        <v/>
      </c>
      <c r="H76" s="137"/>
      <c r="I76" s="113" t="str">
        <f>'[5]Annex-20'!I76</f>
        <v/>
      </c>
      <c r="J76" s="113" t="str">
        <f>'[5]Annex-20'!J76</f>
        <v/>
      </c>
      <c r="K76" s="113" t="str">
        <f>'[5]Annex-20'!K76</f>
        <v/>
      </c>
      <c r="L76" s="113" t="str">
        <f>'[5]Annex-20'!L76</f>
        <v/>
      </c>
      <c r="M76" s="113" t="str">
        <f>'[5]Annex-20'!M76</f>
        <v/>
      </c>
      <c r="N76" s="115"/>
    </row>
    <row r="77" spans="1:14" hidden="1" x14ac:dyDescent="0.3">
      <c r="A77" s="112" t="str">
        <f t="shared" ref="A77" si="52">IF(A72="","","POOLED")</f>
        <v/>
      </c>
      <c r="B77" s="113" t="str">
        <f>'[5]Annex-20'!B77</f>
        <v/>
      </c>
      <c r="C77" s="113" t="str">
        <f>'[5]Annex-20'!C77</f>
        <v xml:space="preserve"> </v>
      </c>
      <c r="D77" s="113" t="str">
        <f>'[5]Annex-20'!D77</f>
        <v xml:space="preserve"> </v>
      </c>
      <c r="E77" s="113" t="str">
        <f>'[5]Annex-20'!E77</f>
        <v xml:space="preserve"> </v>
      </c>
      <c r="F77" s="113" t="str">
        <f>'[5]Annex-20'!F77</f>
        <v xml:space="preserve"> </v>
      </c>
      <c r="G77" s="113" t="str">
        <f>'[5]Annex-20'!G77</f>
        <v xml:space="preserve"> </v>
      </c>
      <c r="H77" s="137" t="str">
        <f>'[5]Annex-20'!H77</f>
        <v/>
      </c>
      <c r="I77" s="113" t="str">
        <f>'[5]Annex-20'!I77</f>
        <v xml:space="preserve"> </v>
      </c>
      <c r="J77" s="113" t="str">
        <f>'[5]Annex-20'!J77</f>
        <v xml:space="preserve"> </v>
      </c>
      <c r="K77" s="113" t="str">
        <f>'[5]Annex-20'!K77</f>
        <v xml:space="preserve"> </v>
      </c>
      <c r="L77" s="113" t="str">
        <f>'[5]Annex-20'!L77</f>
        <v xml:space="preserve"> </v>
      </c>
      <c r="M77" s="113" t="str">
        <f>'[5]Annex-20'!M77</f>
        <v xml:space="preserve"> </v>
      </c>
      <c r="N77" s="115"/>
    </row>
    <row r="78" spans="1:14" hidden="1" x14ac:dyDescent="0.3">
      <c r="A78" s="178" t="str">
        <f t="shared" ref="A78" si="53">IF(A72="","","(%)")</f>
        <v/>
      </c>
      <c r="B78" s="155"/>
      <c r="C78" s="155" t="str">
        <f>'[5]Annex-20'!C78</f>
        <v/>
      </c>
      <c r="D78" s="155" t="str">
        <f>'[5]Annex-20'!D78</f>
        <v/>
      </c>
      <c r="E78" s="155" t="str">
        <f>'[5]Annex-20'!E78</f>
        <v/>
      </c>
      <c r="F78" s="155" t="str">
        <f>'[5]Annex-20'!F78</f>
        <v/>
      </c>
      <c r="G78" s="155" t="str">
        <f>'[5]Annex-20'!G78</f>
        <v/>
      </c>
      <c r="H78" s="191"/>
      <c r="I78" s="155" t="str">
        <f>'[5]Annex-20'!I78</f>
        <v/>
      </c>
      <c r="J78" s="155" t="str">
        <f>'[5]Annex-20'!J78</f>
        <v/>
      </c>
      <c r="K78" s="155" t="str">
        <f>'[5]Annex-20'!K78</f>
        <v/>
      </c>
      <c r="L78" s="155" t="str">
        <f>'[5]Annex-20'!L78</f>
        <v/>
      </c>
      <c r="M78" s="155" t="str">
        <f>'[5]Annex-20'!M78</f>
        <v/>
      </c>
      <c r="N78" s="115"/>
    </row>
    <row r="79" spans="1:14" hidden="1" x14ac:dyDescent="0.3">
      <c r="A79" s="192" t="str">
        <f>IF('[5]Crops CY'!$A$17=0,"",'[5]Crops CY'!$A$17)</f>
        <v/>
      </c>
      <c r="B79" s="113"/>
      <c r="C79" s="113"/>
      <c r="D79" s="113"/>
      <c r="E79" s="113"/>
      <c r="F79" s="113"/>
      <c r="G79" s="113"/>
      <c r="H79" s="137"/>
      <c r="I79" s="113"/>
      <c r="J79" s="113"/>
      <c r="K79" s="113"/>
      <c r="L79" s="113"/>
      <c r="M79" s="113"/>
      <c r="N79" s="115"/>
    </row>
    <row r="80" spans="1:14" hidden="1" x14ac:dyDescent="0.3">
      <c r="A80" s="112" t="str">
        <f t="shared" ref="A80" si="54">IF(A79="","","CENTRAL" )</f>
        <v/>
      </c>
      <c r="B80" s="113" t="str">
        <f>'[5]Annex-20'!B80</f>
        <v/>
      </c>
      <c r="C80" s="113" t="str">
        <f>'[5]Annex-20'!C80</f>
        <v xml:space="preserve"> </v>
      </c>
      <c r="D80" s="113" t="str">
        <f>'[5]Annex-20'!D80</f>
        <v xml:space="preserve"> </v>
      </c>
      <c r="E80" s="113" t="str">
        <f>'[5]Annex-20'!E80</f>
        <v xml:space="preserve"> </v>
      </c>
      <c r="F80" s="113" t="str">
        <f>'[5]Annex-20'!F80</f>
        <v xml:space="preserve"> </v>
      </c>
      <c r="G80" s="113" t="str">
        <f>'[5]Annex-20'!G80</f>
        <v xml:space="preserve"> </v>
      </c>
      <c r="H80" s="137" t="str">
        <f>'[5]Annex-20'!H80</f>
        <v/>
      </c>
      <c r="I80" s="113" t="str">
        <f>'[5]Annex-20'!I80</f>
        <v xml:space="preserve"> </v>
      </c>
      <c r="J80" s="113" t="str">
        <f>'[5]Annex-20'!J80</f>
        <v xml:space="preserve"> </v>
      </c>
      <c r="K80" s="113" t="str">
        <f>'[5]Annex-20'!K80</f>
        <v xml:space="preserve"> </v>
      </c>
      <c r="L80" s="113" t="str">
        <f>'[5]Annex-20'!L80</f>
        <v xml:space="preserve"> </v>
      </c>
      <c r="M80" s="113" t="str">
        <f>'[5]Annex-20'!M80</f>
        <v xml:space="preserve"> </v>
      </c>
      <c r="N80" s="115"/>
    </row>
    <row r="81" spans="1:14" hidden="1" x14ac:dyDescent="0.3">
      <c r="A81" s="72" t="str">
        <f t="shared" ref="A81" si="55">IF(A79="","","(%)")</f>
        <v/>
      </c>
      <c r="B81" s="113"/>
      <c r="C81" s="113" t="str">
        <f>'[5]Annex-20'!C81</f>
        <v/>
      </c>
      <c r="D81" s="113" t="str">
        <f>'[5]Annex-20'!D81</f>
        <v/>
      </c>
      <c r="E81" s="113" t="str">
        <f>'[5]Annex-20'!E81</f>
        <v/>
      </c>
      <c r="F81" s="113" t="str">
        <f>'[5]Annex-20'!F81</f>
        <v/>
      </c>
      <c r="G81" s="113" t="str">
        <f>'[5]Annex-20'!G81</f>
        <v/>
      </c>
      <c r="H81" s="137"/>
      <c r="I81" s="113" t="str">
        <f>'[5]Annex-20'!I81</f>
        <v/>
      </c>
      <c r="J81" s="113" t="str">
        <f>'[5]Annex-20'!J81</f>
        <v/>
      </c>
      <c r="K81" s="113" t="str">
        <f>'[5]Annex-20'!K81</f>
        <v/>
      </c>
      <c r="L81" s="113" t="str">
        <f>'[5]Annex-20'!L81</f>
        <v/>
      </c>
      <c r="M81" s="113" t="str">
        <f>'[5]Annex-20'!M81</f>
        <v/>
      </c>
      <c r="N81" s="115"/>
    </row>
    <row r="82" spans="1:14" hidden="1" x14ac:dyDescent="0.3">
      <c r="A82" s="112" t="str">
        <f t="shared" ref="A82" si="56">IF(A79="","","STATE")</f>
        <v/>
      </c>
      <c r="B82" s="113" t="str">
        <f>'[5]Annex-20'!B82</f>
        <v/>
      </c>
      <c r="C82" s="113" t="str">
        <f>'[5]Annex-20'!C82</f>
        <v xml:space="preserve"> </v>
      </c>
      <c r="D82" s="113" t="str">
        <f>'[5]Annex-20'!D82</f>
        <v xml:space="preserve"> </v>
      </c>
      <c r="E82" s="113" t="str">
        <f>'[5]Annex-20'!E82</f>
        <v xml:space="preserve"> </v>
      </c>
      <c r="F82" s="113" t="str">
        <f>'[5]Annex-20'!F82</f>
        <v xml:space="preserve"> </v>
      </c>
      <c r="G82" s="113" t="str">
        <f>'[5]Annex-20'!G82</f>
        <v xml:space="preserve"> </v>
      </c>
      <c r="H82" s="137" t="str">
        <f>'[5]Annex-20'!H82</f>
        <v/>
      </c>
      <c r="I82" s="113" t="str">
        <f>'[5]Annex-20'!I82</f>
        <v xml:space="preserve"> </v>
      </c>
      <c r="J82" s="113" t="str">
        <f>'[5]Annex-20'!J82</f>
        <v xml:space="preserve"> </v>
      </c>
      <c r="K82" s="113" t="str">
        <f>'[5]Annex-20'!K82</f>
        <v xml:space="preserve"> </v>
      </c>
      <c r="L82" s="113" t="str">
        <f>'[5]Annex-20'!L82</f>
        <v xml:space="preserve"> </v>
      </c>
      <c r="M82" s="113" t="str">
        <f>'[5]Annex-20'!M82</f>
        <v xml:space="preserve"> </v>
      </c>
      <c r="N82" s="115"/>
    </row>
    <row r="83" spans="1:14" hidden="1" x14ac:dyDescent="0.3">
      <c r="A83" s="72" t="str">
        <f t="shared" ref="A83" si="57">IF(A79="","","(%)")</f>
        <v/>
      </c>
      <c r="B83" s="113"/>
      <c r="C83" s="113" t="str">
        <f>'[5]Annex-20'!C83</f>
        <v/>
      </c>
      <c r="D83" s="113" t="str">
        <f>'[5]Annex-20'!D83</f>
        <v/>
      </c>
      <c r="E83" s="113" t="str">
        <f>'[5]Annex-20'!E83</f>
        <v/>
      </c>
      <c r="F83" s="113" t="str">
        <f>'[5]Annex-20'!F83</f>
        <v/>
      </c>
      <c r="G83" s="113" t="str">
        <f>'[5]Annex-20'!G83</f>
        <v/>
      </c>
      <c r="H83" s="137"/>
      <c r="I83" s="113" t="str">
        <f>'[5]Annex-20'!I83</f>
        <v/>
      </c>
      <c r="J83" s="113" t="str">
        <f>'[5]Annex-20'!J83</f>
        <v/>
      </c>
      <c r="K83" s="113" t="str">
        <f>'[5]Annex-20'!K83</f>
        <v/>
      </c>
      <c r="L83" s="113" t="str">
        <f>'[5]Annex-20'!L83</f>
        <v/>
      </c>
      <c r="M83" s="113" t="str">
        <f>'[5]Annex-20'!M83</f>
        <v/>
      </c>
      <c r="N83" s="115"/>
    </row>
    <row r="84" spans="1:14" hidden="1" x14ac:dyDescent="0.3">
      <c r="A84" s="112" t="str">
        <f t="shared" ref="A84" si="58">IF(A79="","","POOLED")</f>
        <v/>
      </c>
      <c r="B84" s="113" t="str">
        <f>'[5]Annex-20'!B84</f>
        <v/>
      </c>
      <c r="C84" s="113" t="str">
        <f>'[5]Annex-20'!C84</f>
        <v xml:space="preserve"> </v>
      </c>
      <c r="D84" s="113" t="str">
        <f>'[5]Annex-20'!D84</f>
        <v xml:space="preserve"> </v>
      </c>
      <c r="E84" s="113" t="str">
        <f>'[5]Annex-20'!E84</f>
        <v xml:space="preserve"> </v>
      </c>
      <c r="F84" s="113" t="str">
        <f>'[5]Annex-20'!F84</f>
        <v xml:space="preserve"> </v>
      </c>
      <c r="G84" s="113" t="str">
        <f>'[5]Annex-20'!G84</f>
        <v xml:space="preserve"> </v>
      </c>
      <c r="H84" s="137" t="str">
        <f>'[5]Annex-20'!H84</f>
        <v/>
      </c>
      <c r="I84" s="113" t="str">
        <f>'[5]Annex-20'!I84</f>
        <v xml:space="preserve"> </v>
      </c>
      <c r="J84" s="113" t="str">
        <f>'[5]Annex-20'!J84</f>
        <v xml:space="preserve"> </v>
      </c>
      <c r="K84" s="113" t="str">
        <f>'[5]Annex-20'!K84</f>
        <v xml:space="preserve"> </v>
      </c>
      <c r="L84" s="113" t="str">
        <f>'[5]Annex-20'!L84</f>
        <v xml:space="preserve"> </v>
      </c>
      <c r="M84" s="113" t="str">
        <f>'[5]Annex-20'!M84</f>
        <v xml:space="preserve"> </v>
      </c>
      <c r="N84" s="115"/>
    </row>
    <row r="85" spans="1:14" hidden="1" x14ac:dyDescent="0.3">
      <c r="A85" s="178" t="str">
        <f t="shared" ref="A85" si="59">IF(A79="","","(%)")</f>
        <v/>
      </c>
      <c r="B85" s="155"/>
      <c r="C85" s="155" t="str">
        <f>'[5]Annex-20'!C85</f>
        <v/>
      </c>
      <c r="D85" s="155" t="str">
        <f>'[5]Annex-20'!D85</f>
        <v/>
      </c>
      <c r="E85" s="155" t="str">
        <f>'[5]Annex-20'!E85</f>
        <v/>
      </c>
      <c r="F85" s="155" t="str">
        <f>'[5]Annex-20'!F85</f>
        <v/>
      </c>
      <c r="G85" s="155" t="str">
        <f>'[5]Annex-20'!G85</f>
        <v/>
      </c>
      <c r="H85" s="191"/>
      <c r="I85" s="155" t="str">
        <f>'[5]Annex-20'!I85</f>
        <v/>
      </c>
      <c r="J85" s="155" t="str">
        <f>'[5]Annex-20'!J85</f>
        <v/>
      </c>
      <c r="K85" s="155" t="str">
        <f>'[5]Annex-20'!K85</f>
        <v/>
      </c>
      <c r="L85" s="155" t="str">
        <f>'[5]Annex-20'!L85</f>
        <v/>
      </c>
      <c r="M85" s="155" t="str">
        <f>'[5]Annex-20'!M85</f>
        <v/>
      </c>
      <c r="N85" s="115"/>
    </row>
    <row r="86" spans="1:14" hidden="1" x14ac:dyDescent="0.3">
      <c r="A86" s="192" t="str">
        <f>IF('[5]Crops CY'!$A$18=0,"",'[5]Crops CY'!$A$18)</f>
        <v/>
      </c>
      <c r="B86" s="113"/>
      <c r="C86" s="113"/>
      <c r="D86" s="113"/>
      <c r="E86" s="113"/>
      <c r="F86" s="113"/>
      <c r="G86" s="113"/>
      <c r="H86" s="137"/>
      <c r="I86" s="113"/>
      <c r="J86" s="113"/>
      <c r="K86" s="113"/>
      <c r="L86" s="113"/>
      <c r="M86" s="113"/>
      <c r="N86" s="115"/>
    </row>
    <row r="87" spans="1:14" hidden="1" x14ac:dyDescent="0.3">
      <c r="A87" s="112" t="str">
        <f t="shared" ref="A87" si="60">IF(A86="","","CENTRAL" )</f>
        <v/>
      </c>
      <c r="B87" s="113" t="str">
        <f>'[5]Annex-20'!B87</f>
        <v/>
      </c>
      <c r="C87" s="113" t="str">
        <f>'[5]Annex-20'!C87</f>
        <v xml:space="preserve"> </v>
      </c>
      <c r="D87" s="113" t="str">
        <f>'[5]Annex-20'!D87</f>
        <v xml:space="preserve"> </v>
      </c>
      <c r="E87" s="113" t="str">
        <f>'[5]Annex-20'!E87</f>
        <v xml:space="preserve"> </v>
      </c>
      <c r="F87" s="113" t="str">
        <f>'[5]Annex-20'!F87</f>
        <v xml:space="preserve"> </v>
      </c>
      <c r="G87" s="113" t="str">
        <f>'[5]Annex-20'!G87</f>
        <v xml:space="preserve"> </v>
      </c>
      <c r="H87" s="137" t="str">
        <f>'[5]Annex-20'!H87</f>
        <v/>
      </c>
      <c r="I87" s="113" t="str">
        <f>'[5]Annex-20'!I87</f>
        <v xml:space="preserve"> </v>
      </c>
      <c r="J87" s="113" t="str">
        <f>'[5]Annex-20'!J87</f>
        <v xml:space="preserve"> </v>
      </c>
      <c r="K87" s="113" t="str">
        <f>'[5]Annex-20'!K87</f>
        <v xml:space="preserve"> </v>
      </c>
      <c r="L87" s="113" t="str">
        <f>'[5]Annex-20'!L87</f>
        <v xml:space="preserve"> </v>
      </c>
      <c r="M87" s="113" t="str">
        <f>'[5]Annex-20'!M87</f>
        <v xml:space="preserve"> </v>
      </c>
      <c r="N87" s="115"/>
    </row>
    <row r="88" spans="1:14" hidden="1" x14ac:dyDescent="0.3">
      <c r="A88" s="72" t="str">
        <f t="shared" ref="A88" si="61">IF(A86="","","(%)")</f>
        <v/>
      </c>
      <c r="B88" s="113"/>
      <c r="C88" s="113" t="str">
        <f>'[5]Annex-20'!C88</f>
        <v/>
      </c>
      <c r="D88" s="113" t="str">
        <f>'[5]Annex-20'!D88</f>
        <v/>
      </c>
      <c r="E88" s="113" t="str">
        <f>'[5]Annex-20'!E88</f>
        <v/>
      </c>
      <c r="F88" s="113" t="str">
        <f>'[5]Annex-20'!F88</f>
        <v/>
      </c>
      <c r="G88" s="113" t="str">
        <f>'[5]Annex-20'!G88</f>
        <v/>
      </c>
      <c r="H88" s="137"/>
      <c r="I88" s="113" t="str">
        <f>'[5]Annex-20'!I88</f>
        <v/>
      </c>
      <c r="J88" s="113" t="str">
        <f>'[5]Annex-20'!J88</f>
        <v/>
      </c>
      <c r="K88" s="113" t="str">
        <f>'[5]Annex-20'!K88</f>
        <v/>
      </c>
      <c r="L88" s="113" t="str">
        <f>'[5]Annex-20'!L88</f>
        <v/>
      </c>
      <c r="M88" s="113" t="str">
        <f>'[5]Annex-20'!M88</f>
        <v/>
      </c>
      <c r="N88" s="115"/>
    </row>
    <row r="89" spans="1:14" hidden="1" x14ac:dyDescent="0.3">
      <c r="A89" s="112" t="str">
        <f t="shared" ref="A89" si="62">IF(A86="","","STATE")</f>
        <v/>
      </c>
      <c r="B89" s="113" t="str">
        <f>'[5]Annex-20'!B89</f>
        <v/>
      </c>
      <c r="C89" s="113" t="str">
        <f>'[5]Annex-20'!C89</f>
        <v xml:space="preserve"> </v>
      </c>
      <c r="D89" s="113" t="str">
        <f>'[5]Annex-20'!D89</f>
        <v xml:space="preserve"> </v>
      </c>
      <c r="E89" s="113" t="str">
        <f>'[5]Annex-20'!E89</f>
        <v xml:space="preserve"> </v>
      </c>
      <c r="F89" s="113" t="str">
        <f>'[5]Annex-20'!F89</f>
        <v xml:space="preserve"> </v>
      </c>
      <c r="G89" s="113" t="str">
        <f>'[5]Annex-20'!G89</f>
        <v xml:space="preserve"> </v>
      </c>
      <c r="H89" s="137" t="str">
        <f>'[5]Annex-20'!H89</f>
        <v/>
      </c>
      <c r="I89" s="113" t="str">
        <f>'[5]Annex-20'!I89</f>
        <v xml:space="preserve"> </v>
      </c>
      <c r="J89" s="113" t="str">
        <f>'[5]Annex-20'!J89</f>
        <v xml:space="preserve"> </v>
      </c>
      <c r="K89" s="113" t="str">
        <f>'[5]Annex-20'!K89</f>
        <v xml:space="preserve"> </v>
      </c>
      <c r="L89" s="113" t="str">
        <f>'[5]Annex-20'!L89</f>
        <v xml:space="preserve"> </v>
      </c>
      <c r="M89" s="113" t="str">
        <f>'[5]Annex-20'!M89</f>
        <v xml:space="preserve"> </v>
      </c>
      <c r="N89" s="115"/>
    </row>
    <row r="90" spans="1:14" hidden="1" x14ac:dyDescent="0.3">
      <c r="A90" s="72" t="str">
        <f t="shared" ref="A90" si="63">IF(A86="","","(%)")</f>
        <v/>
      </c>
      <c r="B90" s="113"/>
      <c r="C90" s="113" t="str">
        <f>'[5]Annex-20'!C90</f>
        <v/>
      </c>
      <c r="D90" s="113" t="str">
        <f>'[5]Annex-20'!D90</f>
        <v/>
      </c>
      <c r="E90" s="113" t="str">
        <f>'[5]Annex-20'!E90</f>
        <v/>
      </c>
      <c r="F90" s="113" t="str">
        <f>'[5]Annex-20'!F90</f>
        <v/>
      </c>
      <c r="G90" s="113" t="str">
        <f>'[5]Annex-20'!G90</f>
        <v/>
      </c>
      <c r="H90" s="137"/>
      <c r="I90" s="113" t="str">
        <f>'[5]Annex-20'!I90</f>
        <v/>
      </c>
      <c r="J90" s="113" t="str">
        <f>'[5]Annex-20'!J90</f>
        <v/>
      </c>
      <c r="K90" s="113" t="str">
        <f>'[5]Annex-20'!K90</f>
        <v/>
      </c>
      <c r="L90" s="113" t="str">
        <f>'[5]Annex-20'!L90</f>
        <v/>
      </c>
      <c r="M90" s="113" t="str">
        <f>'[5]Annex-20'!M90</f>
        <v/>
      </c>
      <c r="N90" s="115"/>
    </row>
    <row r="91" spans="1:14" hidden="1" x14ac:dyDescent="0.3">
      <c r="A91" s="112" t="str">
        <f t="shared" ref="A91" si="64">IF(A86="","","POOLED")</f>
        <v/>
      </c>
      <c r="B91" s="113" t="str">
        <f>'[5]Annex-20'!B91</f>
        <v/>
      </c>
      <c r="C91" s="113" t="str">
        <f>'[5]Annex-20'!C91</f>
        <v xml:space="preserve"> </v>
      </c>
      <c r="D91" s="113" t="str">
        <f>'[5]Annex-20'!D91</f>
        <v xml:space="preserve"> </v>
      </c>
      <c r="E91" s="113" t="str">
        <f>'[5]Annex-20'!E91</f>
        <v xml:space="preserve"> </v>
      </c>
      <c r="F91" s="113" t="str">
        <f>'[5]Annex-20'!F91</f>
        <v xml:space="preserve"> </v>
      </c>
      <c r="G91" s="113" t="str">
        <f>'[5]Annex-20'!G91</f>
        <v xml:space="preserve"> </v>
      </c>
      <c r="H91" s="137" t="str">
        <f>'[5]Annex-20'!H91</f>
        <v/>
      </c>
      <c r="I91" s="113" t="str">
        <f>'[5]Annex-20'!I91</f>
        <v xml:space="preserve"> </v>
      </c>
      <c r="J91" s="113" t="str">
        <f>'[5]Annex-20'!J91</f>
        <v xml:space="preserve"> </v>
      </c>
      <c r="K91" s="113" t="str">
        <f>'[5]Annex-20'!K91</f>
        <v xml:space="preserve"> </v>
      </c>
      <c r="L91" s="113" t="str">
        <f>'[5]Annex-20'!L91</f>
        <v xml:space="preserve"> </v>
      </c>
      <c r="M91" s="113" t="str">
        <f>'[5]Annex-20'!M91</f>
        <v xml:space="preserve"> </v>
      </c>
      <c r="N91" s="115"/>
    </row>
    <row r="92" spans="1:14" hidden="1" x14ac:dyDescent="0.3">
      <c r="A92" s="178" t="str">
        <f t="shared" ref="A92" si="65">IF(A86="","","(%)")</f>
        <v/>
      </c>
      <c r="B92" s="155"/>
      <c r="C92" s="155" t="str">
        <f>'[5]Annex-20'!C92</f>
        <v/>
      </c>
      <c r="D92" s="155" t="str">
        <f>'[5]Annex-20'!D92</f>
        <v/>
      </c>
      <c r="E92" s="155" t="str">
        <f>'[5]Annex-20'!E92</f>
        <v/>
      </c>
      <c r="F92" s="155" t="str">
        <f>'[5]Annex-20'!F92</f>
        <v/>
      </c>
      <c r="G92" s="155" t="str">
        <f>'[5]Annex-20'!G92</f>
        <v/>
      </c>
      <c r="H92" s="191"/>
      <c r="I92" s="155" t="str">
        <f>'[5]Annex-20'!I92</f>
        <v/>
      </c>
      <c r="J92" s="155" t="str">
        <f>'[5]Annex-20'!J92</f>
        <v/>
      </c>
      <c r="K92" s="155" t="str">
        <f>'[5]Annex-20'!K92</f>
        <v/>
      </c>
      <c r="L92" s="155" t="str">
        <f>'[5]Annex-20'!L92</f>
        <v/>
      </c>
      <c r="M92" s="155" t="str">
        <f>'[5]Annex-20'!M92</f>
        <v/>
      </c>
      <c r="N92" s="115"/>
    </row>
    <row r="93" spans="1:14" hidden="1" x14ac:dyDescent="0.3">
      <c r="A93" s="192" t="str">
        <f>IF('[5]Crops CY'!$A$19=0,"",'[5]Crops CY'!$A$19)</f>
        <v/>
      </c>
      <c r="B93" s="113"/>
      <c r="C93" s="113"/>
      <c r="D93" s="113"/>
      <c r="E93" s="113"/>
      <c r="F93" s="113"/>
      <c r="G93" s="113"/>
      <c r="H93" s="137"/>
      <c r="I93" s="113"/>
      <c r="J93" s="113"/>
      <c r="K93" s="113"/>
      <c r="L93" s="113"/>
      <c r="M93" s="113"/>
      <c r="N93" s="115"/>
    </row>
    <row r="94" spans="1:14" hidden="1" x14ac:dyDescent="0.3">
      <c r="A94" s="112" t="str">
        <f t="shared" ref="A94" si="66">IF(A93="","","CENTRAL" )</f>
        <v/>
      </c>
      <c r="B94" s="113" t="str">
        <f>'[5]Annex-20'!B94</f>
        <v/>
      </c>
      <c r="C94" s="113" t="str">
        <f>'[5]Annex-20'!C94</f>
        <v xml:space="preserve"> </v>
      </c>
      <c r="D94" s="113" t="str">
        <f>'[5]Annex-20'!D94</f>
        <v xml:space="preserve"> </v>
      </c>
      <c r="E94" s="113" t="str">
        <f>'[5]Annex-20'!E94</f>
        <v xml:space="preserve"> </v>
      </c>
      <c r="F94" s="113" t="str">
        <f>'[5]Annex-20'!F94</f>
        <v xml:space="preserve"> </v>
      </c>
      <c r="G94" s="113" t="str">
        <f>'[5]Annex-20'!G94</f>
        <v xml:space="preserve"> </v>
      </c>
      <c r="H94" s="137" t="str">
        <f>'[5]Annex-20'!H94</f>
        <v/>
      </c>
      <c r="I94" s="113" t="str">
        <f>'[5]Annex-20'!I94</f>
        <v xml:space="preserve"> </v>
      </c>
      <c r="J94" s="113" t="str">
        <f>'[5]Annex-20'!J94</f>
        <v xml:space="preserve"> </v>
      </c>
      <c r="K94" s="113" t="str">
        <f>'[5]Annex-20'!K94</f>
        <v xml:space="preserve"> </v>
      </c>
      <c r="L94" s="113" t="str">
        <f>'[5]Annex-20'!L94</f>
        <v xml:space="preserve"> </v>
      </c>
      <c r="M94" s="113" t="str">
        <f>'[5]Annex-20'!M94</f>
        <v xml:space="preserve"> </v>
      </c>
      <c r="N94" s="115"/>
    </row>
    <row r="95" spans="1:14" hidden="1" x14ac:dyDescent="0.3">
      <c r="A95" s="72" t="str">
        <f t="shared" ref="A95" si="67">IF(A93="","","(%)")</f>
        <v/>
      </c>
      <c r="B95" s="113"/>
      <c r="C95" s="113" t="str">
        <f>'[5]Annex-20'!C95</f>
        <v/>
      </c>
      <c r="D95" s="113" t="str">
        <f>'[5]Annex-20'!D95</f>
        <v/>
      </c>
      <c r="E95" s="113" t="str">
        <f>'[5]Annex-20'!E95</f>
        <v/>
      </c>
      <c r="F95" s="113" t="str">
        <f>'[5]Annex-20'!F95</f>
        <v/>
      </c>
      <c r="G95" s="113" t="str">
        <f>'[5]Annex-20'!G95</f>
        <v/>
      </c>
      <c r="H95" s="137"/>
      <c r="I95" s="113" t="str">
        <f>'[5]Annex-20'!I95</f>
        <v/>
      </c>
      <c r="J95" s="113" t="str">
        <f>'[5]Annex-20'!J95</f>
        <v/>
      </c>
      <c r="K95" s="113" t="str">
        <f>'[5]Annex-20'!K95</f>
        <v/>
      </c>
      <c r="L95" s="113" t="str">
        <f>'[5]Annex-20'!L95</f>
        <v/>
      </c>
      <c r="M95" s="113" t="str">
        <f>'[5]Annex-20'!M95</f>
        <v/>
      </c>
      <c r="N95" s="115"/>
    </row>
    <row r="96" spans="1:14" hidden="1" x14ac:dyDescent="0.3">
      <c r="A96" s="112" t="str">
        <f t="shared" ref="A96" si="68">IF(A93="","","STATE")</f>
        <v/>
      </c>
      <c r="B96" s="113" t="str">
        <f>'[5]Annex-20'!B96</f>
        <v/>
      </c>
      <c r="C96" s="113" t="str">
        <f>'[5]Annex-20'!C96</f>
        <v xml:space="preserve"> </v>
      </c>
      <c r="D96" s="113" t="str">
        <f>'[5]Annex-20'!D96</f>
        <v xml:space="preserve"> </v>
      </c>
      <c r="E96" s="113" t="str">
        <f>'[5]Annex-20'!E96</f>
        <v xml:space="preserve"> </v>
      </c>
      <c r="F96" s="113" t="str">
        <f>'[5]Annex-20'!F96</f>
        <v xml:space="preserve"> </v>
      </c>
      <c r="G96" s="113" t="str">
        <f>'[5]Annex-20'!G96</f>
        <v xml:space="preserve"> </v>
      </c>
      <c r="H96" s="137" t="str">
        <f>'[5]Annex-20'!H96</f>
        <v/>
      </c>
      <c r="I96" s="113" t="str">
        <f>'[5]Annex-20'!I96</f>
        <v xml:space="preserve"> </v>
      </c>
      <c r="J96" s="113" t="str">
        <f>'[5]Annex-20'!J96</f>
        <v xml:space="preserve"> </v>
      </c>
      <c r="K96" s="113" t="str">
        <f>'[5]Annex-20'!K96</f>
        <v xml:space="preserve"> </v>
      </c>
      <c r="L96" s="113" t="str">
        <f>'[5]Annex-20'!L96</f>
        <v xml:space="preserve"> </v>
      </c>
      <c r="M96" s="113" t="str">
        <f>'[5]Annex-20'!M96</f>
        <v xml:space="preserve"> </v>
      </c>
      <c r="N96" s="115"/>
    </row>
    <row r="97" spans="1:14" hidden="1" x14ac:dyDescent="0.3">
      <c r="A97" s="72" t="str">
        <f t="shared" ref="A97" si="69">IF(A93="","","(%)")</f>
        <v/>
      </c>
      <c r="B97" s="113"/>
      <c r="C97" s="113" t="str">
        <f>'[5]Annex-20'!C97</f>
        <v/>
      </c>
      <c r="D97" s="113" t="str">
        <f>'[5]Annex-20'!D97</f>
        <v/>
      </c>
      <c r="E97" s="113" t="str">
        <f>'[5]Annex-20'!E97</f>
        <v/>
      </c>
      <c r="F97" s="113" t="str">
        <f>'[5]Annex-20'!F97</f>
        <v/>
      </c>
      <c r="G97" s="113" t="str">
        <f>'[5]Annex-20'!G97</f>
        <v/>
      </c>
      <c r="H97" s="137"/>
      <c r="I97" s="113" t="str">
        <f>'[5]Annex-20'!I97</f>
        <v/>
      </c>
      <c r="J97" s="113" t="str">
        <f>'[5]Annex-20'!J97</f>
        <v/>
      </c>
      <c r="K97" s="113" t="str">
        <f>'[5]Annex-20'!K97</f>
        <v/>
      </c>
      <c r="L97" s="113" t="str">
        <f>'[5]Annex-20'!L97</f>
        <v/>
      </c>
      <c r="M97" s="113" t="str">
        <f>'[5]Annex-20'!M97</f>
        <v/>
      </c>
      <c r="N97" s="115"/>
    </row>
    <row r="98" spans="1:14" hidden="1" x14ac:dyDescent="0.3">
      <c r="A98" s="112" t="str">
        <f t="shared" ref="A98" si="70">IF(A93="","","POOLED")</f>
        <v/>
      </c>
      <c r="B98" s="113" t="str">
        <f>'[5]Annex-20'!B98</f>
        <v/>
      </c>
      <c r="C98" s="113" t="str">
        <f>'[5]Annex-20'!C98</f>
        <v xml:space="preserve"> </v>
      </c>
      <c r="D98" s="113" t="str">
        <f>'[5]Annex-20'!D98</f>
        <v xml:space="preserve"> </v>
      </c>
      <c r="E98" s="113" t="str">
        <f>'[5]Annex-20'!E98</f>
        <v xml:space="preserve"> </v>
      </c>
      <c r="F98" s="113" t="str">
        <f>'[5]Annex-20'!F98</f>
        <v xml:space="preserve"> </v>
      </c>
      <c r="G98" s="113" t="str">
        <f>'[5]Annex-20'!G98</f>
        <v xml:space="preserve"> </v>
      </c>
      <c r="H98" s="137" t="str">
        <f>'[5]Annex-20'!H98</f>
        <v/>
      </c>
      <c r="I98" s="113" t="str">
        <f>'[5]Annex-20'!I98</f>
        <v xml:space="preserve"> </v>
      </c>
      <c r="J98" s="113" t="str">
        <f>'[5]Annex-20'!J98</f>
        <v xml:space="preserve"> </v>
      </c>
      <c r="K98" s="113" t="str">
        <f>'[5]Annex-20'!K98</f>
        <v xml:space="preserve"> </v>
      </c>
      <c r="L98" s="113" t="str">
        <f>'[5]Annex-20'!L98</f>
        <v xml:space="preserve"> </v>
      </c>
      <c r="M98" s="113" t="str">
        <f>'[5]Annex-20'!M98</f>
        <v xml:space="preserve"> </v>
      </c>
      <c r="N98" s="115"/>
    </row>
    <row r="99" spans="1:14" hidden="1" x14ac:dyDescent="0.3">
      <c r="A99" s="178" t="str">
        <f t="shared" ref="A99" si="71">IF(A93="","","(%)")</f>
        <v/>
      </c>
      <c r="B99" s="155"/>
      <c r="C99" s="155" t="str">
        <f>'[5]Annex-20'!C99</f>
        <v/>
      </c>
      <c r="D99" s="155" t="str">
        <f>'[5]Annex-20'!D99</f>
        <v/>
      </c>
      <c r="E99" s="155" t="str">
        <f>'[5]Annex-20'!E99</f>
        <v/>
      </c>
      <c r="F99" s="155" t="str">
        <f>'[5]Annex-20'!F99</f>
        <v/>
      </c>
      <c r="G99" s="155" t="str">
        <f>'[5]Annex-20'!G99</f>
        <v/>
      </c>
      <c r="H99" s="191"/>
      <c r="I99" s="155" t="str">
        <f>'[5]Annex-20'!I99</f>
        <v/>
      </c>
      <c r="J99" s="155" t="str">
        <f>'[5]Annex-20'!J99</f>
        <v/>
      </c>
      <c r="K99" s="155" t="str">
        <f>'[5]Annex-20'!K99</f>
        <v/>
      </c>
      <c r="L99" s="155" t="str">
        <f>'[5]Annex-20'!L99</f>
        <v/>
      </c>
      <c r="M99" s="155" t="str">
        <f>'[5]Annex-20'!M99</f>
        <v/>
      </c>
      <c r="N99" s="115"/>
    </row>
    <row r="100" spans="1:14" hidden="1" x14ac:dyDescent="0.3">
      <c r="A100" s="192" t="str">
        <f>IF('[5]Crops CY'!$A$20=0,"",'[5]Crops CY'!$A$20)</f>
        <v/>
      </c>
      <c r="B100" s="113"/>
      <c r="C100" s="113"/>
      <c r="D100" s="113"/>
      <c r="E100" s="113"/>
      <c r="F100" s="113"/>
      <c r="G100" s="113"/>
      <c r="H100" s="137"/>
      <c r="I100" s="113"/>
      <c r="J100" s="113"/>
      <c r="K100" s="113"/>
      <c r="L100" s="113"/>
      <c r="M100" s="113"/>
      <c r="N100" s="115"/>
    </row>
    <row r="101" spans="1:14" hidden="1" x14ac:dyDescent="0.3">
      <c r="A101" s="112" t="str">
        <f t="shared" ref="A101" si="72">IF(A100="","","CENTRAL" )</f>
        <v/>
      </c>
      <c r="B101" s="113" t="str">
        <f>'[5]Annex-20'!B101</f>
        <v/>
      </c>
      <c r="C101" s="113" t="str">
        <f>'[5]Annex-20'!C101</f>
        <v xml:space="preserve"> </v>
      </c>
      <c r="D101" s="113" t="str">
        <f>'[5]Annex-20'!D101</f>
        <v xml:space="preserve"> </v>
      </c>
      <c r="E101" s="113" t="str">
        <f>'[5]Annex-20'!E101</f>
        <v xml:space="preserve"> </v>
      </c>
      <c r="F101" s="113" t="str">
        <f>'[5]Annex-20'!F101</f>
        <v xml:space="preserve"> </v>
      </c>
      <c r="G101" s="113" t="str">
        <f>'[5]Annex-20'!G101</f>
        <v xml:space="preserve"> </v>
      </c>
      <c r="H101" s="137" t="str">
        <f>'[5]Annex-20'!H101</f>
        <v/>
      </c>
      <c r="I101" s="113" t="str">
        <f>'[5]Annex-20'!I101</f>
        <v xml:space="preserve"> </v>
      </c>
      <c r="J101" s="113" t="str">
        <f>'[5]Annex-20'!J101</f>
        <v xml:space="preserve"> </v>
      </c>
      <c r="K101" s="113" t="str">
        <f>'[5]Annex-20'!K101</f>
        <v xml:space="preserve"> </v>
      </c>
      <c r="L101" s="113" t="str">
        <f>'[5]Annex-20'!L101</f>
        <v xml:space="preserve"> </v>
      </c>
      <c r="M101" s="113" t="str">
        <f>'[5]Annex-20'!M101</f>
        <v xml:space="preserve"> </v>
      </c>
      <c r="N101" s="115"/>
    </row>
    <row r="102" spans="1:14" hidden="1" x14ac:dyDescent="0.3">
      <c r="A102" s="72" t="str">
        <f t="shared" ref="A102" si="73">IF(A100="","","(%)")</f>
        <v/>
      </c>
      <c r="B102" s="113"/>
      <c r="C102" s="113" t="str">
        <f>'[5]Annex-20'!C102</f>
        <v/>
      </c>
      <c r="D102" s="113" t="str">
        <f>'[5]Annex-20'!D102</f>
        <v/>
      </c>
      <c r="E102" s="113" t="str">
        <f>'[5]Annex-20'!E102</f>
        <v/>
      </c>
      <c r="F102" s="113" t="str">
        <f>'[5]Annex-20'!F102</f>
        <v/>
      </c>
      <c r="G102" s="113" t="str">
        <f>'[5]Annex-20'!G102</f>
        <v/>
      </c>
      <c r="H102" s="137"/>
      <c r="I102" s="113" t="str">
        <f>'[5]Annex-20'!I102</f>
        <v/>
      </c>
      <c r="J102" s="113" t="str">
        <f>'[5]Annex-20'!J102</f>
        <v/>
      </c>
      <c r="K102" s="113" t="str">
        <f>'[5]Annex-20'!K102</f>
        <v/>
      </c>
      <c r="L102" s="113" t="str">
        <f>'[5]Annex-20'!L102</f>
        <v/>
      </c>
      <c r="M102" s="113" t="str">
        <f>'[5]Annex-20'!M102</f>
        <v/>
      </c>
      <c r="N102" s="115"/>
    </row>
    <row r="103" spans="1:14" hidden="1" x14ac:dyDescent="0.3">
      <c r="A103" s="112" t="str">
        <f t="shared" ref="A103" si="74">IF(A100="","","STATE")</f>
        <v/>
      </c>
      <c r="B103" s="113" t="str">
        <f>'[5]Annex-20'!B103</f>
        <v/>
      </c>
      <c r="C103" s="113" t="str">
        <f>'[5]Annex-20'!C103</f>
        <v xml:space="preserve"> </v>
      </c>
      <c r="D103" s="113" t="str">
        <f>'[5]Annex-20'!D103</f>
        <v xml:space="preserve"> </v>
      </c>
      <c r="E103" s="113" t="str">
        <f>'[5]Annex-20'!E103</f>
        <v xml:space="preserve"> </v>
      </c>
      <c r="F103" s="113" t="str">
        <f>'[5]Annex-20'!F103</f>
        <v xml:space="preserve"> </v>
      </c>
      <c r="G103" s="113" t="str">
        <f>'[5]Annex-20'!G103</f>
        <v xml:space="preserve"> </v>
      </c>
      <c r="H103" s="137" t="str">
        <f>'[5]Annex-20'!H103</f>
        <v/>
      </c>
      <c r="I103" s="113" t="str">
        <f>'[5]Annex-20'!I103</f>
        <v xml:space="preserve"> </v>
      </c>
      <c r="J103" s="113" t="str">
        <f>'[5]Annex-20'!J103</f>
        <v xml:space="preserve"> </v>
      </c>
      <c r="K103" s="113" t="str">
        <f>'[5]Annex-20'!K103</f>
        <v xml:space="preserve"> </v>
      </c>
      <c r="L103" s="113" t="str">
        <f>'[5]Annex-20'!L103</f>
        <v xml:space="preserve"> </v>
      </c>
      <c r="M103" s="113" t="str">
        <f>'[5]Annex-20'!M103</f>
        <v xml:space="preserve"> </v>
      </c>
      <c r="N103" s="115"/>
    </row>
    <row r="104" spans="1:14" hidden="1" x14ac:dyDescent="0.3">
      <c r="A104" s="72" t="str">
        <f t="shared" ref="A104" si="75">IF(A100="","","(%)")</f>
        <v/>
      </c>
      <c r="B104" s="113"/>
      <c r="C104" s="113" t="str">
        <f>'[5]Annex-20'!C104</f>
        <v/>
      </c>
      <c r="D104" s="113" t="str">
        <f>'[5]Annex-20'!D104</f>
        <v/>
      </c>
      <c r="E104" s="113" t="str">
        <f>'[5]Annex-20'!E104</f>
        <v/>
      </c>
      <c r="F104" s="113" t="str">
        <f>'[5]Annex-20'!F104</f>
        <v/>
      </c>
      <c r="G104" s="113" t="str">
        <f>'[5]Annex-20'!G104</f>
        <v/>
      </c>
      <c r="H104" s="137"/>
      <c r="I104" s="113" t="str">
        <f>'[5]Annex-20'!I104</f>
        <v/>
      </c>
      <c r="J104" s="113" t="str">
        <f>'[5]Annex-20'!J104</f>
        <v/>
      </c>
      <c r="K104" s="113" t="str">
        <f>'[5]Annex-20'!K104</f>
        <v/>
      </c>
      <c r="L104" s="113" t="str">
        <f>'[5]Annex-20'!L104</f>
        <v/>
      </c>
      <c r="M104" s="113" t="str">
        <f>'[5]Annex-20'!M104</f>
        <v/>
      </c>
      <c r="N104" s="115"/>
    </row>
    <row r="105" spans="1:14" hidden="1" x14ac:dyDescent="0.3">
      <c r="A105" s="112" t="str">
        <f t="shared" ref="A105" si="76">IF(A100="","","POOLED")</f>
        <v/>
      </c>
      <c r="B105" s="113" t="str">
        <f>'[5]Annex-20'!B105</f>
        <v/>
      </c>
      <c r="C105" s="113" t="str">
        <f>'[5]Annex-20'!C105</f>
        <v xml:space="preserve"> </v>
      </c>
      <c r="D105" s="113" t="str">
        <f>'[5]Annex-20'!D105</f>
        <v xml:space="preserve"> </v>
      </c>
      <c r="E105" s="113" t="str">
        <f>'[5]Annex-20'!E105</f>
        <v xml:space="preserve"> </v>
      </c>
      <c r="F105" s="113" t="str">
        <f>'[5]Annex-20'!F105</f>
        <v xml:space="preserve"> </v>
      </c>
      <c r="G105" s="113" t="str">
        <f>'[5]Annex-20'!G105</f>
        <v xml:space="preserve"> </v>
      </c>
      <c r="H105" s="137" t="str">
        <f>'[5]Annex-20'!H105</f>
        <v/>
      </c>
      <c r="I105" s="113" t="str">
        <f>'[5]Annex-20'!I105</f>
        <v xml:space="preserve"> </v>
      </c>
      <c r="J105" s="113" t="str">
        <f>'[5]Annex-20'!J105</f>
        <v xml:space="preserve"> </v>
      </c>
      <c r="K105" s="113" t="str">
        <f>'[5]Annex-20'!K105</f>
        <v xml:space="preserve"> </v>
      </c>
      <c r="L105" s="113" t="str">
        <f>'[5]Annex-20'!L105</f>
        <v xml:space="preserve"> </v>
      </c>
      <c r="M105" s="113" t="str">
        <f>'[5]Annex-20'!M105</f>
        <v xml:space="preserve"> </v>
      </c>
      <c r="N105" s="115"/>
    </row>
    <row r="106" spans="1:14" hidden="1" x14ac:dyDescent="0.3">
      <c r="A106" s="178" t="str">
        <f t="shared" ref="A106" si="77">IF(A100="","","(%)")</f>
        <v/>
      </c>
      <c r="B106" s="155"/>
      <c r="C106" s="155" t="str">
        <f>'[5]Annex-20'!C106</f>
        <v/>
      </c>
      <c r="D106" s="155" t="str">
        <f>'[5]Annex-20'!D106</f>
        <v/>
      </c>
      <c r="E106" s="155" t="str">
        <f>'[5]Annex-20'!E106</f>
        <v/>
      </c>
      <c r="F106" s="155" t="str">
        <f>'[5]Annex-20'!F106</f>
        <v/>
      </c>
      <c r="G106" s="155" t="str">
        <f>'[5]Annex-20'!G106</f>
        <v/>
      </c>
      <c r="H106" s="191"/>
      <c r="I106" s="155" t="str">
        <f>'[5]Annex-20'!I106</f>
        <v/>
      </c>
      <c r="J106" s="155" t="str">
        <f>'[5]Annex-20'!J106</f>
        <v/>
      </c>
      <c r="K106" s="155" t="str">
        <f>'[5]Annex-20'!K106</f>
        <v/>
      </c>
      <c r="L106" s="155" t="str">
        <f>'[5]Annex-20'!L106</f>
        <v/>
      </c>
      <c r="M106" s="155" t="str">
        <f>'[5]Annex-20'!M106</f>
        <v/>
      </c>
      <c r="N106" s="115"/>
    </row>
    <row r="107" spans="1:14" hidden="1" x14ac:dyDescent="0.3">
      <c r="A107" s="192" t="str">
        <f>IF('[5]Crops CY'!$A$21=0,"",'[5]Crops CY'!$A$21)</f>
        <v/>
      </c>
      <c r="B107" s="113"/>
      <c r="C107" s="113"/>
      <c r="D107" s="113"/>
      <c r="E107" s="113"/>
      <c r="F107" s="113"/>
      <c r="G107" s="113"/>
      <c r="H107" s="137"/>
      <c r="I107" s="113"/>
      <c r="J107" s="113"/>
      <c r="K107" s="113"/>
      <c r="L107" s="113"/>
      <c r="M107" s="113"/>
      <c r="N107" s="115"/>
    </row>
    <row r="108" spans="1:14" hidden="1" x14ac:dyDescent="0.3">
      <c r="A108" s="112" t="str">
        <f t="shared" ref="A108" si="78">IF(A107="","","CENTRAL" )</f>
        <v/>
      </c>
      <c r="B108" s="113" t="str">
        <f>'[5]Annex-20'!B108</f>
        <v/>
      </c>
      <c r="C108" s="113" t="str">
        <f>'[5]Annex-20'!C108</f>
        <v xml:space="preserve"> </v>
      </c>
      <c r="D108" s="113" t="str">
        <f>'[5]Annex-20'!D108</f>
        <v xml:space="preserve"> </v>
      </c>
      <c r="E108" s="113" t="str">
        <f>'[5]Annex-20'!E108</f>
        <v xml:space="preserve"> </v>
      </c>
      <c r="F108" s="113" t="str">
        <f>'[5]Annex-20'!F108</f>
        <v xml:space="preserve"> </v>
      </c>
      <c r="G108" s="113" t="str">
        <f>'[5]Annex-20'!G108</f>
        <v xml:space="preserve"> </v>
      </c>
      <c r="H108" s="137" t="str">
        <f>'[5]Annex-20'!H108</f>
        <v/>
      </c>
      <c r="I108" s="113" t="str">
        <f>'[5]Annex-20'!I108</f>
        <v xml:space="preserve"> </v>
      </c>
      <c r="J108" s="113" t="str">
        <f>'[5]Annex-20'!J108</f>
        <v xml:space="preserve"> </v>
      </c>
      <c r="K108" s="113" t="str">
        <f>'[5]Annex-20'!K108</f>
        <v xml:space="preserve"> </v>
      </c>
      <c r="L108" s="113" t="str">
        <f>'[5]Annex-20'!L108</f>
        <v xml:space="preserve"> </v>
      </c>
      <c r="M108" s="113" t="str">
        <f>'[5]Annex-20'!M108</f>
        <v xml:space="preserve"> </v>
      </c>
      <c r="N108" s="115"/>
    </row>
    <row r="109" spans="1:14" hidden="1" x14ac:dyDescent="0.3">
      <c r="A109" s="72" t="str">
        <f t="shared" ref="A109" si="79">IF(A107="","","(%)")</f>
        <v/>
      </c>
      <c r="B109" s="113"/>
      <c r="C109" s="113" t="str">
        <f>'[5]Annex-20'!C109</f>
        <v/>
      </c>
      <c r="D109" s="113" t="str">
        <f>'[5]Annex-20'!D109</f>
        <v/>
      </c>
      <c r="E109" s="113" t="str">
        <f>'[5]Annex-20'!E109</f>
        <v/>
      </c>
      <c r="F109" s="113" t="str">
        <f>'[5]Annex-20'!F109</f>
        <v/>
      </c>
      <c r="G109" s="113" t="str">
        <f>'[5]Annex-20'!G109</f>
        <v/>
      </c>
      <c r="H109" s="137"/>
      <c r="I109" s="113" t="str">
        <f>'[5]Annex-20'!I109</f>
        <v/>
      </c>
      <c r="J109" s="113" t="str">
        <f>'[5]Annex-20'!J109</f>
        <v/>
      </c>
      <c r="K109" s="113" t="str">
        <f>'[5]Annex-20'!K109</f>
        <v/>
      </c>
      <c r="L109" s="113" t="str">
        <f>'[5]Annex-20'!L109</f>
        <v/>
      </c>
      <c r="M109" s="113" t="str">
        <f>'[5]Annex-20'!M109</f>
        <v/>
      </c>
      <c r="N109" s="115"/>
    </row>
    <row r="110" spans="1:14" hidden="1" x14ac:dyDescent="0.3">
      <c r="A110" s="112" t="str">
        <f t="shared" ref="A110" si="80">IF(A107="","","STATE")</f>
        <v/>
      </c>
      <c r="B110" s="113" t="str">
        <f>'[5]Annex-20'!B110</f>
        <v/>
      </c>
      <c r="C110" s="113" t="str">
        <f>'[5]Annex-20'!C110</f>
        <v xml:space="preserve"> </v>
      </c>
      <c r="D110" s="113" t="str">
        <f>'[5]Annex-20'!D110</f>
        <v xml:space="preserve"> </v>
      </c>
      <c r="E110" s="113" t="str">
        <f>'[5]Annex-20'!E110</f>
        <v xml:space="preserve"> </v>
      </c>
      <c r="F110" s="113" t="str">
        <f>'[5]Annex-20'!F110</f>
        <v xml:space="preserve"> </v>
      </c>
      <c r="G110" s="113" t="str">
        <f>'[5]Annex-20'!G110</f>
        <v xml:space="preserve"> </v>
      </c>
      <c r="H110" s="137" t="str">
        <f>'[5]Annex-20'!H110</f>
        <v/>
      </c>
      <c r="I110" s="113" t="str">
        <f>'[5]Annex-20'!I110</f>
        <v xml:space="preserve"> </v>
      </c>
      <c r="J110" s="113" t="str">
        <f>'[5]Annex-20'!J110</f>
        <v xml:space="preserve"> </v>
      </c>
      <c r="K110" s="113" t="str">
        <f>'[5]Annex-20'!K110</f>
        <v xml:space="preserve"> </v>
      </c>
      <c r="L110" s="113" t="str">
        <f>'[5]Annex-20'!L110</f>
        <v xml:space="preserve"> </v>
      </c>
      <c r="M110" s="113" t="str">
        <f>'[5]Annex-20'!M110</f>
        <v xml:space="preserve"> </v>
      </c>
      <c r="N110" s="115"/>
    </row>
    <row r="111" spans="1:14" hidden="1" x14ac:dyDescent="0.3">
      <c r="A111" s="72" t="str">
        <f t="shared" ref="A111" si="81">IF(A107="","","(%)")</f>
        <v/>
      </c>
      <c r="B111" s="113"/>
      <c r="C111" s="113" t="str">
        <f>'[5]Annex-20'!C111</f>
        <v/>
      </c>
      <c r="D111" s="113" t="str">
        <f>'[5]Annex-20'!D111</f>
        <v/>
      </c>
      <c r="E111" s="113" t="str">
        <f>'[5]Annex-20'!E111</f>
        <v/>
      </c>
      <c r="F111" s="113" t="str">
        <f>'[5]Annex-20'!F111</f>
        <v/>
      </c>
      <c r="G111" s="113" t="str">
        <f>'[5]Annex-20'!G111</f>
        <v/>
      </c>
      <c r="H111" s="137"/>
      <c r="I111" s="113" t="str">
        <f>'[5]Annex-20'!I111</f>
        <v/>
      </c>
      <c r="J111" s="113" t="str">
        <f>'[5]Annex-20'!J111</f>
        <v/>
      </c>
      <c r="K111" s="113" t="str">
        <f>'[5]Annex-20'!K111</f>
        <v/>
      </c>
      <c r="L111" s="113" t="str">
        <f>'[5]Annex-20'!L111</f>
        <v/>
      </c>
      <c r="M111" s="113" t="str">
        <f>'[5]Annex-20'!M111</f>
        <v/>
      </c>
      <c r="N111" s="115"/>
    </row>
    <row r="112" spans="1:14" hidden="1" x14ac:dyDescent="0.3">
      <c r="A112" s="112" t="str">
        <f t="shared" ref="A112" si="82">IF(A107="","","POOLED")</f>
        <v/>
      </c>
      <c r="B112" s="113" t="str">
        <f>'[5]Annex-20'!B112</f>
        <v/>
      </c>
      <c r="C112" s="113" t="str">
        <f>'[5]Annex-20'!C112</f>
        <v xml:space="preserve"> </v>
      </c>
      <c r="D112" s="113" t="str">
        <f>'[5]Annex-20'!D112</f>
        <v xml:space="preserve"> </v>
      </c>
      <c r="E112" s="113" t="str">
        <f>'[5]Annex-20'!E112</f>
        <v xml:space="preserve"> </v>
      </c>
      <c r="F112" s="113" t="str">
        <f>'[5]Annex-20'!F112</f>
        <v xml:space="preserve"> </v>
      </c>
      <c r="G112" s="113" t="str">
        <f>'[5]Annex-20'!G112</f>
        <v xml:space="preserve"> </v>
      </c>
      <c r="H112" s="137" t="str">
        <f>'[5]Annex-20'!H112</f>
        <v/>
      </c>
      <c r="I112" s="113" t="str">
        <f>'[5]Annex-20'!I112</f>
        <v xml:space="preserve"> </v>
      </c>
      <c r="J112" s="113" t="str">
        <f>'[5]Annex-20'!J112</f>
        <v xml:space="preserve"> </v>
      </c>
      <c r="K112" s="113" t="str">
        <f>'[5]Annex-20'!K112</f>
        <v xml:space="preserve"> </v>
      </c>
      <c r="L112" s="113" t="str">
        <f>'[5]Annex-20'!L112</f>
        <v xml:space="preserve"> </v>
      </c>
      <c r="M112" s="113" t="str">
        <f>'[5]Annex-20'!M112</f>
        <v xml:space="preserve"> </v>
      </c>
      <c r="N112" s="115"/>
    </row>
    <row r="113" spans="1:14" hidden="1" x14ac:dyDescent="0.3">
      <c r="A113" s="178" t="str">
        <f t="shared" ref="A113" si="83">IF(A107="","","(%)")</f>
        <v/>
      </c>
      <c r="B113" s="155"/>
      <c r="C113" s="155" t="str">
        <f>'[5]Annex-20'!C113</f>
        <v/>
      </c>
      <c r="D113" s="155" t="str">
        <f>'[5]Annex-20'!D113</f>
        <v/>
      </c>
      <c r="E113" s="155" t="str">
        <f>'[5]Annex-20'!E113</f>
        <v/>
      </c>
      <c r="F113" s="155" t="str">
        <f>'[5]Annex-20'!F113</f>
        <v/>
      </c>
      <c r="G113" s="155" t="str">
        <f>'[5]Annex-20'!G113</f>
        <v/>
      </c>
      <c r="H113" s="191"/>
      <c r="I113" s="155" t="str">
        <f>'[5]Annex-20'!I113</f>
        <v/>
      </c>
      <c r="J113" s="155" t="str">
        <f>'[5]Annex-20'!J113</f>
        <v/>
      </c>
      <c r="K113" s="155" t="str">
        <f>'[5]Annex-20'!K113</f>
        <v/>
      </c>
      <c r="L113" s="155" t="str">
        <f>'[5]Annex-20'!L113</f>
        <v/>
      </c>
      <c r="M113" s="155" t="str">
        <f>'[5]Annex-20'!M113</f>
        <v/>
      </c>
      <c r="N113" s="115"/>
    </row>
    <row r="114" spans="1:14" ht="9" hidden="1" customHeight="1" x14ac:dyDescent="0.3">
      <c r="A114" s="193"/>
      <c r="B114" s="194"/>
      <c r="C114" s="194"/>
      <c r="D114" s="194"/>
      <c r="E114" s="194"/>
      <c r="F114" s="194"/>
      <c r="G114" s="194"/>
      <c r="H114" s="195"/>
      <c r="I114" s="194"/>
      <c r="J114" s="194"/>
      <c r="K114" s="194"/>
      <c r="L114" s="194"/>
      <c r="M114" s="194"/>
      <c r="N114" s="115"/>
    </row>
    <row r="115" spans="1:14" x14ac:dyDescent="0.3">
      <c r="A115" s="98" t="str">
        <f>common!$E$3</f>
        <v>RABI II</v>
      </c>
      <c r="B115" s="113"/>
      <c r="C115" s="113"/>
      <c r="D115" s="113"/>
      <c r="E115" s="113"/>
      <c r="F115" s="113"/>
      <c r="G115" s="113"/>
      <c r="H115" s="137"/>
      <c r="I115" s="113"/>
      <c r="J115" s="113"/>
      <c r="K115" s="113"/>
      <c r="L115" s="113"/>
      <c r="M115" s="113"/>
      <c r="N115" s="115"/>
    </row>
    <row r="116" spans="1:14" x14ac:dyDescent="0.3">
      <c r="A116" s="111" t="str">
        <f>common!$E$9</f>
        <v>PADDY</v>
      </c>
      <c r="B116" s="113"/>
      <c r="C116" s="113"/>
      <c r="D116" s="113"/>
      <c r="E116" s="113"/>
      <c r="F116" s="113"/>
      <c r="G116" s="113"/>
      <c r="H116" s="137"/>
      <c r="I116" s="113"/>
      <c r="J116" s="113"/>
      <c r="K116" s="113"/>
      <c r="L116" s="113"/>
      <c r="M116" s="113"/>
      <c r="N116" s="115"/>
    </row>
    <row r="117" spans="1:14" x14ac:dyDescent="0.3">
      <c r="A117" s="112" t="str">
        <f>IF(A116="","","CENTRAL" )</f>
        <v>CENTRAL</v>
      </c>
      <c r="B117" s="113">
        <f>'[5]Annex-20'!B117</f>
        <v>10</v>
      </c>
      <c r="C117" s="113" t="str">
        <f>'[5]Annex-20'!C117</f>
        <v xml:space="preserve">10 </v>
      </c>
      <c r="D117" s="113" t="str">
        <f>'[5]Annex-20'!D117</f>
        <v xml:space="preserve">0 </v>
      </c>
      <c r="E117" s="113" t="str">
        <f>'[5]Annex-20'!E117</f>
        <v xml:space="preserve">0 </v>
      </c>
      <c r="F117" s="113" t="str">
        <f>'[5]Annex-20'!F117</f>
        <v xml:space="preserve">0 </v>
      </c>
      <c r="G117" s="113" t="str">
        <f>'[5]Annex-20'!G117</f>
        <v xml:space="preserve">0 </v>
      </c>
      <c r="H117" s="137">
        <f>'[5]Annex-20'!H117</f>
        <v>10</v>
      </c>
      <c r="I117" s="113" t="str">
        <f>'[5]Annex-20'!I117</f>
        <v xml:space="preserve">10 </v>
      </c>
      <c r="J117" s="113" t="str">
        <f>'[5]Annex-20'!J117</f>
        <v xml:space="preserve">0 </v>
      </c>
      <c r="K117" s="113" t="str">
        <f>'[5]Annex-20'!K117</f>
        <v xml:space="preserve">0 </v>
      </c>
      <c r="L117" s="113" t="str">
        <f>'[5]Annex-20'!L117</f>
        <v xml:space="preserve">0 </v>
      </c>
      <c r="M117" s="113" t="str">
        <f>'[5]Annex-20'!M117</f>
        <v xml:space="preserve">0 </v>
      </c>
      <c r="N117" s="115"/>
    </row>
    <row r="118" spans="1:14" x14ac:dyDescent="0.3">
      <c r="A118" s="72" t="str">
        <f>IF(A116="","","(%)")</f>
        <v>(%)</v>
      </c>
      <c r="B118" s="113"/>
      <c r="C118" s="113" t="str">
        <f>'[5]Annex-20'!C118</f>
        <v>(100.0)</v>
      </c>
      <c r="D118" s="113" t="str">
        <f>'[5]Annex-20'!D118</f>
        <v>(  0.0)</v>
      </c>
      <c r="E118" s="113" t="str">
        <f>'[5]Annex-20'!E118</f>
        <v>(  0.0)</v>
      </c>
      <c r="F118" s="113" t="str">
        <f>'[5]Annex-20'!F118</f>
        <v>(  0.0)</v>
      </c>
      <c r="G118" s="113" t="str">
        <f>'[5]Annex-20'!G118</f>
        <v>(  0.0)</v>
      </c>
      <c r="H118" s="137"/>
      <c r="I118" s="113" t="str">
        <f>'[5]Annex-20'!I118</f>
        <v>(100.0)</v>
      </c>
      <c r="J118" s="113" t="str">
        <f>'[5]Annex-20'!J118</f>
        <v>(  0.0)</v>
      </c>
      <c r="K118" s="113" t="str">
        <f>'[5]Annex-20'!K118</f>
        <v>(  0.0)</v>
      </c>
      <c r="L118" s="113" t="str">
        <f>'[5]Annex-20'!L118</f>
        <v>(  0.0)</v>
      </c>
      <c r="M118" s="113" t="str">
        <f>'[5]Annex-20'!M118</f>
        <v>(  0.0)</v>
      </c>
      <c r="N118" s="115"/>
    </row>
    <row r="119" spans="1:14" x14ac:dyDescent="0.3">
      <c r="A119" s="112" t="str">
        <f>IF(A116="","","STATE")</f>
        <v>STATE</v>
      </c>
      <c r="B119" s="113">
        <f>'[5]Annex-20'!B119</f>
        <v>10</v>
      </c>
      <c r="C119" s="113" t="str">
        <f>'[5]Annex-20'!C119</f>
        <v xml:space="preserve">10 </v>
      </c>
      <c r="D119" s="113" t="str">
        <f>'[5]Annex-20'!D119</f>
        <v xml:space="preserve">0 </v>
      </c>
      <c r="E119" s="113" t="str">
        <f>'[5]Annex-20'!E119</f>
        <v xml:space="preserve">0 </v>
      </c>
      <c r="F119" s="113" t="str">
        <f>'[5]Annex-20'!F119</f>
        <v xml:space="preserve">0 </v>
      </c>
      <c r="G119" s="113" t="str">
        <f>'[5]Annex-20'!G119</f>
        <v xml:space="preserve">0 </v>
      </c>
      <c r="H119" s="137">
        <f>'[5]Annex-20'!H119</f>
        <v>10</v>
      </c>
      <c r="I119" s="113" t="str">
        <f>'[5]Annex-20'!I119</f>
        <v xml:space="preserve">10 </v>
      </c>
      <c r="J119" s="113" t="str">
        <f>'[5]Annex-20'!J119</f>
        <v xml:space="preserve">0 </v>
      </c>
      <c r="K119" s="113" t="str">
        <f>'[5]Annex-20'!K119</f>
        <v xml:space="preserve">0 </v>
      </c>
      <c r="L119" s="113" t="str">
        <f>'[5]Annex-20'!L119</f>
        <v xml:space="preserve">0 </v>
      </c>
      <c r="M119" s="113" t="str">
        <f>'[5]Annex-20'!M119</f>
        <v xml:space="preserve">0 </v>
      </c>
      <c r="N119" s="115"/>
    </row>
    <row r="120" spans="1:14" x14ac:dyDescent="0.3">
      <c r="A120" s="72" t="str">
        <f>IF(A116="","","(%)")</f>
        <v>(%)</v>
      </c>
      <c r="B120" s="113"/>
      <c r="C120" s="113" t="str">
        <f>'[5]Annex-20'!C120</f>
        <v>(100.0)</v>
      </c>
      <c r="D120" s="113" t="str">
        <f>'[5]Annex-20'!D120</f>
        <v>(  0.0)</v>
      </c>
      <c r="E120" s="113" t="str">
        <f>'[5]Annex-20'!E120</f>
        <v>(  0.0)</v>
      </c>
      <c r="F120" s="113" t="str">
        <f>'[5]Annex-20'!F120</f>
        <v>(  0.0)</v>
      </c>
      <c r="G120" s="113" t="str">
        <f>'[5]Annex-20'!G120</f>
        <v>(  0.0)</v>
      </c>
      <c r="H120" s="137"/>
      <c r="I120" s="113" t="str">
        <f>'[5]Annex-20'!I120</f>
        <v>(100.0)</v>
      </c>
      <c r="J120" s="113" t="str">
        <f>'[5]Annex-20'!J120</f>
        <v>(  0.0)</v>
      </c>
      <c r="K120" s="113" t="str">
        <f>'[5]Annex-20'!K120</f>
        <v>(  0.0)</v>
      </c>
      <c r="L120" s="113" t="str">
        <f>'[5]Annex-20'!L120</f>
        <v>(  0.0)</v>
      </c>
      <c r="M120" s="113" t="str">
        <f>'[5]Annex-20'!M120</f>
        <v>(  0.0)</v>
      </c>
      <c r="N120" s="115"/>
    </row>
    <row r="121" spans="1:14" x14ac:dyDescent="0.3">
      <c r="A121" s="112" t="str">
        <f>IF(A116="","","POOLED")</f>
        <v>POOLED</v>
      </c>
      <c r="B121" s="113">
        <f>'[5]Annex-20'!B121</f>
        <v>20</v>
      </c>
      <c r="C121" s="113" t="str">
        <f>'[5]Annex-20'!C121</f>
        <v xml:space="preserve">20 </v>
      </c>
      <c r="D121" s="113" t="str">
        <f>'[5]Annex-20'!D121</f>
        <v xml:space="preserve">0 </v>
      </c>
      <c r="E121" s="113" t="str">
        <f>'[5]Annex-20'!E121</f>
        <v xml:space="preserve">0 </v>
      </c>
      <c r="F121" s="113" t="str">
        <f>'[5]Annex-20'!F121</f>
        <v xml:space="preserve">0 </v>
      </c>
      <c r="G121" s="113" t="str">
        <f>'[5]Annex-20'!G121</f>
        <v xml:space="preserve">0 </v>
      </c>
      <c r="H121" s="137">
        <f>'[5]Annex-20'!H121</f>
        <v>20</v>
      </c>
      <c r="I121" s="113" t="str">
        <f>'[5]Annex-20'!I121</f>
        <v xml:space="preserve">20 </v>
      </c>
      <c r="J121" s="113" t="str">
        <f>'[5]Annex-20'!J121</f>
        <v xml:space="preserve">0 </v>
      </c>
      <c r="K121" s="113" t="str">
        <f>'[5]Annex-20'!K121</f>
        <v xml:space="preserve">0 </v>
      </c>
      <c r="L121" s="113" t="str">
        <f>'[5]Annex-20'!L121</f>
        <v xml:space="preserve">0 </v>
      </c>
      <c r="M121" s="113" t="str">
        <f>'[5]Annex-20'!M121</f>
        <v xml:space="preserve">0 </v>
      </c>
      <c r="N121" s="115"/>
    </row>
    <row r="122" spans="1:14" ht="15" thickBot="1" x14ac:dyDescent="0.35">
      <c r="A122" s="86" t="str">
        <f>IF(A116="","","(%)")</f>
        <v>(%)</v>
      </c>
      <c r="B122" s="162"/>
      <c r="C122" s="162" t="str">
        <f>'[5]Annex-20'!C122</f>
        <v>(100.0)</v>
      </c>
      <c r="D122" s="162" t="str">
        <f>'[5]Annex-20'!D122</f>
        <v>(  0.0)</v>
      </c>
      <c r="E122" s="162" t="str">
        <f>'[5]Annex-20'!E122</f>
        <v>(  0.0)</v>
      </c>
      <c r="F122" s="162" t="str">
        <f>'[5]Annex-20'!F122</f>
        <v>(  0.0)</v>
      </c>
      <c r="G122" s="162" t="str">
        <f>'[5]Annex-20'!G122</f>
        <v>(  0.0)</v>
      </c>
      <c r="H122" s="167"/>
      <c r="I122" s="162" t="str">
        <f>'[5]Annex-20'!I122</f>
        <v>(100.0)</v>
      </c>
      <c r="J122" s="162" t="str">
        <f>'[5]Annex-20'!J122</f>
        <v>(  0.0)</v>
      </c>
      <c r="K122" s="162" t="str">
        <f>'[5]Annex-20'!K122</f>
        <v>(  0.0)</v>
      </c>
      <c r="L122" s="162" t="str">
        <f>'[5]Annex-20'!L122</f>
        <v>(  0.0)</v>
      </c>
      <c r="M122" s="162" t="str">
        <f>'[5]Annex-20'!M122</f>
        <v>(  0.0)</v>
      </c>
      <c r="N122" s="115"/>
    </row>
    <row r="123" spans="1:14" hidden="1" x14ac:dyDescent="0.3">
      <c r="A123" s="119" t="str">
        <f>IF('[5]Crops CY'!$C$8=0,"",'[5]Crops CY'!$C$8)</f>
        <v/>
      </c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15"/>
    </row>
    <row r="124" spans="1:14" hidden="1" x14ac:dyDescent="0.3">
      <c r="A124" s="112" t="str">
        <f t="shared" ref="A124" si="84">IF(A123="","","CENTRAL" )</f>
        <v/>
      </c>
      <c r="B124" s="135" t="str">
        <f>'[5]Annex-20'!B124</f>
        <v/>
      </c>
      <c r="C124" s="135" t="str">
        <f>'[5]Annex-20'!C124</f>
        <v xml:space="preserve"> </v>
      </c>
      <c r="D124" s="135" t="str">
        <f>'[5]Annex-20'!D124</f>
        <v xml:space="preserve"> </v>
      </c>
      <c r="E124" s="135" t="str">
        <f>'[5]Annex-20'!E124</f>
        <v xml:space="preserve"> </v>
      </c>
      <c r="F124" s="135" t="str">
        <f>'[5]Annex-20'!F124</f>
        <v xml:space="preserve"> </v>
      </c>
      <c r="G124" s="135" t="str">
        <f>'[5]Annex-20'!G124</f>
        <v xml:space="preserve"> </v>
      </c>
      <c r="H124" s="135" t="str">
        <f>'[5]Annex-20'!H124</f>
        <v/>
      </c>
      <c r="I124" s="135" t="str">
        <f>'[5]Annex-20'!I124</f>
        <v xml:space="preserve"> </v>
      </c>
      <c r="J124" s="135" t="str">
        <f>'[5]Annex-20'!J124</f>
        <v xml:space="preserve"> </v>
      </c>
      <c r="K124" s="135" t="str">
        <f>'[5]Annex-20'!K124</f>
        <v xml:space="preserve"> </v>
      </c>
      <c r="L124" s="135" t="str">
        <f>'[5]Annex-20'!L124</f>
        <v xml:space="preserve"> </v>
      </c>
      <c r="M124" s="135" t="str">
        <f>'[5]Annex-20'!M124</f>
        <v xml:space="preserve"> </v>
      </c>
      <c r="N124" s="115"/>
    </row>
    <row r="125" spans="1:14" hidden="1" x14ac:dyDescent="0.3">
      <c r="A125" s="72" t="str">
        <f t="shared" ref="A125" si="85">IF(A123="","","(%)")</f>
        <v/>
      </c>
      <c r="B125" s="135"/>
      <c r="C125" s="135" t="str">
        <f>'[5]Annex-20'!C125</f>
        <v/>
      </c>
      <c r="D125" s="135" t="str">
        <f>'[5]Annex-20'!D125</f>
        <v/>
      </c>
      <c r="E125" s="135" t="str">
        <f>'[5]Annex-20'!E125</f>
        <v/>
      </c>
      <c r="F125" s="135" t="str">
        <f>'[5]Annex-20'!F125</f>
        <v/>
      </c>
      <c r="G125" s="135" t="str">
        <f>'[5]Annex-20'!G125</f>
        <v/>
      </c>
      <c r="H125" s="135"/>
      <c r="I125" s="135" t="str">
        <f>'[5]Annex-20'!I125</f>
        <v/>
      </c>
      <c r="J125" s="135" t="str">
        <f>'[5]Annex-20'!J125</f>
        <v/>
      </c>
      <c r="K125" s="135" t="str">
        <f>'[5]Annex-20'!K125</f>
        <v/>
      </c>
      <c r="L125" s="135" t="str">
        <f>'[5]Annex-20'!L125</f>
        <v/>
      </c>
      <c r="M125" s="135" t="str">
        <f>'[5]Annex-20'!M125</f>
        <v/>
      </c>
      <c r="N125" s="115"/>
    </row>
    <row r="126" spans="1:14" hidden="1" x14ac:dyDescent="0.3">
      <c r="A126" s="112" t="str">
        <f t="shared" ref="A126" si="86">IF(A123="","","STATE")</f>
        <v/>
      </c>
      <c r="B126" s="135" t="str">
        <f>'[5]Annex-20'!B126</f>
        <v/>
      </c>
      <c r="C126" s="135" t="str">
        <f>'[5]Annex-20'!C126</f>
        <v xml:space="preserve"> </v>
      </c>
      <c r="D126" s="135" t="str">
        <f>'[5]Annex-20'!D126</f>
        <v xml:space="preserve"> </v>
      </c>
      <c r="E126" s="135" t="str">
        <f>'[5]Annex-20'!E126</f>
        <v xml:space="preserve"> </v>
      </c>
      <c r="F126" s="135" t="str">
        <f>'[5]Annex-20'!F126</f>
        <v xml:space="preserve"> </v>
      </c>
      <c r="G126" s="135" t="str">
        <f>'[5]Annex-20'!G126</f>
        <v xml:space="preserve"> </v>
      </c>
      <c r="H126" s="135" t="str">
        <f>'[5]Annex-20'!H126</f>
        <v/>
      </c>
      <c r="I126" s="135" t="str">
        <f>'[5]Annex-20'!I126</f>
        <v xml:space="preserve"> </v>
      </c>
      <c r="J126" s="135" t="str">
        <f>'[5]Annex-20'!J126</f>
        <v xml:space="preserve"> </v>
      </c>
      <c r="K126" s="135" t="str">
        <f>'[5]Annex-20'!K126</f>
        <v xml:space="preserve"> </v>
      </c>
      <c r="L126" s="135" t="str">
        <f>'[5]Annex-20'!L126</f>
        <v xml:space="preserve"> </v>
      </c>
      <c r="M126" s="135" t="str">
        <f>'[5]Annex-20'!M126</f>
        <v xml:space="preserve"> </v>
      </c>
      <c r="N126" s="115"/>
    </row>
    <row r="127" spans="1:14" hidden="1" x14ac:dyDescent="0.3">
      <c r="A127" s="72" t="str">
        <f t="shared" ref="A127" si="87">IF(A123="","","(%)")</f>
        <v/>
      </c>
      <c r="B127" s="135"/>
      <c r="C127" s="135" t="str">
        <f>'[5]Annex-20'!C127</f>
        <v/>
      </c>
      <c r="D127" s="135" t="str">
        <f>'[5]Annex-20'!D127</f>
        <v/>
      </c>
      <c r="E127" s="135" t="str">
        <f>'[5]Annex-20'!E127</f>
        <v/>
      </c>
      <c r="F127" s="135" t="str">
        <f>'[5]Annex-20'!F127</f>
        <v/>
      </c>
      <c r="G127" s="135" t="str">
        <f>'[5]Annex-20'!G127</f>
        <v/>
      </c>
      <c r="H127" s="135"/>
      <c r="I127" s="135" t="str">
        <f>'[5]Annex-20'!I127</f>
        <v/>
      </c>
      <c r="J127" s="135" t="str">
        <f>'[5]Annex-20'!J127</f>
        <v/>
      </c>
      <c r="K127" s="135" t="str">
        <f>'[5]Annex-20'!K127</f>
        <v/>
      </c>
      <c r="L127" s="135" t="str">
        <f>'[5]Annex-20'!L127</f>
        <v/>
      </c>
      <c r="M127" s="135" t="str">
        <f>'[5]Annex-20'!M127</f>
        <v/>
      </c>
      <c r="N127" s="115"/>
    </row>
    <row r="128" spans="1:14" hidden="1" x14ac:dyDescent="0.3">
      <c r="A128" s="112" t="str">
        <f t="shared" ref="A128" si="88">IF(A123="","","POOLED")</f>
        <v/>
      </c>
      <c r="B128" s="135" t="str">
        <f>'[5]Annex-20'!B128</f>
        <v/>
      </c>
      <c r="C128" s="135" t="str">
        <f>'[5]Annex-20'!C128</f>
        <v xml:space="preserve"> </v>
      </c>
      <c r="D128" s="135" t="str">
        <f>'[5]Annex-20'!D128</f>
        <v xml:space="preserve"> </v>
      </c>
      <c r="E128" s="135" t="str">
        <f>'[5]Annex-20'!E128</f>
        <v xml:space="preserve"> </v>
      </c>
      <c r="F128" s="135" t="str">
        <f>'[5]Annex-20'!F128</f>
        <v xml:space="preserve"> </v>
      </c>
      <c r="G128" s="135" t="str">
        <f>'[5]Annex-20'!G128</f>
        <v xml:space="preserve"> </v>
      </c>
      <c r="H128" s="135" t="str">
        <f>'[5]Annex-20'!H128</f>
        <v/>
      </c>
      <c r="I128" s="135" t="str">
        <f>'[5]Annex-20'!I128</f>
        <v xml:space="preserve"> </v>
      </c>
      <c r="J128" s="135" t="str">
        <f>'[5]Annex-20'!J128</f>
        <v xml:space="preserve"> </v>
      </c>
      <c r="K128" s="135" t="str">
        <f>'[5]Annex-20'!K128</f>
        <v xml:space="preserve"> </v>
      </c>
      <c r="L128" s="135" t="str">
        <f>'[5]Annex-20'!L128</f>
        <v xml:space="preserve"> </v>
      </c>
      <c r="M128" s="135" t="str">
        <f>'[5]Annex-20'!M128</f>
        <v xml:space="preserve"> </v>
      </c>
      <c r="N128" s="115"/>
    </row>
    <row r="129" spans="1:14" hidden="1" x14ac:dyDescent="0.3">
      <c r="A129" s="178" t="str">
        <f t="shared" ref="A129" si="89">IF(A123="","","(%)")</f>
        <v/>
      </c>
      <c r="B129" s="196"/>
      <c r="C129" s="196" t="str">
        <f>'[5]Annex-20'!C129</f>
        <v/>
      </c>
      <c r="D129" s="196" t="str">
        <f>'[5]Annex-20'!D129</f>
        <v/>
      </c>
      <c r="E129" s="196" t="str">
        <f>'[5]Annex-20'!E129</f>
        <v/>
      </c>
      <c r="F129" s="196" t="str">
        <f>'[5]Annex-20'!F129</f>
        <v/>
      </c>
      <c r="G129" s="196" t="str">
        <f>'[5]Annex-20'!G129</f>
        <v/>
      </c>
      <c r="H129" s="196"/>
      <c r="I129" s="196" t="str">
        <f>'[5]Annex-20'!I129</f>
        <v/>
      </c>
      <c r="J129" s="196" t="str">
        <f>'[5]Annex-20'!J129</f>
        <v/>
      </c>
      <c r="K129" s="196" t="str">
        <f>'[5]Annex-20'!K129</f>
        <v/>
      </c>
      <c r="L129" s="196" t="str">
        <f>'[5]Annex-20'!L129</f>
        <v/>
      </c>
      <c r="M129" s="196" t="str">
        <f>'[5]Annex-20'!M129</f>
        <v/>
      </c>
      <c r="N129" s="115"/>
    </row>
    <row r="130" spans="1:14" hidden="1" x14ac:dyDescent="0.3">
      <c r="A130" s="192" t="str">
        <f>IF('[5]Crops CY'!$C$9=0,"",'[5]Crops CY'!$C$9)</f>
        <v/>
      </c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15"/>
    </row>
    <row r="131" spans="1:14" hidden="1" x14ac:dyDescent="0.3">
      <c r="A131" s="112" t="str">
        <f t="shared" ref="A131" si="90">IF(A130="","","CENTRAL" )</f>
        <v/>
      </c>
      <c r="B131" s="135" t="str">
        <f>'[5]Annex-20'!B131</f>
        <v/>
      </c>
      <c r="C131" s="135" t="str">
        <f>'[5]Annex-20'!C131</f>
        <v xml:space="preserve"> </v>
      </c>
      <c r="D131" s="135" t="str">
        <f>'[5]Annex-20'!D131</f>
        <v xml:space="preserve"> </v>
      </c>
      <c r="E131" s="135" t="str">
        <f>'[5]Annex-20'!E131</f>
        <v xml:space="preserve"> </v>
      </c>
      <c r="F131" s="135" t="str">
        <f>'[5]Annex-20'!F131</f>
        <v xml:space="preserve"> </v>
      </c>
      <c r="G131" s="135" t="str">
        <f>'[5]Annex-20'!G131</f>
        <v xml:space="preserve"> </v>
      </c>
      <c r="H131" s="135" t="str">
        <f>'[5]Annex-20'!H131</f>
        <v/>
      </c>
      <c r="I131" s="135" t="str">
        <f>'[5]Annex-20'!I131</f>
        <v xml:space="preserve"> </v>
      </c>
      <c r="J131" s="135" t="str">
        <f>'[5]Annex-20'!J131</f>
        <v xml:space="preserve"> </v>
      </c>
      <c r="K131" s="135" t="str">
        <f>'[5]Annex-20'!K131</f>
        <v xml:space="preserve"> </v>
      </c>
      <c r="L131" s="135" t="str">
        <f>'[5]Annex-20'!L131</f>
        <v xml:space="preserve"> </v>
      </c>
      <c r="M131" s="135" t="str">
        <f>'[5]Annex-20'!M131</f>
        <v xml:space="preserve"> </v>
      </c>
      <c r="N131" s="115"/>
    </row>
    <row r="132" spans="1:14" hidden="1" x14ac:dyDescent="0.3">
      <c r="A132" s="72" t="str">
        <f t="shared" ref="A132" si="91">IF(A130="","","(%)")</f>
        <v/>
      </c>
      <c r="B132" s="135"/>
      <c r="C132" s="135" t="str">
        <f>'[5]Annex-20'!C132</f>
        <v/>
      </c>
      <c r="D132" s="135" t="str">
        <f>'[5]Annex-20'!D132</f>
        <v/>
      </c>
      <c r="E132" s="135" t="str">
        <f>'[5]Annex-20'!E132</f>
        <v/>
      </c>
      <c r="F132" s="135" t="str">
        <f>'[5]Annex-20'!F132</f>
        <v/>
      </c>
      <c r="G132" s="135" t="str">
        <f>'[5]Annex-20'!G132</f>
        <v/>
      </c>
      <c r="H132" s="135"/>
      <c r="I132" s="135" t="str">
        <f>'[5]Annex-20'!I132</f>
        <v/>
      </c>
      <c r="J132" s="135" t="str">
        <f>'[5]Annex-20'!J132</f>
        <v/>
      </c>
      <c r="K132" s="135" t="str">
        <f>'[5]Annex-20'!K132</f>
        <v/>
      </c>
      <c r="L132" s="135" t="str">
        <f>'[5]Annex-20'!L132</f>
        <v/>
      </c>
      <c r="M132" s="135" t="str">
        <f>'[5]Annex-20'!M132</f>
        <v/>
      </c>
      <c r="N132" s="115"/>
    </row>
    <row r="133" spans="1:14" hidden="1" x14ac:dyDescent="0.3">
      <c r="A133" s="112" t="str">
        <f t="shared" ref="A133" si="92">IF(A130="","","STATE")</f>
        <v/>
      </c>
      <c r="B133" s="135" t="str">
        <f>'[5]Annex-20'!B133</f>
        <v/>
      </c>
      <c r="C133" s="135" t="str">
        <f>'[5]Annex-20'!C133</f>
        <v xml:space="preserve"> </v>
      </c>
      <c r="D133" s="135" t="str">
        <f>'[5]Annex-20'!D133</f>
        <v xml:space="preserve"> </v>
      </c>
      <c r="E133" s="135" t="str">
        <f>'[5]Annex-20'!E133</f>
        <v xml:space="preserve"> </v>
      </c>
      <c r="F133" s="135" t="str">
        <f>'[5]Annex-20'!F133</f>
        <v xml:space="preserve"> </v>
      </c>
      <c r="G133" s="135" t="str">
        <f>'[5]Annex-20'!G133</f>
        <v xml:space="preserve"> </v>
      </c>
      <c r="H133" s="135" t="str">
        <f>'[5]Annex-20'!H133</f>
        <v/>
      </c>
      <c r="I133" s="135" t="str">
        <f>'[5]Annex-20'!I133</f>
        <v xml:space="preserve"> </v>
      </c>
      <c r="J133" s="135" t="str">
        <f>'[5]Annex-20'!J133</f>
        <v xml:space="preserve"> </v>
      </c>
      <c r="K133" s="135" t="str">
        <f>'[5]Annex-20'!K133</f>
        <v xml:space="preserve"> </v>
      </c>
      <c r="L133" s="135" t="str">
        <f>'[5]Annex-20'!L133</f>
        <v xml:space="preserve"> </v>
      </c>
      <c r="M133" s="135" t="str">
        <f>'[5]Annex-20'!M133</f>
        <v xml:space="preserve"> </v>
      </c>
    </row>
    <row r="134" spans="1:14" hidden="1" x14ac:dyDescent="0.3">
      <c r="A134" s="72" t="str">
        <f t="shared" ref="A134" si="93">IF(A130="","","(%)")</f>
        <v/>
      </c>
      <c r="B134" s="135"/>
      <c r="C134" s="135" t="str">
        <f>'[5]Annex-20'!C134</f>
        <v/>
      </c>
      <c r="D134" s="135" t="str">
        <f>'[5]Annex-20'!D134</f>
        <v/>
      </c>
      <c r="E134" s="135" t="str">
        <f>'[5]Annex-20'!E134</f>
        <v/>
      </c>
      <c r="F134" s="135" t="str">
        <f>'[5]Annex-20'!F134</f>
        <v/>
      </c>
      <c r="G134" s="135" t="str">
        <f>'[5]Annex-20'!G134</f>
        <v/>
      </c>
      <c r="H134" s="135"/>
      <c r="I134" s="135" t="str">
        <f>'[5]Annex-20'!I134</f>
        <v/>
      </c>
      <c r="J134" s="135" t="str">
        <f>'[5]Annex-20'!J134</f>
        <v/>
      </c>
      <c r="K134" s="135" t="str">
        <f>'[5]Annex-20'!K134</f>
        <v/>
      </c>
      <c r="L134" s="135" t="str">
        <f>'[5]Annex-20'!L134</f>
        <v/>
      </c>
      <c r="M134" s="135" t="str">
        <f>'[5]Annex-20'!M134</f>
        <v/>
      </c>
    </row>
    <row r="135" spans="1:14" hidden="1" x14ac:dyDescent="0.3">
      <c r="A135" s="112" t="str">
        <f t="shared" ref="A135" si="94">IF(A130="","","POOLED")</f>
        <v/>
      </c>
      <c r="B135" s="135" t="str">
        <f>'[5]Annex-20'!B135</f>
        <v/>
      </c>
      <c r="C135" s="135" t="str">
        <f>'[5]Annex-20'!C135</f>
        <v xml:space="preserve"> </v>
      </c>
      <c r="D135" s="135" t="str">
        <f>'[5]Annex-20'!D135</f>
        <v xml:space="preserve"> </v>
      </c>
      <c r="E135" s="135" t="str">
        <f>'[5]Annex-20'!E135</f>
        <v xml:space="preserve"> </v>
      </c>
      <c r="F135" s="135" t="str">
        <f>'[5]Annex-20'!F135</f>
        <v xml:space="preserve"> </v>
      </c>
      <c r="G135" s="135" t="str">
        <f>'[5]Annex-20'!G135</f>
        <v xml:space="preserve"> </v>
      </c>
      <c r="H135" s="135" t="str">
        <f>'[5]Annex-20'!H135</f>
        <v/>
      </c>
      <c r="I135" s="135" t="str">
        <f>'[5]Annex-20'!I135</f>
        <v xml:space="preserve"> </v>
      </c>
      <c r="J135" s="135" t="str">
        <f>'[5]Annex-20'!J135</f>
        <v xml:space="preserve"> </v>
      </c>
      <c r="K135" s="135" t="str">
        <f>'[5]Annex-20'!K135</f>
        <v xml:space="preserve"> </v>
      </c>
      <c r="L135" s="135" t="str">
        <f>'[5]Annex-20'!L135</f>
        <v xml:space="preserve"> </v>
      </c>
      <c r="M135" s="135" t="str">
        <f>'[5]Annex-20'!M135</f>
        <v xml:space="preserve"> </v>
      </c>
    </row>
    <row r="136" spans="1:14" hidden="1" x14ac:dyDescent="0.3">
      <c r="A136" s="178" t="str">
        <f t="shared" ref="A136" si="95">IF(A130="","","(%)")</f>
        <v/>
      </c>
      <c r="B136" s="196"/>
      <c r="C136" s="196" t="str">
        <f>'[5]Annex-20'!C136</f>
        <v/>
      </c>
      <c r="D136" s="196" t="str">
        <f>'[5]Annex-20'!D136</f>
        <v/>
      </c>
      <c r="E136" s="196" t="str">
        <f>'[5]Annex-20'!E136</f>
        <v/>
      </c>
      <c r="F136" s="196" t="str">
        <f>'[5]Annex-20'!F136</f>
        <v/>
      </c>
      <c r="G136" s="196" t="str">
        <f>'[5]Annex-20'!G136</f>
        <v/>
      </c>
      <c r="H136" s="196"/>
      <c r="I136" s="196" t="str">
        <f>'[5]Annex-20'!I136</f>
        <v/>
      </c>
      <c r="J136" s="196" t="str">
        <f>'[5]Annex-20'!J136</f>
        <v/>
      </c>
      <c r="K136" s="196" t="str">
        <f>'[5]Annex-20'!K136</f>
        <v/>
      </c>
      <c r="L136" s="196" t="str">
        <f>'[5]Annex-20'!L136</f>
        <v/>
      </c>
      <c r="M136" s="196" t="str">
        <f>'[5]Annex-20'!M136</f>
        <v/>
      </c>
    </row>
    <row r="137" spans="1:14" hidden="1" x14ac:dyDescent="0.3">
      <c r="A137" s="192" t="str">
        <f>IF('[5]Crops CY'!$C$10=0,"",'[5]Crops CY'!$C$10)</f>
        <v/>
      </c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</row>
    <row r="138" spans="1:14" hidden="1" x14ac:dyDescent="0.3">
      <c r="A138" s="112" t="str">
        <f t="shared" ref="A138" si="96">IF(A137="","","CENTRAL" )</f>
        <v/>
      </c>
      <c r="B138" s="135" t="str">
        <f>'[5]Annex-20'!B138</f>
        <v/>
      </c>
      <c r="C138" s="135" t="str">
        <f>'[5]Annex-20'!C138</f>
        <v xml:space="preserve"> </v>
      </c>
      <c r="D138" s="135" t="str">
        <f>'[5]Annex-20'!D138</f>
        <v xml:space="preserve"> </v>
      </c>
      <c r="E138" s="135" t="str">
        <f>'[5]Annex-20'!E138</f>
        <v xml:space="preserve"> </v>
      </c>
      <c r="F138" s="135" t="str">
        <f>'[5]Annex-20'!F138</f>
        <v xml:space="preserve"> </v>
      </c>
      <c r="G138" s="135" t="str">
        <f>'[5]Annex-20'!G138</f>
        <v xml:space="preserve"> </v>
      </c>
      <c r="H138" s="135" t="str">
        <f>'[5]Annex-20'!H138</f>
        <v/>
      </c>
      <c r="I138" s="135" t="str">
        <f>'[5]Annex-20'!I138</f>
        <v xml:space="preserve"> </v>
      </c>
      <c r="J138" s="135" t="str">
        <f>'[5]Annex-20'!J138</f>
        <v xml:space="preserve"> </v>
      </c>
      <c r="K138" s="135" t="str">
        <f>'[5]Annex-20'!K138</f>
        <v xml:space="preserve"> </v>
      </c>
      <c r="L138" s="135" t="str">
        <f>'[5]Annex-20'!L138</f>
        <v xml:space="preserve"> </v>
      </c>
      <c r="M138" s="135" t="str">
        <f>'[5]Annex-20'!M138</f>
        <v xml:space="preserve"> </v>
      </c>
    </row>
    <row r="139" spans="1:14" hidden="1" x14ac:dyDescent="0.3">
      <c r="A139" s="72" t="str">
        <f t="shared" ref="A139" si="97">IF(A137="","","(%)")</f>
        <v/>
      </c>
      <c r="B139" s="135"/>
      <c r="C139" s="135" t="str">
        <f>'[5]Annex-20'!C139</f>
        <v/>
      </c>
      <c r="D139" s="135" t="str">
        <f>'[5]Annex-20'!D139</f>
        <v/>
      </c>
      <c r="E139" s="135" t="str">
        <f>'[5]Annex-20'!E139</f>
        <v/>
      </c>
      <c r="F139" s="135" t="str">
        <f>'[5]Annex-20'!F139</f>
        <v/>
      </c>
      <c r="G139" s="135" t="str">
        <f>'[5]Annex-20'!G139</f>
        <v/>
      </c>
      <c r="H139" s="135"/>
      <c r="I139" s="135" t="str">
        <f>'[5]Annex-20'!I139</f>
        <v/>
      </c>
      <c r="J139" s="135" t="str">
        <f>'[5]Annex-20'!J139</f>
        <v/>
      </c>
      <c r="K139" s="135" t="str">
        <f>'[5]Annex-20'!K139</f>
        <v/>
      </c>
      <c r="L139" s="135" t="str">
        <f>'[5]Annex-20'!L139</f>
        <v/>
      </c>
      <c r="M139" s="135" t="str">
        <f>'[5]Annex-20'!M139</f>
        <v/>
      </c>
    </row>
    <row r="140" spans="1:14" hidden="1" x14ac:dyDescent="0.3">
      <c r="A140" s="112" t="str">
        <f t="shared" ref="A140" si="98">IF(A137="","","STATE")</f>
        <v/>
      </c>
      <c r="B140" s="135" t="str">
        <f>'[5]Annex-20'!B140</f>
        <v/>
      </c>
      <c r="C140" s="135" t="str">
        <f>'[5]Annex-20'!C140</f>
        <v xml:space="preserve"> </v>
      </c>
      <c r="D140" s="135" t="str">
        <f>'[5]Annex-20'!D140</f>
        <v xml:space="preserve"> </v>
      </c>
      <c r="E140" s="135" t="str">
        <f>'[5]Annex-20'!E140</f>
        <v xml:space="preserve"> </v>
      </c>
      <c r="F140" s="135" t="str">
        <f>'[5]Annex-20'!F140</f>
        <v xml:space="preserve"> </v>
      </c>
      <c r="G140" s="135" t="str">
        <f>'[5]Annex-20'!G140</f>
        <v xml:space="preserve"> </v>
      </c>
      <c r="H140" s="135" t="str">
        <f>'[5]Annex-20'!H140</f>
        <v/>
      </c>
      <c r="I140" s="135" t="str">
        <f>'[5]Annex-20'!I140</f>
        <v xml:space="preserve"> </v>
      </c>
      <c r="J140" s="135" t="str">
        <f>'[5]Annex-20'!J140</f>
        <v xml:space="preserve"> </v>
      </c>
      <c r="K140" s="135" t="str">
        <f>'[5]Annex-20'!K140</f>
        <v xml:space="preserve"> </v>
      </c>
      <c r="L140" s="135" t="str">
        <f>'[5]Annex-20'!L140</f>
        <v xml:space="preserve"> </v>
      </c>
      <c r="M140" s="135" t="str">
        <f>'[5]Annex-20'!M140</f>
        <v xml:space="preserve"> </v>
      </c>
    </row>
    <row r="141" spans="1:14" hidden="1" x14ac:dyDescent="0.3">
      <c r="A141" s="72" t="str">
        <f t="shared" ref="A141" si="99">IF(A137="","","(%)")</f>
        <v/>
      </c>
      <c r="B141" s="135"/>
      <c r="C141" s="135" t="str">
        <f>'[5]Annex-20'!C141</f>
        <v/>
      </c>
      <c r="D141" s="135" t="str">
        <f>'[5]Annex-20'!D141</f>
        <v/>
      </c>
      <c r="E141" s="135" t="str">
        <f>'[5]Annex-20'!E141</f>
        <v/>
      </c>
      <c r="F141" s="135" t="str">
        <f>'[5]Annex-20'!F141</f>
        <v/>
      </c>
      <c r="G141" s="135" t="str">
        <f>'[5]Annex-20'!G141</f>
        <v/>
      </c>
      <c r="H141" s="135"/>
      <c r="I141" s="135" t="str">
        <f>'[5]Annex-20'!I141</f>
        <v/>
      </c>
      <c r="J141" s="135" t="str">
        <f>'[5]Annex-20'!J141</f>
        <v/>
      </c>
      <c r="K141" s="135" t="str">
        <f>'[5]Annex-20'!K141</f>
        <v/>
      </c>
      <c r="L141" s="135" t="str">
        <f>'[5]Annex-20'!L141</f>
        <v/>
      </c>
      <c r="M141" s="135" t="str">
        <f>'[5]Annex-20'!M141</f>
        <v/>
      </c>
    </row>
    <row r="142" spans="1:14" hidden="1" x14ac:dyDescent="0.3">
      <c r="A142" s="112" t="str">
        <f t="shared" ref="A142" si="100">IF(A137="","","POOLED")</f>
        <v/>
      </c>
      <c r="B142" s="135" t="str">
        <f>'[5]Annex-20'!B142</f>
        <v/>
      </c>
      <c r="C142" s="135" t="str">
        <f>'[5]Annex-20'!C142</f>
        <v xml:space="preserve"> </v>
      </c>
      <c r="D142" s="135" t="str">
        <f>'[5]Annex-20'!D142</f>
        <v xml:space="preserve"> </v>
      </c>
      <c r="E142" s="135" t="str">
        <f>'[5]Annex-20'!E142</f>
        <v xml:space="preserve"> </v>
      </c>
      <c r="F142" s="135" t="str">
        <f>'[5]Annex-20'!F142</f>
        <v xml:space="preserve"> </v>
      </c>
      <c r="G142" s="135" t="str">
        <f>'[5]Annex-20'!G142</f>
        <v xml:space="preserve"> </v>
      </c>
      <c r="H142" s="135" t="str">
        <f>'[5]Annex-20'!H142</f>
        <v/>
      </c>
      <c r="I142" s="135" t="str">
        <f>'[5]Annex-20'!I142</f>
        <v xml:space="preserve"> </v>
      </c>
      <c r="J142" s="135" t="str">
        <f>'[5]Annex-20'!J142</f>
        <v xml:space="preserve"> </v>
      </c>
      <c r="K142" s="135" t="str">
        <f>'[5]Annex-20'!K142</f>
        <v xml:space="preserve"> </v>
      </c>
      <c r="L142" s="135" t="str">
        <f>'[5]Annex-20'!L142</f>
        <v xml:space="preserve"> </v>
      </c>
      <c r="M142" s="135" t="str">
        <f>'[5]Annex-20'!M142</f>
        <v xml:space="preserve"> </v>
      </c>
    </row>
    <row r="143" spans="1:14" hidden="1" x14ac:dyDescent="0.3">
      <c r="A143" s="178" t="str">
        <f t="shared" ref="A143" si="101">IF(A137="","","(%)")</f>
        <v/>
      </c>
      <c r="B143" s="196"/>
      <c r="C143" s="196" t="str">
        <f>'[5]Annex-20'!C143</f>
        <v/>
      </c>
      <c r="D143" s="196" t="str">
        <f>'[5]Annex-20'!D143</f>
        <v/>
      </c>
      <c r="E143" s="196" t="str">
        <f>'[5]Annex-20'!E143</f>
        <v/>
      </c>
      <c r="F143" s="196" t="str">
        <f>'[5]Annex-20'!F143</f>
        <v/>
      </c>
      <c r="G143" s="196" t="str">
        <f>'[5]Annex-20'!G143</f>
        <v/>
      </c>
      <c r="H143" s="196"/>
      <c r="I143" s="196" t="str">
        <f>'[5]Annex-20'!I143</f>
        <v/>
      </c>
      <c r="J143" s="196" t="str">
        <f>'[5]Annex-20'!J143</f>
        <v/>
      </c>
      <c r="K143" s="196" t="str">
        <f>'[5]Annex-20'!K143</f>
        <v/>
      </c>
      <c r="L143" s="196" t="str">
        <f>'[5]Annex-20'!L143</f>
        <v/>
      </c>
      <c r="M143" s="196" t="str">
        <f>'[5]Annex-20'!M143</f>
        <v/>
      </c>
    </row>
    <row r="144" spans="1:14" hidden="1" x14ac:dyDescent="0.3">
      <c r="A144" s="192" t="str">
        <f>IF('[5]Crops CY'!$C$11=0,"",'[5]Crops CY'!$C$11)</f>
        <v/>
      </c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</row>
    <row r="145" spans="1:13" hidden="1" x14ac:dyDescent="0.3">
      <c r="A145" s="112" t="str">
        <f t="shared" ref="A145" si="102">IF(A144="","","CENTRAL" )</f>
        <v/>
      </c>
      <c r="B145" s="135" t="str">
        <f>'[5]Annex-20'!B145</f>
        <v/>
      </c>
      <c r="C145" s="135" t="str">
        <f>'[5]Annex-20'!C145</f>
        <v xml:space="preserve"> </v>
      </c>
      <c r="D145" s="135" t="str">
        <f>'[5]Annex-20'!D145</f>
        <v xml:space="preserve"> </v>
      </c>
      <c r="E145" s="135" t="str">
        <f>'[5]Annex-20'!E145</f>
        <v xml:space="preserve"> </v>
      </c>
      <c r="F145" s="135" t="str">
        <f>'[5]Annex-20'!F145</f>
        <v xml:space="preserve"> </v>
      </c>
      <c r="G145" s="135" t="str">
        <f>'[5]Annex-20'!G145</f>
        <v xml:space="preserve"> </v>
      </c>
      <c r="H145" s="135" t="str">
        <f>'[5]Annex-20'!H145</f>
        <v/>
      </c>
      <c r="I145" s="135" t="str">
        <f>'[5]Annex-20'!I145</f>
        <v xml:space="preserve"> </v>
      </c>
      <c r="J145" s="135" t="str">
        <f>'[5]Annex-20'!J145</f>
        <v xml:space="preserve"> </v>
      </c>
      <c r="K145" s="135" t="str">
        <f>'[5]Annex-20'!K145</f>
        <v xml:space="preserve"> </v>
      </c>
      <c r="L145" s="135" t="str">
        <f>'[5]Annex-20'!L145</f>
        <v xml:space="preserve"> </v>
      </c>
      <c r="M145" s="135" t="str">
        <f>'[5]Annex-20'!M145</f>
        <v xml:space="preserve"> </v>
      </c>
    </row>
    <row r="146" spans="1:13" hidden="1" x14ac:dyDescent="0.3">
      <c r="A146" s="72" t="str">
        <f t="shared" ref="A146" si="103">IF(A144="","","(%)")</f>
        <v/>
      </c>
      <c r="B146" s="135"/>
      <c r="C146" s="135" t="str">
        <f>'[5]Annex-20'!C146</f>
        <v/>
      </c>
      <c r="D146" s="135" t="str">
        <f>'[5]Annex-20'!D146</f>
        <v/>
      </c>
      <c r="E146" s="135" t="str">
        <f>'[5]Annex-20'!E146</f>
        <v/>
      </c>
      <c r="F146" s="135" t="str">
        <f>'[5]Annex-20'!F146</f>
        <v/>
      </c>
      <c r="G146" s="135" t="str">
        <f>'[5]Annex-20'!G146</f>
        <v/>
      </c>
      <c r="H146" s="135"/>
      <c r="I146" s="135" t="str">
        <f>'[5]Annex-20'!I146</f>
        <v/>
      </c>
      <c r="J146" s="135" t="str">
        <f>'[5]Annex-20'!J146</f>
        <v/>
      </c>
      <c r="K146" s="135" t="str">
        <f>'[5]Annex-20'!K146</f>
        <v/>
      </c>
      <c r="L146" s="135" t="str">
        <f>'[5]Annex-20'!L146</f>
        <v/>
      </c>
      <c r="M146" s="135" t="str">
        <f>'[5]Annex-20'!M146</f>
        <v/>
      </c>
    </row>
    <row r="147" spans="1:13" hidden="1" x14ac:dyDescent="0.3">
      <c r="A147" s="112" t="str">
        <f t="shared" ref="A147" si="104">IF(A144="","","STATE")</f>
        <v/>
      </c>
      <c r="B147" s="135" t="str">
        <f>'[5]Annex-20'!B147</f>
        <v/>
      </c>
      <c r="C147" s="135" t="str">
        <f>'[5]Annex-20'!C147</f>
        <v xml:space="preserve"> </v>
      </c>
      <c r="D147" s="135" t="str">
        <f>'[5]Annex-20'!D147</f>
        <v xml:space="preserve"> </v>
      </c>
      <c r="E147" s="135" t="str">
        <f>'[5]Annex-20'!E147</f>
        <v xml:space="preserve"> </v>
      </c>
      <c r="F147" s="135" t="str">
        <f>'[5]Annex-20'!F147</f>
        <v xml:space="preserve"> </v>
      </c>
      <c r="G147" s="135" t="str">
        <f>'[5]Annex-20'!G147</f>
        <v xml:space="preserve"> </v>
      </c>
      <c r="H147" s="135" t="str">
        <f>'[5]Annex-20'!H147</f>
        <v/>
      </c>
      <c r="I147" s="135" t="str">
        <f>'[5]Annex-20'!I147</f>
        <v xml:space="preserve"> </v>
      </c>
      <c r="J147" s="135" t="str">
        <f>'[5]Annex-20'!J147</f>
        <v xml:space="preserve"> </v>
      </c>
      <c r="K147" s="135" t="str">
        <f>'[5]Annex-20'!K147</f>
        <v xml:space="preserve"> </v>
      </c>
      <c r="L147" s="135" t="str">
        <f>'[5]Annex-20'!L147</f>
        <v xml:space="preserve"> </v>
      </c>
      <c r="M147" s="135" t="str">
        <f>'[5]Annex-20'!M147</f>
        <v xml:space="preserve"> </v>
      </c>
    </row>
    <row r="148" spans="1:13" hidden="1" x14ac:dyDescent="0.3">
      <c r="A148" s="72" t="str">
        <f t="shared" ref="A148" si="105">IF(A144="","","(%)")</f>
        <v/>
      </c>
      <c r="B148" s="135"/>
      <c r="C148" s="135" t="str">
        <f>'[5]Annex-20'!C148</f>
        <v/>
      </c>
      <c r="D148" s="135" t="str">
        <f>'[5]Annex-20'!D148</f>
        <v/>
      </c>
      <c r="E148" s="135" t="str">
        <f>'[5]Annex-20'!E148</f>
        <v/>
      </c>
      <c r="F148" s="135" t="str">
        <f>'[5]Annex-20'!F148</f>
        <v/>
      </c>
      <c r="G148" s="135" t="str">
        <f>'[5]Annex-20'!G148</f>
        <v/>
      </c>
      <c r="H148" s="135"/>
      <c r="I148" s="135" t="str">
        <f>'[5]Annex-20'!I148</f>
        <v/>
      </c>
      <c r="J148" s="135" t="str">
        <f>'[5]Annex-20'!J148</f>
        <v/>
      </c>
      <c r="K148" s="135" t="str">
        <f>'[5]Annex-20'!K148</f>
        <v/>
      </c>
      <c r="L148" s="135" t="str">
        <f>'[5]Annex-20'!L148</f>
        <v/>
      </c>
      <c r="M148" s="135" t="str">
        <f>'[5]Annex-20'!M148</f>
        <v/>
      </c>
    </row>
    <row r="149" spans="1:13" hidden="1" x14ac:dyDescent="0.3">
      <c r="A149" s="112" t="str">
        <f t="shared" ref="A149" si="106">IF(A144="","","POOLED")</f>
        <v/>
      </c>
      <c r="B149" s="135" t="str">
        <f>'[5]Annex-20'!B149</f>
        <v/>
      </c>
      <c r="C149" s="135" t="str">
        <f>'[5]Annex-20'!C149</f>
        <v xml:space="preserve"> </v>
      </c>
      <c r="D149" s="135" t="str">
        <f>'[5]Annex-20'!D149</f>
        <v xml:space="preserve"> </v>
      </c>
      <c r="E149" s="135" t="str">
        <f>'[5]Annex-20'!E149</f>
        <v xml:space="preserve"> </v>
      </c>
      <c r="F149" s="135" t="str">
        <f>'[5]Annex-20'!F149</f>
        <v xml:space="preserve"> </v>
      </c>
      <c r="G149" s="135" t="str">
        <f>'[5]Annex-20'!G149</f>
        <v xml:space="preserve"> </v>
      </c>
      <c r="H149" s="135" t="str">
        <f>'[5]Annex-20'!H149</f>
        <v/>
      </c>
      <c r="I149" s="135" t="str">
        <f>'[5]Annex-20'!I149</f>
        <v xml:space="preserve"> </v>
      </c>
      <c r="J149" s="135" t="str">
        <f>'[5]Annex-20'!J149</f>
        <v xml:space="preserve"> </v>
      </c>
      <c r="K149" s="135" t="str">
        <f>'[5]Annex-20'!K149</f>
        <v xml:space="preserve"> </v>
      </c>
      <c r="L149" s="135" t="str">
        <f>'[5]Annex-20'!L149</f>
        <v xml:space="preserve"> </v>
      </c>
      <c r="M149" s="135" t="str">
        <f>'[5]Annex-20'!M149</f>
        <v xml:space="preserve"> </v>
      </c>
    </row>
    <row r="150" spans="1:13" hidden="1" x14ac:dyDescent="0.3">
      <c r="A150" s="178" t="str">
        <f t="shared" ref="A150" si="107">IF(A144="","","(%)")</f>
        <v/>
      </c>
      <c r="B150" s="196"/>
      <c r="C150" s="196" t="str">
        <f>'[5]Annex-20'!C150</f>
        <v/>
      </c>
      <c r="D150" s="196" t="str">
        <f>'[5]Annex-20'!D150</f>
        <v/>
      </c>
      <c r="E150" s="196" t="str">
        <f>'[5]Annex-20'!E150</f>
        <v/>
      </c>
      <c r="F150" s="196" t="str">
        <f>'[5]Annex-20'!F150</f>
        <v/>
      </c>
      <c r="G150" s="196" t="str">
        <f>'[5]Annex-20'!G150</f>
        <v/>
      </c>
      <c r="H150" s="196"/>
      <c r="I150" s="196" t="str">
        <f>'[5]Annex-20'!I150</f>
        <v/>
      </c>
      <c r="J150" s="196" t="str">
        <f>'[5]Annex-20'!J150</f>
        <v/>
      </c>
      <c r="K150" s="196" t="str">
        <f>'[5]Annex-20'!K150</f>
        <v/>
      </c>
      <c r="L150" s="196" t="str">
        <f>'[5]Annex-20'!L150</f>
        <v/>
      </c>
      <c r="M150" s="196" t="str">
        <f>'[5]Annex-20'!M150</f>
        <v/>
      </c>
    </row>
    <row r="151" spans="1:13" hidden="1" x14ac:dyDescent="0.3">
      <c r="A151" s="192" t="str">
        <f>IF('[5]Crops CY'!$C$12=0,"",'[5]Crops CY'!$C$12)</f>
        <v/>
      </c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</row>
    <row r="152" spans="1:13" hidden="1" x14ac:dyDescent="0.3">
      <c r="A152" s="112" t="str">
        <f t="shared" ref="A152" si="108">IF(A151="","","CENTRAL" )</f>
        <v/>
      </c>
      <c r="B152" s="135" t="str">
        <f>'[5]Annex-20'!B152</f>
        <v/>
      </c>
      <c r="C152" s="135" t="str">
        <f>'[5]Annex-20'!C152</f>
        <v xml:space="preserve"> </v>
      </c>
      <c r="D152" s="135" t="str">
        <f>'[5]Annex-20'!D152</f>
        <v xml:space="preserve"> </v>
      </c>
      <c r="E152" s="135" t="str">
        <f>'[5]Annex-20'!E152</f>
        <v xml:space="preserve"> </v>
      </c>
      <c r="F152" s="135" t="str">
        <f>'[5]Annex-20'!F152</f>
        <v xml:space="preserve"> </v>
      </c>
      <c r="G152" s="135" t="str">
        <f>'[5]Annex-20'!G152</f>
        <v xml:space="preserve"> </v>
      </c>
      <c r="H152" s="135" t="str">
        <f>'[5]Annex-20'!H152</f>
        <v/>
      </c>
      <c r="I152" s="135" t="str">
        <f>'[5]Annex-20'!I152</f>
        <v xml:space="preserve"> </v>
      </c>
      <c r="J152" s="135" t="str">
        <f>'[5]Annex-20'!J152</f>
        <v xml:space="preserve"> </v>
      </c>
      <c r="K152" s="135" t="str">
        <f>'[5]Annex-20'!K152</f>
        <v xml:space="preserve"> </v>
      </c>
      <c r="L152" s="135" t="str">
        <f>'[5]Annex-20'!L152</f>
        <v xml:space="preserve"> </v>
      </c>
      <c r="M152" s="135" t="str">
        <f>'[5]Annex-20'!M152</f>
        <v xml:space="preserve"> </v>
      </c>
    </row>
    <row r="153" spans="1:13" hidden="1" x14ac:dyDescent="0.3">
      <c r="A153" s="72" t="str">
        <f t="shared" ref="A153" si="109">IF(A151="","","(%)")</f>
        <v/>
      </c>
      <c r="B153" s="135"/>
      <c r="C153" s="135" t="str">
        <f>'[5]Annex-20'!C153</f>
        <v/>
      </c>
      <c r="D153" s="135" t="str">
        <f>'[5]Annex-20'!D153</f>
        <v/>
      </c>
      <c r="E153" s="135" t="str">
        <f>'[5]Annex-20'!E153</f>
        <v/>
      </c>
      <c r="F153" s="135" t="str">
        <f>'[5]Annex-20'!F153</f>
        <v/>
      </c>
      <c r="G153" s="135" t="str">
        <f>'[5]Annex-20'!G153</f>
        <v/>
      </c>
      <c r="H153" s="135"/>
      <c r="I153" s="135" t="str">
        <f>'[5]Annex-20'!I153</f>
        <v/>
      </c>
      <c r="J153" s="135" t="str">
        <f>'[5]Annex-20'!J153</f>
        <v/>
      </c>
      <c r="K153" s="135" t="str">
        <f>'[5]Annex-20'!K153</f>
        <v/>
      </c>
      <c r="L153" s="135" t="str">
        <f>'[5]Annex-20'!L153</f>
        <v/>
      </c>
      <c r="M153" s="135" t="str">
        <f>'[5]Annex-20'!M153</f>
        <v/>
      </c>
    </row>
    <row r="154" spans="1:13" hidden="1" x14ac:dyDescent="0.3">
      <c r="A154" s="112" t="str">
        <f t="shared" ref="A154" si="110">IF(A151="","","STATE")</f>
        <v/>
      </c>
      <c r="B154" s="135" t="str">
        <f>'[5]Annex-20'!B154</f>
        <v/>
      </c>
      <c r="C154" s="135" t="str">
        <f>'[5]Annex-20'!C154</f>
        <v xml:space="preserve"> </v>
      </c>
      <c r="D154" s="135" t="str">
        <f>'[5]Annex-20'!D154</f>
        <v xml:space="preserve"> </v>
      </c>
      <c r="E154" s="135" t="str">
        <f>'[5]Annex-20'!E154</f>
        <v xml:space="preserve"> </v>
      </c>
      <c r="F154" s="135" t="str">
        <f>'[5]Annex-20'!F154</f>
        <v xml:space="preserve"> </v>
      </c>
      <c r="G154" s="135" t="str">
        <f>'[5]Annex-20'!G154</f>
        <v xml:space="preserve"> </v>
      </c>
      <c r="H154" s="135" t="str">
        <f>'[5]Annex-20'!H154</f>
        <v/>
      </c>
      <c r="I154" s="135" t="str">
        <f>'[5]Annex-20'!I154</f>
        <v xml:space="preserve"> </v>
      </c>
      <c r="J154" s="135" t="str">
        <f>'[5]Annex-20'!J154</f>
        <v xml:space="preserve"> </v>
      </c>
      <c r="K154" s="135" t="str">
        <f>'[5]Annex-20'!K154</f>
        <v xml:space="preserve"> </v>
      </c>
      <c r="L154" s="135" t="str">
        <f>'[5]Annex-20'!L154</f>
        <v xml:space="preserve"> </v>
      </c>
      <c r="M154" s="135" t="str">
        <f>'[5]Annex-20'!M154</f>
        <v xml:space="preserve"> </v>
      </c>
    </row>
    <row r="155" spans="1:13" hidden="1" x14ac:dyDescent="0.3">
      <c r="A155" s="72" t="str">
        <f t="shared" ref="A155" si="111">IF(A151="","","(%)")</f>
        <v/>
      </c>
      <c r="B155" s="135"/>
      <c r="C155" s="135" t="str">
        <f>'[5]Annex-20'!C155</f>
        <v/>
      </c>
      <c r="D155" s="135" t="str">
        <f>'[5]Annex-20'!D155</f>
        <v/>
      </c>
      <c r="E155" s="135" t="str">
        <f>'[5]Annex-20'!E155</f>
        <v/>
      </c>
      <c r="F155" s="135" t="str">
        <f>'[5]Annex-20'!F155</f>
        <v/>
      </c>
      <c r="G155" s="135" t="str">
        <f>'[5]Annex-20'!G155</f>
        <v/>
      </c>
      <c r="H155" s="135"/>
      <c r="I155" s="135" t="str">
        <f>'[5]Annex-20'!I155</f>
        <v/>
      </c>
      <c r="J155" s="135" t="str">
        <f>'[5]Annex-20'!J155</f>
        <v/>
      </c>
      <c r="K155" s="135" t="str">
        <f>'[5]Annex-20'!K155</f>
        <v/>
      </c>
      <c r="L155" s="135" t="str">
        <f>'[5]Annex-20'!L155</f>
        <v/>
      </c>
      <c r="M155" s="135" t="str">
        <f>'[5]Annex-20'!M155</f>
        <v/>
      </c>
    </row>
    <row r="156" spans="1:13" hidden="1" x14ac:dyDescent="0.3">
      <c r="A156" s="112" t="str">
        <f t="shared" ref="A156" si="112">IF(A151="","","POOLED")</f>
        <v/>
      </c>
      <c r="B156" s="135" t="str">
        <f>'[5]Annex-20'!B156</f>
        <v/>
      </c>
      <c r="C156" s="135" t="str">
        <f>'[5]Annex-20'!C156</f>
        <v xml:space="preserve"> </v>
      </c>
      <c r="D156" s="135" t="str">
        <f>'[5]Annex-20'!D156</f>
        <v xml:space="preserve"> </v>
      </c>
      <c r="E156" s="135" t="str">
        <f>'[5]Annex-20'!E156</f>
        <v xml:space="preserve"> </v>
      </c>
      <c r="F156" s="135" t="str">
        <f>'[5]Annex-20'!F156</f>
        <v xml:space="preserve"> </v>
      </c>
      <c r="G156" s="135" t="str">
        <f>'[5]Annex-20'!G156</f>
        <v xml:space="preserve"> </v>
      </c>
      <c r="H156" s="135" t="str">
        <f>'[5]Annex-20'!H156</f>
        <v/>
      </c>
      <c r="I156" s="135" t="str">
        <f>'[5]Annex-20'!I156</f>
        <v xml:space="preserve"> </v>
      </c>
      <c r="J156" s="135" t="str">
        <f>'[5]Annex-20'!J156</f>
        <v xml:space="preserve"> </v>
      </c>
      <c r="K156" s="135" t="str">
        <f>'[5]Annex-20'!K156</f>
        <v xml:space="preserve"> </v>
      </c>
      <c r="L156" s="135" t="str">
        <f>'[5]Annex-20'!L156</f>
        <v xml:space="preserve"> </v>
      </c>
      <c r="M156" s="135" t="str">
        <f>'[5]Annex-20'!M156</f>
        <v xml:space="preserve"> </v>
      </c>
    </row>
    <row r="157" spans="1:13" hidden="1" x14ac:dyDescent="0.3">
      <c r="A157" s="178" t="str">
        <f t="shared" ref="A157" si="113">IF(A151="","","(%)")</f>
        <v/>
      </c>
      <c r="B157" s="196"/>
      <c r="C157" s="196" t="str">
        <f>'[5]Annex-20'!C157</f>
        <v/>
      </c>
      <c r="D157" s="196" t="str">
        <f>'[5]Annex-20'!D157</f>
        <v/>
      </c>
      <c r="E157" s="196" t="str">
        <f>'[5]Annex-20'!E157</f>
        <v/>
      </c>
      <c r="F157" s="196" t="str">
        <f>'[5]Annex-20'!F157</f>
        <v/>
      </c>
      <c r="G157" s="196" t="str">
        <f>'[5]Annex-20'!G157</f>
        <v/>
      </c>
      <c r="H157" s="196"/>
      <c r="I157" s="196" t="str">
        <f>'[5]Annex-20'!I157</f>
        <v/>
      </c>
      <c r="J157" s="196" t="str">
        <f>'[5]Annex-20'!J157</f>
        <v/>
      </c>
      <c r="K157" s="196" t="str">
        <f>'[5]Annex-20'!K157</f>
        <v/>
      </c>
      <c r="L157" s="196" t="str">
        <f>'[5]Annex-20'!L157</f>
        <v/>
      </c>
      <c r="M157" s="196" t="str">
        <f>'[5]Annex-20'!M157</f>
        <v/>
      </c>
    </row>
    <row r="158" spans="1:13" hidden="1" x14ac:dyDescent="0.3">
      <c r="A158" s="192" t="str">
        <f>IF('[5]Crops CY'!$C$13=0,"",'[5]Crops CY'!$C$13)</f>
        <v/>
      </c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</row>
    <row r="159" spans="1:13" hidden="1" x14ac:dyDescent="0.3">
      <c r="A159" s="112" t="str">
        <f t="shared" ref="A159" si="114">IF(A158="","","CENTRAL" )</f>
        <v/>
      </c>
      <c r="B159" s="135" t="str">
        <f>'[5]Annex-20'!B159</f>
        <v/>
      </c>
      <c r="C159" s="135" t="str">
        <f>'[5]Annex-20'!C159</f>
        <v xml:space="preserve"> </v>
      </c>
      <c r="D159" s="135" t="str">
        <f>'[5]Annex-20'!D159</f>
        <v xml:space="preserve"> </v>
      </c>
      <c r="E159" s="135" t="str">
        <f>'[5]Annex-20'!E159</f>
        <v xml:space="preserve"> </v>
      </c>
      <c r="F159" s="135" t="str">
        <f>'[5]Annex-20'!F159</f>
        <v xml:space="preserve"> </v>
      </c>
      <c r="G159" s="135" t="str">
        <f>'[5]Annex-20'!G159</f>
        <v xml:space="preserve"> </v>
      </c>
      <c r="H159" s="135" t="str">
        <f>'[5]Annex-20'!H159</f>
        <v/>
      </c>
      <c r="I159" s="135" t="str">
        <f>'[5]Annex-20'!I159</f>
        <v xml:space="preserve"> </v>
      </c>
      <c r="J159" s="135" t="str">
        <f>'[5]Annex-20'!J159</f>
        <v xml:space="preserve"> </v>
      </c>
      <c r="K159" s="135" t="str">
        <f>'[5]Annex-20'!K159</f>
        <v xml:space="preserve"> </v>
      </c>
      <c r="L159" s="135" t="str">
        <f>'[5]Annex-20'!L159</f>
        <v xml:space="preserve"> </v>
      </c>
      <c r="M159" s="135" t="str">
        <f>'[5]Annex-20'!M159</f>
        <v xml:space="preserve"> </v>
      </c>
    </row>
    <row r="160" spans="1:13" hidden="1" x14ac:dyDescent="0.3">
      <c r="A160" s="72" t="str">
        <f t="shared" ref="A160" si="115">IF(A158="","","(%)")</f>
        <v/>
      </c>
      <c r="B160" s="135"/>
      <c r="C160" s="135" t="str">
        <f>'[5]Annex-20'!C160</f>
        <v/>
      </c>
      <c r="D160" s="135" t="str">
        <f>'[5]Annex-20'!D160</f>
        <v/>
      </c>
      <c r="E160" s="135" t="str">
        <f>'[5]Annex-20'!E160</f>
        <v/>
      </c>
      <c r="F160" s="135" t="str">
        <f>'[5]Annex-20'!F160</f>
        <v/>
      </c>
      <c r="G160" s="135" t="str">
        <f>'[5]Annex-20'!G160</f>
        <v/>
      </c>
      <c r="H160" s="135"/>
      <c r="I160" s="135" t="str">
        <f>'[5]Annex-20'!I160</f>
        <v/>
      </c>
      <c r="J160" s="135" t="str">
        <f>'[5]Annex-20'!J160</f>
        <v/>
      </c>
      <c r="K160" s="135" t="str">
        <f>'[5]Annex-20'!K160</f>
        <v/>
      </c>
      <c r="L160" s="135" t="str">
        <f>'[5]Annex-20'!L160</f>
        <v/>
      </c>
      <c r="M160" s="135" t="str">
        <f>'[5]Annex-20'!M160</f>
        <v/>
      </c>
    </row>
    <row r="161" spans="1:13" hidden="1" x14ac:dyDescent="0.3">
      <c r="A161" s="112" t="str">
        <f t="shared" ref="A161" si="116">IF(A158="","","STATE")</f>
        <v/>
      </c>
      <c r="B161" s="135" t="str">
        <f>'[5]Annex-20'!B161</f>
        <v/>
      </c>
      <c r="C161" s="135" t="str">
        <f>'[5]Annex-20'!C161</f>
        <v xml:space="preserve"> </v>
      </c>
      <c r="D161" s="135" t="str">
        <f>'[5]Annex-20'!D161</f>
        <v xml:space="preserve"> </v>
      </c>
      <c r="E161" s="135" t="str">
        <f>'[5]Annex-20'!E161</f>
        <v xml:space="preserve"> </v>
      </c>
      <c r="F161" s="135" t="str">
        <f>'[5]Annex-20'!F161</f>
        <v xml:space="preserve"> </v>
      </c>
      <c r="G161" s="135" t="str">
        <f>'[5]Annex-20'!G161</f>
        <v xml:space="preserve"> </v>
      </c>
      <c r="H161" s="135" t="str">
        <f>'[5]Annex-20'!H161</f>
        <v/>
      </c>
      <c r="I161" s="135" t="str">
        <f>'[5]Annex-20'!I161</f>
        <v xml:space="preserve"> </v>
      </c>
      <c r="J161" s="135" t="str">
        <f>'[5]Annex-20'!J161</f>
        <v xml:space="preserve"> </v>
      </c>
      <c r="K161" s="135" t="str">
        <f>'[5]Annex-20'!K161</f>
        <v xml:space="preserve"> </v>
      </c>
      <c r="L161" s="135" t="str">
        <f>'[5]Annex-20'!L161</f>
        <v xml:space="preserve"> </v>
      </c>
      <c r="M161" s="135" t="str">
        <f>'[5]Annex-20'!M161</f>
        <v xml:space="preserve"> </v>
      </c>
    </row>
    <row r="162" spans="1:13" hidden="1" x14ac:dyDescent="0.3">
      <c r="A162" s="72" t="str">
        <f t="shared" ref="A162" si="117">IF(A158="","","(%)")</f>
        <v/>
      </c>
      <c r="B162" s="135"/>
      <c r="C162" s="135" t="str">
        <f>'[5]Annex-20'!C162</f>
        <v/>
      </c>
      <c r="D162" s="135" t="str">
        <f>'[5]Annex-20'!D162</f>
        <v/>
      </c>
      <c r="E162" s="135" t="str">
        <f>'[5]Annex-20'!E162</f>
        <v/>
      </c>
      <c r="F162" s="135" t="str">
        <f>'[5]Annex-20'!F162</f>
        <v/>
      </c>
      <c r="G162" s="135" t="str">
        <f>'[5]Annex-20'!G162</f>
        <v/>
      </c>
      <c r="H162" s="135"/>
      <c r="I162" s="135" t="str">
        <f>'[5]Annex-20'!I162</f>
        <v/>
      </c>
      <c r="J162" s="135" t="str">
        <f>'[5]Annex-20'!J162</f>
        <v/>
      </c>
      <c r="K162" s="135" t="str">
        <f>'[5]Annex-20'!K162</f>
        <v/>
      </c>
      <c r="L162" s="135" t="str">
        <f>'[5]Annex-20'!L162</f>
        <v/>
      </c>
      <c r="M162" s="135" t="str">
        <f>'[5]Annex-20'!M162</f>
        <v/>
      </c>
    </row>
    <row r="163" spans="1:13" hidden="1" x14ac:dyDescent="0.3">
      <c r="A163" s="112" t="str">
        <f t="shared" ref="A163" si="118">IF(A158="","","POOLED")</f>
        <v/>
      </c>
      <c r="B163" s="135" t="str">
        <f>'[5]Annex-20'!B163</f>
        <v/>
      </c>
      <c r="C163" s="135" t="str">
        <f>'[5]Annex-20'!C163</f>
        <v xml:space="preserve"> </v>
      </c>
      <c r="D163" s="135" t="str">
        <f>'[5]Annex-20'!D163</f>
        <v xml:space="preserve"> </v>
      </c>
      <c r="E163" s="135" t="str">
        <f>'[5]Annex-20'!E163</f>
        <v xml:space="preserve"> </v>
      </c>
      <c r="F163" s="135" t="str">
        <f>'[5]Annex-20'!F163</f>
        <v xml:space="preserve"> </v>
      </c>
      <c r="G163" s="135" t="str">
        <f>'[5]Annex-20'!G163</f>
        <v xml:space="preserve"> </v>
      </c>
      <c r="H163" s="135" t="str">
        <f>'[5]Annex-20'!H163</f>
        <v/>
      </c>
      <c r="I163" s="135" t="str">
        <f>'[5]Annex-20'!I163</f>
        <v xml:space="preserve"> </v>
      </c>
      <c r="J163" s="135" t="str">
        <f>'[5]Annex-20'!J163</f>
        <v xml:space="preserve"> </v>
      </c>
      <c r="K163" s="135" t="str">
        <f>'[5]Annex-20'!K163</f>
        <v xml:space="preserve"> </v>
      </c>
      <c r="L163" s="135" t="str">
        <f>'[5]Annex-20'!L163</f>
        <v xml:space="preserve"> </v>
      </c>
      <c r="M163" s="135" t="str">
        <f>'[5]Annex-20'!M163</f>
        <v xml:space="preserve"> </v>
      </c>
    </row>
    <row r="164" spans="1:13" hidden="1" x14ac:dyDescent="0.3">
      <c r="A164" s="178" t="str">
        <f t="shared" ref="A164" si="119">IF(A158="","","(%)")</f>
        <v/>
      </c>
      <c r="B164" s="196"/>
      <c r="C164" s="196" t="str">
        <f>'[5]Annex-20'!C164</f>
        <v/>
      </c>
      <c r="D164" s="196" t="str">
        <f>'[5]Annex-20'!D164</f>
        <v/>
      </c>
      <c r="E164" s="196" t="str">
        <f>'[5]Annex-20'!E164</f>
        <v/>
      </c>
      <c r="F164" s="196" t="str">
        <f>'[5]Annex-20'!F164</f>
        <v/>
      </c>
      <c r="G164" s="196" t="str">
        <f>'[5]Annex-20'!G164</f>
        <v/>
      </c>
      <c r="H164" s="196"/>
      <c r="I164" s="196" t="str">
        <f>'[5]Annex-20'!I164</f>
        <v/>
      </c>
      <c r="J164" s="196" t="str">
        <f>'[5]Annex-20'!J164</f>
        <v/>
      </c>
      <c r="K164" s="196" t="str">
        <f>'[5]Annex-20'!K164</f>
        <v/>
      </c>
      <c r="L164" s="196" t="str">
        <f>'[5]Annex-20'!L164</f>
        <v/>
      </c>
      <c r="M164" s="196" t="str">
        <f>'[5]Annex-20'!M164</f>
        <v/>
      </c>
    </row>
    <row r="165" spans="1:13" hidden="1" x14ac:dyDescent="0.3">
      <c r="A165" s="192" t="str">
        <f>IF('[5]Crops CY'!$C$14=0,"",'[5]Crops CY'!$C$14)</f>
        <v/>
      </c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</row>
    <row r="166" spans="1:13" hidden="1" x14ac:dyDescent="0.3">
      <c r="A166" s="112" t="str">
        <f t="shared" ref="A166" si="120">IF(A165="","","CENTRAL" )</f>
        <v/>
      </c>
      <c r="B166" s="135" t="str">
        <f>'[5]Annex-20'!B166</f>
        <v/>
      </c>
      <c r="C166" s="135" t="str">
        <f>'[5]Annex-20'!C166</f>
        <v xml:space="preserve"> </v>
      </c>
      <c r="D166" s="135" t="str">
        <f>'[5]Annex-20'!D166</f>
        <v xml:space="preserve"> </v>
      </c>
      <c r="E166" s="135" t="str">
        <f>'[5]Annex-20'!E166</f>
        <v xml:space="preserve"> </v>
      </c>
      <c r="F166" s="135" t="str">
        <f>'[5]Annex-20'!F166</f>
        <v xml:space="preserve"> </v>
      </c>
      <c r="G166" s="135" t="str">
        <f>'[5]Annex-20'!G166</f>
        <v xml:space="preserve"> </v>
      </c>
      <c r="H166" s="135" t="str">
        <f>'[5]Annex-20'!H166</f>
        <v/>
      </c>
      <c r="I166" s="135" t="str">
        <f>'[5]Annex-20'!I166</f>
        <v xml:space="preserve"> </v>
      </c>
      <c r="J166" s="135" t="str">
        <f>'[5]Annex-20'!J166</f>
        <v xml:space="preserve"> </v>
      </c>
      <c r="K166" s="135" t="str">
        <f>'[5]Annex-20'!K166</f>
        <v xml:space="preserve"> </v>
      </c>
      <c r="L166" s="135" t="str">
        <f>'[5]Annex-20'!L166</f>
        <v xml:space="preserve"> </v>
      </c>
      <c r="M166" s="135" t="str">
        <f>'[5]Annex-20'!M166</f>
        <v xml:space="preserve"> </v>
      </c>
    </row>
    <row r="167" spans="1:13" hidden="1" x14ac:dyDescent="0.3">
      <c r="A167" s="72" t="str">
        <f t="shared" ref="A167" si="121">IF(A165="","","(%)")</f>
        <v/>
      </c>
      <c r="B167" s="135"/>
      <c r="C167" s="135" t="str">
        <f>'[5]Annex-20'!C167</f>
        <v/>
      </c>
      <c r="D167" s="135" t="str">
        <f>'[5]Annex-20'!D167</f>
        <v/>
      </c>
      <c r="E167" s="135" t="str">
        <f>'[5]Annex-20'!E167</f>
        <v/>
      </c>
      <c r="F167" s="135" t="str">
        <f>'[5]Annex-20'!F167</f>
        <v/>
      </c>
      <c r="G167" s="135" t="str">
        <f>'[5]Annex-20'!G167</f>
        <v/>
      </c>
      <c r="H167" s="135"/>
      <c r="I167" s="135" t="str">
        <f>'[5]Annex-20'!I167</f>
        <v/>
      </c>
      <c r="J167" s="135" t="str">
        <f>'[5]Annex-20'!J167</f>
        <v/>
      </c>
      <c r="K167" s="135" t="str">
        <f>'[5]Annex-20'!K167</f>
        <v/>
      </c>
      <c r="L167" s="135" t="str">
        <f>'[5]Annex-20'!L167</f>
        <v/>
      </c>
      <c r="M167" s="135" t="str">
        <f>'[5]Annex-20'!M167</f>
        <v/>
      </c>
    </row>
    <row r="168" spans="1:13" hidden="1" x14ac:dyDescent="0.3">
      <c r="A168" s="112" t="str">
        <f t="shared" ref="A168" si="122">IF(A165="","","STATE")</f>
        <v/>
      </c>
      <c r="B168" s="135" t="str">
        <f>'[5]Annex-20'!B168</f>
        <v/>
      </c>
      <c r="C168" s="135" t="str">
        <f>'[5]Annex-20'!C168</f>
        <v xml:space="preserve"> </v>
      </c>
      <c r="D168" s="135" t="str">
        <f>'[5]Annex-20'!D168</f>
        <v xml:space="preserve"> </v>
      </c>
      <c r="E168" s="135" t="str">
        <f>'[5]Annex-20'!E168</f>
        <v xml:space="preserve"> </v>
      </c>
      <c r="F168" s="135" t="str">
        <f>'[5]Annex-20'!F168</f>
        <v xml:space="preserve"> </v>
      </c>
      <c r="G168" s="135" t="str">
        <f>'[5]Annex-20'!G168</f>
        <v xml:space="preserve"> </v>
      </c>
      <c r="H168" s="135" t="str">
        <f>'[5]Annex-20'!H168</f>
        <v/>
      </c>
      <c r="I168" s="135" t="str">
        <f>'[5]Annex-20'!I168</f>
        <v xml:space="preserve"> </v>
      </c>
      <c r="J168" s="135" t="str">
        <f>'[5]Annex-20'!J168</f>
        <v xml:space="preserve"> </v>
      </c>
      <c r="K168" s="135" t="str">
        <f>'[5]Annex-20'!K168</f>
        <v xml:space="preserve"> </v>
      </c>
      <c r="L168" s="135" t="str">
        <f>'[5]Annex-20'!L168</f>
        <v xml:space="preserve"> </v>
      </c>
      <c r="M168" s="135" t="str">
        <f>'[5]Annex-20'!M168</f>
        <v xml:space="preserve"> </v>
      </c>
    </row>
    <row r="169" spans="1:13" hidden="1" x14ac:dyDescent="0.3">
      <c r="A169" s="72" t="str">
        <f t="shared" ref="A169" si="123">IF(A165="","","(%)")</f>
        <v/>
      </c>
      <c r="B169" s="135"/>
      <c r="C169" s="135" t="str">
        <f>'[5]Annex-20'!C169</f>
        <v/>
      </c>
      <c r="D169" s="135" t="str">
        <f>'[5]Annex-20'!D169</f>
        <v/>
      </c>
      <c r="E169" s="135" t="str">
        <f>'[5]Annex-20'!E169</f>
        <v/>
      </c>
      <c r="F169" s="135" t="str">
        <f>'[5]Annex-20'!F169</f>
        <v/>
      </c>
      <c r="G169" s="135" t="str">
        <f>'[5]Annex-20'!G169</f>
        <v/>
      </c>
      <c r="H169" s="135"/>
      <c r="I169" s="135" t="str">
        <f>'[5]Annex-20'!I169</f>
        <v/>
      </c>
      <c r="J169" s="135" t="str">
        <f>'[5]Annex-20'!J169</f>
        <v/>
      </c>
      <c r="K169" s="135" t="str">
        <f>'[5]Annex-20'!K169</f>
        <v/>
      </c>
      <c r="L169" s="135" t="str">
        <f>'[5]Annex-20'!L169</f>
        <v/>
      </c>
      <c r="M169" s="135" t="str">
        <f>'[5]Annex-20'!M169</f>
        <v/>
      </c>
    </row>
    <row r="170" spans="1:13" hidden="1" x14ac:dyDescent="0.3">
      <c r="A170" s="112" t="str">
        <f t="shared" ref="A170" si="124">IF(A165="","","POOLED")</f>
        <v/>
      </c>
      <c r="B170" s="135" t="str">
        <f>'[5]Annex-20'!B170</f>
        <v/>
      </c>
      <c r="C170" s="135" t="str">
        <f>'[5]Annex-20'!C170</f>
        <v xml:space="preserve"> </v>
      </c>
      <c r="D170" s="135" t="str">
        <f>'[5]Annex-20'!D170</f>
        <v xml:space="preserve"> </v>
      </c>
      <c r="E170" s="135" t="str">
        <f>'[5]Annex-20'!E170</f>
        <v xml:space="preserve"> </v>
      </c>
      <c r="F170" s="135" t="str">
        <f>'[5]Annex-20'!F170</f>
        <v xml:space="preserve"> </v>
      </c>
      <c r="G170" s="135" t="str">
        <f>'[5]Annex-20'!G170</f>
        <v xml:space="preserve"> </v>
      </c>
      <c r="H170" s="135" t="str">
        <f>'[5]Annex-20'!H170</f>
        <v/>
      </c>
      <c r="I170" s="135" t="str">
        <f>'[5]Annex-20'!I170</f>
        <v xml:space="preserve"> </v>
      </c>
      <c r="J170" s="135" t="str">
        <f>'[5]Annex-20'!J170</f>
        <v xml:space="preserve"> </v>
      </c>
      <c r="K170" s="135" t="str">
        <f>'[5]Annex-20'!K170</f>
        <v xml:space="preserve"> </v>
      </c>
      <c r="L170" s="135" t="str">
        <f>'[5]Annex-20'!L170</f>
        <v xml:space="preserve"> </v>
      </c>
      <c r="M170" s="135" t="str">
        <f>'[5]Annex-20'!M170</f>
        <v xml:space="preserve"> </v>
      </c>
    </row>
    <row r="171" spans="1:13" hidden="1" x14ac:dyDescent="0.3">
      <c r="A171" s="178" t="str">
        <f t="shared" ref="A171" si="125">IF(A165="","","(%)")</f>
        <v/>
      </c>
      <c r="B171" s="196"/>
      <c r="C171" s="196" t="str">
        <f>'[5]Annex-20'!C171</f>
        <v/>
      </c>
      <c r="D171" s="196" t="str">
        <f>'[5]Annex-20'!D171</f>
        <v/>
      </c>
      <c r="E171" s="196" t="str">
        <f>'[5]Annex-20'!E171</f>
        <v/>
      </c>
      <c r="F171" s="196" t="str">
        <f>'[5]Annex-20'!F171</f>
        <v/>
      </c>
      <c r="G171" s="196" t="str">
        <f>'[5]Annex-20'!G171</f>
        <v/>
      </c>
      <c r="H171" s="196"/>
      <c r="I171" s="196" t="str">
        <f>'[5]Annex-20'!I171</f>
        <v/>
      </c>
      <c r="J171" s="196" t="str">
        <f>'[5]Annex-20'!J171</f>
        <v/>
      </c>
      <c r="K171" s="196" t="str">
        <f>'[5]Annex-20'!K171</f>
        <v/>
      </c>
      <c r="L171" s="196" t="str">
        <f>'[5]Annex-20'!L171</f>
        <v/>
      </c>
      <c r="M171" s="196" t="str">
        <f>'[5]Annex-20'!M171</f>
        <v/>
      </c>
    </row>
    <row r="172" spans="1:13" hidden="1" x14ac:dyDescent="0.3">
      <c r="A172" s="192" t="str">
        <f>IF('[5]Crops CY'!$C$15=0,"",'[5]Crops CY'!$C$15)</f>
        <v/>
      </c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</row>
    <row r="173" spans="1:13" hidden="1" x14ac:dyDescent="0.3">
      <c r="A173" s="112" t="str">
        <f t="shared" ref="A173" si="126">IF(A172="","","CENTRAL" )</f>
        <v/>
      </c>
      <c r="B173" s="135" t="str">
        <f>'[5]Annex-20'!B173</f>
        <v/>
      </c>
      <c r="C173" s="135" t="str">
        <f>'[5]Annex-20'!C173</f>
        <v xml:space="preserve"> </v>
      </c>
      <c r="D173" s="135" t="str">
        <f>'[5]Annex-20'!D173</f>
        <v xml:space="preserve"> </v>
      </c>
      <c r="E173" s="135" t="str">
        <f>'[5]Annex-20'!E173</f>
        <v xml:space="preserve"> </v>
      </c>
      <c r="F173" s="135" t="str">
        <f>'[5]Annex-20'!F173</f>
        <v xml:space="preserve"> </v>
      </c>
      <c r="G173" s="135" t="str">
        <f>'[5]Annex-20'!G173</f>
        <v xml:space="preserve"> </v>
      </c>
      <c r="H173" s="135" t="str">
        <f>'[5]Annex-20'!H173</f>
        <v/>
      </c>
      <c r="I173" s="135" t="str">
        <f>'[5]Annex-20'!I173</f>
        <v xml:space="preserve"> </v>
      </c>
      <c r="J173" s="135" t="str">
        <f>'[5]Annex-20'!J173</f>
        <v xml:space="preserve"> </v>
      </c>
      <c r="K173" s="135" t="str">
        <f>'[5]Annex-20'!K173</f>
        <v xml:space="preserve"> </v>
      </c>
      <c r="L173" s="135" t="str">
        <f>'[5]Annex-20'!L173</f>
        <v xml:space="preserve"> </v>
      </c>
      <c r="M173" s="135" t="str">
        <f>'[5]Annex-20'!M173</f>
        <v xml:space="preserve"> </v>
      </c>
    </row>
    <row r="174" spans="1:13" hidden="1" x14ac:dyDescent="0.3">
      <c r="A174" s="72" t="str">
        <f t="shared" ref="A174" si="127">IF(A172="","","(%)")</f>
        <v/>
      </c>
      <c r="B174" s="135"/>
      <c r="C174" s="135" t="str">
        <f>'[5]Annex-20'!C174</f>
        <v/>
      </c>
      <c r="D174" s="135" t="str">
        <f>'[5]Annex-20'!D174</f>
        <v/>
      </c>
      <c r="E174" s="135" t="str">
        <f>'[5]Annex-20'!E174</f>
        <v/>
      </c>
      <c r="F174" s="135" t="str">
        <f>'[5]Annex-20'!F174</f>
        <v/>
      </c>
      <c r="G174" s="135" t="str">
        <f>'[5]Annex-20'!G174</f>
        <v/>
      </c>
      <c r="H174" s="135"/>
      <c r="I174" s="135" t="str">
        <f>'[5]Annex-20'!I174</f>
        <v/>
      </c>
      <c r="J174" s="135" t="str">
        <f>'[5]Annex-20'!J174</f>
        <v/>
      </c>
      <c r="K174" s="135" t="str">
        <f>'[5]Annex-20'!K174</f>
        <v/>
      </c>
      <c r="L174" s="135" t="str">
        <f>'[5]Annex-20'!L174</f>
        <v/>
      </c>
      <c r="M174" s="135" t="str">
        <f>'[5]Annex-20'!M174</f>
        <v/>
      </c>
    </row>
    <row r="175" spans="1:13" hidden="1" x14ac:dyDescent="0.3">
      <c r="A175" s="112" t="str">
        <f t="shared" ref="A175" si="128">IF(A172="","","STATE")</f>
        <v/>
      </c>
      <c r="B175" s="135" t="str">
        <f>'[5]Annex-20'!B175</f>
        <v/>
      </c>
      <c r="C175" s="135" t="str">
        <f>'[5]Annex-20'!C175</f>
        <v xml:space="preserve"> </v>
      </c>
      <c r="D175" s="135" t="str">
        <f>'[5]Annex-20'!D175</f>
        <v xml:space="preserve"> </v>
      </c>
      <c r="E175" s="135" t="str">
        <f>'[5]Annex-20'!E175</f>
        <v xml:space="preserve"> </v>
      </c>
      <c r="F175" s="135" t="str">
        <f>'[5]Annex-20'!F175</f>
        <v xml:space="preserve"> </v>
      </c>
      <c r="G175" s="135" t="str">
        <f>'[5]Annex-20'!G175</f>
        <v xml:space="preserve"> </v>
      </c>
      <c r="H175" s="135" t="str">
        <f>'[5]Annex-20'!H175</f>
        <v/>
      </c>
      <c r="I175" s="135" t="str">
        <f>'[5]Annex-20'!I175</f>
        <v xml:space="preserve"> </v>
      </c>
      <c r="J175" s="135" t="str">
        <f>'[5]Annex-20'!J175</f>
        <v xml:space="preserve"> </v>
      </c>
      <c r="K175" s="135" t="str">
        <f>'[5]Annex-20'!K175</f>
        <v xml:space="preserve"> </v>
      </c>
      <c r="L175" s="135" t="str">
        <f>'[5]Annex-20'!L175</f>
        <v xml:space="preserve"> </v>
      </c>
      <c r="M175" s="135" t="str">
        <f>'[5]Annex-20'!M175</f>
        <v xml:space="preserve"> </v>
      </c>
    </row>
    <row r="176" spans="1:13" hidden="1" x14ac:dyDescent="0.3">
      <c r="A176" s="72" t="str">
        <f t="shared" ref="A176" si="129">IF(A172="","","(%)")</f>
        <v/>
      </c>
      <c r="B176" s="135"/>
      <c r="C176" s="135" t="str">
        <f>'[5]Annex-20'!C176</f>
        <v/>
      </c>
      <c r="D176" s="135" t="str">
        <f>'[5]Annex-20'!D176</f>
        <v/>
      </c>
      <c r="E176" s="135" t="str">
        <f>'[5]Annex-20'!E176</f>
        <v/>
      </c>
      <c r="F176" s="135" t="str">
        <f>'[5]Annex-20'!F176</f>
        <v/>
      </c>
      <c r="G176" s="135" t="str">
        <f>'[5]Annex-20'!G176</f>
        <v/>
      </c>
      <c r="H176" s="135"/>
      <c r="I176" s="135" t="str">
        <f>'[5]Annex-20'!I176</f>
        <v/>
      </c>
      <c r="J176" s="135" t="str">
        <f>'[5]Annex-20'!J176</f>
        <v/>
      </c>
      <c r="K176" s="135" t="str">
        <f>'[5]Annex-20'!K176</f>
        <v/>
      </c>
      <c r="L176" s="135" t="str">
        <f>'[5]Annex-20'!L176</f>
        <v/>
      </c>
      <c r="M176" s="135" t="str">
        <f>'[5]Annex-20'!M176</f>
        <v/>
      </c>
    </row>
    <row r="177" spans="1:13" hidden="1" x14ac:dyDescent="0.3">
      <c r="A177" s="112" t="str">
        <f t="shared" ref="A177" si="130">IF(A172="","","POOLED")</f>
        <v/>
      </c>
      <c r="B177" s="135" t="str">
        <f>'[5]Annex-20'!B177</f>
        <v/>
      </c>
      <c r="C177" s="135" t="str">
        <f>'[5]Annex-20'!C177</f>
        <v xml:space="preserve"> </v>
      </c>
      <c r="D177" s="135" t="str">
        <f>'[5]Annex-20'!D177</f>
        <v xml:space="preserve"> </v>
      </c>
      <c r="E177" s="135" t="str">
        <f>'[5]Annex-20'!E177</f>
        <v xml:space="preserve"> </v>
      </c>
      <c r="F177" s="135" t="str">
        <f>'[5]Annex-20'!F177</f>
        <v xml:space="preserve"> </v>
      </c>
      <c r="G177" s="135" t="str">
        <f>'[5]Annex-20'!G177</f>
        <v xml:space="preserve"> </v>
      </c>
      <c r="H177" s="135" t="str">
        <f>'[5]Annex-20'!H177</f>
        <v/>
      </c>
      <c r="I177" s="135" t="str">
        <f>'[5]Annex-20'!I177</f>
        <v xml:space="preserve"> </v>
      </c>
      <c r="J177" s="135" t="str">
        <f>'[5]Annex-20'!J177</f>
        <v xml:space="preserve"> </v>
      </c>
      <c r="K177" s="135" t="str">
        <f>'[5]Annex-20'!K177</f>
        <v xml:space="preserve"> </v>
      </c>
      <c r="L177" s="135" t="str">
        <f>'[5]Annex-20'!L177</f>
        <v xml:space="preserve"> </v>
      </c>
      <c r="M177" s="135" t="str">
        <f>'[5]Annex-20'!M177</f>
        <v xml:space="preserve"> </v>
      </c>
    </row>
    <row r="178" spans="1:13" hidden="1" x14ac:dyDescent="0.3">
      <c r="A178" s="178" t="str">
        <f t="shared" ref="A178" si="131">IF(A172="","","(%)")</f>
        <v/>
      </c>
      <c r="B178" s="196"/>
      <c r="C178" s="196" t="str">
        <f>'[5]Annex-20'!C178</f>
        <v/>
      </c>
      <c r="D178" s="196" t="str">
        <f>'[5]Annex-20'!D178</f>
        <v/>
      </c>
      <c r="E178" s="196" t="str">
        <f>'[5]Annex-20'!E178</f>
        <v/>
      </c>
      <c r="F178" s="196" t="str">
        <f>'[5]Annex-20'!F178</f>
        <v/>
      </c>
      <c r="G178" s="196" t="str">
        <f>'[5]Annex-20'!G178</f>
        <v/>
      </c>
      <c r="H178" s="196"/>
      <c r="I178" s="196" t="str">
        <f>'[5]Annex-20'!I178</f>
        <v/>
      </c>
      <c r="J178" s="196" t="str">
        <f>'[5]Annex-20'!J178</f>
        <v/>
      </c>
      <c r="K178" s="196" t="str">
        <f>'[5]Annex-20'!K178</f>
        <v/>
      </c>
      <c r="L178" s="196" t="str">
        <f>'[5]Annex-20'!L178</f>
        <v/>
      </c>
      <c r="M178" s="196" t="str">
        <f>'[5]Annex-20'!M178</f>
        <v/>
      </c>
    </row>
    <row r="179" spans="1:13" hidden="1" x14ac:dyDescent="0.3">
      <c r="A179" s="192" t="str">
        <f>IF('[5]Crops CY'!$C$16=0,"",'[5]Crops CY'!$C$16)</f>
        <v/>
      </c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</row>
    <row r="180" spans="1:13" hidden="1" x14ac:dyDescent="0.3">
      <c r="A180" s="112" t="str">
        <f t="shared" ref="A180" si="132">IF(A179="","","CENTRAL" )</f>
        <v/>
      </c>
      <c r="B180" s="135" t="str">
        <f>'[5]Annex-20'!B180</f>
        <v/>
      </c>
      <c r="C180" s="135" t="str">
        <f>'[5]Annex-20'!C180</f>
        <v xml:space="preserve"> </v>
      </c>
      <c r="D180" s="135" t="str">
        <f>'[5]Annex-20'!D180</f>
        <v xml:space="preserve"> </v>
      </c>
      <c r="E180" s="135" t="str">
        <f>'[5]Annex-20'!E180</f>
        <v xml:space="preserve"> </v>
      </c>
      <c r="F180" s="135" t="str">
        <f>'[5]Annex-20'!F180</f>
        <v xml:space="preserve"> </v>
      </c>
      <c r="G180" s="135" t="str">
        <f>'[5]Annex-20'!G180</f>
        <v xml:space="preserve"> </v>
      </c>
      <c r="H180" s="135" t="str">
        <f>'[5]Annex-20'!H180</f>
        <v/>
      </c>
      <c r="I180" s="135" t="str">
        <f>'[5]Annex-20'!I180</f>
        <v xml:space="preserve"> </v>
      </c>
      <c r="J180" s="135" t="str">
        <f>'[5]Annex-20'!J180</f>
        <v xml:space="preserve"> </v>
      </c>
      <c r="K180" s="135" t="str">
        <f>'[5]Annex-20'!K180</f>
        <v xml:space="preserve"> </v>
      </c>
      <c r="L180" s="135" t="str">
        <f>'[5]Annex-20'!L180</f>
        <v xml:space="preserve"> </v>
      </c>
      <c r="M180" s="135" t="str">
        <f>'[5]Annex-20'!M180</f>
        <v xml:space="preserve"> </v>
      </c>
    </row>
    <row r="181" spans="1:13" hidden="1" x14ac:dyDescent="0.3">
      <c r="A181" s="72" t="str">
        <f t="shared" ref="A181" si="133">IF(A179="","","(%)")</f>
        <v/>
      </c>
      <c r="B181" s="135"/>
      <c r="C181" s="135" t="str">
        <f>'[5]Annex-20'!C181</f>
        <v/>
      </c>
      <c r="D181" s="135" t="str">
        <f>'[5]Annex-20'!D181</f>
        <v/>
      </c>
      <c r="E181" s="135" t="str">
        <f>'[5]Annex-20'!E181</f>
        <v/>
      </c>
      <c r="F181" s="135" t="str">
        <f>'[5]Annex-20'!F181</f>
        <v/>
      </c>
      <c r="G181" s="135" t="str">
        <f>'[5]Annex-20'!G181</f>
        <v/>
      </c>
      <c r="H181" s="135"/>
      <c r="I181" s="135" t="str">
        <f>'[5]Annex-20'!I181</f>
        <v/>
      </c>
      <c r="J181" s="135" t="str">
        <f>'[5]Annex-20'!J181</f>
        <v/>
      </c>
      <c r="K181" s="135" t="str">
        <f>'[5]Annex-20'!K181</f>
        <v/>
      </c>
      <c r="L181" s="135" t="str">
        <f>'[5]Annex-20'!L181</f>
        <v/>
      </c>
      <c r="M181" s="135" t="str">
        <f>'[5]Annex-20'!M181</f>
        <v/>
      </c>
    </row>
    <row r="182" spans="1:13" hidden="1" x14ac:dyDescent="0.3">
      <c r="A182" s="112" t="str">
        <f t="shared" ref="A182" si="134">IF(A179="","","STATE")</f>
        <v/>
      </c>
      <c r="B182" s="135" t="str">
        <f>'[5]Annex-20'!B182</f>
        <v/>
      </c>
      <c r="C182" s="135" t="str">
        <f>'[5]Annex-20'!C182</f>
        <v xml:space="preserve"> </v>
      </c>
      <c r="D182" s="135" t="str">
        <f>'[5]Annex-20'!D182</f>
        <v xml:space="preserve"> </v>
      </c>
      <c r="E182" s="135" t="str">
        <f>'[5]Annex-20'!E182</f>
        <v xml:space="preserve"> </v>
      </c>
      <c r="F182" s="135" t="str">
        <f>'[5]Annex-20'!F182</f>
        <v xml:space="preserve"> </v>
      </c>
      <c r="G182" s="135" t="str">
        <f>'[5]Annex-20'!G182</f>
        <v xml:space="preserve"> </v>
      </c>
      <c r="H182" s="135" t="str">
        <f>'[5]Annex-20'!H182</f>
        <v/>
      </c>
      <c r="I182" s="135" t="str">
        <f>'[5]Annex-20'!I182</f>
        <v xml:space="preserve"> </v>
      </c>
      <c r="J182" s="135" t="str">
        <f>'[5]Annex-20'!J182</f>
        <v xml:space="preserve"> </v>
      </c>
      <c r="K182" s="135" t="str">
        <f>'[5]Annex-20'!K182</f>
        <v xml:space="preserve"> </v>
      </c>
      <c r="L182" s="135" t="str">
        <f>'[5]Annex-20'!L182</f>
        <v xml:space="preserve"> </v>
      </c>
      <c r="M182" s="135" t="str">
        <f>'[5]Annex-20'!M182</f>
        <v xml:space="preserve"> </v>
      </c>
    </row>
    <row r="183" spans="1:13" hidden="1" x14ac:dyDescent="0.3">
      <c r="A183" s="72" t="str">
        <f t="shared" ref="A183" si="135">IF(A179="","","(%)")</f>
        <v/>
      </c>
      <c r="B183" s="135"/>
      <c r="C183" s="135" t="str">
        <f>'[5]Annex-20'!C183</f>
        <v/>
      </c>
      <c r="D183" s="135" t="str">
        <f>'[5]Annex-20'!D183</f>
        <v/>
      </c>
      <c r="E183" s="135" t="str">
        <f>'[5]Annex-20'!E183</f>
        <v/>
      </c>
      <c r="F183" s="135" t="str">
        <f>'[5]Annex-20'!F183</f>
        <v/>
      </c>
      <c r="G183" s="135" t="str">
        <f>'[5]Annex-20'!G183</f>
        <v/>
      </c>
      <c r="H183" s="135"/>
      <c r="I183" s="135" t="str">
        <f>'[5]Annex-20'!I183</f>
        <v/>
      </c>
      <c r="J183" s="135" t="str">
        <f>'[5]Annex-20'!J183</f>
        <v/>
      </c>
      <c r="K183" s="135" t="str">
        <f>'[5]Annex-20'!K183</f>
        <v/>
      </c>
      <c r="L183" s="135" t="str">
        <f>'[5]Annex-20'!L183</f>
        <v/>
      </c>
      <c r="M183" s="135" t="str">
        <f>'[5]Annex-20'!M183</f>
        <v/>
      </c>
    </row>
    <row r="184" spans="1:13" hidden="1" x14ac:dyDescent="0.3">
      <c r="A184" s="112" t="str">
        <f t="shared" ref="A184" si="136">IF(A179="","","POOLED")</f>
        <v/>
      </c>
      <c r="B184" s="135" t="str">
        <f>'[5]Annex-20'!B184</f>
        <v/>
      </c>
      <c r="C184" s="135" t="str">
        <f>'[5]Annex-20'!C184</f>
        <v xml:space="preserve"> </v>
      </c>
      <c r="D184" s="135" t="str">
        <f>'[5]Annex-20'!D184</f>
        <v xml:space="preserve"> </v>
      </c>
      <c r="E184" s="135" t="str">
        <f>'[5]Annex-20'!E184</f>
        <v xml:space="preserve"> </v>
      </c>
      <c r="F184" s="135" t="str">
        <f>'[5]Annex-20'!F184</f>
        <v xml:space="preserve"> </v>
      </c>
      <c r="G184" s="135" t="str">
        <f>'[5]Annex-20'!G184</f>
        <v xml:space="preserve"> </v>
      </c>
      <c r="H184" s="135" t="str">
        <f>'[5]Annex-20'!H184</f>
        <v/>
      </c>
      <c r="I184" s="135" t="str">
        <f>'[5]Annex-20'!I184</f>
        <v xml:space="preserve"> </v>
      </c>
      <c r="J184" s="135" t="str">
        <f>'[5]Annex-20'!J184</f>
        <v xml:space="preserve"> </v>
      </c>
      <c r="K184" s="135" t="str">
        <f>'[5]Annex-20'!K184</f>
        <v xml:space="preserve"> </v>
      </c>
      <c r="L184" s="135" t="str">
        <f>'[5]Annex-20'!L184</f>
        <v xml:space="preserve"> </v>
      </c>
      <c r="M184" s="135" t="str">
        <f>'[5]Annex-20'!M184</f>
        <v xml:space="preserve"> </v>
      </c>
    </row>
    <row r="185" spans="1:13" hidden="1" x14ac:dyDescent="0.3">
      <c r="A185" s="178" t="str">
        <f t="shared" ref="A185" si="137">IF(A179="","","(%)")</f>
        <v/>
      </c>
      <c r="B185" s="196"/>
      <c r="C185" s="196" t="str">
        <f>'[5]Annex-20'!C185</f>
        <v/>
      </c>
      <c r="D185" s="196" t="str">
        <f>'[5]Annex-20'!D185</f>
        <v/>
      </c>
      <c r="E185" s="196" t="str">
        <f>'[5]Annex-20'!E185</f>
        <v/>
      </c>
      <c r="F185" s="196" t="str">
        <f>'[5]Annex-20'!F185</f>
        <v/>
      </c>
      <c r="G185" s="196" t="str">
        <f>'[5]Annex-20'!G185</f>
        <v/>
      </c>
      <c r="H185" s="196"/>
      <c r="I185" s="196" t="str">
        <f>'[5]Annex-20'!I185</f>
        <v/>
      </c>
      <c r="J185" s="196" t="str">
        <f>'[5]Annex-20'!J185</f>
        <v/>
      </c>
      <c r="K185" s="196" t="str">
        <f>'[5]Annex-20'!K185</f>
        <v/>
      </c>
      <c r="L185" s="196" t="str">
        <f>'[5]Annex-20'!L185</f>
        <v/>
      </c>
      <c r="M185" s="196" t="str">
        <f>'[5]Annex-20'!M185</f>
        <v/>
      </c>
    </row>
    <row r="186" spans="1:13" hidden="1" x14ac:dyDescent="0.3">
      <c r="A186" s="192" t="str">
        <f>IF('[5]Crops CY'!$C$17=0,"",'[5]Crops CY'!$C$17)</f>
        <v/>
      </c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</row>
    <row r="187" spans="1:13" hidden="1" x14ac:dyDescent="0.3">
      <c r="A187" s="112" t="str">
        <f t="shared" ref="A187" si="138">IF(A186="","","CENTRAL" )</f>
        <v/>
      </c>
      <c r="B187" s="135" t="str">
        <f>'[5]Annex-20'!B187</f>
        <v/>
      </c>
      <c r="C187" s="135" t="str">
        <f>'[5]Annex-20'!C187</f>
        <v xml:space="preserve"> </v>
      </c>
      <c r="D187" s="135" t="str">
        <f>'[5]Annex-20'!D187</f>
        <v xml:space="preserve"> </v>
      </c>
      <c r="E187" s="135" t="str">
        <f>'[5]Annex-20'!E187</f>
        <v xml:space="preserve"> </v>
      </c>
      <c r="F187" s="135" t="str">
        <f>'[5]Annex-20'!F187</f>
        <v xml:space="preserve"> </v>
      </c>
      <c r="G187" s="135" t="str">
        <f>'[5]Annex-20'!G187</f>
        <v xml:space="preserve"> </v>
      </c>
      <c r="H187" s="135" t="str">
        <f>'[5]Annex-20'!H187</f>
        <v/>
      </c>
      <c r="I187" s="135" t="str">
        <f>'[5]Annex-20'!I187</f>
        <v xml:space="preserve"> </v>
      </c>
      <c r="J187" s="135" t="str">
        <f>'[5]Annex-20'!J187</f>
        <v xml:space="preserve"> </v>
      </c>
      <c r="K187" s="135" t="str">
        <f>'[5]Annex-20'!K187</f>
        <v xml:space="preserve"> </v>
      </c>
      <c r="L187" s="135" t="str">
        <f>'[5]Annex-20'!L187</f>
        <v xml:space="preserve"> </v>
      </c>
      <c r="M187" s="135" t="str">
        <f>'[5]Annex-20'!M187</f>
        <v xml:space="preserve"> </v>
      </c>
    </row>
    <row r="188" spans="1:13" hidden="1" x14ac:dyDescent="0.3">
      <c r="A188" s="72" t="str">
        <f t="shared" ref="A188" si="139">IF(A186="","","(%)")</f>
        <v/>
      </c>
      <c r="B188" s="135"/>
      <c r="C188" s="135" t="str">
        <f>'[5]Annex-20'!C188</f>
        <v/>
      </c>
      <c r="D188" s="135" t="str">
        <f>'[5]Annex-20'!D188</f>
        <v/>
      </c>
      <c r="E188" s="135" t="str">
        <f>'[5]Annex-20'!E188</f>
        <v/>
      </c>
      <c r="F188" s="135" t="str">
        <f>'[5]Annex-20'!F188</f>
        <v/>
      </c>
      <c r="G188" s="135" t="str">
        <f>'[5]Annex-20'!G188</f>
        <v/>
      </c>
      <c r="H188" s="135"/>
      <c r="I188" s="135" t="str">
        <f>'[5]Annex-20'!I188</f>
        <v/>
      </c>
      <c r="J188" s="135" t="str">
        <f>'[5]Annex-20'!J188</f>
        <v/>
      </c>
      <c r="K188" s="135" t="str">
        <f>'[5]Annex-20'!K188</f>
        <v/>
      </c>
      <c r="L188" s="135" t="str">
        <f>'[5]Annex-20'!L188</f>
        <v/>
      </c>
      <c r="M188" s="135" t="str">
        <f>'[5]Annex-20'!M188</f>
        <v/>
      </c>
    </row>
    <row r="189" spans="1:13" hidden="1" x14ac:dyDescent="0.3">
      <c r="A189" s="112" t="str">
        <f t="shared" ref="A189" si="140">IF(A186="","","STATE")</f>
        <v/>
      </c>
      <c r="B189" s="135" t="str">
        <f>'[5]Annex-20'!B189</f>
        <v/>
      </c>
      <c r="C189" s="135" t="str">
        <f>'[5]Annex-20'!C189</f>
        <v xml:space="preserve"> </v>
      </c>
      <c r="D189" s="135" t="str">
        <f>'[5]Annex-20'!D189</f>
        <v xml:space="preserve"> </v>
      </c>
      <c r="E189" s="135" t="str">
        <f>'[5]Annex-20'!E189</f>
        <v xml:space="preserve"> </v>
      </c>
      <c r="F189" s="135" t="str">
        <f>'[5]Annex-20'!F189</f>
        <v xml:space="preserve"> </v>
      </c>
      <c r="G189" s="135" t="str">
        <f>'[5]Annex-20'!G189</f>
        <v xml:space="preserve"> </v>
      </c>
      <c r="H189" s="135" t="str">
        <f>'[5]Annex-20'!H189</f>
        <v/>
      </c>
      <c r="I189" s="135" t="str">
        <f>'[5]Annex-20'!I189</f>
        <v xml:space="preserve"> </v>
      </c>
      <c r="J189" s="135" t="str">
        <f>'[5]Annex-20'!J189</f>
        <v xml:space="preserve"> </v>
      </c>
      <c r="K189" s="135" t="str">
        <f>'[5]Annex-20'!K189</f>
        <v xml:space="preserve"> </v>
      </c>
      <c r="L189" s="135" t="str">
        <f>'[5]Annex-20'!L189</f>
        <v xml:space="preserve"> </v>
      </c>
      <c r="M189" s="135" t="str">
        <f>'[5]Annex-20'!M189</f>
        <v xml:space="preserve"> </v>
      </c>
    </row>
    <row r="190" spans="1:13" hidden="1" x14ac:dyDescent="0.3">
      <c r="A190" s="72" t="str">
        <f t="shared" ref="A190" si="141">IF(A186="","","(%)")</f>
        <v/>
      </c>
      <c r="B190" s="135"/>
      <c r="C190" s="135" t="str">
        <f>'[5]Annex-20'!C190</f>
        <v/>
      </c>
      <c r="D190" s="135" t="str">
        <f>'[5]Annex-20'!D190</f>
        <v/>
      </c>
      <c r="E190" s="135" t="str">
        <f>'[5]Annex-20'!E190</f>
        <v/>
      </c>
      <c r="F190" s="135" t="str">
        <f>'[5]Annex-20'!F190</f>
        <v/>
      </c>
      <c r="G190" s="135" t="str">
        <f>'[5]Annex-20'!G190</f>
        <v/>
      </c>
      <c r="H190" s="135"/>
      <c r="I190" s="135" t="str">
        <f>'[5]Annex-20'!I190</f>
        <v/>
      </c>
      <c r="J190" s="135" t="str">
        <f>'[5]Annex-20'!J190</f>
        <v/>
      </c>
      <c r="K190" s="135" t="str">
        <f>'[5]Annex-20'!K190</f>
        <v/>
      </c>
      <c r="L190" s="135" t="str">
        <f>'[5]Annex-20'!L190</f>
        <v/>
      </c>
      <c r="M190" s="135" t="str">
        <f>'[5]Annex-20'!M190</f>
        <v/>
      </c>
    </row>
    <row r="191" spans="1:13" hidden="1" x14ac:dyDescent="0.3">
      <c r="A191" s="112" t="str">
        <f t="shared" ref="A191" si="142">IF(A186="","","POOLED")</f>
        <v/>
      </c>
      <c r="B191" s="135" t="str">
        <f>'[5]Annex-20'!B191</f>
        <v/>
      </c>
      <c r="C191" s="135" t="str">
        <f>'[5]Annex-20'!C191</f>
        <v xml:space="preserve"> </v>
      </c>
      <c r="D191" s="135" t="str">
        <f>'[5]Annex-20'!D191</f>
        <v xml:space="preserve"> </v>
      </c>
      <c r="E191" s="135" t="str">
        <f>'[5]Annex-20'!E191</f>
        <v xml:space="preserve"> </v>
      </c>
      <c r="F191" s="135" t="str">
        <f>'[5]Annex-20'!F191</f>
        <v xml:space="preserve"> </v>
      </c>
      <c r="G191" s="135" t="str">
        <f>'[5]Annex-20'!G191</f>
        <v xml:space="preserve"> </v>
      </c>
      <c r="H191" s="135" t="str">
        <f>'[5]Annex-20'!H191</f>
        <v/>
      </c>
      <c r="I191" s="135" t="str">
        <f>'[5]Annex-20'!I191</f>
        <v xml:space="preserve"> </v>
      </c>
      <c r="J191" s="135" t="str">
        <f>'[5]Annex-20'!J191</f>
        <v xml:space="preserve"> </v>
      </c>
      <c r="K191" s="135" t="str">
        <f>'[5]Annex-20'!K191</f>
        <v xml:space="preserve"> </v>
      </c>
      <c r="L191" s="135" t="str">
        <f>'[5]Annex-20'!L191</f>
        <v xml:space="preserve"> </v>
      </c>
      <c r="M191" s="135" t="str">
        <f>'[5]Annex-20'!M191</f>
        <v xml:space="preserve"> </v>
      </c>
    </row>
    <row r="192" spans="1:13" hidden="1" x14ac:dyDescent="0.3">
      <c r="A192" s="178" t="str">
        <f t="shared" ref="A192" si="143">IF(A186="","","(%)")</f>
        <v/>
      </c>
      <c r="B192" s="196"/>
      <c r="C192" s="196" t="str">
        <f>'[5]Annex-20'!C192</f>
        <v/>
      </c>
      <c r="D192" s="196" t="str">
        <f>'[5]Annex-20'!D192</f>
        <v/>
      </c>
      <c r="E192" s="196" t="str">
        <f>'[5]Annex-20'!E192</f>
        <v/>
      </c>
      <c r="F192" s="196" t="str">
        <f>'[5]Annex-20'!F192</f>
        <v/>
      </c>
      <c r="G192" s="196" t="str">
        <f>'[5]Annex-20'!G192</f>
        <v/>
      </c>
      <c r="H192" s="196"/>
      <c r="I192" s="196" t="str">
        <f>'[5]Annex-20'!I192</f>
        <v/>
      </c>
      <c r="J192" s="196" t="str">
        <f>'[5]Annex-20'!J192</f>
        <v/>
      </c>
      <c r="K192" s="196" t="str">
        <f>'[5]Annex-20'!K192</f>
        <v/>
      </c>
      <c r="L192" s="196" t="str">
        <f>'[5]Annex-20'!L192</f>
        <v/>
      </c>
      <c r="M192" s="196" t="str">
        <f>'[5]Annex-20'!M192</f>
        <v/>
      </c>
    </row>
    <row r="193" spans="1:13" hidden="1" x14ac:dyDescent="0.3">
      <c r="A193" s="192" t="str">
        <f>IF('[5]Crops CY'!$C$18=0,"",'[5]Crops CY'!$C$18)</f>
        <v/>
      </c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</row>
    <row r="194" spans="1:13" hidden="1" x14ac:dyDescent="0.3">
      <c r="A194" s="112" t="str">
        <f t="shared" ref="A194" si="144">IF(A193="","","CENTRAL" )</f>
        <v/>
      </c>
      <c r="B194" s="135" t="str">
        <f>'[5]Annex-20'!B194</f>
        <v/>
      </c>
      <c r="C194" s="135" t="str">
        <f>'[5]Annex-20'!C194</f>
        <v xml:space="preserve"> </v>
      </c>
      <c r="D194" s="135" t="str">
        <f>'[5]Annex-20'!D194</f>
        <v xml:space="preserve"> </v>
      </c>
      <c r="E194" s="135" t="str">
        <f>'[5]Annex-20'!E194</f>
        <v xml:space="preserve"> </v>
      </c>
      <c r="F194" s="135" t="str">
        <f>'[5]Annex-20'!F194</f>
        <v xml:space="preserve"> </v>
      </c>
      <c r="G194" s="135" t="str">
        <f>'[5]Annex-20'!G194</f>
        <v xml:space="preserve"> </v>
      </c>
      <c r="H194" s="135" t="str">
        <f>'[5]Annex-20'!H194</f>
        <v/>
      </c>
      <c r="I194" s="135" t="str">
        <f>'[5]Annex-20'!I194</f>
        <v xml:space="preserve"> </v>
      </c>
      <c r="J194" s="135" t="str">
        <f>'[5]Annex-20'!J194</f>
        <v xml:space="preserve"> </v>
      </c>
      <c r="K194" s="135" t="str">
        <f>'[5]Annex-20'!K194</f>
        <v xml:space="preserve"> </v>
      </c>
      <c r="L194" s="135" t="str">
        <f>'[5]Annex-20'!L194</f>
        <v xml:space="preserve"> </v>
      </c>
      <c r="M194" s="135" t="str">
        <f>'[5]Annex-20'!M194</f>
        <v xml:space="preserve"> </v>
      </c>
    </row>
    <row r="195" spans="1:13" hidden="1" x14ac:dyDescent="0.3">
      <c r="A195" s="72" t="str">
        <f t="shared" ref="A195" si="145">IF(A193="","","(%)")</f>
        <v/>
      </c>
      <c r="B195" s="135"/>
      <c r="C195" s="135" t="str">
        <f>'[5]Annex-20'!C195</f>
        <v/>
      </c>
      <c r="D195" s="135" t="str">
        <f>'[5]Annex-20'!D195</f>
        <v/>
      </c>
      <c r="E195" s="135" t="str">
        <f>'[5]Annex-20'!E195</f>
        <v/>
      </c>
      <c r="F195" s="135" t="str">
        <f>'[5]Annex-20'!F195</f>
        <v/>
      </c>
      <c r="G195" s="135" t="str">
        <f>'[5]Annex-20'!G195</f>
        <v/>
      </c>
      <c r="H195" s="135"/>
      <c r="I195" s="135" t="str">
        <f>'[5]Annex-20'!I195</f>
        <v/>
      </c>
      <c r="J195" s="135" t="str">
        <f>'[5]Annex-20'!J195</f>
        <v/>
      </c>
      <c r="K195" s="135" t="str">
        <f>'[5]Annex-20'!K195</f>
        <v/>
      </c>
      <c r="L195" s="135" t="str">
        <f>'[5]Annex-20'!L195</f>
        <v/>
      </c>
      <c r="M195" s="135" t="str">
        <f>'[5]Annex-20'!M195</f>
        <v/>
      </c>
    </row>
    <row r="196" spans="1:13" hidden="1" x14ac:dyDescent="0.3">
      <c r="A196" s="112" t="str">
        <f t="shared" ref="A196" si="146">IF(A193="","","STATE")</f>
        <v/>
      </c>
      <c r="B196" s="135" t="str">
        <f>'[5]Annex-20'!B196</f>
        <v/>
      </c>
      <c r="C196" s="135" t="str">
        <f>'[5]Annex-20'!C196</f>
        <v xml:space="preserve"> </v>
      </c>
      <c r="D196" s="135" t="str">
        <f>'[5]Annex-20'!D196</f>
        <v xml:space="preserve"> </v>
      </c>
      <c r="E196" s="135" t="str">
        <f>'[5]Annex-20'!E196</f>
        <v xml:space="preserve"> </v>
      </c>
      <c r="F196" s="135" t="str">
        <f>'[5]Annex-20'!F196</f>
        <v xml:space="preserve"> </v>
      </c>
      <c r="G196" s="135" t="str">
        <f>'[5]Annex-20'!G196</f>
        <v xml:space="preserve"> </v>
      </c>
      <c r="H196" s="135" t="str">
        <f>'[5]Annex-20'!H196</f>
        <v/>
      </c>
      <c r="I196" s="135" t="str">
        <f>'[5]Annex-20'!I196</f>
        <v xml:space="preserve"> </v>
      </c>
      <c r="J196" s="135" t="str">
        <f>'[5]Annex-20'!J196</f>
        <v xml:space="preserve"> </v>
      </c>
      <c r="K196" s="135" t="str">
        <f>'[5]Annex-20'!K196</f>
        <v xml:space="preserve"> </v>
      </c>
      <c r="L196" s="135" t="str">
        <f>'[5]Annex-20'!L196</f>
        <v xml:space="preserve"> </v>
      </c>
      <c r="M196" s="135" t="str">
        <f>'[5]Annex-20'!M196</f>
        <v xml:space="preserve"> </v>
      </c>
    </row>
    <row r="197" spans="1:13" hidden="1" x14ac:dyDescent="0.3">
      <c r="A197" s="72" t="str">
        <f t="shared" ref="A197" si="147">IF(A193="","","(%)")</f>
        <v/>
      </c>
      <c r="B197" s="135"/>
      <c r="C197" s="135" t="str">
        <f>'[5]Annex-20'!C197</f>
        <v/>
      </c>
      <c r="D197" s="135" t="str">
        <f>'[5]Annex-20'!D197</f>
        <v/>
      </c>
      <c r="E197" s="135" t="str">
        <f>'[5]Annex-20'!E197</f>
        <v/>
      </c>
      <c r="F197" s="135" t="str">
        <f>'[5]Annex-20'!F197</f>
        <v/>
      </c>
      <c r="G197" s="135" t="str">
        <f>'[5]Annex-20'!G197</f>
        <v/>
      </c>
      <c r="H197" s="135"/>
      <c r="I197" s="135" t="str">
        <f>'[5]Annex-20'!I197</f>
        <v/>
      </c>
      <c r="J197" s="135" t="str">
        <f>'[5]Annex-20'!J197</f>
        <v/>
      </c>
      <c r="K197" s="135" t="str">
        <f>'[5]Annex-20'!K197</f>
        <v/>
      </c>
      <c r="L197" s="135" t="str">
        <f>'[5]Annex-20'!L197</f>
        <v/>
      </c>
      <c r="M197" s="135" t="str">
        <f>'[5]Annex-20'!M197</f>
        <v/>
      </c>
    </row>
    <row r="198" spans="1:13" hidden="1" x14ac:dyDescent="0.3">
      <c r="A198" s="112" t="str">
        <f t="shared" ref="A198" si="148">IF(A193="","","POOLED")</f>
        <v/>
      </c>
      <c r="B198" s="135" t="str">
        <f>'[5]Annex-20'!B198</f>
        <v/>
      </c>
      <c r="C198" s="135" t="str">
        <f>'[5]Annex-20'!C198</f>
        <v xml:space="preserve"> </v>
      </c>
      <c r="D198" s="135" t="str">
        <f>'[5]Annex-20'!D198</f>
        <v xml:space="preserve"> </v>
      </c>
      <c r="E198" s="135" t="str">
        <f>'[5]Annex-20'!E198</f>
        <v xml:space="preserve"> </v>
      </c>
      <c r="F198" s="135" t="str">
        <f>'[5]Annex-20'!F198</f>
        <v xml:space="preserve"> </v>
      </c>
      <c r="G198" s="135" t="str">
        <f>'[5]Annex-20'!G198</f>
        <v xml:space="preserve"> </v>
      </c>
      <c r="H198" s="135" t="str">
        <f>'[5]Annex-20'!H198</f>
        <v/>
      </c>
      <c r="I198" s="135" t="str">
        <f>'[5]Annex-20'!I198</f>
        <v xml:space="preserve"> </v>
      </c>
      <c r="J198" s="135" t="str">
        <f>'[5]Annex-20'!J198</f>
        <v xml:space="preserve"> </v>
      </c>
      <c r="K198" s="135" t="str">
        <f>'[5]Annex-20'!K198</f>
        <v xml:space="preserve"> </v>
      </c>
      <c r="L198" s="135" t="str">
        <f>'[5]Annex-20'!L198</f>
        <v xml:space="preserve"> </v>
      </c>
      <c r="M198" s="135" t="str">
        <f>'[5]Annex-20'!M198</f>
        <v xml:space="preserve"> </v>
      </c>
    </row>
    <row r="199" spans="1:13" hidden="1" x14ac:dyDescent="0.3">
      <c r="A199" s="178" t="str">
        <f t="shared" ref="A199" si="149">IF(A193="","","(%)")</f>
        <v/>
      </c>
      <c r="B199" s="196"/>
      <c r="C199" s="196" t="str">
        <f>'[5]Annex-20'!C199</f>
        <v/>
      </c>
      <c r="D199" s="196" t="str">
        <f>'[5]Annex-20'!D199</f>
        <v/>
      </c>
      <c r="E199" s="196" t="str">
        <f>'[5]Annex-20'!E199</f>
        <v/>
      </c>
      <c r="F199" s="196" t="str">
        <f>'[5]Annex-20'!F199</f>
        <v/>
      </c>
      <c r="G199" s="196" t="str">
        <f>'[5]Annex-20'!G199</f>
        <v/>
      </c>
      <c r="H199" s="196"/>
      <c r="I199" s="196" t="str">
        <f>'[5]Annex-20'!I199</f>
        <v/>
      </c>
      <c r="J199" s="196" t="str">
        <f>'[5]Annex-20'!J199</f>
        <v/>
      </c>
      <c r="K199" s="196" t="str">
        <f>'[5]Annex-20'!K199</f>
        <v/>
      </c>
      <c r="L199" s="196" t="str">
        <f>'[5]Annex-20'!L199</f>
        <v/>
      </c>
      <c r="M199" s="196" t="str">
        <f>'[5]Annex-20'!M199</f>
        <v/>
      </c>
    </row>
    <row r="200" spans="1:13" hidden="1" x14ac:dyDescent="0.3">
      <c r="A200" s="192" t="str">
        <f>IF('[5]Crops CY'!$C$19=0,"",'[5]Crops CY'!$C$19)</f>
        <v/>
      </c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</row>
    <row r="201" spans="1:13" hidden="1" x14ac:dyDescent="0.3">
      <c r="A201" s="112" t="str">
        <f t="shared" ref="A201" si="150">IF(A200="","","CENTRAL" )</f>
        <v/>
      </c>
      <c r="B201" s="135" t="str">
        <f>'[5]Annex-20'!B201</f>
        <v/>
      </c>
      <c r="C201" s="135" t="str">
        <f>'[5]Annex-20'!C201</f>
        <v xml:space="preserve"> </v>
      </c>
      <c r="D201" s="135" t="str">
        <f>'[5]Annex-20'!D201</f>
        <v xml:space="preserve"> </v>
      </c>
      <c r="E201" s="135" t="str">
        <f>'[5]Annex-20'!E201</f>
        <v xml:space="preserve"> </v>
      </c>
      <c r="F201" s="135" t="str">
        <f>'[5]Annex-20'!F201</f>
        <v xml:space="preserve"> </v>
      </c>
      <c r="G201" s="135" t="str">
        <f>'[5]Annex-20'!G201</f>
        <v xml:space="preserve"> </v>
      </c>
      <c r="H201" s="135" t="str">
        <f>'[5]Annex-20'!H201</f>
        <v/>
      </c>
      <c r="I201" s="135" t="str">
        <f>'[5]Annex-20'!I201</f>
        <v xml:space="preserve"> </v>
      </c>
      <c r="J201" s="135" t="str">
        <f>'[5]Annex-20'!J201</f>
        <v xml:space="preserve"> </v>
      </c>
      <c r="K201" s="135" t="str">
        <f>'[5]Annex-20'!K201</f>
        <v xml:space="preserve"> </v>
      </c>
      <c r="L201" s="135" t="str">
        <f>'[5]Annex-20'!L201</f>
        <v xml:space="preserve"> </v>
      </c>
      <c r="M201" s="135" t="str">
        <f>'[5]Annex-20'!M201</f>
        <v xml:space="preserve"> </v>
      </c>
    </row>
    <row r="202" spans="1:13" hidden="1" x14ac:dyDescent="0.3">
      <c r="A202" s="72" t="str">
        <f t="shared" ref="A202" si="151">IF(A200="","","(%)")</f>
        <v/>
      </c>
      <c r="B202" s="135"/>
      <c r="C202" s="135" t="str">
        <f>'[5]Annex-20'!C202</f>
        <v/>
      </c>
      <c r="D202" s="135" t="str">
        <f>'[5]Annex-20'!D202</f>
        <v/>
      </c>
      <c r="E202" s="135" t="str">
        <f>'[5]Annex-20'!E202</f>
        <v/>
      </c>
      <c r="F202" s="135" t="str">
        <f>'[5]Annex-20'!F202</f>
        <v/>
      </c>
      <c r="G202" s="135" t="str">
        <f>'[5]Annex-20'!G202</f>
        <v/>
      </c>
      <c r="H202" s="135"/>
      <c r="I202" s="135" t="str">
        <f>'[5]Annex-20'!I202</f>
        <v/>
      </c>
      <c r="J202" s="135" t="str">
        <f>'[5]Annex-20'!J202</f>
        <v/>
      </c>
      <c r="K202" s="135" t="str">
        <f>'[5]Annex-20'!K202</f>
        <v/>
      </c>
      <c r="L202" s="135" t="str">
        <f>'[5]Annex-20'!L202</f>
        <v/>
      </c>
      <c r="M202" s="135" t="str">
        <f>'[5]Annex-20'!M202</f>
        <v/>
      </c>
    </row>
    <row r="203" spans="1:13" hidden="1" x14ac:dyDescent="0.3">
      <c r="A203" s="112" t="str">
        <f t="shared" ref="A203" si="152">IF(A200="","","STATE")</f>
        <v/>
      </c>
      <c r="B203" s="135" t="str">
        <f>'[5]Annex-20'!B203</f>
        <v/>
      </c>
      <c r="C203" s="135" t="str">
        <f>'[5]Annex-20'!C203</f>
        <v xml:space="preserve"> </v>
      </c>
      <c r="D203" s="135" t="str">
        <f>'[5]Annex-20'!D203</f>
        <v xml:space="preserve"> </v>
      </c>
      <c r="E203" s="135" t="str">
        <f>'[5]Annex-20'!E203</f>
        <v xml:space="preserve"> </v>
      </c>
      <c r="F203" s="135" t="str">
        <f>'[5]Annex-20'!F203</f>
        <v xml:space="preserve"> </v>
      </c>
      <c r="G203" s="135" t="str">
        <f>'[5]Annex-20'!G203</f>
        <v xml:space="preserve"> </v>
      </c>
      <c r="H203" s="135" t="str">
        <f>'[5]Annex-20'!H203</f>
        <v/>
      </c>
      <c r="I203" s="135" t="str">
        <f>'[5]Annex-20'!I203</f>
        <v xml:space="preserve"> </v>
      </c>
      <c r="J203" s="135" t="str">
        <f>'[5]Annex-20'!J203</f>
        <v xml:space="preserve"> </v>
      </c>
      <c r="K203" s="135" t="str">
        <f>'[5]Annex-20'!K203</f>
        <v xml:space="preserve"> </v>
      </c>
      <c r="L203" s="135" t="str">
        <f>'[5]Annex-20'!L203</f>
        <v xml:space="preserve"> </v>
      </c>
      <c r="M203" s="135" t="str">
        <f>'[5]Annex-20'!M203</f>
        <v xml:space="preserve"> </v>
      </c>
    </row>
    <row r="204" spans="1:13" hidden="1" x14ac:dyDescent="0.3">
      <c r="A204" s="72" t="str">
        <f t="shared" ref="A204" si="153">IF(A200="","","(%)")</f>
        <v/>
      </c>
      <c r="B204" s="135"/>
      <c r="C204" s="135" t="str">
        <f>'[5]Annex-20'!C204</f>
        <v/>
      </c>
      <c r="D204" s="135" t="str">
        <f>'[5]Annex-20'!D204</f>
        <v/>
      </c>
      <c r="E204" s="135" t="str">
        <f>'[5]Annex-20'!E204</f>
        <v/>
      </c>
      <c r="F204" s="135" t="str">
        <f>'[5]Annex-20'!F204</f>
        <v/>
      </c>
      <c r="G204" s="135" t="str">
        <f>'[5]Annex-20'!G204</f>
        <v/>
      </c>
      <c r="H204" s="135"/>
      <c r="I204" s="135" t="str">
        <f>'[5]Annex-20'!I204</f>
        <v/>
      </c>
      <c r="J204" s="135" t="str">
        <f>'[5]Annex-20'!J204</f>
        <v/>
      </c>
      <c r="K204" s="135" t="str">
        <f>'[5]Annex-20'!K204</f>
        <v/>
      </c>
      <c r="L204" s="135" t="str">
        <f>'[5]Annex-20'!L204</f>
        <v/>
      </c>
      <c r="M204" s="135" t="str">
        <f>'[5]Annex-20'!M204</f>
        <v/>
      </c>
    </row>
    <row r="205" spans="1:13" hidden="1" x14ac:dyDescent="0.3">
      <c r="A205" s="112" t="str">
        <f t="shared" ref="A205" si="154">IF(A200="","","POOLED")</f>
        <v/>
      </c>
      <c r="B205" s="135" t="str">
        <f>'[5]Annex-20'!B205</f>
        <v/>
      </c>
      <c r="C205" s="135" t="str">
        <f>'[5]Annex-20'!C205</f>
        <v xml:space="preserve"> </v>
      </c>
      <c r="D205" s="135" t="str">
        <f>'[5]Annex-20'!D205</f>
        <v xml:space="preserve"> </v>
      </c>
      <c r="E205" s="135" t="str">
        <f>'[5]Annex-20'!E205</f>
        <v xml:space="preserve"> </v>
      </c>
      <c r="F205" s="135" t="str">
        <f>'[5]Annex-20'!F205</f>
        <v xml:space="preserve"> </v>
      </c>
      <c r="G205" s="135" t="str">
        <f>'[5]Annex-20'!G205</f>
        <v xml:space="preserve"> </v>
      </c>
      <c r="H205" s="135" t="str">
        <f>'[5]Annex-20'!H205</f>
        <v/>
      </c>
      <c r="I205" s="135" t="str">
        <f>'[5]Annex-20'!I205</f>
        <v xml:space="preserve"> </v>
      </c>
      <c r="J205" s="135" t="str">
        <f>'[5]Annex-20'!J205</f>
        <v xml:space="preserve"> </v>
      </c>
      <c r="K205" s="135" t="str">
        <f>'[5]Annex-20'!K205</f>
        <v xml:space="preserve"> </v>
      </c>
      <c r="L205" s="135" t="str">
        <f>'[5]Annex-20'!L205</f>
        <v xml:space="preserve"> </v>
      </c>
      <c r="M205" s="135" t="str">
        <f>'[5]Annex-20'!M205</f>
        <v xml:space="preserve"> </v>
      </c>
    </row>
    <row r="206" spans="1:13" hidden="1" x14ac:dyDescent="0.3">
      <c r="A206" s="178" t="str">
        <f t="shared" ref="A206" si="155">IF(A200="","","(%)")</f>
        <v/>
      </c>
      <c r="B206" s="196"/>
      <c r="C206" s="196" t="str">
        <f>'[5]Annex-20'!C206</f>
        <v/>
      </c>
      <c r="D206" s="196" t="str">
        <f>'[5]Annex-20'!D206</f>
        <v/>
      </c>
      <c r="E206" s="196" t="str">
        <f>'[5]Annex-20'!E206</f>
        <v/>
      </c>
      <c r="F206" s="196" t="str">
        <f>'[5]Annex-20'!F206</f>
        <v/>
      </c>
      <c r="G206" s="196" t="str">
        <f>'[5]Annex-20'!G206</f>
        <v/>
      </c>
      <c r="H206" s="196"/>
      <c r="I206" s="196" t="str">
        <f>'[5]Annex-20'!I206</f>
        <v/>
      </c>
      <c r="J206" s="196" t="str">
        <f>'[5]Annex-20'!J206</f>
        <v/>
      </c>
      <c r="K206" s="196" t="str">
        <f>'[5]Annex-20'!K206</f>
        <v/>
      </c>
      <c r="L206" s="196" t="str">
        <f>'[5]Annex-20'!L206</f>
        <v/>
      </c>
      <c r="M206" s="196" t="str">
        <f>'[5]Annex-20'!M206</f>
        <v/>
      </c>
    </row>
    <row r="207" spans="1:13" hidden="1" x14ac:dyDescent="0.3">
      <c r="A207" s="192" t="str">
        <f>IF('[5]Crops CY'!$C$20=0,"",'[5]Crops CY'!$C$20)</f>
        <v/>
      </c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</row>
    <row r="208" spans="1:13" hidden="1" x14ac:dyDescent="0.3">
      <c r="A208" s="112" t="str">
        <f t="shared" ref="A208" si="156">IF(A207="","","CENTRAL" )</f>
        <v/>
      </c>
      <c r="B208" s="135" t="str">
        <f>'[5]Annex-20'!B208</f>
        <v/>
      </c>
      <c r="C208" s="135" t="str">
        <f>'[5]Annex-20'!C208</f>
        <v xml:space="preserve"> </v>
      </c>
      <c r="D208" s="135" t="str">
        <f>'[5]Annex-20'!D208</f>
        <v xml:space="preserve"> </v>
      </c>
      <c r="E208" s="135" t="str">
        <f>'[5]Annex-20'!E208</f>
        <v xml:space="preserve"> </v>
      </c>
      <c r="F208" s="135" t="str">
        <f>'[5]Annex-20'!F208</f>
        <v xml:space="preserve"> </v>
      </c>
      <c r="G208" s="135" t="str">
        <f>'[5]Annex-20'!G208</f>
        <v xml:space="preserve"> </v>
      </c>
      <c r="H208" s="135" t="str">
        <f>'[5]Annex-20'!H208</f>
        <v/>
      </c>
      <c r="I208" s="135" t="str">
        <f>'[5]Annex-20'!I208</f>
        <v xml:space="preserve"> </v>
      </c>
      <c r="J208" s="135" t="str">
        <f>'[5]Annex-20'!J208</f>
        <v xml:space="preserve"> </v>
      </c>
      <c r="K208" s="135" t="str">
        <f>'[5]Annex-20'!K208</f>
        <v xml:space="preserve"> </v>
      </c>
      <c r="L208" s="135" t="str">
        <f>'[5]Annex-20'!L208</f>
        <v xml:space="preserve"> </v>
      </c>
      <c r="M208" s="135" t="str">
        <f>'[5]Annex-20'!M208</f>
        <v xml:space="preserve"> </v>
      </c>
    </row>
    <row r="209" spans="1:13" hidden="1" x14ac:dyDescent="0.3">
      <c r="A209" s="72" t="str">
        <f t="shared" ref="A209" si="157">IF(A207="","","(%)")</f>
        <v/>
      </c>
      <c r="B209" s="135"/>
      <c r="C209" s="135" t="str">
        <f>'[5]Annex-20'!C209</f>
        <v/>
      </c>
      <c r="D209" s="135" t="str">
        <f>'[5]Annex-20'!D209</f>
        <v/>
      </c>
      <c r="E209" s="135" t="str">
        <f>'[5]Annex-20'!E209</f>
        <v/>
      </c>
      <c r="F209" s="135" t="str">
        <f>'[5]Annex-20'!F209</f>
        <v/>
      </c>
      <c r="G209" s="135" t="str">
        <f>'[5]Annex-20'!G209</f>
        <v/>
      </c>
      <c r="H209" s="135"/>
      <c r="I209" s="135" t="str">
        <f>'[5]Annex-20'!I209</f>
        <v/>
      </c>
      <c r="J209" s="135" t="str">
        <f>'[5]Annex-20'!J209</f>
        <v/>
      </c>
      <c r="K209" s="135" t="str">
        <f>'[5]Annex-20'!K209</f>
        <v/>
      </c>
      <c r="L209" s="135" t="str">
        <f>'[5]Annex-20'!L209</f>
        <v/>
      </c>
      <c r="M209" s="135" t="str">
        <f>'[5]Annex-20'!M209</f>
        <v/>
      </c>
    </row>
    <row r="210" spans="1:13" hidden="1" x14ac:dyDescent="0.3">
      <c r="A210" s="112" t="str">
        <f t="shared" ref="A210" si="158">IF(A207="","","STATE")</f>
        <v/>
      </c>
      <c r="B210" s="135" t="str">
        <f>'[5]Annex-20'!B210</f>
        <v/>
      </c>
      <c r="C210" s="135" t="str">
        <f>'[5]Annex-20'!C210</f>
        <v xml:space="preserve"> </v>
      </c>
      <c r="D210" s="135" t="str">
        <f>'[5]Annex-20'!D210</f>
        <v xml:space="preserve"> </v>
      </c>
      <c r="E210" s="135" t="str">
        <f>'[5]Annex-20'!E210</f>
        <v xml:space="preserve"> </v>
      </c>
      <c r="F210" s="135" t="str">
        <f>'[5]Annex-20'!F210</f>
        <v xml:space="preserve"> </v>
      </c>
      <c r="G210" s="135" t="str">
        <f>'[5]Annex-20'!G210</f>
        <v xml:space="preserve"> </v>
      </c>
      <c r="H210" s="135" t="str">
        <f>'[5]Annex-20'!H210</f>
        <v/>
      </c>
      <c r="I210" s="135" t="str">
        <f>'[5]Annex-20'!I210</f>
        <v xml:space="preserve"> </v>
      </c>
      <c r="J210" s="135" t="str">
        <f>'[5]Annex-20'!J210</f>
        <v xml:space="preserve"> </v>
      </c>
      <c r="K210" s="135" t="str">
        <f>'[5]Annex-20'!K210</f>
        <v xml:space="preserve"> </v>
      </c>
      <c r="L210" s="135" t="str">
        <f>'[5]Annex-20'!L210</f>
        <v xml:space="preserve"> </v>
      </c>
      <c r="M210" s="135" t="str">
        <f>'[5]Annex-20'!M210</f>
        <v xml:space="preserve"> </v>
      </c>
    </row>
    <row r="211" spans="1:13" hidden="1" x14ac:dyDescent="0.3">
      <c r="A211" s="72" t="str">
        <f t="shared" ref="A211" si="159">IF(A207="","","(%)")</f>
        <v/>
      </c>
      <c r="B211" s="135"/>
      <c r="C211" s="135" t="str">
        <f>'[5]Annex-20'!C211</f>
        <v/>
      </c>
      <c r="D211" s="135" t="str">
        <f>'[5]Annex-20'!D211</f>
        <v/>
      </c>
      <c r="E211" s="135" t="str">
        <f>'[5]Annex-20'!E211</f>
        <v/>
      </c>
      <c r="F211" s="135" t="str">
        <f>'[5]Annex-20'!F211</f>
        <v/>
      </c>
      <c r="G211" s="135" t="str">
        <f>'[5]Annex-20'!G211</f>
        <v/>
      </c>
      <c r="H211" s="135"/>
      <c r="I211" s="135" t="str">
        <f>'[5]Annex-20'!I211</f>
        <v/>
      </c>
      <c r="J211" s="135" t="str">
        <f>'[5]Annex-20'!J211</f>
        <v/>
      </c>
      <c r="K211" s="135" t="str">
        <f>'[5]Annex-20'!K211</f>
        <v/>
      </c>
      <c r="L211" s="135" t="str">
        <f>'[5]Annex-20'!L211</f>
        <v/>
      </c>
      <c r="M211" s="135" t="str">
        <f>'[5]Annex-20'!M211</f>
        <v/>
      </c>
    </row>
    <row r="212" spans="1:13" hidden="1" x14ac:dyDescent="0.3">
      <c r="A212" s="112" t="str">
        <f t="shared" ref="A212" si="160">IF(A207="","","POOLED")</f>
        <v/>
      </c>
      <c r="B212" s="135" t="str">
        <f>'[5]Annex-20'!B212</f>
        <v/>
      </c>
      <c r="C212" s="135" t="str">
        <f>'[5]Annex-20'!C212</f>
        <v xml:space="preserve"> </v>
      </c>
      <c r="D212" s="135" t="str">
        <f>'[5]Annex-20'!D212</f>
        <v xml:space="preserve"> </v>
      </c>
      <c r="E212" s="135" t="str">
        <f>'[5]Annex-20'!E212</f>
        <v xml:space="preserve"> </v>
      </c>
      <c r="F212" s="135" t="str">
        <f>'[5]Annex-20'!F212</f>
        <v xml:space="preserve"> </v>
      </c>
      <c r="G212" s="135" t="str">
        <f>'[5]Annex-20'!G212</f>
        <v xml:space="preserve"> </v>
      </c>
      <c r="H212" s="135" t="str">
        <f>'[5]Annex-20'!H212</f>
        <v/>
      </c>
      <c r="I212" s="135" t="str">
        <f>'[5]Annex-20'!I212</f>
        <v xml:space="preserve"> </v>
      </c>
      <c r="J212" s="135" t="str">
        <f>'[5]Annex-20'!J212</f>
        <v xml:space="preserve"> </v>
      </c>
      <c r="K212" s="135" t="str">
        <f>'[5]Annex-20'!K212</f>
        <v xml:space="preserve"> </v>
      </c>
      <c r="L212" s="135" t="str">
        <f>'[5]Annex-20'!L212</f>
        <v xml:space="preserve"> </v>
      </c>
      <c r="M212" s="135" t="str">
        <f>'[5]Annex-20'!M212</f>
        <v xml:space="preserve"> </v>
      </c>
    </row>
    <row r="213" spans="1:13" hidden="1" x14ac:dyDescent="0.3">
      <c r="A213" s="178" t="str">
        <f t="shared" ref="A213" si="161">IF(A207="","","(%)")</f>
        <v/>
      </c>
      <c r="B213" s="196"/>
      <c r="C213" s="196" t="str">
        <f>'[5]Annex-20'!C213</f>
        <v/>
      </c>
      <c r="D213" s="196" t="str">
        <f>'[5]Annex-20'!D213</f>
        <v/>
      </c>
      <c r="E213" s="196" t="str">
        <f>'[5]Annex-20'!E213</f>
        <v/>
      </c>
      <c r="F213" s="196" t="str">
        <f>'[5]Annex-20'!F213</f>
        <v/>
      </c>
      <c r="G213" s="196" t="str">
        <f>'[5]Annex-20'!G213</f>
        <v/>
      </c>
      <c r="H213" s="196"/>
      <c r="I213" s="196" t="str">
        <f>'[5]Annex-20'!I213</f>
        <v/>
      </c>
      <c r="J213" s="196" t="str">
        <f>'[5]Annex-20'!J213</f>
        <v/>
      </c>
      <c r="K213" s="196" t="str">
        <f>'[5]Annex-20'!K213</f>
        <v/>
      </c>
      <c r="L213" s="196" t="str">
        <f>'[5]Annex-20'!L213</f>
        <v/>
      </c>
      <c r="M213" s="196" t="str">
        <f>'[5]Annex-20'!M213</f>
        <v/>
      </c>
    </row>
    <row r="214" spans="1:13" hidden="1" x14ac:dyDescent="0.3">
      <c r="A214" s="192" t="str">
        <f>IF('[5]Crops CY'!$C$21=0,"",'[5]Crops CY'!$C$21)</f>
        <v/>
      </c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</row>
    <row r="215" spans="1:13" hidden="1" x14ac:dyDescent="0.3">
      <c r="A215" s="112" t="str">
        <f t="shared" ref="A215" si="162">IF(A214="","","CENTRAL" )</f>
        <v/>
      </c>
      <c r="B215" s="135" t="str">
        <f>'[5]Annex-20'!B215</f>
        <v/>
      </c>
      <c r="C215" s="135" t="str">
        <f>'[5]Annex-20'!C215</f>
        <v xml:space="preserve"> </v>
      </c>
      <c r="D215" s="135" t="str">
        <f>'[5]Annex-20'!D215</f>
        <v xml:space="preserve"> </v>
      </c>
      <c r="E215" s="135" t="str">
        <f>'[5]Annex-20'!E215</f>
        <v xml:space="preserve"> </v>
      </c>
      <c r="F215" s="135" t="str">
        <f>'[5]Annex-20'!F215</f>
        <v xml:space="preserve"> </v>
      </c>
      <c r="G215" s="135" t="str">
        <f>'[5]Annex-20'!G215</f>
        <v xml:space="preserve"> </v>
      </c>
      <c r="H215" s="135" t="str">
        <f>'[5]Annex-20'!H215</f>
        <v/>
      </c>
      <c r="I215" s="135" t="str">
        <f>'[5]Annex-20'!I215</f>
        <v xml:space="preserve"> </v>
      </c>
      <c r="J215" s="135" t="str">
        <f>'[5]Annex-20'!J215</f>
        <v xml:space="preserve"> </v>
      </c>
      <c r="K215" s="135" t="str">
        <f>'[5]Annex-20'!K215</f>
        <v xml:space="preserve"> </v>
      </c>
      <c r="L215" s="135" t="str">
        <f>'[5]Annex-20'!L215</f>
        <v xml:space="preserve"> </v>
      </c>
      <c r="M215" s="135" t="str">
        <f>'[5]Annex-20'!M215</f>
        <v xml:space="preserve"> </v>
      </c>
    </row>
    <row r="216" spans="1:13" hidden="1" x14ac:dyDescent="0.3">
      <c r="A216" s="72" t="str">
        <f t="shared" ref="A216" si="163">IF(A214="","","(%)")</f>
        <v/>
      </c>
      <c r="B216" s="135"/>
      <c r="C216" s="135" t="str">
        <f>'[5]Annex-20'!C216</f>
        <v/>
      </c>
      <c r="D216" s="135" t="str">
        <f>'[5]Annex-20'!D216</f>
        <v/>
      </c>
      <c r="E216" s="135" t="str">
        <f>'[5]Annex-20'!E216</f>
        <v/>
      </c>
      <c r="F216" s="135" t="str">
        <f>'[5]Annex-20'!F216</f>
        <v/>
      </c>
      <c r="G216" s="135" t="str">
        <f>'[5]Annex-20'!G216</f>
        <v/>
      </c>
      <c r="H216" s="135"/>
      <c r="I216" s="135" t="str">
        <f>'[5]Annex-20'!I216</f>
        <v/>
      </c>
      <c r="J216" s="135" t="str">
        <f>'[5]Annex-20'!J216</f>
        <v/>
      </c>
      <c r="K216" s="135" t="str">
        <f>'[5]Annex-20'!K216</f>
        <v/>
      </c>
      <c r="L216" s="135" t="str">
        <f>'[5]Annex-20'!L216</f>
        <v/>
      </c>
      <c r="M216" s="135" t="str">
        <f>'[5]Annex-20'!M216</f>
        <v/>
      </c>
    </row>
    <row r="217" spans="1:13" hidden="1" x14ac:dyDescent="0.3">
      <c r="A217" s="112" t="str">
        <f t="shared" ref="A217" si="164">IF(A214="","","STATE")</f>
        <v/>
      </c>
      <c r="B217" s="135" t="str">
        <f>'[5]Annex-20'!B217</f>
        <v/>
      </c>
      <c r="C217" s="135" t="str">
        <f>'[5]Annex-20'!C217</f>
        <v xml:space="preserve"> </v>
      </c>
      <c r="D217" s="135" t="str">
        <f>'[5]Annex-20'!D217</f>
        <v xml:space="preserve"> </v>
      </c>
      <c r="E217" s="135" t="str">
        <f>'[5]Annex-20'!E217</f>
        <v xml:space="preserve"> </v>
      </c>
      <c r="F217" s="135" t="str">
        <f>'[5]Annex-20'!F217</f>
        <v xml:space="preserve"> </v>
      </c>
      <c r="G217" s="135" t="str">
        <f>'[5]Annex-20'!G217</f>
        <v xml:space="preserve"> </v>
      </c>
      <c r="H217" s="135" t="str">
        <f>'[5]Annex-20'!H217</f>
        <v/>
      </c>
      <c r="I217" s="135" t="str">
        <f>'[5]Annex-20'!I217</f>
        <v xml:space="preserve"> </v>
      </c>
      <c r="J217" s="135" t="str">
        <f>'[5]Annex-20'!J217</f>
        <v xml:space="preserve"> </v>
      </c>
      <c r="K217" s="135" t="str">
        <f>'[5]Annex-20'!K217</f>
        <v xml:space="preserve"> </v>
      </c>
      <c r="L217" s="135" t="str">
        <f>'[5]Annex-20'!L217</f>
        <v xml:space="preserve"> </v>
      </c>
      <c r="M217" s="135" t="str">
        <f>'[5]Annex-20'!M217</f>
        <v xml:space="preserve"> </v>
      </c>
    </row>
    <row r="218" spans="1:13" hidden="1" x14ac:dyDescent="0.3">
      <c r="A218" s="72" t="str">
        <f t="shared" ref="A218" si="165">IF(A214="","","(%)")</f>
        <v/>
      </c>
      <c r="B218" s="135"/>
      <c r="C218" s="135" t="str">
        <f>'[5]Annex-20'!C218</f>
        <v/>
      </c>
      <c r="D218" s="135" t="str">
        <f>'[5]Annex-20'!D218</f>
        <v/>
      </c>
      <c r="E218" s="135" t="str">
        <f>'[5]Annex-20'!E218</f>
        <v/>
      </c>
      <c r="F218" s="135" t="str">
        <f>'[5]Annex-20'!F218</f>
        <v/>
      </c>
      <c r="G218" s="135" t="str">
        <f>'[5]Annex-20'!G218</f>
        <v/>
      </c>
      <c r="H218" s="135"/>
      <c r="I218" s="135" t="str">
        <f>'[5]Annex-20'!I218</f>
        <v/>
      </c>
      <c r="J218" s="135" t="str">
        <f>'[5]Annex-20'!J218</f>
        <v/>
      </c>
      <c r="K218" s="135" t="str">
        <f>'[5]Annex-20'!K218</f>
        <v/>
      </c>
      <c r="L218" s="135" t="str">
        <f>'[5]Annex-20'!L218</f>
        <v/>
      </c>
      <c r="M218" s="135" t="str">
        <f>'[5]Annex-20'!M218</f>
        <v/>
      </c>
    </row>
    <row r="219" spans="1:13" hidden="1" x14ac:dyDescent="0.3">
      <c r="A219" s="112" t="str">
        <f t="shared" ref="A219" si="166">IF(A214="","","POOLED")</f>
        <v/>
      </c>
      <c r="B219" s="135" t="str">
        <f>'[5]Annex-20'!B219</f>
        <v/>
      </c>
      <c r="C219" s="135" t="str">
        <f>'[5]Annex-20'!C219</f>
        <v xml:space="preserve"> </v>
      </c>
      <c r="D219" s="135" t="str">
        <f>'[5]Annex-20'!D219</f>
        <v xml:space="preserve"> </v>
      </c>
      <c r="E219" s="135" t="str">
        <f>'[5]Annex-20'!E219</f>
        <v xml:space="preserve"> </v>
      </c>
      <c r="F219" s="135" t="str">
        <f>'[5]Annex-20'!F219</f>
        <v xml:space="preserve"> </v>
      </c>
      <c r="G219" s="135" t="str">
        <f>'[5]Annex-20'!G219</f>
        <v xml:space="preserve"> </v>
      </c>
      <c r="H219" s="135" t="str">
        <f>'[5]Annex-20'!H219</f>
        <v/>
      </c>
      <c r="I219" s="135" t="str">
        <f>'[5]Annex-20'!I219</f>
        <v xml:space="preserve"> </v>
      </c>
      <c r="J219" s="135" t="str">
        <f>'[5]Annex-20'!J219</f>
        <v xml:space="preserve"> </v>
      </c>
      <c r="K219" s="135" t="str">
        <f>'[5]Annex-20'!K219</f>
        <v xml:space="preserve"> </v>
      </c>
      <c r="L219" s="135" t="str">
        <f>'[5]Annex-20'!L219</f>
        <v xml:space="preserve"> </v>
      </c>
      <c r="M219" s="135" t="str">
        <f>'[5]Annex-20'!M219</f>
        <v xml:space="preserve"> </v>
      </c>
    </row>
    <row r="220" spans="1:13" hidden="1" x14ac:dyDescent="0.3">
      <c r="A220" s="178" t="str">
        <f t="shared" ref="A220" si="167">IF(A214="","","(%)")</f>
        <v/>
      </c>
      <c r="B220" s="196"/>
      <c r="C220" s="196" t="str">
        <f>'[5]Annex-20'!C220</f>
        <v/>
      </c>
      <c r="D220" s="196" t="str">
        <f>'[5]Annex-20'!D220</f>
        <v/>
      </c>
      <c r="E220" s="196" t="str">
        <f>'[5]Annex-20'!E220</f>
        <v/>
      </c>
      <c r="F220" s="196" t="str">
        <f>'[5]Annex-20'!F220</f>
        <v/>
      </c>
      <c r="G220" s="196" t="str">
        <f>'[5]Annex-20'!G220</f>
        <v/>
      </c>
      <c r="H220" s="196"/>
      <c r="I220" s="196" t="str">
        <f>'[5]Annex-20'!I220</f>
        <v/>
      </c>
      <c r="J220" s="196" t="str">
        <f>'[5]Annex-20'!J220</f>
        <v/>
      </c>
      <c r="K220" s="196" t="str">
        <f>'[5]Annex-20'!K220</f>
        <v/>
      </c>
      <c r="L220" s="196" t="str">
        <f>'[5]Annex-20'!L220</f>
        <v/>
      </c>
      <c r="M220" s="196" t="str">
        <f>'[5]Annex-20'!M220</f>
        <v/>
      </c>
    </row>
    <row r="221" spans="1:13" ht="9" hidden="1" customHeight="1" x14ac:dyDescent="0.3">
      <c r="A221" s="197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</row>
    <row r="222" spans="1:13" ht="15" thickTop="1" x14ac:dyDescent="0.3"/>
  </sheetData>
  <mergeCells count="8">
    <mergeCell ref="A1:M1"/>
    <mergeCell ref="A2:K2"/>
    <mergeCell ref="L2:M2"/>
    <mergeCell ref="A3:M3"/>
    <mergeCell ref="A4:A6"/>
    <mergeCell ref="B4:M4"/>
    <mergeCell ref="B5:G5"/>
    <mergeCell ref="H5:M5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L82"/>
  <sheetViews>
    <sheetView view="pageBreakPreview" zoomScale="70" zoomScaleNormal="100" zoomScaleSheetLayoutView="70" workbookViewId="0">
      <selection activeCell="N25" sqref="N25"/>
    </sheetView>
  </sheetViews>
  <sheetFormatPr defaultRowHeight="14.4" x14ac:dyDescent="0.3"/>
  <cols>
    <col min="1" max="1" width="10.44140625" customWidth="1"/>
    <col min="2" max="2" width="11.6640625" customWidth="1"/>
    <col min="3" max="6" width="12.33203125" customWidth="1"/>
    <col min="7" max="10" width="13.5546875" customWidth="1"/>
  </cols>
  <sheetData>
    <row r="1" spans="1:12" x14ac:dyDescent="0.3">
      <c r="A1" s="235" t="s">
        <v>214</v>
      </c>
      <c r="B1" s="235"/>
      <c r="C1" s="235"/>
      <c r="D1" s="235"/>
      <c r="E1" s="235"/>
      <c r="F1" s="235"/>
      <c r="G1" s="235"/>
      <c r="H1" s="235"/>
      <c r="I1" s="235"/>
      <c r="J1" s="235"/>
      <c r="K1" s="152"/>
    </row>
    <row r="2" spans="1:12" x14ac:dyDescent="0.3">
      <c r="A2" s="312" t="str">
        <f>common!$H$2</f>
        <v>UT : PUDUCHERRY</v>
      </c>
      <c r="B2" s="312"/>
      <c r="C2" s="312"/>
      <c r="D2" s="312"/>
      <c r="E2" s="312"/>
      <c r="F2" s="312"/>
      <c r="G2" s="312"/>
      <c r="H2" s="312"/>
      <c r="I2" s="236" t="s">
        <v>134</v>
      </c>
      <c r="J2" s="236"/>
      <c r="K2" s="101"/>
      <c r="L2" s="101"/>
    </row>
    <row r="3" spans="1:12" x14ac:dyDescent="0.3">
      <c r="A3" s="315" t="str">
        <f>"SUBSTITUTION OF SAMPLING UNITS DURING "&amp; common!$C$4 &amp;" AND "&amp; common!$C$5 &amp;"(POOLED SAMPLE)."</f>
        <v>SUBSTITUTION OF SAMPLING UNITS DURING 2024-25 AND 2023-24(POOLED SAMPLE).</v>
      </c>
      <c r="B3" s="315"/>
      <c r="C3" s="315"/>
      <c r="D3" s="315"/>
      <c r="E3" s="315"/>
      <c r="F3" s="315"/>
      <c r="G3" s="315"/>
      <c r="H3" s="315"/>
      <c r="I3" s="315"/>
      <c r="J3" s="315"/>
      <c r="K3" s="101"/>
      <c r="L3" s="101"/>
    </row>
    <row r="4" spans="1:12" ht="30" customHeight="1" x14ac:dyDescent="0.3">
      <c r="A4" s="252" t="s">
        <v>267</v>
      </c>
      <c r="B4" s="252" t="s">
        <v>280</v>
      </c>
      <c r="C4" s="253" t="s">
        <v>197</v>
      </c>
      <c r="D4" s="253"/>
      <c r="E4" s="253"/>
      <c r="F4" s="253"/>
      <c r="G4" s="253"/>
      <c r="H4" s="253"/>
      <c r="I4" s="253"/>
      <c r="J4" s="253"/>
      <c r="K4" s="101"/>
      <c r="L4" s="101"/>
    </row>
    <row r="5" spans="1:12" ht="30" customHeight="1" x14ac:dyDescent="0.3">
      <c r="A5" s="253"/>
      <c r="B5" s="253"/>
      <c r="C5" s="253" t="s">
        <v>135</v>
      </c>
      <c r="D5" s="253"/>
      <c r="E5" s="253"/>
      <c r="F5" s="253"/>
      <c r="G5" s="253" t="s">
        <v>136</v>
      </c>
      <c r="H5" s="253"/>
      <c r="I5" s="253"/>
      <c r="J5" s="253"/>
      <c r="K5" s="101"/>
      <c r="L5" s="101"/>
    </row>
    <row r="6" spans="1:12" x14ac:dyDescent="0.3">
      <c r="A6" s="153"/>
      <c r="B6" s="153"/>
      <c r="C6" s="154">
        <v>1</v>
      </c>
      <c r="D6" s="154">
        <v>2</v>
      </c>
      <c r="E6" s="154">
        <v>3</v>
      </c>
      <c r="F6" s="154">
        <v>9</v>
      </c>
      <c r="G6" s="154">
        <v>1</v>
      </c>
      <c r="H6" s="154">
        <v>2</v>
      </c>
      <c r="I6" s="154">
        <v>3</v>
      </c>
      <c r="J6" s="154">
        <v>9</v>
      </c>
      <c r="K6" s="101"/>
      <c r="L6" s="101"/>
    </row>
    <row r="7" spans="1:12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1"/>
      <c r="L7" s="101"/>
    </row>
    <row r="8" spans="1:12" x14ac:dyDescent="0.3">
      <c r="A8" s="315" t="str">
        <f>common!$H$4</f>
        <v>RABI I 2024-25</v>
      </c>
      <c r="B8" s="315"/>
      <c r="C8" s="101"/>
      <c r="D8" s="101"/>
      <c r="E8" s="101"/>
      <c r="F8" s="101"/>
      <c r="G8" s="101"/>
      <c r="H8" s="101"/>
      <c r="I8" s="101"/>
      <c r="J8" s="101"/>
      <c r="K8" s="101"/>
      <c r="L8" s="101"/>
    </row>
    <row r="9" spans="1:12" x14ac:dyDescent="0.3">
      <c r="A9" s="113">
        <f>IF(B9="","",1)</f>
        <v>1</v>
      </c>
      <c r="B9" s="153" t="str">
        <f>IF('[5]Crops CY'!A7=0,"",'[5]Crops CY'!A7)</f>
        <v>PADDY</v>
      </c>
      <c r="C9" s="154" t="str">
        <f>'[5]Annex-21'!C8</f>
        <v>0(  0.0)</v>
      </c>
      <c r="D9" s="154" t="str">
        <f>'[5]Annex-21'!D8</f>
        <v>0(  0.0)</v>
      </c>
      <c r="E9" s="154" t="str">
        <f>'[5]Annex-21'!E8</f>
        <v>0(  0.0)</v>
      </c>
      <c r="F9" s="154" t="str">
        <f>'[5]Annex-21'!F8</f>
        <v>0(  0.0)</v>
      </c>
      <c r="G9" s="154" t="str">
        <f>'[5]Annex-21'!G8</f>
        <v>0(  0.0)</v>
      </c>
      <c r="H9" s="154" t="str">
        <f>'[5]Annex-21'!H8</f>
        <v>0(  0.0)</v>
      </c>
      <c r="I9" s="154" t="str">
        <f>'[5]Annex-21'!I8</f>
        <v>0(  0.0)</v>
      </c>
      <c r="J9" s="154" t="str">
        <f>'[5]Annex-21'!J8</f>
        <v>0(  0.0)</v>
      </c>
      <c r="K9" s="101"/>
      <c r="L9" s="101"/>
    </row>
    <row r="10" spans="1:12" hidden="1" x14ac:dyDescent="0.3">
      <c r="A10" s="113" t="str">
        <f>IF(B10="","",A9+1)</f>
        <v/>
      </c>
      <c r="B10" s="101" t="str">
        <f>IF('[5]Crops CY'!A8=0,"",'[5]Crops CY'!A8)</f>
        <v/>
      </c>
      <c r="C10" s="113" t="str">
        <f>'[5]Annex-21'!C9</f>
        <v/>
      </c>
      <c r="D10" s="113" t="str">
        <f>'[5]Annex-21'!D9</f>
        <v/>
      </c>
      <c r="E10" s="113" t="str">
        <f>'[5]Annex-21'!E9</f>
        <v/>
      </c>
      <c r="F10" s="113" t="str">
        <f>'[5]Annex-21'!F9</f>
        <v/>
      </c>
      <c r="G10" s="113" t="str">
        <f>'[5]Annex-21'!G9</f>
        <v/>
      </c>
      <c r="H10" s="113" t="str">
        <f>'[5]Annex-21'!H9</f>
        <v/>
      </c>
      <c r="I10" s="113" t="str">
        <f>'[5]Annex-21'!I9</f>
        <v/>
      </c>
      <c r="J10" s="113" t="str">
        <f>'[5]Annex-21'!J9</f>
        <v/>
      </c>
      <c r="K10" s="101"/>
      <c r="L10" s="101"/>
    </row>
    <row r="11" spans="1:12" hidden="1" x14ac:dyDescent="0.3">
      <c r="A11" s="155" t="str">
        <f t="shared" ref="A11:A21" si="0">IF(B11="","",A10+1)</f>
        <v/>
      </c>
      <c r="B11" s="101" t="str">
        <f>IF('[5]Crops CY'!A9=0,"",'[5]Crops CY'!A9)</f>
        <v/>
      </c>
      <c r="C11" s="113" t="str">
        <f>'[5]Annex-21'!C10</f>
        <v/>
      </c>
      <c r="D11" s="113" t="str">
        <f>'[5]Annex-21'!D10</f>
        <v/>
      </c>
      <c r="E11" s="113" t="str">
        <f>'[5]Annex-21'!E10</f>
        <v/>
      </c>
      <c r="F11" s="113" t="str">
        <f>'[5]Annex-21'!F10</f>
        <v/>
      </c>
      <c r="G11" s="113" t="str">
        <f>'[5]Annex-21'!G10</f>
        <v/>
      </c>
      <c r="H11" s="113" t="str">
        <f>'[5]Annex-21'!H10</f>
        <v/>
      </c>
      <c r="I11" s="113" t="str">
        <f>'[5]Annex-21'!I10</f>
        <v/>
      </c>
      <c r="J11" s="113" t="str">
        <f>'[5]Annex-21'!J10</f>
        <v/>
      </c>
      <c r="K11" s="101"/>
      <c r="L11" s="101"/>
    </row>
    <row r="12" spans="1:12" hidden="1" x14ac:dyDescent="0.3">
      <c r="A12" s="113" t="str">
        <f t="shared" si="0"/>
        <v/>
      </c>
      <c r="B12" s="101" t="str">
        <f>IF('[5]Crops CY'!A10=0,"",'[5]Crops CY'!A10)</f>
        <v/>
      </c>
      <c r="C12" s="113" t="str">
        <f>'[5]Annex-21'!C11</f>
        <v/>
      </c>
      <c r="D12" s="113" t="str">
        <f>'[5]Annex-21'!D11</f>
        <v/>
      </c>
      <c r="E12" s="113" t="str">
        <f>'[5]Annex-21'!E11</f>
        <v/>
      </c>
      <c r="F12" s="113" t="str">
        <f>'[5]Annex-21'!F11</f>
        <v/>
      </c>
      <c r="G12" s="113" t="str">
        <f>'[5]Annex-21'!G11</f>
        <v/>
      </c>
      <c r="H12" s="113" t="str">
        <f>'[5]Annex-21'!H11</f>
        <v/>
      </c>
      <c r="I12" s="113" t="str">
        <f>'[5]Annex-21'!I11</f>
        <v/>
      </c>
      <c r="J12" s="113" t="str">
        <f>'[5]Annex-21'!J11</f>
        <v/>
      </c>
      <c r="K12" s="101"/>
      <c r="L12" s="101"/>
    </row>
    <row r="13" spans="1:12" hidden="1" x14ac:dyDescent="0.3">
      <c r="A13" s="113" t="str">
        <f t="shared" si="0"/>
        <v/>
      </c>
      <c r="B13" s="101" t="str">
        <f>IF('[5]Crops CY'!A11=0,"",'[5]Crops CY'!A11)</f>
        <v/>
      </c>
      <c r="C13" s="113" t="str">
        <f>'[5]Annex-21'!C12</f>
        <v/>
      </c>
      <c r="D13" s="113" t="str">
        <f>'[5]Annex-21'!D12</f>
        <v/>
      </c>
      <c r="E13" s="113" t="str">
        <f>'[5]Annex-21'!E12</f>
        <v/>
      </c>
      <c r="F13" s="113" t="str">
        <f>'[5]Annex-21'!F12</f>
        <v/>
      </c>
      <c r="G13" s="113" t="str">
        <f>'[5]Annex-21'!G12</f>
        <v/>
      </c>
      <c r="H13" s="113" t="str">
        <f>'[5]Annex-21'!H12</f>
        <v/>
      </c>
      <c r="I13" s="113" t="str">
        <f>'[5]Annex-21'!I12</f>
        <v/>
      </c>
      <c r="J13" s="113" t="str">
        <f>'[5]Annex-21'!J12</f>
        <v/>
      </c>
      <c r="K13" s="101"/>
      <c r="L13" s="101"/>
    </row>
    <row r="14" spans="1:12" hidden="1" x14ac:dyDescent="0.3">
      <c r="A14" s="113" t="str">
        <f t="shared" si="0"/>
        <v/>
      </c>
      <c r="B14" s="101" t="str">
        <f>IF('[5]Crops CY'!A12=0,"",'[5]Crops CY'!A12)</f>
        <v/>
      </c>
      <c r="C14" s="113" t="str">
        <f>'[5]Annex-21'!C13</f>
        <v/>
      </c>
      <c r="D14" s="113" t="str">
        <f>'[5]Annex-21'!D13</f>
        <v/>
      </c>
      <c r="E14" s="113" t="str">
        <f>'[5]Annex-21'!E13</f>
        <v/>
      </c>
      <c r="F14" s="113" t="str">
        <f>'[5]Annex-21'!F13</f>
        <v/>
      </c>
      <c r="G14" s="113" t="str">
        <f>'[5]Annex-21'!G13</f>
        <v/>
      </c>
      <c r="H14" s="113" t="str">
        <f>'[5]Annex-21'!H13</f>
        <v/>
      </c>
      <c r="I14" s="113" t="str">
        <f>'[5]Annex-21'!I13</f>
        <v/>
      </c>
      <c r="J14" s="113" t="str">
        <f>'[5]Annex-21'!J13</f>
        <v/>
      </c>
      <c r="K14" s="101"/>
      <c r="L14" s="101"/>
    </row>
    <row r="15" spans="1:12" hidden="1" x14ac:dyDescent="0.3">
      <c r="A15" s="113" t="str">
        <f t="shared" si="0"/>
        <v/>
      </c>
      <c r="B15" s="101" t="str">
        <f>IF('[5]Crops CY'!A13=0,"",'[5]Crops CY'!A13)</f>
        <v/>
      </c>
      <c r="C15" s="113" t="str">
        <f>'[5]Annex-21'!C14</f>
        <v/>
      </c>
      <c r="D15" s="113" t="str">
        <f>'[5]Annex-21'!D14</f>
        <v/>
      </c>
      <c r="E15" s="113" t="str">
        <f>'[5]Annex-21'!E14</f>
        <v/>
      </c>
      <c r="F15" s="113" t="str">
        <f>'[5]Annex-21'!F14</f>
        <v/>
      </c>
      <c r="G15" s="113" t="str">
        <f>'[5]Annex-21'!G14</f>
        <v/>
      </c>
      <c r="H15" s="113" t="str">
        <f>'[5]Annex-21'!H14</f>
        <v/>
      </c>
      <c r="I15" s="113" t="str">
        <f>'[5]Annex-21'!I14</f>
        <v/>
      </c>
      <c r="J15" s="113" t="str">
        <f>'[5]Annex-21'!J14</f>
        <v/>
      </c>
      <c r="K15" s="101"/>
      <c r="L15" s="101"/>
    </row>
    <row r="16" spans="1:12" hidden="1" x14ac:dyDescent="0.3">
      <c r="A16" s="113" t="str">
        <f t="shared" si="0"/>
        <v/>
      </c>
      <c r="B16" s="101" t="str">
        <f>IF('[5]Crops CY'!A14=0,"",'[5]Crops CY'!A14)</f>
        <v/>
      </c>
      <c r="C16" s="113" t="str">
        <f>'[5]Annex-21'!C15</f>
        <v/>
      </c>
      <c r="D16" s="113" t="str">
        <f>'[5]Annex-21'!D15</f>
        <v/>
      </c>
      <c r="E16" s="113" t="str">
        <f>'[5]Annex-21'!E15</f>
        <v/>
      </c>
      <c r="F16" s="113" t="str">
        <f>'[5]Annex-21'!F15</f>
        <v/>
      </c>
      <c r="G16" s="113" t="str">
        <f>'[5]Annex-21'!G15</f>
        <v/>
      </c>
      <c r="H16" s="113" t="str">
        <f>'[5]Annex-21'!H15</f>
        <v/>
      </c>
      <c r="I16" s="113" t="str">
        <f>'[5]Annex-21'!I15</f>
        <v/>
      </c>
      <c r="J16" s="113" t="str">
        <f>'[5]Annex-21'!J15</f>
        <v/>
      </c>
      <c r="K16" s="101"/>
      <c r="L16" s="101"/>
    </row>
    <row r="17" spans="1:12" hidden="1" x14ac:dyDescent="0.3">
      <c r="A17" s="113" t="str">
        <f t="shared" si="0"/>
        <v/>
      </c>
      <c r="B17" s="101" t="str">
        <f>IF('[5]Crops CY'!A15=0,"",'[5]Crops CY'!A15)</f>
        <v/>
      </c>
      <c r="C17" s="113" t="str">
        <f>'[5]Annex-21'!C16</f>
        <v/>
      </c>
      <c r="D17" s="113" t="str">
        <f>'[5]Annex-21'!D16</f>
        <v/>
      </c>
      <c r="E17" s="113" t="str">
        <f>'[5]Annex-21'!E16</f>
        <v/>
      </c>
      <c r="F17" s="113" t="str">
        <f>'[5]Annex-21'!F16</f>
        <v/>
      </c>
      <c r="G17" s="113" t="str">
        <f>'[5]Annex-21'!G16</f>
        <v/>
      </c>
      <c r="H17" s="113" t="str">
        <f>'[5]Annex-21'!H16</f>
        <v/>
      </c>
      <c r="I17" s="113" t="str">
        <f>'[5]Annex-21'!I16</f>
        <v/>
      </c>
      <c r="J17" s="113" t="str">
        <f>'[5]Annex-21'!J16</f>
        <v/>
      </c>
      <c r="K17" s="101"/>
      <c r="L17" s="101"/>
    </row>
    <row r="18" spans="1:12" hidden="1" x14ac:dyDescent="0.3">
      <c r="A18" s="113" t="str">
        <f t="shared" si="0"/>
        <v/>
      </c>
      <c r="B18" s="101" t="str">
        <f>IF('[5]Crops CY'!A16=0,"",'[5]Crops CY'!A16)</f>
        <v/>
      </c>
      <c r="C18" s="113" t="str">
        <f>'[5]Annex-21'!C17</f>
        <v/>
      </c>
      <c r="D18" s="113" t="str">
        <f>'[5]Annex-21'!D17</f>
        <v/>
      </c>
      <c r="E18" s="113" t="str">
        <f>'[5]Annex-21'!E17</f>
        <v/>
      </c>
      <c r="F18" s="113" t="str">
        <f>'[5]Annex-21'!F17</f>
        <v/>
      </c>
      <c r="G18" s="113" t="str">
        <f>'[5]Annex-21'!G17</f>
        <v/>
      </c>
      <c r="H18" s="113" t="str">
        <f>'[5]Annex-21'!H17</f>
        <v/>
      </c>
      <c r="I18" s="113" t="str">
        <f>'[5]Annex-21'!I17</f>
        <v/>
      </c>
      <c r="J18" s="113" t="str">
        <f>'[5]Annex-21'!J17</f>
        <v/>
      </c>
      <c r="K18" s="101"/>
      <c r="L18" s="101"/>
    </row>
    <row r="19" spans="1:12" hidden="1" x14ac:dyDescent="0.3">
      <c r="A19" s="113" t="str">
        <f t="shared" si="0"/>
        <v/>
      </c>
      <c r="B19" s="101" t="str">
        <f>IF('[5]Crops CY'!A17=0,"",'[5]Crops CY'!A17)</f>
        <v/>
      </c>
      <c r="C19" s="113" t="str">
        <f>'[5]Annex-21'!C18</f>
        <v/>
      </c>
      <c r="D19" s="113" t="str">
        <f>'[5]Annex-21'!D18</f>
        <v/>
      </c>
      <c r="E19" s="113" t="str">
        <f>'[5]Annex-21'!E18</f>
        <v/>
      </c>
      <c r="F19" s="113" t="str">
        <f>'[5]Annex-21'!F18</f>
        <v/>
      </c>
      <c r="G19" s="113" t="str">
        <f>'[5]Annex-21'!G18</f>
        <v/>
      </c>
      <c r="H19" s="113" t="str">
        <f>'[5]Annex-21'!H18</f>
        <v/>
      </c>
      <c r="I19" s="113" t="str">
        <f>'[5]Annex-21'!I18</f>
        <v/>
      </c>
      <c r="J19" s="113" t="str">
        <f>'[5]Annex-21'!J18</f>
        <v/>
      </c>
      <c r="K19" s="101"/>
      <c r="L19" s="101"/>
    </row>
    <row r="20" spans="1:12" hidden="1" x14ac:dyDescent="0.3">
      <c r="A20" s="113" t="str">
        <f t="shared" si="0"/>
        <v/>
      </c>
      <c r="B20" s="101" t="str">
        <f>IF('[5]Crops CY'!A18=0,"",'[5]Crops CY'!A18)</f>
        <v/>
      </c>
      <c r="C20" s="113" t="str">
        <f>'[5]Annex-21'!C19</f>
        <v/>
      </c>
      <c r="D20" s="113" t="str">
        <f>'[5]Annex-21'!D19</f>
        <v/>
      </c>
      <c r="E20" s="113" t="str">
        <f>'[5]Annex-21'!E19</f>
        <v/>
      </c>
      <c r="F20" s="113" t="str">
        <f>'[5]Annex-21'!F19</f>
        <v/>
      </c>
      <c r="G20" s="113" t="str">
        <f>'[5]Annex-21'!G19</f>
        <v/>
      </c>
      <c r="H20" s="113" t="str">
        <f>'[5]Annex-21'!H19</f>
        <v/>
      </c>
      <c r="I20" s="113" t="str">
        <f>'[5]Annex-21'!I19</f>
        <v/>
      </c>
      <c r="J20" s="113" t="str">
        <f>'[5]Annex-21'!J19</f>
        <v/>
      </c>
      <c r="K20" s="101"/>
      <c r="L20" s="101"/>
    </row>
    <row r="21" spans="1:12" hidden="1" x14ac:dyDescent="0.3">
      <c r="A21" s="113" t="str">
        <f t="shared" si="0"/>
        <v/>
      </c>
      <c r="B21" s="101" t="str">
        <f>IF('[5]Crops CY'!A19=0,"",'[5]Crops CY'!A19)</f>
        <v/>
      </c>
      <c r="C21" s="113" t="str">
        <f>'[5]Annex-21'!C20</f>
        <v/>
      </c>
      <c r="D21" s="113" t="str">
        <f>'[5]Annex-21'!D20</f>
        <v/>
      </c>
      <c r="E21" s="113" t="str">
        <f>'[5]Annex-21'!E20</f>
        <v/>
      </c>
      <c r="F21" s="113" t="str">
        <f>'[5]Annex-21'!F20</f>
        <v/>
      </c>
      <c r="G21" s="113" t="str">
        <f>'[5]Annex-21'!G20</f>
        <v/>
      </c>
      <c r="H21" s="113" t="str">
        <f>'[5]Annex-21'!H20</f>
        <v/>
      </c>
      <c r="I21" s="113" t="str">
        <f>'[5]Annex-21'!I20</f>
        <v/>
      </c>
      <c r="J21" s="113" t="str">
        <f>'[5]Annex-21'!J20</f>
        <v/>
      </c>
      <c r="K21" s="101"/>
      <c r="L21" s="101"/>
    </row>
    <row r="22" spans="1:12" hidden="1" x14ac:dyDescent="0.3">
      <c r="A22" s="113" t="str">
        <f>IF(B22="","",A21+1)</f>
        <v/>
      </c>
      <c r="B22" s="101" t="str">
        <f>IF('[5]Crops CY'!A20=0,"",'[5]Crops CY'!A20)</f>
        <v/>
      </c>
      <c r="C22" s="113" t="str">
        <f>'[5]Annex-21'!C21</f>
        <v/>
      </c>
      <c r="D22" s="113" t="str">
        <f>'[5]Annex-21'!D21</f>
        <v/>
      </c>
      <c r="E22" s="113" t="str">
        <f>'[5]Annex-21'!E21</f>
        <v/>
      </c>
      <c r="F22" s="113" t="str">
        <f>'[5]Annex-21'!F21</f>
        <v/>
      </c>
      <c r="G22" s="113" t="str">
        <f>'[5]Annex-21'!G21</f>
        <v/>
      </c>
      <c r="H22" s="113" t="str">
        <f>'[5]Annex-21'!H21</f>
        <v/>
      </c>
      <c r="I22" s="113" t="str">
        <f>'[5]Annex-21'!I21</f>
        <v/>
      </c>
      <c r="J22" s="113" t="str">
        <f>'[5]Annex-21'!J21</f>
        <v/>
      </c>
      <c r="K22" s="101"/>
      <c r="L22" s="101"/>
    </row>
    <row r="23" spans="1:12" hidden="1" x14ac:dyDescent="0.3">
      <c r="A23" s="155" t="str">
        <f t="shared" ref="A23" si="1">IF(B23="","",A22+1)</f>
        <v/>
      </c>
      <c r="B23" s="156" t="str">
        <f>IF('[5]Crops CY'!A21=0,"",'[5]Crops CY'!A21)</f>
        <v/>
      </c>
      <c r="C23" s="155" t="str">
        <f>'[5]Annex-21'!C22</f>
        <v/>
      </c>
      <c r="D23" s="155" t="str">
        <f>'[5]Annex-21'!D22</f>
        <v/>
      </c>
      <c r="E23" s="155" t="str">
        <f>'[5]Annex-21'!E22</f>
        <v/>
      </c>
      <c r="F23" s="155" t="str">
        <f>'[5]Annex-21'!F22</f>
        <v/>
      </c>
      <c r="G23" s="155" t="str">
        <f>'[5]Annex-21'!G22</f>
        <v/>
      </c>
      <c r="H23" s="155" t="str">
        <f>'[5]Annex-21'!H22</f>
        <v/>
      </c>
      <c r="I23" s="155" t="str">
        <f>'[5]Annex-21'!I22</f>
        <v/>
      </c>
      <c r="J23" s="155" t="str">
        <f>'[5]Annex-21'!J22</f>
        <v/>
      </c>
      <c r="K23" s="101"/>
      <c r="L23" s="101"/>
    </row>
    <row r="24" spans="1:12" x14ac:dyDescent="0.3">
      <c r="A24" s="153"/>
      <c r="B24" s="157" t="s">
        <v>39</v>
      </c>
      <c r="C24" s="158" t="str">
        <f>'[5]Annex-21'!C23</f>
        <v>0(  0.0)</v>
      </c>
      <c r="D24" s="158" t="str">
        <f>'[5]Annex-21'!D23</f>
        <v>0(  0.0)</v>
      </c>
      <c r="E24" s="158" t="str">
        <f>'[5]Annex-21'!E23</f>
        <v>0(  0.0)</v>
      </c>
      <c r="F24" s="158" t="str">
        <f>'[5]Annex-21'!F23</f>
        <v>0(  0.0)</v>
      </c>
      <c r="G24" s="158" t="str">
        <f>'[5]Annex-21'!G23</f>
        <v>0(  0.0)</v>
      </c>
      <c r="H24" s="158" t="str">
        <f>'[5]Annex-21'!H23</f>
        <v>0(  0.0)</v>
      </c>
      <c r="I24" s="158" t="str">
        <f>'[5]Annex-21'!I23</f>
        <v>0(  0.0)</v>
      </c>
      <c r="J24" s="158" t="str">
        <f>'[5]Annex-21'!J23</f>
        <v>0(  0.0)</v>
      </c>
      <c r="K24" s="101"/>
      <c r="L24" s="101"/>
    </row>
    <row r="25" spans="1:12" x14ac:dyDescent="0.3">
      <c r="A25" s="315" t="str">
        <f>common!$I$4</f>
        <v>RABI II 2024-25</v>
      </c>
      <c r="B25" s="315"/>
      <c r="C25" s="113"/>
      <c r="D25" s="113"/>
      <c r="E25" s="113"/>
      <c r="F25" s="113"/>
      <c r="G25" s="113"/>
      <c r="H25" s="113"/>
      <c r="I25" s="113"/>
      <c r="J25" s="113"/>
      <c r="K25" s="101"/>
      <c r="L25" s="101"/>
    </row>
    <row r="26" spans="1:12" x14ac:dyDescent="0.3">
      <c r="A26" s="113">
        <f>IF(B26="","",1)</f>
        <v>1</v>
      </c>
      <c r="B26" s="153" t="str">
        <f>IF('[5]Crops CY'!C7=0,"",'[5]Crops CY'!C7)</f>
        <v>PADDY</v>
      </c>
      <c r="C26" s="154" t="str">
        <f>'[5]Annex-21'!C25</f>
        <v>4( 20.0)</v>
      </c>
      <c r="D26" s="154" t="str">
        <f>'[5]Annex-21'!D25</f>
        <v>0(  0.0)</v>
      </c>
      <c r="E26" s="154" t="str">
        <f>'[5]Annex-21'!E25</f>
        <v>0(  0.0)</v>
      </c>
      <c r="F26" s="154" t="str">
        <f>'[5]Annex-21'!F25</f>
        <v>0(  0.0)</v>
      </c>
      <c r="G26" s="154" t="str">
        <f>'[5]Annex-21'!G25</f>
        <v>0(  0.0)</v>
      </c>
      <c r="H26" s="154" t="str">
        <f>'[5]Annex-21'!H25</f>
        <v>0(  0.0)</v>
      </c>
      <c r="I26" s="154" t="str">
        <f>'[5]Annex-21'!I25</f>
        <v>0(  0.0)</v>
      </c>
      <c r="J26" s="154" t="str">
        <f>'[5]Annex-21'!J25</f>
        <v>2( 10.0)</v>
      </c>
      <c r="K26" s="101"/>
      <c r="L26" s="101"/>
    </row>
    <row r="27" spans="1:12" ht="15" hidden="1" customHeight="1" x14ac:dyDescent="0.3">
      <c r="A27" s="113" t="str">
        <f>IF(B27="","",A26+1)</f>
        <v/>
      </c>
      <c r="B27" s="101" t="str">
        <f>IF('[5]Crops CY'!C8=0,"",'[5]Crops CY'!C8)</f>
        <v/>
      </c>
      <c r="C27" s="113" t="str">
        <f>'[5]Annex-21'!C26</f>
        <v/>
      </c>
      <c r="D27" s="113" t="str">
        <f>'[5]Annex-21'!D26</f>
        <v/>
      </c>
      <c r="E27" s="113" t="str">
        <f>'[5]Annex-21'!E26</f>
        <v/>
      </c>
      <c r="F27" s="113" t="str">
        <f>'[5]Annex-21'!F26</f>
        <v/>
      </c>
      <c r="G27" s="113" t="str">
        <f>'[5]Annex-21'!G26</f>
        <v/>
      </c>
      <c r="H27" s="113" t="str">
        <f>'[5]Annex-21'!H26</f>
        <v/>
      </c>
      <c r="I27" s="113" t="str">
        <f>'[5]Annex-21'!I26</f>
        <v/>
      </c>
      <c r="J27" s="113" t="str">
        <f>'[5]Annex-21'!J26</f>
        <v/>
      </c>
      <c r="K27" s="101"/>
      <c r="L27" s="101"/>
    </row>
    <row r="28" spans="1:12" ht="15" hidden="1" customHeight="1" x14ac:dyDescent="0.3">
      <c r="A28" s="113" t="str">
        <f t="shared" ref="A28:A40" si="2">IF(B28="","",A27+1)</f>
        <v/>
      </c>
      <c r="B28" s="101" t="str">
        <f>IF('[5]Crops CY'!C9=0,"",'[5]Crops CY'!C9)</f>
        <v/>
      </c>
      <c r="C28" s="113" t="str">
        <f>'[5]Annex-21'!C27</f>
        <v/>
      </c>
      <c r="D28" s="113" t="str">
        <f>'[5]Annex-21'!D27</f>
        <v/>
      </c>
      <c r="E28" s="113" t="str">
        <f>'[5]Annex-21'!E27</f>
        <v/>
      </c>
      <c r="F28" s="113" t="str">
        <f>'[5]Annex-21'!F27</f>
        <v/>
      </c>
      <c r="G28" s="113" t="str">
        <f>'[5]Annex-21'!G27</f>
        <v/>
      </c>
      <c r="H28" s="113" t="str">
        <f>'[5]Annex-21'!H27</f>
        <v/>
      </c>
      <c r="I28" s="113" t="str">
        <f>'[5]Annex-21'!I27</f>
        <v/>
      </c>
      <c r="J28" s="113" t="str">
        <f>'[5]Annex-21'!J27</f>
        <v/>
      </c>
      <c r="K28" s="101"/>
      <c r="L28" s="101"/>
    </row>
    <row r="29" spans="1:12" ht="15" hidden="1" customHeight="1" x14ac:dyDescent="0.3">
      <c r="A29" s="113" t="str">
        <f t="shared" si="2"/>
        <v/>
      </c>
      <c r="B29" s="101" t="str">
        <f>IF('[5]Crops CY'!C10=0,"",'[5]Crops CY'!C10)</f>
        <v/>
      </c>
      <c r="C29" s="113" t="str">
        <f>'[5]Annex-21'!C28</f>
        <v/>
      </c>
      <c r="D29" s="113" t="str">
        <f>'[5]Annex-21'!D28</f>
        <v/>
      </c>
      <c r="E29" s="113" t="str">
        <f>'[5]Annex-21'!E28</f>
        <v/>
      </c>
      <c r="F29" s="113" t="str">
        <f>'[5]Annex-21'!F28</f>
        <v/>
      </c>
      <c r="G29" s="113" t="str">
        <f>'[5]Annex-21'!G28</f>
        <v/>
      </c>
      <c r="H29" s="113" t="str">
        <f>'[5]Annex-21'!H28</f>
        <v/>
      </c>
      <c r="I29" s="113" t="str">
        <f>'[5]Annex-21'!I28</f>
        <v/>
      </c>
      <c r="J29" s="113" t="str">
        <f>'[5]Annex-21'!J28</f>
        <v/>
      </c>
      <c r="K29" s="101"/>
      <c r="L29" s="101"/>
    </row>
    <row r="30" spans="1:12" ht="15" hidden="1" customHeight="1" x14ac:dyDescent="0.3">
      <c r="A30" s="113" t="str">
        <f t="shared" si="2"/>
        <v/>
      </c>
      <c r="B30" s="101" t="str">
        <f>IF('[5]Crops CY'!C11=0,"",'[5]Crops CY'!C11)</f>
        <v/>
      </c>
      <c r="C30" s="113" t="str">
        <f>'[5]Annex-21'!C29</f>
        <v/>
      </c>
      <c r="D30" s="113" t="str">
        <f>'[5]Annex-21'!D29</f>
        <v/>
      </c>
      <c r="E30" s="113" t="str">
        <f>'[5]Annex-21'!E29</f>
        <v/>
      </c>
      <c r="F30" s="113" t="str">
        <f>'[5]Annex-21'!F29</f>
        <v/>
      </c>
      <c r="G30" s="113" t="str">
        <f>'[5]Annex-21'!G29</f>
        <v/>
      </c>
      <c r="H30" s="113" t="str">
        <f>'[5]Annex-21'!H29</f>
        <v/>
      </c>
      <c r="I30" s="113" t="str">
        <f>'[5]Annex-21'!I29</f>
        <v/>
      </c>
      <c r="J30" s="113" t="str">
        <f>'[5]Annex-21'!J29</f>
        <v/>
      </c>
      <c r="K30" s="101"/>
      <c r="L30" s="101"/>
    </row>
    <row r="31" spans="1:12" ht="15" hidden="1" customHeight="1" x14ac:dyDescent="0.3">
      <c r="A31" s="113" t="str">
        <f t="shared" si="2"/>
        <v/>
      </c>
      <c r="B31" s="101" t="str">
        <f>IF('[5]Crops CY'!C12=0,"",'[5]Crops CY'!C12)</f>
        <v/>
      </c>
      <c r="C31" s="113" t="str">
        <f>'[5]Annex-21'!C30</f>
        <v/>
      </c>
      <c r="D31" s="113" t="str">
        <f>'[5]Annex-21'!D30</f>
        <v/>
      </c>
      <c r="E31" s="113" t="str">
        <f>'[5]Annex-21'!E30</f>
        <v/>
      </c>
      <c r="F31" s="113" t="str">
        <f>'[5]Annex-21'!F30</f>
        <v/>
      </c>
      <c r="G31" s="113" t="str">
        <f>'[5]Annex-21'!G30</f>
        <v/>
      </c>
      <c r="H31" s="113" t="str">
        <f>'[5]Annex-21'!H30</f>
        <v/>
      </c>
      <c r="I31" s="113" t="str">
        <f>'[5]Annex-21'!I30</f>
        <v/>
      </c>
      <c r="J31" s="113" t="str">
        <f>'[5]Annex-21'!J30</f>
        <v/>
      </c>
      <c r="K31" s="101"/>
      <c r="L31" s="101"/>
    </row>
    <row r="32" spans="1:12" ht="15" hidden="1" customHeight="1" x14ac:dyDescent="0.3">
      <c r="A32" s="113" t="str">
        <f t="shared" si="2"/>
        <v/>
      </c>
      <c r="B32" s="101" t="str">
        <f>IF('[5]Crops CY'!C13=0,"",'[5]Crops CY'!C13)</f>
        <v/>
      </c>
      <c r="C32" s="113" t="str">
        <f>'[5]Annex-21'!C31</f>
        <v/>
      </c>
      <c r="D32" s="113" t="str">
        <f>'[5]Annex-21'!D31</f>
        <v/>
      </c>
      <c r="E32" s="113" t="str">
        <f>'[5]Annex-21'!E31</f>
        <v/>
      </c>
      <c r="F32" s="113" t="str">
        <f>'[5]Annex-21'!F31</f>
        <v/>
      </c>
      <c r="G32" s="113" t="str">
        <f>'[5]Annex-21'!G31</f>
        <v/>
      </c>
      <c r="H32" s="113" t="str">
        <f>'[5]Annex-21'!H31</f>
        <v/>
      </c>
      <c r="I32" s="113" t="str">
        <f>'[5]Annex-21'!I31</f>
        <v/>
      </c>
      <c r="J32" s="113" t="str">
        <f>'[5]Annex-21'!J31</f>
        <v/>
      </c>
      <c r="K32" s="101"/>
      <c r="L32" s="101"/>
    </row>
    <row r="33" spans="1:12" ht="15" hidden="1" customHeight="1" x14ac:dyDescent="0.3">
      <c r="A33" s="113" t="str">
        <f t="shared" si="2"/>
        <v/>
      </c>
      <c r="B33" s="101" t="str">
        <f>IF('[5]Crops CY'!C14=0,"",'[5]Crops CY'!C14)</f>
        <v/>
      </c>
      <c r="C33" s="113" t="str">
        <f>'[5]Annex-21'!C32</f>
        <v/>
      </c>
      <c r="D33" s="113" t="str">
        <f>'[5]Annex-21'!D32</f>
        <v/>
      </c>
      <c r="E33" s="113" t="str">
        <f>'[5]Annex-21'!E32</f>
        <v/>
      </c>
      <c r="F33" s="113" t="str">
        <f>'[5]Annex-21'!F32</f>
        <v/>
      </c>
      <c r="G33" s="113" t="str">
        <f>'[5]Annex-21'!G32</f>
        <v/>
      </c>
      <c r="H33" s="113" t="str">
        <f>'[5]Annex-21'!H32</f>
        <v/>
      </c>
      <c r="I33" s="113" t="str">
        <f>'[5]Annex-21'!I32</f>
        <v/>
      </c>
      <c r="J33" s="113" t="str">
        <f>'[5]Annex-21'!J32</f>
        <v/>
      </c>
      <c r="K33" s="101"/>
      <c r="L33" s="101"/>
    </row>
    <row r="34" spans="1:12" ht="15" hidden="1" customHeight="1" x14ac:dyDescent="0.3">
      <c r="A34" s="113" t="str">
        <f t="shared" si="2"/>
        <v/>
      </c>
      <c r="B34" s="101" t="str">
        <f>IF('[5]Crops CY'!C15=0,"",'[5]Crops CY'!C15)</f>
        <v/>
      </c>
      <c r="C34" s="113" t="str">
        <f>'[5]Annex-21'!C33</f>
        <v/>
      </c>
      <c r="D34" s="113" t="str">
        <f>'[5]Annex-21'!D33</f>
        <v/>
      </c>
      <c r="E34" s="113" t="str">
        <f>'[5]Annex-21'!E33</f>
        <v/>
      </c>
      <c r="F34" s="113" t="str">
        <f>'[5]Annex-21'!F33</f>
        <v/>
      </c>
      <c r="G34" s="113" t="str">
        <f>'[5]Annex-21'!G33</f>
        <v/>
      </c>
      <c r="H34" s="113" t="str">
        <f>'[5]Annex-21'!H33</f>
        <v/>
      </c>
      <c r="I34" s="113" t="str">
        <f>'[5]Annex-21'!I33</f>
        <v/>
      </c>
      <c r="J34" s="113" t="str">
        <f>'[5]Annex-21'!J33</f>
        <v/>
      </c>
      <c r="K34" s="101"/>
      <c r="L34" s="101"/>
    </row>
    <row r="35" spans="1:12" ht="15" hidden="1" customHeight="1" x14ac:dyDescent="0.3">
      <c r="A35" s="113" t="str">
        <f t="shared" si="2"/>
        <v/>
      </c>
      <c r="B35" s="101" t="str">
        <f>IF('[5]Crops CY'!C16=0,"",'[5]Crops CY'!C16)</f>
        <v/>
      </c>
      <c r="C35" s="113" t="str">
        <f>'[5]Annex-21'!C34</f>
        <v/>
      </c>
      <c r="D35" s="113" t="str">
        <f>'[5]Annex-21'!D34</f>
        <v/>
      </c>
      <c r="E35" s="113" t="str">
        <f>'[5]Annex-21'!E34</f>
        <v/>
      </c>
      <c r="F35" s="113" t="str">
        <f>'[5]Annex-21'!F34</f>
        <v/>
      </c>
      <c r="G35" s="113" t="str">
        <f>'[5]Annex-21'!G34</f>
        <v/>
      </c>
      <c r="H35" s="113" t="str">
        <f>'[5]Annex-21'!H34</f>
        <v/>
      </c>
      <c r="I35" s="113" t="str">
        <f>'[5]Annex-21'!I34</f>
        <v/>
      </c>
      <c r="J35" s="113" t="str">
        <f>'[5]Annex-21'!J34</f>
        <v/>
      </c>
      <c r="K35" s="101"/>
      <c r="L35" s="101"/>
    </row>
    <row r="36" spans="1:12" ht="15" hidden="1" customHeight="1" x14ac:dyDescent="0.3">
      <c r="A36" s="113" t="str">
        <f t="shared" si="2"/>
        <v/>
      </c>
      <c r="B36" s="101" t="str">
        <f>IF('[5]Crops CY'!C17=0,"",'[5]Crops CY'!C17)</f>
        <v/>
      </c>
      <c r="C36" s="113" t="str">
        <f>'[5]Annex-21'!C35</f>
        <v/>
      </c>
      <c r="D36" s="113" t="str">
        <f>'[5]Annex-21'!D35</f>
        <v/>
      </c>
      <c r="E36" s="113" t="str">
        <f>'[5]Annex-21'!E35</f>
        <v/>
      </c>
      <c r="F36" s="113" t="str">
        <f>'[5]Annex-21'!F35</f>
        <v/>
      </c>
      <c r="G36" s="113" t="str">
        <f>'[5]Annex-21'!G35</f>
        <v/>
      </c>
      <c r="H36" s="113" t="str">
        <f>'[5]Annex-21'!H35</f>
        <v/>
      </c>
      <c r="I36" s="113" t="str">
        <f>'[5]Annex-21'!I35</f>
        <v/>
      </c>
      <c r="J36" s="113" t="str">
        <f>'[5]Annex-21'!J35</f>
        <v/>
      </c>
      <c r="K36" s="101"/>
      <c r="L36" s="101"/>
    </row>
    <row r="37" spans="1:12" ht="15" hidden="1" customHeight="1" x14ac:dyDescent="0.3">
      <c r="A37" s="113" t="str">
        <f t="shared" si="2"/>
        <v/>
      </c>
      <c r="B37" s="101" t="str">
        <f>IF('[5]Crops CY'!C18=0,"",'[5]Crops CY'!C18)</f>
        <v/>
      </c>
      <c r="C37" s="113" t="str">
        <f>'[5]Annex-21'!C36</f>
        <v/>
      </c>
      <c r="D37" s="113" t="str">
        <f>'[5]Annex-21'!D36</f>
        <v/>
      </c>
      <c r="E37" s="113" t="str">
        <f>'[5]Annex-21'!E36</f>
        <v/>
      </c>
      <c r="F37" s="113" t="str">
        <f>'[5]Annex-21'!F36</f>
        <v/>
      </c>
      <c r="G37" s="113" t="str">
        <f>'[5]Annex-21'!G36</f>
        <v/>
      </c>
      <c r="H37" s="113" t="str">
        <f>'[5]Annex-21'!H36</f>
        <v/>
      </c>
      <c r="I37" s="113" t="str">
        <f>'[5]Annex-21'!I36</f>
        <v/>
      </c>
      <c r="J37" s="113" t="str">
        <f>'[5]Annex-21'!J36</f>
        <v/>
      </c>
      <c r="K37" s="101"/>
      <c r="L37" s="101"/>
    </row>
    <row r="38" spans="1:12" ht="15" hidden="1" customHeight="1" x14ac:dyDescent="0.3">
      <c r="A38" s="113" t="str">
        <f t="shared" si="2"/>
        <v/>
      </c>
      <c r="B38" s="101" t="str">
        <f>IF('[5]Crops CY'!C19=0,"",'[5]Crops CY'!C19)</f>
        <v/>
      </c>
      <c r="C38" s="113" t="str">
        <f>'[5]Annex-21'!C37</f>
        <v/>
      </c>
      <c r="D38" s="113" t="str">
        <f>'[5]Annex-21'!D37</f>
        <v/>
      </c>
      <c r="E38" s="113" t="str">
        <f>'[5]Annex-21'!E37</f>
        <v/>
      </c>
      <c r="F38" s="113" t="str">
        <f>'[5]Annex-21'!F37</f>
        <v/>
      </c>
      <c r="G38" s="113" t="str">
        <f>'[5]Annex-21'!G37</f>
        <v/>
      </c>
      <c r="H38" s="113" t="str">
        <f>'[5]Annex-21'!H37</f>
        <v/>
      </c>
      <c r="I38" s="113" t="str">
        <f>'[5]Annex-21'!I37</f>
        <v/>
      </c>
      <c r="J38" s="113" t="str">
        <f>'[5]Annex-21'!J37</f>
        <v/>
      </c>
      <c r="K38" s="101"/>
      <c r="L38" s="101"/>
    </row>
    <row r="39" spans="1:12" ht="15" hidden="1" customHeight="1" x14ac:dyDescent="0.3">
      <c r="A39" s="113" t="str">
        <f>IF(B39="","",A38+1)</f>
        <v/>
      </c>
      <c r="B39" s="101" t="str">
        <f>IF('[5]Crops CY'!C20=0,"",'[5]Crops CY'!C20)</f>
        <v/>
      </c>
      <c r="C39" s="113" t="str">
        <f>'[5]Annex-21'!C38</f>
        <v/>
      </c>
      <c r="D39" s="113" t="str">
        <f>'[5]Annex-21'!D38</f>
        <v/>
      </c>
      <c r="E39" s="113" t="str">
        <f>'[5]Annex-21'!E38</f>
        <v/>
      </c>
      <c r="F39" s="113" t="str">
        <f>'[5]Annex-21'!F38</f>
        <v/>
      </c>
      <c r="G39" s="113" t="str">
        <f>'[5]Annex-21'!G38</f>
        <v/>
      </c>
      <c r="H39" s="113" t="str">
        <f>'[5]Annex-21'!H38</f>
        <v/>
      </c>
      <c r="I39" s="113" t="str">
        <f>'[5]Annex-21'!I38</f>
        <v/>
      </c>
      <c r="J39" s="113" t="str">
        <f>'[5]Annex-21'!J38</f>
        <v/>
      </c>
      <c r="K39" s="101"/>
      <c r="L39" s="101"/>
    </row>
    <row r="40" spans="1:12" ht="15" hidden="1" customHeight="1" x14ac:dyDescent="0.3">
      <c r="A40" s="113" t="str">
        <f t="shared" si="2"/>
        <v/>
      </c>
      <c r="B40" s="156" t="str">
        <f>IF('[5]Crops CY'!C21=0,"",'[5]Crops CY'!C21)</f>
        <v/>
      </c>
      <c r="C40" s="155" t="str">
        <f>'[5]Annex-21'!C39</f>
        <v/>
      </c>
      <c r="D40" s="155" t="str">
        <f>'[5]Annex-21'!D39</f>
        <v/>
      </c>
      <c r="E40" s="155" t="str">
        <f>'[5]Annex-21'!E39</f>
        <v/>
      </c>
      <c r="F40" s="155" t="str">
        <f>'[5]Annex-21'!F39</f>
        <v/>
      </c>
      <c r="G40" s="155" t="str">
        <f>'[5]Annex-21'!G39</f>
        <v/>
      </c>
      <c r="H40" s="155" t="str">
        <f>'[5]Annex-21'!H39</f>
        <v/>
      </c>
      <c r="I40" s="155" t="str">
        <f>'[5]Annex-21'!I39</f>
        <v/>
      </c>
      <c r="J40" s="155" t="str">
        <f>'[5]Annex-21'!J39</f>
        <v/>
      </c>
      <c r="K40" s="101"/>
      <c r="L40" s="101"/>
    </row>
    <row r="41" spans="1:12" x14ac:dyDescent="0.3">
      <c r="A41" s="153"/>
      <c r="B41" s="157" t="str">
        <f>IF('[5]Crops CY'!C5=0,"","TOTAL")</f>
        <v>TOTAL</v>
      </c>
      <c r="C41" s="154" t="str">
        <f>'[5]Annex-21'!C40</f>
        <v>4( 20.0)</v>
      </c>
      <c r="D41" s="154" t="str">
        <f>'[5]Annex-21'!D40</f>
        <v>0(  0.0)</v>
      </c>
      <c r="E41" s="154" t="str">
        <f>'[5]Annex-21'!E40</f>
        <v>0(  0.0)</v>
      </c>
      <c r="F41" s="154" t="str">
        <f>'[5]Annex-21'!F40</f>
        <v>0(  0.0)</v>
      </c>
      <c r="G41" s="154" t="str">
        <f>'[5]Annex-21'!G40</f>
        <v>0(  0.0)</v>
      </c>
      <c r="H41" s="154" t="str">
        <f>'[5]Annex-21'!H40</f>
        <v>0(  0.0)</v>
      </c>
      <c r="I41" s="154" t="str">
        <f>'[5]Annex-21'!I40</f>
        <v>0(  0.0)</v>
      </c>
      <c r="J41" s="154" t="str">
        <f>'[5]Annex-21'!J40</f>
        <v>2( 10.0)</v>
      </c>
      <c r="K41" s="101"/>
      <c r="L41" s="101"/>
    </row>
    <row r="42" spans="1:12" x14ac:dyDescent="0.3">
      <c r="A42" s="315" t="str">
        <f>common!$H$5</f>
        <v>RABI I 2023-24</v>
      </c>
      <c r="B42" s="315"/>
      <c r="C42" s="113"/>
      <c r="D42" s="113"/>
      <c r="E42" s="113"/>
      <c r="F42" s="113"/>
      <c r="G42" s="113"/>
      <c r="H42" s="113"/>
      <c r="I42" s="113"/>
      <c r="J42" s="113"/>
      <c r="K42" s="101"/>
      <c r="L42" s="101"/>
    </row>
    <row r="43" spans="1:12" x14ac:dyDescent="0.3">
      <c r="A43" s="113">
        <f>IF(B43="","",1)</f>
        <v>1</v>
      </c>
      <c r="B43" s="153" t="str">
        <f>IF('[5]Crops PY'!A7=0,"",'[5]Crops PY'!A7)</f>
        <v>PADDY</v>
      </c>
      <c r="C43" s="154" t="str">
        <f>'[5]Annex-21'!C43</f>
        <v>0(  0.0)</v>
      </c>
      <c r="D43" s="154" t="str">
        <f>'[5]Annex-21'!D43</f>
        <v>0(  0.0)</v>
      </c>
      <c r="E43" s="154" t="str">
        <f>'[5]Annex-21'!E43</f>
        <v>0(  0.0)</v>
      </c>
      <c r="F43" s="154" t="str">
        <f>'[5]Annex-21'!F43</f>
        <v>0(  0.0)</v>
      </c>
      <c r="G43" s="154" t="str">
        <f>'[5]Annex-21'!G43</f>
        <v>0(  0.0)</v>
      </c>
      <c r="H43" s="154" t="str">
        <f>'[5]Annex-21'!H43</f>
        <v>0(  0.0)</v>
      </c>
      <c r="I43" s="154" t="str">
        <f>'[5]Annex-21'!I43</f>
        <v>0(  0.0)</v>
      </c>
      <c r="J43" s="154" t="str">
        <f>'[5]Annex-21'!J43</f>
        <v>0(  0.0)</v>
      </c>
      <c r="K43" s="101"/>
      <c r="L43" s="101"/>
    </row>
    <row r="44" spans="1:12" ht="15.75" hidden="1" customHeight="1" x14ac:dyDescent="0.3">
      <c r="A44" s="113" t="str">
        <f>IF(B44="","",A43+1)</f>
        <v/>
      </c>
      <c r="B44" s="101" t="str">
        <f>IF('[5]Crops PY'!A8=0,"",'[5]Crops PY'!A8)</f>
        <v/>
      </c>
      <c r="C44" s="113" t="str">
        <f>'[5]Annex-21'!C44</f>
        <v/>
      </c>
      <c r="D44" s="113" t="str">
        <f>'[5]Annex-21'!D44</f>
        <v/>
      </c>
      <c r="E44" s="113" t="str">
        <f>'[5]Annex-21'!E44</f>
        <v/>
      </c>
      <c r="F44" s="113" t="str">
        <f>'[5]Annex-21'!F44</f>
        <v/>
      </c>
      <c r="G44" s="113" t="str">
        <f>'[5]Annex-21'!G44</f>
        <v/>
      </c>
      <c r="H44" s="113" t="str">
        <f>'[5]Annex-21'!H44</f>
        <v/>
      </c>
      <c r="I44" s="113" t="str">
        <f>'[5]Annex-21'!I44</f>
        <v/>
      </c>
      <c r="J44" s="113" t="str">
        <f>'[5]Annex-21'!J44</f>
        <v/>
      </c>
      <c r="K44" s="101"/>
      <c r="L44" s="101"/>
    </row>
    <row r="45" spans="1:12" hidden="1" x14ac:dyDescent="0.3">
      <c r="A45" s="113" t="str">
        <f t="shared" ref="A45:A54" si="3">IF(B45="","",A44+1)</f>
        <v/>
      </c>
      <c r="B45" s="101" t="str">
        <f>IF('[5]Crops PY'!A9=0,"",'[5]Crops PY'!A9)</f>
        <v/>
      </c>
      <c r="C45" s="113" t="str">
        <f>'[5]Annex-21'!C45</f>
        <v/>
      </c>
      <c r="D45" s="113" t="str">
        <f>'[5]Annex-21'!D45</f>
        <v/>
      </c>
      <c r="E45" s="113" t="str">
        <f>'[5]Annex-21'!E45</f>
        <v/>
      </c>
      <c r="F45" s="113" t="str">
        <f>'[5]Annex-21'!F45</f>
        <v/>
      </c>
      <c r="G45" s="113" t="str">
        <f>'[5]Annex-21'!G45</f>
        <v/>
      </c>
      <c r="H45" s="113" t="str">
        <f>'[5]Annex-21'!H45</f>
        <v/>
      </c>
      <c r="I45" s="113" t="str">
        <f>'[5]Annex-21'!I45</f>
        <v/>
      </c>
      <c r="J45" s="113" t="str">
        <f>'[5]Annex-21'!J45</f>
        <v/>
      </c>
      <c r="K45" s="101"/>
      <c r="L45" s="101"/>
    </row>
    <row r="46" spans="1:12" hidden="1" x14ac:dyDescent="0.3">
      <c r="A46" s="113" t="str">
        <f t="shared" si="3"/>
        <v/>
      </c>
      <c r="B46" s="101" t="str">
        <f>IF('[5]Crops PY'!A10=0,"",'[5]Crops PY'!A10)</f>
        <v/>
      </c>
      <c r="C46" s="113" t="str">
        <f>'[5]Annex-21'!C46</f>
        <v/>
      </c>
      <c r="D46" s="113" t="str">
        <f>'[5]Annex-21'!D46</f>
        <v/>
      </c>
      <c r="E46" s="113" t="str">
        <f>'[5]Annex-21'!E46</f>
        <v/>
      </c>
      <c r="F46" s="113" t="str">
        <f>'[5]Annex-21'!F46</f>
        <v/>
      </c>
      <c r="G46" s="113" t="str">
        <f>'[5]Annex-21'!G46</f>
        <v/>
      </c>
      <c r="H46" s="113" t="str">
        <f>'[5]Annex-21'!H46</f>
        <v/>
      </c>
      <c r="I46" s="113" t="str">
        <f>'[5]Annex-21'!I46</f>
        <v/>
      </c>
      <c r="J46" s="113" t="str">
        <f>'[5]Annex-21'!J46</f>
        <v/>
      </c>
      <c r="K46" s="101"/>
      <c r="L46" s="101"/>
    </row>
    <row r="47" spans="1:12" hidden="1" x14ac:dyDescent="0.3">
      <c r="A47" s="113" t="str">
        <f t="shared" si="3"/>
        <v/>
      </c>
      <c r="B47" s="101" t="str">
        <f>IF('[5]Crops PY'!A11=0,"",'[5]Crops PY'!A11)</f>
        <v/>
      </c>
      <c r="C47" s="113" t="str">
        <f>'[5]Annex-21'!C47</f>
        <v/>
      </c>
      <c r="D47" s="113" t="str">
        <f>'[5]Annex-21'!D47</f>
        <v/>
      </c>
      <c r="E47" s="113" t="str">
        <f>'[5]Annex-21'!E47</f>
        <v/>
      </c>
      <c r="F47" s="113" t="str">
        <f>'[5]Annex-21'!F47</f>
        <v/>
      </c>
      <c r="G47" s="113" t="str">
        <f>'[5]Annex-21'!G47</f>
        <v/>
      </c>
      <c r="H47" s="113" t="str">
        <f>'[5]Annex-21'!H47</f>
        <v/>
      </c>
      <c r="I47" s="113" t="str">
        <f>'[5]Annex-21'!I47</f>
        <v/>
      </c>
      <c r="J47" s="113" t="str">
        <f>'[5]Annex-21'!J47</f>
        <v/>
      </c>
      <c r="K47" s="101"/>
      <c r="L47" s="101"/>
    </row>
    <row r="48" spans="1:12" hidden="1" x14ac:dyDescent="0.3">
      <c r="A48" s="113" t="str">
        <f t="shared" si="3"/>
        <v/>
      </c>
      <c r="B48" s="101" t="str">
        <f>IF('[5]Crops PY'!A12=0,"",'[5]Crops PY'!A12)</f>
        <v/>
      </c>
      <c r="C48" s="113" t="str">
        <f>'[5]Annex-21'!C48</f>
        <v/>
      </c>
      <c r="D48" s="113" t="str">
        <f>'[5]Annex-21'!D48</f>
        <v/>
      </c>
      <c r="E48" s="113" t="str">
        <f>'[5]Annex-21'!E48</f>
        <v/>
      </c>
      <c r="F48" s="113" t="str">
        <f>'[5]Annex-21'!F48</f>
        <v/>
      </c>
      <c r="G48" s="113" t="str">
        <f>'[5]Annex-21'!G48</f>
        <v/>
      </c>
      <c r="H48" s="113" t="str">
        <f>'[5]Annex-21'!H48</f>
        <v/>
      </c>
      <c r="I48" s="113" t="str">
        <f>'[5]Annex-21'!I48</f>
        <v/>
      </c>
      <c r="J48" s="113" t="str">
        <f>'[5]Annex-21'!J48</f>
        <v/>
      </c>
      <c r="K48" s="101"/>
      <c r="L48" s="101"/>
    </row>
    <row r="49" spans="1:12" hidden="1" x14ac:dyDescent="0.3">
      <c r="A49" s="113" t="str">
        <f t="shared" si="3"/>
        <v/>
      </c>
      <c r="B49" s="101" t="str">
        <f>IF('[5]Crops PY'!A13=0,"",'[5]Crops PY'!A13)</f>
        <v/>
      </c>
      <c r="C49" s="113" t="str">
        <f>'[5]Annex-21'!C49</f>
        <v/>
      </c>
      <c r="D49" s="113" t="str">
        <f>'[5]Annex-21'!D49</f>
        <v/>
      </c>
      <c r="E49" s="113" t="str">
        <f>'[5]Annex-21'!E49</f>
        <v/>
      </c>
      <c r="F49" s="113" t="str">
        <f>'[5]Annex-21'!F49</f>
        <v/>
      </c>
      <c r="G49" s="113" t="str">
        <f>'[5]Annex-21'!G49</f>
        <v/>
      </c>
      <c r="H49" s="113" t="str">
        <f>'[5]Annex-21'!H49</f>
        <v/>
      </c>
      <c r="I49" s="113" t="str">
        <f>'[5]Annex-21'!I49</f>
        <v/>
      </c>
      <c r="J49" s="113" t="str">
        <f>'[5]Annex-21'!J49</f>
        <v/>
      </c>
      <c r="K49" s="101"/>
      <c r="L49" s="101"/>
    </row>
    <row r="50" spans="1:12" hidden="1" x14ac:dyDescent="0.3">
      <c r="A50" s="113" t="str">
        <f t="shared" si="3"/>
        <v/>
      </c>
      <c r="B50" s="101" t="str">
        <f>IF('[5]Crops PY'!A14=0,"",'[5]Crops PY'!A14)</f>
        <v/>
      </c>
      <c r="C50" s="113" t="str">
        <f>'[5]Annex-21'!C50</f>
        <v/>
      </c>
      <c r="D50" s="113" t="str">
        <f>'[5]Annex-21'!D50</f>
        <v/>
      </c>
      <c r="E50" s="113" t="str">
        <f>'[5]Annex-21'!E50</f>
        <v/>
      </c>
      <c r="F50" s="113" t="str">
        <f>'[5]Annex-21'!F50</f>
        <v/>
      </c>
      <c r="G50" s="113" t="str">
        <f>'[5]Annex-21'!G50</f>
        <v/>
      </c>
      <c r="H50" s="113" t="str">
        <f>'[5]Annex-21'!H50</f>
        <v/>
      </c>
      <c r="I50" s="113" t="str">
        <f>'[5]Annex-21'!I50</f>
        <v/>
      </c>
      <c r="J50" s="113" t="str">
        <f>'[5]Annex-21'!J50</f>
        <v/>
      </c>
      <c r="K50" s="101"/>
      <c r="L50" s="101"/>
    </row>
    <row r="51" spans="1:12" hidden="1" x14ac:dyDescent="0.3">
      <c r="A51" s="113" t="str">
        <f t="shared" si="3"/>
        <v/>
      </c>
      <c r="B51" s="101" t="str">
        <f>IF('[5]Crops PY'!A15=0,"",'[5]Crops PY'!A15)</f>
        <v/>
      </c>
      <c r="C51" s="113" t="str">
        <f>'[5]Annex-21'!C51</f>
        <v/>
      </c>
      <c r="D51" s="113" t="str">
        <f>'[5]Annex-21'!D51</f>
        <v/>
      </c>
      <c r="E51" s="113" t="str">
        <f>'[5]Annex-21'!E51</f>
        <v/>
      </c>
      <c r="F51" s="113" t="str">
        <f>'[5]Annex-21'!F51</f>
        <v/>
      </c>
      <c r="G51" s="113" t="str">
        <f>'[5]Annex-21'!G51</f>
        <v/>
      </c>
      <c r="H51" s="113" t="str">
        <f>'[5]Annex-21'!H51</f>
        <v/>
      </c>
      <c r="I51" s="113" t="str">
        <f>'[5]Annex-21'!I51</f>
        <v/>
      </c>
      <c r="J51" s="113" t="str">
        <f>'[5]Annex-21'!J51</f>
        <v/>
      </c>
      <c r="K51" s="101"/>
      <c r="L51" s="101"/>
    </row>
    <row r="52" spans="1:12" hidden="1" x14ac:dyDescent="0.3">
      <c r="A52" s="113" t="str">
        <f t="shared" si="3"/>
        <v/>
      </c>
      <c r="B52" s="101" t="str">
        <f>IF('[5]Crops PY'!A16=0,"",'[5]Crops PY'!A16)</f>
        <v/>
      </c>
      <c r="C52" s="113" t="str">
        <f>'[5]Annex-21'!C52</f>
        <v/>
      </c>
      <c r="D52" s="113" t="str">
        <f>'[5]Annex-21'!D52</f>
        <v/>
      </c>
      <c r="E52" s="113" t="str">
        <f>'[5]Annex-21'!E52</f>
        <v/>
      </c>
      <c r="F52" s="113" t="str">
        <f>'[5]Annex-21'!F52</f>
        <v/>
      </c>
      <c r="G52" s="113" t="str">
        <f>'[5]Annex-21'!G52</f>
        <v/>
      </c>
      <c r="H52" s="113" t="str">
        <f>'[5]Annex-21'!H52</f>
        <v/>
      </c>
      <c r="I52" s="113" t="str">
        <f>'[5]Annex-21'!I52</f>
        <v/>
      </c>
      <c r="J52" s="113" t="str">
        <f>'[5]Annex-21'!J52</f>
        <v/>
      </c>
      <c r="K52" s="101"/>
      <c r="L52" s="101"/>
    </row>
    <row r="53" spans="1:12" hidden="1" x14ac:dyDescent="0.3">
      <c r="A53" s="113" t="str">
        <f t="shared" si="3"/>
        <v/>
      </c>
      <c r="B53" s="101" t="str">
        <f>IF('[5]Crops PY'!A17=0,"",'[5]Crops PY'!A17)</f>
        <v/>
      </c>
      <c r="C53" s="113" t="str">
        <f>'[5]Annex-21'!C53</f>
        <v/>
      </c>
      <c r="D53" s="113" t="str">
        <f>'[5]Annex-21'!D53</f>
        <v/>
      </c>
      <c r="E53" s="113" t="str">
        <f>'[5]Annex-21'!E53</f>
        <v/>
      </c>
      <c r="F53" s="113" t="str">
        <f>'[5]Annex-21'!F53</f>
        <v/>
      </c>
      <c r="G53" s="113" t="str">
        <f>'[5]Annex-21'!G53</f>
        <v/>
      </c>
      <c r="H53" s="113" t="str">
        <f>'[5]Annex-21'!H53</f>
        <v/>
      </c>
      <c r="I53" s="113" t="str">
        <f>'[5]Annex-21'!I53</f>
        <v/>
      </c>
      <c r="J53" s="113" t="str">
        <f>'[5]Annex-21'!J53</f>
        <v/>
      </c>
      <c r="K53" s="101"/>
      <c r="L53" s="101"/>
    </row>
    <row r="54" spans="1:12" hidden="1" x14ac:dyDescent="0.3">
      <c r="A54" s="113" t="str">
        <f t="shared" si="3"/>
        <v/>
      </c>
      <c r="B54" s="101" t="str">
        <f>IF('[5]Crops PY'!A18=0,"",'[5]Crops PY'!A18)</f>
        <v/>
      </c>
      <c r="C54" s="113" t="str">
        <f>'[5]Annex-21'!C54</f>
        <v/>
      </c>
      <c r="D54" s="113" t="str">
        <f>'[5]Annex-21'!D54</f>
        <v/>
      </c>
      <c r="E54" s="113" t="str">
        <f>'[5]Annex-21'!E54</f>
        <v/>
      </c>
      <c r="F54" s="113" t="str">
        <f>'[5]Annex-21'!F54</f>
        <v/>
      </c>
      <c r="G54" s="113" t="str">
        <f>'[5]Annex-21'!G54</f>
        <v/>
      </c>
      <c r="H54" s="113" t="str">
        <f>'[5]Annex-21'!H54</f>
        <v/>
      </c>
      <c r="I54" s="113" t="str">
        <f>'[5]Annex-21'!I54</f>
        <v/>
      </c>
      <c r="J54" s="113" t="str">
        <f>'[5]Annex-21'!J54</f>
        <v/>
      </c>
      <c r="K54" s="101"/>
      <c r="L54" s="101"/>
    </row>
    <row r="55" spans="1:12" hidden="1" x14ac:dyDescent="0.3">
      <c r="A55" s="113" t="str">
        <f>IF(B55="","",A54+1)</f>
        <v/>
      </c>
      <c r="B55" s="101" t="str">
        <f>IF('[5]Crops PY'!A19=0,"",'[5]Crops PY'!A19)</f>
        <v/>
      </c>
      <c r="C55" s="113" t="str">
        <f>'[5]Annex-21'!C55</f>
        <v/>
      </c>
      <c r="D55" s="113" t="str">
        <f>'[5]Annex-21'!D55</f>
        <v/>
      </c>
      <c r="E55" s="113" t="str">
        <f>'[5]Annex-21'!E55</f>
        <v/>
      </c>
      <c r="F55" s="113" t="str">
        <f>'[5]Annex-21'!F55</f>
        <v/>
      </c>
      <c r="G55" s="113" t="str">
        <f>'[5]Annex-21'!G55</f>
        <v/>
      </c>
      <c r="H55" s="113" t="str">
        <f>'[5]Annex-21'!H55</f>
        <v/>
      </c>
      <c r="I55" s="113" t="str">
        <f>'[5]Annex-21'!I55</f>
        <v/>
      </c>
      <c r="J55" s="113" t="str">
        <f>'[5]Annex-21'!J55</f>
        <v/>
      </c>
      <c r="K55" s="101"/>
      <c r="L55" s="101"/>
    </row>
    <row r="56" spans="1:12" hidden="1" x14ac:dyDescent="0.3">
      <c r="A56" s="113" t="str">
        <f t="shared" ref="A56:A57" si="4">IF(B56="","",A55+1)</f>
        <v/>
      </c>
      <c r="B56" s="101" t="str">
        <f>IF('[5]Crops PY'!A20=0,"",'[5]Crops PY'!A20)</f>
        <v/>
      </c>
      <c r="C56" s="113" t="str">
        <f>'[5]Annex-21'!C56</f>
        <v/>
      </c>
      <c r="D56" s="113" t="str">
        <f>'[5]Annex-21'!D56</f>
        <v/>
      </c>
      <c r="E56" s="113" t="str">
        <f>'[5]Annex-21'!E56</f>
        <v/>
      </c>
      <c r="F56" s="113" t="str">
        <f>'[5]Annex-21'!F56</f>
        <v/>
      </c>
      <c r="G56" s="113" t="str">
        <f>'[5]Annex-21'!G56</f>
        <v/>
      </c>
      <c r="H56" s="113" t="str">
        <f>'[5]Annex-21'!H56</f>
        <v/>
      </c>
      <c r="I56" s="113" t="str">
        <f>'[5]Annex-21'!I56</f>
        <v/>
      </c>
      <c r="J56" s="113" t="str">
        <f>'[5]Annex-21'!J56</f>
        <v/>
      </c>
      <c r="K56" s="101"/>
      <c r="L56" s="101"/>
    </row>
    <row r="57" spans="1:12" hidden="1" x14ac:dyDescent="0.3">
      <c r="A57" s="113" t="str">
        <f t="shared" si="4"/>
        <v/>
      </c>
      <c r="B57" s="156" t="str">
        <f>IF('[5]Crops PY'!A21=0,"",'[5]Crops PY'!A21)</f>
        <v/>
      </c>
      <c r="C57" s="155" t="str">
        <f>'[5]Annex-21'!C57</f>
        <v/>
      </c>
      <c r="D57" s="155" t="str">
        <f>'[5]Annex-21'!D57</f>
        <v/>
      </c>
      <c r="E57" s="155" t="str">
        <f>'[5]Annex-21'!E57</f>
        <v/>
      </c>
      <c r="F57" s="155" t="str">
        <f>'[5]Annex-21'!F57</f>
        <v/>
      </c>
      <c r="G57" s="155" t="str">
        <f>'[5]Annex-21'!G57</f>
        <v/>
      </c>
      <c r="H57" s="155" t="str">
        <f>'[5]Annex-21'!H57</f>
        <v/>
      </c>
      <c r="I57" s="155" t="str">
        <f>'[5]Annex-21'!I57</f>
        <v/>
      </c>
      <c r="J57" s="155" t="str">
        <f>'[5]Annex-21'!J57</f>
        <v/>
      </c>
      <c r="K57" s="101"/>
      <c r="L57" s="101"/>
    </row>
    <row r="58" spans="1:12" x14ac:dyDescent="0.3">
      <c r="A58" s="153"/>
      <c r="B58" s="157" t="s">
        <v>39</v>
      </c>
      <c r="C58" s="158" t="str">
        <f>'[5]Annex-21'!C58</f>
        <v>0(  0.0)</v>
      </c>
      <c r="D58" s="158" t="str">
        <f>'[5]Annex-21'!D58</f>
        <v>0(  0.0)</v>
      </c>
      <c r="E58" s="158" t="str">
        <f>'[5]Annex-21'!E58</f>
        <v>0(  0.0)</v>
      </c>
      <c r="F58" s="158" t="str">
        <f>'[5]Annex-21'!F58</f>
        <v>0(  0.0)</v>
      </c>
      <c r="G58" s="158" t="str">
        <f>'[5]Annex-21'!G58</f>
        <v>0(  0.0)</v>
      </c>
      <c r="H58" s="158" t="str">
        <f>'[5]Annex-21'!H58</f>
        <v>0(  0.0)</v>
      </c>
      <c r="I58" s="158" t="str">
        <f>'[5]Annex-21'!I58</f>
        <v>0(  0.0)</v>
      </c>
      <c r="J58" s="158" t="str">
        <f>'[5]Annex-21'!J58</f>
        <v>0(  0.0)</v>
      </c>
      <c r="K58" s="101"/>
      <c r="L58" s="101"/>
    </row>
    <row r="59" spans="1:12" x14ac:dyDescent="0.3">
      <c r="A59" s="315" t="str">
        <f>common!$I$5</f>
        <v>RABI II 2023-24</v>
      </c>
      <c r="B59" s="315"/>
      <c r="C59" s="113"/>
      <c r="D59" s="113"/>
      <c r="E59" s="113"/>
      <c r="F59" s="113"/>
      <c r="G59" s="113"/>
      <c r="H59" s="113"/>
      <c r="I59" s="113"/>
      <c r="J59" s="113"/>
      <c r="K59" s="101"/>
      <c r="L59" s="101"/>
    </row>
    <row r="60" spans="1:12" x14ac:dyDescent="0.3">
      <c r="A60" s="113">
        <f>IF(B60="","",1)</f>
        <v>1</v>
      </c>
      <c r="B60" s="153" t="str">
        <f>IF('[5]Crops PY'!C7=0,"",'[5]Crops PY'!C7)</f>
        <v>PADDY</v>
      </c>
      <c r="C60" s="154" t="str">
        <f>'[5]Annex-21'!C60</f>
        <v>0(  0.0)</v>
      </c>
      <c r="D60" s="154" t="str">
        <f>'[5]Annex-21'!D60</f>
        <v>0(  0.0)</v>
      </c>
      <c r="E60" s="154" t="str">
        <f>'[5]Annex-21'!E60</f>
        <v>0(  0.0)</v>
      </c>
      <c r="F60" s="154" t="str">
        <f>'[5]Annex-21'!F60</f>
        <v>0(  0.0)</v>
      </c>
      <c r="G60" s="154" t="str">
        <f>'[5]Annex-21'!G60</f>
        <v>0(  0.0)</v>
      </c>
      <c r="H60" s="154" t="str">
        <f>'[5]Annex-21'!H60</f>
        <v>0(  0.0)</v>
      </c>
      <c r="I60" s="154" t="str">
        <f>'[5]Annex-21'!I60</f>
        <v>0(  0.0)</v>
      </c>
      <c r="J60" s="154" t="str">
        <f>'[5]Annex-21'!J60</f>
        <v>0(  0.0)</v>
      </c>
      <c r="K60" s="101"/>
      <c r="L60" s="101"/>
    </row>
    <row r="61" spans="1:12" hidden="1" x14ac:dyDescent="0.3">
      <c r="A61" s="113" t="str">
        <f>IF(B61="","",A60+1)</f>
        <v/>
      </c>
      <c r="B61" s="101" t="str">
        <f>IF('[5]Crops PY'!C8=0,"",'[5]Crops PY'!C8)</f>
        <v/>
      </c>
      <c r="C61" s="113" t="str">
        <f>'[5]Annex-21'!C61</f>
        <v/>
      </c>
      <c r="D61" s="113" t="str">
        <f>'[5]Annex-21'!D61</f>
        <v/>
      </c>
      <c r="E61" s="113" t="str">
        <f>'[5]Annex-21'!E61</f>
        <v/>
      </c>
      <c r="F61" s="113" t="str">
        <f>'[5]Annex-21'!F61</f>
        <v/>
      </c>
      <c r="G61" s="113" t="str">
        <f>'[5]Annex-21'!G61</f>
        <v/>
      </c>
      <c r="H61" s="113" t="str">
        <f>'[5]Annex-21'!H61</f>
        <v/>
      </c>
      <c r="I61" s="113" t="str">
        <f>'[5]Annex-21'!I61</f>
        <v/>
      </c>
      <c r="J61" s="113" t="str">
        <f>'[5]Annex-21'!J61</f>
        <v/>
      </c>
      <c r="K61" s="101"/>
      <c r="L61" s="101"/>
    </row>
    <row r="62" spans="1:12" hidden="1" x14ac:dyDescent="0.3">
      <c r="A62" s="113" t="str">
        <f t="shared" ref="A62:A74" si="5">IF(B62="","",A61+1)</f>
        <v/>
      </c>
      <c r="B62" s="101" t="str">
        <f>IF('[5]Crops PY'!C9=0,"",'[5]Crops PY'!C9)</f>
        <v/>
      </c>
      <c r="C62" s="113" t="str">
        <f>'[5]Annex-21'!C62</f>
        <v/>
      </c>
      <c r="D62" s="113" t="str">
        <f>'[5]Annex-21'!D62</f>
        <v/>
      </c>
      <c r="E62" s="113" t="str">
        <f>'[5]Annex-21'!E62</f>
        <v/>
      </c>
      <c r="F62" s="113" t="str">
        <f>'[5]Annex-21'!F62</f>
        <v/>
      </c>
      <c r="G62" s="113" t="str">
        <f>'[5]Annex-21'!G62</f>
        <v/>
      </c>
      <c r="H62" s="113" t="str">
        <f>'[5]Annex-21'!H62</f>
        <v/>
      </c>
      <c r="I62" s="113" t="str">
        <f>'[5]Annex-21'!I62</f>
        <v/>
      </c>
      <c r="J62" s="113" t="str">
        <f>'[5]Annex-21'!J62</f>
        <v/>
      </c>
      <c r="K62" s="101"/>
      <c r="L62" s="101"/>
    </row>
    <row r="63" spans="1:12" hidden="1" x14ac:dyDescent="0.3">
      <c r="A63" s="113" t="str">
        <f t="shared" si="5"/>
        <v/>
      </c>
      <c r="B63" s="101" t="str">
        <f>IF('[5]Crops PY'!C10=0,"",'[5]Crops PY'!C10)</f>
        <v/>
      </c>
      <c r="C63" s="113" t="str">
        <f>'[5]Annex-21'!C63</f>
        <v/>
      </c>
      <c r="D63" s="113" t="str">
        <f>'[5]Annex-21'!D63</f>
        <v/>
      </c>
      <c r="E63" s="113" t="str">
        <f>'[5]Annex-21'!E63</f>
        <v/>
      </c>
      <c r="F63" s="113" t="str">
        <f>'[5]Annex-21'!F63</f>
        <v/>
      </c>
      <c r="G63" s="113" t="str">
        <f>'[5]Annex-21'!G63</f>
        <v/>
      </c>
      <c r="H63" s="113" t="str">
        <f>'[5]Annex-21'!H63</f>
        <v/>
      </c>
      <c r="I63" s="113" t="str">
        <f>'[5]Annex-21'!I63</f>
        <v/>
      </c>
      <c r="J63" s="113" t="str">
        <f>'[5]Annex-21'!J63</f>
        <v/>
      </c>
      <c r="K63" s="101"/>
      <c r="L63" s="101"/>
    </row>
    <row r="64" spans="1:12" hidden="1" x14ac:dyDescent="0.3">
      <c r="A64" s="113" t="str">
        <f t="shared" si="5"/>
        <v/>
      </c>
      <c r="B64" s="101" t="str">
        <f>IF('[5]Crops PY'!C11=0,"",'[5]Crops PY'!C11)</f>
        <v/>
      </c>
      <c r="C64" s="113" t="str">
        <f>'[5]Annex-21'!C64</f>
        <v/>
      </c>
      <c r="D64" s="113" t="str">
        <f>'[5]Annex-21'!D64</f>
        <v/>
      </c>
      <c r="E64" s="113" t="str">
        <f>'[5]Annex-21'!E64</f>
        <v/>
      </c>
      <c r="F64" s="113" t="str">
        <f>'[5]Annex-21'!F64</f>
        <v/>
      </c>
      <c r="G64" s="113" t="str">
        <f>'[5]Annex-21'!G64</f>
        <v/>
      </c>
      <c r="H64" s="113" t="str">
        <f>'[5]Annex-21'!H64</f>
        <v/>
      </c>
      <c r="I64" s="113" t="str">
        <f>'[5]Annex-21'!I64</f>
        <v/>
      </c>
      <c r="J64" s="113" t="str">
        <f>'[5]Annex-21'!J64</f>
        <v/>
      </c>
      <c r="K64" s="101"/>
      <c r="L64" s="101"/>
    </row>
    <row r="65" spans="1:12" hidden="1" x14ac:dyDescent="0.3">
      <c r="A65" s="113" t="str">
        <f t="shared" si="5"/>
        <v/>
      </c>
      <c r="B65" s="101" t="str">
        <f>IF('[5]Crops PY'!C12=0,"",'[5]Crops PY'!C12)</f>
        <v/>
      </c>
      <c r="C65" s="113" t="str">
        <f>'[5]Annex-21'!C65</f>
        <v/>
      </c>
      <c r="D65" s="113" t="str">
        <f>'[5]Annex-21'!D65</f>
        <v/>
      </c>
      <c r="E65" s="113" t="str">
        <f>'[5]Annex-21'!E65</f>
        <v/>
      </c>
      <c r="F65" s="113" t="str">
        <f>'[5]Annex-21'!F65</f>
        <v/>
      </c>
      <c r="G65" s="113" t="str">
        <f>'[5]Annex-21'!G65</f>
        <v/>
      </c>
      <c r="H65" s="113" t="str">
        <f>'[5]Annex-21'!H65</f>
        <v/>
      </c>
      <c r="I65" s="113" t="str">
        <f>'[5]Annex-21'!I65</f>
        <v/>
      </c>
      <c r="J65" s="113" t="str">
        <f>'[5]Annex-21'!J65</f>
        <v/>
      </c>
      <c r="K65" s="101"/>
      <c r="L65" s="101"/>
    </row>
    <row r="66" spans="1:12" hidden="1" x14ac:dyDescent="0.3">
      <c r="A66" s="113" t="str">
        <f t="shared" si="5"/>
        <v/>
      </c>
      <c r="B66" s="101" t="str">
        <f>IF('[5]Crops PY'!C13=0,"",'[5]Crops PY'!C13)</f>
        <v/>
      </c>
      <c r="C66" s="113" t="str">
        <f>'[5]Annex-21'!C66</f>
        <v/>
      </c>
      <c r="D66" s="113" t="str">
        <f>'[5]Annex-21'!D66</f>
        <v/>
      </c>
      <c r="E66" s="113" t="str">
        <f>'[5]Annex-21'!E66</f>
        <v/>
      </c>
      <c r="F66" s="113" t="str">
        <f>'[5]Annex-21'!F66</f>
        <v/>
      </c>
      <c r="G66" s="113" t="str">
        <f>'[5]Annex-21'!G66</f>
        <v/>
      </c>
      <c r="H66" s="113" t="str">
        <f>'[5]Annex-21'!H66</f>
        <v/>
      </c>
      <c r="I66" s="113" t="str">
        <f>'[5]Annex-21'!I66</f>
        <v/>
      </c>
      <c r="J66" s="113" t="str">
        <f>'[5]Annex-21'!J66</f>
        <v/>
      </c>
      <c r="K66" s="101"/>
      <c r="L66" s="101"/>
    </row>
    <row r="67" spans="1:12" hidden="1" x14ac:dyDescent="0.3">
      <c r="A67" s="113" t="str">
        <f t="shared" si="5"/>
        <v/>
      </c>
      <c r="B67" s="101" t="str">
        <f>IF('[5]Crops PY'!C14=0,"",'[5]Crops PY'!C14)</f>
        <v/>
      </c>
      <c r="C67" s="113" t="str">
        <f>'[5]Annex-21'!C67</f>
        <v/>
      </c>
      <c r="D67" s="113" t="str">
        <f>'[5]Annex-21'!D67</f>
        <v/>
      </c>
      <c r="E67" s="113" t="str">
        <f>'[5]Annex-21'!E67</f>
        <v/>
      </c>
      <c r="F67" s="113" t="str">
        <f>'[5]Annex-21'!F67</f>
        <v/>
      </c>
      <c r="G67" s="113" t="str">
        <f>'[5]Annex-21'!G67</f>
        <v/>
      </c>
      <c r="H67" s="113" t="str">
        <f>'[5]Annex-21'!H67</f>
        <v/>
      </c>
      <c r="I67" s="113" t="str">
        <f>'[5]Annex-21'!I67</f>
        <v/>
      </c>
      <c r="J67" s="113" t="str">
        <f>'[5]Annex-21'!J67</f>
        <v/>
      </c>
      <c r="K67" s="101"/>
      <c r="L67" s="101"/>
    </row>
    <row r="68" spans="1:12" hidden="1" x14ac:dyDescent="0.3">
      <c r="A68" s="113" t="str">
        <f t="shared" si="5"/>
        <v/>
      </c>
      <c r="B68" s="101" t="str">
        <f>IF('[5]Crops PY'!C15=0,"",'[5]Crops PY'!C15)</f>
        <v/>
      </c>
      <c r="C68" s="113" t="str">
        <f>'[5]Annex-21'!C68</f>
        <v/>
      </c>
      <c r="D68" s="113" t="str">
        <f>'[5]Annex-21'!D68</f>
        <v/>
      </c>
      <c r="E68" s="113" t="str">
        <f>'[5]Annex-21'!E68</f>
        <v/>
      </c>
      <c r="F68" s="113" t="str">
        <f>'[5]Annex-21'!F68</f>
        <v/>
      </c>
      <c r="G68" s="113" t="str">
        <f>'[5]Annex-21'!G68</f>
        <v/>
      </c>
      <c r="H68" s="113" t="str">
        <f>'[5]Annex-21'!H68</f>
        <v/>
      </c>
      <c r="I68" s="113" t="str">
        <f>'[5]Annex-21'!I68</f>
        <v/>
      </c>
      <c r="J68" s="113" t="str">
        <f>'[5]Annex-21'!J68</f>
        <v/>
      </c>
      <c r="K68" s="101"/>
      <c r="L68" s="101"/>
    </row>
    <row r="69" spans="1:12" hidden="1" x14ac:dyDescent="0.3">
      <c r="A69" s="113" t="str">
        <f t="shared" si="5"/>
        <v/>
      </c>
      <c r="B69" s="101" t="str">
        <f>IF('[5]Crops PY'!C16=0,"",'[5]Crops PY'!C16)</f>
        <v/>
      </c>
      <c r="C69" s="113" t="str">
        <f>'[5]Annex-21'!C69</f>
        <v/>
      </c>
      <c r="D69" s="113" t="str">
        <f>'[5]Annex-21'!D69</f>
        <v/>
      </c>
      <c r="E69" s="113" t="str">
        <f>'[5]Annex-21'!E69</f>
        <v/>
      </c>
      <c r="F69" s="113" t="str">
        <f>'[5]Annex-21'!F69</f>
        <v/>
      </c>
      <c r="G69" s="113" t="str">
        <f>'[5]Annex-21'!G69</f>
        <v/>
      </c>
      <c r="H69" s="113" t="str">
        <f>'[5]Annex-21'!H69</f>
        <v/>
      </c>
      <c r="I69" s="113" t="str">
        <f>'[5]Annex-21'!I69</f>
        <v/>
      </c>
      <c r="J69" s="113" t="str">
        <f>'[5]Annex-21'!J69</f>
        <v/>
      </c>
      <c r="K69" s="101"/>
      <c r="L69" s="101"/>
    </row>
    <row r="70" spans="1:12" hidden="1" x14ac:dyDescent="0.3">
      <c r="A70" s="113" t="str">
        <f t="shared" si="5"/>
        <v/>
      </c>
      <c r="B70" s="101" t="str">
        <f>IF('[5]Crops PY'!C17=0,"",'[5]Crops PY'!C17)</f>
        <v/>
      </c>
      <c r="C70" s="113" t="str">
        <f>'[5]Annex-21'!C70</f>
        <v/>
      </c>
      <c r="D70" s="113" t="str">
        <f>'[5]Annex-21'!D70</f>
        <v/>
      </c>
      <c r="E70" s="113" t="str">
        <f>'[5]Annex-21'!E70</f>
        <v/>
      </c>
      <c r="F70" s="113" t="str">
        <f>'[5]Annex-21'!F70</f>
        <v/>
      </c>
      <c r="G70" s="113" t="str">
        <f>'[5]Annex-21'!G70</f>
        <v/>
      </c>
      <c r="H70" s="113" t="str">
        <f>'[5]Annex-21'!H70</f>
        <v/>
      </c>
      <c r="I70" s="113" t="str">
        <f>'[5]Annex-21'!I70</f>
        <v/>
      </c>
      <c r="J70" s="113" t="str">
        <f>'[5]Annex-21'!J70</f>
        <v/>
      </c>
      <c r="K70" s="101"/>
      <c r="L70" s="101"/>
    </row>
    <row r="71" spans="1:12" hidden="1" x14ac:dyDescent="0.3">
      <c r="A71" s="113" t="str">
        <f t="shared" si="5"/>
        <v/>
      </c>
      <c r="B71" s="101" t="str">
        <f>IF('[5]Crops PY'!C18=0,"",'[5]Crops PY'!C18)</f>
        <v/>
      </c>
      <c r="C71" s="113" t="str">
        <f>'[5]Annex-21'!C71</f>
        <v/>
      </c>
      <c r="D71" s="113" t="str">
        <f>'[5]Annex-21'!D71</f>
        <v/>
      </c>
      <c r="E71" s="113" t="str">
        <f>'[5]Annex-21'!E71</f>
        <v/>
      </c>
      <c r="F71" s="113" t="str">
        <f>'[5]Annex-21'!F71</f>
        <v/>
      </c>
      <c r="G71" s="113" t="str">
        <f>'[5]Annex-21'!G71</f>
        <v/>
      </c>
      <c r="H71" s="113" t="str">
        <f>'[5]Annex-21'!H71</f>
        <v/>
      </c>
      <c r="I71" s="113" t="str">
        <f>'[5]Annex-21'!I71</f>
        <v/>
      </c>
      <c r="J71" s="113" t="str">
        <f>'[5]Annex-21'!J71</f>
        <v/>
      </c>
      <c r="K71" s="101"/>
      <c r="L71" s="101"/>
    </row>
    <row r="72" spans="1:12" hidden="1" x14ac:dyDescent="0.3">
      <c r="A72" s="113" t="str">
        <f>IF(B72="","",A71+1)</f>
        <v/>
      </c>
      <c r="B72" s="101" t="str">
        <f>IF('[5]Crops PY'!C19=0,"",'[5]Crops PY'!C19)</f>
        <v/>
      </c>
      <c r="C72" s="113" t="str">
        <f>'[5]Annex-21'!C72</f>
        <v/>
      </c>
      <c r="D72" s="113" t="str">
        <f>'[5]Annex-21'!D72</f>
        <v/>
      </c>
      <c r="E72" s="113" t="str">
        <f>'[5]Annex-21'!E72</f>
        <v/>
      </c>
      <c r="F72" s="113" t="str">
        <f>'[5]Annex-21'!F72</f>
        <v/>
      </c>
      <c r="G72" s="113" t="str">
        <f>'[5]Annex-21'!G72</f>
        <v/>
      </c>
      <c r="H72" s="113" t="str">
        <f>'[5]Annex-21'!H72</f>
        <v/>
      </c>
      <c r="I72" s="113" t="str">
        <f>'[5]Annex-21'!I72</f>
        <v/>
      </c>
      <c r="J72" s="113" t="str">
        <f>'[5]Annex-21'!J72</f>
        <v/>
      </c>
      <c r="K72" s="101"/>
      <c r="L72" s="101"/>
    </row>
    <row r="73" spans="1:12" hidden="1" x14ac:dyDescent="0.3">
      <c r="A73" s="113" t="str">
        <f t="shared" si="5"/>
        <v/>
      </c>
      <c r="B73" s="101" t="str">
        <f>IF('[5]Crops PY'!C20=0,"",'[5]Crops PY'!C20)</f>
        <v/>
      </c>
      <c r="C73" s="113" t="str">
        <f>'[5]Annex-21'!C73</f>
        <v/>
      </c>
      <c r="D73" s="113" t="str">
        <f>'[5]Annex-21'!D73</f>
        <v/>
      </c>
      <c r="E73" s="113" t="str">
        <f>'[5]Annex-21'!E73</f>
        <v/>
      </c>
      <c r="F73" s="113" t="str">
        <f>'[5]Annex-21'!F73</f>
        <v/>
      </c>
      <c r="G73" s="113" t="str">
        <f>'[5]Annex-21'!G73</f>
        <v/>
      </c>
      <c r="H73" s="113" t="str">
        <f>'[5]Annex-21'!H73</f>
        <v/>
      </c>
      <c r="I73" s="113" t="str">
        <f>'[5]Annex-21'!I73</f>
        <v/>
      </c>
      <c r="J73" s="113" t="str">
        <f>'[5]Annex-21'!J73</f>
        <v/>
      </c>
      <c r="K73" s="101"/>
      <c r="L73" s="101"/>
    </row>
    <row r="74" spans="1:12" hidden="1" x14ac:dyDescent="0.3">
      <c r="A74" s="113" t="str">
        <f t="shared" si="5"/>
        <v/>
      </c>
      <c r="B74" s="156" t="str">
        <f>IF('[5]Crops PY'!C21=0,"",'[5]Crops PY'!C21)</f>
        <v/>
      </c>
      <c r="C74" s="155" t="str">
        <f>'[5]Annex-21'!C74</f>
        <v/>
      </c>
      <c r="D74" s="155" t="str">
        <f>'[5]Annex-21'!D74</f>
        <v/>
      </c>
      <c r="E74" s="155" t="str">
        <f>'[5]Annex-21'!E74</f>
        <v/>
      </c>
      <c r="F74" s="155" t="str">
        <f>'[5]Annex-21'!F74</f>
        <v/>
      </c>
      <c r="G74" s="155" t="str">
        <f>'[5]Annex-21'!G74</f>
        <v/>
      </c>
      <c r="H74" s="155" t="str">
        <f>'[5]Annex-21'!H74</f>
        <v/>
      </c>
      <c r="I74" s="155" t="str">
        <f>'[5]Annex-21'!I74</f>
        <v/>
      </c>
      <c r="J74" s="155" t="str">
        <f>'[5]Annex-21'!J74</f>
        <v/>
      </c>
      <c r="K74" s="101"/>
      <c r="L74" s="101"/>
    </row>
    <row r="75" spans="1:12" ht="15" thickBot="1" x14ac:dyDescent="0.35">
      <c r="A75" s="159"/>
      <c r="B75" s="160" t="str">
        <f>IF('[5]Crops PY'!C5=0,"","TOTAL")</f>
        <v>TOTAL</v>
      </c>
      <c r="C75" s="161" t="str">
        <f>'[5]Annex-21'!C75</f>
        <v>0(  0.0)</v>
      </c>
      <c r="D75" s="161" t="str">
        <f>'[5]Annex-21'!D75</f>
        <v>0(  0.0)</v>
      </c>
      <c r="E75" s="161" t="str">
        <f>'[5]Annex-21'!E75</f>
        <v>0(  0.0)</v>
      </c>
      <c r="F75" s="161" t="str">
        <f>'[5]Annex-21'!F75</f>
        <v>0(  0.0)</v>
      </c>
      <c r="G75" s="161" t="str">
        <f>'[5]Annex-21'!G75</f>
        <v>0(  0.0)</v>
      </c>
      <c r="H75" s="161" t="str">
        <f>'[5]Annex-21'!H75</f>
        <v>0(  0.0)</v>
      </c>
      <c r="I75" s="161" t="str">
        <f>'[5]Annex-21'!I75</f>
        <v>0(  0.0)</v>
      </c>
      <c r="J75" s="161" t="str">
        <f>'[5]Annex-21'!J75</f>
        <v>0(  0.0)</v>
      </c>
      <c r="K75" s="101"/>
      <c r="L75" s="101"/>
    </row>
    <row r="76" spans="1:12" ht="9" customHeight="1" thickTop="1" x14ac:dyDescent="0.3">
      <c r="A76" s="101"/>
      <c r="B76" s="101"/>
      <c r="C76" s="135"/>
      <c r="D76" s="135"/>
      <c r="E76" s="135"/>
      <c r="F76" s="135"/>
      <c r="G76" s="135"/>
      <c r="H76" s="135"/>
      <c r="I76" s="135"/>
      <c r="J76" s="135"/>
      <c r="K76" s="101"/>
      <c r="L76" s="101"/>
    </row>
    <row r="77" spans="1:12" x14ac:dyDescent="0.3">
      <c r="A77" s="316" t="s">
        <v>185</v>
      </c>
      <c r="B77" s="316"/>
      <c r="C77" s="316"/>
      <c r="D77" s="101"/>
      <c r="E77" s="101"/>
      <c r="F77" s="317" t="s">
        <v>137</v>
      </c>
      <c r="G77" s="317"/>
      <c r="H77" s="317"/>
      <c r="I77" s="101"/>
      <c r="J77" s="101"/>
      <c r="L77" s="101"/>
    </row>
    <row r="78" spans="1:12" x14ac:dyDescent="0.3">
      <c r="A78" s="76">
        <v>1</v>
      </c>
      <c r="B78" s="112" t="s">
        <v>217</v>
      </c>
      <c r="C78" s="112"/>
      <c r="D78" s="112"/>
      <c r="E78" s="112"/>
      <c r="F78" s="76">
        <v>1</v>
      </c>
      <c r="G78" s="112" t="s">
        <v>138</v>
      </c>
      <c r="H78" s="112"/>
      <c r="I78" s="112"/>
      <c r="J78" s="112"/>
      <c r="L78" s="101"/>
    </row>
    <row r="79" spans="1:12" x14ac:dyDescent="0.3">
      <c r="A79" s="76">
        <v>2</v>
      </c>
      <c r="B79" s="112" t="s">
        <v>268</v>
      </c>
      <c r="C79" s="112"/>
      <c r="D79" s="112"/>
      <c r="E79" s="112"/>
      <c r="F79" s="76">
        <v>2</v>
      </c>
      <c r="G79" s="112" t="s">
        <v>269</v>
      </c>
      <c r="H79" s="112"/>
      <c r="I79" s="112"/>
      <c r="J79" s="112"/>
      <c r="L79" s="101"/>
    </row>
    <row r="80" spans="1:12" ht="29.25" customHeight="1" x14ac:dyDescent="0.3">
      <c r="A80" s="76">
        <v>3</v>
      </c>
      <c r="B80" s="112" t="s">
        <v>139</v>
      </c>
      <c r="C80" s="112"/>
      <c r="D80" s="112"/>
      <c r="E80" s="112"/>
      <c r="F80" s="76">
        <v>3</v>
      </c>
      <c r="G80" s="250" t="s">
        <v>186</v>
      </c>
      <c r="H80" s="250"/>
      <c r="I80" s="250"/>
      <c r="J80" s="250"/>
      <c r="L80" s="101"/>
    </row>
    <row r="81" spans="1:12" x14ac:dyDescent="0.3">
      <c r="A81" s="76">
        <v>9</v>
      </c>
      <c r="B81" s="112" t="s">
        <v>140</v>
      </c>
      <c r="C81" s="112"/>
      <c r="D81" s="112"/>
      <c r="E81" s="112"/>
      <c r="F81" s="76">
        <v>9</v>
      </c>
      <c r="G81" s="112" t="s">
        <v>140</v>
      </c>
      <c r="H81" s="112"/>
      <c r="I81" s="112"/>
      <c r="J81" s="112"/>
      <c r="L81" s="101"/>
    </row>
    <row r="82" spans="1:12" x14ac:dyDescent="0.3">
      <c r="A82" s="139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</row>
  </sheetData>
  <mergeCells count="16">
    <mergeCell ref="A77:C77"/>
    <mergeCell ref="F77:H77"/>
    <mergeCell ref="G80:J80"/>
    <mergeCell ref="A8:B8"/>
    <mergeCell ref="A25:B25"/>
    <mergeCell ref="A42:B42"/>
    <mergeCell ref="A59:B59"/>
    <mergeCell ref="A1:J1"/>
    <mergeCell ref="A2:H2"/>
    <mergeCell ref="I2:J2"/>
    <mergeCell ref="A3:J3"/>
    <mergeCell ref="A4:A5"/>
    <mergeCell ref="B4:B5"/>
    <mergeCell ref="C4:J4"/>
    <mergeCell ref="C5:F5"/>
    <mergeCell ref="G5:J5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I90"/>
  <sheetViews>
    <sheetView view="pageBreakPreview" zoomScale="60" zoomScaleNormal="70" workbookViewId="0">
      <selection activeCell="I9" sqref="I9"/>
    </sheetView>
  </sheetViews>
  <sheetFormatPr defaultRowHeight="14.4" x14ac:dyDescent="0.3"/>
  <cols>
    <col min="1" max="1" width="5.88671875" customWidth="1"/>
    <col min="2" max="2" width="108.88671875" customWidth="1"/>
    <col min="3" max="8" width="14.5546875" customWidth="1"/>
  </cols>
  <sheetData>
    <row r="1" spans="1:9" x14ac:dyDescent="0.3">
      <c r="A1" s="235" t="s">
        <v>216</v>
      </c>
      <c r="B1" s="235"/>
      <c r="C1" s="235"/>
      <c r="D1" s="235"/>
      <c r="E1" s="235"/>
      <c r="F1" s="235"/>
      <c r="G1" s="235"/>
      <c r="H1" s="235"/>
      <c r="I1" s="152"/>
    </row>
    <row r="2" spans="1:9" x14ac:dyDescent="0.3">
      <c r="A2" s="312" t="str">
        <f>common!$H$2</f>
        <v>UT : PUDUCHERRY</v>
      </c>
      <c r="B2" s="312"/>
      <c r="C2" s="312"/>
      <c r="D2" s="312"/>
      <c r="E2" s="312"/>
      <c r="F2" s="312"/>
      <c r="G2" s="236" t="s">
        <v>296</v>
      </c>
      <c r="H2" s="236"/>
      <c r="I2" s="115"/>
    </row>
    <row r="3" spans="1:9" x14ac:dyDescent="0.3">
      <c r="A3" s="251" t="str">
        <f>"DEPARTURE FROM PRESCRIBED PROCEDURE IN EXPERIMENTS AND DISCREPANCIES IN REPORTING ANCILLARY INFORMATION DURING "&amp; common!$C$4 &amp;" AND "&amp; common!$C$5 &amp; "."</f>
        <v>DEPARTURE FROM PRESCRIBED PROCEDURE IN EXPERIMENTS AND DISCREPANCIES IN REPORTING ANCILLARY INFORMATION DURING 2024-25 AND 2023-24.</v>
      </c>
      <c r="B3" s="251"/>
      <c r="C3" s="251"/>
      <c r="D3" s="251"/>
      <c r="E3" s="251"/>
      <c r="F3" s="251"/>
      <c r="G3" s="251"/>
      <c r="H3" s="251"/>
      <c r="I3" s="115"/>
    </row>
    <row r="4" spans="1:9" x14ac:dyDescent="0.3">
      <c r="A4" s="326" t="str">
        <f>common!$H$3</f>
        <v>SEASON : RABI I</v>
      </c>
      <c r="B4" s="326"/>
      <c r="C4" s="325"/>
      <c r="D4" s="325"/>
      <c r="E4" s="325"/>
      <c r="F4" s="325"/>
      <c r="G4" s="325"/>
      <c r="H4" s="325"/>
      <c r="I4" s="115"/>
    </row>
    <row r="5" spans="1:9" x14ac:dyDescent="0.3">
      <c r="A5" s="252" t="s">
        <v>199</v>
      </c>
      <c r="B5" s="252"/>
      <c r="C5" s="322" t="str">
        <f>common!$J$4</f>
        <v>YEAR 2024-25</v>
      </c>
      <c r="D5" s="322"/>
      <c r="E5" s="322"/>
      <c r="F5" s="323" t="str">
        <f>common!$J$5</f>
        <v>YEAR 2023-24</v>
      </c>
      <c r="G5" s="324"/>
      <c r="H5" s="324"/>
      <c r="I5" s="115"/>
    </row>
    <row r="6" spans="1:9" x14ac:dyDescent="0.3">
      <c r="A6" s="253"/>
      <c r="B6" s="253"/>
      <c r="C6" s="154" t="s">
        <v>120</v>
      </c>
      <c r="D6" s="154" t="s">
        <v>17</v>
      </c>
      <c r="E6" s="154" t="s">
        <v>18</v>
      </c>
      <c r="F6" s="166" t="s">
        <v>120</v>
      </c>
      <c r="G6" s="154" t="s">
        <v>17</v>
      </c>
      <c r="H6" s="154" t="s">
        <v>18</v>
      </c>
      <c r="I6" s="115"/>
    </row>
    <row r="7" spans="1:9" x14ac:dyDescent="0.3">
      <c r="A7" s="321" t="str">
        <f>IF('[5]Crops CY'!$C$5=0,"","(1)")</f>
        <v>(1)</v>
      </c>
      <c r="B7" s="321"/>
      <c r="C7" s="154" t="str">
        <f>IF('[5]Crops CY'!$C$5=0,"","(2)")</f>
        <v>(2)</v>
      </c>
      <c r="D7" s="154" t="str">
        <f>IF('[5]Crops CY'!$C$5=0,"","(3)")</f>
        <v>(3)</v>
      </c>
      <c r="E7" s="154" t="str">
        <f>IF('[5]Crops CY'!$C$5=0,"","(4)")</f>
        <v>(4)</v>
      </c>
      <c r="F7" s="166" t="str">
        <f>IF('[5]Crops CY'!$C$5=0,"","(5)")</f>
        <v>(5)</v>
      </c>
      <c r="G7" s="154" t="str">
        <f>IF('[5]Crops CY'!$C$5=0,"","(6)")</f>
        <v>(6)</v>
      </c>
      <c r="H7" s="154" t="str">
        <f>IF('[5]Crops CY'!$C$5=0,"","(7)")</f>
        <v>(7)</v>
      </c>
      <c r="I7" s="115"/>
    </row>
    <row r="8" spans="1:9" x14ac:dyDescent="0.3">
      <c r="A8" s="190" t="s">
        <v>141</v>
      </c>
      <c r="B8" s="110" t="s">
        <v>142</v>
      </c>
      <c r="C8" s="72" t="str">
        <f>'[5]Annex-22'!C8</f>
        <v xml:space="preserve">10 </v>
      </c>
      <c r="D8" s="72" t="str">
        <f>'[5]Annex-22'!D8</f>
        <v xml:space="preserve">10 </v>
      </c>
      <c r="E8" s="72" t="str">
        <f>'[5]Annex-22'!E8</f>
        <v xml:space="preserve">20 </v>
      </c>
      <c r="F8" s="73" t="str">
        <f>'[5]Annex-22'!F8</f>
        <v xml:space="preserve">10 </v>
      </c>
      <c r="G8" s="72" t="str">
        <f>'[5]Annex-22'!G8</f>
        <v xml:space="preserve">10 </v>
      </c>
      <c r="H8" s="72" t="str">
        <f>'[5]Annex-22'!H8</f>
        <v xml:space="preserve">20 </v>
      </c>
      <c r="I8" s="115"/>
    </row>
    <row r="9" spans="1:9" x14ac:dyDescent="0.3">
      <c r="A9" s="318" t="s">
        <v>143</v>
      </c>
      <c r="B9" s="284" t="s">
        <v>144</v>
      </c>
      <c r="C9" s="72" t="str">
        <f>'[5]Annex-22'!C9</f>
        <v xml:space="preserve">10 </v>
      </c>
      <c r="D9" s="72" t="str">
        <f>'[5]Annex-22'!D9</f>
        <v xml:space="preserve">10 </v>
      </c>
      <c r="E9" s="72" t="str">
        <f>'[5]Annex-22'!E9</f>
        <v xml:space="preserve">20 </v>
      </c>
      <c r="F9" s="73" t="str">
        <f>'[5]Annex-22'!F9</f>
        <v xml:space="preserve">6 </v>
      </c>
      <c r="G9" s="72" t="str">
        <f>'[5]Annex-22'!G9</f>
        <v xml:space="preserve">10 </v>
      </c>
      <c r="H9" s="72" t="str">
        <f>'[5]Annex-22'!H9</f>
        <v xml:space="preserve">16 </v>
      </c>
      <c r="I9" s="115"/>
    </row>
    <row r="10" spans="1:9" x14ac:dyDescent="0.3">
      <c r="A10" s="318"/>
      <c r="B10" s="284"/>
      <c r="C10" s="72" t="str">
        <f>'[5]Annex-22'!C10</f>
        <v>(100.0)</v>
      </c>
      <c r="D10" s="72" t="str">
        <f>'[5]Annex-22'!D10</f>
        <v>(100.0)</v>
      </c>
      <c r="E10" s="72" t="str">
        <f>'[5]Annex-22'!E10</f>
        <v>(100.0)</v>
      </c>
      <c r="F10" s="73" t="str">
        <f>'[5]Annex-22'!F10</f>
        <v>( 60.0)</v>
      </c>
      <c r="G10" s="72" t="str">
        <f>'[5]Annex-22'!G10</f>
        <v>(100.0)</v>
      </c>
      <c r="H10" s="72" t="str">
        <f>'[5]Annex-22'!H10</f>
        <v>( 80.0)</v>
      </c>
      <c r="I10" s="115"/>
    </row>
    <row r="11" spans="1:9" ht="28.8" x14ac:dyDescent="0.3">
      <c r="A11" s="190" t="s">
        <v>145</v>
      </c>
      <c r="B11" s="110" t="s">
        <v>200</v>
      </c>
      <c r="C11" s="72">
        <f>'[5]Annex-22'!C11</f>
        <v>0</v>
      </c>
      <c r="D11" s="72">
        <f>'[5]Annex-22'!D11</f>
        <v>0</v>
      </c>
      <c r="E11" s="72">
        <f>'[5]Annex-22'!E11</f>
        <v>0</v>
      </c>
      <c r="F11" s="73">
        <f>'[5]Annex-22'!F11</f>
        <v>0</v>
      </c>
      <c r="G11" s="72">
        <f>'[5]Annex-22'!G11</f>
        <v>0</v>
      </c>
      <c r="H11" s="72">
        <f>'[5]Annex-22'!H11</f>
        <v>0</v>
      </c>
      <c r="I11" s="115"/>
    </row>
    <row r="12" spans="1:9" x14ac:dyDescent="0.3">
      <c r="A12" s="235" t="s">
        <v>107</v>
      </c>
      <c r="B12" s="284" t="s">
        <v>146</v>
      </c>
      <c r="C12" s="72" t="str">
        <f>'[5]Annex-22'!C12</f>
        <v xml:space="preserve">0 </v>
      </c>
      <c r="D12" s="72" t="str">
        <f>'[5]Annex-22'!D12</f>
        <v xml:space="preserve">0 </v>
      </c>
      <c r="E12" s="72" t="str">
        <f>'[5]Annex-22'!E12</f>
        <v xml:space="preserve">0 </v>
      </c>
      <c r="F12" s="73" t="str">
        <f>'[5]Annex-22'!F12</f>
        <v xml:space="preserve">0 </v>
      </c>
      <c r="G12" s="72" t="str">
        <f>'[5]Annex-22'!G12</f>
        <v xml:space="preserve">0 </v>
      </c>
      <c r="H12" s="72" t="str">
        <f>'[5]Annex-22'!H12</f>
        <v xml:space="preserve">0 </v>
      </c>
      <c r="I12" s="115"/>
    </row>
    <row r="13" spans="1:9" x14ac:dyDescent="0.3">
      <c r="A13" s="235"/>
      <c r="B13" s="284"/>
      <c r="C13" s="72" t="str">
        <f>'[5]Annex-22'!C13</f>
        <v>(  0.0)</v>
      </c>
      <c r="D13" s="72" t="str">
        <f>'[5]Annex-22'!D13</f>
        <v>(  0.0)</v>
      </c>
      <c r="E13" s="72" t="str">
        <f>'[5]Annex-22'!E13</f>
        <v>(  0.0)</v>
      </c>
      <c r="F13" s="73" t="str">
        <f>'[5]Annex-22'!F13</f>
        <v>(  0.0)</v>
      </c>
      <c r="G13" s="72" t="str">
        <f>'[5]Annex-22'!G13</f>
        <v>(  0.0)</v>
      </c>
      <c r="H13" s="72" t="str">
        <f>'[5]Annex-22'!H13</f>
        <v>(  0.0)</v>
      </c>
      <c r="I13" s="115"/>
    </row>
    <row r="14" spans="1:9" x14ac:dyDescent="0.3">
      <c r="A14" s="235" t="s">
        <v>147</v>
      </c>
      <c r="B14" s="284" t="s">
        <v>148</v>
      </c>
      <c r="C14" s="72" t="str">
        <f>'[5]Annex-22'!C14</f>
        <v xml:space="preserve">0 </v>
      </c>
      <c r="D14" s="72" t="str">
        <f>'[5]Annex-22'!D14</f>
        <v xml:space="preserve">0 </v>
      </c>
      <c r="E14" s="72" t="str">
        <f>'[5]Annex-22'!E14</f>
        <v xml:space="preserve">0 </v>
      </c>
      <c r="F14" s="73" t="str">
        <f>'[5]Annex-22'!F14</f>
        <v xml:space="preserve">0 </v>
      </c>
      <c r="G14" s="72" t="str">
        <f>'[5]Annex-22'!G14</f>
        <v xml:space="preserve">0 </v>
      </c>
      <c r="H14" s="72" t="str">
        <f>'[5]Annex-22'!H14</f>
        <v xml:space="preserve">0 </v>
      </c>
      <c r="I14" s="115"/>
    </row>
    <row r="15" spans="1:9" x14ac:dyDescent="0.3">
      <c r="A15" s="235"/>
      <c r="B15" s="284"/>
      <c r="C15" s="72" t="str">
        <f>'[5]Annex-22'!C15</f>
        <v>(  0.0)</v>
      </c>
      <c r="D15" s="72" t="str">
        <f>'[5]Annex-22'!D15</f>
        <v>(  0.0)</v>
      </c>
      <c r="E15" s="72" t="str">
        <f>'[5]Annex-22'!E15</f>
        <v>(  0.0)</v>
      </c>
      <c r="F15" s="73" t="str">
        <f>'[5]Annex-22'!F15</f>
        <v>(  0.0)</v>
      </c>
      <c r="G15" s="72" t="str">
        <f>'[5]Annex-22'!G15</f>
        <v>(  0.0)</v>
      </c>
      <c r="H15" s="72" t="str">
        <f>'[5]Annex-22'!H15</f>
        <v>(  0.0)</v>
      </c>
      <c r="I15" s="115"/>
    </row>
    <row r="16" spans="1:9" x14ac:dyDescent="0.3">
      <c r="A16" s="235" t="s">
        <v>149</v>
      </c>
      <c r="B16" s="284" t="s">
        <v>270</v>
      </c>
      <c r="C16" s="72" t="str">
        <f>'[5]Annex-22'!C16</f>
        <v xml:space="preserve">0 </v>
      </c>
      <c r="D16" s="72" t="str">
        <f>'[5]Annex-22'!D16</f>
        <v xml:space="preserve">0 </v>
      </c>
      <c r="E16" s="72" t="str">
        <f>'[5]Annex-22'!E16</f>
        <v xml:space="preserve">0 </v>
      </c>
      <c r="F16" s="73" t="str">
        <f>'[5]Annex-22'!F16</f>
        <v xml:space="preserve">0 </v>
      </c>
      <c r="G16" s="72" t="str">
        <f>'[5]Annex-22'!G16</f>
        <v xml:space="preserve">0 </v>
      </c>
      <c r="H16" s="72" t="str">
        <f>'[5]Annex-22'!H16</f>
        <v xml:space="preserve">0 </v>
      </c>
      <c r="I16" s="115"/>
    </row>
    <row r="17" spans="1:9" x14ac:dyDescent="0.3">
      <c r="A17" s="235"/>
      <c r="B17" s="284"/>
      <c r="C17" s="72" t="str">
        <f>'[5]Annex-22'!C17</f>
        <v>(  0.0)</v>
      </c>
      <c r="D17" s="72" t="str">
        <f>'[5]Annex-22'!D17</f>
        <v>(  0.0)</v>
      </c>
      <c r="E17" s="72" t="str">
        <f>'[5]Annex-22'!E17</f>
        <v>(  0.0)</v>
      </c>
      <c r="F17" s="73" t="str">
        <f>'[5]Annex-22'!F17</f>
        <v>(  0.0)</v>
      </c>
      <c r="G17" s="72" t="str">
        <f>'[5]Annex-22'!G17</f>
        <v>(  0.0)</v>
      </c>
      <c r="H17" s="72" t="str">
        <f>'[5]Annex-22'!H17</f>
        <v>(  0.0)</v>
      </c>
      <c r="I17" s="115"/>
    </row>
    <row r="18" spans="1:9" x14ac:dyDescent="0.3">
      <c r="A18" s="235" t="s">
        <v>150</v>
      </c>
      <c r="B18" s="284" t="s">
        <v>151</v>
      </c>
      <c r="C18" s="72" t="str">
        <f>'[5]Annex-22'!C18</f>
        <v xml:space="preserve">0 </v>
      </c>
      <c r="D18" s="72" t="str">
        <f>'[5]Annex-22'!D18</f>
        <v xml:space="preserve">0 </v>
      </c>
      <c r="E18" s="72" t="str">
        <f>'[5]Annex-22'!E18</f>
        <v xml:space="preserve">0 </v>
      </c>
      <c r="F18" s="73" t="str">
        <f>'[5]Annex-22'!F18</f>
        <v xml:space="preserve">0 </v>
      </c>
      <c r="G18" s="72" t="str">
        <f>'[5]Annex-22'!G18</f>
        <v xml:space="preserve">0 </v>
      </c>
      <c r="H18" s="72" t="str">
        <f>'[5]Annex-22'!H18</f>
        <v xml:space="preserve">0 </v>
      </c>
      <c r="I18" s="115"/>
    </row>
    <row r="19" spans="1:9" x14ac:dyDescent="0.3">
      <c r="A19" s="235"/>
      <c r="B19" s="284"/>
      <c r="C19" s="72" t="str">
        <f>'[5]Annex-22'!C19</f>
        <v>(  0.0)</v>
      </c>
      <c r="D19" s="72" t="str">
        <f>'[5]Annex-22'!D19</f>
        <v>(  0.0)</v>
      </c>
      <c r="E19" s="72" t="str">
        <f>'[5]Annex-22'!E19</f>
        <v>(  0.0)</v>
      </c>
      <c r="F19" s="73" t="str">
        <f>'[5]Annex-22'!F19</f>
        <v>(  0.0)</v>
      </c>
      <c r="G19" s="72" t="str">
        <f>'[5]Annex-22'!G19</f>
        <v>(  0.0)</v>
      </c>
      <c r="H19" s="72" t="str">
        <f>'[5]Annex-22'!H19</f>
        <v>(  0.0)</v>
      </c>
      <c r="I19" s="115"/>
    </row>
    <row r="20" spans="1:9" x14ac:dyDescent="0.3">
      <c r="A20" s="235" t="s">
        <v>152</v>
      </c>
      <c r="B20" s="284" t="s">
        <v>153</v>
      </c>
      <c r="C20" s="72" t="str">
        <f>'[5]Annex-22'!C20</f>
        <v xml:space="preserve">0 </v>
      </c>
      <c r="D20" s="72" t="str">
        <f>'[5]Annex-22'!D20</f>
        <v xml:space="preserve">0 </v>
      </c>
      <c r="E20" s="72" t="str">
        <f>'[5]Annex-22'!E20</f>
        <v xml:space="preserve">0 </v>
      </c>
      <c r="F20" s="73" t="str">
        <f>'[5]Annex-22'!F20</f>
        <v xml:space="preserve">0 </v>
      </c>
      <c r="G20" s="72" t="str">
        <f>'[5]Annex-22'!G20</f>
        <v xml:space="preserve">0 </v>
      </c>
      <c r="H20" s="72" t="str">
        <f>'[5]Annex-22'!H20</f>
        <v xml:space="preserve">0 </v>
      </c>
      <c r="I20" s="115"/>
    </row>
    <row r="21" spans="1:9" x14ac:dyDescent="0.3">
      <c r="A21" s="235"/>
      <c r="B21" s="284"/>
      <c r="C21" s="72" t="str">
        <f>'[5]Annex-22'!C21</f>
        <v>(  0.0)</v>
      </c>
      <c r="D21" s="72" t="str">
        <f>'[5]Annex-22'!D21</f>
        <v>(  0.0)</v>
      </c>
      <c r="E21" s="72" t="str">
        <f>'[5]Annex-22'!E21</f>
        <v>(  0.0)</v>
      </c>
      <c r="F21" s="73" t="str">
        <f>'[5]Annex-22'!F21</f>
        <v>(  0.0)</v>
      </c>
      <c r="G21" s="72" t="str">
        <f>'[5]Annex-22'!G21</f>
        <v>(  0.0)</v>
      </c>
      <c r="H21" s="72" t="str">
        <f>'[5]Annex-22'!H21</f>
        <v>(  0.0)</v>
      </c>
      <c r="I21" s="115"/>
    </row>
    <row r="22" spans="1:9" x14ac:dyDescent="0.3">
      <c r="A22" s="235" t="s">
        <v>154</v>
      </c>
      <c r="B22" s="284" t="s">
        <v>202</v>
      </c>
      <c r="C22" s="72" t="str">
        <f>'[5]Annex-22'!C22</f>
        <v xml:space="preserve">0 </v>
      </c>
      <c r="D22" s="72" t="str">
        <f>'[5]Annex-22'!D22</f>
        <v xml:space="preserve">0 </v>
      </c>
      <c r="E22" s="72" t="str">
        <f>'[5]Annex-22'!E22</f>
        <v xml:space="preserve">0 </v>
      </c>
      <c r="F22" s="73" t="str">
        <f>'[5]Annex-22'!F22</f>
        <v xml:space="preserve">0 </v>
      </c>
      <c r="G22" s="72" t="str">
        <f>'[5]Annex-22'!G22</f>
        <v xml:space="preserve">0 </v>
      </c>
      <c r="H22" s="72" t="str">
        <f>'[5]Annex-22'!H22</f>
        <v xml:space="preserve">0 </v>
      </c>
      <c r="I22" s="115"/>
    </row>
    <row r="23" spans="1:9" x14ac:dyDescent="0.3">
      <c r="A23" s="235"/>
      <c r="B23" s="284"/>
      <c r="C23" s="72" t="str">
        <f>'[5]Annex-22'!C23</f>
        <v>(  0.0)</v>
      </c>
      <c r="D23" s="72" t="str">
        <f>'[5]Annex-22'!D23</f>
        <v>(  0.0)</v>
      </c>
      <c r="E23" s="72" t="str">
        <f>'[5]Annex-22'!E23</f>
        <v>(  0.0)</v>
      </c>
      <c r="F23" s="73" t="str">
        <f>'[5]Annex-22'!F23</f>
        <v>(  0.0)</v>
      </c>
      <c r="G23" s="72" t="str">
        <f>'[5]Annex-22'!G23</f>
        <v>(  0.0)</v>
      </c>
      <c r="H23" s="72" t="str">
        <f>'[5]Annex-22'!H23</f>
        <v>(  0.0)</v>
      </c>
      <c r="I23" s="115"/>
    </row>
    <row r="24" spans="1:9" x14ac:dyDescent="0.3">
      <c r="A24" s="235" t="s">
        <v>155</v>
      </c>
      <c r="B24" s="284" t="s">
        <v>156</v>
      </c>
      <c r="C24" s="72" t="str">
        <f>'[5]Annex-22'!C24</f>
        <v xml:space="preserve">0 </v>
      </c>
      <c r="D24" s="72" t="str">
        <f>'[5]Annex-22'!D24</f>
        <v xml:space="preserve">0 </v>
      </c>
      <c r="E24" s="72" t="str">
        <f>'[5]Annex-22'!E24</f>
        <v xml:space="preserve">0 </v>
      </c>
      <c r="F24" s="73" t="str">
        <f>'[5]Annex-22'!F24</f>
        <v xml:space="preserve">0 </v>
      </c>
      <c r="G24" s="72" t="str">
        <f>'[5]Annex-22'!G24</f>
        <v xml:space="preserve">0 </v>
      </c>
      <c r="H24" s="72" t="str">
        <f>'[5]Annex-22'!H24</f>
        <v xml:space="preserve">0 </v>
      </c>
      <c r="I24" s="115"/>
    </row>
    <row r="25" spans="1:9" x14ac:dyDescent="0.3">
      <c r="A25" s="235"/>
      <c r="B25" s="284"/>
      <c r="C25" s="72" t="str">
        <f>'[5]Annex-22'!C25</f>
        <v>(  0.0)</v>
      </c>
      <c r="D25" s="72" t="str">
        <f>'[5]Annex-22'!D25</f>
        <v>(  0.0)</v>
      </c>
      <c r="E25" s="72" t="str">
        <f>'[5]Annex-22'!E25</f>
        <v>(  0.0)</v>
      </c>
      <c r="F25" s="73" t="str">
        <f>'[5]Annex-22'!F25</f>
        <v>(  0.0)</v>
      </c>
      <c r="G25" s="72" t="str">
        <f>'[5]Annex-22'!G25</f>
        <v>(  0.0)</v>
      </c>
      <c r="H25" s="72" t="str">
        <f>'[5]Annex-22'!H25</f>
        <v>(  0.0)</v>
      </c>
      <c r="I25" s="115"/>
    </row>
    <row r="26" spans="1:9" x14ac:dyDescent="0.3">
      <c r="A26" s="190" t="s">
        <v>157</v>
      </c>
      <c r="B26" s="110" t="s">
        <v>158</v>
      </c>
      <c r="C26" s="72">
        <f>'[5]Annex-22'!C26</f>
        <v>0</v>
      </c>
      <c r="D26" s="72">
        <f>'[5]Annex-22'!D26</f>
        <v>0</v>
      </c>
      <c r="E26" s="72">
        <f>'[5]Annex-22'!E26</f>
        <v>0</v>
      </c>
      <c r="F26" s="73">
        <f>'[5]Annex-22'!F26</f>
        <v>0</v>
      </c>
      <c r="G26" s="72">
        <f>'[5]Annex-22'!G26</f>
        <v>0</v>
      </c>
      <c r="H26" s="72">
        <f>'[5]Annex-22'!H26</f>
        <v>0</v>
      </c>
      <c r="I26" s="115"/>
    </row>
    <row r="27" spans="1:9" x14ac:dyDescent="0.3">
      <c r="A27" s="235" t="s">
        <v>107</v>
      </c>
      <c r="B27" s="284" t="s">
        <v>159</v>
      </c>
      <c r="C27" s="72" t="str">
        <f>'[5]Annex-22'!C27</f>
        <v xml:space="preserve">0 </v>
      </c>
      <c r="D27" s="72" t="str">
        <f>'[5]Annex-22'!D27</f>
        <v xml:space="preserve">0 </v>
      </c>
      <c r="E27" s="72" t="str">
        <f>'[5]Annex-22'!E27</f>
        <v xml:space="preserve">0 </v>
      </c>
      <c r="F27" s="73" t="str">
        <f>'[5]Annex-22'!F27</f>
        <v xml:space="preserve">0 </v>
      </c>
      <c r="G27" s="72" t="str">
        <f>'[5]Annex-22'!G27</f>
        <v xml:space="preserve">0 </v>
      </c>
      <c r="H27" s="72" t="str">
        <f>'[5]Annex-22'!H27</f>
        <v xml:space="preserve">0 </v>
      </c>
      <c r="I27" s="115"/>
    </row>
    <row r="28" spans="1:9" x14ac:dyDescent="0.3">
      <c r="A28" s="235"/>
      <c r="B28" s="284"/>
      <c r="C28" s="72" t="str">
        <f>'[5]Annex-22'!C28</f>
        <v>(  0.0)</v>
      </c>
      <c r="D28" s="72" t="str">
        <f>'[5]Annex-22'!D28</f>
        <v>(  0.0)</v>
      </c>
      <c r="E28" s="72" t="str">
        <f>'[5]Annex-22'!E28</f>
        <v>(  0.0)</v>
      </c>
      <c r="F28" s="73" t="str">
        <f>'[5]Annex-22'!F28</f>
        <v>(  0.0)</v>
      </c>
      <c r="G28" s="72" t="str">
        <f>'[5]Annex-22'!G28</f>
        <v>(  0.0)</v>
      </c>
      <c r="H28" s="72" t="str">
        <f>'[5]Annex-22'!H28</f>
        <v>(  0.0)</v>
      </c>
      <c r="I28" s="115"/>
    </row>
    <row r="29" spans="1:9" x14ac:dyDescent="0.3">
      <c r="A29" s="235" t="s">
        <v>147</v>
      </c>
      <c r="B29" s="284" t="s">
        <v>160</v>
      </c>
      <c r="C29" s="72" t="str">
        <f>'[5]Annex-22'!C29</f>
        <v xml:space="preserve">0 </v>
      </c>
      <c r="D29" s="72" t="str">
        <f>'[5]Annex-22'!D29</f>
        <v xml:space="preserve">0 </v>
      </c>
      <c r="E29" s="72" t="str">
        <f>'[5]Annex-22'!E29</f>
        <v xml:space="preserve">0 </v>
      </c>
      <c r="F29" s="73" t="str">
        <f>'[5]Annex-22'!F29</f>
        <v xml:space="preserve">0 </v>
      </c>
      <c r="G29" s="72" t="str">
        <f>'[5]Annex-22'!G29</f>
        <v xml:space="preserve">0 </v>
      </c>
      <c r="H29" s="72" t="str">
        <f>'[5]Annex-22'!H29</f>
        <v xml:space="preserve">0 </v>
      </c>
      <c r="I29" s="115"/>
    </row>
    <row r="30" spans="1:9" x14ac:dyDescent="0.3">
      <c r="A30" s="235"/>
      <c r="B30" s="284"/>
      <c r="C30" s="72" t="str">
        <f>'[5]Annex-22'!C30</f>
        <v>(  0.0)</v>
      </c>
      <c r="D30" s="72" t="str">
        <f>'[5]Annex-22'!D30</f>
        <v>(  0.0)</v>
      </c>
      <c r="E30" s="72" t="str">
        <f>'[5]Annex-22'!E30</f>
        <v>(  0.0)</v>
      </c>
      <c r="F30" s="73" t="str">
        <f>'[5]Annex-22'!F30</f>
        <v>(  0.0)</v>
      </c>
      <c r="G30" s="72" t="str">
        <f>'[5]Annex-22'!G30</f>
        <v>(  0.0)</v>
      </c>
      <c r="H30" s="72" t="str">
        <f>'[5]Annex-22'!H30</f>
        <v>(  0.0)</v>
      </c>
      <c r="I30" s="115"/>
    </row>
    <row r="31" spans="1:9" x14ac:dyDescent="0.3">
      <c r="A31" s="235" t="s">
        <v>149</v>
      </c>
      <c r="B31" s="284" t="s">
        <v>203</v>
      </c>
      <c r="C31" s="72" t="str">
        <f>'[5]Annex-22'!C31</f>
        <v xml:space="preserve">0 </v>
      </c>
      <c r="D31" s="72" t="str">
        <f>'[5]Annex-22'!D31</f>
        <v xml:space="preserve">0 </v>
      </c>
      <c r="E31" s="72" t="str">
        <f>'[5]Annex-22'!E31</f>
        <v xml:space="preserve">0 </v>
      </c>
      <c r="F31" s="73" t="str">
        <f>'[5]Annex-22'!F31</f>
        <v xml:space="preserve">0 </v>
      </c>
      <c r="G31" s="72" t="str">
        <f>'[5]Annex-22'!G31</f>
        <v xml:space="preserve">0 </v>
      </c>
      <c r="H31" s="72" t="str">
        <f>'[5]Annex-22'!H31</f>
        <v xml:space="preserve">0 </v>
      </c>
      <c r="I31" s="115"/>
    </row>
    <row r="32" spans="1:9" x14ac:dyDescent="0.3">
      <c r="A32" s="235"/>
      <c r="B32" s="284"/>
      <c r="C32" s="72" t="str">
        <f>'[5]Annex-22'!C32</f>
        <v>(  0.0)</v>
      </c>
      <c r="D32" s="72" t="str">
        <f>'[5]Annex-22'!D32</f>
        <v>(  0.0)</v>
      </c>
      <c r="E32" s="72" t="str">
        <f>'[5]Annex-22'!E32</f>
        <v>(  0.0)</v>
      </c>
      <c r="F32" s="73" t="str">
        <f>'[5]Annex-22'!F32</f>
        <v>(  0.0)</v>
      </c>
      <c r="G32" s="72" t="str">
        <f>'[5]Annex-22'!G32</f>
        <v>(  0.0)</v>
      </c>
      <c r="H32" s="72" t="str">
        <f>'[5]Annex-22'!H32</f>
        <v>(  0.0)</v>
      </c>
      <c r="I32" s="115"/>
    </row>
    <row r="33" spans="1:9" x14ac:dyDescent="0.3">
      <c r="A33" s="235" t="s">
        <v>150</v>
      </c>
      <c r="B33" s="284" t="s">
        <v>161</v>
      </c>
      <c r="C33" s="72" t="str">
        <f>'[5]Annex-22'!C33</f>
        <v xml:space="preserve">0 </v>
      </c>
      <c r="D33" s="72" t="str">
        <f>'[5]Annex-22'!D33</f>
        <v xml:space="preserve">0 </v>
      </c>
      <c r="E33" s="72" t="str">
        <f>'[5]Annex-22'!E33</f>
        <v xml:space="preserve">0 </v>
      </c>
      <c r="F33" s="73" t="str">
        <f>'[5]Annex-22'!F33</f>
        <v xml:space="preserve">0 </v>
      </c>
      <c r="G33" s="72" t="str">
        <f>'[5]Annex-22'!G33</f>
        <v xml:space="preserve">0 </v>
      </c>
      <c r="H33" s="72" t="str">
        <f>'[5]Annex-22'!H33</f>
        <v xml:space="preserve">0 </v>
      </c>
      <c r="I33" s="115"/>
    </row>
    <row r="34" spans="1:9" x14ac:dyDescent="0.3">
      <c r="A34" s="235"/>
      <c r="B34" s="284"/>
      <c r="C34" s="72" t="str">
        <f>'[5]Annex-22'!C34</f>
        <v>(  0.0)</v>
      </c>
      <c r="D34" s="72" t="str">
        <f>'[5]Annex-22'!D34</f>
        <v>(  0.0)</v>
      </c>
      <c r="E34" s="72" t="str">
        <f>'[5]Annex-22'!E34</f>
        <v>(  0.0)</v>
      </c>
      <c r="F34" s="73" t="str">
        <f>'[5]Annex-22'!F34</f>
        <v>(  0.0)</v>
      </c>
      <c r="G34" s="72" t="str">
        <f>'[5]Annex-22'!G34</f>
        <v>(  0.0)</v>
      </c>
      <c r="H34" s="72" t="str">
        <f>'[5]Annex-22'!H34</f>
        <v>(  0.0)</v>
      </c>
      <c r="I34" s="115"/>
    </row>
    <row r="35" spans="1:9" x14ac:dyDescent="0.3">
      <c r="A35" s="235" t="s">
        <v>152</v>
      </c>
      <c r="B35" s="284" t="s">
        <v>162</v>
      </c>
      <c r="C35" s="72" t="str">
        <f>'[5]Annex-22'!C35</f>
        <v xml:space="preserve">0 </v>
      </c>
      <c r="D35" s="72" t="str">
        <f>'[5]Annex-22'!D35</f>
        <v xml:space="preserve">0 </v>
      </c>
      <c r="E35" s="72" t="str">
        <f>'[5]Annex-22'!E35</f>
        <v xml:space="preserve">0 </v>
      </c>
      <c r="F35" s="73" t="str">
        <f>'[5]Annex-22'!F35</f>
        <v xml:space="preserve">0 </v>
      </c>
      <c r="G35" s="72" t="str">
        <f>'[5]Annex-22'!G35</f>
        <v xml:space="preserve">0 </v>
      </c>
      <c r="H35" s="72" t="str">
        <f>'[5]Annex-22'!H35</f>
        <v xml:space="preserve">0 </v>
      </c>
      <c r="I35" s="115"/>
    </row>
    <row r="36" spans="1:9" x14ac:dyDescent="0.3">
      <c r="A36" s="235"/>
      <c r="B36" s="284"/>
      <c r="C36" s="72" t="str">
        <f>'[5]Annex-22'!C36</f>
        <v>(  0.0)</v>
      </c>
      <c r="D36" s="72" t="str">
        <f>'[5]Annex-22'!D36</f>
        <v>(  0.0)</v>
      </c>
      <c r="E36" s="72" t="str">
        <f>'[5]Annex-22'!E36</f>
        <v>(  0.0)</v>
      </c>
      <c r="F36" s="73" t="str">
        <f>'[5]Annex-22'!F36</f>
        <v>(  0.0)</v>
      </c>
      <c r="G36" s="72" t="str">
        <f>'[5]Annex-22'!G36</f>
        <v>(  0.0)</v>
      </c>
      <c r="H36" s="72" t="str">
        <f>'[5]Annex-22'!H36</f>
        <v>(  0.0)</v>
      </c>
      <c r="I36" s="115"/>
    </row>
    <row r="37" spans="1:9" x14ac:dyDescent="0.3">
      <c r="A37" s="235" t="s">
        <v>154</v>
      </c>
      <c r="B37" s="284" t="s">
        <v>163</v>
      </c>
      <c r="C37" s="72" t="str">
        <f>'[5]Annex-22'!C37</f>
        <v xml:space="preserve">0 </v>
      </c>
      <c r="D37" s="72" t="str">
        <f>'[5]Annex-22'!D37</f>
        <v xml:space="preserve">0 </v>
      </c>
      <c r="E37" s="72" t="str">
        <f>'[5]Annex-22'!E37</f>
        <v xml:space="preserve">0 </v>
      </c>
      <c r="F37" s="73" t="str">
        <f>'[5]Annex-22'!F37</f>
        <v xml:space="preserve">0 </v>
      </c>
      <c r="G37" s="72" t="str">
        <f>'[5]Annex-22'!G37</f>
        <v xml:space="preserve">0 </v>
      </c>
      <c r="H37" s="72" t="str">
        <f>'[5]Annex-22'!H37</f>
        <v xml:space="preserve">0 </v>
      </c>
      <c r="I37" s="115"/>
    </row>
    <row r="38" spans="1:9" x14ac:dyDescent="0.3">
      <c r="A38" s="235"/>
      <c r="B38" s="284"/>
      <c r="C38" s="72" t="str">
        <f>'[5]Annex-22'!C38</f>
        <v>(  0.0)</v>
      </c>
      <c r="D38" s="72" t="str">
        <f>'[5]Annex-22'!D38</f>
        <v>(  0.0)</v>
      </c>
      <c r="E38" s="72" t="str">
        <f>'[5]Annex-22'!E38</f>
        <v>(  0.0)</v>
      </c>
      <c r="F38" s="73" t="str">
        <f>'[5]Annex-22'!F38</f>
        <v>(  0.0)</v>
      </c>
      <c r="G38" s="72" t="str">
        <f>'[5]Annex-22'!G38</f>
        <v>(  0.0)</v>
      </c>
      <c r="H38" s="72" t="str">
        <f>'[5]Annex-22'!H38</f>
        <v>(  0.0)</v>
      </c>
      <c r="I38" s="115"/>
    </row>
    <row r="39" spans="1:9" x14ac:dyDescent="0.3">
      <c r="A39" s="318" t="s">
        <v>164</v>
      </c>
      <c r="B39" s="284" t="s">
        <v>271</v>
      </c>
      <c r="C39" s="72" t="str">
        <f>'[5]Annex-22'!C39</f>
        <v xml:space="preserve">0 </v>
      </c>
      <c r="D39" s="72" t="str">
        <f>'[5]Annex-22'!D39</f>
        <v xml:space="preserve">0 </v>
      </c>
      <c r="E39" s="72" t="str">
        <f>'[5]Annex-22'!E39</f>
        <v xml:space="preserve">0 </v>
      </c>
      <c r="F39" s="73" t="str">
        <f>'[5]Annex-22'!F39</f>
        <v xml:space="preserve">0 </v>
      </c>
      <c r="G39" s="72" t="str">
        <f>'[5]Annex-22'!G39</f>
        <v xml:space="preserve">0 </v>
      </c>
      <c r="H39" s="72" t="str">
        <f>'[5]Annex-22'!H39</f>
        <v xml:space="preserve">0 </v>
      </c>
      <c r="I39" s="115"/>
    </row>
    <row r="40" spans="1:9" x14ac:dyDescent="0.3">
      <c r="A40" s="318"/>
      <c r="B40" s="284"/>
      <c r="C40" s="72" t="str">
        <f>'[5]Annex-22'!C40</f>
        <v>(  0.0)</v>
      </c>
      <c r="D40" s="72" t="str">
        <f>'[5]Annex-22'!D40</f>
        <v>(  0.0)</v>
      </c>
      <c r="E40" s="72" t="str">
        <f>'[5]Annex-22'!E40</f>
        <v>(  0.0)</v>
      </c>
      <c r="F40" s="73" t="str">
        <f>'[5]Annex-22'!F40</f>
        <v>(  0.0)</v>
      </c>
      <c r="G40" s="72" t="str">
        <f>'[5]Annex-22'!G40</f>
        <v>(  0.0)</v>
      </c>
      <c r="H40" s="72" t="str">
        <f>'[5]Annex-22'!H40</f>
        <v>(  0.0)</v>
      </c>
      <c r="I40" s="115"/>
    </row>
    <row r="41" spans="1:9" x14ac:dyDescent="0.3">
      <c r="A41" s="318" t="s">
        <v>166</v>
      </c>
      <c r="B41" s="284" t="s">
        <v>204</v>
      </c>
      <c r="C41" s="72" t="str">
        <f>'[5]Annex-22'!C41</f>
        <v xml:space="preserve">0 </v>
      </c>
      <c r="D41" s="72" t="str">
        <f>'[5]Annex-22'!D41</f>
        <v xml:space="preserve">0 </v>
      </c>
      <c r="E41" s="72" t="str">
        <f>'[5]Annex-22'!E41</f>
        <v xml:space="preserve">0 </v>
      </c>
      <c r="F41" s="73" t="str">
        <f>'[5]Annex-22'!F41</f>
        <v xml:space="preserve">0 </v>
      </c>
      <c r="G41" s="72" t="str">
        <f>'[5]Annex-22'!G41</f>
        <v xml:space="preserve">0 </v>
      </c>
      <c r="H41" s="72" t="str">
        <f>'[5]Annex-22'!H41</f>
        <v xml:space="preserve">0 </v>
      </c>
      <c r="I41" s="115"/>
    </row>
    <row r="42" spans="1:9" x14ac:dyDescent="0.3">
      <c r="A42" s="318"/>
      <c r="B42" s="284"/>
      <c r="C42" s="72" t="str">
        <f>'[5]Annex-22'!C42</f>
        <v>(  0.0)</v>
      </c>
      <c r="D42" s="72" t="str">
        <f>'[5]Annex-22'!D42</f>
        <v>(  0.0)</v>
      </c>
      <c r="E42" s="72" t="str">
        <f>'[5]Annex-22'!E42</f>
        <v>(  0.0)</v>
      </c>
      <c r="F42" s="73" t="str">
        <f>'[5]Annex-22'!F42</f>
        <v>(  0.0)</v>
      </c>
      <c r="G42" s="72" t="str">
        <f>'[5]Annex-22'!G42</f>
        <v>(  0.0)</v>
      </c>
      <c r="H42" s="72" t="str">
        <f>'[5]Annex-22'!H42</f>
        <v>(  0.0)</v>
      </c>
      <c r="I42" s="115"/>
    </row>
    <row r="43" spans="1:9" x14ac:dyDescent="0.3">
      <c r="A43" s="318" t="s">
        <v>167</v>
      </c>
      <c r="B43" s="284" t="s">
        <v>168</v>
      </c>
      <c r="C43" s="72" t="str">
        <f>'[5]Annex-22'!C43</f>
        <v xml:space="preserve">0 </v>
      </c>
      <c r="D43" s="72" t="str">
        <f>'[5]Annex-22'!D43</f>
        <v xml:space="preserve">0 </v>
      </c>
      <c r="E43" s="72" t="str">
        <f>'[5]Annex-22'!E43</f>
        <v xml:space="preserve">0 </v>
      </c>
      <c r="F43" s="73" t="str">
        <f>'[5]Annex-22'!F43</f>
        <v xml:space="preserve">4 </v>
      </c>
      <c r="G43" s="72" t="str">
        <f>'[5]Annex-22'!G43</f>
        <v xml:space="preserve">0 </v>
      </c>
      <c r="H43" s="72" t="str">
        <f>'[5]Annex-22'!H43</f>
        <v xml:space="preserve">4 </v>
      </c>
      <c r="I43" s="115"/>
    </row>
    <row r="44" spans="1:9" ht="15" thickBot="1" x14ac:dyDescent="0.35">
      <c r="A44" s="319"/>
      <c r="B44" s="320"/>
      <c r="C44" s="86" t="str">
        <f>'[5]Annex-22'!C44</f>
        <v>(  0.0)</v>
      </c>
      <c r="D44" s="86" t="str">
        <f>'[5]Annex-22'!D44</f>
        <v>(  0.0)</v>
      </c>
      <c r="E44" s="86" t="str">
        <f>'[5]Annex-22'!E44</f>
        <v>(  0.0)</v>
      </c>
      <c r="F44" s="87" t="str">
        <f>'[5]Annex-22'!F44</f>
        <v>( 40.0)</v>
      </c>
      <c r="G44" s="86" t="str">
        <f>'[5]Annex-22'!G44</f>
        <v>(  0.0)</v>
      </c>
      <c r="H44" s="86" t="str">
        <f>'[5]Annex-22'!H44</f>
        <v>( 20.0)</v>
      </c>
      <c r="I44" s="115"/>
    </row>
    <row r="45" spans="1:9" ht="15" thickTop="1" x14ac:dyDescent="0.3">
      <c r="A45" s="139"/>
      <c r="B45" s="101"/>
      <c r="C45" s="101"/>
      <c r="D45" s="101"/>
      <c r="E45" s="101"/>
      <c r="F45" s="101"/>
      <c r="G45" s="101"/>
      <c r="H45" s="101"/>
      <c r="I45" s="115"/>
    </row>
    <row r="46" spans="1:9" x14ac:dyDescent="0.3">
      <c r="A46" s="235" t="s">
        <v>116</v>
      </c>
      <c r="B46" s="235"/>
      <c r="C46" s="235"/>
      <c r="D46" s="235"/>
      <c r="E46" s="235"/>
      <c r="F46" s="235"/>
      <c r="G46" s="235"/>
      <c r="H46" s="235"/>
      <c r="I46" s="115"/>
    </row>
    <row r="47" spans="1:9" x14ac:dyDescent="0.3">
      <c r="A47" s="312" t="str">
        <f>IF('[5]Crops CY'!$C$5=0,"","STATE:"&amp; '[5]Crops CY'!$A$2)</f>
        <v>STATE:PUDUCHERRY</v>
      </c>
      <c r="B47" s="312"/>
      <c r="C47" s="312"/>
      <c r="D47" s="312"/>
      <c r="E47" s="312"/>
      <c r="F47" s="312"/>
      <c r="G47" s="236" t="str">
        <f>IF('[5]Crops CY'!$C$5=0,"","ANNEX-XXII")</f>
        <v>ANNEX-XXII</v>
      </c>
      <c r="H47" s="236"/>
      <c r="I47" s="115"/>
    </row>
    <row r="48" spans="1:9" x14ac:dyDescent="0.3">
      <c r="A48" s="251" t="str">
        <f>$A$3</f>
        <v>DEPARTURE FROM PRESCRIBED PROCEDURE IN EXPERIMENTS AND DISCREPANCIES IN REPORTING ANCILLARY INFORMATION DURING 2024-25 AND 2023-24.</v>
      </c>
      <c r="B48" s="251"/>
      <c r="C48" s="251"/>
      <c r="D48" s="251"/>
      <c r="E48" s="251"/>
      <c r="F48" s="251"/>
      <c r="G48" s="251"/>
      <c r="H48" s="251"/>
      <c r="I48" s="115"/>
    </row>
    <row r="49" spans="1:9" x14ac:dyDescent="0.3">
      <c r="A49" s="326" t="str">
        <f>common!$I$3</f>
        <v>SEASON : RABI II</v>
      </c>
      <c r="B49" s="326"/>
      <c r="C49" s="325"/>
      <c r="D49" s="325"/>
      <c r="E49" s="325"/>
      <c r="F49" s="325"/>
      <c r="G49" s="325"/>
      <c r="H49" s="325"/>
      <c r="I49" s="115"/>
    </row>
    <row r="50" spans="1:9" x14ac:dyDescent="0.3">
      <c r="A50" s="252" t="str">
        <f>IF('[5]Crops CY'!$C$5=0,"","PARICULARS")</f>
        <v>PARICULARS</v>
      </c>
      <c r="B50" s="252"/>
      <c r="C50" s="322" t="str">
        <f>common!$J$4</f>
        <v>YEAR 2024-25</v>
      </c>
      <c r="D50" s="322"/>
      <c r="E50" s="322"/>
      <c r="F50" s="323" t="str">
        <f>common!$J$5</f>
        <v>YEAR 2023-24</v>
      </c>
      <c r="G50" s="324"/>
      <c r="H50" s="324"/>
      <c r="I50" s="115"/>
    </row>
    <row r="51" spans="1:9" x14ac:dyDescent="0.3">
      <c r="A51" s="253"/>
      <c r="B51" s="253"/>
      <c r="C51" s="154" t="str">
        <f>IF('[5]Crops CY'!$C$5=0,"","CENTRAL")</f>
        <v>CENTRAL</v>
      </c>
      <c r="D51" s="154" t="str">
        <f>IF('[5]Crops CY'!$C$5=0,"","STATE")</f>
        <v>STATE</v>
      </c>
      <c r="E51" s="154" t="str">
        <f>IF('[5]Crops CY'!$C$5=0,"","POOLED")</f>
        <v>POOLED</v>
      </c>
      <c r="F51" s="166" t="str">
        <f>IF('[5]Crops CY'!$C$5=0,"","CENTRAL")</f>
        <v>CENTRAL</v>
      </c>
      <c r="G51" s="154" t="str">
        <f>IF('[5]Crops CY'!$C$5=0,"","STATE")</f>
        <v>STATE</v>
      </c>
      <c r="H51" s="154" t="str">
        <f>IF('[5]Crops CY'!$C$5=0,"","POOLED")</f>
        <v>POOLED</v>
      </c>
      <c r="I51" s="115"/>
    </row>
    <row r="52" spans="1:9" x14ac:dyDescent="0.3">
      <c r="A52" s="321" t="str">
        <f>IF('[5]Crops CY'!$C$5=0,"","(1)")</f>
        <v>(1)</v>
      </c>
      <c r="B52" s="321"/>
      <c r="C52" s="154" t="str">
        <f>IF('[5]Crops CY'!$C$5=0,"","(2)")</f>
        <v>(2)</v>
      </c>
      <c r="D52" s="154" t="str">
        <f>IF('[5]Crops CY'!$C$5=0,"","(3)")</f>
        <v>(3)</v>
      </c>
      <c r="E52" s="154" t="str">
        <f>IF('[5]Crops CY'!$C$5=0,"","(4)")</f>
        <v>(4)</v>
      </c>
      <c r="F52" s="166" t="str">
        <f>IF('[5]Crops CY'!$C$5=0,"","(5)")</f>
        <v>(5)</v>
      </c>
      <c r="G52" s="154" t="str">
        <f>IF('[5]Crops CY'!$C$5=0,"","(6)")</f>
        <v>(6)</v>
      </c>
      <c r="H52" s="154" t="str">
        <f>IF('[5]Crops CY'!$C$5=0,"","(7)")</f>
        <v>(7)</v>
      </c>
      <c r="I52" s="115"/>
    </row>
    <row r="53" spans="1:9" x14ac:dyDescent="0.3">
      <c r="A53" s="190" t="str">
        <f>IF('[5]Crops CY'!$C$5=0,"","1.")</f>
        <v>1.</v>
      </c>
      <c r="B53" s="110" t="s">
        <v>142</v>
      </c>
      <c r="C53" s="72" t="str">
        <f>'[5]Annex-22'!C53</f>
        <v xml:space="preserve">10 </v>
      </c>
      <c r="D53" s="72" t="str">
        <f>'[5]Annex-22'!D53</f>
        <v xml:space="preserve">10 </v>
      </c>
      <c r="E53" s="72" t="str">
        <f>'[5]Annex-22'!E53</f>
        <v xml:space="preserve">20 </v>
      </c>
      <c r="F53" s="73" t="str">
        <f>'[5]Annex-22'!F53</f>
        <v xml:space="preserve">10 </v>
      </c>
      <c r="G53" s="72" t="str">
        <f>'[5]Annex-22'!G53</f>
        <v xml:space="preserve">10 </v>
      </c>
      <c r="H53" s="72" t="str">
        <f>'[5]Annex-22'!H53</f>
        <v xml:space="preserve">20 </v>
      </c>
      <c r="I53" s="115"/>
    </row>
    <row r="54" spans="1:9" x14ac:dyDescent="0.3">
      <c r="A54" s="318" t="str">
        <f>IF('[5]Crops CY'!$C$5=0,"","2.")</f>
        <v>2.</v>
      </c>
      <c r="B54" s="284" t="s">
        <v>144</v>
      </c>
      <c r="C54" s="72" t="str">
        <f>'[5]Annex-22'!C54</f>
        <v xml:space="preserve">4 </v>
      </c>
      <c r="D54" s="72" t="str">
        <f>'[5]Annex-22'!D54</f>
        <v xml:space="preserve">10 </v>
      </c>
      <c r="E54" s="72" t="str">
        <f>'[5]Annex-22'!E54</f>
        <v xml:space="preserve">14 </v>
      </c>
      <c r="F54" s="73" t="str">
        <f>'[5]Annex-22'!F54</f>
        <v xml:space="preserve">8 </v>
      </c>
      <c r="G54" s="72" t="str">
        <f>'[5]Annex-22'!G54</f>
        <v xml:space="preserve">10 </v>
      </c>
      <c r="H54" s="72" t="str">
        <f>'[5]Annex-22'!H54</f>
        <v xml:space="preserve">18 </v>
      </c>
      <c r="I54" s="115"/>
    </row>
    <row r="55" spans="1:9" x14ac:dyDescent="0.3">
      <c r="A55" s="318"/>
      <c r="B55" s="284"/>
      <c r="C55" s="72" t="str">
        <f>'[5]Annex-22'!C55</f>
        <v>( 40.0)</v>
      </c>
      <c r="D55" s="72" t="str">
        <f>'[5]Annex-22'!D55</f>
        <v>(100.0)</v>
      </c>
      <c r="E55" s="72" t="str">
        <f>'[5]Annex-22'!E55</f>
        <v>( 70.0)</v>
      </c>
      <c r="F55" s="73" t="str">
        <f>'[5]Annex-22'!F55</f>
        <v>( 80.0)</v>
      </c>
      <c r="G55" s="72" t="str">
        <f>'[5]Annex-22'!G55</f>
        <v>(100.0)</v>
      </c>
      <c r="H55" s="72" t="str">
        <f>'[5]Annex-22'!H55</f>
        <v>( 90.0)</v>
      </c>
      <c r="I55" s="115"/>
    </row>
    <row r="56" spans="1:9" ht="28.8" x14ac:dyDescent="0.3">
      <c r="A56" s="190" t="str">
        <f>IF('[5]Crops CY'!$C$5=0,"","3.")</f>
        <v>3.</v>
      </c>
      <c r="B56" s="110" t="s">
        <v>200</v>
      </c>
      <c r="C56" s="72">
        <f>'[5]Annex-22'!C56</f>
        <v>0</v>
      </c>
      <c r="D56" s="72">
        <f>'[5]Annex-22'!D56</f>
        <v>0</v>
      </c>
      <c r="E56" s="72">
        <f>'[5]Annex-22'!E56</f>
        <v>0</v>
      </c>
      <c r="F56" s="73">
        <f>'[5]Annex-22'!F56</f>
        <v>0</v>
      </c>
      <c r="G56" s="72">
        <f>'[5]Annex-22'!G56</f>
        <v>0</v>
      </c>
      <c r="H56" s="72">
        <f>'[5]Annex-22'!H56</f>
        <v>0</v>
      </c>
      <c r="I56" s="115"/>
    </row>
    <row r="57" spans="1:9" x14ac:dyDescent="0.3">
      <c r="A57" s="235" t="str">
        <f>IF('[5]Crops CY'!$C$5=0,"","I")</f>
        <v>I</v>
      </c>
      <c r="B57" s="284" t="s">
        <v>146</v>
      </c>
      <c r="C57" s="72" t="str">
        <f>'[5]Annex-22'!C57</f>
        <v xml:space="preserve">0 </v>
      </c>
      <c r="D57" s="72" t="str">
        <f>'[5]Annex-22'!D57</f>
        <v xml:space="preserve">0 </v>
      </c>
      <c r="E57" s="72" t="str">
        <f>'[5]Annex-22'!E57</f>
        <v xml:space="preserve">0 </v>
      </c>
      <c r="F57" s="73" t="str">
        <f>'[5]Annex-22'!F57</f>
        <v xml:space="preserve">0 </v>
      </c>
      <c r="G57" s="72" t="str">
        <f>'[5]Annex-22'!G57</f>
        <v xml:space="preserve">0 </v>
      </c>
      <c r="H57" s="72" t="str">
        <f>'[5]Annex-22'!H57</f>
        <v xml:space="preserve">0 </v>
      </c>
      <c r="I57" s="115"/>
    </row>
    <row r="58" spans="1:9" x14ac:dyDescent="0.3">
      <c r="A58" s="235"/>
      <c r="B58" s="284"/>
      <c r="C58" s="72" t="str">
        <f>'[5]Annex-22'!C58</f>
        <v>(  0.0)</v>
      </c>
      <c r="D58" s="72" t="str">
        <f>'[5]Annex-22'!D58</f>
        <v>(  0.0)</v>
      </c>
      <c r="E58" s="72" t="str">
        <f>'[5]Annex-22'!E58</f>
        <v>(  0.0)</v>
      </c>
      <c r="F58" s="73" t="str">
        <f>'[5]Annex-22'!F58</f>
        <v>(  0.0)</v>
      </c>
      <c r="G58" s="72" t="str">
        <f>'[5]Annex-22'!G58</f>
        <v>(  0.0)</v>
      </c>
      <c r="H58" s="72" t="str">
        <f>'[5]Annex-22'!H58</f>
        <v>(  0.0)</v>
      </c>
      <c r="I58" s="115"/>
    </row>
    <row r="59" spans="1:9" x14ac:dyDescent="0.3">
      <c r="A59" s="235" t="str">
        <f>IF('[5]Crops CY'!$C$5=0,"","II")</f>
        <v>II</v>
      </c>
      <c r="B59" s="284" t="s">
        <v>148</v>
      </c>
      <c r="C59" s="72" t="str">
        <f>'[5]Annex-22'!C59</f>
        <v xml:space="preserve">0 </v>
      </c>
      <c r="D59" s="72" t="str">
        <f>'[5]Annex-22'!D59</f>
        <v xml:space="preserve">0 </v>
      </c>
      <c r="E59" s="72" t="str">
        <f>'[5]Annex-22'!E59</f>
        <v xml:space="preserve">0 </v>
      </c>
      <c r="F59" s="73" t="str">
        <f>'[5]Annex-22'!F59</f>
        <v xml:space="preserve">0 </v>
      </c>
      <c r="G59" s="72" t="str">
        <f>'[5]Annex-22'!G59</f>
        <v xml:space="preserve">0 </v>
      </c>
      <c r="H59" s="72" t="str">
        <f>'[5]Annex-22'!H59</f>
        <v xml:space="preserve">0 </v>
      </c>
      <c r="I59" s="115"/>
    </row>
    <row r="60" spans="1:9" x14ac:dyDescent="0.3">
      <c r="A60" s="235"/>
      <c r="B60" s="284"/>
      <c r="C60" s="72" t="str">
        <f>'[5]Annex-22'!C60</f>
        <v>(  0.0)</v>
      </c>
      <c r="D60" s="72" t="str">
        <f>'[5]Annex-22'!D60</f>
        <v>(  0.0)</v>
      </c>
      <c r="E60" s="72" t="str">
        <f>'[5]Annex-22'!E60</f>
        <v>(  0.0)</v>
      </c>
      <c r="F60" s="73" t="str">
        <f>'[5]Annex-22'!F60</f>
        <v>(  0.0)</v>
      </c>
      <c r="G60" s="72" t="str">
        <f>'[5]Annex-22'!G60</f>
        <v>(  0.0)</v>
      </c>
      <c r="H60" s="72" t="str">
        <f>'[5]Annex-22'!H60</f>
        <v>(  0.0)</v>
      </c>
      <c r="I60" s="115"/>
    </row>
    <row r="61" spans="1:9" x14ac:dyDescent="0.3">
      <c r="A61" s="235" t="str">
        <f>IF('[5]Crops CY'!$C$5=0,"","III")</f>
        <v>III</v>
      </c>
      <c r="B61" s="284" t="s">
        <v>201</v>
      </c>
      <c r="C61" s="72" t="str">
        <f>'[5]Annex-22'!C61</f>
        <v xml:space="preserve">0 </v>
      </c>
      <c r="D61" s="72" t="str">
        <f>'[5]Annex-22'!D61</f>
        <v xml:space="preserve">0 </v>
      </c>
      <c r="E61" s="72" t="str">
        <f>'[5]Annex-22'!E61</f>
        <v xml:space="preserve">0 </v>
      </c>
      <c r="F61" s="73" t="str">
        <f>'[5]Annex-22'!F61</f>
        <v xml:space="preserve">0 </v>
      </c>
      <c r="G61" s="72" t="str">
        <f>'[5]Annex-22'!G61</f>
        <v xml:space="preserve">0 </v>
      </c>
      <c r="H61" s="72" t="str">
        <f>'[5]Annex-22'!H61</f>
        <v xml:space="preserve">0 </v>
      </c>
      <c r="I61" s="115"/>
    </row>
    <row r="62" spans="1:9" x14ac:dyDescent="0.3">
      <c r="A62" s="235"/>
      <c r="B62" s="284"/>
      <c r="C62" s="72" t="str">
        <f>'[5]Annex-22'!C62</f>
        <v>(  0.0)</v>
      </c>
      <c r="D62" s="72" t="str">
        <f>'[5]Annex-22'!D62</f>
        <v>(  0.0)</v>
      </c>
      <c r="E62" s="72" t="str">
        <f>'[5]Annex-22'!E62</f>
        <v>(  0.0)</v>
      </c>
      <c r="F62" s="73" t="str">
        <f>'[5]Annex-22'!F62</f>
        <v>(  0.0)</v>
      </c>
      <c r="G62" s="72" t="str">
        <f>'[5]Annex-22'!G62</f>
        <v>(  0.0)</v>
      </c>
      <c r="H62" s="72" t="str">
        <f>'[5]Annex-22'!H62</f>
        <v>(  0.0)</v>
      </c>
      <c r="I62" s="115"/>
    </row>
    <row r="63" spans="1:9" x14ac:dyDescent="0.3">
      <c r="A63" s="235" t="str">
        <f>IF('[5]Crops CY'!$C$5=0,"","IV")</f>
        <v>IV</v>
      </c>
      <c r="B63" s="284" t="s">
        <v>151</v>
      </c>
      <c r="C63" s="72" t="str">
        <f>'[5]Annex-22'!C63</f>
        <v xml:space="preserve">0 </v>
      </c>
      <c r="D63" s="72" t="str">
        <f>'[5]Annex-22'!D63</f>
        <v xml:space="preserve">0 </v>
      </c>
      <c r="E63" s="72" t="str">
        <f>'[5]Annex-22'!E63</f>
        <v xml:space="preserve">0 </v>
      </c>
      <c r="F63" s="73" t="str">
        <f>'[5]Annex-22'!F63</f>
        <v xml:space="preserve">0 </v>
      </c>
      <c r="G63" s="72" t="str">
        <f>'[5]Annex-22'!G63</f>
        <v xml:space="preserve">0 </v>
      </c>
      <c r="H63" s="72" t="str">
        <f>'[5]Annex-22'!H63</f>
        <v xml:space="preserve">0 </v>
      </c>
      <c r="I63" s="115"/>
    </row>
    <row r="64" spans="1:9" x14ac:dyDescent="0.3">
      <c r="A64" s="235"/>
      <c r="B64" s="284"/>
      <c r="C64" s="72" t="str">
        <f>'[5]Annex-22'!C64</f>
        <v>(  0.0)</v>
      </c>
      <c r="D64" s="72" t="str">
        <f>'[5]Annex-22'!D64</f>
        <v>(  0.0)</v>
      </c>
      <c r="E64" s="72" t="str">
        <f>'[5]Annex-22'!E64</f>
        <v>(  0.0)</v>
      </c>
      <c r="F64" s="73" t="str">
        <f>'[5]Annex-22'!F64</f>
        <v>(  0.0)</v>
      </c>
      <c r="G64" s="72" t="str">
        <f>'[5]Annex-22'!G64</f>
        <v>(  0.0)</v>
      </c>
      <c r="H64" s="72" t="str">
        <f>'[5]Annex-22'!H64</f>
        <v>(  0.0)</v>
      </c>
      <c r="I64" s="115"/>
    </row>
    <row r="65" spans="1:9" x14ac:dyDescent="0.3">
      <c r="A65" s="235" t="str">
        <f>IF('[5]Crops CY'!$C$5=0,"","V")</f>
        <v>V</v>
      </c>
      <c r="B65" s="284" t="s">
        <v>153</v>
      </c>
      <c r="C65" s="72" t="str">
        <f>'[5]Annex-22'!C65</f>
        <v xml:space="preserve">0 </v>
      </c>
      <c r="D65" s="72" t="str">
        <f>'[5]Annex-22'!D65</f>
        <v xml:space="preserve">0 </v>
      </c>
      <c r="E65" s="72" t="str">
        <f>'[5]Annex-22'!E65</f>
        <v xml:space="preserve">0 </v>
      </c>
      <c r="F65" s="73" t="str">
        <f>'[5]Annex-22'!F65</f>
        <v xml:space="preserve">0 </v>
      </c>
      <c r="G65" s="72" t="str">
        <f>'[5]Annex-22'!G65</f>
        <v xml:space="preserve">0 </v>
      </c>
      <c r="H65" s="72" t="str">
        <f>'[5]Annex-22'!H65</f>
        <v xml:space="preserve">0 </v>
      </c>
      <c r="I65" s="115"/>
    </row>
    <row r="66" spans="1:9" x14ac:dyDescent="0.3">
      <c r="A66" s="235"/>
      <c r="B66" s="284"/>
      <c r="C66" s="72" t="str">
        <f>'[5]Annex-22'!C66</f>
        <v>(  0.0)</v>
      </c>
      <c r="D66" s="72" t="str">
        <f>'[5]Annex-22'!D66</f>
        <v>(  0.0)</v>
      </c>
      <c r="E66" s="72" t="str">
        <f>'[5]Annex-22'!E66</f>
        <v>(  0.0)</v>
      </c>
      <c r="F66" s="73" t="str">
        <f>'[5]Annex-22'!F66</f>
        <v>(  0.0)</v>
      </c>
      <c r="G66" s="72" t="str">
        <f>'[5]Annex-22'!G66</f>
        <v>(  0.0)</v>
      </c>
      <c r="H66" s="72" t="str">
        <f>'[5]Annex-22'!H66</f>
        <v>(  0.0)</v>
      </c>
      <c r="I66" s="115"/>
    </row>
    <row r="67" spans="1:9" x14ac:dyDescent="0.3">
      <c r="A67" s="235" t="str">
        <f>IF('[5]Crops CY'!$C$5=0,"","VI")</f>
        <v>VI</v>
      </c>
      <c r="B67" s="284" t="s">
        <v>202</v>
      </c>
      <c r="C67" s="72" t="str">
        <f>'[5]Annex-22'!C67</f>
        <v xml:space="preserve">0 </v>
      </c>
      <c r="D67" s="72" t="str">
        <f>'[5]Annex-22'!D67</f>
        <v xml:space="preserve">0 </v>
      </c>
      <c r="E67" s="72" t="str">
        <f>'[5]Annex-22'!E67</f>
        <v xml:space="preserve">0 </v>
      </c>
      <c r="F67" s="73" t="str">
        <f>'[5]Annex-22'!F67</f>
        <v xml:space="preserve">0 </v>
      </c>
      <c r="G67" s="72" t="str">
        <f>'[5]Annex-22'!G67</f>
        <v xml:space="preserve">0 </v>
      </c>
      <c r="H67" s="72" t="str">
        <f>'[5]Annex-22'!H67</f>
        <v xml:space="preserve">0 </v>
      </c>
      <c r="I67" s="115"/>
    </row>
    <row r="68" spans="1:9" x14ac:dyDescent="0.3">
      <c r="A68" s="235"/>
      <c r="B68" s="284"/>
      <c r="C68" s="72" t="str">
        <f>'[5]Annex-22'!C68</f>
        <v>(  0.0)</v>
      </c>
      <c r="D68" s="72" t="str">
        <f>'[5]Annex-22'!D68</f>
        <v>(  0.0)</v>
      </c>
      <c r="E68" s="72" t="str">
        <f>'[5]Annex-22'!E68</f>
        <v>(  0.0)</v>
      </c>
      <c r="F68" s="73" t="str">
        <f>'[5]Annex-22'!F68</f>
        <v>(  0.0)</v>
      </c>
      <c r="G68" s="72" t="str">
        <f>'[5]Annex-22'!G68</f>
        <v>(  0.0)</v>
      </c>
      <c r="H68" s="72" t="str">
        <f>'[5]Annex-22'!H68</f>
        <v>(  0.0)</v>
      </c>
      <c r="I68" s="115"/>
    </row>
    <row r="69" spans="1:9" x14ac:dyDescent="0.3">
      <c r="A69" s="235" t="str">
        <f>IF('[5]Crops CY'!$C$5=0,"","VII")</f>
        <v>VII</v>
      </c>
      <c r="B69" s="284" t="s">
        <v>156</v>
      </c>
      <c r="C69" s="72" t="str">
        <f>'[5]Annex-22'!C69</f>
        <v xml:space="preserve">1 </v>
      </c>
      <c r="D69" s="72" t="str">
        <f>'[5]Annex-22'!D69</f>
        <v xml:space="preserve">0 </v>
      </c>
      <c r="E69" s="72" t="str">
        <f>'[5]Annex-22'!E69</f>
        <v xml:space="preserve">1 </v>
      </c>
      <c r="F69" s="73" t="str">
        <f>'[5]Annex-22'!F69</f>
        <v xml:space="preserve">0 </v>
      </c>
      <c r="G69" s="72" t="str">
        <f>'[5]Annex-22'!G69</f>
        <v xml:space="preserve">0 </v>
      </c>
      <c r="H69" s="72" t="str">
        <f>'[5]Annex-22'!H69</f>
        <v xml:space="preserve">0 </v>
      </c>
      <c r="I69" s="115"/>
    </row>
    <row r="70" spans="1:9" x14ac:dyDescent="0.3">
      <c r="A70" s="235"/>
      <c r="B70" s="284"/>
      <c r="C70" s="72" t="str">
        <f>'[5]Annex-22'!C70</f>
        <v>( 10.0)</v>
      </c>
      <c r="D70" s="72" t="str">
        <f>'[5]Annex-22'!D70</f>
        <v>(  0.0)</v>
      </c>
      <c r="E70" s="72" t="str">
        <f>'[5]Annex-22'!E70</f>
        <v>(  5.0)</v>
      </c>
      <c r="F70" s="73" t="str">
        <f>'[5]Annex-22'!F70</f>
        <v>(  0.0)</v>
      </c>
      <c r="G70" s="72" t="str">
        <f>'[5]Annex-22'!G70</f>
        <v>(  0.0)</v>
      </c>
      <c r="H70" s="72" t="str">
        <f>'[5]Annex-22'!H70</f>
        <v>(  0.0)</v>
      </c>
      <c r="I70" s="115"/>
    </row>
    <row r="71" spans="1:9" x14ac:dyDescent="0.3">
      <c r="A71" s="190" t="str">
        <f>IF('[5]Crops CY'!$C$5=0,"","4.")</f>
        <v>4.</v>
      </c>
      <c r="B71" s="110" t="s">
        <v>158</v>
      </c>
      <c r="C71" s="72">
        <f>'[5]Annex-22'!C71</f>
        <v>0</v>
      </c>
      <c r="D71" s="72">
        <f>'[5]Annex-22'!D71</f>
        <v>0</v>
      </c>
      <c r="E71" s="72">
        <f>'[5]Annex-22'!E71</f>
        <v>0</v>
      </c>
      <c r="F71" s="73">
        <f>'[5]Annex-22'!F71</f>
        <v>0</v>
      </c>
      <c r="G71" s="72">
        <f>'[5]Annex-22'!G71</f>
        <v>0</v>
      </c>
      <c r="H71" s="72">
        <f>'[5]Annex-22'!H71</f>
        <v>0</v>
      </c>
      <c r="I71" s="115"/>
    </row>
    <row r="72" spans="1:9" x14ac:dyDescent="0.3">
      <c r="A72" s="235" t="str">
        <f>IF('[5]Crops CY'!$C$5=0,"","I")</f>
        <v>I</v>
      </c>
      <c r="B72" s="284" t="s">
        <v>159</v>
      </c>
      <c r="C72" s="72" t="str">
        <f>'[5]Annex-22'!C72</f>
        <v xml:space="preserve">0 </v>
      </c>
      <c r="D72" s="72" t="str">
        <f>'[5]Annex-22'!D72</f>
        <v xml:space="preserve">0 </v>
      </c>
      <c r="E72" s="72" t="str">
        <f>'[5]Annex-22'!E72</f>
        <v xml:space="preserve">0 </v>
      </c>
      <c r="F72" s="73" t="str">
        <f>'[5]Annex-22'!F72</f>
        <v xml:space="preserve">0 </v>
      </c>
      <c r="G72" s="72" t="str">
        <f>'[5]Annex-22'!G72</f>
        <v xml:space="preserve">0 </v>
      </c>
      <c r="H72" s="72" t="str">
        <f>'[5]Annex-22'!H72</f>
        <v xml:space="preserve">0 </v>
      </c>
      <c r="I72" s="115"/>
    </row>
    <row r="73" spans="1:9" x14ac:dyDescent="0.3">
      <c r="A73" s="235"/>
      <c r="B73" s="284"/>
      <c r="C73" s="72" t="str">
        <f>'[5]Annex-22'!C73</f>
        <v>(  0.0)</v>
      </c>
      <c r="D73" s="72" t="str">
        <f>'[5]Annex-22'!D73</f>
        <v>(  0.0)</v>
      </c>
      <c r="E73" s="72" t="str">
        <f>'[5]Annex-22'!E73</f>
        <v>(  0.0)</v>
      </c>
      <c r="F73" s="73" t="str">
        <f>'[5]Annex-22'!F73</f>
        <v>(  0.0)</v>
      </c>
      <c r="G73" s="72" t="str">
        <f>'[5]Annex-22'!G73</f>
        <v>(  0.0)</v>
      </c>
      <c r="H73" s="72" t="str">
        <f>'[5]Annex-22'!H73</f>
        <v>(  0.0)</v>
      </c>
      <c r="I73" s="115"/>
    </row>
    <row r="74" spans="1:9" x14ac:dyDescent="0.3">
      <c r="A74" s="235" t="str">
        <f>IF('[5]Crops CY'!$C$5=0,"","II")</f>
        <v>II</v>
      </c>
      <c r="B74" s="284" t="s">
        <v>160</v>
      </c>
      <c r="C74" s="72" t="str">
        <f>'[5]Annex-22'!C74</f>
        <v xml:space="preserve">0 </v>
      </c>
      <c r="D74" s="72" t="str">
        <f>'[5]Annex-22'!D74</f>
        <v xml:space="preserve">0 </v>
      </c>
      <c r="E74" s="72" t="str">
        <f>'[5]Annex-22'!E74</f>
        <v xml:space="preserve">0 </v>
      </c>
      <c r="F74" s="73" t="str">
        <f>'[5]Annex-22'!F74</f>
        <v xml:space="preserve">0 </v>
      </c>
      <c r="G74" s="72" t="str">
        <f>'[5]Annex-22'!G74</f>
        <v xml:space="preserve">0 </v>
      </c>
      <c r="H74" s="72" t="str">
        <f>'[5]Annex-22'!H74</f>
        <v xml:space="preserve">0 </v>
      </c>
      <c r="I74" s="115"/>
    </row>
    <row r="75" spans="1:9" x14ac:dyDescent="0.3">
      <c r="A75" s="235"/>
      <c r="B75" s="284"/>
      <c r="C75" s="72" t="str">
        <f>'[5]Annex-22'!C75</f>
        <v>(  0.0)</v>
      </c>
      <c r="D75" s="72" t="str">
        <f>'[5]Annex-22'!D75</f>
        <v>(  0.0)</v>
      </c>
      <c r="E75" s="72" t="str">
        <f>'[5]Annex-22'!E75</f>
        <v>(  0.0)</v>
      </c>
      <c r="F75" s="73" t="str">
        <f>'[5]Annex-22'!F75</f>
        <v>(  0.0)</v>
      </c>
      <c r="G75" s="72" t="str">
        <f>'[5]Annex-22'!G75</f>
        <v>(  0.0)</v>
      </c>
      <c r="H75" s="72" t="str">
        <f>'[5]Annex-22'!H75</f>
        <v>(  0.0)</v>
      </c>
      <c r="I75" s="115"/>
    </row>
    <row r="76" spans="1:9" x14ac:dyDescent="0.3">
      <c r="A76" s="235" t="str">
        <f>IF('[5]Crops CY'!$C$5=0,"","III")</f>
        <v>III</v>
      </c>
      <c r="B76" s="284" t="s">
        <v>203</v>
      </c>
      <c r="C76" s="72" t="str">
        <f>'[5]Annex-22'!C76</f>
        <v xml:space="preserve">0 </v>
      </c>
      <c r="D76" s="72" t="str">
        <f>'[5]Annex-22'!D76</f>
        <v xml:space="preserve">0 </v>
      </c>
      <c r="E76" s="72" t="str">
        <f>'[5]Annex-22'!E76</f>
        <v xml:space="preserve">0 </v>
      </c>
      <c r="F76" s="73" t="str">
        <f>'[5]Annex-22'!F76</f>
        <v xml:space="preserve">0 </v>
      </c>
      <c r="G76" s="72" t="str">
        <f>'[5]Annex-22'!G76</f>
        <v xml:space="preserve">0 </v>
      </c>
      <c r="H76" s="72" t="str">
        <f>'[5]Annex-22'!H76</f>
        <v xml:space="preserve">0 </v>
      </c>
      <c r="I76" s="115"/>
    </row>
    <row r="77" spans="1:9" x14ac:dyDescent="0.3">
      <c r="A77" s="235"/>
      <c r="B77" s="284"/>
      <c r="C77" s="72" t="str">
        <f>'[5]Annex-22'!C77</f>
        <v>(  0.0)</v>
      </c>
      <c r="D77" s="72" t="str">
        <f>'[5]Annex-22'!D77</f>
        <v>(  0.0)</v>
      </c>
      <c r="E77" s="72" t="str">
        <f>'[5]Annex-22'!E77</f>
        <v>(  0.0)</v>
      </c>
      <c r="F77" s="73" t="str">
        <f>'[5]Annex-22'!F77</f>
        <v>(  0.0)</v>
      </c>
      <c r="G77" s="72" t="str">
        <f>'[5]Annex-22'!G77</f>
        <v>(  0.0)</v>
      </c>
      <c r="H77" s="72" t="str">
        <f>'[5]Annex-22'!H77</f>
        <v>(  0.0)</v>
      </c>
      <c r="I77" s="115"/>
    </row>
    <row r="78" spans="1:9" x14ac:dyDescent="0.3">
      <c r="A78" s="235" t="str">
        <f>IF('[5]Crops CY'!$C$5=0,"","IV")</f>
        <v>IV</v>
      </c>
      <c r="B78" s="284" t="s">
        <v>161</v>
      </c>
      <c r="C78" s="72" t="str">
        <f>'[5]Annex-22'!C78</f>
        <v xml:space="preserve">0 </v>
      </c>
      <c r="D78" s="72" t="str">
        <f>'[5]Annex-22'!D78</f>
        <v xml:space="preserve">0 </v>
      </c>
      <c r="E78" s="72" t="str">
        <f>'[5]Annex-22'!E78</f>
        <v xml:space="preserve">0 </v>
      </c>
      <c r="F78" s="73" t="str">
        <f>'[5]Annex-22'!F78</f>
        <v xml:space="preserve">0 </v>
      </c>
      <c r="G78" s="72" t="str">
        <f>'[5]Annex-22'!G78</f>
        <v xml:space="preserve">0 </v>
      </c>
      <c r="H78" s="72" t="str">
        <f>'[5]Annex-22'!H78</f>
        <v xml:space="preserve">0 </v>
      </c>
      <c r="I78" s="115"/>
    </row>
    <row r="79" spans="1:9" x14ac:dyDescent="0.3">
      <c r="A79" s="235"/>
      <c r="B79" s="284"/>
      <c r="C79" s="72" t="str">
        <f>'[5]Annex-22'!C79</f>
        <v>(  0.0)</v>
      </c>
      <c r="D79" s="72" t="str">
        <f>'[5]Annex-22'!D79</f>
        <v>(  0.0)</v>
      </c>
      <c r="E79" s="72" t="str">
        <f>'[5]Annex-22'!E79</f>
        <v>(  0.0)</v>
      </c>
      <c r="F79" s="73" t="str">
        <f>'[5]Annex-22'!F79</f>
        <v>(  0.0)</v>
      </c>
      <c r="G79" s="72" t="str">
        <f>'[5]Annex-22'!G79</f>
        <v>(  0.0)</v>
      </c>
      <c r="H79" s="72" t="str">
        <f>'[5]Annex-22'!H79</f>
        <v>(  0.0)</v>
      </c>
      <c r="I79" s="115"/>
    </row>
    <row r="80" spans="1:9" x14ac:dyDescent="0.3">
      <c r="A80" s="235" t="str">
        <f>IF('[5]Crops CY'!$C$5=0,"","V")</f>
        <v>V</v>
      </c>
      <c r="B80" s="284" t="s">
        <v>162</v>
      </c>
      <c r="C80" s="72" t="str">
        <f>'[5]Annex-22'!C80</f>
        <v xml:space="preserve">3 </v>
      </c>
      <c r="D80" s="72" t="str">
        <f>'[5]Annex-22'!D80</f>
        <v xml:space="preserve">0 </v>
      </c>
      <c r="E80" s="72" t="str">
        <f>'[5]Annex-22'!E80</f>
        <v xml:space="preserve">3 </v>
      </c>
      <c r="F80" s="73" t="str">
        <f>'[5]Annex-22'!F80</f>
        <v xml:space="preserve">1 </v>
      </c>
      <c r="G80" s="72" t="str">
        <f>'[5]Annex-22'!G80</f>
        <v xml:space="preserve">0 </v>
      </c>
      <c r="H80" s="72" t="str">
        <f>'[5]Annex-22'!H80</f>
        <v xml:space="preserve">1 </v>
      </c>
      <c r="I80" s="115"/>
    </row>
    <row r="81" spans="1:9" x14ac:dyDescent="0.3">
      <c r="A81" s="235"/>
      <c r="B81" s="284"/>
      <c r="C81" s="72" t="str">
        <f>'[5]Annex-22'!C81</f>
        <v>( 30.0)</v>
      </c>
      <c r="D81" s="72" t="str">
        <f>'[5]Annex-22'!D81</f>
        <v>(  0.0)</v>
      </c>
      <c r="E81" s="72" t="str">
        <f>'[5]Annex-22'!E81</f>
        <v>( 15.0)</v>
      </c>
      <c r="F81" s="73" t="str">
        <f>'[5]Annex-22'!F81</f>
        <v>( 10.0)</v>
      </c>
      <c r="G81" s="72" t="str">
        <f>'[5]Annex-22'!G81</f>
        <v>(  0.0)</v>
      </c>
      <c r="H81" s="72" t="str">
        <f>'[5]Annex-22'!H81</f>
        <v>(  5.0)</v>
      </c>
      <c r="I81" s="115"/>
    </row>
    <row r="82" spans="1:9" x14ac:dyDescent="0.3">
      <c r="A82" s="235" t="str">
        <f>IF('[5]Crops CY'!$C$5=0,"","VI")</f>
        <v>VI</v>
      </c>
      <c r="B82" s="284" t="s">
        <v>163</v>
      </c>
      <c r="C82" s="72" t="str">
        <f>'[5]Annex-22'!C82</f>
        <v xml:space="preserve">0 </v>
      </c>
      <c r="D82" s="72" t="str">
        <f>'[5]Annex-22'!D82</f>
        <v xml:space="preserve">0 </v>
      </c>
      <c r="E82" s="72" t="str">
        <f>'[5]Annex-22'!E82</f>
        <v xml:space="preserve">0 </v>
      </c>
      <c r="F82" s="73" t="str">
        <f>'[5]Annex-22'!F82</f>
        <v xml:space="preserve">2 </v>
      </c>
      <c r="G82" s="72" t="str">
        <f>'[5]Annex-22'!G82</f>
        <v xml:space="preserve">0 </v>
      </c>
      <c r="H82" s="72" t="str">
        <f>'[5]Annex-22'!H82</f>
        <v xml:space="preserve">2 </v>
      </c>
      <c r="I82" s="115"/>
    </row>
    <row r="83" spans="1:9" x14ac:dyDescent="0.3">
      <c r="A83" s="235"/>
      <c r="B83" s="284"/>
      <c r="C83" s="72" t="str">
        <f>'[5]Annex-22'!C83</f>
        <v>(  0.0)</v>
      </c>
      <c r="D83" s="72" t="str">
        <f>'[5]Annex-22'!D83</f>
        <v>(  0.0)</v>
      </c>
      <c r="E83" s="72" t="str">
        <f>'[5]Annex-22'!E83</f>
        <v>(  0.0)</v>
      </c>
      <c r="F83" s="73" t="str">
        <f>'[5]Annex-22'!F83</f>
        <v>( 20.0)</v>
      </c>
      <c r="G83" s="72" t="str">
        <f>'[5]Annex-22'!G83</f>
        <v>(  0.0)</v>
      </c>
      <c r="H83" s="72" t="str">
        <f>'[5]Annex-22'!H83</f>
        <v>( 10.0)</v>
      </c>
    </row>
    <row r="84" spans="1:9" x14ac:dyDescent="0.3">
      <c r="A84" s="318" t="str">
        <f>IF('[5]Crops CY'!$C$5=0,"","5.")</f>
        <v>5.</v>
      </c>
      <c r="B84" s="284" t="s">
        <v>165</v>
      </c>
      <c r="C84" s="72" t="str">
        <f>'[5]Annex-22'!C84</f>
        <v xml:space="preserve">0 </v>
      </c>
      <c r="D84" s="72" t="str">
        <f>'[5]Annex-22'!D84</f>
        <v xml:space="preserve">0 </v>
      </c>
      <c r="E84" s="72" t="str">
        <f>'[5]Annex-22'!E84</f>
        <v xml:space="preserve">0 </v>
      </c>
      <c r="F84" s="73" t="str">
        <f>'[5]Annex-22'!F84</f>
        <v xml:space="preserve">0 </v>
      </c>
      <c r="G84" s="72" t="str">
        <f>'[5]Annex-22'!G84</f>
        <v xml:space="preserve">0 </v>
      </c>
      <c r="H84" s="72" t="str">
        <f>'[5]Annex-22'!H84</f>
        <v xml:space="preserve">0 </v>
      </c>
    </row>
    <row r="85" spans="1:9" x14ac:dyDescent="0.3">
      <c r="A85" s="318"/>
      <c r="B85" s="284"/>
      <c r="C85" s="72" t="str">
        <f>'[5]Annex-22'!C85</f>
        <v>(  0.0)</v>
      </c>
      <c r="D85" s="72" t="str">
        <f>'[5]Annex-22'!D85</f>
        <v>(  0.0)</v>
      </c>
      <c r="E85" s="72" t="str">
        <f>'[5]Annex-22'!E85</f>
        <v>(  0.0)</v>
      </c>
      <c r="F85" s="73" t="str">
        <f>'[5]Annex-22'!F85</f>
        <v>(  0.0)</v>
      </c>
      <c r="G85" s="72" t="str">
        <f>'[5]Annex-22'!G85</f>
        <v>(  0.0)</v>
      </c>
      <c r="H85" s="72" t="str">
        <f>'[5]Annex-22'!H85</f>
        <v>(  0.0)</v>
      </c>
    </row>
    <row r="86" spans="1:9" x14ac:dyDescent="0.3">
      <c r="A86" s="318" t="str">
        <f>IF('[5]Crops CY'!$C$5=0,"","6.")</f>
        <v>6.</v>
      </c>
      <c r="B86" s="284" t="s">
        <v>204</v>
      </c>
      <c r="C86" s="72" t="str">
        <f>'[5]Annex-22'!C86</f>
        <v xml:space="preserve">0 </v>
      </c>
      <c r="D86" s="72" t="str">
        <f>'[5]Annex-22'!D86</f>
        <v xml:space="preserve">0 </v>
      </c>
      <c r="E86" s="72" t="str">
        <f>'[5]Annex-22'!E86</f>
        <v xml:space="preserve">0 </v>
      </c>
      <c r="F86" s="73" t="str">
        <f>'[5]Annex-22'!F86</f>
        <v xml:space="preserve">0 </v>
      </c>
      <c r="G86" s="72" t="str">
        <f>'[5]Annex-22'!G86</f>
        <v xml:space="preserve">0 </v>
      </c>
      <c r="H86" s="72" t="str">
        <f>'[5]Annex-22'!H86</f>
        <v xml:space="preserve">0 </v>
      </c>
    </row>
    <row r="87" spans="1:9" x14ac:dyDescent="0.3">
      <c r="A87" s="318"/>
      <c r="B87" s="284"/>
      <c r="C87" s="72" t="str">
        <f>'[5]Annex-22'!C87</f>
        <v>(  0.0)</v>
      </c>
      <c r="D87" s="72" t="str">
        <f>'[5]Annex-22'!D87</f>
        <v>(  0.0)</v>
      </c>
      <c r="E87" s="72" t="str">
        <f>'[5]Annex-22'!E87</f>
        <v>(  0.0)</v>
      </c>
      <c r="F87" s="73" t="str">
        <f>'[5]Annex-22'!F87</f>
        <v>(  0.0)</v>
      </c>
      <c r="G87" s="72" t="str">
        <f>'[5]Annex-22'!G87</f>
        <v>(  0.0)</v>
      </c>
      <c r="H87" s="72" t="str">
        <f>'[5]Annex-22'!H87</f>
        <v>(  0.0)</v>
      </c>
    </row>
    <row r="88" spans="1:9" x14ac:dyDescent="0.3">
      <c r="A88" s="318" t="str">
        <f>IF('[5]Crops CY'!$C$5=0,"","7.")</f>
        <v>7.</v>
      </c>
      <c r="B88" s="284" t="s">
        <v>168</v>
      </c>
      <c r="C88" s="72" t="str">
        <f>'[5]Annex-22'!C88</f>
        <v xml:space="preserve">2 </v>
      </c>
      <c r="D88" s="72" t="str">
        <f>'[5]Annex-22'!D88</f>
        <v xml:space="preserve">0 </v>
      </c>
      <c r="E88" s="72" t="str">
        <f>'[5]Annex-22'!E88</f>
        <v xml:space="preserve">2 </v>
      </c>
      <c r="F88" s="73" t="str">
        <f>'[5]Annex-22'!F88</f>
        <v xml:space="preserve">1 </v>
      </c>
      <c r="G88" s="72" t="str">
        <f>'[5]Annex-22'!G88</f>
        <v xml:space="preserve">0 </v>
      </c>
      <c r="H88" s="72" t="str">
        <f>'[5]Annex-22'!H88</f>
        <v xml:space="preserve">1 </v>
      </c>
    </row>
    <row r="89" spans="1:9" ht="15" thickBot="1" x14ac:dyDescent="0.35">
      <c r="A89" s="319"/>
      <c r="B89" s="320"/>
      <c r="C89" s="86" t="str">
        <f>'[5]Annex-22'!C89</f>
        <v>( 20.0)</v>
      </c>
      <c r="D89" s="86" t="str">
        <f>'[5]Annex-22'!D89</f>
        <v>(  0.0)</v>
      </c>
      <c r="E89" s="86" t="str">
        <f>'[5]Annex-22'!E89</f>
        <v>( 10.0)</v>
      </c>
      <c r="F89" s="87" t="str">
        <f>'[5]Annex-22'!F89</f>
        <v>( 10.0)</v>
      </c>
      <c r="G89" s="86" t="str">
        <f>'[5]Annex-22'!G89</f>
        <v>(  0.0)</v>
      </c>
      <c r="H89" s="86" t="str">
        <f>'[5]Annex-22'!H89</f>
        <v>(  5.0)</v>
      </c>
    </row>
    <row r="90" spans="1:9" ht="15" thickTop="1" x14ac:dyDescent="0.3">
      <c r="A90" s="139"/>
      <c r="B90" s="101"/>
      <c r="C90" s="101"/>
      <c r="D90" s="101"/>
      <c r="E90" s="101"/>
      <c r="F90" s="101"/>
      <c r="G90" s="101"/>
      <c r="H90" s="101"/>
      <c r="I90" s="115"/>
    </row>
  </sheetData>
  <mergeCells count="88">
    <mergeCell ref="A1:H1"/>
    <mergeCell ref="A2:F2"/>
    <mergeCell ref="G2:H2"/>
    <mergeCell ref="A3:H3"/>
    <mergeCell ref="A4:B4"/>
    <mergeCell ref="C4:H4"/>
    <mergeCell ref="A5:B6"/>
    <mergeCell ref="C5:E5"/>
    <mergeCell ref="F5:H5"/>
    <mergeCell ref="A7:B7"/>
    <mergeCell ref="A9:A10"/>
    <mergeCell ref="B9:B10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52:B52"/>
    <mergeCell ref="A43:A44"/>
    <mergeCell ref="B43:B44"/>
    <mergeCell ref="A46:H46"/>
    <mergeCell ref="A47:F47"/>
    <mergeCell ref="G47:H47"/>
    <mergeCell ref="A48:H48"/>
    <mergeCell ref="A50:B51"/>
    <mergeCell ref="C50:E50"/>
    <mergeCell ref="F50:H50"/>
    <mergeCell ref="C49:H49"/>
    <mergeCell ref="A49:B49"/>
    <mergeCell ref="A54:A55"/>
    <mergeCell ref="B54:B55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2:A73"/>
    <mergeCell ref="B72:B73"/>
    <mergeCell ref="A74:A75"/>
    <mergeCell ref="B74:B75"/>
    <mergeCell ref="A76:A77"/>
    <mergeCell ref="B76:B77"/>
    <mergeCell ref="A78:A79"/>
    <mergeCell ref="B78:B79"/>
    <mergeCell ref="A86:A87"/>
    <mergeCell ref="B86:B87"/>
    <mergeCell ref="A88:A89"/>
    <mergeCell ref="B88:B89"/>
    <mergeCell ref="A80:A81"/>
    <mergeCell ref="B80:B81"/>
    <mergeCell ref="A82:A83"/>
    <mergeCell ref="B82:B83"/>
    <mergeCell ref="A84:A85"/>
    <mergeCell ref="B84:B85"/>
  </mergeCells>
  <printOptions horizontalCentered="1"/>
  <pageMargins left="0" right="0" top="0.78740157480314965" bottom="0" header="0.31496062992125984" footer="0.31496062992125984"/>
  <pageSetup paperSize="9" scale="70" orientation="landscape" r:id="rId1"/>
  <rowBreaks count="1" manualBreakCount="1">
    <brk id="4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J63"/>
  <sheetViews>
    <sheetView view="pageBreakPreview" zoomScale="70" zoomScaleNormal="100" zoomScaleSheetLayoutView="70" workbookViewId="0">
      <selection activeCell="A4" sqref="A4:A6"/>
    </sheetView>
  </sheetViews>
  <sheetFormatPr defaultRowHeight="14.4" x14ac:dyDescent="0.3"/>
  <cols>
    <col min="1" max="1" width="20" customWidth="1"/>
    <col min="2" max="9" width="13.5546875" customWidth="1"/>
  </cols>
  <sheetData>
    <row r="1" spans="1:10" x14ac:dyDescent="0.3">
      <c r="A1" s="235" t="s">
        <v>126</v>
      </c>
      <c r="B1" s="235"/>
      <c r="C1" s="235"/>
      <c r="D1" s="235"/>
      <c r="E1" s="235"/>
      <c r="F1" s="235"/>
      <c r="G1" s="235"/>
      <c r="H1" s="235"/>
      <c r="I1" s="235"/>
      <c r="J1" s="115"/>
    </row>
    <row r="2" spans="1:10" x14ac:dyDescent="0.3">
      <c r="A2" s="312" t="str">
        <f>common!$H$2</f>
        <v>UT : PUDUCHERRY</v>
      </c>
      <c r="B2" s="312"/>
      <c r="C2" s="312"/>
      <c r="D2" s="312"/>
      <c r="E2" s="312"/>
      <c r="F2" s="312"/>
      <c r="G2" s="312"/>
      <c r="H2" s="236" t="s">
        <v>169</v>
      </c>
      <c r="I2" s="236"/>
      <c r="J2" s="115"/>
    </row>
    <row r="3" spans="1:10" x14ac:dyDescent="0.3">
      <c r="A3" s="251" t="str">
        <f>"SUPPLY AND USE OF EQUIPMENTS FOR THE CONDUCT OF CROP CUTTING EXPERIMENTS DURING "&amp; common!$C$4 &amp;" AND "&amp; common!$C$5 &amp; "."</f>
        <v>SUPPLY AND USE OF EQUIPMENTS FOR THE CONDUCT OF CROP CUTTING EXPERIMENTS DURING 2024-25 AND 2023-24.</v>
      </c>
      <c r="B3" s="251"/>
      <c r="C3" s="251"/>
      <c r="D3" s="251"/>
      <c r="E3" s="251"/>
      <c r="F3" s="251"/>
      <c r="G3" s="251"/>
      <c r="H3" s="251"/>
      <c r="I3" s="251"/>
      <c r="J3" s="115"/>
    </row>
    <row r="4" spans="1:10" x14ac:dyDescent="0.3">
      <c r="A4" s="250" t="s">
        <v>295</v>
      </c>
      <c r="B4" s="255" t="s">
        <v>170</v>
      </c>
      <c r="C4" s="255"/>
      <c r="D4" s="255"/>
      <c r="E4" s="255"/>
      <c r="F4" s="255"/>
      <c r="G4" s="255"/>
      <c r="H4" s="255"/>
      <c r="I4" s="255"/>
      <c r="J4" s="115"/>
    </row>
    <row r="5" spans="1:10" ht="37.200000000000003" customHeight="1" x14ac:dyDescent="0.3">
      <c r="A5" s="250"/>
      <c r="B5" s="253" t="s">
        <v>212</v>
      </c>
      <c r="C5" s="253"/>
      <c r="D5" s="253"/>
      <c r="E5" s="253"/>
      <c r="F5" s="253" t="s">
        <v>171</v>
      </c>
      <c r="G5" s="253"/>
      <c r="H5" s="253"/>
      <c r="I5" s="253"/>
      <c r="J5" s="115"/>
    </row>
    <row r="6" spans="1:10" x14ac:dyDescent="0.3">
      <c r="A6" s="251"/>
      <c r="B6" s="74" t="s">
        <v>172</v>
      </c>
      <c r="C6" s="74" t="s">
        <v>173</v>
      </c>
      <c r="D6" s="74" t="s">
        <v>174</v>
      </c>
      <c r="E6" s="74" t="s">
        <v>175</v>
      </c>
      <c r="F6" s="74" t="s">
        <v>172</v>
      </c>
      <c r="G6" s="74" t="s">
        <v>173</v>
      </c>
      <c r="H6" s="74" t="s">
        <v>174</v>
      </c>
      <c r="I6" s="74" t="s">
        <v>175</v>
      </c>
      <c r="J6" s="115"/>
    </row>
    <row r="7" spans="1:10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15"/>
    </row>
    <row r="8" spans="1:10" ht="20.399999999999999" customHeight="1" x14ac:dyDescent="0.3">
      <c r="A8" s="98" t="str">
        <f>common!$H$4</f>
        <v>RABI I 2024-25</v>
      </c>
      <c r="B8" s="78"/>
      <c r="C8" s="101"/>
      <c r="D8" s="101"/>
      <c r="E8" s="101"/>
      <c r="F8" s="101"/>
      <c r="G8" s="101"/>
      <c r="H8" s="101"/>
      <c r="I8" s="101"/>
      <c r="J8" s="115"/>
    </row>
    <row r="9" spans="1:10" ht="20.399999999999999" customHeight="1" x14ac:dyDescent="0.3">
      <c r="A9" s="112" t="s">
        <v>120</v>
      </c>
      <c r="B9" s="113" t="str">
        <f>'[5]Annex-23'!B9</f>
        <v>0(  0.0)</v>
      </c>
      <c r="C9" s="113" t="str">
        <f>'[5]Annex-23'!C9</f>
        <v>0(  0.0)</v>
      </c>
      <c r="D9" s="113" t="str">
        <f>'[5]Annex-23'!D9</f>
        <v>0(  0.0)</v>
      </c>
      <c r="E9" s="113" t="str">
        <f>'[5]Annex-23'!E9</f>
        <v>0(  0.0)</v>
      </c>
      <c r="F9" s="113" t="str">
        <f>'[5]Annex-23'!F9</f>
        <v>1( 10.0)</v>
      </c>
      <c r="G9" s="113" t="str">
        <f>'[5]Annex-23'!G9</f>
        <v>0(  0.0)</v>
      </c>
      <c r="H9" s="113" t="str">
        <f>'[5]Annex-23'!H9</f>
        <v>0(  0.0)</v>
      </c>
      <c r="I9" s="113" t="str">
        <f>'[5]Annex-23'!I9</f>
        <v>2( 20.0)</v>
      </c>
      <c r="J9" s="115"/>
    </row>
    <row r="10" spans="1:10" ht="20.399999999999999" customHeight="1" x14ac:dyDescent="0.3">
      <c r="A10" s="112" t="s">
        <v>17</v>
      </c>
      <c r="B10" s="113" t="str">
        <f>'[5]Annex-23'!B10</f>
        <v>0(  0.0)</v>
      </c>
      <c r="C10" s="113" t="str">
        <f>'[5]Annex-23'!C10</f>
        <v>0(  0.0)</v>
      </c>
      <c r="D10" s="113" t="str">
        <f>'[5]Annex-23'!D10</f>
        <v>0(  0.0)</v>
      </c>
      <c r="E10" s="113" t="str">
        <f>'[5]Annex-23'!E10</f>
        <v>0(  0.0)</v>
      </c>
      <c r="F10" s="113" t="str">
        <f>'[5]Annex-23'!F10</f>
        <v>0(  0.0)</v>
      </c>
      <c r="G10" s="113" t="str">
        <f>'[5]Annex-23'!G10</f>
        <v>0(  0.0)</v>
      </c>
      <c r="H10" s="113" t="str">
        <f>'[5]Annex-23'!H10</f>
        <v>0(  0.0)</v>
      </c>
      <c r="I10" s="113" t="str">
        <f>'[5]Annex-23'!I10</f>
        <v>0(  0.0)</v>
      </c>
      <c r="J10" s="115"/>
    </row>
    <row r="11" spans="1:10" ht="20.399999999999999" customHeight="1" x14ac:dyDescent="0.3">
      <c r="A11" s="112" t="s">
        <v>18</v>
      </c>
      <c r="B11" s="113" t="str">
        <f>'[5]Annex-23'!B11</f>
        <v>0(  0.0)</v>
      </c>
      <c r="C11" s="113" t="str">
        <f>'[5]Annex-23'!C11</f>
        <v>0(  0.0)</v>
      </c>
      <c r="D11" s="113" t="str">
        <f>'[5]Annex-23'!D11</f>
        <v>0(  0.0)</v>
      </c>
      <c r="E11" s="113" t="str">
        <f>'[5]Annex-23'!E11</f>
        <v>0(  0.0)</v>
      </c>
      <c r="F11" s="113" t="str">
        <f>'[5]Annex-23'!F11</f>
        <v>1(  5.0)</v>
      </c>
      <c r="G11" s="113" t="str">
        <f>'[5]Annex-23'!G11</f>
        <v>0(  0.0)</v>
      </c>
      <c r="H11" s="113" t="str">
        <f>'[5]Annex-23'!H11</f>
        <v>0(  0.0)</v>
      </c>
      <c r="I11" s="113" t="str">
        <f>'[5]Annex-23'!I11</f>
        <v>2( 10.0)</v>
      </c>
      <c r="J11" s="115"/>
    </row>
    <row r="12" spans="1:10" ht="20.399999999999999" customHeight="1" x14ac:dyDescent="0.3">
      <c r="A12" s="98" t="str">
        <f>common!$I$4</f>
        <v>RABI II 2024-25</v>
      </c>
      <c r="B12" s="72"/>
      <c r="C12" s="113"/>
      <c r="D12" s="113"/>
      <c r="E12" s="113"/>
      <c r="F12" s="113"/>
      <c r="G12" s="113"/>
      <c r="H12" s="113"/>
      <c r="I12" s="113"/>
      <c r="J12" s="115"/>
    </row>
    <row r="13" spans="1:10" ht="20.399999999999999" customHeight="1" x14ac:dyDescent="0.3">
      <c r="A13" s="112" t="str">
        <f>IF(A12="","","CENTRAL")</f>
        <v>CENTRAL</v>
      </c>
      <c r="B13" s="113" t="str">
        <f>'[5]Annex-23'!B13</f>
        <v>0(  0.0)</v>
      </c>
      <c r="C13" s="113" t="str">
        <f>'[5]Annex-23'!C13</f>
        <v>0(  0.0)</v>
      </c>
      <c r="D13" s="113" t="str">
        <f>'[5]Annex-23'!D13</f>
        <v>0(  0.0)</v>
      </c>
      <c r="E13" s="113" t="str">
        <f>'[5]Annex-23'!E13</f>
        <v>0(  0.0)</v>
      </c>
      <c r="F13" s="113" t="str">
        <f>'[5]Annex-23'!F13</f>
        <v>0(  0.0)</v>
      </c>
      <c r="G13" s="113" t="str">
        <f>'[5]Annex-23'!G13</f>
        <v>0(  0.0)</v>
      </c>
      <c r="H13" s="113" t="str">
        <f>'[5]Annex-23'!H13</f>
        <v>0(  0.0)</v>
      </c>
      <c r="I13" s="113" t="str">
        <f>'[5]Annex-23'!I13</f>
        <v>0(  0.0)</v>
      </c>
      <c r="J13" s="115"/>
    </row>
    <row r="14" spans="1:10" ht="20.399999999999999" customHeight="1" x14ac:dyDescent="0.3">
      <c r="A14" s="112" t="str">
        <f>IF(A13="","","STATE")</f>
        <v>STATE</v>
      </c>
      <c r="B14" s="113" t="str">
        <f>'[5]Annex-23'!B14</f>
        <v>0(  0.0)</v>
      </c>
      <c r="C14" s="113" t="str">
        <f>'[5]Annex-23'!C14</f>
        <v>0(  0.0)</v>
      </c>
      <c r="D14" s="113" t="str">
        <f>'[5]Annex-23'!D14</f>
        <v>0(  0.0)</v>
      </c>
      <c r="E14" s="113" t="str">
        <f>'[5]Annex-23'!E14</f>
        <v>0(  0.0)</v>
      </c>
      <c r="F14" s="113" t="str">
        <f>'[5]Annex-23'!F14</f>
        <v>0(  0.0)</v>
      </c>
      <c r="G14" s="113" t="str">
        <f>'[5]Annex-23'!G14</f>
        <v>0(  0.0)</v>
      </c>
      <c r="H14" s="113" t="str">
        <f>'[5]Annex-23'!H14</f>
        <v>0(  0.0)</v>
      </c>
      <c r="I14" s="113" t="str">
        <f>'[5]Annex-23'!I14</f>
        <v>0(  0.0)</v>
      </c>
      <c r="J14" s="115"/>
    </row>
    <row r="15" spans="1:10" ht="20.399999999999999" customHeight="1" x14ac:dyDescent="0.3">
      <c r="A15" s="111" t="str">
        <f>IF(A14="","","POOLED")</f>
        <v>POOLED</v>
      </c>
      <c r="B15" s="154" t="str">
        <f>'[5]Annex-23'!B15</f>
        <v>0(  0.0)</v>
      </c>
      <c r="C15" s="154" t="str">
        <f>'[5]Annex-23'!C15</f>
        <v>0(  0.0)</v>
      </c>
      <c r="D15" s="154" t="str">
        <f>'[5]Annex-23'!D15</f>
        <v>0(  0.0)</v>
      </c>
      <c r="E15" s="154" t="str">
        <f>'[5]Annex-23'!E15</f>
        <v>0(  0.0)</v>
      </c>
      <c r="F15" s="154" t="str">
        <f>'[5]Annex-23'!F15</f>
        <v>0(  0.0)</v>
      </c>
      <c r="G15" s="154" t="str">
        <f>'[5]Annex-23'!G15</f>
        <v>0(  0.0)</v>
      </c>
      <c r="H15" s="154" t="str">
        <f>'[5]Annex-23'!H15</f>
        <v>0(  0.0)</v>
      </c>
      <c r="I15" s="154" t="str">
        <f>'[5]Annex-23'!I15</f>
        <v>0(  0.0)</v>
      </c>
      <c r="J15" s="115"/>
    </row>
    <row r="16" spans="1:10" ht="20.399999999999999" customHeight="1" x14ac:dyDescent="0.3">
      <c r="A16" s="98" t="str">
        <f>common!$H$5</f>
        <v>RABI I 2023-24</v>
      </c>
      <c r="B16" s="72"/>
      <c r="C16" s="113"/>
      <c r="D16" s="113"/>
      <c r="E16" s="113"/>
      <c r="F16" s="113"/>
      <c r="G16" s="113"/>
      <c r="H16" s="113"/>
      <c r="I16" s="113"/>
      <c r="J16" s="115"/>
    </row>
    <row r="17" spans="1:10" ht="20.399999999999999" customHeight="1" x14ac:dyDescent="0.3">
      <c r="A17" s="112" t="s">
        <v>120</v>
      </c>
      <c r="B17" s="113" t="str">
        <f>'[5]Annex-23'!B18</f>
        <v>0(  0.0)</v>
      </c>
      <c r="C17" s="113" t="str">
        <f>'[5]Annex-23'!C18</f>
        <v>0(  0.0)</v>
      </c>
      <c r="D17" s="113" t="str">
        <f>'[5]Annex-23'!D18</f>
        <v>0(  0.0)</v>
      </c>
      <c r="E17" s="113" t="str">
        <f>'[5]Annex-23'!E18</f>
        <v>0(  0.0)</v>
      </c>
      <c r="F17" s="113" t="str">
        <f>'[5]Annex-23'!F18</f>
        <v>0(  0.0)</v>
      </c>
      <c r="G17" s="113" t="str">
        <f>'[5]Annex-23'!G18</f>
        <v>0(  0.0)</v>
      </c>
      <c r="H17" s="113" t="str">
        <f>'[5]Annex-23'!H18</f>
        <v>0(  0.0)</v>
      </c>
      <c r="I17" s="113" t="str">
        <f>'[5]Annex-23'!I18</f>
        <v>0(  0.0)</v>
      </c>
      <c r="J17" s="115"/>
    </row>
    <row r="18" spans="1:10" ht="20.399999999999999" customHeight="1" x14ac:dyDescent="0.3">
      <c r="A18" s="112" t="s">
        <v>17</v>
      </c>
      <c r="B18" s="113" t="str">
        <f>'[5]Annex-23'!B19</f>
        <v>0(  0.0)</v>
      </c>
      <c r="C18" s="113" t="str">
        <f>'[5]Annex-23'!C19</f>
        <v>0(  0.0)</v>
      </c>
      <c r="D18" s="113" t="str">
        <f>'[5]Annex-23'!D19</f>
        <v>0(  0.0)</v>
      </c>
      <c r="E18" s="113" t="str">
        <f>'[5]Annex-23'!E19</f>
        <v>0(  0.0)</v>
      </c>
      <c r="F18" s="113" t="str">
        <f>'[5]Annex-23'!F19</f>
        <v>0(  0.0)</v>
      </c>
      <c r="G18" s="113" t="str">
        <f>'[5]Annex-23'!G19</f>
        <v>0(  0.0)</v>
      </c>
      <c r="H18" s="113" t="str">
        <f>'[5]Annex-23'!H19</f>
        <v>0(  0.0)</v>
      </c>
      <c r="I18" s="113" t="str">
        <f>'[5]Annex-23'!I19</f>
        <v>0(  0.0)</v>
      </c>
      <c r="J18" s="115"/>
    </row>
    <row r="19" spans="1:10" ht="20.399999999999999" customHeight="1" x14ac:dyDescent="0.3">
      <c r="A19" s="112" t="s">
        <v>18</v>
      </c>
      <c r="B19" s="113" t="str">
        <f>'[5]Annex-23'!B20</f>
        <v>0(  0.0)</v>
      </c>
      <c r="C19" s="113" t="str">
        <f>'[5]Annex-23'!C20</f>
        <v>0(  0.0)</v>
      </c>
      <c r="D19" s="113" t="str">
        <f>'[5]Annex-23'!D20</f>
        <v>0(  0.0)</v>
      </c>
      <c r="E19" s="113" t="str">
        <f>'[5]Annex-23'!E20</f>
        <v>0(  0.0)</v>
      </c>
      <c r="F19" s="113" t="str">
        <f>'[5]Annex-23'!F20</f>
        <v>0(  0.0)</v>
      </c>
      <c r="G19" s="113" t="str">
        <f>'[5]Annex-23'!G20</f>
        <v>0(  0.0)</v>
      </c>
      <c r="H19" s="113" t="str">
        <f>'[5]Annex-23'!H20</f>
        <v>0(  0.0)</v>
      </c>
      <c r="I19" s="113" t="str">
        <f>'[5]Annex-23'!I20</f>
        <v>0(  0.0)</v>
      </c>
      <c r="J19" s="115"/>
    </row>
    <row r="20" spans="1:10" ht="20.399999999999999" customHeight="1" x14ac:dyDescent="0.3">
      <c r="A20" s="98" t="str">
        <f>common!$I$5</f>
        <v>RABI II 2023-24</v>
      </c>
      <c r="B20" s="72"/>
      <c r="C20" s="113"/>
      <c r="D20" s="113"/>
      <c r="E20" s="113"/>
      <c r="F20" s="113"/>
      <c r="G20" s="113"/>
      <c r="H20" s="113"/>
      <c r="I20" s="113"/>
      <c r="J20" s="115"/>
    </row>
    <row r="21" spans="1:10" ht="20.399999999999999" customHeight="1" x14ac:dyDescent="0.3">
      <c r="A21" s="112" t="str">
        <f>IF(A20="","","CENTRAL")</f>
        <v>CENTRAL</v>
      </c>
      <c r="B21" s="113" t="str">
        <f>'[5]Annex-23'!B22</f>
        <v>0(  0.0)</v>
      </c>
      <c r="C21" s="113" t="str">
        <f>'[5]Annex-23'!C22</f>
        <v>0(  0.0)</v>
      </c>
      <c r="D21" s="113" t="str">
        <f>'[5]Annex-23'!D22</f>
        <v>0(  0.0)</v>
      </c>
      <c r="E21" s="113" t="str">
        <f>'[5]Annex-23'!E22</f>
        <v>0(  0.0)</v>
      </c>
      <c r="F21" s="113" t="str">
        <f>'[5]Annex-23'!F22</f>
        <v>0(  0.0)</v>
      </c>
      <c r="G21" s="113" t="str">
        <f>'[5]Annex-23'!G22</f>
        <v>0(  0.0)</v>
      </c>
      <c r="H21" s="113" t="str">
        <f>'[5]Annex-23'!H22</f>
        <v>0(  0.0)</v>
      </c>
      <c r="I21" s="113" t="str">
        <f>'[5]Annex-23'!I22</f>
        <v>0(  0.0)</v>
      </c>
      <c r="J21" s="115"/>
    </row>
    <row r="22" spans="1:10" ht="20.399999999999999" customHeight="1" x14ac:dyDescent="0.3">
      <c r="A22" s="112" t="str">
        <f>IF(A21="","","STATE")</f>
        <v>STATE</v>
      </c>
      <c r="B22" s="113" t="str">
        <f>'[5]Annex-23'!B23</f>
        <v>0(  0.0)</v>
      </c>
      <c r="C22" s="113" t="str">
        <f>'[5]Annex-23'!C23</f>
        <v>0(  0.0)</v>
      </c>
      <c r="D22" s="113" t="str">
        <f>'[5]Annex-23'!D23</f>
        <v>0(  0.0)</v>
      </c>
      <c r="E22" s="113" t="str">
        <f>'[5]Annex-23'!E23</f>
        <v>0(  0.0)</v>
      </c>
      <c r="F22" s="113" t="str">
        <f>'[5]Annex-23'!F23</f>
        <v>0(  0.0)</v>
      </c>
      <c r="G22" s="113" t="str">
        <f>'[5]Annex-23'!G23</f>
        <v>0(  0.0)</v>
      </c>
      <c r="H22" s="113" t="str">
        <f>'[5]Annex-23'!H23</f>
        <v>0(  0.0)</v>
      </c>
      <c r="I22" s="113" t="str">
        <f>'[5]Annex-23'!I23</f>
        <v>0(  0.0)</v>
      </c>
      <c r="J22" s="115"/>
    </row>
    <row r="23" spans="1:10" ht="20.399999999999999" customHeight="1" thickBot="1" x14ac:dyDescent="0.35">
      <c r="A23" s="114" t="str">
        <f>IF(A22="","","POOLED")</f>
        <v>POOLED</v>
      </c>
      <c r="B23" s="162" t="str">
        <f>'[5]Annex-23'!B24</f>
        <v>0(  0.0)</v>
      </c>
      <c r="C23" s="162" t="str">
        <f>'[5]Annex-23'!C24</f>
        <v>0(  0.0)</v>
      </c>
      <c r="D23" s="162" t="str">
        <f>'[5]Annex-23'!D24</f>
        <v>0(  0.0)</v>
      </c>
      <c r="E23" s="162" t="str">
        <f>'[5]Annex-23'!E24</f>
        <v>0(  0.0)</v>
      </c>
      <c r="F23" s="162" t="str">
        <f>'[5]Annex-23'!F24</f>
        <v>0(  0.0)</v>
      </c>
      <c r="G23" s="162" t="str">
        <f>'[5]Annex-23'!G24</f>
        <v>0(  0.0)</v>
      </c>
      <c r="H23" s="162" t="str">
        <f>'[5]Annex-23'!H24</f>
        <v>0(  0.0)</v>
      </c>
      <c r="I23" s="162" t="str">
        <f>'[5]Annex-23'!I24</f>
        <v>0(  0.0)</v>
      </c>
      <c r="J23" s="115"/>
    </row>
    <row r="24" spans="1:10" ht="15" thickTop="1" x14ac:dyDescent="0.3">
      <c r="A24" s="139"/>
      <c r="B24" s="101"/>
      <c r="C24" s="101"/>
      <c r="D24" s="101"/>
      <c r="E24" s="101"/>
      <c r="F24" s="101"/>
      <c r="G24" s="101"/>
      <c r="H24" s="101"/>
      <c r="I24" s="101"/>
      <c r="J24" s="115"/>
    </row>
    <row r="25" spans="1:10" x14ac:dyDescent="0.3">
      <c r="A25" s="115"/>
      <c r="B25" s="115"/>
      <c r="C25" s="115"/>
      <c r="D25" s="115"/>
      <c r="E25" s="115"/>
      <c r="F25" s="115"/>
      <c r="G25" s="115"/>
      <c r="H25" s="115"/>
      <c r="I25" s="115"/>
      <c r="J25" s="115"/>
    </row>
    <row r="26" spans="1:10" x14ac:dyDescent="0.3">
      <c r="A26" s="115"/>
      <c r="B26" s="115"/>
      <c r="C26" s="115"/>
      <c r="D26" s="115"/>
      <c r="E26" s="115"/>
      <c r="F26" s="115"/>
      <c r="G26" s="115"/>
      <c r="H26" s="115"/>
      <c r="I26" s="115"/>
      <c r="J26" s="115"/>
    </row>
    <row r="27" spans="1:10" x14ac:dyDescent="0.3">
      <c r="A27" s="115"/>
      <c r="B27" s="115"/>
      <c r="C27" s="115"/>
      <c r="D27" s="115"/>
      <c r="E27" s="115"/>
      <c r="F27" s="115"/>
      <c r="G27" s="115"/>
      <c r="H27" s="115"/>
      <c r="I27" s="115"/>
      <c r="J27" s="115"/>
    </row>
    <row r="28" spans="1:10" x14ac:dyDescent="0.3">
      <c r="A28" s="115"/>
      <c r="B28" s="115"/>
      <c r="C28" s="115"/>
      <c r="D28" s="115"/>
      <c r="E28" s="115"/>
      <c r="F28" s="115"/>
      <c r="G28" s="115"/>
      <c r="H28" s="115"/>
      <c r="I28" s="115"/>
      <c r="J28" s="115"/>
    </row>
    <row r="29" spans="1:10" x14ac:dyDescent="0.3">
      <c r="A29" s="115"/>
      <c r="B29" s="115"/>
      <c r="C29" s="115"/>
      <c r="D29" s="115"/>
      <c r="E29" s="115"/>
      <c r="F29" s="115"/>
      <c r="G29" s="115"/>
      <c r="H29" s="115"/>
      <c r="I29" s="115"/>
      <c r="J29" s="115"/>
    </row>
    <row r="30" spans="1:10" x14ac:dyDescent="0.3">
      <c r="A30" s="115"/>
      <c r="B30" s="115"/>
      <c r="C30" s="115"/>
      <c r="D30" s="115"/>
      <c r="E30" s="115"/>
      <c r="F30" s="115"/>
      <c r="G30" s="115"/>
      <c r="H30" s="115"/>
      <c r="I30" s="115"/>
      <c r="J30" s="115"/>
    </row>
    <row r="31" spans="1:10" x14ac:dyDescent="0.3">
      <c r="A31" s="115"/>
      <c r="B31" s="115"/>
      <c r="C31" s="115"/>
      <c r="D31" s="115"/>
      <c r="E31" s="115"/>
      <c r="F31" s="115"/>
      <c r="G31" s="115"/>
      <c r="H31" s="115"/>
      <c r="I31" s="115"/>
      <c r="J31" s="115"/>
    </row>
    <row r="32" spans="1:10" x14ac:dyDescent="0.3">
      <c r="A32" s="115"/>
      <c r="B32" s="115"/>
      <c r="C32" s="115"/>
      <c r="D32" s="115"/>
      <c r="E32" s="115"/>
      <c r="F32" s="115"/>
      <c r="G32" s="115"/>
      <c r="H32" s="115"/>
      <c r="I32" s="115"/>
      <c r="J32" s="115"/>
    </row>
    <row r="33" spans="1:10" x14ac:dyDescent="0.3">
      <c r="A33" s="115"/>
      <c r="B33" s="115"/>
      <c r="C33" s="115"/>
      <c r="D33" s="115"/>
      <c r="E33" s="115"/>
      <c r="F33" s="115"/>
      <c r="G33" s="115"/>
      <c r="H33" s="115"/>
      <c r="I33" s="115"/>
      <c r="J33" s="115"/>
    </row>
    <row r="34" spans="1:10" x14ac:dyDescent="0.3">
      <c r="A34" s="115"/>
      <c r="B34" s="115"/>
      <c r="C34" s="115"/>
      <c r="D34" s="115"/>
      <c r="E34" s="115"/>
      <c r="F34" s="115"/>
      <c r="G34" s="115"/>
      <c r="H34" s="115"/>
      <c r="I34" s="115"/>
      <c r="J34" s="115"/>
    </row>
    <row r="35" spans="1:10" x14ac:dyDescent="0.3">
      <c r="A35" s="115"/>
      <c r="B35" s="115"/>
      <c r="C35" s="115"/>
      <c r="D35" s="115"/>
      <c r="E35" s="115"/>
      <c r="F35" s="115"/>
      <c r="G35" s="115"/>
      <c r="H35" s="115"/>
      <c r="I35" s="115"/>
      <c r="J35" s="115"/>
    </row>
    <row r="36" spans="1:10" x14ac:dyDescent="0.3">
      <c r="A36" s="115"/>
      <c r="B36" s="115"/>
      <c r="C36" s="115"/>
      <c r="D36" s="115"/>
      <c r="E36" s="115"/>
      <c r="F36" s="115"/>
      <c r="G36" s="115"/>
      <c r="H36" s="115"/>
      <c r="I36" s="115"/>
      <c r="J36" s="115"/>
    </row>
    <row r="37" spans="1:10" x14ac:dyDescent="0.3">
      <c r="A37" s="115"/>
      <c r="B37" s="115"/>
      <c r="C37" s="115"/>
      <c r="D37" s="115"/>
      <c r="E37" s="115"/>
      <c r="F37" s="115"/>
      <c r="G37" s="115"/>
      <c r="H37" s="115"/>
      <c r="I37" s="115"/>
      <c r="J37" s="115"/>
    </row>
    <row r="38" spans="1:10" x14ac:dyDescent="0.3">
      <c r="A38" s="115"/>
      <c r="B38" s="115"/>
      <c r="C38" s="115"/>
      <c r="D38" s="115"/>
      <c r="E38" s="115"/>
      <c r="F38" s="115"/>
      <c r="G38" s="115"/>
      <c r="H38" s="115"/>
      <c r="I38" s="115"/>
      <c r="J38" s="115"/>
    </row>
    <row r="39" spans="1:10" x14ac:dyDescent="0.3">
      <c r="A39" s="115"/>
      <c r="B39" s="115"/>
      <c r="C39" s="115"/>
      <c r="D39" s="115"/>
      <c r="E39" s="115"/>
      <c r="F39" s="115"/>
      <c r="G39" s="115"/>
      <c r="H39" s="115"/>
      <c r="I39" s="115"/>
      <c r="J39" s="115"/>
    </row>
    <row r="40" spans="1:10" x14ac:dyDescent="0.3">
      <c r="A40" s="115"/>
      <c r="B40" s="115"/>
      <c r="C40" s="115"/>
      <c r="D40" s="115"/>
      <c r="E40" s="115"/>
      <c r="F40" s="115"/>
      <c r="G40" s="115"/>
      <c r="H40" s="115"/>
      <c r="I40" s="115"/>
      <c r="J40" s="115"/>
    </row>
    <row r="41" spans="1:10" x14ac:dyDescent="0.3">
      <c r="A41" s="115"/>
      <c r="B41" s="115"/>
      <c r="C41" s="115"/>
      <c r="D41" s="115"/>
      <c r="E41" s="115"/>
      <c r="F41" s="115"/>
      <c r="G41" s="115"/>
      <c r="H41" s="115"/>
      <c r="I41" s="115"/>
      <c r="J41" s="115"/>
    </row>
    <row r="42" spans="1:10" x14ac:dyDescent="0.3">
      <c r="A42" s="115"/>
      <c r="B42" s="115"/>
      <c r="C42" s="115"/>
      <c r="D42" s="115"/>
      <c r="E42" s="115"/>
      <c r="F42" s="115"/>
      <c r="G42" s="115"/>
      <c r="H42" s="115"/>
      <c r="I42" s="115"/>
      <c r="J42" s="115"/>
    </row>
    <row r="43" spans="1:10" x14ac:dyDescent="0.3">
      <c r="A43" s="115"/>
      <c r="B43" s="115"/>
      <c r="C43" s="115"/>
      <c r="D43" s="115"/>
      <c r="E43" s="115"/>
      <c r="F43" s="115"/>
      <c r="G43" s="115"/>
      <c r="H43" s="115"/>
      <c r="I43" s="115"/>
      <c r="J43" s="115"/>
    </row>
    <row r="44" spans="1:10" x14ac:dyDescent="0.3">
      <c r="A44" s="115"/>
      <c r="B44" s="115"/>
      <c r="C44" s="115"/>
      <c r="D44" s="115"/>
      <c r="E44" s="115"/>
      <c r="F44" s="115"/>
      <c r="G44" s="115"/>
      <c r="H44" s="115"/>
      <c r="I44" s="115"/>
      <c r="J44" s="115"/>
    </row>
    <row r="45" spans="1:10" x14ac:dyDescent="0.3">
      <c r="A45" s="115"/>
      <c r="B45" s="115"/>
      <c r="C45" s="115"/>
      <c r="D45" s="115"/>
      <c r="E45" s="115"/>
      <c r="F45" s="115"/>
      <c r="G45" s="115"/>
      <c r="H45" s="115"/>
      <c r="I45" s="115"/>
      <c r="J45" s="115"/>
    </row>
    <row r="46" spans="1:10" x14ac:dyDescent="0.3">
      <c r="A46" s="115"/>
      <c r="B46" s="115"/>
      <c r="C46" s="115"/>
      <c r="D46" s="115"/>
      <c r="E46" s="115"/>
      <c r="F46" s="115"/>
      <c r="G46" s="115"/>
      <c r="H46" s="115"/>
      <c r="I46" s="115"/>
      <c r="J46" s="115"/>
    </row>
    <row r="47" spans="1:10" x14ac:dyDescent="0.3">
      <c r="A47" s="115"/>
      <c r="B47" s="115"/>
      <c r="C47" s="115"/>
      <c r="D47" s="115"/>
      <c r="E47" s="115"/>
      <c r="F47" s="115"/>
      <c r="G47" s="115"/>
      <c r="H47" s="115"/>
      <c r="I47" s="115"/>
      <c r="J47" s="115"/>
    </row>
    <row r="48" spans="1:10" x14ac:dyDescent="0.3">
      <c r="A48" s="115"/>
      <c r="B48" s="115"/>
      <c r="C48" s="115"/>
      <c r="D48" s="115"/>
      <c r="E48" s="115"/>
      <c r="F48" s="115"/>
      <c r="G48" s="115"/>
      <c r="H48" s="115"/>
      <c r="I48" s="115"/>
      <c r="J48" s="115"/>
    </row>
    <row r="49" spans="1:10" x14ac:dyDescent="0.3">
      <c r="A49" s="115"/>
      <c r="B49" s="115"/>
      <c r="C49" s="115"/>
      <c r="D49" s="115"/>
      <c r="E49" s="115"/>
      <c r="F49" s="115"/>
      <c r="G49" s="115"/>
      <c r="H49" s="115"/>
      <c r="I49" s="115"/>
      <c r="J49" s="115"/>
    </row>
    <row r="50" spans="1:10" x14ac:dyDescent="0.3">
      <c r="A50" s="115"/>
      <c r="B50" s="115"/>
      <c r="C50" s="115"/>
      <c r="D50" s="115"/>
      <c r="E50" s="115"/>
      <c r="F50" s="115"/>
      <c r="G50" s="115"/>
      <c r="H50" s="115"/>
      <c r="I50" s="115"/>
      <c r="J50" s="115"/>
    </row>
    <row r="51" spans="1:10" x14ac:dyDescent="0.3">
      <c r="A51" s="115"/>
      <c r="B51" s="115"/>
      <c r="C51" s="115"/>
      <c r="D51" s="115"/>
      <c r="E51" s="115"/>
      <c r="F51" s="115"/>
      <c r="G51" s="115"/>
      <c r="H51" s="115"/>
      <c r="I51" s="115"/>
      <c r="J51" s="115"/>
    </row>
    <row r="52" spans="1:10" x14ac:dyDescent="0.3">
      <c r="A52" s="115"/>
      <c r="B52" s="115"/>
      <c r="C52" s="115"/>
      <c r="D52" s="115"/>
      <c r="E52" s="115"/>
      <c r="F52" s="115"/>
      <c r="G52" s="115"/>
      <c r="H52" s="115"/>
      <c r="I52" s="115"/>
    </row>
    <row r="53" spans="1:10" x14ac:dyDescent="0.3">
      <c r="A53" s="115"/>
      <c r="B53" s="115"/>
      <c r="C53" s="115"/>
      <c r="D53" s="115"/>
      <c r="E53" s="115"/>
      <c r="F53" s="115"/>
      <c r="G53" s="115"/>
      <c r="H53" s="115"/>
      <c r="I53" s="115"/>
    </row>
    <row r="54" spans="1:10" x14ac:dyDescent="0.3">
      <c r="A54" s="115"/>
      <c r="B54" s="115"/>
      <c r="C54" s="115"/>
      <c r="D54" s="115"/>
      <c r="E54" s="115"/>
      <c r="F54" s="115"/>
      <c r="G54" s="115"/>
      <c r="H54" s="115"/>
      <c r="I54" s="115"/>
    </row>
    <row r="55" spans="1:10" x14ac:dyDescent="0.3">
      <c r="A55" s="115"/>
      <c r="B55" s="115"/>
      <c r="C55" s="115"/>
      <c r="D55" s="115"/>
      <c r="E55" s="115"/>
      <c r="F55" s="115"/>
      <c r="G55" s="115"/>
      <c r="H55" s="115"/>
      <c r="I55" s="115"/>
    </row>
    <row r="56" spans="1:10" x14ac:dyDescent="0.3">
      <c r="A56" s="115"/>
      <c r="B56" s="115"/>
      <c r="C56" s="115"/>
      <c r="D56" s="115"/>
      <c r="E56" s="115"/>
      <c r="F56" s="115"/>
      <c r="G56" s="115"/>
      <c r="H56" s="115"/>
      <c r="I56" s="115"/>
    </row>
    <row r="57" spans="1:10" x14ac:dyDescent="0.3">
      <c r="A57" s="115"/>
      <c r="B57" s="115"/>
      <c r="C57" s="115"/>
      <c r="D57" s="115"/>
      <c r="E57" s="115"/>
      <c r="F57" s="115"/>
      <c r="G57" s="115"/>
      <c r="H57" s="115"/>
      <c r="I57" s="115"/>
    </row>
    <row r="58" spans="1:10" x14ac:dyDescent="0.3">
      <c r="A58" s="115"/>
      <c r="B58" s="115"/>
      <c r="C58" s="115"/>
      <c r="D58" s="115"/>
      <c r="E58" s="115"/>
      <c r="F58" s="115"/>
      <c r="G58" s="115"/>
      <c r="H58" s="115"/>
      <c r="I58" s="115"/>
    </row>
    <row r="59" spans="1:10" x14ac:dyDescent="0.3">
      <c r="A59" s="115"/>
      <c r="B59" s="115"/>
      <c r="C59" s="115"/>
      <c r="D59" s="115"/>
      <c r="E59" s="115"/>
      <c r="F59" s="115"/>
      <c r="G59" s="115"/>
      <c r="H59" s="115"/>
      <c r="I59" s="115"/>
    </row>
    <row r="60" spans="1:10" x14ac:dyDescent="0.3">
      <c r="A60" s="115"/>
      <c r="B60" s="115"/>
      <c r="C60" s="115"/>
      <c r="D60" s="115"/>
      <c r="E60" s="115"/>
      <c r="F60" s="115"/>
      <c r="G60" s="115"/>
      <c r="H60" s="115"/>
      <c r="I60" s="115"/>
    </row>
    <row r="61" spans="1:10" x14ac:dyDescent="0.3">
      <c r="A61" s="115"/>
      <c r="B61" s="115"/>
      <c r="C61" s="115"/>
      <c r="D61" s="115"/>
      <c r="E61" s="115"/>
      <c r="F61" s="115"/>
      <c r="G61" s="115"/>
      <c r="H61" s="115"/>
      <c r="I61" s="115"/>
    </row>
    <row r="62" spans="1:10" x14ac:dyDescent="0.3">
      <c r="A62" s="115"/>
      <c r="B62" s="115"/>
      <c r="C62" s="115"/>
      <c r="D62" s="115"/>
      <c r="E62" s="115"/>
      <c r="F62" s="115"/>
      <c r="G62" s="115"/>
      <c r="H62" s="115"/>
      <c r="I62" s="115"/>
    </row>
    <row r="63" spans="1:10" x14ac:dyDescent="0.3">
      <c r="A63" s="115"/>
      <c r="B63" s="115"/>
      <c r="C63" s="115"/>
      <c r="D63" s="115"/>
      <c r="E63" s="115"/>
      <c r="F63" s="115"/>
      <c r="G63" s="115"/>
      <c r="H63" s="115"/>
      <c r="I63" s="115"/>
    </row>
  </sheetData>
  <mergeCells count="8">
    <mergeCell ref="A1:I1"/>
    <mergeCell ref="A2:G2"/>
    <mergeCell ref="H2:I2"/>
    <mergeCell ref="A3:I3"/>
    <mergeCell ref="A4:A6"/>
    <mergeCell ref="B4:I4"/>
    <mergeCell ref="B5:E5"/>
    <mergeCell ref="F5:I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P135"/>
  <sheetViews>
    <sheetView view="pageBreakPreview" zoomScale="70" zoomScaleNormal="85" zoomScaleSheetLayoutView="70" workbookViewId="0">
      <selection activeCell="Q6" sqref="Q6"/>
    </sheetView>
  </sheetViews>
  <sheetFormatPr defaultRowHeight="13.8" x14ac:dyDescent="0.3"/>
  <cols>
    <col min="1" max="2" width="8.88671875" style="12"/>
    <col min="3" max="14" width="11.6640625" style="12" customWidth="1"/>
    <col min="15" max="15" width="9.109375" style="12" customWidth="1"/>
    <col min="16" max="16384" width="8.88671875" style="12"/>
  </cols>
  <sheetData>
    <row r="1" spans="1:14" x14ac:dyDescent="0.3">
      <c r="A1" s="256" t="s">
        <v>198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</row>
    <row r="2" spans="1:14" x14ac:dyDescent="0.3">
      <c r="A2" s="277" t="str">
        <f>common!$H$2</f>
        <v>UT : PUDUCHERRY</v>
      </c>
      <c r="B2" s="277"/>
      <c r="C2" s="277"/>
      <c r="D2" s="277"/>
      <c r="E2" s="95"/>
      <c r="F2" s="95"/>
      <c r="G2" s="95"/>
      <c r="H2" s="95"/>
      <c r="I2" s="290" t="s">
        <v>176</v>
      </c>
      <c r="J2" s="290"/>
      <c r="K2" s="290"/>
      <c r="L2" s="290"/>
      <c r="M2" s="290"/>
      <c r="N2" s="290"/>
    </row>
    <row r="3" spans="1:14" ht="15" customHeight="1" x14ac:dyDescent="0.3">
      <c r="A3" s="279" t="str">
        <f>"ICS SCHEME:- DELEGATION OF WORK AND CONDUCT OF CROP CUTTING  EXPERIMENTS BY UNTRAINED WORKERS DURING "&amp; common!$C$4 &amp;" AND "&amp; common!$C$5 &amp; "."</f>
        <v>ICS SCHEME:- DELEGATION OF WORK AND CONDUCT OF CROP CUTTING  EXPERIMENTS BY UNTRAINED WORKERS DURING 2024-25 AND 2023-24.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</row>
    <row r="4" spans="1:14" ht="15" customHeight="1" x14ac:dyDescent="0.3">
      <c r="A4" s="328" t="s">
        <v>47</v>
      </c>
      <c r="B4" s="275" t="s">
        <v>281</v>
      </c>
      <c r="C4" s="280" t="str">
        <f>common!$J$4</f>
        <v>YEAR 2024-25</v>
      </c>
      <c r="D4" s="280"/>
      <c r="E4" s="280"/>
      <c r="F4" s="280"/>
      <c r="G4" s="280"/>
      <c r="H4" s="280"/>
      <c r="I4" s="329" t="str">
        <f>common!$J$5</f>
        <v>YEAR 2023-24</v>
      </c>
      <c r="J4" s="330"/>
      <c r="K4" s="330"/>
      <c r="L4" s="330"/>
      <c r="M4" s="330"/>
      <c r="N4" s="330"/>
    </row>
    <row r="5" spans="1:14" ht="28.5" customHeight="1" x14ac:dyDescent="0.3">
      <c r="A5" s="328"/>
      <c r="B5" s="275"/>
      <c r="C5" s="276" t="s">
        <v>177</v>
      </c>
      <c r="D5" s="276"/>
      <c r="E5" s="276" t="s">
        <v>177</v>
      </c>
      <c r="F5" s="276"/>
      <c r="G5" s="276" t="s">
        <v>177</v>
      </c>
      <c r="H5" s="276"/>
      <c r="I5" s="327" t="s">
        <v>178</v>
      </c>
      <c r="J5" s="276"/>
      <c r="K5" s="276" t="s">
        <v>178</v>
      </c>
      <c r="L5" s="276"/>
      <c r="M5" s="276" t="s">
        <v>178</v>
      </c>
      <c r="N5" s="276"/>
    </row>
    <row r="6" spans="1:14" ht="179.4" x14ac:dyDescent="0.3">
      <c r="A6" s="280"/>
      <c r="B6" s="276"/>
      <c r="C6" s="96" t="s">
        <v>179</v>
      </c>
      <c r="D6" s="96" t="s">
        <v>180</v>
      </c>
      <c r="E6" s="96" t="s">
        <v>181</v>
      </c>
      <c r="F6" s="96" t="s">
        <v>182</v>
      </c>
      <c r="G6" s="96" t="s">
        <v>183</v>
      </c>
      <c r="H6" s="96" t="s">
        <v>180</v>
      </c>
      <c r="I6" s="146" t="s">
        <v>179</v>
      </c>
      <c r="J6" s="96" t="s">
        <v>180</v>
      </c>
      <c r="K6" s="96" t="s">
        <v>181</v>
      </c>
      <c r="L6" s="96" t="s">
        <v>182</v>
      </c>
      <c r="M6" s="96" t="s">
        <v>183</v>
      </c>
      <c r="N6" s="96" t="s">
        <v>180</v>
      </c>
    </row>
    <row r="7" spans="1:14" x14ac:dyDescent="0.3">
      <c r="A7" s="103" t="s">
        <v>8</v>
      </c>
      <c r="B7" s="103" t="s">
        <v>9</v>
      </c>
      <c r="C7" s="103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47" t="s">
        <v>75</v>
      </c>
      <c r="J7" s="103" t="s">
        <v>76</v>
      </c>
      <c r="K7" s="103" t="s">
        <v>77</v>
      </c>
      <c r="L7" s="103" t="s">
        <v>90</v>
      </c>
      <c r="M7" s="103" t="s">
        <v>91</v>
      </c>
      <c r="N7" s="103" t="s">
        <v>92</v>
      </c>
    </row>
    <row r="8" spans="1:14" ht="21" customHeight="1" x14ac:dyDescent="0.3">
      <c r="A8" s="104" t="str">
        <f>common!$C$3</f>
        <v>RABI I</v>
      </c>
      <c r="B8" s="21"/>
      <c r="C8" s="105"/>
      <c r="D8" s="105"/>
      <c r="E8" s="105"/>
      <c r="F8" s="105"/>
      <c r="G8" s="105"/>
      <c r="H8" s="105"/>
      <c r="I8" s="140"/>
      <c r="J8" s="105"/>
      <c r="K8" s="105"/>
      <c r="L8" s="105"/>
      <c r="M8" s="105"/>
      <c r="N8" s="105"/>
    </row>
    <row r="9" spans="1:14" ht="21" customHeight="1" x14ac:dyDescent="0.3">
      <c r="A9" s="105">
        <f>IF(B9="","",1)</f>
        <v>1</v>
      </c>
      <c r="B9" s="150" t="str">
        <f>IF('[5]Crops CY'!A$7=0,"",'[5]Crops CY'!A$7)</f>
        <v>PADDY</v>
      </c>
      <c r="C9" s="105"/>
      <c r="D9" s="105"/>
      <c r="E9" s="105"/>
      <c r="F9" s="105"/>
      <c r="G9" s="105"/>
      <c r="H9" s="105"/>
      <c r="I9" s="140"/>
      <c r="J9" s="105"/>
      <c r="K9" s="105"/>
      <c r="L9" s="105"/>
      <c r="M9" s="105"/>
      <c r="N9" s="105"/>
    </row>
    <row r="10" spans="1:14" ht="21" customHeight="1" x14ac:dyDescent="0.3">
      <c r="A10" s="124"/>
      <c r="B10" s="124" t="str">
        <f>IF(B9="","","CENTRAL")</f>
        <v>CENTRAL</v>
      </c>
      <c r="C10" s="142" t="str">
        <f>'[5]Annex-24'!C10</f>
        <v>0(  0.0)</v>
      </c>
      <c r="D10" s="142" t="str">
        <f>'[5]Annex-24'!D10</f>
        <v>0(  0.0)</v>
      </c>
      <c r="E10" s="142" t="str">
        <f>'[5]Annex-24'!E10</f>
        <v>0(  0.0)</v>
      </c>
      <c r="F10" s="142" t="str">
        <f>'[5]Annex-24'!F10</f>
        <v>0(  0.0)</v>
      </c>
      <c r="G10" s="142" t="str">
        <f>'[5]Annex-24'!G10</f>
        <v>10(100.0)</v>
      </c>
      <c r="H10" s="142" t="str">
        <f>'[5]Annex-24'!H10</f>
        <v>0(  0.0)</v>
      </c>
      <c r="I10" s="143" t="str">
        <f>'[5]Annex-24'!I10</f>
        <v>0(  0.0)</v>
      </c>
      <c r="J10" s="142" t="str">
        <f>'[5]Annex-24'!J10</f>
        <v>0(  0.0)</v>
      </c>
      <c r="K10" s="142" t="str">
        <f>'[5]Annex-24'!K10</f>
        <v>0(  0.0)</v>
      </c>
      <c r="L10" s="142" t="str">
        <f>'[5]Annex-24'!L10</f>
        <v>0(  0.0)</v>
      </c>
      <c r="M10" s="142" t="str">
        <f>'[5]Annex-24'!M10</f>
        <v>10(100.0)</v>
      </c>
      <c r="N10" s="142" t="str">
        <f>'[5]Annex-24'!N10</f>
        <v>0(  0.0)</v>
      </c>
    </row>
    <row r="11" spans="1:14" ht="21" customHeight="1" x14ac:dyDescent="0.3">
      <c r="A11" s="124"/>
      <c r="B11" s="124" t="str">
        <f>IF(B10="","","STATE")</f>
        <v>STATE</v>
      </c>
      <c r="C11" s="142" t="str">
        <f>'[5]Annex-24'!C11</f>
        <v>0(  0.0)</v>
      </c>
      <c r="D11" s="142" t="str">
        <f>'[5]Annex-24'!D11</f>
        <v>0(  0.0)</v>
      </c>
      <c r="E11" s="142" t="str">
        <f>'[5]Annex-24'!E11</f>
        <v>0(  0.0)</v>
      </c>
      <c r="F11" s="142" t="str">
        <f>'[5]Annex-24'!F11</f>
        <v>0(  0.0)</v>
      </c>
      <c r="G11" s="142" t="str">
        <f>'[5]Annex-24'!G11</f>
        <v>10(100.0)</v>
      </c>
      <c r="H11" s="142" t="str">
        <f>'[5]Annex-24'!H11</f>
        <v>0(  0.0)</v>
      </c>
      <c r="I11" s="143" t="str">
        <f>'[5]Annex-24'!I11</f>
        <v>0(  0.0)</v>
      </c>
      <c r="J11" s="142" t="str">
        <f>'[5]Annex-24'!J11</f>
        <v>0(  0.0)</v>
      </c>
      <c r="K11" s="142" t="str">
        <f>'[5]Annex-24'!K11</f>
        <v>0(  0.0)</v>
      </c>
      <c r="L11" s="142" t="str">
        <f>'[5]Annex-24'!L11</f>
        <v>0(  0.0)</v>
      </c>
      <c r="M11" s="142" t="str">
        <f>'[5]Annex-24'!M11</f>
        <v>10(100.0)</v>
      </c>
      <c r="N11" s="142" t="str">
        <f>'[5]Annex-24'!N11</f>
        <v>0(  0.0)</v>
      </c>
    </row>
    <row r="12" spans="1:14" ht="21" customHeight="1" x14ac:dyDescent="0.3">
      <c r="A12" s="124"/>
      <c r="B12" s="123" t="str">
        <f>IF(B11="","","POOLED")</f>
        <v>POOLED</v>
      </c>
      <c r="C12" s="60" t="str">
        <f>'[5]Annex-24'!C12</f>
        <v>0(  0.0)</v>
      </c>
      <c r="D12" s="60" t="str">
        <f>'[5]Annex-24'!D12</f>
        <v>0(  0.0)</v>
      </c>
      <c r="E12" s="60" t="str">
        <f>'[5]Annex-24'!E12</f>
        <v>0(  0.0)</v>
      </c>
      <c r="F12" s="60" t="str">
        <f>'[5]Annex-24'!F12</f>
        <v>0(  0.0)</v>
      </c>
      <c r="G12" s="60" t="str">
        <f>'[5]Annex-24'!G12</f>
        <v>20(100.0)</v>
      </c>
      <c r="H12" s="60" t="str">
        <f>'[5]Annex-24'!H12</f>
        <v>0(  0.0)</v>
      </c>
      <c r="I12" s="61" t="str">
        <f>'[5]Annex-24'!I12</f>
        <v>0(  0.0)</v>
      </c>
      <c r="J12" s="60" t="str">
        <f>'[5]Annex-24'!J12</f>
        <v>0(  0.0)</v>
      </c>
      <c r="K12" s="60" t="str">
        <f>'[5]Annex-24'!K12</f>
        <v>0(  0.0)</v>
      </c>
      <c r="L12" s="60" t="str">
        <f>'[5]Annex-24'!L12</f>
        <v>0(  0.0)</v>
      </c>
      <c r="M12" s="60" t="str">
        <f>'[5]Annex-24'!M12</f>
        <v>20(100.0)</v>
      </c>
      <c r="N12" s="60" t="str">
        <f>'[5]Annex-24'!N12</f>
        <v>0(  0.0)</v>
      </c>
    </row>
    <row r="13" spans="1:14" hidden="1" x14ac:dyDescent="0.3">
      <c r="A13" s="105" t="str">
        <f>IF(B13="","",A9+1)</f>
        <v/>
      </c>
      <c r="B13" s="151" t="str">
        <f>IF('[5]Crops CY'!A$8=0,"",'[5]Crops CY'!A$8)</f>
        <v/>
      </c>
      <c r="C13" s="142"/>
      <c r="D13" s="142"/>
      <c r="E13" s="142"/>
      <c r="F13" s="142"/>
      <c r="G13" s="142"/>
      <c r="H13" s="142"/>
      <c r="I13" s="143"/>
      <c r="J13" s="142"/>
      <c r="K13" s="142"/>
      <c r="L13" s="142"/>
      <c r="M13" s="142"/>
      <c r="N13" s="142"/>
    </row>
    <row r="14" spans="1:14" hidden="1" x14ac:dyDescent="0.3">
      <c r="A14" s="124"/>
      <c r="B14" s="124" t="str">
        <f>IF(B13="","","CENTRAL")</f>
        <v/>
      </c>
      <c r="C14" s="142" t="str">
        <f>'[5]Annex-24'!C14</f>
        <v/>
      </c>
      <c r="D14" s="142" t="str">
        <f>'[5]Annex-24'!D14</f>
        <v/>
      </c>
      <c r="E14" s="142" t="str">
        <f>'[5]Annex-24'!E14</f>
        <v/>
      </c>
      <c r="F14" s="142" t="str">
        <f>'[5]Annex-24'!F14</f>
        <v/>
      </c>
      <c r="G14" s="142" t="str">
        <f>'[5]Annex-24'!G14</f>
        <v/>
      </c>
      <c r="H14" s="142" t="str">
        <f>'[5]Annex-24'!H14</f>
        <v/>
      </c>
      <c r="I14" s="143" t="str">
        <f>'[5]Annex-24'!I14</f>
        <v/>
      </c>
      <c r="J14" s="142" t="str">
        <f>'[5]Annex-24'!J14</f>
        <v/>
      </c>
      <c r="K14" s="142" t="str">
        <f>'[5]Annex-24'!K14</f>
        <v/>
      </c>
      <c r="L14" s="142" t="str">
        <f>'[5]Annex-24'!L14</f>
        <v/>
      </c>
      <c r="M14" s="142" t="str">
        <f>'[5]Annex-24'!M14</f>
        <v/>
      </c>
      <c r="N14" s="142" t="str">
        <f>'[5]Annex-24'!N14</f>
        <v/>
      </c>
    </row>
    <row r="15" spans="1:14" hidden="1" x14ac:dyDescent="0.3">
      <c r="A15" s="124"/>
      <c r="B15" s="124" t="str">
        <f>IF(B14="","","STATE")</f>
        <v/>
      </c>
      <c r="C15" s="142" t="str">
        <f>'[5]Annex-24'!C15</f>
        <v/>
      </c>
      <c r="D15" s="142" t="str">
        <f>'[5]Annex-24'!D15</f>
        <v/>
      </c>
      <c r="E15" s="142" t="str">
        <f>'[5]Annex-24'!E15</f>
        <v/>
      </c>
      <c r="F15" s="142" t="str">
        <f>'[5]Annex-24'!F15</f>
        <v/>
      </c>
      <c r="G15" s="142" t="str">
        <f>'[5]Annex-24'!G15</f>
        <v/>
      </c>
      <c r="H15" s="142" t="str">
        <f>'[5]Annex-24'!H15</f>
        <v/>
      </c>
      <c r="I15" s="143" t="str">
        <f>'[5]Annex-24'!I15</f>
        <v/>
      </c>
      <c r="J15" s="142" t="str">
        <f>'[5]Annex-24'!J15</f>
        <v/>
      </c>
      <c r="K15" s="142" t="str">
        <f>'[5]Annex-24'!K15</f>
        <v/>
      </c>
      <c r="L15" s="142" t="str">
        <f>'[5]Annex-24'!L15</f>
        <v/>
      </c>
      <c r="M15" s="142" t="str">
        <f>'[5]Annex-24'!M15</f>
        <v/>
      </c>
      <c r="N15" s="142" t="str">
        <f>'[5]Annex-24'!N15</f>
        <v/>
      </c>
    </row>
    <row r="16" spans="1:14" hidden="1" x14ac:dyDescent="0.3">
      <c r="A16" s="124"/>
      <c r="B16" s="124" t="str">
        <f>IF(B15="","","POOLED")</f>
        <v/>
      </c>
      <c r="C16" s="142" t="str">
        <f>'[5]Annex-24'!C16</f>
        <v/>
      </c>
      <c r="D16" s="142" t="str">
        <f>'[5]Annex-24'!D16</f>
        <v/>
      </c>
      <c r="E16" s="142" t="str">
        <f>'[5]Annex-24'!E16</f>
        <v/>
      </c>
      <c r="F16" s="142" t="str">
        <f>'[5]Annex-24'!F16</f>
        <v/>
      </c>
      <c r="G16" s="142" t="str">
        <f>'[5]Annex-24'!G16</f>
        <v/>
      </c>
      <c r="H16" s="142" t="str">
        <f>'[5]Annex-24'!H16</f>
        <v/>
      </c>
      <c r="I16" s="143" t="str">
        <f>'[5]Annex-24'!I16</f>
        <v/>
      </c>
      <c r="J16" s="142" t="str">
        <f>'[5]Annex-24'!J16</f>
        <v/>
      </c>
      <c r="K16" s="142" t="str">
        <f>'[5]Annex-24'!K16</f>
        <v/>
      </c>
      <c r="L16" s="142" t="str">
        <f>'[5]Annex-24'!L16</f>
        <v/>
      </c>
      <c r="M16" s="142" t="str">
        <f>'[5]Annex-24'!M16</f>
        <v/>
      </c>
      <c r="N16" s="142" t="str">
        <f>'[5]Annex-24'!N16</f>
        <v/>
      </c>
    </row>
    <row r="17" spans="1:14" ht="21.6" hidden="1" customHeight="1" x14ac:dyDescent="0.3">
      <c r="A17" s="105" t="str">
        <f>IF(B17="","",A13+1)</f>
        <v/>
      </c>
      <c r="B17" s="105" t="str">
        <f>IF('[5]Crops CY'!A$9=0,"",'[5]Crops CY'!A$9)</f>
        <v/>
      </c>
      <c r="C17" s="142"/>
      <c r="D17" s="142"/>
      <c r="E17" s="142"/>
      <c r="F17" s="142"/>
      <c r="G17" s="142"/>
      <c r="H17" s="142"/>
      <c r="I17" s="143"/>
      <c r="J17" s="142"/>
      <c r="K17" s="142"/>
      <c r="L17" s="142"/>
      <c r="M17" s="142"/>
      <c r="N17" s="142"/>
    </row>
    <row r="18" spans="1:14" hidden="1" x14ac:dyDescent="0.3">
      <c r="A18" s="124"/>
      <c r="B18" s="124" t="str">
        <f>IF(B17="","","CENTRAL")</f>
        <v/>
      </c>
      <c r="C18" s="142" t="str">
        <f>'[5]Annex-24'!C18</f>
        <v/>
      </c>
      <c r="D18" s="142" t="str">
        <f>'[5]Annex-24'!D18</f>
        <v/>
      </c>
      <c r="E18" s="142" t="str">
        <f>'[5]Annex-24'!E18</f>
        <v/>
      </c>
      <c r="F18" s="142" t="str">
        <f>'[5]Annex-24'!F18</f>
        <v/>
      </c>
      <c r="G18" s="142" t="str">
        <f>'[5]Annex-24'!G18</f>
        <v/>
      </c>
      <c r="H18" s="142" t="str">
        <f>'[5]Annex-24'!H18</f>
        <v/>
      </c>
      <c r="I18" s="143" t="str">
        <f>'[5]Annex-24'!I18</f>
        <v/>
      </c>
      <c r="J18" s="142" t="str">
        <f>'[5]Annex-24'!J18</f>
        <v/>
      </c>
      <c r="K18" s="142" t="str">
        <f>'[5]Annex-24'!K18</f>
        <v/>
      </c>
      <c r="L18" s="142" t="str">
        <f>'[5]Annex-24'!L18</f>
        <v/>
      </c>
      <c r="M18" s="142" t="str">
        <f>'[5]Annex-24'!M18</f>
        <v/>
      </c>
      <c r="N18" s="142" t="str">
        <f>'[5]Annex-24'!N18</f>
        <v/>
      </c>
    </row>
    <row r="19" spans="1:14" hidden="1" x14ac:dyDescent="0.3">
      <c r="A19" s="124"/>
      <c r="B19" s="124" t="str">
        <f>IF(B18="","","STATE")</f>
        <v/>
      </c>
      <c r="C19" s="142" t="str">
        <f>'[5]Annex-24'!C19</f>
        <v/>
      </c>
      <c r="D19" s="142" t="str">
        <f>'[5]Annex-24'!D19</f>
        <v/>
      </c>
      <c r="E19" s="142" t="str">
        <f>'[5]Annex-24'!E19</f>
        <v/>
      </c>
      <c r="F19" s="142" t="str">
        <f>'[5]Annex-24'!F19</f>
        <v/>
      </c>
      <c r="G19" s="142" t="str">
        <f>'[5]Annex-24'!G19</f>
        <v/>
      </c>
      <c r="H19" s="142" t="str">
        <f>'[5]Annex-24'!H19</f>
        <v/>
      </c>
      <c r="I19" s="143" t="str">
        <f>'[5]Annex-24'!I19</f>
        <v/>
      </c>
      <c r="J19" s="142" t="str">
        <f>'[5]Annex-24'!J19</f>
        <v/>
      </c>
      <c r="K19" s="142" t="str">
        <f>'[5]Annex-24'!K19</f>
        <v/>
      </c>
      <c r="L19" s="142" t="str">
        <f>'[5]Annex-24'!L19</f>
        <v/>
      </c>
      <c r="M19" s="142" t="str">
        <f>'[5]Annex-24'!M19</f>
        <v/>
      </c>
      <c r="N19" s="142" t="str">
        <f>'[5]Annex-24'!N19</f>
        <v/>
      </c>
    </row>
    <row r="20" spans="1:14" hidden="1" x14ac:dyDescent="0.3">
      <c r="A20" s="124"/>
      <c r="B20" s="124" t="str">
        <f>IF(B19="","","POOLED")</f>
        <v/>
      </c>
      <c r="C20" s="142" t="str">
        <f>'[5]Annex-24'!C20</f>
        <v/>
      </c>
      <c r="D20" s="142" t="str">
        <f>'[5]Annex-24'!D20</f>
        <v/>
      </c>
      <c r="E20" s="142" t="str">
        <f>'[5]Annex-24'!E20</f>
        <v/>
      </c>
      <c r="F20" s="142" t="str">
        <f>'[5]Annex-24'!F20</f>
        <v/>
      </c>
      <c r="G20" s="142" t="str">
        <f>'[5]Annex-24'!G20</f>
        <v/>
      </c>
      <c r="H20" s="142" t="str">
        <f>'[5]Annex-24'!H20</f>
        <v/>
      </c>
      <c r="I20" s="143" t="str">
        <f>'[5]Annex-24'!I20</f>
        <v/>
      </c>
      <c r="J20" s="142" t="str">
        <f>'[5]Annex-24'!J20</f>
        <v/>
      </c>
      <c r="K20" s="142" t="str">
        <f>'[5]Annex-24'!K20</f>
        <v/>
      </c>
      <c r="L20" s="142" t="str">
        <f>'[5]Annex-24'!L20</f>
        <v/>
      </c>
      <c r="M20" s="142" t="str">
        <f>'[5]Annex-24'!M20</f>
        <v/>
      </c>
      <c r="N20" s="142" t="str">
        <f>'[5]Annex-24'!N20</f>
        <v/>
      </c>
    </row>
    <row r="21" spans="1:14" ht="21.6" hidden="1" customHeight="1" x14ac:dyDescent="0.3">
      <c r="A21" s="105" t="str">
        <f>IF(B21="","",A17+1)</f>
        <v/>
      </c>
      <c r="B21" s="105" t="str">
        <f>IF('[5]Crops CY'!A$10=0,"",'[5]Crops CY'!A$10)</f>
        <v/>
      </c>
      <c r="C21" s="142"/>
      <c r="D21" s="142"/>
      <c r="E21" s="142"/>
      <c r="F21" s="142"/>
      <c r="G21" s="142"/>
      <c r="H21" s="142"/>
      <c r="I21" s="143"/>
      <c r="J21" s="142"/>
      <c r="K21" s="142"/>
      <c r="L21" s="142"/>
      <c r="M21" s="142"/>
      <c r="N21" s="142"/>
    </row>
    <row r="22" spans="1:14" hidden="1" x14ac:dyDescent="0.3">
      <c r="A22" s="124"/>
      <c r="B22" s="124" t="str">
        <f>IF(B21="","","CENTRAL")</f>
        <v/>
      </c>
      <c r="C22" s="142" t="str">
        <f>'[5]Annex-24'!C22</f>
        <v/>
      </c>
      <c r="D22" s="142" t="str">
        <f>'[5]Annex-24'!D22</f>
        <v/>
      </c>
      <c r="E22" s="142" t="str">
        <f>'[5]Annex-24'!E22</f>
        <v/>
      </c>
      <c r="F22" s="142" t="str">
        <f>'[5]Annex-24'!F22</f>
        <v/>
      </c>
      <c r="G22" s="142" t="str">
        <f>'[5]Annex-24'!G22</f>
        <v/>
      </c>
      <c r="H22" s="142" t="str">
        <f>'[5]Annex-24'!H22</f>
        <v/>
      </c>
      <c r="I22" s="143" t="str">
        <f>'[5]Annex-24'!I22</f>
        <v/>
      </c>
      <c r="J22" s="142" t="str">
        <f>'[5]Annex-24'!J22</f>
        <v/>
      </c>
      <c r="K22" s="142" t="str">
        <f>'[5]Annex-24'!K22</f>
        <v/>
      </c>
      <c r="L22" s="142" t="str">
        <f>'[5]Annex-24'!L22</f>
        <v/>
      </c>
      <c r="M22" s="142" t="str">
        <f>'[5]Annex-24'!M22</f>
        <v/>
      </c>
      <c r="N22" s="142" t="str">
        <f>'[5]Annex-24'!N22</f>
        <v/>
      </c>
    </row>
    <row r="23" spans="1:14" hidden="1" x14ac:dyDescent="0.3">
      <c r="A23" s="124"/>
      <c r="B23" s="124" t="str">
        <f>IF(B22="","","STATE")</f>
        <v/>
      </c>
      <c r="C23" s="142" t="str">
        <f>'[5]Annex-24'!C23</f>
        <v/>
      </c>
      <c r="D23" s="142" t="str">
        <f>'[5]Annex-24'!D23</f>
        <v/>
      </c>
      <c r="E23" s="142" t="str">
        <f>'[5]Annex-24'!E23</f>
        <v/>
      </c>
      <c r="F23" s="142" t="str">
        <f>'[5]Annex-24'!F23</f>
        <v/>
      </c>
      <c r="G23" s="142" t="str">
        <f>'[5]Annex-24'!G23</f>
        <v/>
      </c>
      <c r="H23" s="142" t="str">
        <f>'[5]Annex-24'!H23</f>
        <v/>
      </c>
      <c r="I23" s="143" t="str">
        <f>'[5]Annex-24'!I23</f>
        <v/>
      </c>
      <c r="J23" s="142" t="str">
        <f>'[5]Annex-24'!J23</f>
        <v/>
      </c>
      <c r="K23" s="142" t="str">
        <f>'[5]Annex-24'!K23</f>
        <v/>
      </c>
      <c r="L23" s="142" t="str">
        <f>'[5]Annex-24'!L23</f>
        <v/>
      </c>
      <c r="M23" s="142" t="str">
        <f>'[5]Annex-24'!M23</f>
        <v/>
      </c>
      <c r="N23" s="142" t="str">
        <f>'[5]Annex-24'!N23</f>
        <v/>
      </c>
    </row>
    <row r="24" spans="1:14" hidden="1" x14ac:dyDescent="0.3">
      <c r="A24" s="124"/>
      <c r="B24" s="124" t="str">
        <f>IF(B23="","","POOLED")</f>
        <v/>
      </c>
      <c r="C24" s="142" t="str">
        <f>'[5]Annex-24'!C24</f>
        <v/>
      </c>
      <c r="D24" s="142" t="str">
        <f>'[5]Annex-24'!D24</f>
        <v/>
      </c>
      <c r="E24" s="142" t="str">
        <f>'[5]Annex-24'!E24</f>
        <v/>
      </c>
      <c r="F24" s="142" t="str">
        <f>'[5]Annex-24'!F24</f>
        <v/>
      </c>
      <c r="G24" s="142" t="str">
        <f>'[5]Annex-24'!G24</f>
        <v/>
      </c>
      <c r="H24" s="142" t="str">
        <f>'[5]Annex-24'!H24</f>
        <v/>
      </c>
      <c r="I24" s="143" t="str">
        <f>'[5]Annex-24'!I24</f>
        <v/>
      </c>
      <c r="J24" s="142" t="str">
        <f>'[5]Annex-24'!J24</f>
        <v/>
      </c>
      <c r="K24" s="142" t="str">
        <f>'[5]Annex-24'!K24</f>
        <v/>
      </c>
      <c r="L24" s="142" t="str">
        <f>'[5]Annex-24'!L24</f>
        <v/>
      </c>
      <c r="M24" s="142" t="str">
        <f>'[5]Annex-24'!M24</f>
        <v/>
      </c>
      <c r="N24" s="142" t="str">
        <f>'[5]Annex-24'!N24</f>
        <v/>
      </c>
    </row>
    <row r="25" spans="1:14" hidden="1" x14ac:dyDescent="0.3">
      <c r="A25" s="105" t="str">
        <f>IF(B25="","",A21+1)</f>
        <v/>
      </c>
      <c r="B25" s="105" t="str">
        <f>IF('[5]Crops CY'!A$11=0,"",'[5]Crops CY'!A$11)</f>
        <v/>
      </c>
      <c r="C25" s="142"/>
      <c r="D25" s="142"/>
      <c r="E25" s="142"/>
      <c r="F25" s="142"/>
      <c r="G25" s="142"/>
      <c r="H25" s="142"/>
      <c r="I25" s="143"/>
      <c r="J25" s="142"/>
      <c r="K25" s="142"/>
      <c r="L25" s="142"/>
      <c r="M25" s="142"/>
      <c r="N25" s="142"/>
    </row>
    <row r="26" spans="1:14" hidden="1" x14ac:dyDescent="0.3">
      <c r="A26" s="124"/>
      <c r="B26" s="124" t="str">
        <f>IF(B25="","","CENTRAL")</f>
        <v/>
      </c>
      <c r="C26" s="142" t="str">
        <f>'[5]Annex-24'!C26</f>
        <v/>
      </c>
      <c r="D26" s="142" t="str">
        <f>'[5]Annex-24'!D26</f>
        <v/>
      </c>
      <c r="E26" s="142" t="str">
        <f>'[5]Annex-24'!E26</f>
        <v/>
      </c>
      <c r="F26" s="142" t="str">
        <f>'[5]Annex-24'!F26</f>
        <v/>
      </c>
      <c r="G26" s="142" t="str">
        <f>'[5]Annex-24'!G26</f>
        <v/>
      </c>
      <c r="H26" s="142" t="str">
        <f>'[5]Annex-24'!H26</f>
        <v/>
      </c>
      <c r="I26" s="143" t="str">
        <f>'[5]Annex-24'!I26</f>
        <v/>
      </c>
      <c r="J26" s="142" t="str">
        <f>'[5]Annex-24'!J26</f>
        <v/>
      </c>
      <c r="K26" s="142" t="str">
        <f>'[5]Annex-24'!K26</f>
        <v/>
      </c>
      <c r="L26" s="142" t="str">
        <f>'[5]Annex-24'!L26</f>
        <v/>
      </c>
      <c r="M26" s="142" t="str">
        <f>'[5]Annex-24'!M26</f>
        <v/>
      </c>
      <c r="N26" s="142" t="str">
        <f>'[5]Annex-24'!N26</f>
        <v/>
      </c>
    </row>
    <row r="27" spans="1:14" hidden="1" x14ac:dyDescent="0.3">
      <c r="A27" s="124"/>
      <c r="B27" s="124" t="str">
        <f>IF(B26="","","STATE")</f>
        <v/>
      </c>
      <c r="C27" s="142" t="str">
        <f>'[5]Annex-24'!C27</f>
        <v/>
      </c>
      <c r="D27" s="142" t="str">
        <f>'[5]Annex-24'!D27</f>
        <v/>
      </c>
      <c r="E27" s="142" t="str">
        <f>'[5]Annex-24'!E27</f>
        <v/>
      </c>
      <c r="F27" s="142" t="str">
        <f>'[5]Annex-24'!F27</f>
        <v/>
      </c>
      <c r="G27" s="142" t="str">
        <f>'[5]Annex-24'!G27</f>
        <v/>
      </c>
      <c r="H27" s="142" t="str">
        <f>'[5]Annex-24'!H27</f>
        <v/>
      </c>
      <c r="I27" s="143" t="str">
        <f>'[5]Annex-24'!I27</f>
        <v/>
      </c>
      <c r="J27" s="142" t="str">
        <f>'[5]Annex-24'!J27</f>
        <v/>
      </c>
      <c r="K27" s="142" t="str">
        <f>'[5]Annex-24'!K27</f>
        <v/>
      </c>
      <c r="L27" s="142" t="str">
        <f>'[5]Annex-24'!L27</f>
        <v/>
      </c>
      <c r="M27" s="142" t="str">
        <f>'[5]Annex-24'!M27</f>
        <v/>
      </c>
      <c r="N27" s="142" t="str">
        <f>'[5]Annex-24'!N27</f>
        <v/>
      </c>
    </row>
    <row r="28" spans="1:14" hidden="1" x14ac:dyDescent="0.3">
      <c r="A28" s="124"/>
      <c r="B28" s="124" t="str">
        <f>IF(B27="","","POOLED")</f>
        <v/>
      </c>
      <c r="C28" s="142" t="str">
        <f>'[5]Annex-24'!C28</f>
        <v/>
      </c>
      <c r="D28" s="142" t="str">
        <f>'[5]Annex-24'!D28</f>
        <v/>
      </c>
      <c r="E28" s="142" t="str">
        <f>'[5]Annex-24'!E28</f>
        <v/>
      </c>
      <c r="F28" s="142" t="str">
        <f>'[5]Annex-24'!F28</f>
        <v/>
      </c>
      <c r="G28" s="142" t="str">
        <f>'[5]Annex-24'!G28</f>
        <v/>
      </c>
      <c r="H28" s="142" t="str">
        <f>'[5]Annex-24'!H28</f>
        <v/>
      </c>
      <c r="I28" s="143" t="str">
        <f>'[5]Annex-24'!I28</f>
        <v/>
      </c>
      <c r="J28" s="142" t="str">
        <f>'[5]Annex-24'!J28</f>
        <v/>
      </c>
      <c r="K28" s="142" t="str">
        <f>'[5]Annex-24'!K28</f>
        <v/>
      </c>
      <c r="L28" s="142" t="str">
        <f>'[5]Annex-24'!L28</f>
        <v/>
      </c>
      <c r="M28" s="142" t="str">
        <f>'[5]Annex-24'!M28</f>
        <v/>
      </c>
      <c r="N28" s="142" t="str">
        <f>'[5]Annex-24'!N28</f>
        <v/>
      </c>
    </row>
    <row r="29" spans="1:14" hidden="1" x14ac:dyDescent="0.3">
      <c r="A29" s="105" t="str">
        <f>IF(B29="","",A25+1)</f>
        <v/>
      </c>
      <c r="B29" s="105" t="str">
        <f>IF('[5]Crops CY'!A$12=0,"",'[5]Crops CY'!A$12)</f>
        <v/>
      </c>
      <c r="C29" s="142"/>
      <c r="D29" s="142"/>
      <c r="E29" s="142"/>
      <c r="F29" s="142"/>
      <c r="G29" s="142"/>
      <c r="H29" s="142"/>
      <c r="I29" s="143"/>
      <c r="J29" s="142"/>
      <c r="K29" s="142"/>
      <c r="L29" s="142"/>
      <c r="M29" s="142"/>
      <c r="N29" s="142"/>
    </row>
    <row r="30" spans="1:14" hidden="1" x14ac:dyDescent="0.3">
      <c r="A30" s="124"/>
      <c r="B30" s="124" t="str">
        <f>IF(B29="","","CENTRAL")</f>
        <v/>
      </c>
      <c r="C30" s="142" t="str">
        <f>'[5]Annex-24'!C30</f>
        <v/>
      </c>
      <c r="D30" s="142" t="str">
        <f>'[5]Annex-24'!D30</f>
        <v/>
      </c>
      <c r="E30" s="142" t="str">
        <f>'[5]Annex-24'!E30</f>
        <v/>
      </c>
      <c r="F30" s="142" t="str">
        <f>'[5]Annex-24'!F30</f>
        <v/>
      </c>
      <c r="G30" s="142" t="str">
        <f>'[5]Annex-24'!G30</f>
        <v/>
      </c>
      <c r="H30" s="142" t="str">
        <f>'[5]Annex-24'!H30</f>
        <v/>
      </c>
      <c r="I30" s="143" t="str">
        <f>'[5]Annex-24'!I30</f>
        <v/>
      </c>
      <c r="J30" s="142" t="str">
        <f>'[5]Annex-24'!J30</f>
        <v/>
      </c>
      <c r="K30" s="142" t="str">
        <f>'[5]Annex-24'!K30</f>
        <v/>
      </c>
      <c r="L30" s="142" t="str">
        <f>'[5]Annex-24'!L30</f>
        <v/>
      </c>
      <c r="M30" s="142" t="str">
        <f>'[5]Annex-24'!M30</f>
        <v/>
      </c>
      <c r="N30" s="142" t="str">
        <f>'[5]Annex-24'!N30</f>
        <v/>
      </c>
    </row>
    <row r="31" spans="1:14" hidden="1" x14ac:dyDescent="0.3">
      <c r="A31" s="124"/>
      <c r="B31" s="124" t="str">
        <f>IF(B30="","","STATE")</f>
        <v/>
      </c>
      <c r="C31" s="142" t="str">
        <f>'[5]Annex-24'!C31</f>
        <v/>
      </c>
      <c r="D31" s="142" t="str">
        <f>'[5]Annex-24'!D31</f>
        <v/>
      </c>
      <c r="E31" s="142" t="str">
        <f>'[5]Annex-24'!E31</f>
        <v/>
      </c>
      <c r="F31" s="142" t="str">
        <f>'[5]Annex-24'!F31</f>
        <v/>
      </c>
      <c r="G31" s="142" t="str">
        <f>'[5]Annex-24'!G31</f>
        <v/>
      </c>
      <c r="H31" s="142" t="str">
        <f>'[5]Annex-24'!H31</f>
        <v/>
      </c>
      <c r="I31" s="143" t="str">
        <f>'[5]Annex-24'!I31</f>
        <v/>
      </c>
      <c r="J31" s="142" t="str">
        <f>'[5]Annex-24'!J31</f>
        <v/>
      </c>
      <c r="K31" s="142" t="str">
        <f>'[5]Annex-24'!K31</f>
        <v/>
      </c>
      <c r="L31" s="142" t="str">
        <f>'[5]Annex-24'!L31</f>
        <v/>
      </c>
      <c r="M31" s="142" t="str">
        <f>'[5]Annex-24'!M31</f>
        <v/>
      </c>
      <c r="N31" s="142" t="str">
        <f>'[5]Annex-24'!N31</f>
        <v/>
      </c>
    </row>
    <row r="32" spans="1:14" hidden="1" x14ac:dyDescent="0.3">
      <c r="A32" s="124"/>
      <c r="B32" s="124" t="str">
        <f>IF(B31="","","POOLED")</f>
        <v/>
      </c>
      <c r="C32" s="142" t="str">
        <f>'[5]Annex-24'!C32</f>
        <v/>
      </c>
      <c r="D32" s="142" t="str">
        <f>'[5]Annex-24'!D32</f>
        <v/>
      </c>
      <c r="E32" s="142" t="str">
        <f>'[5]Annex-24'!E32</f>
        <v/>
      </c>
      <c r="F32" s="142" t="str">
        <f>'[5]Annex-24'!F32</f>
        <v/>
      </c>
      <c r="G32" s="142" t="str">
        <f>'[5]Annex-24'!G32</f>
        <v/>
      </c>
      <c r="H32" s="142" t="str">
        <f>'[5]Annex-24'!H32</f>
        <v/>
      </c>
      <c r="I32" s="143" t="str">
        <f>'[5]Annex-24'!I32</f>
        <v/>
      </c>
      <c r="J32" s="142" t="str">
        <f>'[5]Annex-24'!J32</f>
        <v/>
      </c>
      <c r="K32" s="142" t="str">
        <f>'[5]Annex-24'!K32</f>
        <v/>
      </c>
      <c r="L32" s="142" t="str">
        <f>'[5]Annex-24'!L32</f>
        <v/>
      </c>
      <c r="M32" s="142" t="str">
        <f>'[5]Annex-24'!M32</f>
        <v/>
      </c>
      <c r="N32" s="142" t="str">
        <f>'[5]Annex-24'!N32</f>
        <v/>
      </c>
    </row>
    <row r="33" spans="1:14" hidden="1" x14ac:dyDescent="0.3">
      <c r="A33" s="105" t="str">
        <f>IF(B33="","",A29+1)</f>
        <v/>
      </c>
      <c r="B33" s="105" t="str">
        <f>IF('[5]Crops CY'!A$13=0,"",'[5]Crops CY'!A$13)</f>
        <v/>
      </c>
      <c r="C33" s="142"/>
      <c r="D33" s="142"/>
      <c r="E33" s="142"/>
      <c r="F33" s="142"/>
      <c r="G33" s="142"/>
      <c r="H33" s="142"/>
      <c r="I33" s="143"/>
      <c r="J33" s="142"/>
      <c r="K33" s="142"/>
      <c r="L33" s="142"/>
      <c r="M33" s="142"/>
      <c r="N33" s="142"/>
    </row>
    <row r="34" spans="1:14" hidden="1" x14ac:dyDescent="0.3">
      <c r="A34" s="124"/>
      <c r="B34" s="124" t="str">
        <f>IF(B33="","","CENTRAL")</f>
        <v/>
      </c>
      <c r="C34" s="142" t="str">
        <f>'[5]Annex-24'!C34</f>
        <v/>
      </c>
      <c r="D34" s="142" t="str">
        <f>'[5]Annex-24'!D34</f>
        <v/>
      </c>
      <c r="E34" s="142" t="str">
        <f>'[5]Annex-24'!E34</f>
        <v/>
      </c>
      <c r="F34" s="142" t="str">
        <f>'[5]Annex-24'!F34</f>
        <v/>
      </c>
      <c r="G34" s="142" t="str">
        <f>'[5]Annex-24'!G34</f>
        <v/>
      </c>
      <c r="H34" s="142" t="str">
        <f>'[5]Annex-24'!H34</f>
        <v/>
      </c>
      <c r="I34" s="143" t="str">
        <f>'[5]Annex-24'!I34</f>
        <v/>
      </c>
      <c r="J34" s="142" t="str">
        <f>'[5]Annex-24'!J34</f>
        <v/>
      </c>
      <c r="K34" s="142" t="str">
        <f>'[5]Annex-24'!K34</f>
        <v/>
      </c>
      <c r="L34" s="142" t="str">
        <f>'[5]Annex-24'!L34</f>
        <v/>
      </c>
      <c r="M34" s="142" t="str">
        <f>'[5]Annex-24'!M34</f>
        <v/>
      </c>
      <c r="N34" s="142" t="str">
        <f>'[5]Annex-24'!N34</f>
        <v/>
      </c>
    </row>
    <row r="35" spans="1:14" hidden="1" x14ac:dyDescent="0.3">
      <c r="A35" s="124"/>
      <c r="B35" s="124" t="str">
        <f>IF(B34="","","STATE")</f>
        <v/>
      </c>
      <c r="C35" s="142" t="str">
        <f>'[5]Annex-24'!C35</f>
        <v/>
      </c>
      <c r="D35" s="142" t="str">
        <f>'[5]Annex-24'!D35</f>
        <v/>
      </c>
      <c r="E35" s="142" t="str">
        <f>'[5]Annex-24'!E35</f>
        <v/>
      </c>
      <c r="F35" s="142" t="str">
        <f>'[5]Annex-24'!F35</f>
        <v/>
      </c>
      <c r="G35" s="142" t="str">
        <f>'[5]Annex-24'!G35</f>
        <v/>
      </c>
      <c r="H35" s="142" t="str">
        <f>'[5]Annex-24'!H35</f>
        <v/>
      </c>
      <c r="I35" s="143" t="str">
        <f>'[5]Annex-24'!I35</f>
        <v/>
      </c>
      <c r="J35" s="142" t="str">
        <f>'[5]Annex-24'!J35</f>
        <v/>
      </c>
      <c r="K35" s="142" t="str">
        <f>'[5]Annex-24'!K35</f>
        <v/>
      </c>
      <c r="L35" s="142" t="str">
        <f>'[5]Annex-24'!L35</f>
        <v/>
      </c>
      <c r="M35" s="142" t="str">
        <f>'[5]Annex-24'!M35</f>
        <v/>
      </c>
      <c r="N35" s="142" t="str">
        <f>'[5]Annex-24'!N35</f>
        <v/>
      </c>
    </row>
    <row r="36" spans="1:14" hidden="1" x14ac:dyDescent="0.3">
      <c r="A36" s="124"/>
      <c r="B36" s="124" t="str">
        <f>IF(B35="","","POOLED")</f>
        <v/>
      </c>
      <c r="C36" s="142" t="str">
        <f>'[5]Annex-24'!C36</f>
        <v/>
      </c>
      <c r="D36" s="142" t="str">
        <f>'[5]Annex-24'!D36</f>
        <v/>
      </c>
      <c r="E36" s="142" t="str">
        <f>'[5]Annex-24'!E36</f>
        <v/>
      </c>
      <c r="F36" s="142" t="str">
        <f>'[5]Annex-24'!F36</f>
        <v/>
      </c>
      <c r="G36" s="142" t="str">
        <f>'[5]Annex-24'!G36</f>
        <v/>
      </c>
      <c r="H36" s="142" t="str">
        <f>'[5]Annex-24'!H36</f>
        <v/>
      </c>
      <c r="I36" s="143" t="str">
        <f>'[5]Annex-24'!I36</f>
        <v/>
      </c>
      <c r="J36" s="142" t="str">
        <f>'[5]Annex-24'!J36</f>
        <v/>
      </c>
      <c r="K36" s="142" t="str">
        <f>'[5]Annex-24'!K36</f>
        <v/>
      </c>
      <c r="L36" s="142" t="str">
        <f>'[5]Annex-24'!L36</f>
        <v/>
      </c>
      <c r="M36" s="142" t="str">
        <f>'[5]Annex-24'!M36</f>
        <v/>
      </c>
      <c r="N36" s="142" t="str">
        <f>'[5]Annex-24'!N36</f>
        <v/>
      </c>
    </row>
    <row r="37" spans="1:14" hidden="1" x14ac:dyDescent="0.3">
      <c r="A37" s="105" t="str">
        <f>IF(B37="","",A33+1)</f>
        <v/>
      </c>
      <c r="B37" s="105" t="str">
        <f>IF('[5]Crops CY'!A$14=0,"",'[5]Crops CY'!A$14)</f>
        <v/>
      </c>
      <c r="C37" s="142"/>
      <c r="D37" s="142"/>
      <c r="E37" s="142"/>
      <c r="F37" s="142"/>
      <c r="G37" s="142"/>
      <c r="H37" s="142"/>
      <c r="I37" s="143"/>
      <c r="J37" s="142"/>
      <c r="K37" s="142"/>
      <c r="L37" s="142"/>
      <c r="M37" s="142"/>
      <c r="N37" s="142"/>
    </row>
    <row r="38" spans="1:14" hidden="1" x14ac:dyDescent="0.3">
      <c r="A38" s="124"/>
      <c r="B38" s="124" t="str">
        <f>IF(B37="","","CENTRAL")</f>
        <v/>
      </c>
      <c r="C38" s="142" t="str">
        <f>'[5]Annex-24'!C38</f>
        <v/>
      </c>
      <c r="D38" s="142" t="str">
        <f>'[5]Annex-24'!D38</f>
        <v/>
      </c>
      <c r="E38" s="142" t="str">
        <f>'[5]Annex-24'!E38</f>
        <v/>
      </c>
      <c r="F38" s="142" t="str">
        <f>'[5]Annex-24'!F38</f>
        <v/>
      </c>
      <c r="G38" s="142" t="str">
        <f>'[5]Annex-24'!G38</f>
        <v/>
      </c>
      <c r="H38" s="142" t="str">
        <f>'[5]Annex-24'!H38</f>
        <v/>
      </c>
      <c r="I38" s="143" t="str">
        <f>'[5]Annex-24'!I38</f>
        <v/>
      </c>
      <c r="J38" s="142" t="str">
        <f>'[5]Annex-24'!J38</f>
        <v/>
      </c>
      <c r="K38" s="142" t="str">
        <f>'[5]Annex-24'!K38</f>
        <v/>
      </c>
      <c r="L38" s="142" t="str">
        <f>'[5]Annex-24'!L38</f>
        <v/>
      </c>
      <c r="M38" s="142" t="str">
        <f>'[5]Annex-24'!M38</f>
        <v/>
      </c>
      <c r="N38" s="142" t="str">
        <f>'[5]Annex-24'!N38</f>
        <v/>
      </c>
    </row>
    <row r="39" spans="1:14" hidden="1" x14ac:dyDescent="0.3">
      <c r="A39" s="124"/>
      <c r="B39" s="124" t="str">
        <f>IF(B38="","","STATE")</f>
        <v/>
      </c>
      <c r="C39" s="142" t="str">
        <f>'[5]Annex-24'!C39</f>
        <v/>
      </c>
      <c r="D39" s="142" t="str">
        <f>'[5]Annex-24'!D39</f>
        <v/>
      </c>
      <c r="E39" s="142" t="str">
        <f>'[5]Annex-24'!E39</f>
        <v/>
      </c>
      <c r="F39" s="142" t="str">
        <f>'[5]Annex-24'!F39</f>
        <v/>
      </c>
      <c r="G39" s="142" t="str">
        <f>'[5]Annex-24'!G39</f>
        <v/>
      </c>
      <c r="H39" s="142" t="str">
        <f>'[5]Annex-24'!H39</f>
        <v/>
      </c>
      <c r="I39" s="143" t="str">
        <f>'[5]Annex-24'!I39</f>
        <v/>
      </c>
      <c r="J39" s="142" t="str">
        <f>'[5]Annex-24'!J39</f>
        <v/>
      </c>
      <c r="K39" s="142" t="str">
        <f>'[5]Annex-24'!K39</f>
        <v/>
      </c>
      <c r="L39" s="142" t="str">
        <f>'[5]Annex-24'!L39</f>
        <v/>
      </c>
      <c r="M39" s="142" t="str">
        <f>'[5]Annex-24'!M39</f>
        <v/>
      </c>
      <c r="N39" s="142" t="str">
        <f>'[5]Annex-24'!N39</f>
        <v/>
      </c>
    </row>
    <row r="40" spans="1:14" hidden="1" x14ac:dyDescent="0.3">
      <c r="A40" s="124"/>
      <c r="B40" s="124" t="str">
        <f>IF(B39="","","POOLED")</f>
        <v/>
      </c>
      <c r="C40" s="142" t="str">
        <f>'[5]Annex-24'!C40</f>
        <v/>
      </c>
      <c r="D40" s="142" t="str">
        <f>'[5]Annex-24'!D40</f>
        <v/>
      </c>
      <c r="E40" s="142" t="str">
        <f>'[5]Annex-24'!E40</f>
        <v/>
      </c>
      <c r="F40" s="142" t="str">
        <f>'[5]Annex-24'!F40</f>
        <v/>
      </c>
      <c r="G40" s="142" t="str">
        <f>'[5]Annex-24'!G40</f>
        <v/>
      </c>
      <c r="H40" s="142" t="str">
        <f>'[5]Annex-24'!H40</f>
        <v/>
      </c>
      <c r="I40" s="143" t="str">
        <f>'[5]Annex-24'!I40</f>
        <v/>
      </c>
      <c r="J40" s="142" t="str">
        <f>'[5]Annex-24'!J40</f>
        <v/>
      </c>
      <c r="K40" s="142" t="str">
        <f>'[5]Annex-24'!K40</f>
        <v/>
      </c>
      <c r="L40" s="142" t="str">
        <f>'[5]Annex-24'!L40</f>
        <v/>
      </c>
      <c r="M40" s="142" t="str">
        <f>'[5]Annex-24'!M40</f>
        <v/>
      </c>
      <c r="N40" s="142" t="str">
        <f>'[5]Annex-24'!N40</f>
        <v/>
      </c>
    </row>
    <row r="41" spans="1:14" hidden="1" x14ac:dyDescent="0.3">
      <c r="A41" s="105" t="str">
        <f>IF(B41="","",A37+1)</f>
        <v/>
      </c>
      <c r="B41" s="105" t="str">
        <f>IF('[5]Crops CY'!A$15=0,"",'[5]Crops CY'!A$15)</f>
        <v/>
      </c>
      <c r="C41" s="142"/>
      <c r="D41" s="142"/>
      <c r="E41" s="142"/>
      <c r="F41" s="142"/>
      <c r="G41" s="142"/>
      <c r="H41" s="142"/>
      <c r="I41" s="143"/>
      <c r="J41" s="142"/>
      <c r="K41" s="142"/>
      <c r="L41" s="142"/>
      <c r="M41" s="142"/>
      <c r="N41" s="142"/>
    </row>
    <row r="42" spans="1:14" hidden="1" x14ac:dyDescent="0.3">
      <c r="A42" s="124"/>
      <c r="B42" s="124" t="str">
        <f>IF(B41="","","CENTRAL")</f>
        <v/>
      </c>
      <c r="C42" s="142" t="str">
        <f>'[5]Annex-24'!C42</f>
        <v/>
      </c>
      <c r="D42" s="142" t="str">
        <f>'[5]Annex-24'!D42</f>
        <v/>
      </c>
      <c r="E42" s="142" t="str">
        <f>'[5]Annex-24'!E42</f>
        <v/>
      </c>
      <c r="F42" s="142" t="str">
        <f>'[5]Annex-24'!F42</f>
        <v/>
      </c>
      <c r="G42" s="142" t="str">
        <f>'[5]Annex-24'!G42</f>
        <v/>
      </c>
      <c r="H42" s="142" t="str">
        <f>'[5]Annex-24'!H42</f>
        <v/>
      </c>
      <c r="I42" s="143" t="str">
        <f>'[5]Annex-24'!I42</f>
        <v/>
      </c>
      <c r="J42" s="142" t="str">
        <f>'[5]Annex-24'!J42</f>
        <v/>
      </c>
      <c r="K42" s="142" t="str">
        <f>'[5]Annex-24'!K42</f>
        <v/>
      </c>
      <c r="L42" s="142" t="str">
        <f>'[5]Annex-24'!L42</f>
        <v/>
      </c>
      <c r="M42" s="142" t="str">
        <f>'[5]Annex-24'!M42</f>
        <v/>
      </c>
      <c r="N42" s="142" t="str">
        <f>'[5]Annex-24'!N42</f>
        <v/>
      </c>
    </row>
    <row r="43" spans="1:14" hidden="1" x14ac:dyDescent="0.3">
      <c r="A43" s="124"/>
      <c r="B43" s="124" t="str">
        <f>IF(B42="","","STATE")</f>
        <v/>
      </c>
      <c r="C43" s="142" t="str">
        <f>'[5]Annex-24'!C43</f>
        <v/>
      </c>
      <c r="D43" s="142" t="str">
        <f>'[5]Annex-24'!D43</f>
        <v/>
      </c>
      <c r="E43" s="142" t="str">
        <f>'[5]Annex-24'!E43</f>
        <v/>
      </c>
      <c r="F43" s="142" t="str">
        <f>'[5]Annex-24'!F43</f>
        <v/>
      </c>
      <c r="G43" s="142" t="str">
        <f>'[5]Annex-24'!G43</f>
        <v/>
      </c>
      <c r="H43" s="142" t="str">
        <f>'[5]Annex-24'!H43</f>
        <v/>
      </c>
      <c r="I43" s="143" t="str">
        <f>'[5]Annex-24'!I43</f>
        <v/>
      </c>
      <c r="J43" s="142" t="str">
        <f>'[5]Annex-24'!J43</f>
        <v/>
      </c>
      <c r="K43" s="142" t="str">
        <f>'[5]Annex-24'!K43</f>
        <v/>
      </c>
      <c r="L43" s="142" t="str">
        <f>'[5]Annex-24'!L43</f>
        <v/>
      </c>
      <c r="M43" s="142" t="str">
        <f>'[5]Annex-24'!M43</f>
        <v/>
      </c>
      <c r="N43" s="142" t="str">
        <f>'[5]Annex-24'!N43</f>
        <v/>
      </c>
    </row>
    <row r="44" spans="1:14" hidden="1" x14ac:dyDescent="0.3">
      <c r="A44" s="124"/>
      <c r="B44" s="124" t="str">
        <f>IF(B43="","","POOLED")</f>
        <v/>
      </c>
      <c r="C44" s="142" t="str">
        <f>'[5]Annex-24'!C44</f>
        <v/>
      </c>
      <c r="D44" s="142" t="str">
        <f>'[5]Annex-24'!D44</f>
        <v/>
      </c>
      <c r="E44" s="142" t="str">
        <f>'[5]Annex-24'!E44</f>
        <v/>
      </c>
      <c r="F44" s="142" t="str">
        <f>'[5]Annex-24'!F44</f>
        <v/>
      </c>
      <c r="G44" s="142" t="str">
        <f>'[5]Annex-24'!G44</f>
        <v/>
      </c>
      <c r="H44" s="142" t="str">
        <f>'[5]Annex-24'!H44</f>
        <v/>
      </c>
      <c r="I44" s="143" t="str">
        <f>'[5]Annex-24'!I44</f>
        <v/>
      </c>
      <c r="J44" s="142" t="str">
        <f>'[5]Annex-24'!J44</f>
        <v/>
      </c>
      <c r="K44" s="142" t="str">
        <f>'[5]Annex-24'!K44</f>
        <v/>
      </c>
      <c r="L44" s="142" t="str">
        <f>'[5]Annex-24'!L44</f>
        <v/>
      </c>
      <c r="M44" s="142" t="str">
        <f>'[5]Annex-24'!M44</f>
        <v/>
      </c>
      <c r="N44" s="142" t="str">
        <f>'[5]Annex-24'!N44</f>
        <v/>
      </c>
    </row>
    <row r="45" spans="1:14" hidden="1" x14ac:dyDescent="0.3">
      <c r="A45" s="105" t="str">
        <f>IF(B45="","",A41+1)</f>
        <v/>
      </c>
      <c r="B45" s="105" t="str">
        <f>IF('[5]Crops CY'!A$16=0,"",'[5]Crops CY'!A$16)</f>
        <v/>
      </c>
      <c r="C45" s="142"/>
      <c r="D45" s="142"/>
      <c r="E45" s="142"/>
      <c r="F45" s="142"/>
      <c r="G45" s="142"/>
      <c r="H45" s="142"/>
      <c r="I45" s="143"/>
      <c r="J45" s="142"/>
      <c r="K45" s="142"/>
      <c r="L45" s="142"/>
      <c r="M45" s="142"/>
      <c r="N45" s="142"/>
    </row>
    <row r="46" spans="1:14" hidden="1" x14ac:dyDescent="0.3">
      <c r="A46" s="124"/>
      <c r="B46" s="124" t="str">
        <f>IF(B45="","","CENTRAL")</f>
        <v/>
      </c>
      <c r="C46" s="142" t="str">
        <f>'[5]Annex-24'!C46</f>
        <v/>
      </c>
      <c r="D46" s="142" t="str">
        <f>'[5]Annex-24'!D46</f>
        <v/>
      </c>
      <c r="E46" s="142" t="str">
        <f>'[5]Annex-24'!E46</f>
        <v/>
      </c>
      <c r="F46" s="142" t="str">
        <f>'[5]Annex-24'!F46</f>
        <v/>
      </c>
      <c r="G46" s="142" t="str">
        <f>'[5]Annex-24'!G46</f>
        <v/>
      </c>
      <c r="H46" s="142" t="str">
        <f>'[5]Annex-24'!H46</f>
        <v/>
      </c>
      <c r="I46" s="143" t="str">
        <f>'[5]Annex-24'!I46</f>
        <v/>
      </c>
      <c r="J46" s="142" t="str">
        <f>'[5]Annex-24'!J46</f>
        <v/>
      </c>
      <c r="K46" s="142" t="str">
        <f>'[5]Annex-24'!K46</f>
        <v/>
      </c>
      <c r="L46" s="142" t="str">
        <f>'[5]Annex-24'!L46</f>
        <v/>
      </c>
      <c r="M46" s="142" t="str">
        <f>'[5]Annex-24'!M46</f>
        <v/>
      </c>
      <c r="N46" s="142" t="str">
        <f>'[5]Annex-24'!N46</f>
        <v/>
      </c>
    </row>
    <row r="47" spans="1:14" hidden="1" x14ac:dyDescent="0.3">
      <c r="A47" s="124"/>
      <c r="B47" s="124" t="str">
        <f>IF(B46="","","STATE")</f>
        <v/>
      </c>
      <c r="C47" s="142" t="str">
        <f>'[5]Annex-24'!C47</f>
        <v/>
      </c>
      <c r="D47" s="142" t="str">
        <f>'[5]Annex-24'!D47</f>
        <v/>
      </c>
      <c r="E47" s="142" t="str">
        <f>'[5]Annex-24'!E47</f>
        <v/>
      </c>
      <c r="F47" s="142" t="str">
        <f>'[5]Annex-24'!F47</f>
        <v/>
      </c>
      <c r="G47" s="142" t="str">
        <f>'[5]Annex-24'!G47</f>
        <v/>
      </c>
      <c r="H47" s="142" t="str">
        <f>'[5]Annex-24'!H47</f>
        <v/>
      </c>
      <c r="I47" s="143" t="str">
        <f>'[5]Annex-24'!I47</f>
        <v/>
      </c>
      <c r="J47" s="142" t="str">
        <f>'[5]Annex-24'!J47</f>
        <v/>
      </c>
      <c r="K47" s="142" t="str">
        <f>'[5]Annex-24'!K47</f>
        <v/>
      </c>
      <c r="L47" s="142" t="str">
        <f>'[5]Annex-24'!L47</f>
        <v/>
      </c>
      <c r="M47" s="142" t="str">
        <f>'[5]Annex-24'!M47</f>
        <v/>
      </c>
      <c r="N47" s="142" t="str">
        <f>'[5]Annex-24'!N47</f>
        <v/>
      </c>
    </row>
    <row r="48" spans="1:14" hidden="1" x14ac:dyDescent="0.3">
      <c r="A48" s="124"/>
      <c r="B48" s="124" t="str">
        <f>IF(B47="","","POOLED")</f>
        <v/>
      </c>
      <c r="C48" s="142" t="str">
        <f>'[5]Annex-24'!C48</f>
        <v/>
      </c>
      <c r="D48" s="142" t="str">
        <f>'[5]Annex-24'!D48</f>
        <v/>
      </c>
      <c r="E48" s="142" t="str">
        <f>'[5]Annex-24'!E48</f>
        <v/>
      </c>
      <c r="F48" s="142" t="str">
        <f>'[5]Annex-24'!F48</f>
        <v/>
      </c>
      <c r="G48" s="142" t="str">
        <f>'[5]Annex-24'!G48</f>
        <v/>
      </c>
      <c r="H48" s="142" t="str">
        <f>'[5]Annex-24'!H48</f>
        <v/>
      </c>
      <c r="I48" s="143" t="str">
        <f>'[5]Annex-24'!I48</f>
        <v/>
      </c>
      <c r="J48" s="142" t="str">
        <f>'[5]Annex-24'!J48</f>
        <v/>
      </c>
      <c r="K48" s="142" t="str">
        <f>'[5]Annex-24'!K48</f>
        <v/>
      </c>
      <c r="L48" s="142" t="str">
        <f>'[5]Annex-24'!L48</f>
        <v/>
      </c>
      <c r="M48" s="142" t="str">
        <f>'[5]Annex-24'!M48</f>
        <v/>
      </c>
      <c r="N48" s="142" t="str">
        <f>'[5]Annex-24'!N48</f>
        <v/>
      </c>
    </row>
    <row r="49" spans="1:14" hidden="1" x14ac:dyDescent="0.3">
      <c r="A49" s="105" t="str">
        <f>IF(B49="","",A45+1)</f>
        <v/>
      </c>
      <c r="B49" s="105" t="str">
        <f>IF('[5]Crops CY'!A$17=0,"",'[5]Crops CY'!A$17)</f>
        <v/>
      </c>
      <c r="C49" s="142"/>
      <c r="D49" s="142"/>
      <c r="E49" s="142"/>
      <c r="F49" s="142"/>
      <c r="G49" s="142"/>
      <c r="H49" s="142"/>
      <c r="I49" s="143"/>
      <c r="J49" s="142"/>
      <c r="K49" s="142"/>
      <c r="L49" s="142"/>
      <c r="M49" s="142"/>
      <c r="N49" s="142"/>
    </row>
    <row r="50" spans="1:14" hidden="1" x14ac:dyDescent="0.3">
      <c r="A50" s="124"/>
      <c r="B50" s="124" t="str">
        <f>IF(B49="","","CENTRAL")</f>
        <v/>
      </c>
      <c r="C50" s="142" t="str">
        <f>'[5]Annex-24'!C50</f>
        <v/>
      </c>
      <c r="D50" s="142" t="str">
        <f>'[5]Annex-24'!D50</f>
        <v/>
      </c>
      <c r="E50" s="142" t="str">
        <f>'[5]Annex-24'!E50</f>
        <v/>
      </c>
      <c r="F50" s="142" t="str">
        <f>'[5]Annex-24'!F50</f>
        <v/>
      </c>
      <c r="G50" s="142" t="str">
        <f>'[5]Annex-24'!G50</f>
        <v/>
      </c>
      <c r="H50" s="142" t="str">
        <f>'[5]Annex-24'!H50</f>
        <v/>
      </c>
      <c r="I50" s="143" t="str">
        <f>'[5]Annex-24'!I50</f>
        <v/>
      </c>
      <c r="J50" s="142" t="str">
        <f>'[5]Annex-24'!J50</f>
        <v/>
      </c>
      <c r="K50" s="142" t="str">
        <f>'[5]Annex-24'!K50</f>
        <v/>
      </c>
      <c r="L50" s="142" t="str">
        <f>'[5]Annex-24'!L50</f>
        <v/>
      </c>
      <c r="M50" s="142" t="str">
        <f>'[5]Annex-24'!M50</f>
        <v/>
      </c>
      <c r="N50" s="142" t="str">
        <f>'[5]Annex-24'!N50</f>
        <v/>
      </c>
    </row>
    <row r="51" spans="1:14" hidden="1" x14ac:dyDescent="0.3">
      <c r="A51" s="124"/>
      <c r="B51" s="124" t="str">
        <f>IF(B50="","","STATE")</f>
        <v/>
      </c>
      <c r="C51" s="142" t="str">
        <f>'[5]Annex-24'!C51</f>
        <v/>
      </c>
      <c r="D51" s="142" t="str">
        <f>'[5]Annex-24'!D51</f>
        <v/>
      </c>
      <c r="E51" s="142" t="str">
        <f>'[5]Annex-24'!E51</f>
        <v/>
      </c>
      <c r="F51" s="142" t="str">
        <f>'[5]Annex-24'!F51</f>
        <v/>
      </c>
      <c r="G51" s="142" t="str">
        <f>'[5]Annex-24'!G51</f>
        <v/>
      </c>
      <c r="H51" s="142" t="str">
        <f>'[5]Annex-24'!H51</f>
        <v/>
      </c>
      <c r="I51" s="143" t="str">
        <f>'[5]Annex-24'!I51</f>
        <v/>
      </c>
      <c r="J51" s="142" t="str">
        <f>'[5]Annex-24'!J51</f>
        <v/>
      </c>
      <c r="K51" s="142" t="str">
        <f>'[5]Annex-24'!K51</f>
        <v/>
      </c>
      <c r="L51" s="142" t="str">
        <f>'[5]Annex-24'!L51</f>
        <v/>
      </c>
      <c r="M51" s="142" t="str">
        <f>'[5]Annex-24'!M51</f>
        <v/>
      </c>
      <c r="N51" s="142" t="str">
        <f>'[5]Annex-24'!N51</f>
        <v/>
      </c>
    </row>
    <row r="52" spans="1:14" hidden="1" x14ac:dyDescent="0.3">
      <c r="A52" s="124"/>
      <c r="B52" s="124" t="str">
        <f>IF(B51="","","POOLED")</f>
        <v/>
      </c>
      <c r="C52" s="142" t="str">
        <f>'[5]Annex-24'!C52</f>
        <v/>
      </c>
      <c r="D52" s="142" t="str">
        <f>'[5]Annex-24'!D52</f>
        <v/>
      </c>
      <c r="E52" s="142" t="str">
        <f>'[5]Annex-24'!E52</f>
        <v/>
      </c>
      <c r="F52" s="142" t="str">
        <f>'[5]Annex-24'!F52</f>
        <v/>
      </c>
      <c r="G52" s="142" t="str">
        <f>'[5]Annex-24'!G52</f>
        <v/>
      </c>
      <c r="H52" s="142" t="str">
        <f>'[5]Annex-24'!H52</f>
        <v/>
      </c>
      <c r="I52" s="143" t="str">
        <f>'[5]Annex-24'!I52</f>
        <v/>
      </c>
      <c r="J52" s="142" t="str">
        <f>'[5]Annex-24'!J52</f>
        <v/>
      </c>
      <c r="K52" s="142" t="str">
        <f>'[5]Annex-24'!K52</f>
        <v/>
      </c>
      <c r="L52" s="142" t="str">
        <f>'[5]Annex-24'!L52</f>
        <v/>
      </c>
      <c r="M52" s="142" t="str">
        <f>'[5]Annex-24'!M52</f>
        <v/>
      </c>
      <c r="N52" s="142" t="str">
        <f>'[5]Annex-24'!N52</f>
        <v/>
      </c>
    </row>
    <row r="53" spans="1:14" hidden="1" x14ac:dyDescent="0.3">
      <c r="A53" s="105" t="str">
        <f>IF(B53="","",A49+1)</f>
        <v/>
      </c>
      <c r="B53" s="105" t="str">
        <f>IF('[5]Crops CY'!A$18=0,"",'[5]Crops CY'!A$18)</f>
        <v/>
      </c>
      <c r="C53" s="142"/>
      <c r="D53" s="142"/>
      <c r="E53" s="142"/>
      <c r="F53" s="142"/>
      <c r="G53" s="142"/>
      <c r="H53" s="142"/>
      <c r="I53" s="143"/>
      <c r="J53" s="142"/>
      <c r="K53" s="142"/>
      <c r="L53" s="142"/>
      <c r="M53" s="142"/>
      <c r="N53" s="142"/>
    </row>
    <row r="54" spans="1:14" hidden="1" x14ac:dyDescent="0.3">
      <c r="A54" s="124"/>
      <c r="B54" s="124" t="str">
        <f>IF(B53="","","CENTRAL")</f>
        <v/>
      </c>
      <c r="C54" s="142" t="str">
        <f>'[5]Annex-24'!C54</f>
        <v/>
      </c>
      <c r="D54" s="142" t="str">
        <f>'[5]Annex-24'!D54</f>
        <v/>
      </c>
      <c r="E54" s="142" t="str">
        <f>'[5]Annex-24'!E54</f>
        <v/>
      </c>
      <c r="F54" s="142" t="str">
        <f>'[5]Annex-24'!F54</f>
        <v/>
      </c>
      <c r="G54" s="142" t="str">
        <f>'[5]Annex-24'!G54</f>
        <v/>
      </c>
      <c r="H54" s="142" t="str">
        <f>'[5]Annex-24'!H54</f>
        <v/>
      </c>
      <c r="I54" s="143" t="str">
        <f>'[5]Annex-24'!I54</f>
        <v/>
      </c>
      <c r="J54" s="142" t="str">
        <f>'[5]Annex-24'!J54</f>
        <v/>
      </c>
      <c r="K54" s="142" t="str">
        <f>'[5]Annex-24'!K54</f>
        <v/>
      </c>
      <c r="L54" s="142" t="str">
        <f>'[5]Annex-24'!L54</f>
        <v/>
      </c>
      <c r="M54" s="142" t="str">
        <f>'[5]Annex-24'!M54</f>
        <v/>
      </c>
      <c r="N54" s="142" t="str">
        <f>'[5]Annex-24'!N54</f>
        <v/>
      </c>
    </row>
    <row r="55" spans="1:14" hidden="1" x14ac:dyDescent="0.3">
      <c r="A55" s="124"/>
      <c r="B55" s="124" t="str">
        <f>IF(B54="","","STATE")</f>
        <v/>
      </c>
      <c r="C55" s="142" t="str">
        <f>'[5]Annex-24'!C55</f>
        <v/>
      </c>
      <c r="D55" s="142" t="str">
        <f>'[5]Annex-24'!D55</f>
        <v/>
      </c>
      <c r="E55" s="142" t="str">
        <f>'[5]Annex-24'!E55</f>
        <v/>
      </c>
      <c r="F55" s="142" t="str">
        <f>'[5]Annex-24'!F55</f>
        <v/>
      </c>
      <c r="G55" s="142" t="str">
        <f>'[5]Annex-24'!G55</f>
        <v/>
      </c>
      <c r="H55" s="142" t="str">
        <f>'[5]Annex-24'!H55</f>
        <v/>
      </c>
      <c r="I55" s="143" t="str">
        <f>'[5]Annex-24'!I55</f>
        <v/>
      </c>
      <c r="J55" s="142" t="str">
        <f>'[5]Annex-24'!J55</f>
        <v/>
      </c>
      <c r="K55" s="142" t="str">
        <f>'[5]Annex-24'!K55</f>
        <v/>
      </c>
      <c r="L55" s="142" t="str">
        <f>'[5]Annex-24'!L55</f>
        <v/>
      </c>
      <c r="M55" s="142" t="str">
        <f>'[5]Annex-24'!M55</f>
        <v/>
      </c>
      <c r="N55" s="142" t="str">
        <f>'[5]Annex-24'!N55</f>
        <v/>
      </c>
    </row>
    <row r="56" spans="1:14" hidden="1" x14ac:dyDescent="0.3">
      <c r="A56" s="124"/>
      <c r="B56" s="124" t="str">
        <f>IF(B55="","","POOLED")</f>
        <v/>
      </c>
      <c r="C56" s="142" t="str">
        <f>'[5]Annex-24'!C56</f>
        <v/>
      </c>
      <c r="D56" s="142" t="str">
        <f>'[5]Annex-24'!D56</f>
        <v/>
      </c>
      <c r="E56" s="142" t="str">
        <f>'[5]Annex-24'!E56</f>
        <v/>
      </c>
      <c r="F56" s="142" t="str">
        <f>'[5]Annex-24'!F56</f>
        <v/>
      </c>
      <c r="G56" s="142" t="str">
        <f>'[5]Annex-24'!G56</f>
        <v/>
      </c>
      <c r="H56" s="142" t="str">
        <f>'[5]Annex-24'!H56</f>
        <v/>
      </c>
      <c r="I56" s="143" t="str">
        <f>'[5]Annex-24'!I56</f>
        <v/>
      </c>
      <c r="J56" s="142" t="str">
        <f>'[5]Annex-24'!J56</f>
        <v/>
      </c>
      <c r="K56" s="142" t="str">
        <f>'[5]Annex-24'!K56</f>
        <v/>
      </c>
      <c r="L56" s="142" t="str">
        <f>'[5]Annex-24'!L56</f>
        <v/>
      </c>
      <c r="M56" s="142" t="str">
        <f>'[5]Annex-24'!M56</f>
        <v/>
      </c>
      <c r="N56" s="142" t="str">
        <f>'[5]Annex-24'!N56</f>
        <v/>
      </c>
    </row>
    <row r="57" spans="1:14" hidden="1" x14ac:dyDescent="0.3">
      <c r="A57" s="105" t="str">
        <f>IF(B57="","",A53+1)</f>
        <v/>
      </c>
      <c r="B57" s="105" t="str">
        <f>IF('[5]Crops CY'!A$19=0,"",'[5]Crops CY'!A$19)</f>
        <v/>
      </c>
      <c r="C57" s="142"/>
      <c r="D57" s="142"/>
      <c r="E57" s="142"/>
      <c r="F57" s="142"/>
      <c r="G57" s="142"/>
      <c r="H57" s="142"/>
      <c r="I57" s="143"/>
      <c r="J57" s="142"/>
      <c r="K57" s="142"/>
      <c r="L57" s="142"/>
      <c r="M57" s="142"/>
      <c r="N57" s="142"/>
    </row>
    <row r="58" spans="1:14" hidden="1" x14ac:dyDescent="0.3">
      <c r="A58" s="124"/>
      <c r="B58" s="124" t="str">
        <f>IF(B57="","","CENTRAL")</f>
        <v/>
      </c>
      <c r="C58" s="142" t="str">
        <f>'[5]Annex-24'!C58</f>
        <v/>
      </c>
      <c r="D58" s="142" t="str">
        <f>'[5]Annex-24'!D58</f>
        <v/>
      </c>
      <c r="E58" s="142" t="str">
        <f>'[5]Annex-24'!E58</f>
        <v/>
      </c>
      <c r="F58" s="142" t="str">
        <f>'[5]Annex-24'!F58</f>
        <v/>
      </c>
      <c r="G58" s="142" t="str">
        <f>'[5]Annex-24'!G58</f>
        <v/>
      </c>
      <c r="H58" s="142" t="str">
        <f>'[5]Annex-24'!H58</f>
        <v/>
      </c>
      <c r="I58" s="143" t="str">
        <f>'[5]Annex-24'!I58</f>
        <v/>
      </c>
      <c r="J58" s="142" t="str">
        <f>'[5]Annex-24'!J58</f>
        <v/>
      </c>
      <c r="K58" s="142" t="str">
        <f>'[5]Annex-24'!K58</f>
        <v/>
      </c>
      <c r="L58" s="142" t="str">
        <f>'[5]Annex-24'!L58</f>
        <v/>
      </c>
      <c r="M58" s="142" t="str">
        <f>'[5]Annex-24'!M58</f>
        <v/>
      </c>
      <c r="N58" s="142" t="str">
        <f>'[5]Annex-24'!N58</f>
        <v/>
      </c>
    </row>
    <row r="59" spans="1:14" hidden="1" x14ac:dyDescent="0.3">
      <c r="A59" s="124"/>
      <c r="B59" s="124" t="str">
        <f>IF(B58="","","STATE")</f>
        <v/>
      </c>
      <c r="C59" s="142" t="str">
        <f>'[5]Annex-24'!C59</f>
        <v/>
      </c>
      <c r="D59" s="142" t="str">
        <f>'[5]Annex-24'!D59</f>
        <v/>
      </c>
      <c r="E59" s="142" t="str">
        <f>'[5]Annex-24'!E59</f>
        <v/>
      </c>
      <c r="F59" s="142" t="str">
        <f>'[5]Annex-24'!F59</f>
        <v/>
      </c>
      <c r="G59" s="142" t="str">
        <f>'[5]Annex-24'!G59</f>
        <v/>
      </c>
      <c r="H59" s="142" t="str">
        <f>'[5]Annex-24'!H59</f>
        <v/>
      </c>
      <c r="I59" s="143" t="str">
        <f>'[5]Annex-24'!I59</f>
        <v/>
      </c>
      <c r="J59" s="142" t="str">
        <f>'[5]Annex-24'!J59</f>
        <v/>
      </c>
      <c r="K59" s="142" t="str">
        <f>'[5]Annex-24'!K59</f>
        <v/>
      </c>
      <c r="L59" s="142" t="str">
        <f>'[5]Annex-24'!L59</f>
        <v/>
      </c>
      <c r="M59" s="142" t="str">
        <f>'[5]Annex-24'!M59</f>
        <v/>
      </c>
      <c r="N59" s="142" t="str">
        <f>'[5]Annex-24'!N59</f>
        <v/>
      </c>
    </row>
    <row r="60" spans="1:14" hidden="1" x14ac:dyDescent="0.3">
      <c r="A60" s="124"/>
      <c r="B60" s="124" t="str">
        <f>IF(B59="","","POOLED")</f>
        <v/>
      </c>
      <c r="C60" s="142" t="str">
        <f>'[5]Annex-24'!C60</f>
        <v/>
      </c>
      <c r="D60" s="142" t="str">
        <f>'[5]Annex-24'!D60</f>
        <v/>
      </c>
      <c r="E60" s="142" t="str">
        <f>'[5]Annex-24'!E60</f>
        <v/>
      </c>
      <c r="F60" s="142" t="str">
        <f>'[5]Annex-24'!F60</f>
        <v/>
      </c>
      <c r="G60" s="142" t="str">
        <f>'[5]Annex-24'!G60</f>
        <v/>
      </c>
      <c r="H60" s="142" t="str">
        <f>'[5]Annex-24'!H60</f>
        <v/>
      </c>
      <c r="I60" s="143" t="str">
        <f>'[5]Annex-24'!I60</f>
        <v/>
      </c>
      <c r="J60" s="142" t="str">
        <f>'[5]Annex-24'!J60</f>
        <v/>
      </c>
      <c r="K60" s="142" t="str">
        <f>'[5]Annex-24'!K60</f>
        <v/>
      </c>
      <c r="L60" s="142" t="str">
        <f>'[5]Annex-24'!L60</f>
        <v/>
      </c>
      <c r="M60" s="142" t="str">
        <f>'[5]Annex-24'!M60</f>
        <v/>
      </c>
      <c r="N60" s="142" t="str">
        <f>'[5]Annex-24'!N60</f>
        <v/>
      </c>
    </row>
    <row r="61" spans="1:14" hidden="1" x14ac:dyDescent="0.3">
      <c r="A61" s="105" t="str">
        <f>IF(B61="","",A57+1)</f>
        <v/>
      </c>
      <c r="B61" s="105" t="str">
        <f>IF('[5]Crops CY'!A$20=0,"",'[5]Crops CY'!A$20)</f>
        <v/>
      </c>
      <c r="C61" s="142"/>
      <c r="D61" s="142"/>
      <c r="E61" s="142"/>
      <c r="F61" s="142"/>
      <c r="G61" s="142"/>
      <c r="H61" s="142"/>
      <c r="I61" s="143"/>
      <c r="J61" s="142"/>
      <c r="K61" s="142"/>
      <c r="L61" s="142"/>
      <c r="M61" s="142"/>
      <c r="N61" s="142"/>
    </row>
    <row r="62" spans="1:14" hidden="1" x14ac:dyDescent="0.3">
      <c r="A62" s="124"/>
      <c r="B62" s="124" t="str">
        <f>IF(B61="","","CENTRAL")</f>
        <v/>
      </c>
      <c r="C62" s="142" t="str">
        <f>'[5]Annex-24'!C62</f>
        <v/>
      </c>
      <c r="D62" s="142" t="str">
        <f>'[5]Annex-24'!D62</f>
        <v/>
      </c>
      <c r="E62" s="142" t="str">
        <f>'[5]Annex-24'!E62</f>
        <v/>
      </c>
      <c r="F62" s="142" t="str">
        <f>'[5]Annex-24'!F62</f>
        <v/>
      </c>
      <c r="G62" s="142" t="str">
        <f>'[5]Annex-24'!G62</f>
        <v/>
      </c>
      <c r="H62" s="142" t="str">
        <f>'[5]Annex-24'!H62</f>
        <v/>
      </c>
      <c r="I62" s="143" t="str">
        <f>'[5]Annex-24'!I62</f>
        <v/>
      </c>
      <c r="J62" s="142" t="str">
        <f>'[5]Annex-24'!J62</f>
        <v/>
      </c>
      <c r="K62" s="142" t="str">
        <f>'[5]Annex-24'!K62</f>
        <v/>
      </c>
      <c r="L62" s="142" t="str">
        <f>'[5]Annex-24'!L62</f>
        <v/>
      </c>
      <c r="M62" s="142" t="str">
        <f>'[5]Annex-24'!M62</f>
        <v/>
      </c>
      <c r="N62" s="142" t="str">
        <f>'[5]Annex-24'!N62</f>
        <v/>
      </c>
    </row>
    <row r="63" spans="1:14" hidden="1" x14ac:dyDescent="0.3">
      <c r="A63" s="124"/>
      <c r="B63" s="124" t="str">
        <f>IF(B62="","","STATE")</f>
        <v/>
      </c>
      <c r="C63" s="142" t="str">
        <f>'[5]Annex-24'!C63</f>
        <v/>
      </c>
      <c r="D63" s="142" t="str">
        <f>'[5]Annex-24'!D63</f>
        <v/>
      </c>
      <c r="E63" s="142" t="str">
        <f>'[5]Annex-24'!E63</f>
        <v/>
      </c>
      <c r="F63" s="142" t="str">
        <f>'[5]Annex-24'!F63</f>
        <v/>
      </c>
      <c r="G63" s="142" t="str">
        <f>'[5]Annex-24'!G63</f>
        <v/>
      </c>
      <c r="H63" s="142" t="str">
        <f>'[5]Annex-24'!H63</f>
        <v/>
      </c>
      <c r="I63" s="143" t="str">
        <f>'[5]Annex-24'!I63</f>
        <v/>
      </c>
      <c r="J63" s="142" t="str">
        <f>'[5]Annex-24'!J63</f>
        <v/>
      </c>
      <c r="K63" s="142" t="str">
        <f>'[5]Annex-24'!K63</f>
        <v/>
      </c>
      <c r="L63" s="142" t="str">
        <f>'[5]Annex-24'!L63</f>
        <v/>
      </c>
      <c r="M63" s="142" t="str">
        <f>'[5]Annex-24'!M63</f>
        <v/>
      </c>
      <c r="N63" s="142" t="str">
        <f>'[5]Annex-24'!N63</f>
        <v/>
      </c>
    </row>
    <row r="64" spans="1:14" hidden="1" x14ac:dyDescent="0.3">
      <c r="A64" s="124"/>
      <c r="B64" s="124" t="str">
        <f>IF(B63="","","POOLED")</f>
        <v/>
      </c>
      <c r="C64" s="142" t="str">
        <f>'[5]Annex-24'!C64</f>
        <v/>
      </c>
      <c r="D64" s="142" t="str">
        <f>'[5]Annex-24'!D64</f>
        <v/>
      </c>
      <c r="E64" s="142" t="str">
        <f>'[5]Annex-24'!E64</f>
        <v/>
      </c>
      <c r="F64" s="142" t="str">
        <f>'[5]Annex-24'!F64</f>
        <v/>
      </c>
      <c r="G64" s="142" t="str">
        <f>'[5]Annex-24'!G64</f>
        <v/>
      </c>
      <c r="H64" s="142" t="str">
        <f>'[5]Annex-24'!H64</f>
        <v/>
      </c>
      <c r="I64" s="143" t="str">
        <f>'[5]Annex-24'!I64</f>
        <v/>
      </c>
      <c r="J64" s="142" t="str">
        <f>'[5]Annex-24'!J64</f>
        <v/>
      </c>
      <c r="K64" s="142" t="str">
        <f>'[5]Annex-24'!K64</f>
        <v/>
      </c>
      <c r="L64" s="142" t="str">
        <f>'[5]Annex-24'!L64</f>
        <v/>
      </c>
      <c r="M64" s="142" t="str">
        <f>'[5]Annex-24'!M64</f>
        <v/>
      </c>
      <c r="N64" s="142" t="str">
        <f>'[5]Annex-24'!N64</f>
        <v/>
      </c>
    </row>
    <row r="65" spans="1:14" hidden="1" x14ac:dyDescent="0.3">
      <c r="A65" s="105" t="str">
        <f>IF(B65="","",A61+1)</f>
        <v/>
      </c>
      <c r="B65" s="105" t="str">
        <f>IF('[5]Crops CY'!A$21=0,"",'[5]Crops CY'!A$21)</f>
        <v/>
      </c>
      <c r="C65" s="142"/>
      <c r="D65" s="142"/>
      <c r="E65" s="142"/>
      <c r="F65" s="142"/>
      <c r="G65" s="142"/>
      <c r="H65" s="142"/>
      <c r="I65" s="143"/>
      <c r="J65" s="142"/>
      <c r="K65" s="142"/>
      <c r="L65" s="142"/>
      <c r="M65" s="142"/>
      <c r="N65" s="142"/>
    </row>
    <row r="66" spans="1:14" hidden="1" x14ac:dyDescent="0.3">
      <c r="A66" s="124"/>
      <c r="B66" s="124" t="str">
        <f>IF(B65="","","CENTRAL")</f>
        <v/>
      </c>
      <c r="C66" s="142" t="str">
        <f>'[5]Annex-24'!C66</f>
        <v/>
      </c>
      <c r="D66" s="142" t="str">
        <f>'[5]Annex-24'!D66</f>
        <v/>
      </c>
      <c r="E66" s="142" t="str">
        <f>'[5]Annex-24'!E66</f>
        <v/>
      </c>
      <c r="F66" s="142" t="str">
        <f>'[5]Annex-24'!F66</f>
        <v/>
      </c>
      <c r="G66" s="142" t="str">
        <f>'[5]Annex-24'!G66</f>
        <v/>
      </c>
      <c r="H66" s="142" t="str">
        <f>'[5]Annex-24'!H66</f>
        <v/>
      </c>
      <c r="I66" s="143" t="str">
        <f>'[5]Annex-24'!I66</f>
        <v/>
      </c>
      <c r="J66" s="142" t="str">
        <f>'[5]Annex-24'!J66</f>
        <v/>
      </c>
      <c r="K66" s="142" t="str">
        <f>'[5]Annex-24'!K66</f>
        <v/>
      </c>
      <c r="L66" s="142" t="str">
        <f>'[5]Annex-24'!L66</f>
        <v/>
      </c>
      <c r="M66" s="142" t="str">
        <f>'[5]Annex-24'!M66</f>
        <v/>
      </c>
      <c r="N66" s="142" t="str">
        <f>'[5]Annex-24'!N66</f>
        <v/>
      </c>
    </row>
    <row r="67" spans="1:14" hidden="1" x14ac:dyDescent="0.3">
      <c r="A67" s="124"/>
      <c r="B67" s="124" t="str">
        <f>IF(B66="","","STATE")</f>
        <v/>
      </c>
      <c r="C67" s="142" t="str">
        <f>'[5]Annex-24'!C67</f>
        <v/>
      </c>
      <c r="D67" s="142" t="str">
        <f>'[5]Annex-24'!D67</f>
        <v/>
      </c>
      <c r="E67" s="142" t="str">
        <f>'[5]Annex-24'!E67</f>
        <v/>
      </c>
      <c r="F67" s="142" t="str">
        <f>'[5]Annex-24'!F67</f>
        <v/>
      </c>
      <c r="G67" s="142" t="str">
        <f>'[5]Annex-24'!G67</f>
        <v/>
      </c>
      <c r="H67" s="142" t="str">
        <f>'[5]Annex-24'!H67</f>
        <v/>
      </c>
      <c r="I67" s="143" t="str">
        <f>'[5]Annex-24'!I67</f>
        <v/>
      </c>
      <c r="J67" s="142" t="str">
        <f>'[5]Annex-24'!J67</f>
        <v/>
      </c>
      <c r="K67" s="142" t="str">
        <f>'[5]Annex-24'!K67</f>
        <v/>
      </c>
      <c r="L67" s="142" t="str">
        <f>'[5]Annex-24'!L67</f>
        <v/>
      </c>
      <c r="M67" s="142" t="str">
        <f>'[5]Annex-24'!M67</f>
        <v/>
      </c>
      <c r="N67" s="142" t="str">
        <f>'[5]Annex-24'!N67</f>
        <v/>
      </c>
    </row>
    <row r="68" spans="1:14" hidden="1" x14ac:dyDescent="0.3">
      <c r="A68" s="124"/>
      <c r="B68" s="124" t="str">
        <f>IF(B67="","","POOLED")</f>
        <v/>
      </c>
      <c r="C68" s="142" t="str">
        <f>'[5]Annex-24'!C68</f>
        <v/>
      </c>
      <c r="D68" s="142" t="str">
        <f>'[5]Annex-24'!D68</f>
        <v/>
      </c>
      <c r="E68" s="142" t="str">
        <f>'[5]Annex-24'!E68</f>
        <v/>
      </c>
      <c r="F68" s="142" t="str">
        <f>'[5]Annex-24'!F68</f>
        <v/>
      </c>
      <c r="G68" s="142" t="str">
        <f>'[5]Annex-24'!G68</f>
        <v/>
      </c>
      <c r="H68" s="142" t="str">
        <f>'[5]Annex-24'!H68</f>
        <v/>
      </c>
      <c r="I68" s="143" t="str">
        <f>'[5]Annex-24'!I68</f>
        <v/>
      </c>
      <c r="J68" s="142" t="str">
        <f>'[5]Annex-24'!J68</f>
        <v/>
      </c>
      <c r="K68" s="142" t="str">
        <f>'[5]Annex-24'!K68</f>
        <v/>
      </c>
      <c r="L68" s="142" t="str">
        <f>'[5]Annex-24'!L68</f>
        <v/>
      </c>
      <c r="M68" s="142" t="str">
        <f>'[5]Annex-24'!M68</f>
        <v/>
      </c>
      <c r="N68" s="142" t="str">
        <f>'[5]Annex-24'!N68</f>
        <v/>
      </c>
    </row>
    <row r="69" spans="1:14" hidden="1" x14ac:dyDescent="0.3">
      <c r="A69" s="144" t="s">
        <v>19</v>
      </c>
      <c r="B69" s="105"/>
      <c r="C69" s="142"/>
      <c r="D69" s="142"/>
      <c r="E69" s="142"/>
      <c r="F69" s="142"/>
      <c r="G69" s="142"/>
      <c r="H69" s="142"/>
      <c r="I69" s="143"/>
      <c r="J69" s="142"/>
      <c r="K69" s="142"/>
      <c r="L69" s="142"/>
      <c r="M69" s="142"/>
      <c r="N69" s="142"/>
    </row>
    <row r="70" spans="1:14" ht="21" customHeight="1" x14ac:dyDescent="0.3">
      <c r="A70" s="104" t="str">
        <f>common!$E$3</f>
        <v>RABI II</v>
      </c>
      <c r="B70" s="21"/>
      <c r="C70" s="142"/>
      <c r="D70" s="142"/>
      <c r="E70" s="142"/>
      <c r="F70" s="142"/>
      <c r="G70" s="142"/>
      <c r="H70" s="142"/>
      <c r="I70" s="143"/>
      <c r="J70" s="142"/>
      <c r="K70" s="142"/>
      <c r="L70" s="142"/>
      <c r="M70" s="142"/>
      <c r="N70" s="142"/>
    </row>
    <row r="71" spans="1:14" ht="21" customHeight="1" x14ac:dyDescent="0.3">
      <c r="A71" s="105">
        <f>IF(B71="","",A67+1)</f>
        <v>1</v>
      </c>
      <c r="B71" s="150" t="str">
        <f>IF('[5]Crops CY'!C$7=0,"",'[5]Crops CY'!C$7)</f>
        <v>PADDY</v>
      </c>
      <c r="C71" s="142"/>
      <c r="D71" s="142"/>
      <c r="E71" s="142"/>
      <c r="F71" s="142"/>
      <c r="G71" s="142"/>
      <c r="H71" s="142"/>
      <c r="I71" s="143"/>
      <c r="J71" s="142"/>
      <c r="K71" s="142"/>
      <c r="L71" s="142"/>
      <c r="M71" s="142"/>
      <c r="N71" s="142"/>
    </row>
    <row r="72" spans="1:14" ht="21" customHeight="1" x14ac:dyDescent="0.3">
      <c r="A72" s="124"/>
      <c r="B72" s="124" t="str">
        <f>IF(B71="","","CENTRAL")</f>
        <v>CENTRAL</v>
      </c>
      <c r="C72" s="142" t="str">
        <f>'[5]Annex-24'!C72</f>
        <v>0(  0.0)</v>
      </c>
      <c r="D72" s="142" t="str">
        <f>'[5]Annex-24'!D72</f>
        <v>0(  0.0)</v>
      </c>
      <c r="E72" s="142" t="str">
        <f>'[5]Annex-24'!E72</f>
        <v>0(  0.0)</v>
      </c>
      <c r="F72" s="142" t="str">
        <f>'[5]Annex-24'!F72</f>
        <v>0(  0.0)</v>
      </c>
      <c r="G72" s="142" t="str">
        <f>'[5]Annex-24'!G72</f>
        <v>10(100.0)</v>
      </c>
      <c r="H72" s="142" t="str">
        <f>'[5]Annex-24'!H72</f>
        <v>0(  0.0)</v>
      </c>
      <c r="I72" s="143" t="str">
        <f>'[5]Annex-24'!I72</f>
        <v>2( 20.0)</v>
      </c>
      <c r="J72" s="142" t="str">
        <f>'[5]Annex-24'!J72</f>
        <v>0(  0.0)</v>
      </c>
      <c r="K72" s="142" t="str">
        <f>'[5]Annex-24'!K72</f>
        <v>0(  0.0)</v>
      </c>
      <c r="L72" s="142" t="str">
        <f>'[5]Annex-24'!L72</f>
        <v>0(  0.0)</v>
      </c>
      <c r="M72" s="142" t="str">
        <f>'[5]Annex-24'!M72</f>
        <v>8( 80.0)</v>
      </c>
      <c r="N72" s="142" t="str">
        <f>'[5]Annex-24'!N72</f>
        <v>8( 80.0)</v>
      </c>
    </row>
    <row r="73" spans="1:14" ht="21" customHeight="1" x14ac:dyDescent="0.3">
      <c r="A73" s="124"/>
      <c r="B73" s="124" t="str">
        <f>IF(B72="","","STATE")</f>
        <v>STATE</v>
      </c>
      <c r="C73" s="142" t="str">
        <f>'[5]Annex-24'!C73</f>
        <v>0(  0.0)</v>
      </c>
      <c r="D73" s="142" t="str">
        <f>'[5]Annex-24'!D73</f>
        <v>0(  0.0)</v>
      </c>
      <c r="E73" s="142" t="str">
        <f>'[5]Annex-24'!E73</f>
        <v>0(  0.0)</v>
      </c>
      <c r="F73" s="142" t="str">
        <f>'[5]Annex-24'!F73</f>
        <v>0(  0.0)</v>
      </c>
      <c r="G73" s="142" t="str">
        <f>'[5]Annex-24'!G73</f>
        <v>10(100.0)</v>
      </c>
      <c r="H73" s="142" t="str">
        <f>'[5]Annex-24'!H73</f>
        <v>0(  0.0)</v>
      </c>
      <c r="I73" s="143" t="str">
        <f>'[5]Annex-24'!I73</f>
        <v>0(  0.0)</v>
      </c>
      <c r="J73" s="142" t="str">
        <f>'[5]Annex-24'!J73</f>
        <v>0(  0.0)</v>
      </c>
      <c r="K73" s="142" t="str">
        <f>'[5]Annex-24'!K73</f>
        <v>0(  0.0)</v>
      </c>
      <c r="L73" s="142" t="str">
        <f>'[5]Annex-24'!L73</f>
        <v>0(  0.0)</v>
      </c>
      <c r="M73" s="142" t="str">
        <f>'[5]Annex-24'!M73</f>
        <v>10(100.0)</v>
      </c>
      <c r="N73" s="142" t="str">
        <f>'[5]Annex-24'!N73</f>
        <v>10(100.0)</v>
      </c>
    </row>
    <row r="74" spans="1:14" ht="21" customHeight="1" x14ac:dyDescent="0.3">
      <c r="A74" s="123"/>
      <c r="B74" s="123" t="str">
        <f>IF(B73="","","POOLED")</f>
        <v>POOLED</v>
      </c>
      <c r="C74" s="60" t="str">
        <f>'[5]Annex-24'!C74</f>
        <v>0(  0.0)</v>
      </c>
      <c r="D74" s="60" t="str">
        <f>'[5]Annex-24'!D74</f>
        <v>0(  0.0)</v>
      </c>
      <c r="E74" s="60" t="str">
        <f>'[5]Annex-24'!E74</f>
        <v>0(  0.0)</v>
      </c>
      <c r="F74" s="60" t="str">
        <f>'[5]Annex-24'!F74</f>
        <v>0(  0.0)</v>
      </c>
      <c r="G74" s="60" t="str">
        <f>'[5]Annex-24'!G74</f>
        <v>20(100.0)</v>
      </c>
      <c r="H74" s="60" t="str">
        <f>'[5]Annex-24'!H74</f>
        <v>0(  0.0)</v>
      </c>
      <c r="I74" s="61" t="str">
        <f>'[5]Annex-24'!I74</f>
        <v>2( 10.0)</v>
      </c>
      <c r="J74" s="60" t="str">
        <f>'[5]Annex-24'!J74</f>
        <v>0(  0.0)</v>
      </c>
      <c r="K74" s="60" t="str">
        <f>'[5]Annex-24'!K74</f>
        <v>0(  0.0)</v>
      </c>
      <c r="L74" s="60" t="str">
        <f>'[5]Annex-24'!L74</f>
        <v>0(  0.0)</v>
      </c>
      <c r="M74" s="60" t="str">
        <f>'[5]Annex-24'!M74</f>
        <v>18( 90.0)</v>
      </c>
      <c r="N74" s="60" t="str">
        <f>'[5]Annex-24'!N74</f>
        <v>18( 90.0)</v>
      </c>
    </row>
    <row r="75" spans="1:14" hidden="1" x14ac:dyDescent="0.3">
      <c r="A75" s="105" t="str">
        <f>IF(B75="","",A71+1)</f>
        <v/>
      </c>
      <c r="B75" s="151" t="str">
        <f>IF('[5]Crops CY'!C$8=0,"",'[5]Crops CY'!C$8)</f>
        <v/>
      </c>
      <c r="C75" s="142"/>
      <c r="D75" s="142"/>
      <c r="E75" s="142"/>
      <c r="F75" s="142"/>
      <c r="G75" s="142"/>
      <c r="H75" s="142"/>
      <c r="I75" s="143"/>
      <c r="J75" s="142"/>
      <c r="K75" s="142"/>
      <c r="L75" s="142"/>
      <c r="M75" s="142"/>
      <c r="N75" s="142"/>
    </row>
    <row r="76" spans="1:14" hidden="1" x14ac:dyDescent="0.3">
      <c r="A76" s="124"/>
      <c r="B76" s="124" t="str">
        <f>IF(B75="","","CENTRAL")</f>
        <v/>
      </c>
      <c r="C76" s="142" t="str">
        <f>'[5]Annex-24'!C76</f>
        <v/>
      </c>
      <c r="D76" s="142" t="str">
        <f>'[5]Annex-24'!D76</f>
        <v/>
      </c>
      <c r="E76" s="142" t="str">
        <f>'[5]Annex-24'!E76</f>
        <v/>
      </c>
      <c r="F76" s="142" t="str">
        <f>'[5]Annex-24'!F76</f>
        <v/>
      </c>
      <c r="G76" s="142" t="str">
        <f>'[5]Annex-24'!G76</f>
        <v/>
      </c>
      <c r="H76" s="142" t="str">
        <f>'[5]Annex-24'!H76</f>
        <v/>
      </c>
      <c r="I76" s="143" t="str">
        <f>'[5]Annex-24'!I76</f>
        <v/>
      </c>
      <c r="J76" s="142" t="str">
        <f>'[5]Annex-24'!J76</f>
        <v/>
      </c>
      <c r="K76" s="142" t="str">
        <f>'[5]Annex-24'!K76</f>
        <v/>
      </c>
      <c r="L76" s="142" t="str">
        <f>'[5]Annex-24'!L76</f>
        <v/>
      </c>
      <c r="M76" s="142" t="str">
        <f>'[5]Annex-24'!M76</f>
        <v/>
      </c>
      <c r="N76" s="142" t="str">
        <f>'[5]Annex-24'!N76</f>
        <v/>
      </c>
    </row>
    <row r="77" spans="1:14" hidden="1" x14ac:dyDescent="0.3">
      <c r="A77" s="124"/>
      <c r="B77" s="124" t="str">
        <f>IF(B76="","","STATE")</f>
        <v/>
      </c>
      <c r="C77" s="142" t="str">
        <f>'[5]Annex-24'!C77</f>
        <v/>
      </c>
      <c r="D77" s="142" t="str">
        <f>'[5]Annex-24'!D77</f>
        <v/>
      </c>
      <c r="E77" s="142" t="str">
        <f>'[5]Annex-24'!E77</f>
        <v/>
      </c>
      <c r="F77" s="142" t="str">
        <f>'[5]Annex-24'!F77</f>
        <v/>
      </c>
      <c r="G77" s="142" t="str">
        <f>'[5]Annex-24'!G77</f>
        <v/>
      </c>
      <c r="H77" s="142" t="str">
        <f>'[5]Annex-24'!H77</f>
        <v/>
      </c>
      <c r="I77" s="143" t="str">
        <f>'[5]Annex-24'!I77</f>
        <v/>
      </c>
      <c r="J77" s="142" t="str">
        <f>'[5]Annex-24'!J77</f>
        <v/>
      </c>
      <c r="K77" s="142" t="str">
        <f>'[5]Annex-24'!K77</f>
        <v/>
      </c>
      <c r="L77" s="142" t="str">
        <f>'[5]Annex-24'!L77</f>
        <v/>
      </c>
      <c r="M77" s="142" t="str">
        <f>'[5]Annex-24'!M77</f>
        <v/>
      </c>
      <c r="N77" s="142" t="str">
        <f>'[5]Annex-24'!N77</f>
        <v/>
      </c>
    </row>
    <row r="78" spans="1:14" hidden="1" x14ac:dyDescent="0.3">
      <c r="A78" s="124"/>
      <c r="B78" s="124" t="str">
        <f>IF(B77="","","POOLED")</f>
        <v/>
      </c>
      <c r="C78" s="142" t="str">
        <f>'[5]Annex-24'!C78</f>
        <v/>
      </c>
      <c r="D78" s="142" t="str">
        <f>'[5]Annex-24'!D78</f>
        <v/>
      </c>
      <c r="E78" s="142" t="str">
        <f>'[5]Annex-24'!E78</f>
        <v/>
      </c>
      <c r="F78" s="142" t="str">
        <f>'[5]Annex-24'!F78</f>
        <v/>
      </c>
      <c r="G78" s="142" t="str">
        <f>'[5]Annex-24'!G78</f>
        <v/>
      </c>
      <c r="H78" s="142" t="str">
        <f>'[5]Annex-24'!H78</f>
        <v/>
      </c>
      <c r="I78" s="143" t="str">
        <f>'[5]Annex-24'!I78</f>
        <v/>
      </c>
      <c r="J78" s="142" t="str">
        <f>'[5]Annex-24'!J78</f>
        <v/>
      </c>
      <c r="K78" s="142" t="str">
        <f>'[5]Annex-24'!K78</f>
        <v/>
      </c>
      <c r="L78" s="142" t="str">
        <f>'[5]Annex-24'!L78</f>
        <v/>
      </c>
      <c r="M78" s="142" t="str">
        <f>'[5]Annex-24'!M78</f>
        <v/>
      </c>
      <c r="N78" s="142" t="str">
        <f>'[5]Annex-24'!N78</f>
        <v/>
      </c>
    </row>
    <row r="79" spans="1:14" hidden="1" x14ac:dyDescent="0.3">
      <c r="A79" s="105" t="str">
        <f>IF(B79="","",A75+1)</f>
        <v/>
      </c>
      <c r="B79" s="105" t="str">
        <f>IF('[5]Crops CY'!C$9=0,"",'[5]Crops CY'!C$9)</f>
        <v/>
      </c>
      <c r="C79" s="142"/>
      <c r="D79" s="142"/>
      <c r="E79" s="142"/>
      <c r="F79" s="142"/>
      <c r="G79" s="142"/>
      <c r="H79" s="142"/>
      <c r="I79" s="143"/>
      <c r="J79" s="142"/>
      <c r="K79" s="142"/>
      <c r="L79" s="142"/>
      <c r="M79" s="142"/>
      <c r="N79" s="142"/>
    </row>
    <row r="80" spans="1:14" hidden="1" x14ac:dyDescent="0.3">
      <c r="A80" s="124"/>
      <c r="B80" s="124" t="str">
        <f>IF(B79="","","CENTRAL")</f>
        <v/>
      </c>
      <c r="C80" s="142" t="str">
        <f>'[5]Annex-24'!C80</f>
        <v/>
      </c>
      <c r="D80" s="142" t="str">
        <f>'[5]Annex-24'!D80</f>
        <v/>
      </c>
      <c r="E80" s="142" t="str">
        <f>'[5]Annex-24'!E80</f>
        <v/>
      </c>
      <c r="F80" s="142" t="str">
        <f>'[5]Annex-24'!F80</f>
        <v/>
      </c>
      <c r="G80" s="142" t="str">
        <f>'[5]Annex-24'!G80</f>
        <v/>
      </c>
      <c r="H80" s="142" t="str">
        <f>'[5]Annex-24'!H80</f>
        <v/>
      </c>
      <c r="I80" s="143" t="str">
        <f>'[5]Annex-24'!I80</f>
        <v/>
      </c>
      <c r="J80" s="142" t="str">
        <f>'[5]Annex-24'!J80</f>
        <v/>
      </c>
      <c r="K80" s="142" t="str">
        <f>'[5]Annex-24'!K80</f>
        <v/>
      </c>
      <c r="L80" s="142" t="str">
        <f>'[5]Annex-24'!L80</f>
        <v/>
      </c>
      <c r="M80" s="142" t="str">
        <f>'[5]Annex-24'!M80</f>
        <v/>
      </c>
      <c r="N80" s="142" t="str">
        <f>'[5]Annex-24'!N80</f>
        <v/>
      </c>
    </row>
    <row r="81" spans="1:14" hidden="1" x14ac:dyDescent="0.3">
      <c r="A81" s="124"/>
      <c r="B81" s="124" t="str">
        <f>IF(B80="","","STATE")</f>
        <v/>
      </c>
      <c r="C81" s="142" t="str">
        <f>'[5]Annex-24'!C81</f>
        <v/>
      </c>
      <c r="D81" s="142" t="str">
        <f>'[5]Annex-24'!D81</f>
        <v/>
      </c>
      <c r="E81" s="142" t="str">
        <f>'[5]Annex-24'!E81</f>
        <v/>
      </c>
      <c r="F81" s="142" t="str">
        <f>'[5]Annex-24'!F81</f>
        <v/>
      </c>
      <c r="G81" s="142" t="str">
        <f>'[5]Annex-24'!G81</f>
        <v/>
      </c>
      <c r="H81" s="142" t="str">
        <f>'[5]Annex-24'!H81</f>
        <v/>
      </c>
      <c r="I81" s="143" t="str">
        <f>'[5]Annex-24'!I81</f>
        <v/>
      </c>
      <c r="J81" s="142" t="str">
        <f>'[5]Annex-24'!J81</f>
        <v/>
      </c>
      <c r="K81" s="142" t="str">
        <f>'[5]Annex-24'!K81</f>
        <v/>
      </c>
      <c r="L81" s="142" t="str">
        <f>'[5]Annex-24'!L81</f>
        <v/>
      </c>
      <c r="M81" s="142" t="str">
        <f>'[5]Annex-24'!M81</f>
        <v/>
      </c>
      <c r="N81" s="142" t="str">
        <f>'[5]Annex-24'!N81</f>
        <v/>
      </c>
    </row>
    <row r="82" spans="1:14" hidden="1" x14ac:dyDescent="0.3">
      <c r="A82" s="124"/>
      <c r="B82" s="124" t="str">
        <f>IF(B81="","","POOLED")</f>
        <v/>
      </c>
      <c r="C82" s="142" t="str">
        <f>'[5]Annex-24'!C82</f>
        <v/>
      </c>
      <c r="D82" s="142" t="str">
        <f>'[5]Annex-24'!D82</f>
        <v/>
      </c>
      <c r="E82" s="142" t="str">
        <f>'[5]Annex-24'!E82</f>
        <v/>
      </c>
      <c r="F82" s="142" t="str">
        <f>'[5]Annex-24'!F82</f>
        <v/>
      </c>
      <c r="G82" s="142" t="str">
        <f>'[5]Annex-24'!G82</f>
        <v/>
      </c>
      <c r="H82" s="142" t="str">
        <f>'[5]Annex-24'!H82</f>
        <v/>
      </c>
      <c r="I82" s="143" t="str">
        <f>'[5]Annex-24'!I82</f>
        <v/>
      </c>
      <c r="J82" s="142" t="str">
        <f>'[5]Annex-24'!J82</f>
        <v/>
      </c>
      <c r="K82" s="142" t="str">
        <f>'[5]Annex-24'!K82</f>
        <v/>
      </c>
      <c r="L82" s="142" t="str">
        <f>'[5]Annex-24'!L82</f>
        <v/>
      </c>
      <c r="M82" s="142" t="str">
        <f>'[5]Annex-24'!M82</f>
        <v/>
      </c>
      <c r="N82" s="142" t="str">
        <f>'[5]Annex-24'!N82</f>
        <v/>
      </c>
    </row>
    <row r="83" spans="1:14" hidden="1" x14ac:dyDescent="0.3">
      <c r="A83" s="105" t="str">
        <f>IF(B83="","",A79+1)</f>
        <v/>
      </c>
      <c r="B83" s="105" t="str">
        <f>IF('[5]Crops CY'!C$10=0,"",'[5]Crops CY'!C$10)</f>
        <v/>
      </c>
      <c r="C83" s="142"/>
      <c r="D83" s="142"/>
      <c r="E83" s="142"/>
      <c r="F83" s="142"/>
      <c r="G83" s="142"/>
      <c r="H83" s="142"/>
      <c r="I83" s="143"/>
      <c r="J83" s="142"/>
      <c r="K83" s="142"/>
      <c r="L83" s="142"/>
      <c r="M83" s="142"/>
      <c r="N83" s="142"/>
    </row>
    <row r="84" spans="1:14" hidden="1" x14ac:dyDescent="0.3">
      <c r="A84" s="124"/>
      <c r="B84" s="124" t="str">
        <f>IF(B83="","","CENTRAL")</f>
        <v/>
      </c>
      <c r="C84" s="142" t="str">
        <f>'[5]Annex-24'!C84</f>
        <v/>
      </c>
      <c r="D84" s="142" t="str">
        <f>'[5]Annex-24'!D84</f>
        <v/>
      </c>
      <c r="E84" s="142" t="str">
        <f>'[5]Annex-24'!E84</f>
        <v/>
      </c>
      <c r="F84" s="142" t="str">
        <f>'[5]Annex-24'!F84</f>
        <v/>
      </c>
      <c r="G84" s="142" t="str">
        <f>'[5]Annex-24'!G84</f>
        <v/>
      </c>
      <c r="H84" s="142" t="str">
        <f>'[5]Annex-24'!H84</f>
        <v/>
      </c>
      <c r="I84" s="143" t="str">
        <f>'[5]Annex-24'!I84</f>
        <v/>
      </c>
      <c r="J84" s="142" t="str">
        <f>'[5]Annex-24'!J84</f>
        <v/>
      </c>
      <c r="K84" s="142" t="str">
        <f>'[5]Annex-24'!K84</f>
        <v/>
      </c>
      <c r="L84" s="142" t="str">
        <f>'[5]Annex-24'!L84</f>
        <v/>
      </c>
      <c r="M84" s="142" t="str">
        <f>'[5]Annex-24'!M84</f>
        <v/>
      </c>
      <c r="N84" s="142" t="str">
        <f>'[5]Annex-24'!N84</f>
        <v/>
      </c>
    </row>
    <row r="85" spans="1:14" hidden="1" x14ac:dyDescent="0.3">
      <c r="A85" s="124"/>
      <c r="B85" s="124" t="str">
        <f>IF(B84="","","STATE")</f>
        <v/>
      </c>
      <c r="C85" s="142" t="str">
        <f>'[5]Annex-24'!C85</f>
        <v/>
      </c>
      <c r="D85" s="142" t="str">
        <f>'[5]Annex-24'!D85</f>
        <v/>
      </c>
      <c r="E85" s="142" t="str">
        <f>'[5]Annex-24'!E85</f>
        <v/>
      </c>
      <c r="F85" s="142" t="str">
        <f>'[5]Annex-24'!F85</f>
        <v/>
      </c>
      <c r="G85" s="142" t="str">
        <f>'[5]Annex-24'!G85</f>
        <v/>
      </c>
      <c r="H85" s="142" t="str">
        <f>'[5]Annex-24'!H85</f>
        <v/>
      </c>
      <c r="I85" s="143" t="str">
        <f>'[5]Annex-24'!I85</f>
        <v/>
      </c>
      <c r="J85" s="142" t="str">
        <f>'[5]Annex-24'!J85</f>
        <v/>
      </c>
      <c r="K85" s="142" t="str">
        <f>'[5]Annex-24'!K85</f>
        <v/>
      </c>
      <c r="L85" s="142" t="str">
        <f>'[5]Annex-24'!L85</f>
        <v/>
      </c>
      <c r="M85" s="142" t="str">
        <f>'[5]Annex-24'!M85</f>
        <v/>
      </c>
      <c r="N85" s="142" t="str">
        <f>'[5]Annex-24'!N85</f>
        <v/>
      </c>
    </row>
    <row r="86" spans="1:14" hidden="1" x14ac:dyDescent="0.3">
      <c r="A86" s="124"/>
      <c r="B86" s="124" t="str">
        <f>IF(B85="","","POOLED")</f>
        <v/>
      </c>
      <c r="C86" s="142" t="str">
        <f>'[5]Annex-24'!C86</f>
        <v/>
      </c>
      <c r="D86" s="142" t="str">
        <f>'[5]Annex-24'!D86</f>
        <v/>
      </c>
      <c r="E86" s="142" t="str">
        <f>'[5]Annex-24'!E86</f>
        <v/>
      </c>
      <c r="F86" s="142" t="str">
        <f>'[5]Annex-24'!F86</f>
        <v/>
      </c>
      <c r="G86" s="142" t="str">
        <f>'[5]Annex-24'!G86</f>
        <v/>
      </c>
      <c r="H86" s="142" t="str">
        <f>'[5]Annex-24'!H86</f>
        <v/>
      </c>
      <c r="I86" s="143" t="str">
        <f>'[5]Annex-24'!I86</f>
        <v/>
      </c>
      <c r="J86" s="142" t="str">
        <f>'[5]Annex-24'!J86</f>
        <v/>
      </c>
      <c r="K86" s="142" t="str">
        <f>'[5]Annex-24'!K86</f>
        <v/>
      </c>
      <c r="L86" s="142" t="str">
        <f>'[5]Annex-24'!L86</f>
        <v/>
      </c>
      <c r="M86" s="142" t="str">
        <f>'[5]Annex-24'!M86</f>
        <v/>
      </c>
      <c r="N86" s="142" t="str">
        <f>'[5]Annex-24'!N86</f>
        <v/>
      </c>
    </row>
    <row r="87" spans="1:14" hidden="1" x14ac:dyDescent="0.3">
      <c r="A87" s="105" t="str">
        <f>IF(B87="","",A83+1)</f>
        <v/>
      </c>
      <c r="B87" s="105" t="str">
        <f>IF('[5]Crops CY'!C$11=0,"",'[5]Crops CY'!C$11)</f>
        <v/>
      </c>
      <c r="C87" s="142"/>
      <c r="D87" s="142"/>
      <c r="E87" s="142"/>
      <c r="F87" s="142"/>
      <c r="G87" s="142"/>
      <c r="H87" s="142"/>
      <c r="I87" s="143"/>
      <c r="J87" s="142"/>
      <c r="K87" s="142"/>
      <c r="L87" s="142"/>
      <c r="M87" s="142"/>
      <c r="N87" s="142"/>
    </row>
    <row r="88" spans="1:14" hidden="1" x14ac:dyDescent="0.3">
      <c r="A88" s="124"/>
      <c r="B88" s="124" t="str">
        <f>IF(B87="","","CENTRAL")</f>
        <v/>
      </c>
      <c r="C88" s="142" t="str">
        <f>'[5]Annex-24'!C88</f>
        <v/>
      </c>
      <c r="D88" s="142" t="str">
        <f>'[5]Annex-24'!D88</f>
        <v/>
      </c>
      <c r="E88" s="142" t="str">
        <f>'[5]Annex-24'!E88</f>
        <v/>
      </c>
      <c r="F88" s="142" t="str">
        <f>'[5]Annex-24'!F88</f>
        <v/>
      </c>
      <c r="G88" s="142" t="str">
        <f>'[5]Annex-24'!G88</f>
        <v/>
      </c>
      <c r="H88" s="142" t="str">
        <f>'[5]Annex-24'!H88</f>
        <v/>
      </c>
      <c r="I88" s="143" t="str">
        <f>'[5]Annex-24'!I88</f>
        <v/>
      </c>
      <c r="J88" s="142" t="str">
        <f>'[5]Annex-24'!J88</f>
        <v/>
      </c>
      <c r="K88" s="142" t="str">
        <f>'[5]Annex-24'!K88</f>
        <v/>
      </c>
      <c r="L88" s="142" t="str">
        <f>'[5]Annex-24'!L88</f>
        <v/>
      </c>
      <c r="M88" s="142" t="str">
        <f>'[5]Annex-24'!M88</f>
        <v/>
      </c>
      <c r="N88" s="142" t="str">
        <f>'[5]Annex-24'!N88</f>
        <v/>
      </c>
    </row>
    <row r="89" spans="1:14" hidden="1" x14ac:dyDescent="0.3">
      <c r="A89" s="124"/>
      <c r="B89" s="124" t="str">
        <f>IF(B88="","","STATE")</f>
        <v/>
      </c>
      <c r="C89" s="142" t="str">
        <f>'[5]Annex-24'!C89</f>
        <v/>
      </c>
      <c r="D89" s="142" t="str">
        <f>'[5]Annex-24'!D89</f>
        <v/>
      </c>
      <c r="E89" s="142" t="str">
        <f>'[5]Annex-24'!E89</f>
        <v/>
      </c>
      <c r="F89" s="142" t="str">
        <f>'[5]Annex-24'!F89</f>
        <v/>
      </c>
      <c r="G89" s="142" t="str">
        <f>'[5]Annex-24'!G89</f>
        <v/>
      </c>
      <c r="H89" s="142" t="str">
        <f>'[5]Annex-24'!H89</f>
        <v/>
      </c>
      <c r="I89" s="143" t="str">
        <f>'[5]Annex-24'!I89</f>
        <v/>
      </c>
      <c r="J89" s="142" t="str">
        <f>'[5]Annex-24'!J89</f>
        <v/>
      </c>
      <c r="K89" s="142" t="str">
        <f>'[5]Annex-24'!K89</f>
        <v/>
      </c>
      <c r="L89" s="142" t="str">
        <f>'[5]Annex-24'!L89</f>
        <v/>
      </c>
      <c r="M89" s="142" t="str">
        <f>'[5]Annex-24'!M89</f>
        <v/>
      </c>
      <c r="N89" s="142" t="str">
        <f>'[5]Annex-24'!N89</f>
        <v/>
      </c>
    </row>
    <row r="90" spans="1:14" hidden="1" x14ac:dyDescent="0.3">
      <c r="A90" s="124"/>
      <c r="B90" s="124" t="str">
        <f>IF(B89="","","POOLED")</f>
        <v/>
      </c>
      <c r="C90" s="142" t="str">
        <f>'[5]Annex-24'!C90</f>
        <v/>
      </c>
      <c r="D90" s="142" t="str">
        <f>'[5]Annex-24'!D90</f>
        <v/>
      </c>
      <c r="E90" s="142" t="str">
        <f>'[5]Annex-24'!E90</f>
        <v/>
      </c>
      <c r="F90" s="142" t="str">
        <f>'[5]Annex-24'!F90</f>
        <v/>
      </c>
      <c r="G90" s="142" t="str">
        <f>'[5]Annex-24'!G90</f>
        <v/>
      </c>
      <c r="H90" s="142" t="str">
        <f>'[5]Annex-24'!H90</f>
        <v/>
      </c>
      <c r="I90" s="143" t="str">
        <f>'[5]Annex-24'!I90</f>
        <v/>
      </c>
      <c r="J90" s="142" t="str">
        <f>'[5]Annex-24'!J90</f>
        <v/>
      </c>
      <c r="K90" s="142" t="str">
        <f>'[5]Annex-24'!K90</f>
        <v/>
      </c>
      <c r="L90" s="142" t="str">
        <f>'[5]Annex-24'!L90</f>
        <v/>
      </c>
      <c r="M90" s="142" t="str">
        <f>'[5]Annex-24'!M90</f>
        <v/>
      </c>
      <c r="N90" s="142" t="str">
        <f>'[5]Annex-24'!N90</f>
        <v/>
      </c>
    </row>
    <row r="91" spans="1:14" hidden="1" x14ac:dyDescent="0.3">
      <c r="A91" s="105" t="str">
        <f>IF(B91="","",A87+1)</f>
        <v/>
      </c>
      <c r="B91" s="105" t="str">
        <f>IF('[5]Crops CY'!C$12=0,"",'[5]Crops CY'!C$12)</f>
        <v/>
      </c>
      <c r="C91" s="142"/>
      <c r="D91" s="142"/>
      <c r="E91" s="142"/>
      <c r="F91" s="142"/>
      <c r="G91" s="142"/>
      <c r="H91" s="142"/>
      <c r="I91" s="143"/>
      <c r="J91" s="142"/>
      <c r="K91" s="142"/>
      <c r="L91" s="142"/>
      <c r="M91" s="142"/>
      <c r="N91" s="142"/>
    </row>
    <row r="92" spans="1:14" hidden="1" x14ac:dyDescent="0.3">
      <c r="A92" s="124"/>
      <c r="B92" s="124" t="str">
        <f>IF(B91="","","CENTRAL")</f>
        <v/>
      </c>
      <c r="C92" s="142" t="str">
        <f>'[5]Annex-24'!C92</f>
        <v/>
      </c>
      <c r="D92" s="142" t="str">
        <f>'[5]Annex-24'!D92</f>
        <v/>
      </c>
      <c r="E92" s="142" t="str">
        <f>'[5]Annex-24'!E92</f>
        <v/>
      </c>
      <c r="F92" s="142" t="str">
        <f>'[5]Annex-24'!F92</f>
        <v/>
      </c>
      <c r="G92" s="142" t="str">
        <f>'[5]Annex-24'!G92</f>
        <v/>
      </c>
      <c r="H92" s="142" t="str">
        <f>'[5]Annex-24'!H92</f>
        <v/>
      </c>
      <c r="I92" s="143" t="str">
        <f>'[5]Annex-24'!I92</f>
        <v/>
      </c>
      <c r="J92" s="142" t="str">
        <f>'[5]Annex-24'!J92</f>
        <v/>
      </c>
      <c r="K92" s="142" t="str">
        <f>'[5]Annex-24'!K92</f>
        <v/>
      </c>
      <c r="L92" s="142" t="str">
        <f>'[5]Annex-24'!L92</f>
        <v/>
      </c>
      <c r="M92" s="142" t="str">
        <f>'[5]Annex-24'!M92</f>
        <v/>
      </c>
      <c r="N92" s="142" t="str">
        <f>'[5]Annex-24'!N92</f>
        <v/>
      </c>
    </row>
    <row r="93" spans="1:14" hidden="1" x14ac:dyDescent="0.3">
      <c r="A93" s="124"/>
      <c r="B93" s="124" t="str">
        <f>IF(B92="","","STATE")</f>
        <v/>
      </c>
      <c r="C93" s="142" t="str">
        <f>'[5]Annex-24'!C93</f>
        <v/>
      </c>
      <c r="D93" s="142" t="str">
        <f>'[5]Annex-24'!D93</f>
        <v/>
      </c>
      <c r="E93" s="142" t="str">
        <f>'[5]Annex-24'!E93</f>
        <v/>
      </c>
      <c r="F93" s="142" t="str">
        <f>'[5]Annex-24'!F93</f>
        <v/>
      </c>
      <c r="G93" s="142" t="str">
        <f>'[5]Annex-24'!G93</f>
        <v/>
      </c>
      <c r="H93" s="142" t="str">
        <f>'[5]Annex-24'!H93</f>
        <v/>
      </c>
      <c r="I93" s="143" t="str">
        <f>'[5]Annex-24'!I93</f>
        <v/>
      </c>
      <c r="J93" s="142" t="str">
        <f>'[5]Annex-24'!J93</f>
        <v/>
      </c>
      <c r="K93" s="142" t="str">
        <f>'[5]Annex-24'!K93</f>
        <v/>
      </c>
      <c r="L93" s="142" t="str">
        <f>'[5]Annex-24'!L93</f>
        <v/>
      </c>
      <c r="M93" s="142" t="str">
        <f>'[5]Annex-24'!M93</f>
        <v/>
      </c>
      <c r="N93" s="142" t="str">
        <f>'[5]Annex-24'!N93</f>
        <v/>
      </c>
    </row>
    <row r="94" spans="1:14" hidden="1" x14ac:dyDescent="0.3">
      <c r="A94" s="124"/>
      <c r="B94" s="124" t="str">
        <f>IF(B93="","","POOLED")</f>
        <v/>
      </c>
      <c r="C94" s="142" t="str">
        <f>'[5]Annex-24'!C94</f>
        <v/>
      </c>
      <c r="D94" s="142" t="str">
        <f>'[5]Annex-24'!D94</f>
        <v/>
      </c>
      <c r="E94" s="142" t="str">
        <f>'[5]Annex-24'!E94</f>
        <v/>
      </c>
      <c r="F94" s="142" t="str">
        <f>'[5]Annex-24'!F94</f>
        <v/>
      </c>
      <c r="G94" s="142" t="str">
        <f>'[5]Annex-24'!G94</f>
        <v/>
      </c>
      <c r="H94" s="142" t="str">
        <f>'[5]Annex-24'!H94</f>
        <v/>
      </c>
      <c r="I94" s="143" t="str">
        <f>'[5]Annex-24'!I94</f>
        <v/>
      </c>
      <c r="J94" s="142" t="str">
        <f>'[5]Annex-24'!J94</f>
        <v/>
      </c>
      <c r="K94" s="142" t="str">
        <f>'[5]Annex-24'!K94</f>
        <v/>
      </c>
      <c r="L94" s="142" t="str">
        <f>'[5]Annex-24'!L94</f>
        <v/>
      </c>
      <c r="M94" s="142" t="str">
        <f>'[5]Annex-24'!M94</f>
        <v/>
      </c>
      <c r="N94" s="142" t="str">
        <f>'[5]Annex-24'!N94</f>
        <v/>
      </c>
    </row>
    <row r="95" spans="1:14" hidden="1" x14ac:dyDescent="0.3">
      <c r="A95" s="105" t="str">
        <f>IF(B95="","",A91+1)</f>
        <v/>
      </c>
      <c r="B95" s="105" t="str">
        <f>IF('[5]Crops CY'!C$13=0,"",'[5]Crops CY'!C$13)</f>
        <v/>
      </c>
      <c r="C95" s="142"/>
      <c r="D95" s="142"/>
      <c r="E95" s="142"/>
      <c r="F95" s="142"/>
      <c r="G95" s="142"/>
      <c r="H95" s="142"/>
      <c r="I95" s="143"/>
      <c r="J95" s="142"/>
      <c r="K95" s="142"/>
      <c r="L95" s="142"/>
      <c r="M95" s="142"/>
      <c r="N95" s="142"/>
    </row>
    <row r="96" spans="1:14" hidden="1" x14ac:dyDescent="0.3">
      <c r="A96" s="124"/>
      <c r="B96" s="124" t="str">
        <f>IF(B95="","","CENTRAL")</f>
        <v/>
      </c>
      <c r="C96" s="142" t="str">
        <f>'[5]Annex-24'!C96</f>
        <v/>
      </c>
      <c r="D96" s="142" t="str">
        <f>'[5]Annex-24'!D96</f>
        <v/>
      </c>
      <c r="E96" s="142" t="str">
        <f>'[5]Annex-24'!E96</f>
        <v/>
      </c>
      <c r="F96" s="142" t="str">
        <f>'[5]Annex-24'!F96</f>
        <v/>
      </c>
      <c r="G96" s="142" t="str">
        <f>'[5]Annex-24'!G96</f>
        <v/>
      </c>
      <c r="H96" s="142" t="str">
        <f>'[5]Annex-24'!H96</f>
        <v/>
      </c>
      <c r="I96" s="143" t="str">
        <f>'[5]Annex-24'!I96</f>
        <v/>
      </c>
      <c r="J96" s="142" t="str">
        <f>'[5]Annex-24'!J96</f>
        <v/>
      </c>
      <c r="K96" s="142" t="str">
        <f>'[5]Annex-24'!K96</f>
        <v/>
      </c>
      <c r="L96" s="142" t="str">
        <f>'[5]Annex-24'!L96</f>
        <v/>
      </c>
      <c r="M96" s="142" t="str">
        <f>'[5]Annex-24'!M96</f>
        <v/>
      </c>
      <c r="N96" s="142" t="str">
        <f>'[5]Annex-24'!N96</f>
        <v/>
      </c>
    </row>
    <row r="97" spans="1:14" hidden="1" x14ac:dyDescent="0.3">
      <c r="A97" s="124"/>
      <c r="B97" s="124" t="str">
        <f>IF(B96="","","STATE")</f>
        <v/>
      </c>
      <c r="C97" s="142" t="str">
        <f>'[5]Annex-24'!C97</f>
        <v/>
      </c>
      <c r="D97" s="142" t="str">
        <f>'[5]Annex-24'!D97</f>
        <v/>
      </c>
      <c r="E97" s="142" t="str">
        <f>'[5]Annex-24'!E97</f>
        <v/>
      </c>
      <c r="F97" s="142" t="str">
        <f>'[5]Annex-24'!F97</f>
        <v/>
      </c>
      <c r="G97" s="142" t="str">
        <f>'[5]Annex-24'!G97</f>
        <v/>
      </c>
      <c r="H97" s="142" t="str">
        <f>'[5]Annex-24'!H97</f>
        <v/>
      </c>
      <c r="I97" s="143" t="str">
        <f>'[5]Annex-24'!I97</f>
        <v/>
      </c>
      <c r="J97" s="142" t="str">
        <f>'[5]Annex-24'!J97</f>
        <v/>
      </c>
      <c r="K97" s="142" t="str">
        <f>'[5]Annex-24'!K97</f>
        <v/>
      </c>
      <c r="L97" s="142" t="str">
        <f>'[5]Annex-24'!L97</f>
        <v/>
      </c>
      <c r="M97" s="142" t="str">
        <f>'[5]Annex-24'!M97</f>
        <v/>
      </c>
      <c r="N97" s="142" t="str">
        <f>'[5]Annex-24'!N97</f>
        <v/>
      </c>
    </row>
    <row r="98" spans="1:14" hidden="1" x14ac:dyDescent="0.3">
      <c r="A98" s="124"/>
      <c r="B98" s="124" t="str">
        <f>IF(B97="","","POOLED")</f>
        <v/>
      </c>
      <c r="C98" s="142" t="str">
        <f>'[5]Annex-24'!C98</f>
        <v/>
      </c>
      <c r="D98" s="142" t="str">
        <f>'[5]Annex-24'!D98</f>
        <v/>
      </c>
      <c r="E98" s="142" t="str">
        <f>'[5]Annex-24'!E98</f>
        <v/>
      </c>
      <c r="F98" s="142" t="str">
        <f>'[5]Annex-24'!F98</f>
        <v/>
      </c>
      <c r="G98" s="142" t="str">
        <f>'[5]Annex-24'!G98</f>
        <v/>
      </c>
      <c r="H98" s="142" t="str">
        <f>'[5]Annex-24'!H98</f>
        <v/>
      </c>
      <c r="I98" s="143" t="str">
        <f>'[5]Annex-24'!I98</f>
        <v/>
      </c>
      <c r="J98" s="142" t="str">
        <f>'[5]Annex-24'!J98</f>
        <v/>
      </c>
      <c r="K98" s="142" t="str">
        <f>'[5]Annex-24'!K98</f>
        <v/>
      </c>
      <c r="L98" s="142" t="str">
        <f>'[5]Annex-24'!L98</f>
        <v/>
      </c>
      <c r="M98" s="142" t="str">
        <f>'[5]Annex-24'!M98</f>
        <v/>
      </c>
      <c r="N98" s="142" t="str">
        <f>'[5]Annex-24'!N98</f>
        <v/>
      </c>
    </row>
    <row r="99" spans="1:14" hidden="1" x14ac:dyDescent="0.3">
      <c r="A99" s="105" t="str">
        <f>IF(B99="","",A95+1)</f>
        <v/>
      </c>
      <c r="B99" s="105" t="str">
        <f>IF('[5]Crops CY'!C$14=0,"",'[5]Crops CY'!C$14)</f>
        <v/>
      </c>
      <c r="C99" s="142"/>
      <c r="D99" s="142"/>
      <c r="E99" s="142"/>
      <c r="F99" s="142"/>
      <c r="G99" s="142"/>
      <c r="H99" s="142"/>
      <c r="I99" s="143"/>
      <c r="J99" s="142"/>
      <c r="K99" s="142"/>
      <c r="L99" s="142"/>
      <c r="M99" s="142"/>
      <c r="N99" s="142"/>
    </row>
    <row r="100" spans="1:14" hidden="1" x14ac:dyDescent="0.3">
      <c r="A100" s="124"/>
      <c r="B100" s="124" t="str">
        <f>IF(B99="","","CENTRAL")</f>
        <v/>
      </c>
      <c r="C100" s="142" t="str">
        <f>'[5]Annex-24'!C100</f>
        <v/>
      </c>
      <c r="D100" s="142" t="str">
        <f>'[5]Annex-24'!D100</f>
        <v/>
      </c>
      <c r="E100" s="142" t="str">
        <f>'[5]Annex-24'!E100</f>
        <v/>
      </c>
      <c r="F100" s="142" t="str">
        <f>'[5]Annex-24'!F100</f>
        <v/>
      </c>
      <c r="G100" s="142" t="str">
        <f>'[5]Annex-24'!G100</f>
        <v/>
      </c>
      <c r="H100" s="142" t="str">
        <f>'[5]Annex-24'!H100</f>
        <v/>
      </c>
      <c r="I100" s="143" t="str">
        <f>'[5]Annex-24'!I100</f>
        <v/>
      </c>
      <c r="J100" s="142" t="str">
        <f>'[5]Annex-24'!J100</f>
        <v/>
      </c>
      <c r="K100" s="142" t="str">
        <f>'[5]Annex-24'!K100</f>
        <v/>
      </c>
      <c r="L100" s="142" t="str">
        <f>'[5]Annex-24'!L100</f>
        <v/>
      </c>
      <c r="M100" s="142" t="str">
        <f>'[5]Annex-24'!M100</f>
        <v/>
      </c>
      <c r="N100" s="142" t="str">
        <f>'[5]Annex-24'!N100</f>
        <v/>
      </c>
    </row>
    <row r="101" spans="1:14" hidden="1" x14ac:dyDescent="0.3">
      <c r="A101" s="124"/>
      <c r="B101" s="124" t="str">
        <f>IF(B100="","","STATE")</f>
        <v/>
      </c>
      <c r="C101" s="142" t="str">
        <f>'[5]Annex-24'!C101</f>
        <v/>
      </c>
      <c r="D101" s="142" t="str">
        <f>'[5]Annex-24'!D101</f>
        <v/>
      </c>
      <c r="E101" s="142" t="str">
        <f>'[5]Annex-24'!E101</f>
        <v/>
      </c>
      <c r="F101" s="142" t="str">
        <f>'[5]Annex-24'!F101</f>
        <v/>
      </c>
      <c r="G101" s="142" t="str">
        <f>'[5]Annex-24'!G101</f>
        <v/>
      </c>
      <c r="H101" s="142" t="str">
        <f>'[5]Annex-24'!H101</f>
        <v/>
      </c>
      <c r="I101" s="143" t="str">
        <f>'[5]Annex-24'!I101</f>
        <v/>
      </c>
      <c r="J101" s="142" t="str">
        <f>'[5]Annex-24'!J101</f>
        <v/>
      </c>
      <c r="K101" s="142" t="str">
        <f>'[5]Annex-24'!K101</f>
        <v/>
      </c>
      <c r="L101" s="142" t="str">
        <f>'[5]Annex-24'!L101</f>
        <v/>
      </c>
      <c r="M101" s="142" t="str">
        <f>'[5]Annex-24'!M101</f>
        <v/>
      </c>
      <c r="N101" s="142" t="str">
        <f>'[5]Annex-24'!N101</f>
        <v/>
      </c>
    </row>
    <row r="102" spans="1:14" hidden="1" x14ac:dyDescent="0.3">
      <c r="A102" s="124"/>
      <c r="B102" s="124" t="str">
        <f>IF(B101="","","POOLED")</f>
        <v/>
      </c>
      <c r="C102" s="142" t="str">
        <f>'[5]Annex-24'!C102</f>
        <v/>
      </c>
      <c r="D102" s="142" t="str">
        <f>'[5]Annex-24'!D102</f>
        <v/>
      </c>
      <c r="E102" s="142" t="str">
        <f>'[5]Annex-24'!E102</f>
        <v/>
      </c>
      <c r="F102" s="142" t="str">
        <f>'[5]Annex-24'!F102</f>
        <v/>
      </c>
      <c r="G102" s="142" t="str">
        <f>'[5]Annex-24'!G102</f>
        <v/>
      </c>
      <c r="H102" s="142" t="str">
        <f>'[5]Annex-24'!H102</f>
        <v/>
      </c>
      <c r="I102" s="143" t="str">
        <f>'[5]Annex-24'!I102</f>
        <v/>
      </c>
      <c r="J102" s="142" t="str">
        <f>'[5]Annex-24'!J102</f>
        <v/>
      </c>
      <c r="K102" s="142" t="str">
        <f>'[5]Annex-24'!K102</f>
        <v/>
      </c>
      <c r="L102" s="142" t="str">
        <f>'[5]Annex-24'!L102</f>
        <v/>
      </c>
      <c r="M102" s="142" t="str">
        <f>'[5]Annex-24'!M102</f>
        <v/>
      </c>
      <c r="N102" s="142" t="str">
        <f>'[5]Annex-24'!N102</f>
        <v/>
      </c>
    </row>
    <row r="103" spans="1:14" hidden="1" x14ac:dyDescent="0.3">
      <c r="A103" s="105" t="str">
        <f>IF(B103="","",A99+1)</f>
        <v/>
      </c>
      <c r="B103" s="105" t="str">
        <f>IF('[5]Crops CY'!C$15=0,"",'[5]Crops CY'!C$15)</f>
        <v/>
      </c>
      <c r="C103" s="142"/>
      <c r="D103" s="142"/>
      <c r="E103" s="142"/>
      <c r="F103" s="142"/>
      <c r="G103" s="142"/>
      <c r="H103" s="142"/>
      <c r="I103" s="143"/>
      <c r="J103" s="142"/>
      <c r="K103" s="142"/>
      <c r="L103" s="142"/>
      <c r="M103" s="142"/>
      <c r="N103" s="142"/>
    </row>
    <row r="104" spans="1:14" hidden="1" x14ac:dyDescent="0.3">
      <c r="A104" s="124"/>
      <c r="B104" s="124" t="str">
        <f>IF(B103="","","CENTRAL")</f>
        <v/>
      </c>
      <c r="C104" s="142" t="str">
        <f>'[5]Annex-24'!C104</f>
        <v/>
      </c>
      <c r="D104" s="142" t="str">
        <f>'[5]Annex-24'!D104</f>
        <v/>
      </c>
      <c r="E104" s="142" t="str">
        <f>'[5]Annex-24'!E104</f>
        <v/>
      </c>
      <c r="F104" s="142" t="str">
        <f>'[5]Annex-24'!F104</f>
        <v/>
      </c>
      <c r="G104" s="142" t="str">
        <f>'[5]Annex-24'!G104</f>
        <v/>
      </c>
      <c r="H104" s="142" t="str">
        <f>'[5]Annex-24'!H104</f>
        <v/>
      </c>
      <c r="I104" s="143" t="str">
        <f>'[5]Annex-24'!I104</f>
        <v/>
      </c>
      <c r="J104" s="142" t="str">
        <f>'[5]Annex-24'!J104</f>
        <v/>
      </c>
      <c r="K104" s="142" t="str">
        <f>'[5]Annex-24'!K104</f>
        <v/>
      </c>
      <c r="L104" s="142" t="str">
        <f>'[5]Annex-24'!L104</f>
        <v/>
      </c>
      <c r="M104" s="142" t="str">
        <f>'[5]Annex-24'!M104</f>
        <v/>
      </c>
      <c r="N104" s="142" t="str">
        <f>'[5]Annex-24'!N104</f>
        <v/>
      </c>
    </row>
    <row r="105" spans="1:14" hidden="1" x14ac:dyDescent="0.3">
      <c r="A105" s="124"/>
      <c r="B105" s="124" t="str">
        <f>IF(B104="","","STATE")</f>
        <v/>
      </c>
      <c r="C105" s="142" t="str">
        <f>'[5]Annex-24'!C105</f>
        <v/>
      </c>
      <c r="D105" s="142" t="str">
        <f>'[5]Annex-24'!D105</f>
        <v/>
      </c>
      <c r="E105" s="142" t="str">
        <f>'[5]Annex-24'!E105</f>
        <v/>
      </c>
      <c r="F105" s="142" t="str">
        <f>'[5]Annex-24'!F105</f>
        <v/>
      </c>
      <c r="G105" s="142" t="str">
        <f>'[5]Annex-24'!G105</f>
        <v/>
      </c>
      <c r="H105" s="142" t="str">
        <f>'[5]Annex-24'!H105</f>
        <v/>
      </c>
      <c r="I105" s="143" t="str">
        <f>'[5]Annex-24'!I105</f>
        <v/>
      </c>
      <c r="J105" s="142" t="str">
        <f>'[5]Annex-24'!J105</f>
        <v/>
      </c>
      <c r="K105" s="142" t="str">
        <f>'[5]Annex-24'!K105</f>
        <v/>
      </c>
      <c r="L105" s="142" t="str">
        <f>'[5]Annex-24'!L105</f>
        <v/>
      </c>
      <c r="M105" s="142" t="str">
        <f>'[5]Annex-24'!M105</f>
        <v/>
      </c>
      <c r="N105" s="142" t="str">
        <f>'[5]Annex-24'!N105</f>
        <v/>
      </c>
    </row>
    <row r="106" spans="1:14" hidden="1" x14ac:dyDescent="0.3">
      <c r="A106" s="124"/>
      <c r="B106" s="124" t="str">
        <f>IF(B105="","","POOLED")</f>
        <v/>
      </c>
      <c r="C106" s="142" t="str">
        <f>'[5]Annex-24'!C106</f>
        <v/>
      </c>
      <c r="D106" s="142" t="str">
        <f>'[5]Annex-24'!D106</f>
        <v/>
      </c>
      <c r="E106" s="142" t="str">
        <f>'[5]Annex-24'!E106</f>
        <v/>
      </c>
      <c r="F106" s="142" t="str">
        <f>'[5]Annex-24'!F106</f>
        <v/>
      </c>
      <c r="G106" s="142" t="str">
        <f>'[5]Annex-24'!G106</f>
        <v/>
      </c>
      <c r="H106" s="142" t="str">
        <f>'[5]Annex-24'!H106</f>
        <v/>
      </c>
      <c r="I106" s="143" t="str">
        <f>'[5]Annex-24'!I106</f>
        <v/>
      </c>
      <c r="J106" s="142" t="str">
        <f>'[5]Annex-24'!J106</f>
        <v/>
      </c>
      <c r="K106" s="142" t="str">
        <f>'[5]Annex-24'!K106</f>
        <v/>
      </c>
      <c r="L106" s="142" t="str">
        <f>'[5]Annex-24'!L106</f>
        <v/>
      </c>
      <c r="M106" s="142" t="str">
        <f>'[5]Annex-24'!M106</f>
        <v/>
      </c>
      <c r="N106" s="142" t="str">
        <f>'[5]Annex-24'!N106</f>
        <v/>
      </c>
    </row>
    <row r="107" spans="1:14" hidden="1" x14ac:dyDescent="0.3">
      <c r="A107" s="105" t="str">
        <f>IF(B107="","",A103+1)</f>
        <v/>
      </c>
      <c r="B107" s="105" t="str">
        <f>IF('[5]Crops CY'!C$16=0,"",'[5]Crops CY'!C$16)</f>
        <v/>
      </c>
      <c r="C107" s="142"/>
      <c r="D107" s="142"/>
      <c r="E107" s="142"/>
      <c r="F107" s="142"/>
      <c r="G107" s="142"/>
      <c r="H107" s="142"/>
      <c r="I107" s="143"/>
      <c r="J107" s="142"/>
      <c r="K107" s="142"/>
      <c r="L107" s="142"/>
      <c r="M107" s="142"/>
      <c r="N107" s="142"/>
    </row>
    <row r="108" spans="1:14" hidden="1" x14ac:dyDescent="0.3">
      <c r="A108" s="124"/>
      <c r="B108" s="124" t="str">
        <f>IF(B107="","","CENTRAL")</f>
        <v/>
      </c>
      <c r="C108" s="142" t="str">
        <f>'[5]Annex-24'!C108</f>
        <v/>
      </c>
      <c r="D108" s="142" t="str">
        <f>'[5]Annex-24'!D108</f>
        <v/>
      </c>
      <c r="E108" s="142" t="str">
        <f>'[5]Annex-24'!E108</f>
        <v/>
      </c>
      <c r="F108" s="142" t="str">
        <f>'[5]Annex-24'!F108</f>
        <v/>
      </c>
      <c r="G108" s="142" t="str">
        <f>'[5]Annex-24'!G108</f>
        <v/>
      </c>
      <c r="H108" s="142" t="str">
        <f>'[5]Annex-24'!H108</f>
        <v/>
      </c>
      <c r="I108" s="143" t="str">
        <f>'[5]Annex-24'!I108</f>
        <v/>
      </c>
      <c r="J108" s="142" t="str">
        <f>'[5]Annex-24'!J108</f>
        <v/>
      </c>
      <c r="K108" s="142" t="str">
        <f>'[5]Annex-24'!K108</f>
        <v/>
      </c>
      <c r="L108" s="142" t="str">
        <f>'[5]Annex-24'!L108</f>
        <v/>
      </c>
      <c r="M108" s="142" t="str">
        <f>'[5]Annex-24'!M108</f>
        <v/>
      </c>
      <c r="N108" s="142" t="str">
        <f>'[5]Annex-24'!N108</f>
        <v/>
      </c>
    </row>
    <row r="109" spans="1:14" hidden="1" x14ac:dyDescent="0.3">
      <c r="A109" s="124"/>
      <c r="B109" s="124" t="str">
        <f>IF(B108="","","STATE")</f>
        <v/>
      </c>
      <c r="C109" s="142" t="str">
        <f>'[5]Annex-24'!C109</f>
        <v/>
      </c>
      <c r="D109" s="142" t="str">
        <f>'[5]Annex-24'!D109</f>
        <v/>
      </c>
      <c r="E109" s="142" t="str">
        <f>'[5]Annex-24'!E109</f>
        <v/>
      </c>
      <c r="F109" s="142" t="str">
        <f>'[5]Annex-24'!F109</f>
        <v/>
      </c>
      <c r="G109" s="142" t="str">
        <f>'[5]Annex-24'!G109</f>
        <v/>
      </c>
      <c r="H109" s="142" t="str">
        <f>'[5]Annex-24'!H109</f>
        <v/>
      </c>
      <c r="I109" s="143" t="str">
        <f>'[5]Annex-24'!I109</f>
        <v/>
      </c>
      <c r="J109" s="142" t="str">
        <f>'[5]Annex-24'!J109</f>
        <v/>
      </c>
      <c r="K109" s="142" t="str">
        <f>'[5]Annex-24'!K109</f>
        <v/>
      </c>
      <c r="L109" s="142" t="str">
        <f>'[5]Annex-24'!L109</f>
        <v/>
      </c>
      <c r="M109" s="142" t="str">
        <f>'[5]Annex-24'!M109</f>
        <v/>
      </c>
      <c r="N109" s="142" t="str">
        <f>'[5]Annex-24'!N109</f>
        <v/>
      </c>
    </row>
    <row r="110" spans="1:14" hidden="1" x14ac:dyDescent="0.3">
      <c r="A110" s="124"/>
      <c r="B110" s="124" t="str">
        <f>IF(B109="","","POOLED")</f>
        <v/>
      </c>
      <c r="C110" s="142" t="str">
        <f>'[5]Annex-24'!C110</f>
        <v/>
      </c>
      <c r="D110" s="142" t="str">
        <f>'[5]Annex-24'!D110</f>
        <v/>
      </c>
      <c r="E110" s="142" t="str">
        <f>'[5]Annex-24'!E110</f>
        <v/>
      </c>
      <c r="F110" s="142" t="str">
        <f>'[5]Annex-24'!F110</f>
        <v/>
      </c>
      <c r="G110" s="142" t="str">
        <f>'[5]Annex-24'!G110</f>
        <v/>
      </c>
      <c r="H110" s="142" t="str">
        <f>'[5]Annex-24'!H110</f>
        <v/>
      </c>
      <c r="I110" s="143" t="str">
        <f>'[5]Annex-24'!I110</f>
        <v/>
      </c>
      <c r="J110" s="142" t="str">
        <f>'[5]Annex-24'!J110</f>
        <v/>
      </c>
      <c r="K110" s="142" t="str">
        <f>'[5]Annex-24'!K110</f>
        <v/>
      </c>
      <c r="L110" s="142" t="str">
        <f>'[5]Annex-24'!L110</f>
        <v/>
      </c>
      <c r="M110" s="142" t="str">
        <f>'[5]Annex-24'!M110</f>
        <v/>
      </c>
      <c r="N110" s="142" t="str">
        <f>'[5]Annex-24'!N110</f>
        <v/>
      </c>
    </row>
    <row r="111" spans="1:14" hidden="1" x14ac:dyDescent="0.3">
      <c r="A111" s="105" t="str">
        <f>IF(B111="","",A107+1)</f>
        <v/>
      </c>
      <c r="B111" s="105" t="str">
        <f>IF('[5]Crops CY'!C$17=0,"",'[5]Crops CY'!C$17)</f>
        <v/>
      </c>
      <c r="C111" s="142"/>
      <c r="D111" s="142"/>
      <c r="E111" s="142"/>
      <c r="F111" s="142"/>
      <c r="G111" s="142"/>
      <c r="H111" s="142"/>
      <c r="I111" s="143"/>
      <c r="J111" s="142"/>
      <c r="K111" s="142"/>
      <c r="L111" s="142"/>
      <c r="M111" s="142"/>
      <c r="N111" s="142"/>
    </row>
    <row r="112" spans="1:14" hidden="1" x14ac:dyDescent="0.3">
      <c r="A112" s="124"/>
      <c r="B112" s="124" t="str">
        <f>IF(B111="","","CENTRAL")</f>
        <v/>
      </c>
      <c r="C112" s="142" t="str">
        <f>'[5]Annex-24'!C112</f>
        <v/>
      </c>
      <c r="D112" s="142" t="str">
        <f>'[5]Annex-24'!D112</f>
        <v/>
      </c>
      <c r="E112" s="142" t="str">
        <f>'[5]Annex-24'!E112</f>
        <v/>
      </c>
      <c r="F112" s="142" t="str">
        <f>'[5]Annex-24'!F112</f>
        <v/>
      </c>
      <c r="G112" s="142" t="str">
        <f>'[5]Annex-24'!G112</f>
        <v/>
      </c>
      <c r="H112" s="142" t="str">
        <f>'[5]Annex-24'!H112</f>
        <v/>
      </c>
      <c r="I112" s="143" t="str">
        <f>'[5]Annex-24'!I112</f>
        <v/>
      </c>
      <c r="J112" s="142" t="str">
        <f>'[5]Annex-24'!J112</f>
        <v/>
      </c>
      <c r="K112" s="142" t="str">
        <f>'[5]Annex-24'!K112</f>
        <v/>
      </c>
      <c r="L112" s="142" t="str">
        <f>'[5]Annex-24'!L112</f>
        <v/>
      </c>
      <c r="M112" s="142" t="str">
        <f>'[5]Annex-24'!M112</f>
        <v/>
      </c>
      <c r="N112" s="142" t="str">
        <f>'[5]Annex-24'!N112</f>
        <v/>
      </c>
    </row>
    <row r="113" spans="1:14" hidden="1" x14ac:dyDescent="0.3">
      <c r="A113" s="124"/>
      <c r="B113" s="124" t="str">
        <f>IF(B112="","","STATE")</f>
        <v/>
      </c>
      <c r="C113" s="142" t="str">
        <f>'[5]Annex-24'!C113</f>
        <v/>
      </c>
      <c r="D113" s="142" t="str">
        <f>'[5]Annex-24'!D113</f>
        <v/>
      </c>
      <c r="E113" s="142" t="str">
        <f>'[5]Annex-24'!E113</f>
        <v/>
      </c>
      <c r="F113" s="142" t="str">
        <f>'[5]Annex-24'!F113</f>
        <v/>
      </c>
      <c r="G113" s="142" t="str">
        <f>'[5]Annex-24'!G113</f>
        <v/>
      </c>
      <c r="H113" s="142" t="str">
        <f>'[5]Annex-24'!H113</f>
        <v/>
      </c>
      <c r="I113" s="143" t="str">
        <f>'[5]Annex-24'!I113</f>
        <v/>
      </c>
      <c r="J113" s="142" t="str">
        <f>'[5]Annex-24'!J113</f>
        <v/>
      </c>
      <c r="K113" s="142" t="str">
        <f>'[5]Annex-24'!K113</f>
        <v/>
      </c>
      <c r="L113" s="142" t="str">
        <f>'[5]Annex-24'!L113</f>
        <v/>
      </c>
      <c r="M113" s="142" t="str">
        <f>'[5]Annex-24'!M113</f>
        <v/>
      </c>
      <c r="N113" s="142" t="str">
        <f>'[5]Annex-24'!N113</f>
        <v/>
      </c>
    </row>
    <row r="114" spans="1:14" hidden="1" x14ac:dyDescent="0.3">
      <c r="A114" s="124"/>
      <c r="B114" s="124" t="str">
        <f>IF(B113="","","POOLED")</f>
        <v/>
      </c>
      <c r="C114" s="142" t="str">
        <f>'[5]Annex-24'!C114</f>
        <v/>
      </c>
      <c r="D114" s="142" t="str">
        <f>'[5]Annex-24'!D114</f>
        <v/>
      </c>
      <c r="E114" s="142" t="str">
        <f>'[5]Annex-24'!E114</f>
        <v/>
      </c>
      <c r="F114" s="142" t="str">
        <f>'[5]Annex-24'!F114</f>
        <v/>
      </c>
      <c r="G114" s="142" t="str">
        <f>'[5]Annex-24'!G114</f>
        <v/>
      </c>
      <c r="H114" s="142" t="str">
        <f>'[5]Annex-24'!H114</f>
        <v/>
      </c>
      <c r="I114" s="143" t="str">
        <f>'[5]Annex-24'!I114</f>
        <v/>
      </c>
      <c r="J114" s="142" t="str">
        <f>'[5]Annex-24'!J114</f>
        <v/>
      </c>
      <c r="K114" s="142" t="str">
        <f>'[5]Annex-24'!K114</f>
        <v/>
      </c>
      <c r="L114" s="142" t="str">
        <f>'[5]Annex-24'!L114</f>
        <v/>
      </c>
      <c r="M114" s="142" t="str">
        <f>'[5]Annex-24'!M114</f>
        <v/>
      </c>
      <c r="N114" s="142" t="str">
        <f>'[5]Annex-24'!N114</f>
        <v/>
      </c>
    </row>
    <row r="115" spans="1:14" hidden="1" x14ac:dyDescent="0.3">
      <c r="A115" s="105" t="str">
        <f>IF(B115="","",A111+1)</f>
        <v/>
      </c>
      <c r="B115" s="105" t="str">
        <f>IF('[5]Crops CY'!C$18=0,"",'[5]Crops CY'!C$18)</f>
        <v/>
      </c>
      <c r="C115" s="142"/>
      <c r="D115" s="142"/>
      <c r="E115" s="142"/>
      <c r="F115" s="142"/>
      <c r="G115" s="142"/>
      <c r="H115" s="142"/>
      <c r="I115" s="143"/>
      <c r="J115" s="142"/>
      <c r="K115" s="142"/>
      <c r="L115" s="142"/>
      <c r="M115" s="142"/>
      <c r="N115" s="142"/>
    </row>
    <row r="116" spans="1:14" hidden="1" x14ac:dyDescent="0.3">
      <c r="A116" s="124"/>
      <c r="B116" s="124" t="str">
        <f>IF(B115="","","CENTRAL")</f>
        <v/>
      </c>
      <c r="C116" s="142" t="str">
        <f>'[5]Annex-24'!C116</f>
        <v/>
      </c>
      <c r="D116" s="142" t="str">
        <f>'[5]Annex-24'!D116</f>
        <v/>
      </c>
      <c r="E116" s="142" t="str">
        <f>'[5]Annex-24'!E116</f>
        <v/>
      </c>
      <c r="F116" s="142" t="str">
        <f>'[5]Annex-24'!F116</f>
        <v/>
      </c>
      <c r="G116" s="142" t="str">
        <f>'[5]Annex-24'!G116</f>
        <v/>
      </c>
      <c r="H116" s="142" t="str">
        <f>'[5]Annex-24'!H116</f>
        <v/>
      </c>
      <c r="I116" s="143" t="str">
        <f>'[5]Annex-24'!I116</f>
        <v/>
      </c>
      <c r="J116" s="142" t="str">
        <f>'[5]Annex-24'!J116</f>
        <v/>
      </c>
      <c r="K116" s="142" t="str">
        <f>'[5]Annex-24'!K116</f>
        <v/>
      </c>
      <c r="L116" s="142" t="str">
        <f>'[5]Annex-24'!L116</f>
        <v/>
      </c>
      <c r="M116" s="142" t="str">
        <f>'[5]Annex-24'!M116</f>
        <v/>
      </c>
      <c r="N116" s="142" t="str">
        <f>'[5]Annex-24'!N116</f>
        <v/>
      </c>
    </row>
    <row r="117" spans="1:14" hidden="1" x14ac:dyDescent="0.3">
      <c r="A117" s="124"/>
      <c r="B117" s="124" t="str">
        <f>IF(B116="","","STATE")</f>
        <v/>
      </c>
      <c r="C117" s="142" t="str">
        <f>'[5]Annex-24'!C117</f>
        <v/>
      </c>
      <c r="D117" s="142" t="str">
        <f>'[5]Annex-24'!D117</f>
        <v/>
      </c>
      <c r="E117" s="142" t="str">
        <f>'[5]Annex-24'!E117</f>
        <v/>
      </c>
      <c r="F117" s="142" t="str">
        <f>'[5]Annex-24'!F117</f>
        <v/>
      </c>
      <c r="G117" s="142" t="str">
        <f>'[5]Annex-24'!G117</f>
        <v/>
      </c>
      <c r="H117" s="142" t="str">
        <f>'[5]Annex-24'!H117</f>
        <v/>
      </c>
      <c r="I117" s="143" t="str">
        <f>'[5]Annex-24'!I117</f>
        <v/>
      </c>
      <c r="J117" s="142" t="str">
        <f>'[5]Annex-24'!J117</f>
        <v/>
      </c>
      <c r="K117" s="142" t="str">
        <f>'[5]Annex-24'!K117</f>
        <v/>
      </c>
      <c r="L117" s="142" t="str">
        <f>'[5]Annex-24'!L117</f>
        <v/>
      </c>
      <c r="M117" s="142" t="str">
        <f>'[5]Annex-24'!M117</f>
        <v/>
      </c>
      <c r="N117" s="142" t="str">
        <f>'[5]Annex-24'!N117</f>
        <v/>
      </c>
    </row>
    <row r="118" spans="1:14" hidden="1" x14ac:dyDescent="0.3">
      <c r="A118" s="124"/>
      <c r="B118" s="124" t="str">
        <f>IF(B117="","","POOLED")</f>
        <v/>
      </c>
      <c r="C118" s="142" t="str">
        <f>'[5]Annex-24'!C118</f>
        <v/>
      </c>
      <c r="D118" s="142" t="str">
        <f>'[5]Annex-24'!D118</f>
        <v/>
      </c>
      <c r="E118" s="142" t="str">
        <f>'[5]Annex-24'!E118</f>
        <v/>
      </c>
      <c r="F118" s="142" t="str">
        <f>'[5]Annex-24'!F118</f>
        <v/>
      </c>
      <c r="G118" s="142" t="str">
        <f>'[5]Annex-24'!G118</f>
        <v/>
      </c>
      <c r="H118" s="142" t="str">
        <f>'[5]Annex-24'!H118</f>
        <v/>
      </c>
      <c r="I118" s="143" t="str">
        <f>'[5]Annex-24'!I118</f>
        <v/>
      </c>
      <c r="J118" s="142" t="str">
        <f>'[5]Annex-24'!J118</f>
        <v/>
      </c>
      <c r="K118" s="142" t="str">
        <f>'[5]Annex-24'!K118</f>
        <v/>
      </c>
      <c r="L118" s="142" t="str">
        <f>'[5]Annex-24'!L118</f>
        <v/>
      </c>
      <c r="M118" s="142" t="str">
        <f>'[5]Annex-24'!M118</f>
        <v/>
      </c>
      <c r="N118" s="142" t="str">
        <f>'[5]Annex-24'!N118</f>
        <v/>
      </c>
    </row>
    <row r="119" spans="1:14" hidden="1" x14ac:dyDescent="0.3">
      <c r="A119" s="105" t="str">
        <f>IF(B119="","",A115+1)</f>
        <v/>
      </c>
      <c r="B119" s="105" t="str">
        <f>IF('[5]Crops CY'!C$19=0,"",'[5]Crops CY'!C$19)</f>
        <v/>
      </c>
      <c r="C119" s="142"/>
      <c r="D119" s="142"/>
      <c r="E119" s="142"/>
      <c r="F119" s="142"/>
      <c r="G119" s="142"/>
      <c r="H119" s="142"/>
      <c r="I119" s="143"/>
      <c r="J119" s="142"/>
      <c r="K119" s="142"/>
      <c r="L119" s="142"/>
      <c r="M119" s="142"/>
      <c r="N119" s="142"/>
    </row>
    <row r="120" spans="1:14" hidden="1" x14ac:dyDescent="0.3">
      <c r="A120" s="124"/>
      <c r="B120" s="124" t="str">
        <f>IF(B119="","","CENTRAL")</f>
        <v/>
      </c>
      <c r="C120" s="142" t="str">
        <f>'[5]Annex-24'!C120</f>
        <v/>
      </c>
      <c r="D120" s="142" t="str">
        <f>'[5]Annex-24'!D120</f>
        <v/>
      </c>
      <c r="E120" s="142" t="str">
        <f>'[5]Annex-24'!E120</f>
        <v/>
      </c>
      <c r="F120" s="142" t="str">
        <f>'[5]Annex-24'!F120</f>
        <v/>
      </c>
      <c r="G120" s="142" t="str">
        <f>'[5]Annex-24'!G120</f>
        <v/>
      </c>
      <c r="H120" s="142" t="str">
        <f>'[5]Annex-24'!H120</f>
        <v/>
      </c>
      <c r="I120" s="143" t="str">
        <f>'[5]Annex-24'!I120</f>
        <v/>
      </c>
      <c r="J120" s="142" t="str">
        <f>'[5]Annex-24'!J120</f>
        <v/>
      </c>
      <c r="K120" s="142" t="str">
        <f>'[5]Annex-24'!K120</f>
        <v/>
      </c>
      <c r="L120" s="142" t="str">
        <f>'[5]Annex-24'!L120</f>
        <v/>
      </c>
      <c r="M120" s="142" t="str">
        <f>'[5]Annex-24'!M120</f>
        <v/>
      </c>
      <c r="N120" s="142" t="str">
        <f>'[5]Annex-24'!N120</f>
        <v/>
      </c>
    </row>
    <row r="121" spans="1:14" hidden="1" x14ac:dyDescent="0.3">
      <c r="A121" s="124"/>
      <c r="B121" s="124" t="str">
        <f>IF(B120="","","STATE")</f>
        <v/>
      </c>
      <c r="C121" s="142" t="str">
        <f>'[5]Annex-24'!C121</f>
        <v/>
      </c>
      <c r="D121" s="142" t="str">
        <f>'[5]Annex-24'!D121</f>
        <v/>
      </c>
      <c r="E121" s="142" t="str">
        <f>'[5]Annex-24'!E121</f>
        <v/>
      </c>
      <c r="F121" s="142" t="str">
        <f>'[5]Annex-24'!F121</f>
        <v/>
      </c>
      <c r="G121" s="142" t="str">
        <f>'[5]Annex-24'!G121</f>
        <v/>
      </c>
      <c r="H121" s="142" t="str">
        <f>'[5]Annex-24'!H121</f>
        <v/>
      </c>
      <c r="I121" s="143" t="str">
        <f>'[5]Annex-24'!I121</f>
        <v/>
      </c>
      <c r="J121" s="142" t="str">
        <f>'[5]Annex-24'!J121</f>
        <v/>
      </c>
      <c r="K121" s="142" t="str">
        <f>'[5]Annex-24'!K121</f>
        <v/>
      </c>
      <c r="L121" s="142" t="str">
        <f>'[5]Annex-24'!L121</f>
        <v/>
      </c>
      <c r="M121" s="142" t="str">
        <f>'[5]Annex-24'!M121</f>
        <v/>
      </c>
      <c r="N121" s="142" t="str">
        <f>'[5]Annex-24'!N121</f>
        <v/>
      </c>
    </row>
    <row r="122" spans="1:14" hidden="1" x14ac:dyDescent="0.3">
      <c r="A122" s="124"/>
      <c r="B122" s="124" t="str">
        <f>IF(B121="","","POOLED")</f>
        <v/>
      </c>
      <c r="C122" s="142" t="str">
        <f>'[5]Annex-24'!C122</f>
        <v/>
      </c>
      <c r="D122" s="142" t="str">
        <f>'[5]Annex-24'!D122</f>
        <v/>
      </c>
      <c r="E122" s="142" t="str">
        <f>'[5]Annex-24'!E122</f>
        <v/>
      </c>
      <c r="F122" s="142" t="str">
        <f>'[5]Annex-24'!F122</f>
        <v/>
      </c>
      <c r="G122" s="142" t="str">
        <f>'[5]Annex-24'!G122</f>
        <v/>
      </c>
      <c r="H122" s="142" t="str">
        <f>'[5]Annex-24'!H122</f>
        <v/>
      </c>
      <c r="I122" s="143" t="str">
        <f>'[5]Annex-24'!I122</f>
        <v/>
      </c>
      <c r="J122" s="142" t="str">
        <f>'[5]Annex-24'!J122</f>
        <v/>
      </c>
      <c r="K122" s="142" t="str">
        <f>'[5]Annex-24'!K122</f>
        <v/>
      </c>
      <c r="L122" s="142" t="str">
        <f>'[5]Annex-24'!L122</f>
        <v/>
      </c>
      <c r="M122" s="142" t="str">
        <f>'[5]Annex-24'!M122</f>
        <v/>
      </c>
      <c r="N122" s="142" t="str">
        <f>'[5]Annex-24'!N122</f>
        <v/>
      </c>
    </row>
    <row r="123" spans="1:14" hidden="1" x14ac:dyDescent="0.3">
      <c r="A123" s="105" t="str">
        <f>IF(B123="","",A119+1)</f>
        <v/>
      </c>
      <c r="B123" s="105" t="str">
        <f>IF('[5]Crops CY'!C$20=0,"",'[5]Crops CY'!C$20)</f>
        <v/>
      </c>
      <c r="C123" s="142"/>
      <c r="D123" s="142"/>
      <c r="E123" s="142"/>
      <c r="F123" s="142"/>
      <c r="G123" s="142"/>
      <c r="H123" s="142"/>
      <c r="I123" s="143"/>
      <c r="J123" s="142"/>
      <c r="K123" s="142"/>
      <c r="L123" s="142"/>
      <c r="M123" s="142"/>
      <c r="N123" s="142"/>
    </row>
    <row r="124" spans="1:14" hidden="1" x14ac:dyDescent="0.3">
      <c r="A124" s="124"/>
      <c r="B124" s="124" t="str">
        <f>IF(B123="","","CENTRAL")</f>
        <v/>
      </c>
      <c r="C124" s="142" t="str">
        <f>'[5]Annex-24'!C124</f>
        <v/>
      </c>
      <c r="D124" s="142" t="str">
        <f>'[5]Annex-24'!D124</f>
        <v/>
      </c>
      <c r="E124" s="142" t="str">
        <f>'[5]Annex-24'!E124</f>
        <v/>
      </c>
      <c r="F124" s="142" t="str">
        <f>'[5]Annex-24'!F124</f>
        <v/>
      </c>
      <c r="G124" s="142" t="str">
        <f>'[5]Annex-24'!G124</f>
        <v/>
      </c>
      <c r="H124" s="142" t="str">
        <f>'[5]Annex-24'!H124</f>
        <v/>
      </c>
      <c r="I124" s="143" t="str">
        <f>'[5]Annex-24'!I124</f>
        <v/>
      </c>
      <c r="J124" s="142" t="str">
        <f>'[5]Annex-24'!J124</f>
        <v/>
      </c>
      <c r="K124" s="142" t="str">
        <f>'[5]Annex-24'!K124</f>
        <v/>
      </c>
      <c r="L124" s="142" t="str">
        <f>'[5]Annex-24'!L124</f>
        <v/>
      </c>
      <c r="M124" s="142" t="str">
        <f>'[5]Annex-24'!M124</f>
        <v/>
      </c>
      <c r="N124" s="142" t="str">
        <f>'[5]Annex-24'!N124</f>
        <v/>
      </c>
    </row>
    <row r="125" spans="1:14" hidden="1" x14ac:dyDescent="0.3">
      <c r="A125" s="124"/>
      <c r="B125" s="124" t="str">
        <f>IF(B124="","","STATE")</f>
        <v/>
      </c>
      <c r="C125" s="142" t="str">
        <f>'[5]Annex-24'!C125</f>
        <v/>
      </c>
      <c r="D125" s="142" t="str">
        <f>'[5]Annex-24'!D125</f>
        <v/>
      </c>
      <c r="E125" s="142" t="str">
        <f>'[5]Annex-24'!E125</f>
        <v/>
      </c>
      <c r="F125" s="142" t="str">
        <f>'[5]Annex-24'!F125</f>
        <v/>
      </c>
      <c r="G125" s="142" t="str">
        <f>'[5]Annex-24'!G125</f>
        <v/>
      </c>
      <c r="H125" s="142" t="str">
        <f>'[5]Annex-24'!H125</f>
        <v/>
      </c>
      <c r="I125" s="143" t="str">
        <f>'[5]Annex-24'!I125</f>
        <v/>
      </c>
      <c r="J125" s="142" t="str">
        <f>'[5]Annex-24'!J125</f>
        <v/>
      </c>
      <c r="K125" s="142" t="str">
        <f>'[5]Annex-24'!K125</f>
        <v/>
      </c>
      <c r="L125" s="142" t="str">
        <f>'[5]Annex-24'!L125</f>
        <v/>
      </c>
      <c r="M125" s="142" t="str">
        <f>'[5]Annex-24'!M125</f>
        <v/>
      </c>
      <c r="N125" s="142" t="str">
        <f>'[5]Annex-24'!N125</f>
        <v/>
      </c>
    </row>
    <row r="126" spans="1:14" hidden="1" x14ac:dyDescent="0.3">
      <c r="A126" s="124"/>
      <c r="B126" s="124" t="str">
        <f>IF(B125="","","POOLED")</f>
        <v/>
      </c>
      <c r="C126" s="142" t="str">
        <f>'[5]Annex-24'!C126</f>
        <v/>
      </c>
      <c r="D126" s="142" t="str">
        <f>'[5]Annex-24'!D126</f>
        <v/>
      </c>
      <c r="E126" s="142" t="str">
        <f>'[5]Annex-24'!E126</f>
        <v/>
      </c>
      <c r="F126" s="142" t="str">
        <f>'[5]Annex-24'!F126</f>
        <v/>
      </c>
      <c r="G126" s="142" t="str">
        <f>'[5]Annex-24'!G126</f>
        <v/>
      </c>
      <c r="H126" s="142" t="str">
        <f>'[5]Annex-24'!H126</f>
        <v/>
      </c>
      <c r="I126" s="143" t="str">
        <f>'[5]Annex-24'!I126</f>
        <v/>
      </c>
      <c r="J126" s="142" t="str">
        <f>'[5]Annex-24'!J126</f>
        <v/>
      </c>
      <c r="K126" s="142" t="str">
        <f>'[5]Annex-24'!K126</f>
        <v/>
      </c>
      <c r="L126" s="142" t="str">
        <f>'[5]Annex-24'!L126</f>
        <v/>
      </c>
      <c r="M126" s="142" t="str">
        <f>'[5]Annex-24'!M126</f>
        <v/>
      </c>
      <c r="N126" s="142" t="str">
        <f>'[5]Annex-24'!N126</f>
        <v/>
      </c>
    </row>
    <row r="127" spans="1:14" hidden="1" x14ac:dyDescent="0.3">
      <c r="A127" s="105" t="str">
        <f>IF(B127="","",A123+1)</f>
        <v/>
      </c>
      <c r="B127" s="105" t="str">
        <f>IF('[5]Crops CY'!C$21=0,"",'[5]Crops CY'!C$21)</f>
        <v/>
      </c>
      <c r="C127" s="142"/>
      <c r="D127" s="142"/>
      <c r="E127" s="142"/>
      <c r="F127" s="142"/>
      <c r="G127" s="142"/>
      <c r="H127" s="142"/>
      <c r="I127" s="143"/>
      <c r="J127" s="142"/>
      <c r="K127" s="142"/>
      <c r="L127" s="142"/>
      <c r="M127" s="142"/>
      <c r="N127" s="142"/>
    </row>
    <row r="128" spans="1:14" hidden="1" x14ac:dyDescent="0.3">
      <c r="A128" s="124"/>
      <c r="B128" s="124" t="str">
        <f>IF(B127="","","CENTRAL")</f>
        <v/>
      </c>
      <c r="C128" s="142" t="str">
        <f>'[5]Annex-24'!C128</f>
        <v/>
      </c>
      <c r="D128" s="142" t="str">
        <f>'[5]Annex-24'!D128</f>
        <v/>
      </c>
      <c r="E128" s="142" t="str">
        <f>'[5]Annex-24'!E128</f>
        <v/>
      </c>
      <c r="F128" s="142" t="str">
        <f>'[5]Annex-24'!F128</f>
        <v/>
      </c>
      <c r="G128" s="142" t="str">
        <f>'[5]Annex-24'!G128</f>
        <v/>
      </c>
      <c r="H128" s="142" t="str">
        <f>'[5]Annex-24'!H128</f>
        <v/>
      </c>
      <c r="I128" s="143" t="str">
        <f>'[5]Annex-24'!I128</f>
        <v/>
      </c>
      <c r="J128" s="142" t="str">
        <f>'[5]Annex-24'!J128</f>
        <v/>
      </c>
      <c r="K128" s="142" t="str">
        <f>'[5]Annex-24'!K128</f>
        <v/>
      </c>
      <c r="L128" s="142" t="str">
        <f>'[5]Annex-24'!L128</f>
        <v/>
      </c>
      <c r="M128" s="142" t="str">
        <f>'[5]Annex-24'!M128</f>
        <v/>
      </c>
      <c r="N128" s="142" t="str">
        <f>'[5]Annex-24'!N128</f>
        <v/>
      </c>
    </row>
    <row r="129" spans="1:16" hidden="1" x14ac:dyDescent="0.3">
      <c r="A129" s="124"/>
      <c r="B129" s="124" t="str">
        <f>IF(B128="","","STATE")</f>
        <v/>
      </c>
      <c r="C129" s="142" t="str">
        <f>'[5]Annex-24'!C129</f>
        <v/>
      </c>
      <c r="D129" s="142" t="str">
        <f>'[5]Annex-24'!D129</f>
        <v/>
      </c>
      <c r="E129" s="142" t="str">
        <f>'[5]Annex-24'!E129</f>
        <v/>
      </c>
      <c r="F129" s="142" t="str">
        <f>'[5]Annex-24'!F129</f>
        <v/>
      </c>
      <c r="G129" s="142" t="str">
        <f>'[5]Annex-24'!G129</f>
        <v/>
      </c>
      <c r="H129" s="142" t="str">
        <f>'[5]Annex-24'!H129</f>
        <v/>
      </c>
      <c r="I129" s="143" t="str">
        <f>'[5]Annex-24'!I129</f>
        <v/>
      </c>
      <c r="J129" s="142" t="str">
        <f>'[5]Annex-24'!J129</f>
        <v/>
      </c>
      <c r="K129" s="142" t="str">
        <f>'[5]Annex-24'!K129</f>
        <v/>
      </c>
      <c r="L129" s="142" t="str">
        <f>'[5]Annex-24'!L129</f>
        <v/>
      </c>
      <c r="M129" s="142" t="str">
        <f>'[5]Annex-24'!M129</f>
        <v/>
      </c>
      <c r="N129" s="142" t="str">
        <f>'[5]Annex-24'!N129</f>
        <v/>
      </c>
    </row>
    <row r="130" spans="1:16" hidden="1" x14ac:dyDescent="0.3">
      <c r="A130" s="123"/>
      <c r="B130" s="123" t="str">
        <f>IF(B129="","","POOLED")</f>
        <v/>
      </c>
      <c r="C130" s="60" t="str">
        <f>'[5]Annex-24'!C130</f>
        <v/>
      </c>
      <c r="D130" s="60" t="str">
        <f>'[5]Annex-24'!D130</f>
        <v/>
      </c>
      <c r="E130" s="60" t="str">
        <f>'[5]Annex-24'!E130</f>
        <v/>
      </c>
      <c r="F130" s="60" t="str">
        <f>'[5]Annex-24'!F130</f>
        <v/>
      </c>
      <c r="G130" s="60" t="str">
        <f>'[5]Annex-24'!G130</f>
        <v/>
      </c>
      <c r="H130" s="60" t="str">
        <f>'[5]Annex-24'!H130</f>
        <v/>
      </c>
      <c r="I130" s="61" t="str">
        <f>'[5]Annex-24'!I130</f>
        <v/>
      </c>
      <c r="J130" s="60" t="str">
        <f>'[5]Annex-24'!J130</f>
        <v/>
      </c>
      <c r="K130" s="60" t="str">
        <f>'[5]Annex-24'!K130</f>
        <v/>
      </c>
      <c r="L130" s="60" t="str">
        <f>'[5]Annex-24'!L130</f>
        <v/>
      </c>
      <c r="M130" s="60" t="str">
        <f>'[5]Annex-24'!M130</f>
        <v/>
      </c>
      <c r="N130" s="60" t="str">
        <f>'[5]Annex-24'!N130</f>
        <v/>
      </c>
    </row>
    <row r="131" spans="1:16" ht="21" customHeight="1" x14ac:dyDescent="0.3">
      <c r="A131" s="144"/>
      <c r="B131" s="97" t="str">
        <f>'[5]Annex-24'!B131</f>
        <v>TOTAL</v>
      </c>
      <c r="C131" s="142"/>
      <c r="D131" s="142"/>
      <c r="E131" s="142"/>
      <c r="F131" s="142"/>
      <c r="G131" s="142"/>
      <c r="H131" s="142"/>
      <c r="I131" s="143"/>
      <c r="J131" s="142"/>
      <c r="K131" s="142"/>
      <c r="L131" s="142"/>
      <c r="M131" s="142"/>
      <c r="N131" s="142"/>
      <c r="O131" s="141"/>
      <c r="P131" s="141"/>
    </row>
    <row r="132" spans="1:16" ht="21" customHeight="1" x14ac:dyDescent="0.3">
      <c r="B132" s="228" t="str">
        <f>'[5]Annex-24'!B132</f>
        <v>CENTRAL</v>
      </c>
      <c r="C132" s="142" t="str">
        <f>'[5]Annex-24'!C132</f>
        <v>0(  0.0)</v>
      </c>
      <c r="D132" s="142" t="str">
        <f>'[5]Annex-24'!D132</f>
        <v>0(  0.0)</v>
      </c>
      <c r="E132" s="142" t="str">
        <f>'[5]Annex-24'!E132</f>
        <v>0(  0.0)</v>
      </c>
      <c r="F132" s="142" t="str">
        <f>'[5]Annex-24'!F132</f>
        <v>0(  0.0)</v>
      </c>
      <c r="G132" s="142" t="str">
        <f>'[5]Annex-24'!G132</f>
        <v>20(100.0)</v>
      </c>
      <c r="H132" s="142" t="str">
        <f>'[5]Annex-24'!H132</f>
        <v>0(  0.0)</v>
      </c>
      <c r="I132" s="143" t="str">
        <f>'[5]Annex-24'!I132</f>
        <v>2( 10.0)</v>
      </c>
      <c r="J132" s="142" t="str">
        <f>'[5]Annex-24'!J132</f>
        <v>0(  0.0)</v>
      </c>
      <c r="K132" s="142" t="str">
        <f>'[5]Annex-24'!K132</f>
        <v>0(  0.0)</v>
      </c>
      <c r="L132" s="142" t="str">
        <f>'[5]Annex-24'!L132</f>
        <v>0(  0.0)</v>
      </c>
      <c r="M132" s="142" t="str">
        <f>'[5]Annex-24'!M132</f>
        <v>18( 90.0)</v>
      </c>
      <c r="N132" s="142" t="str">
        <f>'[5]Annex-24'!N132</f>
        <v>8( 40.0)</v>
      </c>
      <c r="O132" s="141"/>
      <c r="P132" s="141"/>
    </row>
    <row r="133" spans="1:16" ht="21" customHeight="1" x14ac:dyDescent="0.3">
      <c r="B133" s="228" t="str">
        <f>'[5]Annex-24'!B133</f>
        <v>STATE</v>
      </c>
      <c r="C133" s="142" t="str">
        <f>'[5]Annex-24'!C133</f>
        <v>0(  0.0)</v>
      </c>
      <c r="D133" s="142" t="str">
        <f>'[5]Annex-24'!D133</f>
        <v>0(  0.0)</v>
      </c>
      <c r="E133" s="142" t="str">
        <f>'[5]Annex-24'!E133</f>
        <v>0(  0.0)</v>
      </c>
      <c r="F133" s="142" t="str">
        <f>'[5]Annex-24'!F133</f>
        <v>0(  0.0)</v>
      </c>
      <c r="G133" s="142" t="str">
        <f>'[5]Annex-24'!G133</f>
        <v>20(100.0)</v>
      </c>
      <c r="H133" s="142" t="str">
        <f>'[5]Annex-24'!H133</f>
        <v>0(  0.0)</v>
      </c>
      <c r="I133" s="143" t="str">
        <f>'[5]Annex-24'!I133</f>
        <v>0(  0.0)</v>
      </c>
      <c r="J133" s="142" t="str">
        <f>'[5]Annex-24'!J133</f>
        <v>0(  0.0)</v>
      </c>
      <c r="K133" s="142" t="str">
        <f>'[5]Annex-24'!K133</f>
        <v>0(  0.0)</v>
      </c>
      <c r="L133" s="142" t="str">
        <f>'[5]Annex-24'!L133</f>
        <v>0(  0.0)</v>
      </c>
      <c r="M133" s="142" t="str">
        <f>'[5]Annex-24'!M133</f>
        <v>20(100.0)</v>
      </c>
      <c r="N133" s="142" t="str">
        <f>'[5]Annex-24'!N133</f>
        <v>10( 50.0)</v>
      </c>
      <c r="O133" s="141"/>
      <c r="P133" s="141"/>
    </row>
    <row r="134" spans="1:16" ht="21" customHeight="1" thickBot="1" x14ac:dyDescent="0.35">
      <c r="A134" s="229"/>
      <c r="B134" s="230" t="str">
        <f>'[5]Annex-24'!B134</f>
        <v>POOLED</v>
      </c>
      <c r="C134" s="148" t="str">
        <f>'[5]Annex-24'!C134</f>
        <v>0(  0.0)</v>
      </c>
      <c r="D134" s="148" t="str">
        <f>'[5]Annex-24'!D134</f>
        <v>0(  0.0)</v>
      </c>
      <c r="E134" s="148" t="str">
        <f>'[5]Annex-24'!E134</f>
        <v>0(  0.0)</v>
      </c>
      <c r="F134" s="148" t="str">
        <f>'[5]Annex-24'!F134</f>
        <v>0(  0.0)</v>
      </c>
      <c r="G134" s="148" t="str">
        <f>'[5]Annex-24'!G134</f>
        <v>40(100.0)</v>
      </c>
      <c r="H134" s="148" t="str">
        <f>'[5]Annex-24'!H134</f>
        <v>0(  0.0)</v>
      </c>
      <c r="I134" s="149" t="str">
        <f>'[5]Annex-24'!I134</f>
        <v>2(  5.0)</v>
      </c>
      <c r="J134" s="148" t="str">
        <f>'[5]Annex-24'!J134</f>
        <v>0(  0.0)</v>
      </c>
      <c r="K134" s="148" t="str">
        <f>'[5]Annex-24'!K134</f>
        <v>0(  0.0)</v>
      </c>
      <c r="L134" s="148" t="str">
        <f>'[5]Annex-24'!L134</f>
        <v>0(  0.0)</v>
      </c>
      <c r="M134" s="148" t="str">
        <f>'[5]Annex-24'!M134</f>
        <v>38( 95.0)</v>
      </c>
      <c r="N134" s="148" t="str">
        <f>'[5]Annex-24'!N134</f>
        <v>18( 45.0)</v>
      </c>
      <c r="O134" s="141"/>
      <c r="P134" s="141"/>
    </row>
    <row r="135" spans="1:16" ht="14.4" thickTop="1" x14ac:dyDescent="0.3">
      <c r="B135" s="124"/>
    </row>
  </sheetData>
  <mergeCells count="14">
    <mergeCell ref="A2:D2"/>
    <mergeCell ref="C4:H4"/>
    <mergeCell ref="I4:N4"/>
    <mergeCell ref="A3:N3"/>
    <mergeCell ref="A1:N1"/>
    <mergeCell ref="I2:N2"/>
    <mergeCell ref="I5:J5"/>
    <mergeCell ref="K5:L5"/>
    <mergeCell ref="M5:N5"/>
    <mergeCell ref="A4:A6"/>
    <mergeCell ref="B4:B6"/>
    <mergeCell ref="C5:D5"/>
    <mergeCell ref="E5:F5"/>
    <mergeCell ref="G5:H5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L193"/>
  <sheetViews>
    <sheetView view="pageBreakPreview" zoomScale="70" zoomScaleNormal="85" zoomScaleSheetLayoutView="70" workbookViewId="0">
      <selection activeCell="A141" sqref="A141:L141"/>
    </sheetView>
  </sheetViews>
  <sheetFormatPr defaultRowHeight="14.4" x14ac:dyDescent="0.3"/>
  <cols>
    <col min="1" max="1" width="11.6640625" customWidth="1"/>
    <col min="2" max="2" width="10" bestFit="1" customWidth="1"/>
    <col min="3" max="12" width="11.6640625" customWidth="1"/>
    <col min="13" max="256" width="9.109375"/>
    <col min="257" max="268" width="11.6640625" customWidth="1"/>
    <col min="269" max="512" width="9.109375"/>
    <col min="513" max="524" width="11.6640625" customWidth="1"/>
    <col min="525" max="768" width="9.109375"/>
    <col min="769" max="780" width="11.6640625" customWidth="1"/>
    <col min="781" max="1024" width="9.109375"/>
    <col min="1025" max="1036" width="11.6640625" customWidth="1"/>
    <col min="1037" max="1280" width="9.109375"/>
    <col min="1281" max="1292" width="11.6640625" customWidth="1"/>
    <col min="1293" max="1536" width="9.109375"/>
    <col min="1537" max="1548" width="11.6640625" customWidth="1"/>
    <col min="1549" max="1792" width="9.109375"/>
    <col min="1793" max="1804" width="11.6640625" customWidth="1"/>
    <col min="1805" max="2048" width="9.109375"/>
    <col min="2049" max="2060" width="11.6640625" customWidth="1"/>
    <col min="2061" max="2304" width="9.109375"/>
    <col min="2305" max="2316" width="11.6640625" customWidth="1"/>
    <col min="2317" max="2560" width="9.109375"/>
    <col min="2561" max="2572" width="11.6640625" customWidth="1"/>
    <col min="2573" max="2816" width="9.109375"/>
    <col min="2817" max="2828" width="11.6640625" customWidth="1"/>
    <col min="2829" max="3072" width="9.109375"/>
    <col min="3073" max="3084" width="11.6640625" customWidth="1"/>
    <col min="3085" max="3328" width="9.109375"/>
    <col min="3329" max="3340" width="11.6640625" customWidth="1"/>
    <col min="3341" max="3584" width="9.109375"/>
    <col min="3585" max="3596" width="11.6640625" customWidth="1"/>
    <col min="3597" max="3840" width="9.109375"/>
    <col min="3841" max="3852" width="11.6640625" customWidth="1"/>
    <col min="3853" max="4096" width="9.109375"/>
    <col min="4097" max="4108" width="11.6640625" customWidth="1"/>
    <col min="4109" max="4352" width="9.109375"/>
    <col min="4353" max="4364" width="11.6640625" customWidth="1"/>
    <col min="4365" max="4608" width="9.109375"/>
    <col min="4609" max="4620" width="11.6640625" customWidth="1"/>
    <col min="4621" max="4864" width="9.109375"/>
    <col min="4865" max="4876" width="11.6640625" customWidth="1"/>
    <col min="4877" max="5120" width="9.109375"/>
    <col min="5121" max="5132" width="11.6640625" customWidth="1"/>
    <col min="5133" max="5376" width="9.109375"/>
    <col min="5377" max="5388" width="11.6640625" customWidth="1"/>
    <col min="5389" max="5632" width="9.109375"/>
    <col min="5633" max="5644" width="11.6640625" customWidth="1"/>
    <col min="5645" max="5888" width="9.109375"/>
    <col min="5889" max="5900" width="11.6640625" customWidth="1"/>
    <col min="5901" max="6144" width="9.109375"/>
    <col min="6145" max="6156" width="11.6640625" customWidth="1"/>
    <col min="6157" max="6400" width="9.109375"/>
    <col min="6401" max="6412" width="11.6640625" customWidth="1"/>
    <col min="6413" max="6656" width="9.109375"/>
    <col min="6657" max="6668" width="11.6640625" customWidth="1"/>
    <col min="6669" max="6912" width="9.109375"/>
    <col min="6913" max="6924" width="11.6640625" customWidth="1"/>
    <col min="6925" max="7168" width="9.109375"/>
    <col min="7169" max="7180" width="11.6640625" customWidth="1"/>
    <col min="7181" max="7424" width="9.109375"/>
    <col min="7425" max="7436" width="11.6640625" customWidth="1"/>
    <col min="7437" max="7680" width="9.109375"/>
    <col min="7681" max="7692" width="11.6640625" customWidth="1"/>
    <col min="7693" max="7936" width="9.109375"/>
    <col min="7937" max="7948" width="11.6640625" customWidth="1"/>
    <col min="7949" max="8192" width="9.109375"/>
    <col min="8193" max="8204" width="11.6640625" customWidth="1"/>
    <col min="8205" max="8448" width="9.109375"/>
    <col min="8449" max="8460" width="11.6640625" customWidth="1"/>
    <col min="8461" max="8704" width="9.109375"/>
    <col min="8705" max="8716" width="11.6640625" customWidth="1"/>
    <col min="8717" max="8960" width="9.109375"/>
    <col min="8961" max="8972" width="11.6640625" customWidth="1"/>
    <col min="8973" max="9216" width="9.109375"/>
    <col min="9217" max="9228" width="11.6640625" customWidth="1"/>
    <col min="9229" max="9472" width="9.109375"/>
    <col min="9473" max="9484" width="11.6640625" customWidth="1"/>
    <col min="9485" max="9728" width="9.109375"/>
    <col min="9729" max="9740" width="11.6640625" customWidth="1"/>
    <col min="9741" max="9984" width="9.109375"/>
    <col min="9985" max="9996" width="11.6640625" customWidth="1"/>
    <col min="9997" max="10240" width="9.109375"/>
    <col min="10241" max="10252" width="11.6640625" customWidth="1"/>
    <col min="10253" max="10496" width="9.109375"/>
    <col min="10497" max="10508" width="11.6640625" customWidth="1"/>
    <col min="10509" max="10752" width="9.109375"/>
    <col min="10753" max="10764" width="11.6640625" customWidth="1"/>
    <col min="10765" max="11008" width="9.109375"/>
    <col min="11009" max="11020" width="11.6640625" customWidth="1"/>
    <col min="11021" max="11264" width="9.109375"/>
    <col min="11265" max="11276" width="11.6640625" customWidth="1"/>
    <col min="11277" max="11520" width="9.109375"/>
    <col min="11521" max="11532" width="11.6640625" customWidth="1"/>
    <col min="11533" max="11776" width="9.109375"/>
    <col min="11777" max="11788" width="11.6640625" customWidth="1"/>
    <col min="11789" max="12032" width="9.109375"/>
    <col min="12033" max="12044" width="11.6640625" customWidth="1"/>
    <col min="12045" max="12288" width="9.109375"/>
    <col min="12289" max="12300" width="11.6640625" customWidth="1"/>
    <col min="12301" max="12544" width="9.109375"/>
    <col min="12545" max="12556" width="11.6640625" customWidth="1"/>
    <col min="12557" max="12800" width="9.109375"/>
    <col min="12801" max="12812" width="11.6640625" customWidth="1"/>
    <col min="12813" max="13056" width="9.109375"/>
    <col min="13057" max="13068" width="11.6640625" customWidth="1"/>
    <col min="13069" max="13312" width="9.109375"/>
    <col min="13313" max="13324" width="11.6640625" customWidth="1"/>
    <col min="13325" max="13568" width="9.109375"/>
    <col min="13569" max="13580" width="11.6640625" customWidth="1"/>
    <col min="13581" max="13824" width="9.109375"/>
    <col min="13825" max="13836" width="11.6640625" customWidth="1"/>
    <col min="13837" max="14080" width="9.109375"/>
    <col min="14081" max="14092" width="11.6640625" customWidth="1"/>
    <col min="14093" max="14336" width="9.109375"/>
    <col min="14337" max="14348" width="11.6640625" customWidth="1"/>
    <col min="14349" max="14592" width="9.109375"/>
    <col min="14593" max="14604" width="11.6640625" customWidth="1"/>
    <col min="14605" max="14848" width="9.109375"/>
    <col min="14849" max="14860" width="11.6640625" customWidth="1"/>
    <col min="14861" max="15104" width="9.109375"/>
    <col min="15105" max="15116" width="11.6640625" customWidth="1"/>
    <col min="15117" max="15360" width="9.109375"/>
    <col min="15361" max="15372" width="11.6640625" customWidth="1"/>
    <col min="15373" max="15616" width="9.109375"/>
    <col min="15617" max="15628" width="11.6640625" customWidth="1"/>
    <col min="15629" max="15872" width="9.109375"/>
    <col min="15873" max="15884" width="11.6640625" customWidth="1"/>
    <col min="15885" max="16128" width="9.109375"/>
    <col min="16129" max="16140" width="11.6640625" customWidth="1"/>
    <col min="16141" max="16384" width="9.109375"/>
  </cols>
  <sheetData>
    <row r="1" spans="1:12" x14ac:dyDescent="0.3">
      <c r="A1" s="235" t="s">
        <v>224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</row>
    <row r="2" spans="1:12" x14ac:dyDescent="0.3">
      <c r="A2" s="62" t="str">
        <f>common!$H$2</f>
        <v>UT : PUDUCHERRY</v>
      </c>
      <c r="B2" s="62"/>
      <c r="C2" s="62"/>
      <c r="D2" s="62"/>
      <c r="E2" s="62"/>
      <c r="F2" s="62"/>
      <c r="G2" s="62"/>
      <c r="H2" s="236"/>
      <c r="I2" s="236"/>
      <c r="J2" s="236" t="s">
        <v>225</v>
      </c>
      <c r="K2" s="236"/>
      <c r="L2" s="236"/>
    </row>
    <row r="3" spans="1:12" x14ac:dyDescent="0.3">
      <c r="A3" s="237" t="str">
        <f>"COMPARISON OF ESTIMATES OF AVERAGE YIELD OF CROPS COVERED UNDER ICS WITH CES DURING "&amp; common!$C$8&amp; " TO "&amp;common!$C$4 &amp; "."</f>
        <v>COMPARISON OF ESTIMATES OF AVERAGE YIELD OF CROPS COVERED UNDER ICS WITH CES DURING 2020-21 TO 2024-25.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</row>
    <row r="4" spans="1:12" ht="14.4" customHeight="1" x14ac:dyDescent="0.3">
      <c r="A4" s="341" t="s">
        <v>226</v>
      </c>
      <c r="B4" s="344" t="s">
        <v>227</v>
      </c>
      <c r="C4" s="242" t="s">
        <v>228</v>
      </c>
      <c r="D4" s="242"/>
      <c r="E4" s="242" t="s">
        <v>229</v>
      </c>
      <c r="F4" s="242"/>
      <c r="G4" s="345" t="s">
        <v>289</v>
      </c>
      <c r="H4" s="241" t="s">
        <v>228</v>
      </c>
      <c r="I4" s="242"/>
      <c r="J4" s="242" t="s">
        <v>229</v>
      </c>
      <c r="K4" s="242"/>
      <c r="L4" s="345" t="s">
        <v>289</v>
      </c>
    </row>
    <row r="5" spans="1:12" ht="14.4" customHeight="1" x14ac:dyDescent="0.3">
      <c r="A5" s="342"/>
      <c r="B5" s="308"/>
      <c r="C5" s="333" t="s">
        <v>288</v>
      </c>
      <c r="D5" s="308" t="s">
        <v>230</v>
      </c>
      <c r="E5" s="333" t="s">
        <v>288</v>
      </c>
      <c r="F5" s="308" t="s">
        <v>230</v>
      </c>
      <c r="G5" s="243"/>
      <c r="H5" s="333" t="s">
        <v>288</v>
      </c>
      <c r="I5" s="308" t="s">
        <v>230</v>
      </c>
      <c r="J5" s="333" t="s">
        <v>288</v>
      </c>
      <c r="K5" s="308" t="s">
        <v>230</v>
      </c>
      <c r="L5" s="243"/>
    </row>
    <row r="6" spans="1:12" x14ac:dyDescent="0.3">
      <c r="A6" s="342"/>
      <c r="B6" s="308"/>
      <c r="C6" s="333"/>
      <c r="D6" s="308"/>
      <c r="E6" s="333"/>
      <c r="F6" s="308"/>
      <c r="G6" s="243"/>
      <c r="H6" s="333"/>
      <c r="I6" s="308"/>
      <c r="J6" s="333"/>
      <c r="K6" s="308"/>
      <c r="L6" s="243"/>
    </row>
    <row r="7" spans="1:12" x14ac:dyDescent="0.3">
      <c r="A7" s="343"/>
      <c r="B7" s="240"/>
      <c r="C7" s="334"/>
      <c r="D7" s="240"/>
      <c r="E7" s="334"/>
      <c r="F7" s="240"/>
      <c r="G7" s="244"/>
      <c r="H7" s="334"/>
      <c r="I7" s="240"/>
      <c r="J7" s="334"/>
      <c r="K7" s="240"/>
      <c r="L7" s="244"/>
    </row>
    <row r="8" spans="1:12" x14ac:dyDescent="0.3">
      <c r="A8" s="66">
        <f>-(1)</f>
        <v>-1</v>
      </c>
      <c r="B8" s="65">
        <v>-2</v>
      </c>
      <c r="C8" s="65">
        <v>-3</v>
      </c>
      <c r="D8" s="65">
        <v>-4</v>
      </c>
      <c r="E8" s="65">
        <v>-5</v>
      </c>
      <c r="F8" s="65">
        <v>-6</v>
      </c>
      <c r="G8" s="65">
        <v>-7</v>
      </c>
      <c r="H8" s="66">
        <v>-8</v>
      </c>
      <c r="I8" s="65">
        <v>-9</v>
      </c>
      <c r="J8" s="65">
        <v>-10</v>
      </c>
      <c r="K8" s="65">
        <v>-11</v>
      </c>
      <c r="L8" s="168">
        <v>-12</v>
      </c>
    </row>
    <row r="9" spans="1:12" ht="16.8" customHeight="1" x14ac:dyDescent="0.3">
      <c r="A9" s="169"/>
      <c r="B9" s="68"/>
      <c r="C9" s="335" t="str">
        <f>common!$J$4</f>
        <v>YEAR 2024-25</v>
      </c>
      <c r="D9" s="335"/>
      <c r="E9" s="335"/>
      <c r="F9" s="335"/>
      <c r="G9" s="335"/>
      <c r="H9" s="335" t="str">
        <f>common!$J$5</f>
        <v>YEAR 2023-24</v>
      </c>
      <c r="I9" s="335"/>
      <c r="J9" s="335"/>
      <c r="K9" s="335"/>
      <c r="L9" s="335"/>
    </row>
    <row r="10" spans="1:12" ht="16.8" customHeight="1" x14ac:dyDescent="0.3">
      <c r="A10" s="331" t="str">
        <f>common!$C$3&amp;"
RICE-II"</f>
        <v>RABI I
RICE-II</v>
      </c>
      <c r="B10" s="170" t="s">
        <v>16</v>
      </c>
      <c r="C10" s="171"/>
      <c r="D10" s="171"/>
      <c r="E10" s="171"/>
      <c r="F10" s="171"/>
      <c r="G10" s="163"/>
      <c r="H10" s="171"/>
      <c r="I10" s="171"/>
      <c r="J10" s="172"/>
      <c r="K10" s="172"/>
      <c r="L10" s="172"/>
    </row>
    <row r="11" spans="1:12" ht="16.8" customHeight="1" x14ac:dyDescent="0.3">
      <c r="A11" s="331"/>
      <c r="B11" s="173" t="s">
        <v>17</v>
      </c>
      <c r="C11" s="171"/>
      <c r="D11" s="171"/>
      <c r="E11" s="171"/>
      <c r="F11" s="171"/>
      <c r="G11" s="163"/>
      <c r="H11" s="171"/>
      <c r="I11" s="171"/>
      <c r="J11" s="172"/>
      <c r="K11" s="172"/>
      <c r="L11" s="172"/>
    </row>
    <row r="12" spans="1:12" ht="16.8" customHeight="1" x14ac:dyDescent="0.3">
      <c r="A12" s="331"/>
      <c r="B12" s="170" t="s">
        <v>18</v>
      </c>
      <c r="C12" s="171"/>
      <c r="D12" s="171"/>
      <c r="E12" s="171"/>
      <c r="F12" s="171"/>
      <c r="G12" s="163"/>
      <c r="H12" s="171"/>
      <c r="I12" s="171"/>
      <c r="J12" s="172"/>
      <c r="K12" s="172"/>
      <c r="L12" s="172"/>
    </row>
    <row r="13" spans="1:12" ht="16.8" customHeight="1" x14ac:dyDescent="0.3">
      <c r="A13" s="331" t="str">
        <f>common!$E$3&amp;"
RICE-III"</f>
        <v>RABI II
RICE-III</v>
      </c>
      <c r="B13" s="170" t="s">
        <v>16</v>
      </c>
      <c r="C13" s="171"/>
      <c r="D13" s="171"/>
      <c r="E13" s="171"/>
      <c r="F13" s="171"/>
      <c r="G13" s="163"/>
      <c r="H13" s="171"/>
      <c r="I13" s="171"/>
      <c r="J13" s="172"/>
      <c r="K13" s="172"/>
      <c r="L13" s="172"/>
    </row>
    <row r="14" spans="1:12" ht="16.8" customHeight="1" x14ac:dyDescent="0.3">
      <c r="A14" s="331"/>
      <c r="B14" s="173" t="s">
        <v>17</v>
      </c>
      <c r="C14" s="171"/>
      <c r="D14" s="171"/>
      <c r="E14" s="171"/>
      <c r="F14" s="171"/>
      <c r="G14" s="163"/>
      <c r="H14" s="171"/>
      <c r="I14" s="171"/>
      <c r="J14" s="172"/>
      <c r="K14" s="172"/>
      <c r="L14" s="172"/>
    </row>
    <row r="15" spans="1:12" ht="16.8" customHeight="1" x14ac:dyDescent="0.3">
      <c r="A15" s="331"/>
      <c r="B15" s="170" t="s">
        <v>18</v>
      </c>
      <c r="C15" s="171"/>
      <c r="D15" s="171"/>
      <c r="E15" s="171"/>
      <c r="F15" s="171"/>
      <c r="G15" s="163"/>
      <c r="H15" s="171"/>
      <c r="I15" s="171"/>
      <c r="J15" s="172"/>
      <c r="K15" s="172"/>
      <c r="L15" s="172"/>
    </row>
    <row r="16" spans="1:12" hidden="1" x14ac:dyDescent="0.3">
      <c r="A16" s="336" t="str">
        <f>'Annex-XXIV'!B13</f>
        <v/>
      </c>
      <c r="B16" s="68" t="s">
        <v>16</v>
      </c>
      <c r="C16" s="72"/>
      <c r="D16" s="72"/>
      <c r="E16" s="72"/>
      <c r="F16" s="72"/>
      <c r="G16" s="72"/>
      <c r="H16" s="73"/>
      <c r="I16" s="72"/>
      <c r="J16" s="174"/>
      <c r="K16" s="174"/>
      <c r="L16" s="175"/>
    </row>
    <row r="17" spans="1:12" hidden="1" x14ac:dyDescent="0.3">
      <c r="A17" s="336"/>
      <c r="B17" s="78" t="s">
        <v>17</v>
      </c>
      <c r="C17" s="72"/>
      <c r="D17" s="72"/>
      <c r="E17" s="72"/>
      <c r="F17" s="72"/>
      <c r="G17" s="72"/>
      <c r="H17" s="73"/>
      <c r="I17" s="72"/>
      <c r="J17" s="174"/>
      <c r="K17" s="174"/>
      <c r="L17" s="175"/>
    </row>
    <row r="18" spans="1:12" hidden="1" x14ac:dyDescent="0.3">
      <c r="A18" s="336"/>
      <c r="B18" s="68" t="s">
        <v>18</v>
      </c>
      <c r="C18" s="72"/>
      <c r="D18" s="72"/>
      <c r="E18" s="72"/>
      <c r="F18" s="72"/>
      <c r="G18" s="72"/>
      <c r="H18" s="73"/>
      <c r="I18" s="72"/>
      <c r="J18" s="174"/>
      <c r="K18" s="174"/>
      <c r="L18" s="175"/>
    </row>
    <row r="19" spans="1:12" hidden="1" x14ac:dyDescent="0.3">
      <c r="A19" s="337" t="s">
        <v>231</v>
      </c>
      <c r="B19" s="338"/>
      <c r="C19" s="72"/>
      <c r="D19" s="72"/>
      <c r="E19" s="72"/>
      <c r="F19" s="72"/>
      <c r="G19" s="72"/>
      <c r="H19" s="73"/>
      <c r="I19" s="72"/>
      <c r="J19" s="174"/>
      <c r="K19" s="174"/>
      <c r="L19" s="175"/>
    </row>
    <row r="20" spans="1:12" hidden="1" x14ac:dyDescent="0.3">
      <c r="A20" s="336" t="str">
        <f>'Annex-XXIV'!B17</f>
        <v/>
      </c>
      <c r="B20" s="68" t="s">
        <v>16</v>
      </c>
      <c r="C20" s="72"/>
      <c r="D20" s="72"/>
      <c r="E20" s="72"/>
      <c r="F20" s="72"/>
      <c r="G20" s="72"/>
      <c r="H20" s="73"/>
      <c r="I20" s="72"/>
      <c r="J20" s="174"/>
      <c r="K20" s="174"/>
      <c r="L20" s="175"/>
    </row>
    <row r="21" spans="1:12" hidden="1" x14ac:dyDescent="0.3">
      <c r="A21" s="336"/>
      <c r="B21" s="78" t="s">
        <v>17</v>
      </c>
      <c r="C21" s="72"/>
      <c r="D21" s="72"/>
      <c r="E21" s="72"/>
      <c r="F21" s="72"/>
      <c r="G21" s="72"/>
      <c r="H21" s="73"/>
      <c r="I21" s="72"/>
      <c r="J21" s="174"/>
      <c r="K21" s="174"/>
      <c r="L21" s="175"/>
    </row>
    <row r="22" spans="1:12" hidden="1" x14ac:dyDescent="0.3">
      <c r="A22" s="336"/>
      <c r="B22" s="68" t="s">
        <v>18</v>
      </c>
      <c r="C22" s="72"/>
      <c r="D22" s="72"/>
      <c r="E22" s="72"/>
      <c r="F22" s="72"/>
      <c r="G22" s="72"/>
      <c r="H22" s="73"/>
      <c r="I22" s="72"/>
      <c r="J22" s="174"/>
      <c r="K22" s="174"/>
      <c r="L22" s="175"/>
    </row>
    <row r="23" spans="1:12" hidden="1" x14ac:dyDescent="0.3">
      <c r="A23" s="337" t="s">
        <v>231</v>
      </c>
      <c r="B23" s="338"/>
      <c r="C23" s="72"/>
      <c r="D23" s="72"/>
      <c r="E23" s="72"/>
      <c r="F23" s="72"/>
      <c r="G23" s="72"/>
      <c r="H23" s="73"/>
      <c r="I23" s="72"/>
      <c r="J23" s="174"/>
      <c r="K23" s="174"/>
      <c r="L23" s="175"/>
    </row>
    <row r="24" spans="1:12" hidden="1" x14ac:dyDescent="0.3">
      <c r="A24" s="336" t="str">
        <f>'Annex-XXIV'!B21</f>
        <v/>
      </c>
      <c r="B24" s="68" t="s">
        <v>16</v>
      </c>
      <c r="C24" s="72"/>
      <c r="D24" s="72"/>
      <c r="E24" s="72"/>
      <c r="F24" s="72"/>
      <c r="G24" s="72"/>
      <c r="H24" s="73"/>
      <c r="I24" s="72"/>
      <c r="J24" s="174"/>
      <c r="K24" s="174"/>
      <c r="L24" s="175"/>
    </row>
    <row r="25" spans="1:12" hidden="1" x14ac:dyDescent="0.3">
      <c r="A25" s="336"/>
      <c r="B25" s="78" t="s">
        <v>17</v>
      </c>
      <c r="C25" s="72"/>
      <c r="D25" s="72"/>
      <c r="E25" s="72"/>
      <c r="F25" s="72"/>
      <c r="G25" s="72"/>
      <c r="H25" s="73"/>
      <c r="I25" s="72"/>
      <c r="J25" s="174"/>
      <c r="K25" s="174"/>
      <c r="L25" s="175"/>
    </row>
    <row r="26" spans="1:12" hidden="1" x14ac:dyDescent="0.3">
      <c r="A26" s="336"/>
      <c r="B26" s="68" t="s">
        <v>18</v>
      </c>
      <c r="C26" s="72"/>
      <c r="D26" s="72"/>
      <c r="E26" s="72"/>
      <c r="F26" s="72"/>
      <c r="G26" s="72"/>
      <c r="H26" s="73"/>
      <c r="I26" s="72"/>
      <c r="J26" s="174"/>
      <c r="K26" s="174"/>
      <c r="L26" s="175"/>
    </row>
    <row r="27" spans="1:12" hidden="1" x14ac:dyDescent="0.3">
      <c r="A27" s="337" t="s">
        <v>231</v>
      </c>
      <c r="B27" s="338"/>
      <c r="C27" s="72"/>
      <c r="D27" s="72"/>
      <c r="E27" s="72"/>
      <c r="F27" s="72"/>
      <c r="G27" s="72"/>
      <c r="H27" s="73"/>
      <c r="I27" s="72"/>
      <c r="J27" s="174"/>
      <c r="K27" s="174"/>
      <c r="L27" s="175"/>
    </row>
    <row r="28" spans="1:12" hidden="1" x14ac:dyDescent="0.3">
      <c r="A28" s="336" t="str">
        <f>'Annex-XXIV'!B25</f>
        <v/>
      </c>
      <c r="B28" s="68" t="s">
        <v>16</v>
      </c>
      <c r="C28" s="72"/>
      <c r="D28" s="72"/>
      <c r="E28" s="72"/>
      <c r="F28" s="72"/>
      <c r="G28" s="72"/>
      <c r="H28" s="73"/>
      <c r="I28" s="72"/>
      <c r="J28" s="174"/>
      <c r="K28" s="174"/>
      <c r="L28" s="175"/>
    </row>
    <row r="29" spans="1:12" hidden="1" x14ac:dyDescent="0.3">
      <c r="A29" s="336"/>
      <c r="B29" s="78" t="s">
        <v>17</v>
      </c>
      <c r="C29" s="72"/>
      <c r="D29" s="72"/>
      <c r="E29" s="72"/>
      <c r="F29" s="72"/>
      <c r="G29" s="72"/>
      <c r="H29" s="73"/>
      <c r="I29" s="72"/>
      <c r="J29" s="174"/>
      <c r="K29" s="174"/>
      <c r="L29" s="175"/>
    </row>
    <row r="30" spans="1:12" hidden="1" x14ac:dyDescent="0.3">
      <c r="A30" s="336"/>
      <c r="B30" s="68" t="s">
        <v>18</v>
      </c>
      <c r="C30" s="72"/>
      <c r="D30" s="72"/>
      <c r="E30" s="72"/>
      <c r="F30" s="72"/>
      <c r="G30" s="72"/>
      <c r="H30" s="73"/>
      <c r="I30" s="72"/>
      <c r="J30" s="174"/>
      <c r="K30" s="174"/>
      <c r="L30" s="175"/>
    </row>
    <row r="31" spans="1:12" hidden="1" x14ac:dyDescent="0.3">
      <c r="A31" s="337" t="s">
        <v>231</v>
      </c>
      <c r="B31" s="338"/>
      <c r="C31" s="72"/>
      <c r="D31" s="72"/>
      <c r="E31" s="72"/>
      <c r="F31" s="72"/>
      <c r="G31" s="72"/>
      <c r="H31" s="73"/>
      <c r="I31" s="72"/>
      <c r="J31" s="174"/>
      <c r="K31" s="174"/>
      <c r="L31" s="175"/>
    </row>
    <row r="32" spans="1:12" hidden="1" x14ac:dyDescent="0.3">
      <c r="A32" s="336" t="str">
        <f>'Annex-XXIV'!B29</f>
        <v/>
      </c>
      <c r="B32" s="68" t="s">
        <v>16</v>
      </c>
      <c r="C32" s="72"/>
      <c r="D32" s="72"/>
      <c r="E32" s="72"/>
      <c r="F32" s="72"/>
      <c r="G32" s="72"/>
      <c r="H32" s="73"/>
      <c r="I32" s="72"/>
      <c r="J32" s="174"/>
      <c r="K32" s="174"/>
      <c r="L32" s="175"/>
    </row>
    <row r="33" spans="1:12" hidden="1" x14ac:dyDescent="0.3">
      <c r="A33" s="336"/>
      <c r="B33" s="78" t="s">
        <v>17</v>
      </c>
      <c r="C33" s="72"/>
      <c r="D33" s="72"/>
      <c r="E33" s="72"/>
      <c r="F33" s="72"/>
      <c r="G33" s="72"/>
      <c r="H33" s="73"/>
      <c r="I33" s="72"/>
      <c r="J33" s="174"/>
      <c r="K33" s="174"/>
      <c r="L33" s="175"/>
    </row>
    <row r="34" spans="1:12" hidden="1" x14ac:dyDescent="0.3">
      <c r="A34" s="336"/>
      <c r="B34" s="68" t="s">
        <v>18</v>
      </c>
      <c r="C34" s="72"/>
      <c r="D34" s="72"/>
      <c r="E34" s="72"/>
      <c r="F34" s="72"/>
      <c r="G34" s="72"/>
      <c r="H34" s="73"/>
      <c r="I34" s="72"/>
      <c r="J34" s="174"/>
      <c r="K34" s="174"/>
      <c r="L34" s="175"/>
    </row>
    <row r="35" spans="1:12" hidden="1" x14ac:dyDescent="0.3">
      <c r="A35" s="337" t="s">
        <v>231</v>
      </c>
      <c r="B35" s="338"/>
      <c r="C35" s="72"/>
      <c r="D35" s="72"/>
      <c r="E35" s="72"/>
      <c r="F35" s="72"/>
      <c r="G35" s="72"/>
      <c r="H35" s="73"/>
      <c r="I35" s="72"/>
      <c r="J35" s="174"/>
      <c r="K35" s="174"/>
      <c r="L35" s="175"/>
    </row>
    <row r="36" spans="1:12" hidden="1" x14ac:dyDescent="0.3">
      <c r="A36" s="336" t="str">
        <f>'Annex-XXIV'!B33</f>
        <v/>
      </c>
      <c r="B36" s="68" t="s">
        <v>16</v>
      </c>
      <c r="C36" s="72"/>
      <c r="D36" s="72"/>
      <c r="E36" s="72"/>
      <c r="F36" s="72"/>
      <c r="G36" s="72"/>
      <c r="H36" s="73"/>
      <c r="I36" s="72"/>
      <c r="J36" s="174"/>
      <c r="K36" s="174"/>
      <c r="L36" s="175"/>
    </row>
    <row r="37" spans="1:12" hidden="1" x14ac:dyDescent="0.3">
      <c r="A37" s="336"/>
      <c r="B37" s="78" t="s">
        <v>17</v>
      </c>
      <c r="C37" s="72"/>
      <c r="D37" s="72"/>
      <c r="E37" s="72"/>
      <c r="F37" s="72"/>
      <c r="G37" s="72"/>
      <c r="H37" s="73"/>
      <c r="I37" s="72"/>
      <c r="J37" s="174"/>
      <c r="K37" s="174"/>
      <c r="L37" s="175"/>
    </row>
    <row r="38" spans="1:12" hidden="1" x14ac:dyDescent="0.3">
      <c r="A38" s="336"/>
      <c r="B38" s="68" t="s">
        <v>18</v>
      </c>
      <c r="C38" s="72"/>
      <c r="D38" s="72"/>
      <c r="E38" s="72"/>
      <c r="F38" s="72"/>
      <c r="G38" s="72"/>
      <c r="H38" s="73"/>
      <c r="I38" s="72"/>
      <c r="J38" s="174"/>
      <c r="K38" s="174"/>
      <c r="L38" s="175"/>
    </row>
    <row r="39" spans="1:12" hidden="1" x14ac:dyDescent="0.3">
      <c r="A39" s="337" t="s">
        <v>231</v>
      </c>
      <c r="B39" s="338"/>
      <c r="C39" s="72"/>
      <c r="D39" s="72"/>
      <c r="E39" s="72"/>
      <c r="F39" s="72"/>
      <c r="G39" s="72"/>
      <c r="H39" s="73"/>
      <c r="I39" s="72"/>
      <c r="J39" s="174"/>
      <c r="K39" s="174"/>
      <c r="L39" s="175"/>
    </row>
    <row r="40" spans="1:12" hidden="1" x14ac:dyDescent="0.3">
      <c r="A40" s="336" t="str">
        <f>'Annex-XXIV'!B37</f>
        <v/>
      </c>
      <c r="B40" s="68" t="s">
        <v>16</v>
      </c>
      <c r="C40" s="72"/>
      <c r="D40" s="72"/>
      <c r="E40" s="72"/>
      <c r="F40" s="72"/>
      <c r="G40" s="72"/>
      <c r="H40" s="73"/>
      <c r="I40" s="72"/>
      <c r="J40" s="174"/>
      <c r="K40" s="174"/>
      <c r="L40" s="175"/>
    </row>
    <row r="41" spans="1:12" hidden="1" x14ac:dyDescent="0.3">
      <c r="A41" s="336"/>
      <c r="B41" s="78" t="s">
        <v>17</v>
      </c>
      <c r="C41" s="72"/>
      <c r="D41" s="72"/>
      <c r="E41" s="72"/>
      <c r="F41" s="72"/>
      <c r="G41" s="72"/>
      <c r="H41" s="73"/>
      <c r="I41" s="72"/>
      <c r="J41" s="174"/>
      <c r="K41" s="174"/>
      <c r="L41" s="175"/>
    </row>
    <row r="42" spans="1:12" hidden="1" x14ac:dyDescent="0.3">
      <c r="A42" s="336"/>
      <c r="B42" s="68" t="s">
        <v>18</v>
      </c>
      <c r="C42" s="72"/>
      <c r="D42" s="72"/>
      <c r="E42" s="72"/>
      <c r="F42" s="72"/>
      <c r="G42" s="72"/>
      <c r="H42" s="73"/>
      <c r="I42" s="72"/>
      <c r="J42" s="174"/>
      <c r="K42" s="174"/>
      <c r="L42" s="175"/>
    </row>
    <row r="43" spans="1:12" hidden="1" x14ac:dyDescent="0.3">
      <c r="A43" s="337" t="s">
        <v>231</v>
      </c>
      <c r="B43" s="338"/>
      <c r="C43" s="72"/>
      <c r="D43" s="72"/>
      <c r="E43" s="72"/>
      <c r="F43" s="72"/>
      <c r="G43" s="72"/>
      <c r="H43" s="73"/>
      <c r="I43" s="72"/>
      <c r="J43" s="174"/>
      <c r="K43" s="174"/>
      <c r="L43" s="175"/>
    </row>
    <row r="44" spans="1:12" hidden="1" x14ac:dyDescent="0.3">
      <c r="A44" s="336" t="str">
        <f>'Annex-XXIV'!B41</f>
        <v/>
      </c>
      <c r="B44" s="68" t="s">
        <v>16</v>
      </c>
      <c r="C44" s="72"/>
      <c r="D44" s="72"/>
      <c r="E44" s="72"/>
      <c r="F44" s="72"/>
      <c r="G44" s="72"/>
      <c r="H44" s="73"/>
      <c r="I44" s="72"/>
      <c r="J44" s="174"/>
      <c r="K44" s="174"/>
      <c r="L44" s="175"/>
    </row>
    <row r="45" spans="1:12" hidden="1" x14ac:dyDescent="0.3">
      <c r="A45" s="336"/>
      <c r="B45" s="78" t="s">
        <v>17</v>
      </c>
      <c r="C45" s="72"/>
      <c r="D45" s="72"/>
      <c r="E45" s="72"/>
      <c r="F45" s="72"/>
      <c r="G45" s="72"/>
      <c r="H45" s="73"/>
      <c r="I45" s="72"/>
      <c r="J45" s="174"/>
      <c r="K45" s="174"/>
      <c r="L45" s="175"/>
    </row>
    <row r="46" spans="1:12" hidden="1" x14ac:dyDescent="0.3">
      <c r="A46" s="336"/>
      <c r="B46" s="68" t="s">
        <v>18</v>
      </c>
      <c r="C46" s="72"/>
      <c r="D46" s="72"/>
      <c r="E46" s="72"/>
      <c r="F46" s="72"/>
      <c r="G46" s="72"/>
      <c r="H46" s="73"/>
      <c r="I46" s="72"/>
      <c r="J46" s="174"/>
      <c r="K46" s="174"/>
      <c r="L46" s="175"/>
    </row>
    <row r="47" spans="1:12" hidden="1" x14ac:dyDescent="0.3">
      <c r="A47" s="337" t="s">
        <v>231</v>
      </c>
      <c r="B47" s="338"/>
      <c r="C47" s="72"/>
      <c r="D47" s="72"/>
      <c r="E47" s="72"/>
      <c r="F47" s="72"/>
      <c r="G47" s="72"/>
      <c r="H47" s="73"/>
      <c r="I47" s="72"/>
      <c r="J47" s="174"/>
      <c r="K47" s="174"/>
      <c r="L47" s="175"/>
    </row>
    <row r="48" spans="1:12" hidden="1" x14ac:dyDescent="0.3">
      <c r="A48" s="336" t="str">
        <f>'Annex-XXIV'!B45</f>
        <v/>
      </c>
      <c r="B48" s="68" t="s">
        <v>16</v>
      </c>
      <c r="C48" s="72"/>
      <c r="D48" s="72"/>
      <c r="E48" s="72"/>
      <c r="F48" s="72"/>
      <c r="G48" s="72"/>
      <c r="H48" s="73"/>
      <c r="I48" s="72"/>
      <c r="J48" s="174"/>
      <c r="K48" s="174"/>
      <c r="L48" s="175"/>
    </row>
    <row r="49" spans="1:12" hidden="1" x14ac:dyDescent="0.3">
      <c r="A49" s="336"/>
      <c r="B49" s="78" t="s">
        <v>17</v>
      </c>
      <c r="C49" s="72"/>
      <c r="D49" s="72"/>
      <c r="E49" s="72"/>
      <c r="F49" s="72"/>
      <c r="G49" s="72"/>
      <c r="H49" s="73"/>
      <c r="I49" s="72"/>
      <c r="J49" s="174"/>
      <c r="K49" s="174"/>
      <c r="L49" s="175"/>
    </row>
    <row r="50" spans="1:12" hidden="1" x14ac:dyDescent="0.3">
      <c r="A50" s="336"/>
      <c r="B50" s="68" t="s">
        <v>18</v>
      </c>
      <c r="C50" s="72"/>
      <c r="D50" s="72"/>
      <c r="E50" s="72"/>
      <c r="F50" s="72"/>
      <c r="G50" s="72"/>
      <c r="H50" s="73"/>
      <c r="I50" s="72"/>
      <c r="J50" s="174"/>
      <c r="K50" s="174"/>
      <c r="L50" s="175"/>
    </row>
    <row r="51" spans="1:12" hidden="1" x14ac:dyDescent="0.3">
      <c r="A51" s="337" t="s">
        <v>231</v>
      </c>
      <c r="B51" s="338"/>
      <c r="C51" s="72"/>
      <c r="D51" s="72"/>
      <c r="E51" s="72"/>
      <c r="F51" s="72"/>
      <c r="G51" s="72"/>
      <c r="H51" s="73"/>
      <c r="I51" s="72"/>
      <c r="J51" s="174"/>
      <c r="K51" s="174"/>
      <c r="L51" s="175"/>
    </row>
    <row r="52" spans="1:12" hidden="1" x14ac:dyDescent="0.3">
      <c r="A52" s="336" t="str">
        <f>'Annex-XXIV'!B49</f>
        <v/>
      </c>
      <c r="B52" s="68" t="s">
        <v>16</v>
      </c>
      <c r="C52" s="72"/>
      <c r="D52" s="72"/>
      <c r="E52" s="72"/>
      <c r="F52" s="72"/>
      <c r="G52" s="72"/>
      <c r="H52" s="73"/>
      <c r="I52" s="72"/>
      <c r="J52" s="174"/>
      <c r="K52" s="174"/>
      <c r="L52" s="175"/>
    </row>
    <row r="53" spans="1:12" hidden="1" x14ac:dyDescent="0.3">
      <c r="A53" s="336"/>
      <c r="B53" s="78" t="s">
        <v>17</v>
      </c>
      <c r="C53" s="72"/>
      <c r="D53" s="72"/>
      <c r="E53" s="72"/>
      <c r="F53" s="72"/>
      <c r="G53" s="72"/>
      <c r="H53" s="73"/>
      <c r="I53" s="72"/>
      <c r="J53" s="174"/>
      <c r="K53" s="174"/>
      <c r="L53" s="175"/>
    </row>
    <row r="54" spans="1:12" hidden="1" x14ac:dyDescent="0.3">
      <c r="A54" s="336"/>
      <c r="B54" s="68" t="s">
        <v>18</v>
      </c>
      <c r="C54" s="72"/>
      <c r="D54" s="72"/>
      <c r="E54" s="72"/>
      <c r="F54" s="72"/>
      <c r="G54" s="72"/>
      <c r="H54" s="73"/>
      <c r="I54" s="72"/>
      <c r="J54" s="174"/>
      <c r="K54" s="174"/>
      <c r="L54" s="175"/>
    </row>
    <row r="55" spans="1:12" hidden="1" x14ac:dyDescent="0.3">
      <c r="A55" s="337" t="s">
        <v>231</v>
      </c>
      <c r="B55" s="338"/>
      <c r="C55" s="72"/>
      <c r="D55" s="72"/>
      <c r="E55" s="72"/>
      <c r="F55" s="72"/>
      <c r="G55" s="72"/>
      <c r="H55" s="73"/>
      <c r="I55" s="72"/>
      <c r="J55" s="174"/>
      <c r="K55" s="174"/>
      <c r="L55" s="175"/>
    </row>
    <row r="56" spans="1:12" hidden="1" x14ac:dyDescent="0.3">
      <c r="A56" s="336" t="str">
        <f>'Annex-XXIV'!B53</f>
        <v/>
      </c>
      <c r="B56" s="68" t="s">
        <v>16</v>
      </c>
      <c r="C56" s="72"/>
      <c r="D56" s="72"/>
      <c r="E56" s="72"/>
      <c r="F56" s="72"/>
      <c r="G56" s="72"/>
      <c r="H56" s="73"/>
      <c r="I56" s="72"/>
      <c r="J56" s="174"/>
      <c r="K56" s="174"/>
      <c r="L56" s="175"/>
    </row>
    <row r="57" spans="1:12" hidden="1" x14ac:dyDescent="0.3">
      <c r="A57" s="336"/>
      <c r="B57" s="78" t="s">
        <v>17</v>
      </c>
      <c r="C57" s="72"/>
      <c r="D57" s="72"/>
      <c r="E57" s="72"/>
      <c r="F57" s="72"/>
      <c r="G57" s="72"/>
      <c r="H57" s="73"/>
      <c r="I57" s="72"/>
      <c r="J57" s="174"/>
      <c r="K57" s="174"/>
      <c r="L57" s="175"/>
    </row>
    <row r="58" spans="1:12" hidden="1" x14ac:dyDescent="0.3">
      <c r="A58" s="336"/>
      <c r="B58" s="68" t="s">
        <v>18</v>
      </c>
      <c r="C58" s="72"/>
      <c r="D58" s="72"/>
      <c r="E58" s="72"/>
      <c r="F58" s="72"/>
      <c r="G58" s="72"/>
      <c r="H58" s="73"/>
      <c r="I58" s="72"/>
      <c r="J58" s="174"/>
      <c r="K58" s="174"/>
      <c r="L58" s="175"/>
    </row>
    <row r="59" spans="1:12" hidden="1" x14ac:dyDescent="0.3">
      <c r="A59" s="337" t="s">
        <v>231</v>
      </c>
      <c r="B59" s="338"/>
      <c r="C59" s="72"/>
      <c r="D59" s="72"/>
      <c r="E59" s="72"/>
      <c r="F59" s="72"/>
      <c r="G59" s="72"/>
      <c r="H59" s="73"/>
      <c r="I59" s="72"/>
      <c r="J59" s="174"/>
      <c r="K59" s="174"/>
      <c r="L59" s="175"/>
    </row>
    <row r="60" spans="1:12" hidden="1" x14ac:dyDescent="0.3">
      <c r="A60" s="336" t="str">
        <f>'Annex-XXIV'!B57</f>
        <v/>
      </c>
      <c r="B60" s="68" t="s">
        <v>16</v>
      </c>
      <c r="C60" s="72"/>
      <c r="D60" s="72"/>
      <c r="E60" s="72"/>
      <c r="F60" s="72"/>
      <c r="G60" s="72"/>
      <c r="H60" s="73"/>
      <c r="I60" s="72"/>
      <c r="J60" s="174"/>
      <c r="K60" s="174"/>
      <c r="L60" s="175"/>
    </row>
    <row r="61" spans="1:12" hidden="1" x14ac:dyDescent="0.3">
      <c r="A61" s="336"/>
      <c r="B61" s="78" t="s">
        <v>17</v>
      </c>
      <c r="C61" s="72"/>
      <c r="D61" s="72"/>
      <c r="E61" s="72"/>
      <c r="F61" s="72"/>
      <c r="G61" s="72"/>
      <c r="H61" s="73"/>
      <c r="I61" s="72"/>
      <c r="J61" s="174"/>
      <c r="K61" s="174"/>
      <c r="L61" s="175"/>
    </row>
    <row r="62" spans="1:12" hidden="1" x14ac:dyDescent="0.3">
      <c r="A62" s="336"/>
      <c r="B62" s="68" t="s">
        <v>18</v>
      </c>
      <c r="C62" s="72"/>
      <c r="D62" s="72"/>
      <c r="E62" s="72"/>
      <c r="F62" s="72"/>
      <c r="G62" s="72"/>
      <c r="H62" s="73"/>
      <c r="I62" s="72"/>
      <c r="J62" s="174"/>
      <c r="K62" s="174"/>
      <c r="L62" s="175"/>
    </row>
    <row r="63" spans="1:12" hidden="1" x14ac:dyDescent="0.3">
      <c r="A63" s="337" t="s">
        <v>231</v>
      </c>
      <c r="B63" s="338"/>
      <c r="C63" s="72"/>
      <c r="D63" s="72"/>
      <c r="E63" s="72"/>
      <c r="F63" s="72"/>
      <c r="G63" s="72"/>
      <c r="H63" s="73"/>
      <c r="I63" s="72"/>
      <c r="J63" s="174"/>
      <c r="K63" s="174"/>
      <c r="L63" s="175"/>
    </row>
    <row r="64" spans="1:12" hidden="1" x14ac:dyDescent="0.3">
      <c r="A64" s="336" t="str">
        <f>'Annex-XXIV'!B61</f>
        <v/>
      </c>
      <c r="B64" s="68" t="s">
        <v>16</v>
      </c>
      <c r="C64" s="72"/>
      <c r="D64" s="72"/>
      <c r="E64" s="72"/>
      <c r="F64" s="72"/>
      <c r="G64" s="72"/>
      <c r="H64" s="73"/>
      <c r="I64" s="72"/>
      <c r="J64" s="174"/>
      <c r="K64" s="174"/>
      <c r="L64" s="175"/>
    </row>
    <row r="65" spans="1:12" hidden="1" x14ac:dyDescent="0.3">
      <c r="A65" s="336"/>
      <c r="B65" s="78" t="s">
        <v>17</v>
      </c>
      <c r="C65" s="72"/>
      <c r="D65" s="72"/>
      <c r="E65" s="72"/>
      <c r="F65" s="72"/>
      <c r="G65" s="72"/>
      <c r="H65" s="73"/>
      <c r="I65" s="72"/>
      <c r="J65" s="174"/>
      <c r="K65" s="174"/>
      <c r="L65" s="175"/>
    </row>
    <row r="66" spans="1:12" hidden="1" x14ac:dyDescent="0.3">
      <c r="A66" s="336"/>
      <c r="B66" s="68" t="s">
        <v>18</v>
      </c>
      <c r="C66" s="72"/>
      <c r="D66" s="72"/>
      <c r="E66" s="72"/>
      <c r="F66" s="72"/>
      <c r="G66" s="72"/>
      <c r="H66" s="73"/>
      <c r="I66" s="72"/>
      <c r="J66" s="174"/>
      <c r="K66" s="174"/>
      <c r="L66" s="175"/>
    </row>
    <row r="67" spans="1:12" hidden="1" x14ac:dyDescent="0.3">
      <c r="A67" s="337"/>
      <c r="B67" s="338"/>
      <c r="C67" s="72"/>
      <c r="D67" s="72"/>
      <c r="E67" s="72"/>
      <c r="F67" s="72"/>
      <c r="G67" s="72"/>
      <c r="H67" s="73"/>
      <c r="I67" s="72"/>
      <c r="J67" s="174"/>
      <c r="K67" s="174"/>
      <c r="L67" s="175"/>
    </row>
    <row r="68" spans="1:12" hidden="1" x14ac:dyDescent="0.3">
      <c r="A68" s="336" t="str">
        <f>'Annex-XXIV'!B65</f>
        <v/>
      </c>
      <c r="B68" s="68" t="s">
        <v>16</v>
      </c>
      <c r="C68" s="72"/>
      <c r="D68" s="72"/>
      <c r="E68" s="72"/>
      <c r="F68" s="72"/>
      <c r="G68" s="72"/>
      <c r="H68" s="73"/>
      <c r="I68" s="72"/>
      <c r="J68" s="174"/>
      <c r="K68" s="174"/>
      <c r="L68" s="175"/>
    </row>
    <row r="69" spans="1:12" hidden="1" x14ac:dyDescent="0.3">
      <c r="A69" s="336"/>
      <c r="B69" s="78" t="s">
        <v>17</v>
      </c>
      <c r="C69" s="72"/>
      <c r="D69" s="72"/>
      <c r="E69" s="72"/>
      <c r="F69" s="72"/>
      <c r="G69" s="72"/>
      <c r="H69" s="73"/>
      <c r="I69" s="72"/>
      <c r="J69" s="174"/>
      <c r="K69" s="174"/>
      <c r="L69" s="175"/>
    </row>
    <row r="70" spans="1:12" hidden="1" x14ac:dyDescent="0.3">
      <c r="A70" s="336"/>
      <c r="B70" s="68" t="s">
        <v>18</v>
      </c>
      <c r="C70" s="72"/>
      <c r="D70" s="72"/>
      <c r="E70" s="72"/>
      <c r="F70" s="72"/>
      <c r="G70" s="72"/>
      <c r="H70" s="73"/>
      <c r="I70" s="72"/>
      <c r="J70" s="174"/>
      <c r="K70" s="174"/>
      <c r="L70" s="175"/>
    </row>
    <row r="71" spans="1:12" ht="16.8" customHeight="1" x14ac:dyDescent="0.3">
      <c r="A71" s="339" t="s">
        <v>231</v>
      </c>
      <c r="B71" s="340"/>
      <c r="C71" s="335" t="str">
        <f>common!$J$6</f>
        <v>YEAR 2022-23</v>
      </c>
      <c r="D71" s="335"/>
      <c r="E71" s="335"/>
      <c r="F71" s="335"/>
      <c r="G71" s="335"/>
      <c r="H71" s="335" t="str">
        <f>common!$J$7</f>
        <v>YEAR 2021-22</v>
      </c>
      <c r="I71" s="335"/>
      <c r="J71" s="335"/>
      <c r="K71" s="335"/>
      <c r="L71" s="335"/>
    </row>
    <row r="72" spans="1:12" ht="16.8" customHeight="1" x14ac:dyDescent="0.3">
      <c r="A72" s="331" t="str">
        <f>A10</f>
        <v>RABI I
RICE-II</v>
      </c>
      <c r="B72" s="170" t="s">
        <v>16</v>
      </c>
      <c r="C72" s="171"/>
      <c r="D72" s="171"/>
      <c r="E72" s="171"/>
      <c r="F72" s="171"/>
      <c r="G72" s="163"/>
      <c r="H72" s="171"/>
      <c r="I72" s="171"/>
      <c r="J72" s="172"/>
      <c r="K72" s="172"/>
      <c r="L72" s="172"/>
    </row>
    <row r="73" spans="1:12" ht="16.8" customHeight="1" x14ac:dyDescent="0.3">
      <c r="A73" s="331"/>
      <c r="B73" s="173" t="s">
        <v>17</v>
      </c>
      <c r="C73" s="171"/>
      <c r="D73" s="171"/>
      <c r="E73" s="171"/>
      <c r="F73" s="171"/>
      <c r="G73" s="163"/>
      <c r="H73" s="171"/>
      <c r="I73" s="171"/>
      <c r="J73" s="172"/>
      <c r="K73" s="172"/>
      <c r="L73" s="172"/>
    </row>
    <row r="74" spans="1:12" ht="16.8" customHeight="1" x14ac:dyDescent="0.3">
      <c r="A74" s="331"/>
      <c r="B74" s="170" t="s">
        <v>18</v>
      </c>
      <c r="C74" s="171"/>
      <c r="D74" s="171"/>
      <c r="E74" s="171"/>
      <c r="F74" s="171"/>
      <c r="G74" s="163"/>
      <c r="H74" s="171"/>
      <c r="I74" s="171"/>
      <c r="J74" s="172"/>
      <c r="K74" s="172"/>
      <c r="L74" s="172"/>
    </row>
    <row r="75" spans="1:12" ht="16.8" customHeight="1" x14ac:dyDescent="0.3">
      <c r="A75" s="331" t="str">
        <f>A13</f>
        <v>RABI II
RICE-III</v>
      </c>
      <c r="B75" s="170" t="s">
        <v>16</v>
      </c>
      <c r="C75" s="171"/>
      <c r="D75" s="171"/>
      <c r="E75" s="171"/>
      <c r="F75" s="171"/>
      <c r="G75" s="163"/>
      <c r="H75" s="171"/>
      <c r="I75" s="171"/>
      <c r="J75" s="172"/>
      <c r="K75" s="172"/>
      <c r="L75" s="172"/>
    </row>
    <row r="76" spans="1:12" ht="16.8" customHeight="1" x14ac:dyDescent="0.3">
      <c r="A76" s="331"/>
      <c r="B76" s="173" t="s">
        <v>17</v>
      </c>
      <c r="C76" s="171"/>
      <c r="D76" s="171"/>
      <c r="E76" s="171"/>
      <c r="F76" s="171"/>
      <c r="G76" s="163"/>
      <c r="H76" s="171"/>
      <c r="I76" s="171"/>
      <c r="J76" s="172"/>
      <c r="K76" s="172"/>
      <c r="L76" s="172"/>
    </row>
    <row r="77" spans="1:12" ht="16.8" customHeight="1" x14ac:dyDescent="0.3">
      <c r="A77" s="331"/>
      <c r="B77" s="170" t="s">
        <v>18</v>
      </c>
      <c r="C77" s="171"/>
      <c r="D77" s="171"/>
      <c r="E77" s="171"/>
      <c r="F77" s="171"/>
      <c r="G77" s="163"/>
      <c r="H77" s="171"/>
      <c r="I77" s="171"/>
      <c r="J77" s="172"/>
      <c r="K77" s="172"/>
      <c r="L77" s="172"/>
    </row>
    <row r="78" spans="1:12" hidden="1" x14ac:dyDescent="0.3">
      <c r="A78" s="337" t="s">
        <v>231</v>
      </c>
      <c r="B78" s="338"/>
      <c r="C78" s="72"/>
      <c r="D78" s="72"/>
      <c r="E78" s="72"/>
      <c r="F78" s="72"/>
      <c r="G78" s="72"/>
      <c r="H78" s="73"/>
      <c r="I78" s="72"/>
      <c r="J78" s="174"/>
      <c r="K78" s="174"/>
      <c r="L78" s="175"/>
    </row>
    <row r="79" spans="1:12" hidden="1" x14ac:dyDescent="0.3">
      <c r="A79" s="336" t="str">
        <f>A16</f>
        <v/>
      </c>
      <c r="B79" s="68" t="s">
        <v>16</v>
      </c>
      <c r="C79" s="72"/>
      <c r="D79" s="72"/>
      <c r="E79" s="72"/>
      <c r="F79" s="72"/>
      <c r="G79" s="72"/>
      <c r="H79" s="73"/>
      <c r="I79" s="72"/>
      <c r="J79" s="174"/>
      <c r="K79" s="174"/>
      <c r="L79" s="175"/>
    </row>
    <row r="80" spans="1:12" hidden="1" x14ac:dyDescent="0.3">
      <c r="A80" s="336"/>
      <c r="B80" s="78" t="s">
        <v>17</v>
      </c>
      <c r="C80" s="72"/>
      <c r="D80" s="72"/>
      <c r="E80" s="72"/>
      <c r="F80" s="72"/>
      <c r="G80" s="72"/>
      <c r="H80" s="73"/>
      <c r="I80" s="72"/>
      <c r="J80" s="174"/>
      <c r="K80" s="174"/>
      <c r="L80" s="175"/>
    </row>
    <row r="81" spans="1:12" hidden="1" x14ac:dyDescent="0.3">
      <c r="A81" s="336"/>
      <c r="B81" s="68" t="s">
        <v>18</v>
      </c>
      <c r="C81" s="72"/>
      <c r="D81" s="72"/>
      <c r="E81" s="72"/>
      <c r="F81" s="72"/>
      <c r="G81" s="72"/>
      <c r="H81" s="73"/>
      <c r="I81" s="72"/>
      <c r="J81" s="174"/>
      <c r="K81" s="174"/>
      <c r="L81" s="175"/>
    </row>
    <row r="82" spans="1:12" hidden="1" x14ac:dyDescent="0.3">
      <c r="A82" s="337" t="s">
        <v>231</v>
      </c>
      <c r="B82" s="338"/>
      <c r="C82" s="72"/>
      <c r="D82" s="72"/>
      <c r="E82" s="72"/>
      <c r="F82" s="72"/>
      <c r="G82" s="72"/>
      <c r="H82" s="73"/>
      <c r="I82" s="72"/>
      <c r="J82" s="174"/>
      <c r="K82" s="174"/>
      <c r="L82" s="175"/>
    </row>
    <row r="83" spans="1:12" hidden="1" x14ac:dyDescent="0.3">
      <c r="A83" s="336" t="str">
        <f>A20</f>
        <v/>
      </c>
      <c r="B83" s="68" t="s">
        <v>16</v>
      </c>
      <c r="C83" s="72"/>
      <c r="D83" s="72"/>
      <c r="E83" s="72"/>
      <c r="F83" s="72"/>
      <c r="G83" s="72"/>
      <c r="H83" s="73"/>
      <c r="I83" s="72"/>
      <c r="J83" s="174"/>
      <c r="K83" s="174"/>
      <c r="L83" s="175"/>
    </row>
    <row r="84" spans="1:12" hidden="1" x14ac:dyDescent="0.3">
      <c r="A84" s="336"/>
      <c r="B84" s="78" t="s">
        <v>17</v>
      </c>
      <c r="C84" s="72"/>
      <c r="D84" s="72"/>
      <c r="E84" s="72"/>
      <c r="F84" s="72"/>
      <c r="G84" s="72"/>
      <c r="H84" s="73"/>
      <c r="I84" s="72"/>
      <c r="J84" s="174"/>
      <c r="K84" s="174"/>
      <c r="L84" s="175"/>
    </row>
    <row r="85" spans="1:12" hidden="1" x14ac:dyDescent="0.3">
      <c r="A85" s="336"/>
      <c r="B85" s="68" t="s">
        <v>18</v>
      </c>
      <c r="C85" s="72"/>
      <c r="D85" s="72"/>
      <c r="E85" s="72"/>
      <c r="F85" s="72"/>
      <c r="G85" s="72"/>
      <c r="H85" s="73"/>
      <c r="I85" s="72"/>
      <c r="J85" s="174"/>
      <c r="K85" s="174"/>
      <c r="L85" s="175"/>
    </row>
    <row r="86" spans="1:12" hidden="1" x14ac:dyDescent="0.3">
      <c r="A86" s="337" t="s">
        <v>231</v>
      </c>
      <c r="B86" s="338"/>
      <c r="C86" s="72"/>
      <c r="D86" s="72"/>
      <c r="E86" s="72"/>
      <c r="F86" s="72"/>
      <c r="G86" s="72"/>
      <c r="H86" s="73"/>
      <c r="I86" s="72"/>
      <c r="J86" s="174"/>
      <c r="K86" s="174"/>
      <c r="L86" s="175"/>
    </row>
    <row r="87" spans="1:12" hidden="1" x14ac:dyDescent="0.3">
      <c r="A87" s="336" t="str">
        <f>A24</f>
        <v/>
      </c>
      <c r="B87" s="68" t="s">
        <v>16</v>
      </c>
      <c r="C87" s="72"/>
      <c r="D87" s="72"/>
      <c r="E87" s="72"/>
      <c r="F87" s="72"/>
      <c r="G87" s="72"/>
      <c r="H87" s="73"/>
      <c r="I87" s="72"/>
      <c r="J87" s="174"/>
      <c r="K87" s="174"/>
      <c r="L87" s="175"/>
    </row>
    <row r="88" spans="1:12" hidden="1" x14ac:dyDescent="0.3">
      <c r="A88" s="336"/>
      <c r="B88" s="78" t="s">
        <v>17</v>
      </c>
      <c r="C88" s="72"/>
      <c r="D88" s="72"/>
      <c r="E88" s="72"/>
      <c r="F88" s="72"/>
      <c r="G88" s="72"/>
      <c r="H88" s="73"/>
      <c r="I88" s="72"/>
      <c r="J88" s="174"/>
      <c r="K88" s="174"/>
      <c r="L88" s="175"/>
    </row>
    <row r="89" spans="1:12" hidden="1" x14ac:dyDescent="0.3">
      <c r="A89" s="336"/>
      <c r="B89" s="68" t="s">
        <v>18</v>
      </c>
      <c r="C89" s="72"/>
      <c r="D89" s="72"/>
      <c r="E89" s="72"/>
      <c r="F89" s="72"/>
      <c r="G89" s="72"/>
      <c r="H89" s="73"/>
      <c r="I89" s="72"/>
      <c r="J89" s="174"/>
      <c r="K89" s="174"/>
      <c r="L89" s="175"/>
    </row>
    <row r="90" spans="1:12" hidden="1" x14ac:dyDescent="0.3">
      <c r="A90" s="337" t="s">
        <v>231</v>
      </c>
      <c r="B90" s="338"/>
      <c r="C90" s="72"/>
      <c r="D90" s="72"/>
      <c r="E90" s="72"/>
      <c r="F90" s="72"/>
      <c r="G90" s="72"/>
      <c r="H90" s="73"/>
      <c r="I90" s="72"/>
      <c r="J90" s="174"/>
      <c r="K90" s="174"/>
      <c r="L90" s="175"/>
    </row>
    <row r="91" spans="1:12" hidden="1" x14ac:dyDescent="0.3">
      <c r="A91" s="336" t="str">
        <f>A28</f>
        <v/>
      </c>
      <c r="B91" s="68" t="s">
        <v>16</v>
      </c>
      <c r="C91" s="72"/>
      <c r="D91" s="72"/>
      <c r="E91" s="72"/>
      <c r="F91" s="72"/>
      <c r="G91" s="72"/>
      <c r="H91" s="73"/>
      <c r="I91" s="72"/>
      <c r="J91" s="174"/>
      <c r="K91" s="174"/>
      <c r="L91" s="175"/>
    </row>
    <row r="92" spans="1:12" hidden="1" x14ac:dyDescent="0.3">
      <c r="A92" s="336"/>
      <c r="B92" s="78" t="s">
        <v>17</v>
      </c>
      <c r="C92" s="72"/>
      <c r="D92" s="72"/>
      <c r="E92" s="72"/>
      <c r="F92" s="72"/>
      <c r="G92" s="72"/>
      <c r="H92" s="73"/>
      <c r="I92" s="72"/>
      <c r="J92" s="174"/>
      <c r="K92" s="174"/>
      <c r="L92" s="175"/>
    </row>
    <row r="93" spans="1:12" hidden="1" x14ac:dyDescent="0.3">
      <c r="A93" s="336"/>
      <c r="B93" s="68" t="s">
        <v>18</v>
      </c>
      <c r="C93" s="72"/>
      <c r="D93" s="72"/>
      <c r="E93" s="72"/>
      <c r="F93" s="72"/>
      <c r="G93" s="72"/>
      <c r="H93" s="73"/>
      <c r="I93" s="72"/>
      <c r="J93" s="174"/>
      <c r="K93" s="174"/>
      <c r="L93" s="175"/>
    </row>
    <row r="94" spans="1:12" hidden="1" x14ac:dyDescent="0.3">
      <c r="A94" s="337" t="s">
        <v>231</v>
      </c>
      <c r="B94" s="338"/>
      <c r="C94" s="72"/>
      <c r="D94" s="72"/>
      <c r="E94" s="72"/>
      <c r="F94" s="72"/>
      <c r="G94" s="72"/>
      <c r="H94" s="73"/>
      <c r="I94" s="72"/>
      <c r="J94" s="174"/>
      <c r="K94" s="174"/>
      <c r="L94" s="175"/>
    </row>
    <row r="95" spans="1:12" hidden="1" x14ac:dyDescent="0.3">
      <c r="A95" s="336" t="str">
        <f>A32</f>
        <v/>
      </c>
      <c r="B95" s="68" t="s">
        <v>16</v>
      </c>
      <c r="C95" s="72"/>
      <c r="D95" s="72"/>
      <c r="E95" s="72"/>
      <c r="F95" s="72"/>
      <c r="G95" s="72"/>
      <c r="H95" s="73"/>
      <c r="I95" s="72"/>
      <c r="J95" s="174"/>
      <c r="K95" s="174"/>
      <c r="L95" s="175"/>
    </row>
    <row r="96" spans="1:12" hidden="1" x14ac:dyDescent="0.3">
      <c r="A96" s="336"/>
      <c r="B96" s="78" t="s">
        <v>17</v>
      </c>
      <c r="C96" s="72"/>
      <c r="D96" s="72"/>
      <c r="E96" s="72"/>
      <c r="F96" s="72"/>
      <c r="G96" s="72"/>
      <c r="H96" s="73"/>
      <c r="I96" s="72"/>
      <c r="J96" s="174"/>
      <c r="K96" s="174"/>
      <c r="L96" s="175"/>
    </row>
    <row r="97" spans="1:12" hidden="1" x14ac:dyDescent="0.3">
      <c r="A97" s="336"/>
      <c r="B97" s="68" t="s">
        <v>18</v>
      </c>
      <c r="C97" s="72"/>
      <c r="D97" s="72"/>
      <c r="E97" s="72"/>
      <c r="F97" s="72"/>
      <c r="G97" s="72"/>
      <c r="H97" s="73"/>
      <c r="I97" s="72"/>
      <c r="J97" s="174"/>
      <c r="K97" s="174"/>
      <c r="L97" s="175"/>
    </row>
    <row r="98" spans="1:12" hidden="1" x14ac:dyDescent="0.3">
      <c r="A98" s="337" t="s">
        <v>231</v>
      </c>
      <c r="B98" s="338"/>
      <c r="C98" s="72"/>
      <c r="D98" s="72"/>
      <c r="E98" s="72"/>
      <c r="F98" s="72"/>
      <c r="G98" s="72"/>
      <c r="H98" s="73"/>
      <c r="I98" s="72"/>
      <c r="J98" s="174"/>
      <c r="K98" s="174"/>
      <c r="L98" s="175"/>
    </row>
    <row r="99" spans="1:12" hidden="1" x14ac:dyDescent="0.3">
      <c r="A99" s="336" t="str">
        <f>A36</f>
        <v/>
      </c>
      <c r="B99" s="68" t="s">
        <v>16</v>
      </c>
      <c r="C99" s="72"/>
      <c r="D99" s="72"/>
      <c r="E99" s="72"/>
      <c r="F99" s="72"/>
      <c r="G99" s="72"/>
      <c r="H99" s="73"/>
      <c r="I99" s="72"/>
      <c r="J99" s="174"/>
      <c r="K99" s="174"/>
      <c r="L99" s="175"/>
    </row>
    <row r="100" spans="1:12" hidden="1" x14ac:dyDescent="0.3">
      <c r="A100" s="336"/>
      <c r="B100" s="78" t="s">
        <v>17</v>
      </c>
      <c r="C100" s="72"/>
      <c r="D100" s="72"/>
      <c r="E100" s="72"/>
      <c r="F100" s="72"/>
      <c r="G100" s="72"/>
      <c r="H100" s="73"/>
      <c r="I100" s="72"/>
      <c r="J100" s="174"/>
      <c r="K100" s="174"/>
      <c r="L100" s="175"/>
    </row>
    <row r="101" spans="1:12" hidden="1" x14ac:dyDescent="0.3">
      <c r="A101" s="336"/>
      <c r="B101" s="68" t="s">
        <v>18</v>
      </c>
      <c r="C101" s="72"/>
      <c r="D101" s="72"/>
      <c r="E101" s="72"/>
      <c r="F101" s="72"/>
      <c r="G101" s="72"/>
      <c r="H101" s="73"/>
      <c r="I101" s="72"/>
      <c r="J101" s="174"/>
      <c r="K101" s="174"/>
      <c r="L101" s="175"/>
    </row>
    <row r="102" spans="1:12" hidden="1" x14ac:dyDescent="0.3">
      <c r="A102" s="337" t="s">
        <v>231</v>
      </c>
      <c r="B102" s="338"/>
      <c r="C102" s="72"/>
      <c r="D102" s="72"/>
      <c r="E102" s="72"/>
      <c r="F102" s="72"/>
      <c r="G102" s="72"/>
      <c r="H102" s="73"/>
      <c r="I102" s="72"/>
      <c r="J102" s="174"/>
      <c r="K102" s="174"/>
      <c r="L102" s="175"/>
    </row>
    <row r="103" spans="1:12" hidden="1" x14ac:dyDescent="0.3">
      <c r="A103" s="336" t="str">
        <f>A40</f>
        <v/>
      </c>
      <c r="B103" s="68" t="s">
        <v>16</v>
      </c>
      <c r="C103" s="72"/>
      <c r="D103" s="72"/>
      <c r="E103" s="72"/>
      <c r="F103" s="72"/>
      <c r="G103" s="72"/>
      <c r="H103" s="73"/>
      <c r="I103" s="72"/>
      <c r="J103" s="174"/>
      <c r="K103" s="174"/>
      <c r="L103" s="175"/>
    </row>
    <row r="104" spans="1:12" hidden="1" x14ac:dyDescent="0.3">
      <c r="A104" s="336"/>
      <c r="B104" s="78" t="s">
        <v>17</v>
      </c>
      <c r="C104" s="72"/>
      <c r="D104" s="72"/>
      <c r="E104" s="72"/>
      <c r="F104" s="72"/>
      <c r="G104" s="72"/>
      <c r="H104" s="73"/>
      <c r="I104" s="72"/>
      <c r="J104" s="174"/>
      <c r="K104" s="174"/>
      <c r="L104" s="175"/>
    </row>
    <row r="105" spans="1:12" hidden="1" x14ac:dyDescent="0.3">
      <c r="A105" s="336"/>
      <c r="B105" s="68" t="s">
        <v>18</v>
      </c>
      <c r="C105" s="72"/>
      <c r="D105" s="72"/>
      <c r="E105" s="72"/>
      <c r="F105" s="72"/>
      <c r="G105" s="72"/>
      <c r="H105" s="73"/>
      <c r="I105" s="72"/>
      <c r="J105" s="174"/>
      <c r="K105" s="174"/>
      <c r="L105" s="175"/>
    </row>
    <row r="106" spans="1:12" hidden="1" x14ac:dyDescent="0.3">
      <c r="A106" s="337" t="s">
        <v>231</v>
      </c>
      <c r="B106" s="338"/>
      <c r="C106" s="72"/>
      <c r="D106" s="72"/>
      <c r="E106" s="72"/>
      <c r="F106" s="72"/>
      <c r="G106" s="72"/>
      <c r="H106" s="73"/>
      <c r="I106" s="72"/>
      <c r="J106" s="174"/>
      <c r="K106" s="174"/>
      <c r="L106" s="175"/>
    </row>
    <row r="107" spans="1:12" hidden="1" x14ac:dyDescent="0.3">
      <c r="A107" s="336" t="str">
        <f>A44</f>
        <v/>
      </c>
      <c r="B107" s="68" t="s">
        <v>16</v>
      </c>
      <c r="C107" s="72"/>
      <c r="D107" s="72"/>
      <c r="E107" s="72"/>
      <c r="F107" s="72"/>
      <c r="G107" s="72"/>
      <c r="H107" s="73"/>
      <c r="I107" s="72"/>
      <c r="J107" s="174"/>
      <c r="K107" s="174"/>
      <c r="L107" s="175"/>
    </row>
    <row r="108" spans="1:12" hidden="1" x14ac:dyDescent="0.3">
      <c r="A108" s="336"/>
      <c r="B108" s="78" t="s">
        <v>17</v>
      </c>
      <c r="C108" s="72"/>
      <c r="D108" s="72"/>
      <c r="E108" s="72"/>
      <c r="F108" s="72"/>
      <c r="G108" s="72"/>
      <c r="H108" s="73"/>
      <c r="I108" s="72"/>
      <c r="J108" s="174"/>
      <c r="K108" s="174"/>
      <c r="L108" s="175"/>
    </row>
    <row r="109" spans="1:12" hidden="1" x14ac:dyDescent="0.3">
      <c r="A109" s="336"/>
      <c r="B109" s="68" t="s">
        <v>18</v>
      </c>
      <c r="C109" s="72"/>
      <c r="D109" s="72"/>
      <c r="E109" s="72"/>
      <c r="F109" s="72"/>
      <c r="G109" s="72"/>
      <c r="H109" s="73"/>
      <c r="I109" s="72"/>
      <c r="J109" s="174"/>
      <c r="K109" s="174"/>
      <c r="L109" s="175"/>
    </row>
    <row r="110" spans="1:12" hidden="1" x14ac:dyDescent="0.3">
      <c r="A110" s="337" t="s">
        <v>231</v>
      </c>
      <c r="B110" s="338"/>
      <c r="C110" s="72"/>
      <c r="D110" s="72"/>
      <c r="E110" s="72"/>
      <c r="F110" s="72"/>
      <c r="G110" s="72"/>
      <c r="H110" s="73"/>
      <c r="I110" s="72"/>
      <c r="J110" s="174"/>
      <c r="K110" s="174"/>
      <c r="L110" s="175"/>
    </row>
    <row r="111" spans="1:12" hidden="1" x14ac:dyDescent="0.3">
      <c r="A111" s="336" t="str">
        <f>A48</f>
        <v/>
      </c>
      <c r="B111" s="68" t="s">
        <v>16</v>
      </c>
      <c r="C111" s="72"/>
      <c r="D111" s="72"/>
      <c r="E111" s="72"/>
      <c r="F111" s="72"/>
      <c r="G111" s="72"/>
      <c r="H111" s="73"/>
      <c r="I111" s="72"/>
      <c r="J111" s="174"/>
      <c r="K111" s="174"/>
      <c r="L111" s="175"/>
    </row>
    <row r="112" spans="1:12" hidden="1" x14ac:dyDescent="0.3">
      <c r="A112" s="336"/>
      <c r="B112" s="78" t="s">
        <v>17</v>
      </c>
      <c r="C112" s="72"/>
      <c r="D112" s="72"/>
      <c r="E112" s="72"/>
      <c r="F112" s="72"/>
      <c r="G112" s="72"/>
      <c r="H112" s="73"/>
      <c r="I112" s="72"/>
      <c r="J112" s="174"/>
      <c r="K112" s="174"/>
      <c r="L112" s="175"/>
    </row>
    <row r="113" spans="1:12" hidden="1" x14ac:dyDescent="0.3">
      <c r="A113" s="336"/>
      <c r="B113" s="68" t="s">
        <v>18</v>
      </c>
      <c r="C113" s="72"/>
      <c r="D113" s="72"/>
      <c r="E113" s="72"/>
      <c r="F113" s="72"/>
      <c r="G113" s="72"/>
      <c r="H113" s="73"/>
      <c r="I113" s="72"/>
      <c r="J113" s="174"/>
      <c r="K113" s="174"/>
      <c r="L113" s="175"/>
    </row>
    <row r="114" spans="1:12" hidden="1" x14ac:dyDescent="0.3">
      <c r="A114" s="337" t="s">
        <v>231</v>
      </c>
      <c r="B114" s="338"/>
      <c r="C114" s="72"/>
      <c r="D114" s="72"/>
      <c r="E114" s="72"/>
      <c r="F114" s="72"/>
      <c r="G114" s="72"/>
      <c r="H114" s="73"/>
      <c r="I114" s="72"/>
      <c r="J114" s="174"/>
      <c r="K114" s="174"/>
      <c r="L114" s="175"/>
    </row>
    <row r="115" spans="1:12" hidden="1" x14ac:dyDescent="0.3">
      <c r="A115" s="336" t="str">
        <f>A52</f>
        <v/>
      </c>
      <c r="B115" s="68" t="s">
        <v>16</v>
      </c>
      <c r="C115" s="72"/>
      <c r="D115" s="72"/>
      <c r="E115" s="72"/>
      <c r="F115" s="72"/>
      <c r="G115" s="72"/>
      <c r="H115" s="73"/>
      <c r="I115" s="72"/>
      <c r="J115" s="174"/>
      <c r="K115" s="174"/>
      <c r="L115" s="175"/>
    </row>
    <row r="116" spans="1:12" hidden="1" x14ac:dyDescent="0.3">
      <c r="A116" s="336"/>
      <c r="B116" s="78" t="s">
        <v>17</v>
      </c>
      <c r="C116" s="72"/>
      <c r="D116" s="72"/>
      <c r="E116" s="72"/>
      <c r="F116" s="72"/>
      <c r="G116" s="72"/>
      <c r="H116" s="73"/>
      <c r="I116" s="72"/>
      <c r="J116" s="174"/>
      <c r="K116" s="174"/>
      <c r="L116" s="175"/>
    </row>
    <row r="117" spans="1:12" hidden="1" x14ac:dyDescent="0.3">
      <c r="A117" s="336"/>
      <c r="B117" s="68" t="s">
        <v>18</v>
      </c>
      <c r="C117" s="72"/>
      <c r="D117" s="72"/>
      <c r="E117" s="72"/>
      <c r="F117" s="72"/>
      <c r="G117" s="72"/>
      <c r="H117" s="73"/>
      <c r="I117" s="72"/>
      <c r="J117" s="174"/>
      <c r="K117" s="174"/>
      <c r="L117" s="175"/>
    </row>
    <row r="118" spans="1:12" hidden="1" x14ac:dyDescent="0.3">
      <c r="A118" s="337" t="s">
        <v>231</v>
      </c>
      <c r="B118" s="338"/>
      <c r="C118" s="72"/>
      <c r="D118" s="72"/>
      <c r="E118" s="72"/>
      <c r="F118" s="72"/>
      <c r="G118" s="72"/>
      <c r="H118" s="73"/>
      <c r="I118" s="72"/>
      <c r="J118" s="174"/>
      <c r="K118" s="174"/>
      <c r="L118" s="175"/>
    </row>
    <row r="119" spans="1:12" hidden="1" x14ac:dyDescent="0.3">
      <c r="A119" s="336" t="str">
        <f>A56</f>
        <v/>
      </c>
      <c r="B119" s="68" t="s">
        <v>16</v>
      </c>
      <c r="C119" s="72"/>
      <c r="D119" s="72"/>
      <c r="E119" s="72"/>
      <c r="F119" s="72"/>
      <c r="G119" s="72"/>
      <c r="H119" s="73"/>
      <c r="I119" s="72"/>
      <c r="J119" s="174"/>
      <c r="K119" s="174"/>
      <c r="L119" s="175"/>
    </row>
    <row r="120" spans="1:12" hidden="1" x14ac:dyDescent="0.3">
      <c r="A120" s="336"/>
      <c r="B120" s="78" t="s">
        <v>17</v>
      </c>
      <c r="C120" s="72"/>
      <c r="D120" s="72"/>
      <c r="E120" s="72"/>
      <c r="F120" s="72"/>
      <c r="G120" s="72"/>
      <c r="H120" s="73"/>
      <c r="I120" s="72"/>
      <c r="J120" s="174"/>
      <c r="K120" s="174"/>
      <c r="L120" s="175"/>
    </row>
    <row r="121" spans="1:12" hidden="1" x14ac:dyDescent="0.3">
      <c r="A121" s="336"/>
      <c r="B121" s="68" t="s">
        <v>18</v>
      </c>
      <c r="C121" s="72"/>
      <c r="D121" s="72"/>
      <c r="E121" s="72"/>
      <c r="F121" s="72"/>
      <c r="G121" s="72"/>
      <c r="H121" s="73"/>
      <c r="I121" s="72"/>
      <c r="J121" s="174"/>
      <c r="K121" s="174"/>
      <c r="L121" s="175"/>
    </row>
    <row r="122" spans="1:12" hidden="1" x14ac:dyDescent="0.3">
      <c r="A122" s="337" t="s">
        <v>231</v>
      </c>
      <c r="B122" s="338"/>
      <c r="C122" s="72"/>
      <c r="D122" s="72"/>
      <c r="E122" s="72"/>
      <c r="F122" s="72"/>
      <c r="G122" s="72"/>
      <c r="H122" s="73"/>
      <c r="I122" s="72"/>
      <c r="J122" s="174"/>
      <c r="K122" s="174"/>
      <c r="L122" s="175"/>
    </row>
    <row r="123" spans="1:12" hidden="1" x14ac:dyDescent="0.3">
      <c r="A123" s="336" t="str">
        <f>A60</f>
        <v/>
      </c>
      <c r="B123" s="68" t="s">
        <v>16</v>
      </c>
      <c r="C123" s="72"/>
      <c r="D123" s="72"/>
      <c r="E123" s="72"/>
      <c r="F123" s="72"/>
      <c r="G123" s="72"/>
      <c r="H123" s="73"/>
      <c r="I123" s="72"/>
      <c r="J123" s="174"/>
      <c r="K123" s="174"/>
      <c r="L123" s="175"/>
    </row>
    <row r="124" spans="1:12" hidden="1" x14ac:dyDescent="0.3">
      <c r="A124" s="336"/>
      <c r="B124" s="78" t="s">
        <v>17</v>
      </c>
      <c r="C124" s="72"/>
      <c r="D124" s="72"/>
      <c r="E124" s="72"/>
      <c r="F124" s="72"/>
      <c r="G124" s="72"/>
      <c r="H124" s="73"/>
      <c r="I124" s="72"/>
      <c r="J124" s="174"/>
      <c r="K124" s="174"/>
      <c r="L124" s="175"/>
    </row>
    <row r="125" spans="1:12" hidden="1" x14ac:dyDescent="0.3">
      <c r="A125" s="336"/>
      <c r="B125" s="68" t="s">
        <v>18</v>
      </c>
      <c r="C125" s="72"/>
      <c r="D125" s="72"/>
      <c r="E125" s="72"/>
      <c r="F125" s="72"/>
      <c r="G125" s="72"/>
      <c r="H125" s="73"/>
      <c r="I125" s="72"/>
      <c r="J125" s="174"/>
      <c r="K125" s="174"/>
      <c r="L125" s="175"/>
    </row>
    <row r="126" spans="1:12" hidden="1" x14ac:dyDescent="0.3">
      <c r="A126" s="337"/>
      <c r="B126" s="338"/>
      <c r="C126" s="72"/>
      <c r="D126" s="72"/>
      <c r="E126" s="72"/>
      <c r="F126" s="72"/>
      <c r="G126" s="72"/>
      <c r="H126" s="73"/>
      <c r="I126" s="72"/>
      <c r="J126" s="174"/>
      <c r="K126" s="174"/>
      <c r="L126" s="175"/>
    </row>
    <row r="127" spans="1:12" hidden="1" x14ac:dyDescent="0.3">
      <c r="A127" s="336" t="str">
        <f>A64</f>
        <v/>
      </c>
      <c r="B127" s="68" t="s">
        <v>16</v>
      </c>
      <c r="C127" s="72"/>
      <c r="D127" s="72"/>
      <c r="E127" s="72"/>
      <c r="F127" s="72"/>
      <c r="G127" s="72"/>
      <c r="H127" s="73"/>
      <c r="I127" s="72"/>
      <c r="J127" s="174"/>
      <c r="K127" s="174"/>
      <c r="L127" s="175"/>
    </row>
    <row r="128" spans="1:12" hidden="1" x14ac:dyDescent="0.3">
      <c r="A128" s="336"/>
      <c r="B128" s="78" t="s">
        <v>17</v>
      </c>
      <c r="C128" s="72"/>
      <c r="D128" s="72"/>
      <c r="E128" s="72"/>
      <c r="F128" s="72"/>
      <c r="G128" s="72"/>
      <c r="H128" s="73"/>
      <c r="I128" s="72"/>
      <c r="J128" s="174"/>
      <c r="K128" s="174"/>
      <c r="L128" s="175"/>
    </row>
    <row r="129" spans="1:12" hidden="1" x14ac:dyDescent="0.3">
      <c r="A129" s="336"/>
      <c r="B129" s="68" t="s">
        <v>18</v>
      </c>
      <c r="C129" s="72"/>
      <c r="D129" s="72"/>
      <c r="E129" s="72"/>
      <c r="F129" s="72"/>
      <c r="G129" s="72"/>
      <c r="H129" s="73"/>
      <c r="I129" s="72"/>
      <c r="J129" s="174"/>
      <c r="K129" s="174"/>
      <c r="L129" s="175"/>
    </row>
    <row r="130" spans="1:12" hidden="1" x14ac:dyDescent="0.3">
      <c r="A130" s="337"/>
      <c r="B130" s="338"/>
      <c r="C130" s="72"/>
      <c r="D130" s="72"/>
      <c r="E130" s="72"/>
      <c r="F130" s="72"/>
      <c r="G130" s="72"/>
      <c r="H130" s="73"/>
      <c r="I130" s="72"/>
      <c r="J130" s="174"/>
      <c r="K130" s="174"/>
      <c r="L130" s="175"/>
    </row>
    <row r="131" spans="1:12" hidden="1" x14ac:dyDescent="0.3">
      <c r="A131" s="336" t="str">
        <f>A68</f>
        <v/>
      </c>
      <c r="B131" s="68" t="s">
        <v>16</v>
      </c>
      <c r="C131" s="72"/>
      <c r="D131" s="72"/>
      <c r="E131" s="72"/>
      <c r="F131" s="72"/>
      <c r="G131" s="72"/>
      <c r="H131" s="73"/>
      <c r="I131" s="72"/>
      <c r="J131" s="174"/>
      <c r="K131" s="174"/>
      <c r="L131" s="175"/>
    </row>
    <row r="132" spans="1:12" hidden="1" x14ac:dyDescent="0.3">
      <c r="A132" s="336"/>
      <c r="B132" s="78" t="s">
        <v>17</v>
      </c>
      <c r="C132" s="72"/>
      <c r="D132" s="72"/>
      <c r="E132" s="72"/>
      <c r="F132" s="72"/>
      <c r="G132" s="72"/>
      <c r="H132" s="73"/>
      <c r="I132" s="72"/>
      <c r="J132" s="174"/>
      <c r="K132" s="174"/>
      <c r="L132" s="175"/>
    </row>
    <row r="133" spans="1:12" hidden="1" x14ac:dyDescent="0.3">
      <c r="A133" s="336"/>
      <c r="B133" s="176" t="s">
        <v>18</v>
      </c>
      <c r="C133" s="72"/>
      <c r="D133" s="72"/>
      <c r="E133" s="72"/>
      <c r="F133" s="72"/>
      <c r="G133" s="72"/>
      <c r="H133" s="177"/>
      <c r="I133" s="178"/>
      <c r="J133" s="179"/>
      <c r="K133" s="179"/>
      <c r="L133" s="180"/>
    </row>
    <row r="134" spans="1:12" ht="16.8" customHeight="1" x14ac:dyDescent="0.3">
      <c r="A134" s="181"/>
      <c r="B134" s="76"/>
      <c r="C134" s="335" t="str">
        <f>common!$J$8</f>
        <v>YEAR 2020-21</v>
      </c>
      <c r="D134" s="335"/>
      <c r="E134" s="335"/>
      <c r="F134" s="335"/>
      <c r="G134" s="335"/>
      <c r="H134" s="73"/>
      <c r="I134" s="72"/>
      <c r="J134" s="72"/>
      <c r="K134" s="72"/>
      <c r="L134" s="182"/>
    </row>
    <row r="135" spans="1:12" ht="16.8" customHeight="1" x14ac:dyDescent="0.3">
      <c r="A135" s="331" t="str">
        <f>A10</f>
        <v>RABI I
RICE-II</v>
      </c>
      <c r="B135" s="170" t="s">
        <v>16</v>
      </c>
      <c r="C135" s="171"/>
      <c r="D135" s="171"/>
      <c r="E135" s="171"/>
      <c r="F135" s="171"/>
      <c r="G135" s="171"/>
      <c r="H135" s="72"/>
      <c r="I135" s="72"/>
      <c r="J135" s="174"/>
      <c r="K135" s="174"/>
      <c r="L135" s="175"/>
    </row>
    <row r="136" spans="1:12" ht="16.8" customHeight="1" x14ac:dyDescent="0.3">
      <c r="A136" s="331"/>
      <c r="B136" s="173" t="s">
        <v>17</v>
      </c>
      <c r="C136" s="171"/>
      <c r="D136" s="171"/>
      <c r="E136" s="171"/>
      <c r="F136" s="171"/>
      <c r="G136" s="171"/>
      <c r="H136" s="72"/>
      <c r="I136" s="72"/>
      <c r="J136" s="174"/>
      <c r="K136" s="174"/>
      <c r="L136" s="175"/>
    </row>
    <row r="137" spans="1:12" ht="16.8" customHeight="1" x14ac:dyDescent="0.3">
      <c r="A137" s="331"/>
      <c r="B137" s="170" t="s">
        <v>18</v>
      </c>
      <c r="C137" s="171"/>
      <c r="D137" s="171"/>
      <c r="E137" s="171"/>
      <c r="F137" s="171"/>
      <c r="G137" s="171"/>
      <c r="H137" s="72"/>
      <c r="I137" s="72"/>
      <c r="J137" s="174"/>
      <c r="K137" s="174"/>
      <c r="L137" s="175"/>
    </row>
    <row r="138" spans="1:12" ht="16.8" customHeight="1" x14ac:dyDescent="0.3">
      <c r="A138" s="331" t="str">
        <f>A13</f>
        <v>RABI II
RICE-III</v>
      </c>
      <c r="B138" s="170" t="s">
        <v>16</v>
      </c>
      <c r="C138" s="171"/>
      <c r="D138" s="171"/>
      <c r="E138" s="171"/>
      <c r="F138" s="171"/>
      <c r="G138" s="171"/>
      <c r="H138" s="72"/>
      <c r="I138" s="72"/>
      <c r="J138" s="174"/>
      <c r="K138" s="174"/>
      <c r="L138" s="175"/>
    </row>
    <row r="139" spans="1:12" ht="16.8" customHeight="1" x14ac:dyDescent="0.3">
      <c r="A139" s="331"/>
      <c r="B139" s="173" t="s">
        <v>17</v>
      </c>
      <c r="C139" s="171"/>
      <c r="D139" s="171"/>
      <c r="E139" s="171"/>
      <c r="F139" s="171"/>
      <c r="G139" s="171"/>
      <c r="H139" s="72"/>
      <c r="I139" s="72"/>
      <c r="J139" s="174"/>
      <c r="K139" s="174"/>
      <c r="L139" s="175"/>
    </row>
    <row r="140" spans="1:12" ht="16.8" customHeight="1" x14ac:dyDescent="0.3">
      <c r="A140" s="331"/>
      <c r="B140" s="170" t="s">
        <v>18</v>
      </c>
      <c r="C140" s="171"/>
      <c r="D140" s="171"/>
      <c r="E140" s="171"/>
      <c r="F140" s="171"/>
      <c r="G140" s="171"/>
      <c r="H140" s="74"/>
      <c r="I140" s="74"/>
      <c r="J140" s="183"/>
      <c r="K140" s="183"/>
      <c r="L140" s="184"/>
    </row>
    <row r="141" spans="1:12" ht="15" customHeight="1" thickBot="1" x14ac:dyDescent="0.35">
      <c r="A141" s="332" t="s">
        <v>282</v>
      </c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</row>
    <row r="142" spans="1:12" hidden="1" x14ac:dyDescent="0.3">
      <c r="A142" s="252" t="str">
        <f>A16</f>
        <v/>
      </c>
      <c r="B142" s="68" t="s">
        <v>16</v>
      </c>
      <c r="C142" s="76"/>
      <c r="D142" s="76"/>
      <c r="E142" s="76"/>
      <c r="F142" s="76"/>
      <c r="G142" s="76"/>
      <c r="H142" s="185"/>
      <c r="I142" s="78"/>
      <c r="J142" s="91"/>
      <c r="K142" s="91"/>
      <c r="L142" s="91"/>
    </row>
    <row r="143" spans="1:12" hidden="1" x14ac:dyDescent="0.3">
      <c r="A143" s="252"/>
      <c r="B143" s="78" t="s">
        <v>17</v>
      </c>
      <c r="C143" s="76"/>
      <c r="D143" s="76"/>
      <c r="E143" s="76"/>
      <c r="F143" s="76"/>
      <c r="G143" s="76"/>
      <c r="H143" s="185"/>
      <c r="I143" s="78"/>
      <c r="J143" s="91"/>
      <c r="K143" s="91"/>
      <c r="L143" s="91"/>
    </row>
    <row r="144" spans="1:12" hidden="1" x14ac:dyDescent="0.3">
      <c r="A144" s="252"/>
      <c r="B144" s="68" t="s">
        <v>18</v>
      </c>
      <c r="C144" s="76"/>
      <c r="D144" s="76"/>
      <c r="E144" s="76"/>
      <c r="F144" s="76"/>
      <c r="G144" s="76"/>
      <c r="H144" s="185"/>
      <c r="I144" s="78"/>
      <c r="J144" s="91"/>
      <c r="K144" s="91"/>
      <c r="L144" s="91"/>
    </row>
    <row r="145" spans="1:12" hidden="1" x14ac:dyDescent="0.3">
      <c r="A145" s="338" t="s">
        <v>231</v>
      </c>
      <c r="B145" s="338"/>
      <c r="C145" s="78"/>
      <c r="D145" s="78"/>
      <c r="E145" s="78"/>
      <c r="F145" s="78"/>
      <c r="G145" s="78"/>
      <c r="H145" s="185"/>
      <c r="I145" s="78"/>
      <c r="J145" s="91"/>
      <c r="K145" s="91"/>
      <c r="L145" s="91"/>
    </row>
    <row r="146" spans="1:12" hidden="1" x14ac:dyDescent="0.3">
      <c r="A146" s="252" t="str">
        <f>A20</f>
        <v/>
      </c>
      <c r="B146" s="68" t="s">
        <v>16</v>
      </c>
      <c r="C146" s="78"/>
      <c r="D146" s="78"/>
      <c r="E146" s="78"/>
      <c r="F146" s="78"/>
      <c r="G146" s="78"/>
      <c r="H146" s="185"/>
      <c r="I146" s="78"/>
      <c r="J146" s="91"/>
      <c r="K146" s="91"/>
      <c r="L146" s="91"/>
    </row>
    <row r="147" spans="1:12" hidden="1" x14ac:dyDescent="0.3">
      <c r="A147" s="252"/>
      <c r="B147" s="78" t="s">
        <v>17</v>
      </c>
      <c r="C147" s="78"/>
      <c r="D147" s="78"/>
      <c r="E147" s="78"/>
      <c r="F147" s="78"/>
      <c r="G147" s="78"/>
      <c r="H147" s="185"/>
      <c r="I147" s="78"/>
      <c r="J147" s="91"/>
      <c r="K147" s="91"/>
      <c r="L147" s="91"/>
    </row>
    <row r="148" spans="1:12" hidden="1" x14ac:dyDescent="0.3">
      <c r="A148" s="252"/>
      <c r="B148" s="68" t="s">
        <v>18</v>
      </c>
      <c r="C148" s="78"/>
      <c r="D148" s="78"/>
      <c r="E148" s="78"/>
      <c r="F148" s="78"/>
      <c r="G148" s="78"/>
      <c r="H148" s="185"/>
      <c r="I148" s="78"/>
      <c r="J148" s="91"/>
      <c r="K148" s="91"/>
      <c r="L148" s="91"/>
    </row>
    <row r="149" spans="1:12" hidden="1" x14ac:dyDescent="0.3">
      <c r="A149" s="338" t="s">
        <v>231</v>
      </c>
      <c r="B149" s="338"/>
      <c r="C149" s="78"/>
      <c r="D149" s="78"/>
      <c r="E149" s="78"/>
      <c r="F149" s="78"/>
      <c r="G149" s="78"/>
      <c r="H149" s="185"/>
      <c r="I149" s="78"/>
      <c r="J149" s="91"/>
      <c r="K149" s="91"/>
      <c r="L149" s="91"/>
    </row>
    <row r="150" spans="1:12" hidden="1" x14ac:dyDescent="0.3">
      <c r="A150" s="252" t="str">
        <f>A24</f>
        <v/>
      </c>
      <c r="B150" s="68" t="s">
        <v>16</v>
      </c>
      <c r="C150" s="78"/>
      <c r="D150" s="78"/>
      <c r="E150" s="78"/>
      <c r="F150" s="78"/>
      <c r="G150" s="78"/>
      <c r="H150" s="185"/>
      <c r="I150" s="78"/>
      <c r="J150" s="91"/>
      <c r="K150" s="91"/>
      <c r="L150" s="91"/>
    </row>
    <row r="151" spans="1:12" hidden="1" x14ac:dyDescent="0.3">
      <c r="A151" s="252"/>
      <c r="B151" s="78" t="s">
        <v>17</v>
      </c>
      <c r="C151" s="78"/>
      <c r="D151" s="78"/>
      <c r="E151" s="78"/>
      <c r="F151" s="78"/>
      <c r="G151" s="78"/>
      <c r="H151" s="185"/>
      <c r="I151" s="78"/>
      <c r="J151" s="91"/>
      <c r="K151" s="91"/>
      <c r="L151" s="91"/>
    </row>
    <row r="152" spans="1:12" hidden="1" x14ac:dyDescent="0.3">
      <c r="A152" s="252"/>
      <c r="B152" s="68" t="s">
        <v>18</v>
      </c>
      <c r="C152" s="78"/>
      <c r="D152" s="78"/>
      <c r="E152" s="78"/>
      <c r="F152" s="78"/>
      <c r="G152" s="78"/>
      <c r="H152" s="185"/>
      <c r="I152" s="78"/>
      <c r="J152" s="91"/>
      <c r="K152" s="91"/>
      <c r="L152" s="91"/>
    </row>
    <row r="153" spans="1:12" hidden="1" x14ac:dyDescent="0.3">
      <c r="A153" s="338" t="s">
        <v>231</v>
      </c>
      <c r="B153" s="338"/>
      <c r="C153" s="78"/>
      <c r="D153" s="78"/>
      <c r="E153" s="78"/>
      <c r="F153" s="78"/>
      <c r="G153" s="78"/>
      <c r="H153" s="185"/>
      <c r="I153" s="78"/>
      <c r="J153" s="91"/>
      <c r="K153" s="91"/>
      <c r="L153" s="91"/>
    </row>
    <row r="154" spans="1:12" hidden="1" x14ac:dyDescent="0.3">
      <c r="A154" s="252" t="str">
        <f>A28</f>
        <v/>
      </c>
      <c r="B154" s="68" t="s">
        <v>16</v>
      </c>
      <c r="C154" s="78"/>
      <c r="D154" s="78"/>
      <c r="E154" s="78"/>
      <c r="F154" s="78"/>
      <c r="G154" s="78"/>
      <c r="H154" s="185"/>
      <c r="I154" s="78"/>
      <c r="J154" s="91"/>
      <c r="K154" s="91"/>
      <c r="L154" s="91"/>
    </row>
    <row r="155" spans="1:12" hidden="1" x14ac:dyDescent="0.3">
      <c r="A155" s="252"/>
      <c r="B155" s="78" t="s">
        <v>17</v>
      </c>
      <c r="C155" s="78"/>
      <c r="D155" s="78"/>
      <c r="E155" s="78"/>
      <c r="F155" s="78"/>
      <c r="G155" s="78"/>
      <c r="H155" s="185"/>
      <c r="I155" s="78"/>
      <c r="J155" s="91"/>
      <c r="K155" s="91"/>
      <c r="L155" s="91"/>
    </row>
    <row r="156" spans="1:12" hidden="1" x14ac:dyDescent="0.3">
      <c r="A156" s="252"/>
      <c r="B156" s="68" t="s">
        <v>18</v>
      </c>
      <c r="C156" s="78"/>
      <c r="D156" s="78"/>
      <c r="E156" s="78"/>
      <c r="F156" s="78"/>
      <c r="G156" s="78"/>
      <c r="H156" s="185"/>
      <c r="I156" s="78"/>
      <c r="J156" s="91"/>
      <c r="K156" s="91"/>
      <c r="L156" s="91"/>
    </row>
    <row r="157" spans="1:12" hidden="1" x14ac:dyDescent="0.3">
      <c r="A157" s="338" t="s">
        <v>231</v>
      </c>
      <c r="B157" s="338"/>
      <c r="C157" s="78"/>
      <c r="D157" s="78"/>
      <c r="E157" s="78"/>
      <c r="F157" s="78"/>
      <c r="G157" s="78"/>
      <c r="H157" s="185"/>
      <c r="I157" s="78"/>
      <c r="J157" s="91"/>
      <c r="K157" s="91"/>
      <c r="L157" s="91"/>
    </row>
    <row r="158" spans="1:12" hidden="1" x14ac:dyDescent="0.3">
      <c r="A158" s="252" t="str">
        <f>A32</f>
        <v/>
      </c>
      <c r="B158" s="68" t="s">
        <v>16</v>
      </c>
      <c r="C158" s="78"/>
      <c r="D158" s="78"/>
      <c r="E158" s="78"/>
      <c r="F158" s="78"/>
      <c r="G158" s="78"/>
      <c r="H158" s="185"/>
      <c r="I158" s="78"/>
      <c r="J158" s="91"/>
      <c r="K158" s="91"/>
      <c r="L158" s="91"/>
    </row>
    <row r="159" spans="1:12" hidden="1" x14ac:dyDescent="0.3">
      <c r="A159" s="252"/>
      <c r="B159" s="78" t="s">
        <v>17</v>
      </c>
      <c r="C159" s="78"/>
      <c r="D159" s="78"/>
      <c r="E159" s="78"/>
      <c r="F159" s="78"/>
      <c r="G159" s="78"/>
      <c r="H159" s="185"/>
      <c r="I159" s="78"/>
      <c r="J159" s="91"/>
      <c r="K159" s="91"/>
      <c r="L159" s="91"/>
    </row>
    <row r="160" spans="1:12" hidden="1" x14ac:dyDescent="0.3">
      <c r="A160" s="252"/>
      <c r="B160" s="68" t="s">
        <v>18</v>
      </c>
      <c r="C160" s="78"/>
      <c r="D160" s="78"/>
      <c r="E160" s="78"/>
      <c r="F160" s="78"/>
      <c r="G160" s="78"/>
      <c r="H160" s="185"/>
      <c r="I160" s="78"/>
      <c r="J160" s="91"/>
      <c r="K160" s="91"/>
      <c r="L160" s="91"/>
    </row>
    <row r="161" spans="1:12" hidden="1" x14ac:dyDescent="0.3">
      <c r="A161" s="338" t="s">
        <v>231</v>
      </c>
      <c r="B161" s="338"/>
      <c r="C161" s="78"/>
      <c r="D161" s="78"/>
      <c r="E161" s="78"/>
      <c r="F161" s="78"/>
      <c r="G161" s="78"/>
      <c r="H161" s="185"/>
      <c r="I161" s="78"/>
      <c r="J161" s="91"/>
      <c r="K161" s="91"/>
      <c r="L161" s="91"/>
    </row>
    <row r="162" spans="1:12" hidden="1" x14ac:dyDescent="0.3">
      <c r="A162" s="252" t="str">
        <f>A36</f>
        <v/>
      </c>
      <c r="B162" s="68" t="s">
        <v>16</v>
      </c>
      <c r="C162" s="78"/>
      <c r="D162" s="78"/>
      <c r="E162" s="78"/>
      <c r="F162" s="78"/>
      <c r="G162" s="78"/>
      <c r="H162" s="185"/>
      <c r="I162" s="78"/>
      <c r="J162" s="91"/>
      <c r="K162" s="91"/>
      <c r="L162" s="91"/>
    </row>
    <row r="163" spans="1:12" hidden="1" x14ac:dyDescent="0.3">
      <c r="A163" s="252"/>
      <c r="B163" s="78" t="s">
        <v>17</v>
      </c>
      <c r="C163" s="78"/>
      <c r="D163" s="78"/>
      <c r="E163" s="78"/>
      <c r="F163" s="78"/>
      <c r="G163" s="78"/>
      <c r="H163" s="185"/>
      <c r="I163" s="78"/>
      <c r="J163" s="91"/>
      <c r="K163" s="91"/>
      <c r="L163" s="91"/>
    </row>
    <row r="164" spans="1:12" hidden="1" x14ac:dyDescent="0.3">
      <c r="A164" s="252"/>
      <c r="B164" s="68" t="s">
        <v>18</v>
      </c>
      <c r="C164" s="78"/>
      <c r="D164" s="78"/>
      <c r="E164" s="78"/>
      <c r="F164" s="78"/>
      <c r="G164" s="78"/>
      <c r="H164" s="185"/>
      <c r="I164" s="78"/>
      <c r="J164" s="91"/>
      <c r="K164" s="91"/>
      <c r="L164" s="91"/>
    </row>
    <row r="165" spans="1:12" hidden="1" x14ac:dyDescent="0.3">
      <c r="A165" s="338" t="s">
        <v>231</v>
      </c>
      <c r="B165" s="338"/>
      <c r="C165" s="78"/>
      <c r="D165" s="78"/>
      <c r="E165" s="78"/>
      <c r="F165" s="78"/>
      <c r="G165" s="78"/>
      <c r="H165" s="185"/>
      <c r="I165" s="78"/>
      <c r="J165" s="91"/>
      <c r="K165" s="91"/>
      <c r="L165" s="91"/>
    </row>
    <row r="166" spans="1:12" hidden="1" x14ac:dyDescent="0.3">
      <c r="A166" s="252" t="str">
        <f>A40</f>
        <v/>
      </c>
      <c r="B166" s="68" t="s">
        <v>16</v>
      </c>
      <c r="C166" s="78"/>
      <c r="D166" s="78"/>
      <c r="E166" s="78"/>
      <c r="F166" s="78"/>
      <c r="G166" s="78"/>
      <c r="H166" s="185"/>
      <c r="I166" s="78"/>
      <c r="J166" s="91"/>
      <c r="K166" s="91"/>
      <c r="L166" s="91"/>
    </row>
    <row r="167" spans="1:12" hidden="1" x14ac:dyDescent="0.3">
      <c r="A167" s="252"/>
      <c r="B167" s="78" t="s">
        <v>17</v>
      </c>
      <c r="C167" s="78"/>
      <c r="D167" s="78"/>
      <c r="E167" s="78"/>
      <c r="F167" s="78"/>
      <c r="G167" s="78"/>
      <c r="H167" s="185"/>
      <c r="I167" s="78"/>
      <c r="J167" s="91"/>
      <c r="K167" s="91"/>
      <c r="L167" s="91"/>
    </row>
    <row r="168" spans="1:12" hidden="1" x14ac:dyDescent="0.3">
      <c r="A168" s="252"/>
      <c r="B168" s="68" t="s">
        <v>18</v>
      </c>
      <c r="C168" s="78"/>
      <c r="D168" s="78"/>
      <c r="E168" s="78"/>
      <c r="F168" s="78"/>
      <c r="G168" s="78"/>
      <c r="H168" s="185"/>
      <c r="I168" s="78"/>
      <c r="J168" s="91"/>
      <c r="K168" s="91"/>
      <c r="L168" s="91"/>
    </row>
    <row r="169" spans="1:12" hidden="1" x14ac:dyDescent="0.3">
      <c r="A169" s="338" t="s">
        <v>231</v>
      </c>
      <c r="B169" s="338"/>
      <c r="C169" s="78"/>
      <c r="D169" s="78"/>
      <c r="E169" s="78"/>
      <c r="F169" s="78"/>
      <c r="G169" s="78"/>
      <c r="H169" s="185"/>
      <c r="I169" s="78"/>
      <c r="J169" s="91"/>
      <c r="K169" s="91"/>
      <c r="L169" s="91"/>
    </row>
    <row r="170" spans="1:12" hidden="1" x14ac:dyDescent="0.3">
      <c r="A170" s="252" t="str">
        <f>A44</f>
        <v/>
      </c>
      <c r="B170" s="68" t="s">
        <v>16</v>
      </c>
      <c r="C170" s="78"/>
      <c r="D170" s="78"/>
      <c r="E170" s="78"/>
      <c r="F170" s="78"/>
      <c r="G170" s="78"/>
      <c r="H170" s="185"/>
      <c r="I170" s="78"/>
      <c r="J170" s="91"/>
      <c r="K170" s="91"/>
      <c r="L170" s="91"/>
    </row>
    <row r="171" spans="1:12" hidden="1" x14ac:dyDescent="0.3">
      <c r="A171" s="252"/>
      <c r="B171" s="78" t="s">
        <v>17</v>
      </c>
      <c r="C171" s="78"/>
      <c r="D171" s="78"/>
      <c r="E171" s="78"/>
      <c r="F171" s="78"/>
      <c r="G171" s="78"/>
      <c r="H171" s="185"/>
      <c r="I171" s="78"/>
      <c r="J171" s="91"/>
      <c r="K171" s="91"/>
      <c r="L171" s="91"/>
    </row>
    <row r="172" spans="1:12" hidden="1" x14ac:dyDescent="0.3">
      <c r="A172" s="252"/>
      <c r="B172" s="68" t="s">
        <v>18</v>
      </c>
      <c r="C172" s="78"/>
      <c r="D172" s="78"/>
      <c r="E172" s="78"/>
      <c r="F172" s="78"/>
      <c r="G172" s="78"/>
      <c r="H172" s="185"/>
      <c r="I172" s="78"/>
      <c r="J172" s="91"/>
      <c r="K172" s="91"/>
      <c r="L172" s="91"/>
    </row>
    <row r="173" spans="1:12" hidden="1" x14ac:dyDescent="0.3">
      <c r="A173" s="338" t="s">
        <v>231</v>
      </c>
      <c r="B173" s="338"/>
      <c r="C173" s="78"/>
      <c r="D173" s="78"/>
      <c r="E173" s="78"/>
      <c r="F173" s="78"/>
      <c r="G173" s="78"/>
      <c r="H173" s="185"/>
      <c r="I173" s="78"/>
      <c r="J173" s="91"/>
      <c r="K173" s="91"/>
      <c r="L173" s="91"/>
    </row>
    <row r="174" spans="1:12" hidden="1" x14ac:dyDescent="0.3">
      <c r="A174" s="252" t="str">
        <f>A48</f>
        <v/>
      </c>
      <c r="B174" s="68" t="s">
        <v>16</v>
      </c>
      <c r="C174" s="78"/>
      <c r="D174" s="78"/>
      <c r="E174" s="78"/>
      <c r="F174" s="78"/>
      <c r="G174" s="78"/>
      <c r="H174" s="185"/>
      <c r="I174" s="78"/>
      <c r="J174" s="91"/>
      <c r="K174" s="91"/>
      <c r="L174" s="91"/>
    </row>
    <row r="175" spans="1:12" hidden="1" x14ac:dyDescent="0.3">
      <c r="A175" s="252"/>
      <c r="B175" s="78" t="s">
        <v>17</v>
      </c>
      <c r="C175" s="78"/>
      <c r="D175" s="78"/>
      <c r="E175" s="78"/>
      <c r="F175" s="78"/>
      <c r="G175" s="78"/>
      <c r="H175" s="185"/>
      <c r="I175" s="78"/>
      <c r="J175" s="91"/>
      <c r="K175" s="91"/>
      <c r="L175" s="91"/>
    </row>
    <row r="176" spans="1:12" hidden="1" x14ac:dyDescent="0.3">
      <c r="A176" s="252"/>
      <c r="B176" s="68" t="s">
        <v>18</v>
      </c>
      <c r="C176" s="78"/>
      <c r="D176" s="78"/>
      <c r="E176" s="78"/>
      <c r="F176" s="78"/>
      <c r="G176" s="78"/>
      <c r="H176" s="185"/>
      <c r="I176" s="78"/>
      <c r="J176" s="91"/>
      <c r="K176" s="91"/>
      <c r="L176" s="91"/>
    </row>
    <row r="177" spans="1:12" hidden="1" x14ac:dyDescent="0.3">
      <c r="A177" s="338" t="s">
        <v>231</v>
      </c>
      <c r="B177" s="338"/>
      <c r="C177" s="78"/>
      <c r="D177" s="78"/>
      <c r="E177" s="78"/>
      <c r="F177" s="78"/>
      <c r="G177" s="78"/>
      <c r="H177" s="185"/>
      <c r="I177" s="78"/>
      <c r="J177" s="91"/>
      <c r="K177" s="91"/>
      <c r="L177" s="91"/>
    </row>
    <row r="178" spans="1:12" hidden="1" x14ac:dyDescent="0.3">
      <c r="A178" s="252" t="str">
        <f>A52</f>
        <v/>
      </c>
      <c r="B178" s="68" t="s">
        <v>16</v>
      </c>
      <c r="C178" s="78"/>
      <c r="D178" s="78"/>
      <c r="E178" s="78"/>
      <c r="F178" s="78"/>
      <c r="G178" s="78"/>
      <c r="H178" s="185"/>
      <c r="I178" s="78"/>
      <c r="J178" s="91"/>
      <c r="K178" s="91"/>
      <c r="L178" s="91"/>
    </row>
    <row r="179" spans="1:12" hidden="1" x14ac:dyDescent="0.3">
      <c r="A179" s="252"/>
      <c r="B179" s="78" t="s">
        <v>17</v>
      </c>
      <c r="C179" s="78"/>
      <c r="D179" s="78"/>
      <c r="E179" s="78"/>
      <c r="F179" s="78"/>
      <c r="G179" s="78"/>
      <c r="H179" s="186"/>
      <c r="I179" s="76"/>
      <c r="J179" s="91"/>
      <c r="K179" s="91"/>
      <c r="L179" s="91"/>
    </row>
    <row r="180" spans="1:12" hidden="1" x14ac:dyDescent="0.3">
      <c r="A180" s="252"/>
      <c r="B180" s="68" t="s">
        <v>18</v>
      </c>
      <c r="C180" s="78"/>
      <c r="D180" s="78"/>
      <c r="E180" s="78"/>
      <c r="F180" s="78"/>
      <c r="G180" s="78"/>
      <c r="H180" s="186"/>
      <c r="I180" s="76"/>
      <c r="J180" s="91"/>
      <c r="K180" s="91"/>
      <c r="L180" s="91"/>
    </row>
    <row r="181" spans="1:12" hidden="1" x14ac:dyDescent="0.3">
      <c r="A181" s="338" t="s">
        <v>231</v>
      </c>
      <c r="B181" s="338"/>
      <c r="C181" s="78"/>
      <c r="D181" s="78"/>
      <c r="E181" s="78"/>
      <c r="F181" s="78"/>
      <c r="G181" s="78"/>
      <c r="H181" s="186"/>
      <c r="I181" s="76"/>
      <c r="J181" s="91"/>
      <c r="K181" s="91"/>
      <c r="L181" s="91"/>
    </row>
    <row r="182" spans="1:12" hidden="1" x14ac:dyDescent="0.3">
      <c r="A182" s="252" t="str">
        <f>A56</f>
        <v/>
      </c>
      <c r="B182" s="68" t="s">
        <v>16</v>
      </c>
      <c r="C182" s="76"/>
      <c r="D182" s="76"/>
      <c r="E182" s="76"/>
      <c r="F182" s="76"/>
      <c r="G182" s="76"/>
      <c r="H182" s="185"/>
      <c r="I182" s="78"/>
      <c r="J182" s="91"/>
      <c r="K182" s="91"/>
      <c r="L182" s="91"/>
    </row>
    <row r="183" spans="1:12" hidden="1" x14ac:dyDescent="0.3">
      <c r="A183" s="252"/>
      <c r="B183" s="78" t="s">
        <v>17</v>
      </c>
      <c r="C183" s="76"/>
      <c r="D183" s="76"/>
      <c r="E183" s="76"/>
      <c r="F183" s="76"/>
      <c r="G183" s="76"/>
      <c r="H183" s="186"/>
      <c r="I183" s="76"/>
      <c r="J183" s="91"/>
      <c r="K183" s="91"/>
      <c r="L183" s="91"/>
    </row>
    <row r="184" spans="1:12" hidden="1" x14ac:dyDescent="0.3">
      <c r="A184" s="252"/>
      <c r="B184" s="68" t="s">
        <v>18</v>
      </c>
      <c r="C184" s="76"/>
      <c r="D184" s="76"/>
      <c r="E184" s="76"/>
      <c r="F184" s="76"/>
      <c r="G184" s="76"/>
      <c r="H184" s="186"/>
      <c r="I184" s="76"/>
      <c r="J184" s="91"/>
      <c r="K184" s="91"/>
      <c r="L184" s="91"/>
    </row>
    <row r="185" spans="1:12" hidden="1" x14ac:dyDescent="0.3">
      <c r="A185" s="338"/>
      <c r="B185" s="338"/>
      <c r="C185" s="78"/>
      <c r="D185" s="78"/>
      <c r="E185" s="78"/>
      <c r="F185" s="78"/>
      <c r="G185" s="78"/>
      <c r="H185" s="186"/>
      <c r="I185" s="76"/>
      <c r="J185" s="91"/>
      <c r="K185" s="91"/>
      <c r="L185" s="91"/>
    </row>
    <row r="186" spans="1:12" hidden="1" x14ac:dyDescent="0.3">
      <c r="A186" s="252" t="str">
        <f>A60</f>
        <v/>
      </c>
      <c r="B186" s="68" t="s">
        <v>16</v>
      </c>
      <c r="C186" s="76"/>
      <c r="D186" s="76"/>
      <c r="E186" s="76"/>
      <c r="F186" s="76"/>
      <c r="G186" s="76"/>
      <c r="H186" s="185"/>
      <c r="I186" s="78"/>
      <c r="J186" s="91"/>
      <c r="K186" s="91"/>
      <c r="L186" s="91"/>
    </row>
    <row r="187" spans="1:12" hidden="1" x14ac:dyDescent="0.3">
      <c r="A187" s="252"/>
      <c r="B187" s="78" t="s">
        <v>17</v>
      </c>
      <c r="C187" s="76"/>
      <c r="D187" s="76"/>
      <c r="E187" s="76"/>
      <c r="F187" s="76"/>
      <c r="G187" s="76"/>
      <c r="H187" s="186"/>
      <c r="I187" s="76"/>
      <c r="J187" s="91"/>
      <c r="K187" s="91"/>
      <c r="L187" s="91"/>
    </row>
    <row r="188" spans="1:12" hidden="1" x14ac:dyDescent="0.3">
      <c r="A188" s="252"/>
      <c r="B188" s="68" t="s">
        <v>18</v>
      </c>
      <c r="C188" s="76"/>
      <c r="D188" s="76"/>
      <c r="E188" s="76"/>
      <c r="F188" s="76"/>
      <c r="G188" s="76"/>
      <c r="H188" s="186"/>
      <c r="I188" s="76"/>
      <c r="J188" s="91"/>
      <c r="K188" s="91"/>
      <c r="L188" s="91"/>
    </row>
    <row r="189" spans="1:12" hidden="1" x14ac:dyDescent="0.3">
      <c r="A189" s="338"/>
      <c r="B189" s="338"/>
      <c r="C189" s="78"/>
      <c r="D189" s="78"/>
      <c r="E189" s="78"/>
      <c r="F189" s="78"/>
      <c r="G189" s="78"/>
      <c r="H189" s="187"/>
      <c r="I189" s="188"/>
      <c r="J189" s="189"/>
      <c r="K189" s="189"/>
      <c r="L189" s="189"/>
    </row>
    <row r="190" spans="1:12" hidden="1" x14ac:dyDescent="0.3">
      <c r="A190" s="252" t="str">
        <f>A64</f>
        <v/>
      </c>
      <c r="B190" s="68" t="s">
        <v>16</v>
      </c>
      <c r="C190" s="76"/>
      <c r="D190" s="76"/>
      <c r="E190" s="76"/>
      <c r="F190" s="76"/>
      <c r="G190" s="76"/>
    </row>
    <row r="191" spans="1:12" hidden="1" x14ac:dyDescent="0.3">
      <c r="A191" s="252"/>
      <c r="B191" s="78" t="s">
        <v>17</v>
      </c>
      <c r="C191" s="76"/>
      <c r="D191" s="76"/>
      <c r="E191" s="76"/>
      <c r="F191" s="76"/>
      <c r="G191" s="76"/>
    </row>
    <row r="192" spans="1:12" hidden="1" x14ac:dyDescent="0.3">
      <c r="A192" s="346"/>
      <c r="B192" s="176" t="s">
        <v>18</v>
      </c>
      <c r="C192" s="188"/>
      <c r="D192" s="188"/>
      <c r="E192" s="188"/>
      <c r="F192" s="188"/>
      <c r="G192" s="188"/>
    </row>
    <row r="193" ht="15" thickTop="1" x14ac:dyDescent="0.3"/>
  </sheetData>
  <mergeCells count="113">
    <mergeCell ref="A186:A188"/>
    <mergeCell ref="A189:B189"/>
    <mergeCell ref="A190:A192"/>
    <mergeCell ref="A173:B173"/>
    <mergeCell ref="A174:A176"/>
    <mergeCell ref="A177:B177"/>
    <mergeCell ref="A178:A180"/>
    <mergeCell ref="A181:B181"/>
    <mergeCell ref="A166:A168"/>
    <mergeCell ref="A169:B169"/>
    <mergeCell ref="A170:A172"/>
    <mergeCell ref="A110:B110"/>
    <mergeCell ref="A111:A113"/>
    <mergeCell ref="A142:A144"/>
    <mergeCell ref="A145:B145"/>
    <mergeCell ref="A146:A148"/>
    <mergeCell ref="A182:A184"/>
    <mergeCell ref="A162:A164"/>
    <mergeCell ref="A165:B165"/>
    <mergeCell ref="A185:B185"/>
    <mergeCell ref="A153:B153"/>
    <mergeCell ref="A154:A156"/>
    <mergeCell ref="A157:B157"/>
    <mergeCell ref="A158:A160"/>
    <mergeCell ref="A161:B161"/>
    <mergeCell ref="A149:B149"/>
    <mergeCell ref="A150:A152"/>
    <mergeCell ref="A135:A137"/>
    <mergeCell ref="A123:A125"/>
    <mergeCell ref="A126:B126"/>
    <mergeCell ref="A127:A129"/>
    <mergeCell ref="A78:B78"/>
    <mergeCell ref="A79:A81"/>
    <mergeCell ref="A130:B130"/>
    <mergeCell ref="A131:A133"/>
    <mergeCell ref="C134:G134"/>
    <mergeCell ref="A82:B82"/>
    <mergeCell ref="A83:A85"/>
    <mergeCell ref="A86:B86"/>
    <mergeCell ref="A87:A89"/>
    <mergeCell ref="A90:B90"/>
    <mergeCell ref="A91:A93"/>
    <mergeCell ref="A94:B94"/>
    <mergeCell ref="A95:A97"/>
    <mergeCell ref="A98:B98"/>
    <mergeCell ref="A99:A101"/>
    <mergeCell ref="A102:B102"/>
    <mergeCell ref="A114:B114"/>
    <mergeCell ref="A115:A117"/>
    <mergeCell ref="A118:B118"/>
    <mergeCell ref="A119:A121"/>
    <mergeCell ref="A122:B122"/>
    <mergeCell ref="A103:A105"/>
    <mergeCell ref="A106:B106"/>
    <mergeCell ref="A107:A109"/>
    <mergeCell ref="A64:A66"/>
    <mergeCell ref="A67:B67"/>
    <mergeCell ref="A20:A22"/>
    <mergeCell ref="A23:B23"/>
    <mergeCell ref="A24:A26"/>
    <mergeCell ref="A27:B27"/>
    <mergeCell ref="A72:A74"/>
    <mergeCell ref="A35:B35"/>
    <mergeCell ref="A36:A38"/>
    <mergeCell ref="A39:B39"/>
    <mergeCell ref="A40:A42"/>
    <mergeCell ref="A43:B43"/>
    <mergeCell ref="A44:A46"/>
    <mergeCell ref="A47:B47"/>
    <mergeCell ref="A48:A50"/>
    <mergeCell ref="A51:B51"/>
    <mergeCell ref="A52:A54"/>
    <mergeCell ref="A55:B55"/>
    <mergeCell ref="A1:L1"/>
    <mergeCell ref="H2:I2"/>
    <mergeCell ref="J2:L2"/>
    <mergeCell ref="A3:L3"/>
    <mergeCell ref="A4:A7"/>
    <mergeCell ref="B4:B7"/>
    <mergeCell ref="C4:D4"/>
    <mergeCell ref="E4:F4"/>
    <mergeCell ref="G4:G7"/>
    <mergeCell ref="H4:I4"/>
    <mergeCell ref="J4:K4"/>
    <mergeCell ref="L4:L7"/>
    <mergeCell ref="C5:C7"/>
    <mergeCell ref="D5:D7"/>
    <mergeCell ref="E5:E7"/>
    <mergeCell ref="F5:F7"/>
    <mergeCell ref="A13:A15"/>
    <mergeCell ref="A75:A77"/>
    <mergeCell ref="A138:A140"/>
    <mergeCell ref="A141:L141"/>
    <mergeCell ref="H5:H7"/>
    <mergeCell ref="I5:I7"/>
    <mergeCell ref="J5:J7"/>
    <mergeCell ref="K5:K7"/>
    <mergeCell ref="H71:L71"/>
    <mergeCell ref="C9:G9"/>
    <mergeCell ref="H9:L9"/>
    <mergeCell ref="A10:A12"/>
    <mergeCell ref="A16:A18"/>
    <mergeCell ref="A28:A30"/>
    <mergeCell ref="A31:B31"/>
    <mergeCell ref="A32:A34"/>
    <mergeCell ref="A19:B19"/>
    <mergeCell ref="A68:A70"/>
    <mergeCell ref="A71:B71"/>
    <mergeCell ref="A60:A62"/>
    <mergeCell ref="A63:B63"/>
    <mergeCell ref="A56:A58"/>
    <mergeCell ref="A59:B59"/>
    <mergeCell ref="C71:G71"/>
  </mergeCells>
  <printOptions horizontalCentere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10</vt:i4>
      </vt:variant>
    </vt:vector>
  </HeadingPairs>
  <TitlesOfParts>
    <vt:vector size="35" baseType="lpstr">
      <vt:lpstr>common</vt:lpstr>
      <vt:lpstr>Annex-I</vt:lpstr>
      <vt:lpstr>Annex-II</vt:lpstr>
      <vt:lpstr>Annex-III</vt:lpstr>
      <vt:lpstr>Annex-IV(a)</vt:lpstr>
      <vt:lpstr>Annex-IV(b)</vt:lpstr>
      <vt:lpstr>Annex-V</vt:lpstr>
      <vt:lpstr>Annex-VI</vt:lpstr>
      <vt:lpstr>Annex-VII(a)</vt:lpstr>
      <vt:lpstr>Annex-VII(b)</vt:lpstr>
      <vt:lpstr>Annex-VIII</vt:lpstr>
      <vt:lpstr>Annex-IX</vt:lpstr>
      <vt:lpstr>Annex-X</vt:lpstr>
      <vt:lpstr>Annex-XI</vt:lpstr>
      <vt:lpstr>Annex-XII</vt:lpstr>
      <vt:lpstr>Annex-XVI</vt:lpstr>
      <vt:lpstr>Annex-XVII</vt:lpstr>
      <vt:lpstr>Annex-XVIII</vt:lpstr>
      <vt:lpstr>Annex-XIX</vt:lpstr>
      <vt:lpstr>Annex-XX</vt:lpstr>
      <vt:lpstr>Annex-XXI</vt:lpstr>
      <vt:lpstr>Annex-XXII</vt:lpstr>
      <vt:lpstr>Annex-XXIII</vt:lpstr>
      <vt:lpstr>Annex-XXIV</vt:lpstr>
      <vt:lpstr>Annex-XXV</vt:lpstr>
      <vt:lpstr>'Annex-III'!Print_Area</vt:lpstr>
      <vt:lpstr>'Annex-IV(b)'!Print_Area</vt:lpstr>
      <vt:lpstr>'Annex-VIII'!Print_Area</vt:lpstr>
      <vt:lpstr>'Annex-X'!Print_Area</vt:lpstr>
      <vt:lpstr>'Annex-XII'!Print_Area</vt:lpstr>
      <vt:lpstr>'Annex-XVI'!Print_Area</vt:lpstr>
      <vt:lpstr>'Annex-XVII'!Print_Area</vt:lpstr>
      <vt:lpstr>'Annex-XVIII'!Print_Area</vt:lpstr>
      <vt:lpstr>'Annex-XXI'!Print_Area</vt:lpstr>
      <vt:lpstr>'Annex-XXV'!Print_Area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2026-06-29T09:42:49Z</dcterms:modified>
</cp:coreProperties>
</file>